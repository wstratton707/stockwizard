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Valuation" sheetId="3" state="visible" r:id="rId3"/>
    <sheet xmlns:r="http://schemas.openxmlformats.org/officeDocument/2006/relationships" name="Fundamentals" sheetId="4" state="visible" r:id="rId4"/>
    <sheet xmlns:r="http://schemas.openxmlformats.org/officeDocument/2006/relationships" name="Annual_Summary" sheetId="5" state="visible" r:id="rId5"/>
    <sheet xmlns:r="http://schemas.openxmlformats.org/officeDocument/2006/relationships" name="Price_Indicators" sheetId="6" state="visible" r:id="rId6"/>
    <sheet xmlns:r="http://schemas.openxmlformats.org/officeDocument/2006/relationships" name="News_Headlines" sheetId="7" state="visible" r:id="rId7"/>
    <sheet xmlns:r="http://schemas.openxmlformats.org/officeDocument/2006/relationships" name="Peer_Comparison" sheetId="8" state="visible" r:id="rId8"/>
    <sheet xmlns:r="http://schemas.openxmlformats.org/officeDocument/2006/relationships" name="Correlation_Matrix" sheetId="9" state="visible" r:id="rId9"/>
    <sheet xmlns:r="http://schemas.openxmlformats.org/officeDocument/2006/relationships" name="Monte_Carlo" sheetId="10" state="visible" r:id="rId10"/>
    <sheet xmlns:r="http://schemas.openxmlformats.org/officeDocument/2006/relationships" name="Charts" sheetId="11" state="visible" r:id="rId11"/>
    <sheet xmlns:r="http://schemas.openxmlformats.org/officeDocument/2006/relationships" name="Methodology" sheetId="12" state="visible" r:id="rId12"/>
  </sheets>
  <definedNames>
    <definedName name="_xlnm._FilterDatabase" localSheetId="4" hidden="1">'Annual_Summary'!$A$2:$E$2</definedName>
    <definedName name="_xlnm._FilterDatabase" localSheetId="5" hidden="1">'Price_Indicators'!$A$1:$Q$1</definedName>
    <definedName name="_xlnm._FilterDatabase" localSheetId="6" hidden="1">'News_Headlines'!$A$1:$G$1</definedName>
    <definedName name="_xlnm._FilterDatabase" localSheetId="7" hidden="1">'Peer_Comparison'!$A$1:$F$1</definedName>
  </definedNames>
  <calcPr calcId="124519" fullCalcOnLoad="1"/>
</workbook>
</file>

<file path=xl/styles.xml><?xml version="1.0" encoding="utf-8"?>
<styleSheet xmlns="http://schemas.openxmlformats.org/spreadsheetml/2006/main">
  <numFmts count="14">
    <numFmt numFmtId="164" formatCode="&quot;$&quot;#,##0.00"/>
    <numFmt numFmtId="165" formatCode="0.0000"/>
    <numFmt numFmtId="166" formatCode="+0.0&quot; pts&quot;;-0.0&quot; pts&quot;"/>
    <numFmt numFmtId="167" formatCode="+0.0%;-0.0%"/>
    <numFmt numFmtId="168" formatCode="0.0%"/>
    <numFmt numFmtId="169" formatCode="yyyy-mm-dd h:mm:ss"/>
    <numFmt numFmtId="170" formatCode="yyyy-mm-dd"/>
    <numFmt numFmtId="171" formatCode="_($* #,##0.00_)"/>
    <numFmt numFmtId="172" formatCode="$#,##0.0,,,&quot;B&quot;"/>
    <numFmt numFmtId="173" formatCode="#,##0.00,,,&quot;B&quot;"/>
    <numFmt numFmtId="174" formatCode="0.000"/>
    <numFmt numFmtId="175" formatCode="0.00&quot;x&quot;"/>
    <numFmt numFmtId="176" formatCode="&quot;$&quot;#,##0.0,,,&quot;B&quot;"/>
    <numFmt numFmtId="177" formatCode="0.0"/>
  </numFmts>
  <fonts count="33">
    <font>
      <name val="Calibri"/>
      <family val="2"/>
      <color theme="1"/>
      <sz val="11"/>
      <scheme val="minor"/>
    </font>
    <font>
      <name val="Calibri"/>
      <b val="1"/>
      <color rgb="001F4E79"/>
      <sz val="18"/>
    </font>
    <font>
      <name val="Calibri"/>
      <i val="1"/>
      <color rgb="00888888"/>
      <sz val="9"/>
    </font>
    <font>
      <name val="Calibri"/>
      <b val="1"/>
      <color rgb="00FFFFFF"/>
      <sz val="11"/>
    </font>
    <font>
      <name val="Calibri"/>
      <sz val="10"/>
    </font>
    <font>
      <name val="Calibri"/>
      <b val="1"/>
      <sz val="10"/>
    </font>
    <font>
      <name val="Calibri"/>
      <b val="1"/>
      <color rgb="00FFFFFF"/>
      <sz val="10"/>
    </font>
    <font>
      <name val="Calibri"/>
      <b val="1"/>
      <color rgb="00FFFFFF"/>
      <sz val="12"/>
    </font>
    <font>
      <name val="Calibri"/>
      <i val="1"/>
      <sz val="10"/>
    </font>
    <font>
      <name val="Calibri"/>
      <b val="1"/>
      <color rgb="001F4E79"/>
      <sz val="10"/>
    </font>
    <font>
      <name val="Calibri"/>
      <b val="1"/>
      <color rgb="00FFFFFF"/>
      <sz val="9"/>
    </font>
    <font>
      <name val="Calibri"/>
      <color rgb="00000000"/>
      <sz val="10"/>
    </font>
    <font>
      <name val="Calibri"/>
      <b val="1"/>
      <color rgb="00FF0000"/>
      <sz val="10"/>
    </font>
    <font>
      <name val="Calibri"/>
      <sz val="9"/>
    </font>
    <font>
      <name val="Calibri"/>
      <i val="1"/>
      <color rgb="00888888"/>
      <sz val="8"/>
    </font>
    <font>
      <name val="Calibri"/>
      <b val="1"/>
      <color rgb="00FFFFFF"/>
    </font>
    <font>
      <name val="Calibri"/>
      <b val="1"/>
      <sz val="9"/>
    </font>
    <font>
      <name val="Calibri"/>
      <b val="1"/>
      <color rgb="001F4E79"/>
      <sz val="14"/>
    </font>
    <font>
      <name val="Calibri"/>
      <b val="1"/>
      <color rgb="009C0006"/>
      <sz val="10"/>
    </font>
    <font>
      <name val="Calibri"/>
      <b val="1"/>
      <color rgb="007F6000"/>
      <sz val="10"/>
    </font>
    <font>
      <name val="Calibri"/>
      <color rgb="002E75B6"/>
      <sz val="10"/>
      <u val="single"/>
    </font>
    <font>
      <name val="Calibri"/>
      <b val="1"/>
      <color rgb="00006100"/>
      <sz val="10"/>
    </font>
    <font>
      <name val="Calibri"/>
      <b val="1"/>
      <color rgb="001F4E79"/>
      <sz val="12"/>
    </font>
    <font>
      <name val="Calibri"/>
      <b val="1"/>
      <color rgb="001F4E79"/>
      <sz val="13"/>
    </font>
    <font>
      <name val="Calibri"/>
      <b val="1"/>
      <color rgb="001F4E79"/>
      <sz val="30"/>
    </font>
    <font>
      <name val="Calibri"/>
      <sz val="11"/>
    </font>
    <font>
      <name val="Calibri"/>
      <b val="1"/>
      <color rgb="00000000"/>
      <sz val="10"/>
    </font>
    <font>
      <name val="Calibri"/>
      <b val="1"/>
      <color rgb="00999999"/>
      <sz val="10"/>
    </font>
    <font>
      <name val="Calibri"/>
      <b val="1"/>
      <color rgb="00FFFFFF"/>
      <sz val="22"/>
    </font>
    <font>
      <name val="Calibri"/>
      <b val="1"/>
      <color rgb="001F4E79"/>
      <sz val="16"/>
    </font>
    <font>
      <name val="Calibri"/>
      <b val="1"/>
      <color rgb="00808080"/>
      <sz val="8"/>
    </font>
    <font>
      <name val="Calibri"/>
      <b val="1"/>
      <color rgb="00FF0000"/>
      <sz val="16"/>
    </font>
    <font>
      <name val="Calibri"/>
      <b val="1"/>
      <color rgb="002E75B6"/>
      <sz val="10"/>
      <u val="single"/>
    </font>
  </fonts>
  <fills count="16">
    <fill>
      <patternFill/>
    </fill>
    <fill>
      <patternFill patternType="gray125"/>
    </fill>
    <fill>
      <patternFill patternType="solid">
        <fgColor rgb="001F4E79"/>
      </patternFill>
    </fill>
    <fill>
      <patternFill patternType="solid">
        <fgColor rgb="00FFFFFF"/>
      </patternFill>
    </fill>
    <fill>
      <patternFill patternType="solid">
        <fgColor rgb="00FF0000"/>
      </patternFill>
    </fill>
    <fill>
      <patternFill patternType="solid">
        <fgColor rgb="00F2F2F2"/>
      </patternFill>
    </fill>
    <fill>
      <patternFill patternType="solid">
        <fgColor rgb="00F0F5FB"/>
      </patternFill>
    </fill>
    <fill>
      <patternFill patternType="solid">
        <fgColor rgb="00BF8F00"/>
      </patternFill>
    </fill>
    <fill>
      <patternFill patternType="solid">
        <fgColor rgb="002E75B6"/>
      </patternFill>
    </fill>
    <fill>
      <patternFill patternType="solid">
        <fgColor rgb="0070AD47"/>
      </patternFill>
    </fill>
    <fill>
      <patternFill patternType="solid">
        <fgColor rgb="00FFF8E1"/>
      </patternFill>
    </fill>
    <fill>
      <patternFill patternType="solid">
        <fgColor rgb="0016a34a"/>
      </patternFill>
    </fill>
    <fill>
      <patternFill patternType="solid">
        <fgColor rgb="00FFC7CE"/>
      </patternFill>
    </fill>
    <fill>
      <patternFill patternType="solid">
        <fgColor rgb="00FFF2CC"/>
      </patternFill>
    </fill>
    <fill>
      <patternFill patternType="solid">
        <fgColor rgb="00C6EFCE"/>
      </patternFill>
    </fill>
    <fill>
      <patternFill patternType="solid">
        <fgColor rgb="00D6E4F0"/>
      </patternFill>
    </fill>
  </fills>
  <borders count="5">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139">
    <xf numFmtId="0" fontId="0" fillId="0" borderId="0" pivotButton="0" quotePrefix="0" xfId="0"/>
    <xf numFmtId="0" fontId="0" fillId="2" borderId="0" pivotButton="0" quotePrefix="0" xfId="0"/>
    <xf numFmtId="0" fontId="28" fillId="2" borderId="0" applyAlignment="1" pivotButton="0" quotePrefix="0" xfId="0">
      <alignment horizontal="left" vertical="center" indent="1"/>
    </xf>
    <xf numFmtId="0" fontId="2" fillId="0" borderId="0" applyAlignment="1" pivotButton="0" quotePrefix="0" xfId="0">
      <alignment horizontal="left" indent="1"/>
    </xf>
    <xf numFmtId="0" fontId="29" fillId="6" borderId="1" applyAlignment="1" pivotButton="0" quotePrefix="0" xfId="0">
      <alignment horizontal="center" vertical="center"/>
    </xf>
    <xf numFmtId="0" fontId="31" fillId="6" borderId="1" applyAlignment="1" pivotButton="0" quotePrefix="0" xfId="0">
      <alignment horizontal="center" vertical="center"/>
    </xf>
    <xf numFmtId="0" fontId="30" fillId="6" borderId="1" applyAlignment="1" pivotButton="0" quotePrefix="0" xfId="0">
      <alignment horizontal="center" vertical="center"/>
    </xf>
    <xf numFmtId="0" fontId="22" fillId="0" borderId="0" pivotButton="0" quotePrefix="0" xfId="0"/>
    <xf numFmtId="0" fontId="20" fillId="0" borderId="0" pivotButton="0" quotePrefix="0" xfId="0"/>
    <xf numFmtId="0" fontId="32" fillId="0" borderId="0" pivotButton="0" quotePrefix="0" xfId="0"/>
    <xf numFmtId="0" fontId="14"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2" borderId="0" applyAlignment="1" pivotButton="0" quotePrefix="0" xfId="0">
      <alignment horizontal="left" vertical="center"/>
    </xf>
    <xf numFmtId="0" fontId="15" fillId="8" borderId="0" pivotButton="0" quotePrefix="0" xfId="0"/>
    <xf numFmtId="0" fontId="4" fillId="3" borderId="1" pivotButton="0" quotePrefix="0" xfId="0"/>
    <xf numFmtId="164" fontId="5" fillId="3" borderId="1" applyAlignment="1" pivotButton="0" quotePrefix="0" xfId="0">
      <alignment horizontal="right"/>
    </xf>
    <xf numFmtId="0" fontId="16" fillId="0" borderId="0" pivotButton="0" quotePrefix="0" xfId="0"/>
    <xf numFmtId="0" fontId="4" fillId="5" borderId="1" pivotButton="0" quotePrefix="0" xfId="0"/>
    <xf numFmtId="10" fontId="6" fillId="4" borderId="1" applyAlignment="1" pivotButton="0" quotePrefix="0" xfId="0">
      <alignment horizontal="right"/>
    </xf>
    <xf numFmtId="164" fontId="5" fillId="5" borderId="1" applyAlignment="1" pivotButton="0" quotePrefix="0" xfId="0">
      <alignment horizontal="right"/>
    </xf>
    <xf numFmtId="165" fontId="5" fillId="3" borderId="1" applyAlignment="1" pivotButton="0" quotePrefix="0" xfId="0">
      <alignment horizontal="right"/>
    </xf>
    <xf numFmtId="10" fontId="5" fillId="5" borderId="1" applyAlignment="1" pivotButton="0" quotePrefix="0" xfId="0">
      <alignment horizontal="right"/>
    </xf>
    <xf numFmtId="10" fontId="5" fillId="3" borderId="1" applyAlignment="1" pivotButton="0" quotePrefix="0" xfId="0">
      <alignment horizontal="right"/>
    </xf>
    <xf numFmtId="0" fontId="5" fillId="3" borderId="1" applyAlignment="1" pivotButton="0" quotePrefix="0" xfId="0">
      <alignment horizontal="right"/>
    </xf>
    <xf numFmtId="0" fontId="6" fillId="4" borderId="1" applyAlignment="1" pivotButton="0" quotePrefix="0" xfId="0">
      <alignment horizontal="right"/>
    </xf>
    <xf numFmtId="0" fontId="5" fillId="6" borderId="1" applyAlignment="1" pivotButton="0" quotePrefix="0" xfId="0">
      <alignment vertical="top" wrapText="1"/>
    </xf>
    <xf numFmtId="0" fontId="5" fillId="0" borderId="1" pivotButton="0" quotePrefix="0" xfId="0"/>
    <xf numFmtId="0" fontId="7" fillId="7" borderId="1" applyAlignment="1" pivotButton="0" quotePrefix="0" xfId="0">
      <alignment horizontal="right"/>
    </xf>
    <xf numFmtId="0" fontId="4" fillId="0" borderId="1" pivotButton="0" quotePrefix="0" xfId="0"/>
    <xf numFmtId="0" fontId="6" fillId="7" borderId="1" applyAlignment="1" pivotButton="0" quotePrefix="0" xfId="0">
      <alignment horizontal="right"/>
    </xf>
    <xf numFmtId="0" fontId="6" fillId="8" borderId="1" applyAlignment="1" pivotButton="0" quotePrefix="0" xfId="0">
      <alignment horizontal="center" vertical="center" wrapText="1"/>
    </xf>
    <xf numFmtId="0" fontId="5" fillId="0" borderId="1" applyAlignment="1" pivotButton="0" quotePrefix="0" xfId="0">
      <alignment horizontal="right"/>
    </xf>
    <xf numFmtId="0" fontId="6" fillId="7" borderId="1" applyAlignment="1" pivotButton="0" quotePrefix="0" xfId="0">
      <alignment horizontal="center"/>
    </xf>
    <xf numFmtId="0" fontId="6" fillId="4" borderId="1" applyAlignment="1" pivotButton="0" quotePrefix="0" xfId="0">
      <alignment horizontal="center"/>
    </xf>
    <xf numFmtId="0" fontId="6" fillId="9" borderId="1" applyAlignment="1" pivotButton="0" quotePrefix="0" xfId="0">
      <alignment horizontal="center"/>
    </xf>
    <xf numFmtId="0" fontId="8" fillId="10" borderId="1" applyAlignment="1" pivotButton="0" quotePrefix="0" xfId="0">
      <alignment vertical="top" wrapText="1"/>
    </xf>
    <xf numFmtId="0" fontId="9" fillId="0" borderId="0" pivotButton="0" quotePrefix="0" xfId="0"/>
    <xf numFmtId="0" fontId="4" fillId="0" borderId="1" applyAlignment="1" pivotButton="0" quotePrefix="0" xfId="0">
      <alignment vertical="top" wrapText="1"/>
    </xf>
    <xf numFmtId="166" fontId="6" fillId="4" borderId="1" applyAlignment="1" pivotButton="0" quotePrefix="0" xfId="0">
      <alignment horizontal="right"/>
    </xf>
    <xf numFmtId="0" fontId="10" fillId="2" borderId="1" applyAlignment="1" pivotButton="0" quotePrefix="0" xfId="0">
      <alignment horizontal="left"/>
    </xf>
    <xf numFmtId="0" fontId="10" fillId="2" borderId="1" applyAlignment="1" pivotButton="0" quotePrefix="0" xfId="0">
      <alignment horizontal="center"/>
    </xf>
    <xf numFmtId="0" fontId="11" fillId="0" borderId="1" pivotButton="0" quotePrefix="0" xfId="0"/>
    <xf numFmtId="167" fontId="11" fillId="0" borderId="1" applyAlignment="1" pivotButton="0" quotePrefix="0" xfId="0">
      <alignment horizontal="right"/>
    </xf>
    <xf numFmtId="166" fontId="12" fillId="0" borderId="1" applyAlignment="1" pivotButton="0" quotePrefix="0" xfId="0">
      <alignment horizontal="right"/>
    </xf>
    <xf numFmtId="0" fontId="5" fillId="5" borderId="1" applyAlignment="1" pivotButton="0" quotePrefix="0" xfId="0">
      <alignment horizontal="right"/>
    </xf>
    <xf numFmtId="0" fontId="13" fillId="0" borderId="0" applyAlignment="1" pivotButton="0" quotePrefix="0" xfId="0">
      <alignment vertical="center" wrapText="1"/>
    </xf>
    <xf numFmtId="0" fontId="6" fillId="11" borderId="1" applyAlignment="1" pivotButton="0" quotePrefix="0" xfId="0">
      <alignment horizontal="right"/>
    </xf>
    <xf numFmtId="168" fontId="5" fillId="5" borderId="1" applyAlignment="1" pivotButton="0" quotePrefix="0" xfId="0">
      <alignment horizontal="right"/>
    </xf>
    <xf numFmtId="167" fontId="6" fillId="4" borderId="1" applyAlignment="1" pivotButton="0" quotePrefix="0" xfId="0">
      <alignment horizontal="right"/>
    </xf>
    <xf numFmtId="0" fontId="6" fillId="2" borderId="1" applyAlignment="1" pivotButton="0" quotePrefix="0" xfId="0">
      <alignment horizontal="right"/>
    </xf>
    <xf numFmtId="0" fontId="5" fillId="0" borderId="1" applyAlignment="1" pivotButton="0" quotePrefix="0" xfId="0">
      <alignment horizontal="left"/>
    </xf>
    <xf numFmtId="2" fontId="5" fillId="5" borderId="1" applyAlignment="1" pivotButton="0" quotePrefix="0" xfId="0">
      <alignment horizontal="right"/>
    </xf>
    <xf numFmtId="1" fontId="5" fillId="3" borderId="1" applyAlignment="1" pivotButton="0" quotePrefix="0" xfId="0">
      <alignment horizontal="right"/>
    </xf>
    <xf numFmtId="1" fontId="5" fillId="5" borderId="1" applyAlignment="1" pivotButton="0" quotePrefix="0" xfId="0">
      <alignment horizontal="right"/>
    </xf>
    <xf numFmtId="2" fontId="5" fillId="3" borderId="1" applyAlignment="1" pivotButton="0" quotePrefix="0" xfId="0">
      <alignment horizontal="right"/>
    </xf>
    <xf numFmtId="168" fontId="5" fillId="3" borderId="1" applyAlignment="1" pivotButton="0" quotePrefix="0" xfId="0">
      <alignment horizontal="right"/>
    </xf>
    <xf numFmtId="0" fontId="4" fillId="6" borderId="1" applyAlignment="1" pivotButton="0" quotePrefix="0" xfId="0">
      <alignment vertical="top" wrapText="1"/>
    </xf>
    <xf numFmtId="0" fontId="8" fillId="0" borderId="1" applyAlignment="1" pivotButton="0" quotePrefix="0" xfId="0">
      <alignment vertical="top" wrapText="1"/>
    </xf>
    <xf numFmtId="0" fontId="17" fillId="0" borderId="0" pivotButton="0" quotePrefix="0" xfId="0"/>
    <xf numFmtId="0" fontId="2" fillId="0" borderId="0" applyAlignment="1" pivotButton="0" quotePrefix="0" xfId="0">
      <alignment vertical="top" wrapText="1"/>
    </xf>
    <xf numFmtId="0" fontId="3" fillId="2" borderId="0" pivotButton="0" quotePrefix="0" xfId="0"/>
    <xf numFmtId="168" fontId="24" fillId="6" borderId="1" applyAlignment="1" pivotButton="0" quotePrefix="0" xfId="0">
      <alignment horizontal="center" vertical="center"/>
    </xf>
    <xf numFmtId="0" fontId="25" fillId="6" borderId="1" applyAlignment="1" pivotButton="0" quotePrefix="0" xfId="0">
      <alignment vertical="center" wrapText="1"/>
    </xf>
    <xf numFmtId="171" fontId="5" fillId="0" borderId="1" applyAlignment="1" pivotButton="0" quotePrefix="0" xfId="0">
      <alignment horizontal="right"/>
    </xf>
    <xf numFmtId="0" fontId="2" fillId="0" borderId="0" applyAlignment="1" pivotButton="0" quotePrefix="0" xfId="0">
      <alignment vertical="center"/>
    </xf>
    <xf numFmtId="167" fontId="5" fillId="0" borderId="1" applyAlignment="1" pivotButton="0" quotePrefix="0" xfId="0">
      <alignment horizontal="right"/>
    </xf>
    <xf numFmtId="0" fontId="0" fillId="0" borderId="4" pivotButton="0" quotePrefix="0" xfId="0"/>
    <xf numFmtId="0" fontId="4" fillId="0" borderId="1" applyAlignment="1" pivotButton="0" quotePrefix="0" xfId="0">
      <alignment horizontal="left"/>
    </xf>
    <xf numFmtId="168" fontId="4" fillId="0" borderId="1" applyAlignment="1" pivotButton="0" quotePrefix="0" xfId="0">
      <alignment horizontal="right"/>
    </xf>
    <xf numFmtId="171" fontId="4" fillId="0" borderId="1" applyAlignment="1" pivotButton="0" quotePrefix="0" xfId="0">
      <alignment horizontal="right"/>
    </xf>
    <xf numFmtId="167" fontId="4" fillId="0" borderId="1" applyAlignment="1" pivotButton="0" quotePrefix="0" xfId="0">
      <alignment horizontal="right"/>
    </xf>
    <xf numFmtId="0" fontId="5" fillId="15" borderId="1" applyAlignment="1" pivotButton="0" quotePrefix="0" xfId="0">
      <alignment horizontal="left"/>
    </xf>
    <xf numFmtId="168" fontId="5" fillId="15" borderId="1" applyAlignment="1" pivotButton="0" quotePrefix="0" xfId="0">
      <alignment horizontal="right"/>
    </xf>
    <xf numFmtId="171" fontId="5" fillId="15" borderId="1" applyAlignment="1" pivotButton="0" quotePrefix="0" xfId="0">
      <alignment horizontal="right"/>
    </xf>
    <xf numFmtId="167" fontId="5" fillId="15" borderId="1" applyAlignment="1" pivotButton="0" quotePrefix="0" xfId="0">
      <alignment horizontal="right"/>
    </xf>
    <xf numFmtId="0" fontId="5" fillId="6" borderId="1" applyAlignment="1" pivotButton="0" quotePrefix="0" xfId="0">
      <alignment horizontal="left"/>
    </xf>
    <xf numFmtId="168" fontId="5" fillId="6" borderId="1" applyAlignment="1" pivotButton="0" quotePrefix="0" xfId="0">
      <alignment horizontal="right"/>
    </xf>
    <xf numFmtId="171" fontId="5" fillId="6" borderId="1" applyAlignment="1" pivotButton="0" quotePrefix="0" xfId="0">
      <alignment horizontal="right"/>
    </xf>
    <xf numFmtId="167" fontId="5" fillId="6" borderId="1" applyAlignment="1" pivotButton="0" quotePrefix="0" xfId="0">
      <alignment horizontal="right"/>
    </xf>
    <xf numFmtId="10" fontId="5" fillId="13" borderId="1" applyAlignment="1" pivotButton="0" quotePrefix="0" xfId="0">
      <alignment horizontal="right"/>
    </xf>
    <xf numFmtId="1" fontId="5" fillId="13" borderId="1" applyAlignment="1" pivotButton="0" quotePrefix="0" xfId="0">
      <alignment horizontal="right"/>
    </xf>
    <xf numFmtId="172" fontId="5" fillId="13" borderId="1" applyAlignment="1" pivotButton="0" quotePrefix="0" xfId="0">
      <alignment horizontal="right"/>
    </xf>
    <xf numFmtId="168" fontId="5" fillId="13" borderId="1" applyAlignment="1" pivotButton="0" quotePrefix="0" xfId="0">
      <alignment horizontal="right"/>
    </xf>
    <xf numFmtId="173" fontId="5" fillId="13" borderId="1" applyAlignment="1" pivotButton="0" quotePrefix="0" xfId="0">
      <alignment horizontal="right"/>
    </xf>
    <xf numFmtId="171" fontId="5" fillId="13" borderId="1" applyAlignment="1" pivotButton="0" quotePrefix="0" xfId="0">
      <alignment horizontal="right"/>
    </xf>
    <xf numFmtId="1" fontId="4" fillId="0" borderId="1" applyAlignment="1" pivotButton="0" quotePrefix="0" xfId="0">
      <alignment horizontal="right"/>
    </xf>
    <xf numFmtId="172" fontId="4" fillId="0" borderId="1" applyAlignment="1" pivotButton="0" quotePrefix="0" xfId="0">
      <alignment horizontal="right"/>
    </xf>
    <xf numFmtId="174" fontId="4" fillId="0" borderId="1" applyAlignment="1" pivotButton="0" quotePrefix="0" xfId="0">
      <alignment horizontal="right"/>
    </xf>
    <xf numFmtId="1" fontId="4" fillId="5" borderId="1" applyAlignment="1" pivotButton="0" quotePrefix="0" xfId="0">
      <alignment horizontal="right"/>
    </xf>
    <xf numFmtId="168" fontId="4" fillId="5" borderId="1" applyAlignment="1" pivotButton="0" quotePrefix="0" xfId="0">
      <alignment horizontal="right"/>
    </xf>
    <xf numFmtId="172" fontId="4" fillId="5" borderId="1" applyAlignment="1" pivotButton="0" quotePrefix="0" xfId="0">
      <alignment horizontal="right"/>
    </xf>
    <xf numFmtId="174" fontId="4" fillId="5" borderId="1" applyAlignment="1" pivotButton="0" quotePrefix="0" xfId="0">
      <alignment horizontal="right"/>
    </xf>
    <xf numFmtId="0" fontId="2" fillId="0" borderId="0" pivotButton="0" quotePrefix="0" xfId="0"/>
    <xf numFmtId="172" fontId="5" fillId="15" borderId="1" applyAlignment="1" pivotButton="0" quotePrefix="0" xfId="0">
      <alignment horizontal="right"/>
    </xf>
    <xf numFmtId="0" fontId="16" fillId="0" borderId="1" pivotButton="0" quotePrefix="0" xfId="0"/>
    <xf numFmtId="0" fontId="8" fillId="6" borderId="1" applyAlignment="1" pivotButton="0" quotePrefix="0" xfId="0">
      <alignment vertical="top" wrapText="1"/>
    </xf>
    <xf numFmtId="175" fontId="26" fillId="5" borderId="1" applyAlignment="1" pivotButton="0" quotePrefix="0" xfId="0">
      <alignment horizontal="right"/>
    </xf>
    <xf numFmtId="175" fontId="26" fillId="0" borderId="1" applyAlignment="1" pivotButton="0" quotePrefix="0" xfId="0">
      <alignment horizontal="right"/>
    </xf>
    <xf numFmtId="0" fontId="27" fillId="0" borderId="1" applyAlignment="1" pivotButton="0" quotePrefix="0" xfId="0">
      <alignment horizontal="right"/>
    </xf>
    <xf numFmtId="168" fontId="26" fillId="5" borderId="1" applyAlignment="1" pivotButton="0" quotePrefix="0" xfId="0">
      <alignment horizontal="right"/>
    </xf>
    <xf numFmtId="168" fontId="26" fillId="0" borderId="1" applyAlignment="1" pivotButton="0" quotePrefix="0" xfId="0">
      <alignment horizontal="right"/>
    </xf>
    <xf numFmtId="0" fontId="26" fillId="0" borderId="1" applyAlignment="1" pivotButton="0" quotePrefix="0" xfId="0">
      <alignment horizontal="right"/>
    </xf>
    <xf numFmtId="176" fontId="26" fillId="0" borderId="1" applyAlignment="1" pivotButton="0" quotePrefix="0" xfId="0">
      <alignment horizontal="right"/>
    </xf>
    <xf numFmtId="2" fontId="26" fillId="5" borderId="1" applyAlignment="1" pivotButton="0" quotePrefix="0" xfId="0">
      <alignment horizontal="right"/>
    </xf>
    <xf numFmtId="2" fontId="26" fillId="0" borderId="1" applyAlignment="1" pivotButton="0" quotePrefix="0" xfId="0">
      <alignment horizontal="right"/>
    </xf>
    <xf numFmtId="0" fontId="26" fillId="5" borderId="1" applyAlignment="1" pivotButton="0" quotePrefix="0" xfId="0">
      <alignment horizontal="right"/>
    </xf>
    <xf numFmtId="0" fontId="6" fillId="8" borderId="1" pivotButton="0" quotePrefix="0" xfId="0"/>
    <xf numFmtId="177" fontId="4" fillId="0" borderId="1" pivotButton="0" quotePrefix="0" xfId="0"/>
    <xf numFmtId="0" fontId="17" fillId="0" borderId="0" applyAlignment="1" pivotButton="0" quotePrefix="0" xfId="0">
      <alignment horizontal="center" vertical="center"/>
    </xf>
    <xf numFmtId="1" fontId="4" fillId="3" borderId="1" pivotButton="0" quotePrefix="0" xfId="0"/>
    <xf numFmtId="10" fontId="18" fillId="12" borderId="1" pivotButton="0" quotePrefix="0" xfId="0"/>
    <xf numFmtId="10" fontId="6" fillId="9" borderId="1" pivotButton="0" quotePrefix="0" xfId="0"/>
    <xf numFmtId="10" fontId="4" fillId="3" borderId="1" pivotButton="0" quotePrefix="0" xfId="0"/>
    <xf numFmtId="1" fontId="4" fillId="5" borderId="1" pivotButton="0" quotePrefix="0" xfId="0"/>
    <xf numFmtId="10" fontId="4" fillId="5" borderId="1" pivotButton="0" quotePrefix="0" xfId="0"/>
    <xf numFmtId="0" fontId="6" fillId="2" borderId="1" applyAlignment="1" pivotButton="0" quotePrefix="0" xfId="0">
      <alignment horizontal="center" vertical="center" wrapText="1"/>
    </xf>
    <xf numFmtId="170" fontId="0" fillId="0" borderId="0" pivotButton="0" quotePrefix="0" xfId="0"/>
    <xf numFmtId="171" fontId="0" fillId="0" borderId="0" pivotButton="0" quotePrefix="0" xfId="0"/>
    <xf numFmtId="3" fontId="0" fillId="0" borderId="0" pivotButton="0" quotePrefix="0" xfId="0"/>
    <xf numFmtId="10" fontId="0" fillId="0" borderId="0" pivotButton="0" quotePrefix="0" xfId="0"/>
    <xf numFmtId="4" fontId="0" fillId="0" borderId="0" pivotButton="0" quotePrefix="0" xfId="0"/>
    <xf numFmtId="0" fontId="19" fillId="13" borderId="1" applyAlignment="1" pivotButton="0" quotePrefix="0" xfId="0">
      <alignment horizontal="center"/>
    </xf>
    <xf numFmtId="0" fontId="4" fillId="5" borderId="1" applyAlignment="1" pivotButton="0" quotePrefix="0" xfId="0">
      <alignment horizontal="center"/>
    </xf>
    <xf numFmtId="0" fontId="20" fillId="5" borderId="1" pivotButton="0" quotePrefix="0" xfId="0"/>
    <xf numFmtId="0" fontId="4" fillId="0" borderId="1" applyAlignment="1" pivotButton="0" quotePrefix="0" xfId="0">
      <alignment horizontal="center"/>
    </xf>
    <xf numFmtId="0" fontId="20" fillId="0" borderId="1" pivotButton="0" quotePrefix="0" xfId="0"/>
    <xf numFmtId="0" fontId="18" fillId="12" borderId="1" applyAlignment="1" pivotButton="0" quotePrefix="0" xfId="0">
      <alignment horizontal="center"/>
    </xf>
    <xf numFmtId="0" fontId="21" fillId="14" borderId="1" applyAlignment="1" pivotButton="0" quotePrefix="0" xfId="0">
      <alignment horizontal="center"/>
    </xf>
    <xf numFmtId="0" fontId="5" fillId="15" borderId="1" pivotButton="0" quotePrefix="0" xfId="0"/>
    <xf numFmtId="165" fontId="4" fillId="0" borderId="1" applyAlignment="1" pivotButton="0" quotePrefix="0" xfId="0">
      <alignment horizontal="center"/>
    </xf>
    <xf numFmtId="0" fontId="23" fillId="0" borderId="0" pivotButton="0" quotePrefix="0" xfId="0"/>
    <xf numFmtId="0" fontId="4" fillId="0" borderId="0" pivotButton="0" quotePrefix="0" xfId="0"/>
    <xf numFmtId="2" fontId="5" fillId="0" borderId="0" applyAlignment="1" pivotButton="0" quotePrefix="0" xfId="0">
      <alignment horizontal="right"/>
    </xf>
    <xf numFmtId="1" fontId="5" fillId="0" borderId="0" applyAlignment="1" pivotButton="0" quotePrefix="0" xfId="0">
      <alignment horizontal="right"/>
    </xf>
    <xf numFmtId="168" fontId="5" fillId="0" borderId="0" applyAlignment="1" pivotButton="0" quotePrefix="0" xfId="0">
      <alignment horizontal="right"/>
    </xf>
    <xf numFmtId="164" fontId="0" fillId="0" borderId="0" pivotButton="0" quotePrefix="0" xfId="0"/>
    <xf numFmtId="0" fontId="5" fillId="0" borderId="1" applyAlignment="1" pivotButton="0" quotePrefix="0" xfId="0">
      <alignment vertical="top" wrapText="1"/>
    </xf>
    <xf numFmtId="0" fontId="13" fillId="0" borderId="1" applyAlignment="1" pivotButton="0" quotePrefix="0" xfId="0">
      <alignment vertical="top" wrapText="1"/>
    </xf>
  </cellXfs>
  <cellStyles count="1">
    <cellStyle name="Normal" xfId="0" builtinId="0" hidden="0"/>
  </cellStyles>
  <dxfs count="4">
    <dxf>
      <font>
        <b val="1"/>
        <color rgb="00006100"/>
      </font>
      <fill>
        <patternFill patternType="solid">
          <bgColor rgb="00C6EFCE"/>
        </patternFill>
      </fill>
    </dxf>
    <dxf>
      <font>
        <color rgb="009C0006"/>
      </font>
      <fill>
        <patternFill patternType="solid">
          <bgColor rgb="00FFC7CE"/>
        </patternFill>
      </fill>
    </dxf>
    <dxf>
      <fill>
        <patternFill patternType="solid">
          <fgColor rgb="00FF9999"/>
        </patternFill>
      </fill>
    </dxf>
    <dxf>
      <fill>
        <patternFill patternType="solid">
          <fgColor rgb="0099FF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Fair value per share — scenarios vs today's price</a:t>
            </a:r>
          </a:p>
        </rich>
      </tx>
    </title>
    <plotArea>
      <barChart>
        <barDir val="bar"/>
        <grouping val="clustered"/>
        <ser>
          <idx val="0"/>
          <order val="0"/>
          <tx>
            <strRef>
              <f>'Valuation'!C15</f>
            </strRef>
          </tx>
          <spPr>
            <a:ln xmlns:a="http://schemas.openxmlformats.org/drawingml/2006/main">
              <a:prstDash val="solid"/>
            </a:ln>
          </spPr>
          <cat>
            <numRef>
              <f>'Valuation'!$A$16:$A$19</f>
            </numRef>
          </cat>
          <val>
            <numRef>
              <f>'Valuation'!$C$16:$C$19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NKE — Price &amp; Moving Averages</a:t>
            </a:r>
          </a:p>
        </rich>
      </tx>
    </title>
    <plotArea>
      <lineChart>
        <grouping val="standard"/>
        <varyColors val="0"/>
        <ser>
          <idx val="0"/>
          <order val="0"/>
          <tx>
            <strRef>
              <f>'Price_Indicators'!E1</f>
            </strRef>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'Price_Indicators'!$A$2:$A$1254</f>
            </numRef>
          </cat>
          <val>
            <numRef>
              <f>'Price_Indicators'!$E$2:$E$1254</f>
            </numRef>
          </val>
          <smooth val="0"/>
        </ser>
        <ser>
          <idx val="1"/>
          <order val="1"/>
          <tx>
            <strRef>
              <f>'Price_Indicators'!I1</f>
            </strRef>
          </tx>
          <spPr>
            <a:ln xmlns:a="http://schemas.openxmlformats.org/drawingml/2006/main" w="13970">
              <a:solidFill>
                <a:srgbClr val="70AD47"/>
              </a:solidFill>
              <a:prstDash val="dash"/>
            </a:ln>
          </spPr>
          <marker>
            <symbol val="none"/>
            <spPr>
              <a:ln xmlns:a="http://schemas.openxmlformats.org/drawingml/2006/main">
                <a:prstDash val="solid"/>
              </a:ln>
            </spPr>
          </marker>
          <cat>
            <numRef>
              <f>'Price_Indicators'!$A$2:$A$1254</f>
            </numRef>
          </cat>
          <val>
            <numRef>
              <f>'Price_Indicators'!$I$2:$I$1254</f>
            </numRef>
          </val>
          <smooth val="0"/>
        </ser>
        <ser>
          <idx val="2"/>
          <order val="2"/>
          <tx>
            <strRef>
              <f>'Price_Indicators'!J1</f>
            </strRef>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'Price_Indicators'!$A$2:$A$1254</f>
            </numRef>
          </cat>
          <val>
            <numRef>
              <f>'Price_Indicators'!$J$2:$J$1254</f>
            </numRef>
          </val>
          <smooth val="0"/>
        </ser>
        <axId val="10"/>
        <axId val="100"/>
      </lineChart>
      <catAx>
        <axId val="10"/>
        <scaling>
          <orientation val="minMax"/>
        </scaling>
        <delete val="0"/>
        <axPos val="l"/>
        <numFmt formatCode="mmm yy" sourceLinked="0"/>
        <majorTickMark val="out"/>
        <minorTickMark val="none"/>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majorTickMark val="out"/>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NKE — Cumulative Return vs Benchmarks</a:t>
            </a:r>
          </a:p>
        </rich>
      </tx>
    </title>
    <plotArea>
      <lineChart>
        <grouping val="standard"/>
        <varyColors val="0"/>
        <ser>
          <idx val="0"/>
          <order val="0"/>
          <tx>
            <strRef>
              <f>'Price_Indicators'!H1</f>
            </strRef>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'Price_Indicators'!$A$2:$A$1254</f>
            </numRef>
          </cat>
          <val>
            <numRef>
              <f>'Price_Indicators'!$H$2:$H$1254</f>
            </numRef>
          </val>
          <smooth val="0"/>
        </ser>
        <ser>
          <idx val="1"/>
          <order val="1"/>
          <tx>
            <strRef>
              <f>'Price_Indicators'!P1</f>
            </strRef>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'Price_Indicators'!$A$2:$A$1254</f>
            </numRef>
          </cat>
          <val>
            <numRef>
              <f>'Price_Indicators'!$P$2:$P$1254</f>
            </numRef>
          </val>
          <smooth val="0"/>
        </ser>
        <ser>
          <idx val="2"/>
          <order val="2"/>
          <tx>
            <strRef>
              <f>'Price_Indicators'!Q1</f>
            </strRef>
          </tx>
          <spPr>
            <a:ln xmlns:a="http://schemas.openxmlformats.org/drawingml/2006/main" w="13970">
              <a:solidFill>
                <a:srgbClr val="00B0F0"/>
              </a:solidFill>
              <a:prstDash val="dash"/>
            </a:ln>
          </spPr>
          <marker>
            <symbol val="none"/>
            <spPr>
              <a:ln xmlns:a="http://schemas.openxmlformats.org/drawingml/2006/main">
                <a:prstDash val="solid"/>
              </a:ln>
            </spPr>
          </marker>
          <cat>
            <numRef>
              <f>'Price_Indicators'!$A$2:$A$1254</f>
            </numRef>
          </cat>
          <val>
            <numRef>
              <f>'Price_Indicators'!$Q$2:$Q$1254</f>
            </numRef>
          </val>
          <smooth val="0"/>
        </ser>
        <axId val="10"/>
        <axId val="100"/>
      </lineChart>
      <catAx>
        <axId val="10"/>
        <scaling>
          <orientation val="minMax"/>
        </scaling>
        <delete val="0"/>
        <axPos val="l"/>
        <numFmt formatCode="mmm yy" sourceLinked="0"/>
        <majorTickMark val="out"/>
        <minorTickMark val="none"/>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majorTickMark val="out"/>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NKE — Volume</a:t>
            </a:r>
          </a:p>
        </rich>
      </tx>
    </title>
    <plotArea>
      <barChart>
        <barDir val="col"/>
        <grouping val="clustered"/>
        <varyColors val="0"/>
        <ser>
          <idx val="0"/>
          <order val="0"/>
          <tx>
            <strRef>
              <f>'Price_Indicators'!F1</f>
            </strRef>
          </tx>
          <spPr>
            <a:solidFill xmlns:a="http://schemas.openxmlformats.org/drawingml/2006/main">
              <a:srgbClr val="8FAADC"/>
            </a:solidFill>
            <a:ln xmlns:a="http://schemas.openxmlformats.org/drawingml/2006/main">
              <a:noFill/>
              <a:prstDash val="solid"/>
            </a:ln>
          </spPr>
          <cat>
            <numRef>
              <f>'Price_Indicators'!$A$2:$A$1254</f>
            </numRef>
          </cat>
          <val>
            <numRef>
              <f>'Price_Indicators'!$F$2:$F$1254</f>
            </numRef>
          </val>
        </ser>
        <gapWidth val="20"/>
        <axId val="10"/>
        <axId val="100"/>
      </barChart>
      <catAx>
        <axId val="10"/>
        <scaling>
          <orientation val="minMax"/>
        </scaling>
        <delete val="0"/>
        <axPos val="l"/>
        <numFmt formatCode="mmm yy" sourceLinked="0"/>
        <majorTickMark val="none"/>
        <minorTickMark val="none"/>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numFmt formatCode="#,##0,,&quot;M&quot;"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NKE — RSI (14)</a:t>
            </a:r>
          </a:p>
        </rich>
      </tx>
    </title>
    <plotArea>
      <lineChart>
        <grouping val="standard"/>
        <varyColors val="0"/>
        <ser>
          <idx val="0"/>
          <order val="0"/>
          <tx>
            <strRef>
              <f>'Price_Indicators'!N1</f>
            </strRef>
          </tx>
          <spPr>
            <a:ln xmlns:a="http://schemas.openxmlformats.org/drawingml/2006/main" w="16510">
              <a:solidFill>
                <a:srgbClr val="6C3483"/>
              </a:solidFill>
              <a:prstDash val="solid"/>
            </a:ln>
          </spPr>
          <marker>
            <symbol val="none"/>
            <spPr>
              <a:ln xmlns:a="http://schemas.openxmlformats.org/drawingml/2006/main">
                <a:prstDash val="solid"/>
              </a:ln>
            </spPr>
          </marker>
          <cat>
            <numRef>
              <f>'Price_Indicators'!$A$2:$A$1254</f>
            </numRef>
          </cat>
          <val>
            <numRef>
              <f>'Price_Indicators'!$N$2:$N$1254</f>
            </numRef>
          </val>
          <smooth val="0"/>
        </ser>
        <axId val="10"/>
        <axId val="100"/>
      </lineChart>
      <catAx>
        <axId val="10"/>
        <scaling>
          <orientation val="minMax"/>
        </scaling>
        <delete val="0"/>
        <axPos val="l"/>
        <numFmt formatCode="mmm yy" sourceLinked="0"/>
        <majorTickMark val="out"/>
        <minorTickMark val="none"/>
        <txPr>
          <a:bodyPr xmlns:a="http://schemas.openxmlformats.org/drawingml/2006/main" rot="-2700000" vert="horz" anchor="ctr"/>
          <a:p xmlns:a="http://schemas.openxmlformats.org/drawingml/2006/main">
            <a:pPr>
              <a:defRPr sz="800"/>
            </a:pPr>
            <a:r>
              <a:t/>
            </a:r>
          </a:p>
        </txPr>
        <crossAx val="100"/>
        <lblOffset val="100"/>
      </catAx>
      <valAx>
        <axId val="100"/>
        <scaling>
          <orientation val="minMax"/>
          <max val="100"/>
          <min val="0"/>
        </scaling>
        <delete val="0"/>
        <axPos val="l"/>
        <majorGridlines/>
        <majorTickMark val="out"/>
        <minorTickMark val="none"/>
        <crossAx val="10"/>
      </valAx>
    </plotArea>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NKE — Monte Carlo Forecast</a:t>
            </a:r>
          </a:p>
        </rich>
      </tx>
    </title>
    <plotArea>
      <lineChart>
        <grouping val="standard"/>
        <varyColors val="0"/>
        <ser>
          <idx val="0"/>
          <order val="0"/>
          <tx>
            <strRef>
              <f>'Monte_Carlo'!B20</f>
            </strRef>
          </tx>
          <spPr>
            <a:ln xmlns:a="http://schemas.openxmlformats.org/drawingml/2006/main" w="12700">
              <a:solidFill>
                <a:srgbClr val="C00000"/>
              </a:solidFill>
              <a:prstDash val="dash"/>
            </a:ln>
          </spPr>
          <marker>
            <symbol val="none"/>
            <spPr>
              <a:ln xmlns:a="http://schemas.openxmlformats.org/drawingml/2006/main">
                <a:prstDash val="solid"/>
              </a:ln>
            </spPr>
          </marker>
          <cat>
            <numRef>
              <f>'Monte_Carlo'!$A$21:$A$273</f>
            </numRef>
          </cat>
          <val>
            <numRef>
              <f>'Monte_Carlo'!$B$21:$B$273</f>
            </numRef>
          </val>
          <smooth val="0"/>
        </ser>
        <ser>
          <idx val="1"/>
          <order val="1"/>
          <tx>
            <strRef>
              <f>'Monte_Carlo'!C20</f>
            </strRef>
          </tx>
          <spPr>
            <a:ln xmlns:a="http://schemas.openxmlformats.org/drawingml/2006/main" w="12700">
              <a:solidFill>
                <a:srgbClr val="E8A838"/>
              </a:solidFill>
              <a:prstDash val="dash"/>
            </a:ln>
          </spPr>
          <marker>
            <symbol val="none"/>
            <spPr>
              <a:ln xmlns:a="http://schemas.openxmlformats.org/drawingml/2006/main">
                <a:prstDash val="solid"/>
              </a:ln>
            </spPr>
          </marker>
          <cat>
            <numRef>
              <f>'Monte_Carlo'!$A$21:$A$273</f>
            </numRef>
          </cat>
          <val>
            <numRef>
              <f>'Monte_Carlo'!$C$21:$C$273</f>
            </numRef>
          </val>
          <smooth val="0"/>
        </ser>
        <ser>
          <idx val="2"/>
          <order val="2"/>
          <tx>
            <strRef>
              <f>'Monte_Carlo'!D20</f>
            </strRef>
          </tx>
          <spPr>
            <a:ln xmlns:a="http://schemas.openxmlformats.org/drawingml/2006/main" w="22860">
              <a:solidFill>
                <a:srgbClr val="1F4E79"/>
              </a:solidFill>
              <a:prstDash val="solid"/>
            </a:ln>
          </spPr>
          <marker>
            <symbol val="none"/>
            <spPr>
              <a:ln xmlns:a="http://schemas.openxmlformats.org/drawingml/2006/main">
                <a:prstDash val="solid"/>
              </a:ln>
            </spPr>
          </marker>
          <cat>
            <numRef>
              <f>'Monte_Carlo'!$A$21:$A$273</f>
            </numRef>
          </cat>
          <val>
            <numRef>
              <f>'Monte_Carlo'!$D$21:$D$273</f>
            </numRef>
          </val>
          <smooth val="0"/>
        </ser>
        <ser>
          <idx val="3"/>
          <order val="3"/>
          <tx>
            <strRef>
              <f>'Monte_Carlo'!E20</f>
            </strRef>
          </tx>
          <spPr>
            <a:ln xmlns:a="http://schemas.openxmlformats.org/drawingml/2006/main" w="12700">
              <a:solidFill>
                <a:srgbClr val="70AD47"/>
              </a:solidFill>
              <a:prstDash val="dash"/>
            </a:ln>
          </spPr>
          <marker>
            <symbol val="none"/>
            <spPr>
              <a:ln xmlns:a="http://schemas.openxmlformats.org/drawingml/2006/main">
                <a:prstDash val="solid"/>
              </a:ln>
            </spPr>
          </marker>
          <cat>
            <numRef>
              <f>'Monte_Carlo'!$A$21:$A$273</f>
            </numRef>
          </cat>
          <val>
            <numRef>
              <f>'Monte_Carlo'!$E$21:$E$273</f>
            </numRef>
          </val>
          <smooth val="0"/>
        </ser>
        <ser>
          <idx val="4"/>
          <order val="4"/>
          <tx>
            <strRef>
              <f>'Monte_Carlo'!F20</f>
            </strRef>
          </tx>
          <spPr>
            <a:ln xmlns:a="http://schemas.openxmlformats.org/drawingml/2006/main" w="12700">
              <a:solidFill>
                <a:srgbClr val="27AE60"/>
              </a:solidFill>
              <a:prstDash val="dash"/>
            </a:ln>
          </spPr>
          <marker>
            <symbol val="none"/>
            <spPr>
              <a:ln xmlns:a="http://schemas.openxmlformats.org/drawingml/2006/main">
                <a:prstDash val="solid"/>
              </a:ln>
            </spPr>
          </marker>
          <cat>
            <numRef>
              <f>'Monte_Carlo'!$A$21:$A$273</f>
            </numRef>
          </cat>
          <val>
            <numRef>
              <f>'Monte_Carlo'!$F$21:$F$273</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Trading days forward</a:t>
                </a:r>
              </a:p>
            </rich>
          </tx>
        </title>
        <majorTickMark val="out"/>
        <minorTickMark val="none"/>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majorTickMark val="out"/>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chart" Target="/xl/charts/chart1.xml" Id="rId1"/></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chart" Target="/xl/charts/chart4.xml" Id="rId3"/><Relationship Type="http://schemas.openxmlformats.org/officeDocument/2006/relationships/chart" Target="/xl/charts/chart5.xml" Id="rId4"/><Relationship Type="http://schemas.openxmlformats.org/officeDocument/2006/relationships/chart" Target="/xl/charts/chart6.xml" Id="rId5"/></Relationships>
</file>

<file path=xl/drawings/drawing1.xml><?xml version="1.0" encoding="utf-8"?>
<wsDr xmlns="http://schemas.openxmlformats.org/drawingml/2006/spreadsheetDrawing">
  <oneCellAnchor>
    <from>
      <col>1</col>
      <colOff>0</colOff>
      <row>0</row>
      <rowOff>0</rowOff>
    </from>
    <ext cx="666750"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5</row>
      <rowOff>0</rowOff>
    </from>
    <ext cx="1238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8</row>
      <rowOff>0</rowOff>
    </from>
    <ext cx="1238250" cy="333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11</row>
      <rowOff>0</rowOff>
    </from>
    <ext cx="1238250" cy="333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14</row>
      <rowOff>0</rowOff>
    </from>
    <ext cx="1238250" cy="333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17</row>
      <rowOff>0</rowOff>
    </from>
    <ext cx="1238250" cy="3333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65</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row>
      <rowOff>0</rowOff>
    </from>
    <ext cx="79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79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37</row>
      <rowOff>0</rowOff>
    </from>
    <ext cx="7920000" cy="23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54</row>
      <rowOff>0</rowOff>
    </from>
    <ext cx="792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9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Valuation!A1" TargetMode="External" Id="rId2"/><Relationship Type="http://schemas.openxmlformats.org/officeDocument/2006/relationships/hyperlink" Target="#Fundamentals!A1" TargetMode="External" Id="rId3"/><Relationship Type="http://schemas.openxmlformats.org/officeDocument/2006/relationships/hyperlink" Target="#Annual_Summary!A1" TargetMode="External" Id="rId4"/><Relationship Type="http://schemas.openxmlformats.org/officeDocument/2006/relationships/hyperlink" Target="#Price_Indicators!A1" TargetMode="External" Id="rId5"/><Relationship Type="http://schemas.openxmlformats.org/officeDocument/2006/relationships/hyperlink" Target="#News_Headlines!A1" TargetMode="External" Id="rId6"/><Relationship Type="http://schemas.openxmlformats.org/officeDocument/2006/relationships/hyperlink" Target="#Peer_Comparison!A1" TargetMode="External" Id="rId7"/><Relationship Type="http://schemas.openxmlformats.org/officeDocument/2006/relationships/hyperlink" Target="#Correlation_Matrix!A1" TargetMode="External" Id="rId8"/><Relationship Type="http://schemas.openxmlformats.org/officeDocument/2006/relationships/hyperlink" Target="#Monte_Carlo!A1" TargetMode="External" Id="rId9"/><Relationship Type="http://schemas.openxmlformats.org/officeDocument/2006/relationships/hyperlink" Target="#Charts!A1" TargetMode="External" Id="rId10"/><Relationship Type="http://schemas.openxmlformats.org/officeDocument/2006/relationships/hyperlink" Target="#Methodology!A1" TargetMode="External" Id="rId11"/><Relationship Type="http://schemas.openxmlformats.org/officeDocument/2006/relationships/hyperlink" Target="https://quantwizard.co/?page=analysis&amp;ticker=NKE" TargetMode="External" Id="rId12"/><Relationship Type="http://schemas.openxmlformats.org/officeDocument/2006/relationships/drawing" Target="/xl/drawings/drawing1.xml" Id="rId13"/></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hyperlink" Target="https://www.sec.gov/Archives/edgar/data/320187/000032018726000076/nke-20260630.htm" TargetMode="External" Id="rId1"/><Relationship Type="http://schemas.openxmlformats.org/officeDocument/2006/relationships/hyperlink" Target="https://news.google.com/rss/articles/CBMiygFBVV95cUxQWEdCTTM4Mm1mZFVsSXdya1E3clVGTjhpSzRuek5Ld2xGSDlFejJxblBWVWx1YUd6b1A0UVBBOFhibE5fcDZCNVZpU29qRERrZVpNNkVNOUF3MzRPZHdhcjI5SGpSRF9Gb01DbXUwdFozNE81T2RwTkFkWURxSnJEQW5nMEUxU0JoQ0wyVjRUVHZWdkp6WmMxYlhFb3VsZTMycnZiT0g4cTcxWjJqdERrdTNxUTNHdE12UTdPZTl5RlJiRGx1Q2JacVRR?oc=5" TargetMode="External" Id="rId2"/><Relationship Type="http://schemas.openxmlformats.org/officeDocument/2006/relationships/hyperlink" Target="https://finnhub.io/api/news?id=a995ddd9aa26aa0342f3768c736215a0d64e6a949e3395d027ea25c0d9723363" TargetMode="External" Id="rId3"/><Relationship Type="http://schemas.openxmlformats.org/officeDocument/2006/relationships/hyperlink" Target="https://news.google.com/rss/articles/CBMiuwFBVV95cUxNc0hpUnlJWDE3UmU4Z0NqbTlHRkdDRHRpbTl0a0xIYmpPalFjSVdoeXZDRGdaSXhFRlFicEhCSU5FUkdVTDlmdWFWcXd5X0RqTlN3MjROMy0tNHdod2NFem43WlE3Y3NnUFQ2VVpuVWVTcUloN2g0ZW1mMEZqRFdzZVNTcDJ4R3pDNmthRnlyVERrQ0xkamdjUkR1LWQzMWs2YW1ud21YWXdzYjBDUjdDclJGU2xDQ0hFNUdV?oc=5" TargetMode="External" Id="rId4"/><Relationship Type="http://schemas.openxmlformats.org/officeDocument/2006/relationships/hyperlink" Target="https://news.google.com/rss/articles/CBMiugFBVV95cUxNX0VHNmpqWVJ0cm5KOVlBZk1GQ1BRWnZmZkt3MVBIVllDYm4ySE4xRW0tVTJjaHh1REo2blIyMklDSTVLLVhveHlPR1BMdDNzWlFqR1Qtb0oyYjlCb0VjWnBvVk8yVmszd29PUlBzOTZUR1htakgzRUF2dDJqTER4R2czeEEtV0lkTm9mNnd3VXdUVERYX1JWQjBJa0dKUjAxVTZOS0JoZTZ6OGZyVm9rUkt3RFctYzQtaGc?oc=5" TargetMode="External" Id="rId5"/><Relationship Type="http://schemas.openxmlformats.org/officeDocument/2006/relationships/hyperlink" Target="https://www.fool.com/investing/2026/07/30/nike-ultimate-dividend-stock-you-buy-right-now/?source=iedfolrf0000001" TargetMode="External" Id="rId6"/><Relationship Type="http://schemas.openxmlformats.org/officeDocument/2006/relationships/hyperlink" Target="https://www.investing.com/analysis/nikes-40-floor-reflects-deep-value-but-not-yet-a-confirmed-recovery-200683845" TargetMode="External" Id="rId7"/><Relationship Type="http://schemas.openxmlformats.org/officeDocument/2006/relationships/hyperlink" Target="https://news.google.com/rss/articles/CBMipAFBVV95cUxNQVBnNUJzYnV6bVpSVjdGc1VubjM0UUM5YmVhRFVQR3dyN1ZnVTZVU2dvSHc1bHNiMWZ0akVoTTRqamxxN2VXM3RWQ3NPZUNPbjJNLVBsUmxKY3dCUWRDT2NTXzBVUl93LVlaZl9ZUzcxSXdseTZ6MF9VYTRGMmN0clFJRFotMFF5Q1VqSmpKMFZfTi10aDc4dVpHMV9Xd3BpQ0k5NQ?oc=5" TargetMode="External" Id="rId8"/><Relationship Type="http://schemas.openxmlformats.org/officeDocument/2006/relationships/hyperlink" Target="https://news.google.com/rss/articles/CBMimwFBVV95cUxPT2NkS0pHdGNnNERZTUdXcm8yYTUtZXRPZ2NRNGpVdUxPRXFOa09odVBoV3BMVmFXckVPb2dnZ1NKV0xWdGVVMng2ZG5TRmwxQUp1Y21qYnZ0c0l5VklzclJQOVFhWTdzU0NrZC1fSnRqblFmQmRPSTZaWHlrV2FTNmx4OWdIRXNLNUZ1OF9LZHFrU3lVOEZyWkRjVQ?oc=5" TargetMode="External" Id="rId9"/><Relationship Type="http://schemas.openxmlformats.org/officeDocument/2006/relationships/hyperlink" Target="https://finnhub.io/api/news?id=eb30af20e76cc92b1500d802e67b9e0d42671ce37e4a52c30a61be8d1b9c89dc" TargetMode="External" Id="rId10"/><Relationship Type="http://schemas.openxmlformats.org/officeDocument/2006/relationships/hyperlink" Target="https://news.google.com/rss/articles/CBMiwwFBVV95cUxOWmx3ejRxZU9ZU3djdWVaa25HNzdDUzJ0WjMxamRBeWJxdk9WTUVmZUdJTjdBTUpCUHFaWEZzSmloSG03S0otcjkyUXJXTHdBalZlcF8zNjhxWWx3RlpKd2k3N3RkdnNlU1ZMcGZ4S1BxTl9JTVJ6QUROTHpkWEJDdWVUTGZnV0JXWkw0eWw0YzRob2FMb1l5ZU52aG4zczZmM19HNGIyZU95MWJXWWVNM0g2RWJfUGJzekpqQ0NDN0xBYW8?oc=5" TargetMode="External" Id="rId11"/><Relationship Type="http://schemas.openxmlformats.org/officeDocument/2006/relationships/hyperlink" Target="https://news.google.com/rss/articles/CBMi1gFBVV95cUxPSFphc2QyRnd2U2ExSXNFdlhQZXN5WGNpaGRNSzVTUThvdHFKVFVSclVBTTVKVW5FZUlOLWJQYUFvXy1Rakx1a0gwY091Z0dqUjdxQk1qbjdJMXFrakVScFVXTkhtNGhMWU9sZWlmUmIwS1V1bnVHcW1DbDFRSEpQcTlOYTY5Q3BKYWVpa1JEc3YwYVh2NUVLQXh0VElFSGZhT1pxMmJpVENWM1AwaU1JNTlPcktINTJmdjlPUFZzbVliTzloNENGclp6RXVxblZ1WjRrZ21B?oc=5" TargetMode="External" Id="rId12"/><Relationship Type="http://schemas.openxmlformats.org/officeDocument/2006/relationships/hyperlink" Target="https://news.google.com/rss/articles/CBMizgFBVV95cUxPcVdwMEdtc2Y3TVFXMmFMZEI3QnpkaG91bTV3aW5oczl1eVhfTTd0V00tZnFvYXplQ3RXZ0Q0bE1GUXByVkVCOHgzUTQ0NGxtSlo1VGg1RnQ4REx1azhqdWd5ZUZ6ZzNCTE9jZktqWTd0XzdmSmk5ZkVHSWxHdkMtbHA2Zjc3TWk3ZHZIdlYyTXdoM3RoZEtZUEVpQV9DQXNlNGc4UF9IeC10ZGp4ZkpVSGczdFRhQU1oYzE5dTFFNmx4Q21hTmJnN1ZsSU5WZ9IBzgFBVV95cUxPcVdwMEdtc2Y3TVFXMmFMZEI3QnpkaG91bTV3aW5oczl1eVhfTTd0V00tZnFvYXplQ3RXZ0Q0bE1GUXByVkVCOHgzUTQ0NGxtSlo1VGg1RnQ4REx1azhqdWd5ZUZ6ZzNCTE9jZktqWTd0XzdmSmk5ZkVHSWxHdkMtbHA2Zjc3TWk3ZHZIdlYyTXdoM3RoZEtZUEVpQV9DQXNlNGc4UF9IeC10ZGp4ZkpVSGczdFRhQU1oYzE5dTFFNmx4Q21hTmJnN1ZsSU5WZw?oc=5" TargetMode="External" Id="rId13"/><Relationship Type="http://schemas.openxmlformats.org/officeDocument/2006/relationships/hyperlink" Target="https://news.google.com/rss/articles/CBMioAFBVV95cUxNM0J3V0paRVRPNnVQbU05RGVvVnBkdTRfWU9mRHdaRUUzcS1fd0g2TlpvMTdmQVczSzNWRVEweGJfRjBTOE9hQUZ1dWlrLTN0aHJMV1AzZHgtVkJtZWZkOGw2MWxHNHc2QkZOOVVVcjd3STRaWWh5cDRIS1gzSndCdjBkdlc0Q1UwaG5ySTRwenQ3TWpHUGNkQTNwZEFyaFlB?oc=5" TargetMode="External" Id="rId14"/></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1:E23"/>
  <sheetViews>
    <sheetView showGridLines="0" workbookViewId="0">
      <selection activeCell="A1" sqref="A1"/>
    </sheetView>
  </sheetViews>
  <sheetFormatPr baseColWidth="8" defaultRowHeight="15"/>
  <cols>
    <col width="4" customWidth="1" min="1" max="1"/>
    <col width="21" customWidth="1" min="2" max="2"/>
    <col width="21" customWidth="1" min="3" max="3"/>
    <col width="21" customWidth="1" min="4" max="4"/>
    <col width="21" customWidth="1" min="5" max="5"/>
  </cols>
  <sheetData>
    <row r="1" ht="54" customHeight="1">
      <c r="B1" s="1" t="n"/>
    </row>
    <row r="2" ht="30" customHeight="1">
      <c r="B2" s="2" t="inlineStr">
        <is>
          <t>NKE  —  Equity Research Report</t>
        </is>
      </c>
    </row>
    <row r="3" ht="14" customHeight="1"/>
    <row r="4">
      <c r="B4" s="3" t="inlineStr">
        <is>
          <t>Period: 5Y    |    Generated: August 05, 2026 00:34    |    Multi-source data: Polygon · Yahoo Finance · Finnhub · SEC EDGAR</t>
        </is>
      </c>
    </row>
    <row r="6" ht="30" customHeight="1">
      <c r="B6" s="4" t="inlineStr">
        <is>
          <t>$41.53</t>
        </is>
      </c>
      <c r="C6" s="5" t="inlineStr">
        <is>
          <t>-73.9%</t>
        </is>
      </c>
      <c r="D6" s="4" t="inlineStr">
        <is>
          <t>-0.69</t>
        </is>
      </c>
      <c r="E6" s="4" t="inlineStr">
        <is>
          <t>35.6%</t>
        </is>
      </c>
    </row>
    <row r="7" ht="16" customHeight="1">
      <c r="B7" s="6" t="inlineStr">
        <is>
          <t>CURRENT PRICE</t>
        </is>
      </c>
      <c r="C7" s="6" t="inlineStr">
        <is>
          <t>PERIOD RETURN</t>
        </is>
      </c>
      <c r="D7" s="6" t="inlineStr">
        <is>
          <t>SHARPE RATIO</t>
        </is>
      </c>
      <c r="E7" s="6" t="inlineStr">
        <is>
          <t>ANN. VOLATILITY</t>
        </is>
      </c>
    </row>
    <row r="9">
      <c r="B9" s="7" t="inlineStr">
        <is>
          <t>TABLE OF CONTENTS</t>
        </is>
      </c>
    </row>
    <row r="10" ht="16" customHeight="1">
      <c r="B10" s="8" t="inlineStr">
        <is>
          <t>Dashboard</t>
        </is>
      </c>
    </row>
    <row r="11" ht="16" customHeight="1">
      <c r="B11" s="8" t="inlineStr">
        <is>
          <t>Valuation</t>
        </is>
      </c>
    </row>
    <row r="12" ht="16" customHeight="1">
      <c r="B12" s="8" t="inlineStr">
        <is>
          <t>Fundamentals</t>
        </is>
      </c>
    </row>
    <row r="13" ht="16" customHeight="1">
      <c r="B13" s="8" t="inlineStr">
        <is>
          <t>Annual Summary</t>
        </is>
      </c>
    </row>
    <row r="14" ht="16" customHeight="1">
      <c r="B14" s="8" t="inlineStr">
        <is>
          <t>Price Indicators</t>
        </is>
      </c>
    </row>
    <row r="15" ht="16" customHeight="1">
      <c r="B15" s="8" t="inlineStr">
        <is>
          <t>News Headlines</t>
        </is>
      </c>
    </row>
    <row r="16" ht="16" customHeight="1">
      <c r="B16" s="8" t="inlineStr">
        <is>
          <t>Peer Comparison</t>
        </is>
      </c>
    </row>
    <row r="17" ht="16" customHeight="1">
      <c r="B17" s="8" t="inlineStr">
        <is>
          <t>Correlation Matrix</t>
        </is>
      </c>
    </row>
    <row r="18" ht="16" customHeight="1">
      <c r="B18" s="8" t="inlineStr">
        <is>
          <t>Monte Carlo</t>
        </is>
      </c>
    </row>
    <row r="19" ht="16" customHeight="1">
      <c r="B19" s="8" t="inlineStr">
        <is>
          <t>Charts</t>
        </is>
      </c>
    </row>
    <row r="20" ht="16" customHeight="1">
      <c r="B20" s="8" t="inlineStr">
        <is>
          <t>Methodology</t>
        </is>
      </c>
    </row>
    <row r="22">
      <c r="B22" s="9" t="inlineStr">
        <is>
          <t>↗  Open NKE live on QuantWizard (refreshes this analysis)</t>
        </is>
      </c>
    </row>
    <row r="23">
      <c r="B23" s="10" t="inlineStr">
        <is>
          <t>Figures below are as of the generation date above.</t>
        </is>
      </c>
    </row>
  </sheetData>
  <mergeCells count="3">
    <mergeCell ref="B2:E3"/>
    <mergeCell ref="B1:E1"/>
    <mergeCell ref="B4:E4"/>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 xmlns:r="http://schemas.openxmlformats.org/officeDocument/2006/relationships" ref="B22" r:id="rId12"/>
  </hyperlinks>
  <pageMargins left="0.75" right="0.75" top="1" bottom="1" header="0.5" footer="0.5"/>
  <drawing xmlns:r="http://schemas.openxmlformats.org/officeDocument/2006/relationships" r:id="rId13"/>
</worksheet>
</file>

<file path=xl/worksheets/sheet2.xml><?xml version="1.0" encoding="utf-8"?>
<worksheet xmlns="http://schemas.openxmlformats.org/spreadsheetml/2006/main">
  <sheetPr>
    <outlinePr summaryBelow="1" summaryRight="1"/>
    <pageSetUpPr/>
  </sheetPr>
  <dimension ref="A1:E123"/>
  <sheetViews>
    <sheetView showGridLines="0" workbookViewId="0">
      <selection activeCell="A1" sqref="A1"/>
    </sheetView>
  </sheetViews>
  <sheetFormatPr baseColWidth="8" defaultRowHeight="15"/>
  <cols>
    <col width="34" customWidth="1" min="1" max="1"/>
    <col width="24" customWidth="1" min="2" max="2"/>
    <col width="18" customWidth="1" min="3" max="3"/>
    <col width="10" customWidth="1" min="4" max="4"/>
    <col width="18" customWidth="1" min="5" max="5"/>
  </cols>
  <sheetData>
    <row r="1" ht="34" customHeight="1">
      <c r="A1" s="11" t="inlineStr">
        <is>
          <t>NKE — Equity Research Dashboard</t>
        </is>
      </c>
    </row>
    <row r="2">
      <c r="A2" s="12" t="inlineStr">
        <is>
          <t>Generated: August 05, 2026 00:34  |  Multi-source data: Polygon · Yahoo Finance · Finnhub · SEC EDGAR</t>
        </is>
      </c>
    </row>
    <row r="4" ht="20" customHeight="1">
      <c r="A4" s="13" t="inlineStr">
        <is>
          <t>Price &amp; Performance</t>
        </is>
      </c>
      <c r="E4" s="14" t="inlineStr">
        <is>
          <t>SPARKLINES</t>
        </is>
      </c>
    </row>
    <row r="5">
      <c r="A5" s="15" t="inlineStr">
        <is>
          <t>Current Price ($)</t>
        </is>
      </c>
      <c r="B5" s="16" t="n">
        <v>41.52999877929688</v>
      </c>
      <c r="E5" s="17" t="inlineStr">
        <is>
          <t>Price</t>
        </is>
      </c>
    </row>
    <row r="6">
      <c r="A6" s="18" t="inlineStr">
        <is>
          <t>Period Return</t>
        </is>
      </c>
      <c r="B6" s="19" t="n">
        <v>-0.7389368205831019</v>
      </c>
    </row>
    <row r="7">
      <c r="A7" s="15" t="inlineStr">
        <is>
          <t>52-Week High ($)</t>
        </is>
      </c>
      <c r="B7" s="16" t="n">
        <v>77.05552673339844</v>
      </c>
    </row>
    <row r="8">
      <c r="A8" s="18" t="inlineStr">
        <is>
          <t>52-Week Low ($)</t>
        </is>
      </c>
      <c r="B8" s="20" t="n">
        <v>40.75</v>
      </c>
      <c r="E8" s="17" t="inlineStr">
        <is>
          <t>Volume</t>
        </is>
      </c>
    </row>
    <row r="9">
      <c r="A9" s="15" t="inlineStr">
        <is>
          <t>% from 52W High</t>
        </is>
      </c>
      <c r="B9" s="19" t="n">
        <v>-0.4610380262147195</v>
      </c>
    </row>
    <row r="10">
      <c r="A10" s="18" t="inlineStr">
        <is>
          <t>20-Day MA ($)</t>
        </is>
      </c>
      <c r="B10" s="20" t="n">
        <v>42.7834997177124</v>
      </c>
    </row>
    <row r="11">
      <c r="A11" s="15" t="inlineStr">
        <is>
          <t>50-Day MA ($)</t>
        </is>
      </c>
      <c r="B11" s="16" t="n">
        <v>43.41054748535156</v>
      </c>
      <c r="E11" s="17" t="inlineStr">
        <is>
          <t>Daily Ret</t>
        </is>
      </c>
    </row>
    <row r="12">
      <c r="A12" s="18" t="inlineStr">
        <is>
          <t>200-Day MA ($)</t>
        </is>
      </c>
      <c r="B12" s="20" t="n">
        <v>53.650979347229</v>
      </c>
    </row>
    <row r="13">
      <c r="A13" s="15" t="inlineStr">
        <is>
          <t>Price vs 50-Day MA</t>
        </is>
      </c>
      <c r="B13" s="19" t="n">
        <v>-0.04332008728268777</v>
      </c>
    </row>
    <row r="14">
      <c r="E14" s="17" t="inlineStr">
        <is>
          <t>Volatility</t>
        </is>
      </c>
    </row>
    <row r="15" ht="20" customHeight="1">
      <c r="A15" s="13" t="inlineStr">
        <is>
          <t>Bollinger Bands (20-day, 2σ)</t>
        </is>
      </c>
    </row>
    <row r="16">
      <c r="A16" s="18" t="inlineStr">
        <is>
          <t>BB Upper ($)</t>
        </is>
      </c>
      <c r="B16" s="20" t="n">
        <v>44.60110497714975</v>
      </c>
    </row>
    <row r="17">
      <c r="A17" s="15" t="inlineStr">
        <is>
          <t>BB Middle ($)</t>
        </is>
      </c>
      <c r="B17" s="16" t="n">
        <v>42.7834997177124</v>
      </c>
      <c r="E17" s="17" t="inlineStr">
        <is>
          <t>Drawdown</t>
        </is>
      </c>
    </row>
    <row r="18">
      <c r="A18" s="18" t="inlineStr">
        <is>
          <t>BB Lower ($)</t>
        </is>
      </c>
      <c r="B18" s="20" t="n">
        <v>40.96589445827506</v>
      </c>
    </row>
    <row r="19">
      <c r="A19" s="15" t="inlineStr">
        <is>
          <t>BB Width</t>
        </is>
      </c>
      <c r="B19" s="21" t="n">
        <v>0.08496758196173713</v>
      </c>
    </row>
    <row r="20">
      <c r="A20" s="18" t="inlineStr">
        <is>
          <t>BB %B</t>
        </is>
      </c>
      <c r="B20" s="22" t="n">
        <v>0.1551778963261912</v>
      </c>
    </row>
    <row r="22" ht="20" customHeight="1">
      <c r="A22" s="13" t="inlineStr">
        <is>
          <t>Risk &amp; Return Metrics</t>
        </is>
      </c>
    </row>
    <row r="23">
      <c r="A23" s="15" t="inlineStr">
        <is>
          <t>20-Day Ann. Volatility</t>
        </is>
      </c>
      <c r="B23" s="23" t="n">
        <v>0.3285423159738536</v>
      </c>
    </row>
    <row r="24">
      <c r="A24" s="18" t="inlineStr">
        <is>
          <t>60-Day Max Drawdown</t>
        </is>
      </c>
      <c r="B24" s="19" t="n">
        <v>-0.3553826303470414</v>
      </c>
    </row>
    <row r="25">
      <c r="A25" s="15" t="inlineStr">
        <is>
          <t>RSI (14)</t>
        </is>
      </c>
      <c r="B25" s="24" t="n">
        <v>43.9</v>
      </c>
    </row>
    <row r="26">
      <c r="A26" s="18" t="inlineStr">
        <is>
          <t>Sharpe Ratio</t>
        </is>
      </c>
      <c r="B26" s="25" t="n">
        <v>-0.6899999999999999</v>
      </c>
    </row>
    <row r="27">
      <c r="A27" s="15" t="inlineStr">
        <is>
          <t>Sortino Ratio</t>
        </is>
      </c>
      <c r="B27" s="25" t="n">
        <v>-0.92</v>
      </c>
    </row>
    <row r="29" ht="20" customHeight="1">
      <c r="A29" s="13" t="inlineStr">
        <is>
          <t>Investor Takeaway</t>
        </is>
      </c>
    </row>
    <row r="30" ht="58" customHeight="1">
      <c r="A30" s="26" t="inlineStr">
        <is>
          <t>NKE is -73.9% over the period, last $41.53.  Technical posture: Bearish technicals (6/100).  Wall-Street consensus: Buy (46 analysts).  DCF fair value $40 (-3% vs price).</t>
        </is>
      </c>
    </row>
    <row r="31" ht="20" customHeight="1">
      <c r="A31" s="13" t="inlineStr">
        <is>
          <t>Stock Scorecard</t>
        </is>
      </c>
    </row>
    <row r="32">
      <c r="A32" s="27" t="inlineStr">
        <is>
          <t>Composite Score (0–100)</t>
        </is>
      </c>
      <c r="B32" s="28" t="n">
        <v>47</v>
      </c>
    </row>
    <row r="33">
      <c r="A33" s="29" t="inlineStr">
        <is>
          <t>Overall Profile</t>
        </is>
      </c>
      <c r="B33" s="30" t="inlineStr">
        <is>
          <t>Mixed profile</t>
        </is>
      </c>
    </row>
    <row r="34">
      <c r="A34" s="31" t="inlineStr">
        <is>
          <t>Factor</t>
        </is>
      </c>
      <c r="B34" s="31" t="inlineStr">
        <is>
          <t>Score</t>
        </is>
      </c>
      <c r="C34" s="31" t="inlineStr">
        <is>
          <t>Grade</t>
        </is>
      </c>
    </row>
    <row r="35">
      <c r="A35" s="29" t="inlineStr">
        <is>
          <t>Valuation</t>
        </is>
      </c>
      <c r="B35" s="32" t="n">
        <v>52</v>
      </c>
      <c r="C35" s="33" t="inlineStr">
        <is>
          <t>Average</t>
        </is>
      </c>
    </row>
    <row r="36">
      <c r="A36" s="29" t="inlineStr">
        <is>
          <t>Growth</t>
        </is>
      </c>
      <c r="B36" s="32" t="n">
        <v>30</v>
      </c>
      <c r="C36" s="34" t="inlineStr">
        <is>
          <t>Weak</t>
        </is>
      </c>
    </row>
    <row r="37">
      <c r="A37" s="29" t="inlineStr">
        <is>
          <t>Profitability</t>
        </is>
      </c>
      <c r="B37" s="32" t="n">
        <v>72</v>
      </c>
      <c r="C37" s="35" t="inlineStr">
        <is>
          <t>Above-avg</t>
        </is>
      </c>
    </row>
    <row r="38">
      <c r="A38" s="29" t="inlineStr">
        <is>
          <t>Financial Health</t>
        </is>
      </c>
      <c r="B38" s="32" t="n">
        <v>69</v>
      </c>
      <c r="C38" s="35" t="inlineStr">
        <is>
          <t>Above-avg</t>
        </is>
      </c>
    </row>
    <row r="39">
      <c r="A39" s="29" t="inlineStr">
        <is>
          <t>Momentum</t>
        </is>
      </c>
      <c r="B39" s="32" t="n">
        <v>6</v>
      </c>
      <c r="C39" s="34" t="inlineStr">
        <is>
          <t>Weak</t>
        </is>
      </c>
    </row>
    <row r="40">
      <c r="A40" s="29" t="inlineStr">
        <is>
          <t>Risk</t>
        </is>
      </c>
      <c r="B40" s="32" t="n">
        <v>24</v>
      </c>
      <c r="C40" s="34" t="inlineStr">
        <is>
          <t>Weak</t>
        </is>
      </c>
    </row>
    <row r="41">
      <c r="A41" s="29" t="inlineStr">
        <is>
          <t>Sentiment</t>
        </is>
      </c>
      <c r="B41" s="32" t="n">
        <v>62</v>
      </c>
      <c r="C41" s="33" t="inlineStr">
        <is>
          <t>Average</t>
        </is>
      </c>
    </row>
    <row r="42" ht="96" customHeight="1">
      <c r="A42" s="36" t="inlineStr">
        <is>
          <t>Weighted blend of valuation, growth, profitability, financial health, momentum, risk and sentiment — a descriptive profile of the stock's characteristics, not a recommendation.
Valuation: DCF -3%, FCF yield 3.5%   ·   Growth: Rev CAGR 3%, EPS CAGR -2%   ·   Profitability: Net margin 7%, ROE 21%   ·   Financial Health: F-Score 5/9, D/E 0.40   ·   Momentum: Technical posture 6/100   ·   Risk: Sharpe -0.69, Max DD -75%   ·   Sentiment: Analysts: Buy (46)
For informational purposes only. Not investment advice. Past performance does not guarantee future results.</t>
        </is>
      </c>
    </row>
    <row r="44">
      <c r="A44" s="37" t="inlineStr">
        <is>
          <t>What changed recently</t>
        </is>
      </c>
    </row>
    <row r="45" ht="88" customHeight="1">
      <c r="A45" s="38" t="inlineStr">
        <is>
          <t>•  Price -3.5% over the last 5 sessions ($43.05 -&gt; $41.53).
•  Best day +2.2%, worst day -2.6% in that window.
•  Latest volume ran 1.5x its 20-day average (+51%) — heavier trading.
•  RSI moved 50 -&gt; 44.
•  Trailed the S&amp;P 500 by 7.6 pts over the last 5 sessions.</t>
        </is>
      </c>
    </row>
    <row r="47" ht="20" customHeight="1">
      <c r="A47" s="13" t="inlineStr">
        <is>
          <t>Relative Performance</t>
        </is>
      </c>
    </row>
    <row r="48">
      <c r="A48" s="18" t="inlineStr">
        <is>
          <t>vs S&amp;P 500 (SPY) (difference)</t>
        </is>
      </c>
      <c r="B48" s="39" t="n">
        <v>-160.4013987728411</v>
      </c>
    </row>
    <row r="49">
      <c r="A49" s="15" t="inlineStr">
        <is>
          <t>vs NASDAQ 100 (QQQ) (difference)</t>
        </is>
      </c>
      <c r="B49" s="39" t="n">
        <v>-176.5457376393303</v>
      </c>
    </row>
    <row r="50" ht="26" customHeight="1">
      <c r="A50" s="38" t="inlineStr">
        <is>
          <t>Period return:    NKE -73.9%      |      S&amp;P 500 +86.5%      |      NASDAQ 100 +102.7%</t>
        </is>
      </c>
    </row>
    <row r="52">
      <c r="A52" s="40" t="inlineStr">
        <is>
          <t>Window</t>
        </is>
      </c>
      <c r="B52" s="41" t="inlineStr">
        <is>
          <t>NKE</t>
        </is>
      </c>
      <c r="C52" s="41" t="inlineStr">
        <is>
          <t>S&amp;P 500</t>
        </is>
      </c>
      <c r="D52" s="41" t="inlineStr">
        <is>
          <t>Relative</t>
        </is>
      </c>
    </row>
    <row r="53">
      <c r="A53" s="42" t="inlineStr">
        <is>
          <t>1 month</t>
        </is>
      </c>
      <c r="B53" s="43" t="n">
        <v>-0.04176283726161734</v>
      </c>
      <c r="C53" s="43" t="n">
        <v>0.0266877688892293</v>
      </c>
      <c r="D53" s="44" t="n">
        <v>-6.845060615084664</v>
      </c>
    </row>
    <row r="54">
      <c r="A54" s="42" t="inlineStr">
        <is>
          <t>3 months</t>
        </is>
      </c>
      <c r="B54" s="43" t="n">
        <v>-0.02757921277329611</v>
      </c>
      <c r="C54" s="43" t="n">
        <v>0.07702839534886219</v>
      </c>
      <c r="D54" s="44" t="n">
        <v>-10.46076081221583</v>
      </c>
    </row>
    <row r="55">
      <c r="A55" s="42" t="inlineStr">
        <is>
          <t>6 months</t>
        </is>
      </c>
      <c r="B55" s="43" t="n">
        <v>-0.3216510882560044</v>
      </c>
      <c r="C55" s="43" t="n">
        <v>0.1150675597933459</v>
      </c>
      <c r="D55" s="44" t="n">
        <v>-43.67186480493503</v>
      </c>
    </row>
    <row r="56">
      <c r="A56" s="42" t="inlineStr">
        <is>
          <t>1 year</t>
        </is>
      </c>
      <c r="B56" s="43" t="n">
        <v>-0.4281744636095739</v>
      </c>
      <c r="C56" s="43" t="n">
        <v>0.2543856201170647</v>
      </c>
      <c r="D56" s="44" t="n">
        <v>-68.25600837266386</v>
      </c>
    </row>
    <row r="57">
      <c r="A57" s="42" t="inlineStr">
        <is>
          <t>Full period</t>
        </is>
      </c>
      <c r="B57" s="43" t="n">
        <v>-0.7389368205831015</v>
      </c>
      <c r="C57" s="43" t="n">
        <v>0.8650771671453097</v>
      </c>
      <c r="D57" s="44" t="n">
        <v>-160.4013987728411</v>
      </c>
    </row>
    <row r="59" ht="20" customHeight="1">
      <c r="A59" s="13" t="inlineStr">
        <is>
          <t>Technical Posture</t>
        </is>
      </c>
    </row>
    <row r="60">
      <c r="A60" s="18" t="inlineStr">
        <is>
          <t>Technical Score (0–100)</t>
        </is>
      </c>
      <c r="B60" s="45" t="n">
        <v>6</v>
      </c>
    </row>
    <row r="61">
      <c r="A61" s="29" t="inlineStr">
        <is>
          <t>Reading</t>
        </is>
      </c>
      <c r="B61" s="25" t="inlineStr">
        <is>
          <t>Bearish technicals</t>
        </is>
      </c>
    </row>
    <row r="62">
      <c r="A62" s="46" t="inlineStr">
        <is>
          <t>•  Price is below the 50-day moving average</t>
        </is>
      </c>
    </row>
    <row r="63">
      <c r="A63" s="46" t="inlineStr">
        <is>
          <t>•  Price is below the 200-day moving average</t>
        </is>
      </c>
    </row>
    <row r="64">
      <c r="A64" s="46" t="inlineStr">
        <is>
          <t>•  50-day MA is below the 200-day MA (downtrend structure)</t>
        </is>
      </c>
    </row>
    <row r="65">
      <c r="A65" s="46" t="inlineStr">
        <is>
          <t>•  RSI is 44 — soft momentum</t>
        </is>
      </c>
    </row>
    <row r="66">
      <c r="A66" s="46" t="inlineStr">
        <is>
          <t>•  MACD is below its signal line (bearish momentum)</t>
        </is>
      </c>
    </row>
    <row r="67">
      <c r="A67" s="46" t="inlineStr">
        <is>
          <t>•  Trading 46% below the 52-week high</t>
        </is>
      </c>
    </row>
    <row r="68">
      <c r="A68" s="46" t="inlineStr">
        <is>
          <t>•  Lagging S&amp;P 500 by 160.4 pts over the period</t>
        </is>
      </c>
    </row>
    <row r="69" ht="40" customHeight="1">
      <c r="A69" s="36" t="inlineStr">
        <is>
          <t>Describes what the technical indicators say today — a signal, not a recommendation. For informational purposes only. Not investment advice. Past performance does not guarantee future results.</t>
        </is>
      </c>
    </row>
    <row r="71" ht="20" customHeight="1">
      <c r="A71" s="13" t="inlineStr">
        <is>
          <t>Analyst Consensus</t>
        </is>
      </c>
    </row>
    <row r="72">
      <c r="A72" s="29" t="inlineStr">
        <is>
          <t>Wall-Street Rating</t>
        </is>
      </c>
      <c r="B72" s="47" t="inlineStr">
        <is>
          <t>Buy</t>
        </is>
      </c>
    </row>
    <row r="73">
      <c r="A73" s="15" t="inlineStr">
        <is>
          <t>Buy (Strong Buy + Buy)</t>
        </is>
      </c>
      <c r="B73" s="24" t="n">
        <v>18</v>
      </c>
    </row>
    <row r="74">
      <c r="A74" s="18" t="inlineStr">
        <is>
          <t>Hold</t>
        </is>
      </c>
      <c r="B74" s="45" t="n">
        <v>26</v>
      </c>
    </row>
    <row r="75">
      <c r="A75" s="15" t="inlineStr">
        <is>
          <t>Sell (Sell + Strong Sell)</t>
        </is>
      </c>
      <c r="B75" s="24" t="n">
        <v>2</v>
      </c>
    </row>
    <row r="76">
      <c r="A76" s="18" t="inlineStr">
        <is>
          <t>Analysts covering</t>
        </is>
      </c>
      <c r="B76" s="45" t="n">
        <v>46</v>
      </c>
    </row>
    <row r="77" ht="40" customHeight="1">
      <c r="A77" s="36" t="inlineStr">
        <is>
          <t>Source: 46 Wall-Street analyst ratings aggregated by Finnhub (period 2026-08). This is analysts' consensus, not QuantWizard's opinion. For informational purposes only. Not investment advice. Past performance does not guarantee future results.</t>
        </is>
      </c>
    </row>
    <row r="79" ht="20" customHeight="1">
      <c r="A79" s="13" t="inlineStr">
        <is>
          <t>Valuation — Reverse DCF &amp; Fair Value</t>
        </is>
      </c>
    </row>
    <row r="80">
      <c r="A80" s="18" t="inlineStr">
        <is>
          <t>Market-Implied FCF Growth</t>
        </is>
      </c>
      <c r="B80" s="48" t="n">
        <v>0.03806883951677473</v>
      </c>
    </row>
    <row r="81">
      <c r="A81" s="15" t="inlineStr">
        <is>
          <t>DCF Fair Value / Share</t>
        </is>
      </c>
      <c r="B81" s="16" t="n">
        <v>40.15962821446028</v>
      </c>
    </row>
    <row r="82">
      <c r="A82" s="18" t="inlineStr">
        <is>
          <t>Upside / Downside</t>
        </is>
      </c>
      <c r="B82" s="49" t="n">
        <v>-0.03299712509309616</v>
      </c>
    </row>
    <row r="83">
      <c r="A83" s="29" t="inlineStr">
        <is>
          <t>DCF Verdict</t>
        </is>
      </c>
      <c r="B83" s="50" t="inlineStr">
        <is>
          <t>Fairly valued vs DCF</t>
        </is>
      </c>
    </row>
    <row r="84" ht="70" customHeight="1">
      <c r="A84" s="36" t="inlineStr">
        <is>
          <t>Today's $41.53 price implies free cash flow compounding at ~3.8% a year for 10 years. That is the number to argue with. 2-stage FCF DCF at a 9.3% discount rate, 2.5% terminal growth, base case 3.0% stage-1 growth. Bear $35 / Bull $45. The Valuation sheet holds the full model as live formulas — change an assumption there and it recalculates. For informational purposes only. Not investment advice. Past performance does not guarantee future results.</t>
        </is>
      </c>
    </row>
    <row r="86" ht="20" customHeight="1">
      <c r="A86" s="13" t="inlineStr">
        <is>
          <t>Support &amp; Resistance Levels</t>
        </is>
      </c>
    </row>
    <row r="87">
      <c r="A87" s="29" t="inlineStr">
        <is>
          <t>Resistance (above price)</t>
        </is>
      </c>
      <c r="B87" s="51" t="inlineStr">
        <is>
          <t>$41.72   |   $47.23   |   $56.11</t>
        </is>
      </c>
    </row>
    <row r="88">
      <c r="A88" s="29" t="inlineStr">
        <is>
          <t>Support (below price)</t>
        </is>
      </c>
      <c r="B88" s="51" t="inlineStr">
        <is>
          <t>$40.98   |   $40.00</t>
        </is>
      </c>
    </row>
    <row r="89">
      <c r="A89" s="10" t="inlineStr">
        <is>
          <t>Swing highs/lows from the last 12 months, nearest to the current price first.</t>
        </is>
      </c>
    </row>
    <row r="91" ht="20" customHeight="1">
      <c r="A91" s="13" t="inlineStr">
        <is>
          <t>Monte Carlo Forecast</t>
        </is>
      </c>
    </row>
    <row r="92">
      <c r="A92" s="18" t="inlineStr">
        <is>
          <t>Last Price</t>
        </is>
      </c>
      <c r="B92" s="52" t="n">
        <v>41.53</v>
      </c>
    </row>
    <row r="93">
      <c r="A93" s="15" t="inlineStr">
        <is>
          <t>Forecast Horizon (days)</t>
        </is>
      </c>
      <c r="B93" s="53" t="n">
        <v>252</v>
      </c>
    </row>
    <row r="94">
      <c r="A94" s="18" t="inlineStr">
        <is>
          <t>Simulations</t>
        </is>
      </c>
      <c r="B94" s="54" t="n">
        <v>1000</v>
      </c>
    </row>
    <row r="95">
      <c r="A95" s="15" t="inlineStr">
        <is>
          <t>Mean Forecast</t>
        </is>
      </c>
      <c r="B95" s="55" t="n">
        <v>46.01</v>
      </c>
    </row>
    <row r="96">
      <c r="A96" s="18" t="inlineStr">
        <is>
          <t>Median (P50)</t>
        </is>
      </c>
      <c r="B96" s="52" t="n">
        <v>42.69</v>
      </c>
    </row>
    <row r="97">
      <c r="A97" s="15" t="inlineStr">
        <is>
          <t>Bear Case (P5)</t>
        </is>
      </c>
      <c r="B97" s="55" t="n">
        <v>24.23</v>
      </c>
    </row>
    <row r="98">
      <c r="A98" s="18" t="inlineStr">
        <is>
          <t>Low Case (P25)</t>
        </is>
      </c>
      <c r="B98" s="52" t="n">
        <v>33.74</v>
      </c>
    </row>
    <row r="99">
      <c r="A99" s="15" t="inlineStr">
        <is>
          <t>Bull Case (P75)</t>
        </is>
      </c>
      <c r="B99" s="55" t="n">
        <v>55.87</v>
      </c>
    </row>
    <row r="100">
      <c r="A100" s="18" t="inlineStr">
        <is>
          <t>Best Case (P95)</t>
        </is>
      </c>
      <c r="B100" s="52" t="n">
        <v>76.31</v>
      </c>
    </row>
    <row r="101">
      <c r="A101" s="15" t="inlineStr">
        <is>
          <t>Prob. of Gain</t>
        </is>
      </c>
      <c r="B101" s="56" t="n">
        <v>0.532</v>
      </c>
    </row>
    <row r="102">
      <c r="A102" s="18" t="inlineStr">
        <is>
          <t>Ann. Volatility</t>
        </is>
      </c>
      <c r="B102" s="48" t="n">
        <v>0.3561</v>
      </c>
    </row>
    <row r="103">
      <c r="A103" s="15" t="inlineStr">
        <is>
          <t>Expected Return (CAPM)</t>
        </is>
      </c>
      <c r="B103" s="56" t="n">
        <v>0.099</v>
      </c>
    </row>
    <row r="104">
      <c r="A104" s="18" t="inlineStr">
        <is>
          <t>Beta (vs benchmark)</t>
        </is>
      </c>
      <c r="B104" s="52" t="n">
        <v>1.07</v>
      </c>
    </row>
    <row r="105">
      <c r="A105" s="15" t="inlineStr">
        <is>
          <t>Beta (adjusted, used)</t>
        </is>
      </c>
      <c r="B105" s="55" t="n">
        <v>1.04</v>
      </c>
    </row>
    <row r="106" ht="166" customHeight="1">
      <c r="A106" s="57" t="inlineStr">
        <is>
          <t>Monte Carlo in plain English
From today's $41.53 over ~252 trading days:
Median outcome (P50): $42.69 (+2.8% vs today)
Bear case (P5, ~5% chance): $24.23 (-41.7% vs today)
Low case (P25, ~25% chance): $33.74 (-18.8% vs today)
Bull case (P75, ~25% chance): $55.87 (+34.5% vs today)
Best case (P95, ~5% chance): $76.31 (+83.7% vs today)
Probability of finishing above today's price: 53.2%.
Simulated from the historical return distribution — outcomes are probabilities, not guarantees.</t>
        </is>
      </c>
    </row>
    <row r="108" ht="20" customHeight="1">
      <c r="A108" s="13" t="inlineStr">
        <is>
          <t>Company Information</t>
        </is>
      </c>
    </row>
    <row r="109">
      <c r="A109" s="15" t="inlineStr">
        <is>
          <t>Ticker</t>
        </is>
      </c>
      <c r="B109" s="24" t="inlineStr">
        <is>
          <t>NKE</t>
        </is>
      </c>
    </row>
    <row r="110">
      <c r="A110" s="18" t="inlineStr">
        <is>
          <t>Name</t>
        </is>
      </c>
      <c r="B110" s="45" t="inlineStr">
        <is>
          <t>Nike, Inc.</t>
        </is>
      </c>
    </row>
    <row r="111">
      <c r="A111" s="15" t="inlineStr">
        <is>
          <t>Sector</t>
        </is>
      </c>
      <c r="B111" s="24" t="inlineStr">
        <is>
          <t>Rubber &amp; Plastics Footwear</t>
        </is>
      </c>
    </row>
    <row r="112">
      <c r="A112" s="18" t="inlineStr">
        <is>
          <t>Exchange</t>
        </is>
      </c>
      <c r="B112" s="45" t="inlineStr">
        <is>
          <t>XNYS</t>
        </is>
      </c>
    </row>
    <row r="113">
      <c r="A113" s="15" t="inlineStr">
        <is>
          <t>Market Cap</t>
        </is>
      </c>
      <c r="B113" s="24" t="inlineStr">
        <is>
          <t>$63.26B</t>
        </is>
      </c>
    </row>
    <row r="114">
      <c r="A114" s="18" t="inlineStr">
        <is>
          <t>Employees</t>
        </is>
      </c>
      <c r="B114" s="45" t="inlineStr">
        <is>
          <t>73,000</t>
        </is>
      </c>
    </row>
    <row r="115">
      <c r="A115" s="15" t="inlineStr">
        <is>
          <t>Website</t>
        </is>
      </c>
      <c r="B115" s="24" t="inlineStr">
        <is>
          <t>https://www.nike.com</t>
        </is>
      </c>
    </row>
    <row r="116">
      <c r="A116" s="18" t="inlineStr">
        <is>
          <t>Country</t>
        </is>
      </c>
      <c r="B116" s="45" t="inlineStr">
        <is>
          <t>US</t>
        </is>
      </c>
    </row>
    <row r="118" ht="20" customHeight="1">
      <c r="A118" s="13" t="inlineStr">
        <is>
          <t>Automated Analysis Summary</t>
        </is>
      </c>
    </row>
    <row r="119" ht="90" customHeight="1">
      <c r="A119" s="58" t="inlineStr">
        <is>
          <t>NKE delivered a cumulative return of -73.9% over the selected period, most recently closing at $41.53.  Price is currently below its 50-day moving average — cautionary.  RSI 44 — soft momentum  The stock sits 46.1% below its 52-week high of $77.06 (52-week low: $40.75).  20-day annualised volatility: 32.9%. Peak 60-day drawdown: -35.5%.  Sharpe ratio -0.69 (weak risk-adjusted return); Sortino -0.88 (elevated downside risk).  NKE (Nike, Inc.) trades on XNYS.  Monte Carlo (1,000 paths, 252 days): median $42.69 (bear $24.23 / bull $76.31), 53.2% probability of gain.  This report is generated programmatically and does not constitute investment advice.</t>
        </is>
      </c>
    </row>
    <row r="120"/>
    <row r="121"/>
    <row r="122"/>
    <row r="123"/>
  </sheetData>
  <mergeCells count="35">
    <mergeCell ref="A106:D106"/>
    <mergeCell ref="A22:D22"/>
    <mergeCell ref="A91:D91"/>
    <mergeCell ref="A4:D4"/>
    <mergeCell ref="A62:D62"/>
    <mergeCell ref="A29:D29"/>
    <mergeCell ref="B88:D88"/>
    <mergeCell ref="A63:D63"/>
    <mergeCell ref="B87:D87"/>
    <mergeCell ref="A68:D68"/>
    <mergeCell ref="A67:D67"/>
    <mergeCell ref="A31:D31"/>
    <mergeCell ref="A77:D77"/>
    <mergeCell ref="A30:D30"/>
    <mergeCell ref="A15:D15"/>
    <mergeCell ref="A59:D59"/>
    <mergeCell ref="A64:D64"/>
    <mergeCell ref="A1:D1"/>
    <mergeCell ref="A45:D45"/>
    <mergeCell ref="A79:D79"/>
    <mergeCell ref="A69:D69"/>
    <mergeCell ref="A65:D65"/>
    <mergeCell ref="A84:D84"/>
    <mergeCell ref="A108:D108"/>
    <mergeCell ref="A66:D66"/>
    <mergeCell ref="A118:D118"/>
    <mergeCell ref="A119:D123"/>
    <mergeCell ref="A89:D89"/>
    <mergeCell ref="B33:C33"/>
    <mergeCell ref="A50:D50"/>
    <mergeCell ref="A86:D86"/>
    <mergeCell ref="A2:D2"/>
    <mergeCell ref="A71:D71"/>
    <mergeCell ref="A47:D47"/>
    <mergeCell ref="A42:D4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59" t="inlineStr">
        <is>
          <t>NKE — Reverse DCF &amp; Fair Value</t>
        </is>
      </c>
    </row>
    <row r="2" ht="26" customHeight="1">
      <c r="A2" s="60" t="inlineStr">
        <is>
          <t>Two-stage unlevered DCF on free cash flow, run both ways: forwards (what is it worth?) and backwards (what does today's price already assume?).  Every shaded cell is an input — change one and the projection, bridge, fair value and scenarios below all recalculate.</t>
        </is>
      </c>
    </row>
    <row r="4" ht="18" customHeight="1">
      <c r="A4" s="61" t="inlineStr">
        <is>
          <t>The Headline — What Today's Price Already Assumes</t>
        </is>
      </c>
    </row>
    <row r="5" ht="30" customHeight="1">
      <c r="A5" s="62" t="n">
        <v>0.03806883951677473</v>
      </c>
      <c r="C5" s="63" t="inlineStr">
        <is>
          <t>At $41.53 the market is pricing NKE's free cash flow to compound at roughly 3.8% a year for 10 years, then 2.5% in perpetuity, discounted at 9.3%.
The reverse DCF asks one question: is that rate plausible for this business?  This model's own base case assumes 3.0%.</t>
        </is>
      </c>
    </row>
    <row r="6" ht="42" customHeight="1"/>
    <row r="8" ht="18" customHeight="1">
      <c r="A8" s="61" t="inlineStr">
        <is>
          <t>Conclusion — Fair Value vs Price</t>
        </is>
      </c>
    </row>
    <row r="9">
      <c r="A9" s="29" t="inlineStr">
        <is>
          <t>Base-case fair value / share</t>
        </is>
      </c>
      <c r="B9" s="64">
        <f>B52/B30</f>
        <v/>
      </c>
      <c r="C9" s="65" t="inlineStr">
        <is>
          <t>Equity value ÷ shares, both computed below</t>
        </is>
      </c>
    </row>
    <row r="10">
      <c r="A10" s="29" t="inlineStr">
        <is>
          <t>Current price</t>
        </is>
      </c>
      <c r="B10" s="64">
        <f>B31</f>
        <v/>
      </c>
    </row>
    <row r="11">
      <c r="A11" s="29" t="inlineStr">
        <is>
          <t>Upside / downside</t>
        </is>
      </c>
      <c r="B11" s="66">
        <f>IF(B10=0,"",B9/B10-1)</f>
        <v/>
      </c>
    </row>
    <row r="12">
      <c r="A12" s="29" t="inlineStr">
        <is>
          <t>Verdict</t>
        </is>
      </c>
      <c r="B12" s="50">
        <f>IF(B11&gt;0.15,"Undervalued vs DCF",IF(B11&lt;-0.15,"Overvalued vs DCF","Fairly valued vs DCF"))</f>
        <v/>
      </c>
      <c r="C12" s="67" t="n"/>
    </row>
    <row r="14" ht="18" customHeight="1">
      <c r="A14" s="61" t="inlineStr">
        <is>
          <t>Scenarios — and What the Market Is Assuming</t>
        </is>
      </c>
    </row>
    <row r="15">
      <c r="A15" s="31" t="inlineStr">
        <is>
          <t>Scenario</t>
        </is>
      </c>
      <c r="B15" s="31" t="inlineStr">
        <is>
          <t>Stage-1 FCF growth</t>
        </is>
      </c>
      <c r="C15" s="31" t="inlineStr">
        <is>
          <t>Fair value / share</t>
        </is>
      </c>
      <c r="D15" s="31" t="inlineStr">
        <is>
          <t>Upside / downside</t>
        </is>
      </c>
    </row>
    <row r="16">
      <c r="A16" s="68" t="inlineStr">
        <is>
          <t>Bear</t>
        </is>
      </c>
      <c r="B16" s="69">
        <f>B27</f>
        <v/>
      </c>
      <c r="C16" s="70">
        <f>((SUM(H35:H44)+G44*(1+B23)/(B22-B23)/(1+B22)^B24)-B29)/B30</f>
        <v/>
      </c>
      <c r="D16" s="71">
        <f>IF(B31=0,"",C16/B31-1)</f>
        <v/>
      </c>
    </row>
    <row r="17">
      <c r="A17" s="72" t="inlineStr">
        <is>
          <t>Base</t>
        </is>
      </c>
      <c r="B17" s="73">
        <f>B26</f>
        <v/>
      </c>
      <c r="C17" s="74">
        <f>B9</f>
        <v/>
      </c>
      <c r="D17" s="75">
        <f>IF(B31=0,"",C17/B31-1)</f>
        <v/>
      </c>
    </row>
    <row r="18">
      <c r="A18" s="68" t="inlineStr">
        <is>
          <t>Bull</t>
        </is>
      </c>
      <c r="B18" s="69">
        <f>B28</f>
        <v/>
      </c>
      <c r="C18" s="70">
        <f>((SUM(K35:K44)+J44*(1+B23)/(B22-B23)/(1+B22)^B24)-B29)/B30</f>
        <v/>
      </c>
      <c r="D18" s="71">
        <f>IF(B31=0,"",C18/B31-1)</f>
        <v/>
      </c>
    </row>
    <row r="19">
      <c r="A19" s="76" t="inlineStr">
        <is>
          <t>Market (today's price)</t>
        </is>
      </c>
      <c r="B19" s="77" t="n">
        <v>0.03806883951677473</v>
      </c>
      <c r="C19" s="78">
        <f>B31</f>
        <v/>
      </c>
      <c r="D19" s="79">
        <f>IF(B31=0,"",C19/B31-1)</f>
        <v/>
      </c>
    </row>
    <row r="21" ht="18" customHeight="1">
      <c r="A21" s="61" t="inlineStr">
        <is>
          <t>Model Inputs — every shaded cell is editable</t>
        </is>
      </c>
    </row>
    <row r="22">
      <c r="A22" s="29" t="inlineStr">
        <is>
          <t>Discount rate (WACC)</t>
        </is>
      </c>
      <c r="B22" s="80" t="n">
        <v>0.0934</v>
      </c>
      <c r="C22" s="65" t="inlineStr">
        <is>
          <t>Company-specific cost of capital. Raise it and fair value falls.</t>
        </is>
      </c>
    </row>
    <row r="23">
      <c r="A23" s="29" t="inlineStr">
        <is>
          <t>Terminal growth rate</t>
        </is>
      </c>
      <c r="B23" s="80" t="n">
        <v>0.025</v>
      </c>
      <c r="C23" s="65" t="inlineStr">
        <is>
          <t>Growth forever after the explicit horizon. Must stay below WACC.</t>
        </is>
      </c>
    </row>
    <row r="24">
      <c r="A24" s="29" t="inlineStr">
        <is>
          <t>Explicit forecast horizon (years)</t>
        </is>
      </c>
      <c r="B24" s="81" t="n">
        <v>10</v>
      </c>
      <c r="C24" s="65" t="inlineStr">
        <is>
          <t>Drives discounting and the terminal year; the projection table is fixed at 10 rows.</t>
        </is>
      </c>
    </row>
    <row r="25">
      <c r="A25" s="29" t="inlineStr">
        <is>
          <t>Normalised base free cash flow</t>
        </is>
      </c>
      <c r="B25" s="82" t="n">
        <v>4023000000</v>
      </c>
      <c r="C25" s="65" t="inlineStr">
        <is>
          <t>Mean of the last three positive annual FCF figures.</t>
        </is>
      </c>
    </row>
    <row r="26">
      <c r="A26" s="29" t="inlineStr">
        <is>
          <t>Stage-1 FCF growth — base case</t>
        </is>
      </c>
      <c r="B26" s="83" t="n">
        <v>0.03</v>
      </c>
      <c r="C26" s="65" t="inlineStr">
        <is>
          <t>Year-1 growth, fading linearly to the terminal rate.</t>
        </is>
      </c>
    </row>
    <row r="27">
      <c r="A27" s="29" t="inlineStr">
        <is>
          <t>Stage-1 FCF growth — bear case</t>
        </is>
      </c>
      <c r="B27" s="83" t="n">
        <v>3.469446951953614e-18</v>
      </c>
    </row>
    <row r="28">
      <c r="A28" s="29" t="inlineStr">
        <is>
          <t>Stage-1 FCF growth — bull case</t>
        </is>
      </c>
      <c r="B28" s="83" t="n">
        <v>0.06</v>
      </c>
    </row>
    <row r="29">
      <c r="A29" s="29" t="inlineStr">
        <is>
          <t>Net debt (total debt − cash)</t>
        </is>
      </c>
      <c r="B29" s="82" t="n">
        <v>379000000</v>
      </c>
      <c r="C29" s="65" t="inlineStr">
        <is>
          <t>Subtracted from enterprise value to reach equity value.</t>
        </is>
      </c>
    </row>
    <row r="30">
      <c r="A30" s="29" t="inlineStr">
        <is>
          <t>Shares outstanding</t>
        </is>
      </c>
      <c r="B30" s="84" t="n">
        <v>1523149206.723645</v>
      </c>
      <c r="C30" s="65" t="inlineStr">
        <is>
          <t>Derived as market cap ÷ price, so the model ties to the quoted price.</t>
        </is>
      </c>
    </row>
    <row r="31">
      <c r="A31" s="29" t="inlineStr">
        <is>
          <t>Current price</t>
        </is>
      </c>
      <c r="B31" s="85" t="n">
        <v>41.52999877929688</v>
      </c>
    </row>
    <row r="33" ht="18" customHeight="1">
      <c r="A33" s="61" t="inlineStr">
        <is>
          <t>Base-Case Projection  (bear and bull run alongside)</t>
        </is>
      </c>
    </row>
    <row r="34">
      <c r="A34" s="31" t="inlineStr">
        <is>
          <t>Year</t>
        </is>
      </c>
      <c r="B34" s="31" t="inlineStr">
        <is>
          <t>Growth</t>
        </is>
      </c>
      <c r="C34" s="31" t="inlineStr">
        <is>
          <t>Projected FCF</t>
        </is>
      </c>
      <c r="D34" s="31" t="inlineStr">
        <is>
          <t>Discount factor</t>
        </is>
      </c>
      <c r="E34" s="31" t="inlineStr">
        <is>
          <t>PV of FCF</t>
        </is>
      </c>
      <c r="F34" s="31" t="inlineStr">
        <is>
          <t>Bear growth</t>
        </is>
      </c>
      <c r="G34" s="31" t="inlineStr">
        <is>
          <t>Bear FCF</t>
        </is>
      </c>
      <c r="H34" s="31" t="inlineStr">
        <is>
          <t>Bear PV</t>
        </is>
      </c>
      <c r="I34" s="31" t="inlineStr">
        <is>
          <t>Bull growth</t>
        </is>
      </c>
      <c r="J34" s="31" t="inlineStr">
        <is>
          <t>Bull FCF</t>
        </is>
      </c>
      <c r="K34" s="31" t="inlineStr">
        <is>
          <t>Bull PV</t>
        </is>
      </c>
    </row>
    <row r="35">
      <c r="A35" s="86" t="n">
        <v>1</v>
      </c>
      <c r="B35" s="69">
        <f>IF($B$24&lt;=1,$B$23,$B$26+($B$23-$B$26)*(A35-1)/($B$24-1))</f>
        <v/>
      </c>
      <c r="C35" s="87">
        <f>$B$25*(1+B35)</f>
        <v/>
      </c>
      <c r="D35" s="88">
        <f>1/(1+$B$22)^A35</f>
        <v/>
      </c>
      <c r="E35" s="87">
        <f>C35*D35</f>
        <v/>
      </c>
      <c r="F35" s="69">
        <f>IF($B$24&lt;=1,$B$23,$B$27+($B$23-$B$27)*(A35-1)/($B$24-1))</f>
        <v/>
      </c>
      <c r="G35" s="87">
        <f>$B$25*(1+F35)</f>
        <v/>
      </c>
      <c r="H35" s="87">
        <f>G35*D35</f>
        <v/>
      </c>
      <c r="I35" s="69">
        <f>IF($B$24&lt;=1,$B$23,$B$28+($B$23-$B$28)*(A35-1)/($B$24-1))</f>
        <v/>
      </c>
      <c r="J35" s="87">
        <f>$B$25*(1+I35)</f>
        <v/>
      </c>
      <c r="K35" s="87">
        <f>J35*D35</f>
        <v/>
      </c>
    </row>
    <row r="36">
      <c r="A36" s="89" t="n">
        <v>2</v>
      </c>
      <c r="B36" s="90">
        <f>IF($B$24&lt;=1,$B$23,$B$26+($B$23-$B$26)*(A36-1)/($B$24-1))</f>
        <v/>
      </c>
      <c r="C36" s="91">
        <f>C35*(1+B36)</f>
        <v/>
      </c>
      <c r="D36" s="92">
        <f>1/(1+$B$22)^A36</f>
        <v/>
      </c>
      <c r="E36" s="91">
        <f>C36*D36</f>
        <v/>
      </c>
      <c r="F36" s="90">
        <f>IF($B$24&lt;=1,$B$23,$B$27+($B$23-$B$27)*(A36-1)/($B$24-1))</f>
        <v/>
      </c>
      <c r="G36" s="91">
        <f>G35*(1+F36)</f>
        <v/>
      </c>
      <c r="H36" s="91">
        <f>G36*D36</f>
        <v/>
      </c>
      <c r="I36" s="90">
        <f>IF($B$24&lt;=1,$B$23,$B$28+($B$23-$B$28)*(A36-1)/($B$24-1))</f>
        <v/>
      </c>
      <c r="J36" s="91">
        <f>J35*(1+I36)</f>
        <v/>
      </c>
      <c r="K36" s="91">
        <f>J36*D36</f>
        <v/>
      </c>
    </row>
    <row r="37">
      <c r="A37" s="86" t="n">
        <v>3</v>
      </c>
      <c r="B37" s="69">
        <f>IF($B$24&lt;=1,$B$23,$B$26+($B$23-$B$26)*(A37-1)/($B$24-1))</f>
        <v/>
      </c>
      <c r="C37" s="87">
        <f>C36*(1+B37)</f>
        <v/>
      </c>
      <c r="D37" s="88">
        <f>1/(1+$B$22)^A37</f>
        <v/>
      </c>
      <c r="E37" s="87">
        <f>C37*D37</f>
        <v/>
      </c>
      <c r="F37" s="69">
        <f>IF($B$24&lt;=1,$B$23,$B$27+($B$23-$B$27)*(A37-1)/($B$24-1))</f>
        <v/>
      </c>
      <c r="G37" s="87">
        <f>G36*(1+F37)</f>
        <v/>
      </c>
      <c r="H37" s="87">
        <f>G37*D37</f>
        <v/>
      </c>
      <c r="I37" s="69">
        <f>IF($B$24&lt;=1,$B$23,$B$28+($B$23-$B$28)*(A37-1)/($B$24-1))</f>
        <v/>
      </c>
      <c r="J37" s="87">
        <f>J36*(1+I37)</f>
        <v/>
      </c>
      <c r="K37" s="87">
        <f>J37*D37</f>
        <v/>
      </c>
    </row>
    <row r="38">
      <c r="A38" s="89" t="n">
        <v>4</v>
      </c>
      <c r="B38" s="90">
        <f>IF($B$24&lt;=1,$B$23,$B$26+($B$23-$B$26)*(A38-1)/($B$24-1))</f>
        <v/>
      </c>
      <c r="C38" s="91">
        <f>C37*(1+B38)</f>
        <v/>
      </c>
      <c r="D38" s="92">
        <f>1/(1+$B$22)^A38</f>
        <v/>
      </c>
      <c r="E38" s="91">
        <f>C38*D38</f>
        <v/>
      </c>
      <c r="F38" s="90">
        <f>IF($B$24&lt;=1,$B$23,$B$27+($B$23-$B$27)*(A38-1)/($B$24-1))</f>
        <v/>
      </c>
      <c r="G38" s="91">
        <f>G37*(1+F38)</f>
        <v/>
      </c>
      <c r="H38" s="91">
        <f>G38*D38</f>
        <v/>
      </c>
      <c r="I38" s="90">
        <f>IF($B$24&lt;=1,$B$23,$B$28+($B$23-$B$28)*(A38-1)/($B$24-1))</f>
        <v/>
      </c>
      <c r="J38" s="91">
        <f>J37*(1+I38)</f>
        <v/>
      </c>
      <c r="K38" s="91">
        <f>J38*D38</f>
        <v/>
      </c>
    </row>
    <row r="39">
      <c r="A39" s="86" t="n">
        <v>5</v>
      </c>
      <c r="B39" s="69">
        <f>IF($B$24&lt;=1,$B$23,$B$26+($B$23-$B$26)*(A39-1)/($B$24-1))</f>
        <v/>
      </c>
      <c r="C39" s="87">
        <f>C38*(1+B39)</f>
        <v/>
      </c>
      <c r="D39" s="88">
        <f>1/(1+$B$22)^A39</f>
        <v/>
      </c>
      <c r="E39" s="87">
        <f>C39*D39</f>
        <v/>
      </c>
      <c r="F39" s="69">
        <f>IF($B$24&lt;=1,$B$23,$B$27+($B$23-$B$27)*(A39-1)/($B$24-1))</f>
        <v/>
      </c>
      <c r="G39" s="87">
        <f>G38*(1+F39)</f>
        <v/>
      </c>
      <c r="H39" s="87">
        <f>G39*D39</f>
        <v/>
      </c>
      <c r="I39" s="69">
        <f>IF($B$24&lt;=1,$B$23,$B$28+($B$23-$B$28)*(A39-1)/($B$24-1))</f>
        <v/>
      </c>
      <c r="J39" s="87">
        <f>J38*(1+I39)</f>
        <v/>
      </c>
      <c r="K39" s="87">
        <f>J39*D39</f>
        <v/>
      </c>
    </row>
    <row r="40">
      <c r="A40" s="89" t="n">
        <v>6</v>
      </c>
      <c r="B40" s="90">
        <f>IF($B$24&lt;=1,$B$23,$B$26+($B$23-$B$26)*(A40-1)/($B$24-1))</f>
        <v/>
      </c>
      <c r="C40" s="91">
        <f>C39*(1+B40)</f>
        <v/>
      </c>
      <c r="D40" s="92">
        <f>1/(1+$B$22)^A40</f>
        <v/>
      </c>
      <c r="E40" s="91">
        <f>C40*D40</f>
        <v/>
      </c>
      <c r="F40" s="90">
        <f>IF($B$24&lt;=1,$B$23,$B$27+($B$23-$B$27)*(A40-1)/($B$24-1))</f>
        <v/>
      </c>
      <c r="G40" s="91">
        <f>G39*(1+F40)</f>
        <v/>
      </c>
      <c r="H40" s="91">
        <f>G40*D40</f>
        <v/>
      </c>
      <c r="I40" s="90">
        <f>IF($B$24&lt;=1,$B$23,$B$28+($B$23-$B$28)*(A40-1)/($B$24-1))</f>
        <v/>
      </c>
      <c r="J40" s="91">
        <f>J39*(1+I40)</f>
        <v/>
      </c>
      <c r="K40" s="91">
        <f>J40*D40</f>
        <v/>
      </c>
    </row>
    <row r="41">
      <c r="A41" s="86" t="n">
        <v>7</v>
      </c>
      <c r="B41" s="69">
        <f>IF($B$24&lt;=1,$B$23,$B$26+($B$23-$B$26)*(A41-1)/($B$24-1))</f>
        <v/>
      </c>
      <c r="C41" s="87">
        <f>C40*(1+B41)</f>
        <v/>
      </c>
      <c r="D41" s="88">
        <f>1/(1+$B$22)^A41</f>
        <v/>
      </c>
      <c r="E41" s="87">
        <f>C41*D41</f>
        <v/>
      </c>
      <c r="F41" s="69">
        <f>IF($B$24&lt;=1,$B$23,$B$27+($B$23-$B$27)*(A41-1)/($B$24-1))</f>
        <v/>
      </c>
      <c r="G41" s="87">
        <f>G40*(1+F41)</f>
        <v/>
      </c>
      <c r="H41" s="87">
        <f>G41*D41</f>
        <v/>
      </c>
      <c r="I41" s="69">
        <f>IF($B$24&lt;=1,$B$23,$B$28+($B$23-$B$28)*(A41-1)/($B$24-1))</f>
        <v/>
      </c>
      <c r="J41" s="87">
        <f>J40*(1+I41)</f>
        <v/>
      </c>
      <c r="K41" s="87">
        <f>J41*D41</f>
        <v/>
      </c>
    </row>
    <row r="42">
      <c r="A42" s="89" t="n">
        <v>8</v>
      </c>
      <c r="B42" s="90">
        <f>IF($B$24&lt;=1,$B$23,$B$26+($B$23-$B$26)*(A42-1)/($B$24-1))</f>
        <v/>
      </c>
      <c r="C42" s="91">
        <f>C41*(1+B42)</f>
        <v/>
      </c>
      <c r="D42" s="92">
        <f>1/(1+$B$22)^A42</f>
        <v/>
      </c>
      <c r="E42" s="91">
        <f>C42*D42</f>
        <v/>
      </c>
      <c r="F42" s="90">
        <f>IF($B$24&lt;=1,$B$23,$B$27+($B$23-$B$27)*(A42-1)/($B$24-1))</f>
        <v/>
      </c>
      <c r="G42" s="91">
        <f>G41*(1+F42)</f>
        <v/>
      </c>
      <c r="H42" s="91">
        <f>G42*D42</f>
        <v/>
      </c>
      <c r="I42" s="90">
        <f>IF($B$24&lt;=1,$B$23,$B$28+($B$23-$B$28)*(A42-1)/($B$24-1))</f>
        <v/>
      </c>
      <c r="J42" s="91">
        <f>J41*(1+I42)</f>
        <v/>
      </c>
      <c r="K42" s="91">
        <f>J42*D42</f>
        <v/>
      </c>
    </row>
    <row r="43">
      <c r="A43" s="86" t="n">
        <v>9</v>
      </c>
      <c r="B43" s="69">
        <f>IF($B$24&lt;=1,$B$23,$B$26+($B$23-$B$26)*(A43-1)/($B$24-1))</f>
        <v/>
      </c>
      <c r="C43" s="87">
        <f>C42*(1+B43)</f>
        <v/>
      </c>
      <c r="D43" s="88">
        <f>1/(1+$B$22)^A43</f>
        <v/>
      </c>
      <c r="E43" s="87">
        <f>C43*D43</f>
        <v/>
      </c>
      <c r="F43" s="69">
        <f>IF($B$24&lt;=1,$B$23,$B$27+($B$23-$B$27)*(A43-1)/($B$24-1))</f>
        <v/>
      </c>
      <c r="G43" s="87">
        <f>G42*(1+F43)</f>
        <v/>
      </c>
      <c r="H43" s="87">
        <f>G43*D43</f>
        <v/>
      </c>
      <c r="I43" s="69">
        <f>IF($B$24&lt;=1,$B$23,$B$28+($B$23-$B$28)*(A43-1)/($B$24-1))</f>
        <v/>
      </c>
      <c r="J43" s="87">
        <f>J42*(1+I43)</f>
        <v/>
      </c>
      <c r="K43" s="87">
        <f>J43*D43</f>
        <v/>
      </c>
    </row>
    <row r="44">
      <c r="A44" s="89" t="n">
        <v>10</v>
      </c>
      <c r="B44" s="90">
        <f>IF($B$24&lt;=1,$B$23,$B$26+($B$23-$B$26)*(A44-1)/($B$24-1))</f>
        <v/>
      </c>
      <c r="C44" s="91">
        <f>C43*(1+B44)</f>
        <v/>
      </c>
      <c r="D44" s="92">
        <f>1/(1+$B$22)^A44</f>
        <v/>
      </c>
      <c r="E44" s="91">
        <f>C44*D44</f>
        <v/>
      </c>
      <c r="F44" s="90">
        <f>IF($B$24&lt;=1,$B$23,$B$27+($B$23-$B$27)*(A44-1)/($B$24-1))</f>
        <v/>
      </c>
      <c r="G44" s="91">
        <f>G43*(1+F44)</f>
        <v/>
      </c>
      <c r="H44" s="91">
        <f>G44*D44</f>
        <v/>
      </c>
      <c r="I44" s="90">
        <f>IF($B$24&lt;=1,$B$23,$B$28+($B$23-$B$28)*(A44-1)/($B$24-1))</f>
        <v/>
      </c>
      <c r="J44" s="91">
        <f>J43*(1+I44)</f>
        <v/>
      </c>
      <c r="K44" s="91">
        <f>J44*D44</f>
        <v/>
      </c>
    </row>
    <row r="46" ht="18" customHeight="1">
      <c r="A46" s="61" t="inlineStr">
        <is>
          <t>Enterprise Value → Equity Bridge</t>
        </is>
      </c>
    </row>
    <row r="47">
      <c r="A47" s="29" t="inlineStr">
        <is>
          <t>PV of explicit FCF</t>
        </is>
      </c>
      <c r="B47" s="87">
        <f>SUM(E35:E44)</f>
        <v/>
      </c>
    </row>
    <row r="48">
      <c r="A48" s="29" t="inlineStr">
        <is>
          <t>Terminal value</t>
        </is>
      </c>
      <c r="B48" s="87">
        <f>C44*(1+B23)/(B22-B23)</f>
        <v/>
      </c>
    </row>
    <row r="49">
      <c r="A49" s="29" t="inlineStr">
        <is>
          <t>PV of terminal value</t>
        </is>
      </c>
      <c r="B49" s="87">
        <f>B48/(1+B22)^B24</f>
        <v/>
      </c>
      <c r="C49" s="93">
        <f>TEXT(B49/B50,"0%")&amp;" of enterprise value — above 85% the terminal assumption is doing nearly all the work"</f>
        <v/>
      </c>
    </row>
    <row r="50">
      <c r="A50" s="29" t="inlineStr">
        <is>
          <t>Enterprise value</t>
        </is>
      </c>
      <c r="B50" s="87">
        <f>B47+B49</f>
        <v/>
      </c>
    </row>
    <row r="51">
      <c r="A51" s="29" t="inlineStr">
        <is>
          <t>Less: net debt</t>
        </is>
      </c>
      <c r="B51" s="87">
        <f>B29</f>
        <v/>
      </c>
    </row>
    <row r="52">
      <c r="A52" s="29" t="inlineStr">
        <is>
          <t>Equity value</t>
        </is>
      </c>
      <c r="B52" s="94">
        <f>B50-B51</f>
        <v/>
      </c>
    </row>
    <row r="54" ht="18" customHeight="1">
      <c r="A54" s="61" t="inlineStr">
        <is>
          <t>Sensitivity — Fair Value / Share  (WACC × Terminal Growth)  ·  snapshot computed at generation</t>
        </is>
      </c>
    </row>
    <row r="55">
      <c r="A55" s="95" t="inlineStr">
        <is>
          <t>WACC ╲ Term. g</t>
        </is>
      </c>
      <c r="B55" s="31" t="inlineStr">
        <is>
          <t>1.5%</t>
        </is>
      </c>
      <c r="C55" s="31" t="inlineStr">
        <is>
          <t>2.0%</t>
        </is>
      </c>
      <c r="D55" s="31" t="inlineStr">
        <is>
          <t>2.5%</t>
        </is>
      </c>
      <c r="E55" s="31" t="inlineStr">
        <is>
          <t>3.0%</t>
        </is>
      </c>
      <c r="F55" s="31" t="inlineStr">
        <is>
          <t>3.5%</t>
        </is>
      </c>
    </row>
    <row r="56">
      <c r="A56" s="31" t="inlineStr">
        <is>
          <t>7.3%</t>
        </is>
      </c>
      <c r="B56" s="70" t="n">
        <v>48.69</v>
      </c>
      <c r="C56" s="70" t="n">
        <v>52.42</v>
      </c>
      <c r="D56" s="70" t="n">
        <v>56.91</v>
      </c>
      <c r="E56" s="70" t="n">
        <v>62.43</v>
      </c>
      <c r="F56" s="70" t="n">
        <v>69.39</v>
      </c>
    </row>
    <row r="57">
      <c r="A57" s="31" t="inlineStr">
        <is>
          <t>8.3%</t>
        </is>
      </c>
      <c r="B57" s="70" t="n">
        <v>41.47</v>
      </c>
      <c r="C57" s="70" t="n">
        <v>44.07</v>
      </c>
      <c r="D57" s="70" t="n">
        <v>47.1</v>
      </c>
      <c r="E57" s="70" t="n">
        <v>50.7</v>
      </c>
      <c r="F57" s="70" t="n">
        <v>55.03</v>
      </c>
    </row>
    <row r="58">
      <c r="A58" s="31" t="inlineStr">
        <is>
          <t>9.3%</t>
        </is>
      </c>
      <c r="B58" s="70" t="n">
        <v>36.11</v>
      </c>
      <c r="C58" s="70" t="n">
        <v>38</v>
      </c>
      <c r="D58" s="70" t="n">
        <v>40.16</v>
      </c>
      <c r="E58" s="70" t="n">
        <v>42.66</v>
      </c>
      <c r="F58" s="70" t="n">
        <v>45.59</v>
      </c>
    </row>
    <row r="59">
      <c r="A59" s="31" t="inlineStr">
        <is>
          <t>10.3%</t>
        </is>
      </c>
      <c r="B59" s="70" t="n">
        <v>31.95</v>
      </c>
      <c r="C59" s="70" t="n">
        <v>33.38</v>
      </c>
      <c r="D59" s="70" t="n">
        <v>34.99</v>
      </c>
      <c r="E59" s="70" t="n">
        <v>36.81</v>
      </c>
      <c r="F59" s="70" t="n">
        <v>38.9</v>
      </c>
    </row>
    <row r="60">
      <c r="A60" s="31" t="inlineStr">
        <is>
          <t>11.3%</t>
        </is>
      </c>
      <c r="B60" s="70" t="n">
        <v>28.65</v>
      </c>
      <c r="C60" s="70" t="n">
        <v>29.76</v>
      </c>
      <c r="D60" s="70" t="n">
        <v>30.99</v>
      </c>
      <c r="E60" s="70" t="n">
        <v>32.37</v>
      </c>
      <c r="F60" s="70" t="n">
        <v>33.92</v>
      </c>
    </row>
    <row r="62" ht="44" customHeight="1">
      <c r="A62" s="96" t="inlineStr">
        <is>
          <t>Each cell is base-case fair value per share at that discount rate and terminal growth rate. Green = above today's $41.53 price, red = below. These 25 values are computed once when the report is generated; the rest of this sheet is live formulas, so editing the inputs above moves everything except this grid.</t>
        </is>
      </c>
    </row>
    <row r="64" ht="76" customHeight="1">
      <c r="A64" s="36" t="inlineStr">
        <is>
          <t>How to use this sheet: the reverse DCF is the headline — it converts today's price into the growth rate you would have to believe. Change the discount rate or the terminal growth rate in the shaded input cells and every projection, bridge and scenario figure recalculates, so you can test your own assumptions rather than accept ours. A DCF is a model, not a forecast: base FCF is normalised over recent years, shares are derived from market cap ÷ price, and small changes in WACC or terminal growth move fair value materially. For informational purposes only. Not investment advice. Past performance does not guarantee future results.</t>
        </is>
      </c>
    </row>
  </sheetData>
  <mergeCells count="22">
    <mergeCell ref="C25:K25"/>
    <mergeCell ref="A62:D62"/>
    <mergeCell ref="C22:K22"/>
    <mergeCell ref="C9:K9"/>
    <mergeCell ref="A5:B6"/>
    <mergeCell ref="A1:K1"/>
    <mergeCell ref="B12:C12"/>
    <mergeCell ref="A54:K54"/>
    <mergeCell ref="C5:K6"/>
    <mergeCell ref="A64:D64"/>
    <mergeCell ref="C23:K23"/>
    <mergeCell ref="A46:K46"/>
    <mergeCell ref="A21:K21"/>
    <mergeCell ref="A2:K2"/>
    <mergeCell ref="A33:K33"/>
    <mergeCell ref="A14:K14"/>
    <mergeCell ref="A8:K8"/>
    <mergeCell ref="C24:K24"/>
    <mergeCell ref="C30:K30"/>
    <mergeCell ref="A4:K4"/>
    <mergeCell ref="C26:K26"/>
    <mergeCell ref="C29:K29"/>
  </mergeCells>
  <conditionalFormatting sqref="B56:F60">
    <cfRule type="cellIs" priority="1" operator="greaterThan" dxfId="0">
      <formula>$B$31</formula>
    </cfRule>
    <cfRule type="cellIs" priority="2" operator="lessThan" dxfId="1">
      <formula>$B$31</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59" t="inlineStr">
        <is>
          <t>Fundamentals &amp; Valuation   ·   source: SEC EDGAR   ·   FY ending 2026-05-31</t>
        </is>
      </c>
    </row>
    <row r="3">
      <c r="A3" s="61" t="inlineStr">
        <is>
          <t>Valuation</t>
        </is>
      </c>
      <c r="B3" s="61" t="n"/>
    </row>
    <row r="4">
      <c r="A4" s="18" t="inlineStr">
        <is>
          <t>P/E</t>
        </is>
      </c>
      <c r="B4" s="97" t="n">
        <v>20.35</v>
      </c>
    </row>
    <row r="5">
      <c r="A5" s="29" t="inlineStr">
        <is>
          <t>P/S</t>
        </is>
      </c>
      <c r="B5" s="98" t="n">
        <v>1.36</v>
      </c>
    </row>
    <row r="6">
      <c r="A6" s="18" t="inlineStr">
        <is>
          <t>P/B</t>
        </is>
      </c>
      <c r="B6" s="97" t="n">
        <v>4.26</v>
      </c>
    </row>
    <row r="7">
      <c r="A7" s="29" t="inlineStr">
        <is>
          <t>EV / EBITDA</t>
        </is>
      </c>
      <c r="B7" s="99" t="inlineStr">
        <is>
          <t>N/A</t>
        </is>
      </c>
    </row>
    <row r="8">
      <c r="A8" s="18" t="inlineStr">
        <is>
          <t>Earnings Yield</t>
        </is>
      </c>
      <c r="B8" s="100" t="n">
        <v>0.049</v>
      </c>
    </row>
    <row r="9">
      <c r="A9" s="29" t="inlineStr">
        <is>
          <t>FCF Yield</t>
        </is>
      </c>
      <c r="B9" s="101" t="n">
        <v>0.035</v>
      </c>
    </row>
    <row r="10">
      <c r="A10" s="18" t="inlineStr">
        <is>
          <t>Implied growth — earnings basis, flat 9% discount</t>
        </is>
      </c>
      <c r="B10" s="100" t="n">
        <v>0.0588</v>
      </c>
    </row>
    <row r="11">
      <c r="A11" s="29" t="inlineStr">
        <is>
          <t xml:space="preserve">  (cross-check only; the headline reverse DCF is on the Valuation sheet)</t>
        </is>
      </c>
      <c r="B11" s="102" t="inlineStr"/>
    </row>
    <row r="13">
      <c r="A13" s="61" t="inlineStr">
        <is>
          <t>Profitability &amp; Returns</t>
        </is>
      </c>
      <c r="B13" s="61" t="n"/>
    </row>
    <row r="14">
      <c r="A14" s="18" t="inlineStr">
        <is>
          <t>Gross Margin</t>
        </is>
      </c>
      <c r="B14" s="100" t="n">
        <v>0.429</v>
      </c>
    </row>
    <row r="15">
      <c r="A15" s="29" t="inlineStr">
        <is>
          <t>Operating Margin</t>
        </is>
      </c>
      <c r="B15" s="99" t="inlineStr">
        <is>
          <t>N/A</t>
        </is>
      </c>
    </row>
    <row r="16">
      <c r="A16" s="18" t="inlineStr">
        <is>
          <t>Net Margin</t>
        </is>
      </c>
      <c r="B16" s="100" t="n">
        <v>0.067</v>
      </c>
    </row>
    <row r="17">
      <c r="A17" s="29" t="inlineStr">
        <is>
          <t>Return on Equity</t>
        </is>
      </c>
      <c r="B17" s="101" t="n">
        <v>0.209</v>
      </c>
    </row>
    <row r="18">
      <c r="A18" s="18" t="inlineStr">
        <is>
          <t>Return on Assets</t>
        </is>
      </c>
      <c r="B18" s="100" t="n">
        <v>0.081</v>
      </c>
    </row>
    <row r="19">
      <c r="A19" s="29" t="inlineStr">
        <is>
          <t>Free Cash Flow</t>
        </is>
      </c>
      <c r="B19" s="103" t="n">
        <v>2184000000</v>
      </c>
    </row>
    <row r="21">
      <c r="A21" s="61" t="inlineStr">
        <is>
          <t>Growth</t>
        </is>
      </c>
      <c r="B21" s="61" t="n"/>
    </row>
    <row r="22">
      <c r="A22" s="18" t="inlineStr">
        <is>
          <t>Revenue YoY</t>
        </is>
      </c>
      <c r="B22" s="100" t="n">
        <v>0.002</v>
      </c>
    </row>
    <row r="23">
      <c r="A23" s="29" t="inlineStr">
        <is>
          <t>EPS YoY</t>
        </is>
      </c>
      <c r="B23" s="101" t="n">
        <v>-0.028</v>
      </c>
    </row>
    <row r="24">
      <c r="A24" s="18" t="inlineStr">
        <is>
          <t>Revenue CAGR</t>
        </is>
      </c>
      <c r="B24" s="100" t="n">
        <v>0.034</v>
      </c>
    </row>
    <row r="25">
      <c r="A25" s="29" t="inlineStr">
        <is>
          <t>EPS CAGR</t>
        </is>
      </c>
      <c r="B25" s="101" t="n">
        <v>-0.02</v>
      </c>
    </row>
    <row r="27">
      <c r="A27" s="61" t="inlineStr">
        <is>
          <t>Balance Sheet &amp; Quality</t>
        </is>
      </c>
      <c r="B27" s="61" t="n"/>
    </row>
    <row r="28">
      <c r="A28" s="18" t="inlineStr">
        <is>
          <t>Current Ratio</t>
        </is>
      </c>
      <c r="B28" s="104" t="n">
        <v>1.96</v>
      </c>
    </row>
    <row r="29">
      <c r="A29" s="29" t="inlineStr">
        <is>
          <t>Debt / Equity</t>
        </is>
      </c>
      <c r="B29" s="105" t="n">
        <v>0.4</v>
      </c>
    </row>
    <row r="30">
      <c r="A30" s="18" t="inlineStr">
        <is>
          <t>Piotroski F-Score</t>
        </is>
      </c>
      <c r="B30" s="106" t="inlineStr">
        <is>
          <t>5 / 9</t>
        </is>
      </c>
    </row>
    <row r="31">
      <c r="A31" s="29" t="inlineStr">
        <is>
          <t>Altman Z-Score</t>
        </is>
      </c>
      <c r="B31" s="99" t="inlineStr">
        <is>
          <t>N/A</t>
        </is>
      </c>
    </row>
    <row r="33">
      <c r="A33" s="107" t="inlineStr">
        <is>
          <t>Fiscal Period</t>
        </is>
      </c>
      <c r="B33" s="107" t="inlineStr">
        <is>
          <t>2017-05</t>
        </is>
      </c>
      <c r="C33" s="107" t="inlineStr">
        <is>
          <t>2018-05</t>
        </is>
      </c>
      <c r="D33" s="107" t="inlineStr">
        <is>
          <t>2019-05</t>
        </is>
      </c>
      <c r="E33" s="107" t="inlineStr">
        <is>
          <t>2020-05</t>
        </is>
      </c>
      <c r="F33" s="107" t="inlineStr">
        <is>
          <t>2021-05</t>
        </is>
      </c>
      <c r="G33" s="107" t="inlineStr">
        <is>
          <t>2022-05</t>
        </is>
      </c>
      <c r="H33" s="107" t="inlineStr">
        <is>
          <t>2023-05</t>
        </is>
      </c>
      <c r="I33" s="107" t="inlineStr">
        <is>
          <t>2024-05</t>
        </is>
      </c>
      <c r="J33" s="107" t="inlineStr">
        <is>
          <t>2025-05</t>
        </is>
      </c>
      <c r="K33" s="107" t="inlineStr">
        <is>
          <t>2026-05</t>
        </is>
      </c>
    </row>
    <row r="34">
      <c r="A34" s="27" t="inlineStr">
        <is>
          <t>Revenue ($B)</t>
        </is>
      </c>
      <c r="B34" s="108" t="n">
        <v>34.4</v>
      </c>
      <c r="C34" s="108" t="n">
        <v>36.4</v>
      </c>
      <c r="D34" s="108" t="n">
        <v>39.1</v>
      </c>
      <c r="E34" s="108" t="n">
        <v>37.4</v>
      </c>
      <c r="F34" s="108" t="n">
        <v>44.5</v>
      </c>
      <c r="G34" s="108" t="n">
        <v>46.7</v>
      </c>
      <c r="H34" s="108" t="n">
        <v>51.2</v>
      </c>
      <c r="I34" s="108" t="n">
        <v>51.4</v>
      </c>
      <c r="J34" s="108" t="n">
        <v>46.3</v>
      </c>
      <c r="K34" s="108" t="n">
        <v>46.4</v>
      </c>
    </row>
    <row r="35">
      <c r="A35" s="27" t="inlineStr">
        <is>
          <t>Net Income ($B)</t>
        </is>
      </c>
      <c r="B35" s="108" t="n">
        <v>4.2</v>
      </c>
      <c r="C35" s="108" t="n">
        <v>1.9</v>
      </c>
      <c r="D35" s="108" t="n">
        <v>4</v>
      </c>
      <c r="E35" s="108" t="n">
        <v>2.5</v>
      </c>
      <c r="F35" s="108" t="n">
        <v>5.7</v>
      </c>
      <c r="G35" s="108" t="n">
        <v>6</v>
      </c>
      <c r="H35" s="108" t="n">
        <v>5.1</v>
      </c>
      <c r="I35" s="108" t="n">
        <v>5.7</v>
      </c>
      <c r="J35" s="108" t="n">
        <v>3.2</v>
      </c>
      <c r="K35" s="108" t="n">
        <v>3.1</v>
      </c>
    </row>
    <row r="36">
      <c r="A36" s="27" t="inlineStr">
        <is>
          <t>Free Cash Flow ($B)</t>
        </is>
      </c>
      <c r="B36" s="108" t="n">
        <v>2.5</v>
      </c>
      <c r="C36" s="108" t="n">
        <v>3.9</v>
      </c>
      <c r="D36" s="108" t="n">
        <v>4.8</v>
      </c>
      <c r="E36" s="108" t="n">
        <v>1.4</v>
      </c>
      <c r="F36" s="108" t="n">
        <v>6</v>
      </c>
      <c r="G36" s="108" t="n">
        <v>4.4</v>
      </c>
      <c r="H36" s="108" t="n">
        <v>4.9</v>
      </c>
      <c r="I36" s="108" t="n">
        <v>6.6</v>
      </c>
      <c r="J36" s="108" t="n">
        <v>3.3</v>
      </c>
      <c r="K36" s="108" t="n">
        <v>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8" customWidth="1" min="1" max="1"/>
    <col width="24" customWidth="1" min="2" max="2"/>
    <col width="23" customWidth="1" min="3" max="3"/>
    <col width="22" customWidth="1" min="4" max="4"/>
    <col width="9" customWidth="1" min="5" max="5"/>
    <col width="3" customWidth="1" min="6" max="6"/>
    <col width="3" customWidth="1" min="7" max="7"/>
    <col width="3" customWidth="1" min="8" max="8"/>
  </cols>
  <sheetData>
    <row r="1" ht="26" customHeight="1">
      <c r="A1" s="109" t="inlineStr">
        <is>
          <t>Annual Performance Summary</t>
        </is>
      </c>
    </row>
    <row r="2">
      <c r="A2" s="31" t="inlineStr">
        <is>
          <t>Year</t>
        </is>
      </c>
      <c r="B2" s="31" t="inlineStr">
        <is>
          <t>Annual Return</t>
        </is>
      </c>
      <c r="C2" s="31" t="inlineStr">
        <is>
          <t>Max Drawdown (60d)</t>
        </is>
      </c>
      <c r="D2" s="31" t="inlineStr">
        <is>
          <t>Ann. Volatility</t>
        </is>
      </c>
      <c r="E2" s="31" t="inlineStr">
        <is>
          <t>Sharpe</t>
        </is>
      </c>
    </row>
    <row r="3">
      <c r="A3" s="110" t="n">
        <v>2021</v>
      </c>
      <c r="B3" s="111" t="n">
        <v>-0.03214651713052386</v>
      </c>
      <c r="C3" s="112" t="n">
        <v>-0.1140661201369735</v>
      </c>
      <c r="D3" s="113" t="n">
        <v>0.2406177052119783</v>
      </c>
      <c r="E3" s="15" t="n">
        <v>-0.38</v>
      </c>
    </row>
    <row r="4">
      <c r="A4" s="114" t="n">
        <v>2022</v>
      </c>
      <c r="B4" s="111" t="n">
        <v>-0.2904113448693164</v>
      </c>
      <c r="C4" s="111" t="n">
        <v>-0.3018230920094579</v>
      </c>
      <c r="D4" s="115" t="n">
        <v>0.4227473499749144</v>
      </c>
      <c r="E4" s="18" t="n">
        <v>-0.7</v>
      </c>
    </row>
    <row r="5">
      <c r="A5" s="110" t="n">
        <v>2023</v>
      </c>
      <c r="B5" s="111" t="n">
        <v>-0.06013701273248484</v>
      </c>
      <c r="C5" s="111" t="n">
        <v>-0.1959538319648272</v>
      </c>
      <c r="D5" s="113" t="n">
        <v>0.2706322498115543</v>
      </c>
      <c r="E5" s="15" t="n">
        <v>-0.24</v>
      </c>
    </row>
    <row r="6">
      <c r="A6" s="114" t="n">
        <v>2024</v>
      </c>
      <c r="B6" s="111" t="n">
        <v>-0.2910746572025389</v>
      </c>
      <c r="C6" s="111" t="n">
        <v>-0.2684710105845242</v>
      </c>
      <c r="D6" s="115" t="n">
        <v>0.3199279682501578</v>
      </c>
      <c r="E6" s="18" t="n">
        <v>-1.03</v>
      </c>
    </row>
    <row r="7">
      <c r="A7" s="110" t="n">
        <v>2025</v>
      </c>
      <c r="B7" s="111" t="n">
        <v>-0.1382762831060743</v>
      </c>
      <c r="C7" s="111" t="n">
        <v>-0.3448406860497291</v>
      </c>
      <c r="D7" s="113" t="n">
        <v>0.4204946402194127</v>
      </c>
      <c r="E7" s="15" t="n">
        <v>-0.24</v>
      </c>
    </row>
    <row r="8">
      <c r="A8" s="114" t="inlineStr">
        <is>
          <t>2026 (YTD)</t>
        </is>
      </c>
      <c r="B8" s="111" t="n">
        <v>-0.3379416804828088</v>
      </c>
      <c r="C8" s="111" t="n">
        <v>-0.3553826303470414</v>
      </c>
      <c r="D8" s="115" t="n">
        <v>0.3695148483631044</v>
      </c>
      <c r="E8" s="18" t="n">
        <v>-1.83</v>
      </c>
    </row>
  </sheetData>
  <autoFilter ref="A2:E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254"/>
  <sheetViews>
    <sheetView workbookViewId="0">
      <pane ySplit="1" topLeftCell="A2" activePane="bottomLeft" state="frozen"/>
      <selection pane="bottomLeft" activeCell="A1" sqref="A1"/>
    </sheetView>
  </sheetViews>
  <sheetFormatPr baseColWidth="8" defaultRowHeight="15"/>
  <cols>
    <col width="22" customWidth="1" min="1" max="1"/>
    <col width="21" customWidth="1" min="2" max="2"/>
    <col width="21" customWidth="1" min="3" max="3"/>
    <col width="21" customWidth="1" min="4" max="4"/>
    <col width="21" customWidth="1" min="5" max="5"/>
    <col width="14" customWidth="1" min="6" max="6"/>
    <col width="26" customWidth="1" min="7" max="7"/>
    <col width="21" customWidth="1" min="8" max="8"/>
    <col width="21" customWidth="1" min="9" max="9"/>
    <col width="21" customWidth="1" min="10" max="10"/>
    <col width="22" customWidth="1" min="11" max="11"/>
    <col width="26" customWidth="1" min="12" max="12"/>
    <col width="25" customWidth="1" min="13" max="13"/>
    <col width="21" customWidth="1" min="14" max="14"/>
    <col width="25" customWidth="1" min="15" max="15"/>
    <col width="21" customWidth="1" min="16" max="16"/>
    <col width="21" customWidth="1" min="17" max="17"/>
  </cols>
  <sheetData>
    <row r="1">
      <c r="A1" s="116" t="inlineStr">
        <is>
          <t>Date</t>
        </is>
      </c>
      <c r="B1" s="116" t="inlineStr">
        <is>
          <t>Open</t>
        </is>
      </c>
      <c r="C1" s="116" t="inlineStr">
        <is>
          <t>High</t>
        </is>
      </c>
      <c r="D1" s="116" t="inlineStr">
        <is>
          <t>Low</t>
        </is>
      </c>
      <c r="E1" s="116" t="inlineStr">
        <is>
          <t>Close</t>
        </is>
      </c>
      <c r="F1" s="116" t="inlineStr">
        <is>
          <t>Volume</t>
        </is>
      </c>
      <c r="G1" s="116" t="inlineStr">
        <is>
          <t>Daily_Return</t>
        </is>
      </c>
      <c r="H1" s="116" t="inlineStr">
        <is>
          <t>Cumulative_Index</t>
        </is>
      </c>
      <c r="I1" s="116" t="inlineStr">
        <is>
          <t>MA50</t>
        </is>
      </c>
      <c r="J1" s="116" t="inlineStr">
        <is>
          <t>MA200</t>
        </is>
      </c>
      <c r="K1" s="116" t="inlineStr">
        <is>
          <t>Volatility_20d</t>
        </is>
      </c>
      <c r="L1" s="116" t="inlineStr">
        <is>
          <t>Drawdown_60d</t>
        </is>
      </c>
      <c r="M1" s="116" t="inlineStr">
        <is>
          <t>Pct_From_52W_High</t>
        </is>
      </c>
      <c r="N1" s="116" t="inlineStr">
        <is>
          <t>RSI14</t>
        </is>
      </c>
      <c r="O1" s="116" t="inlineStr">
        <is>
          <t>MACD_Hist</t>
        </is>
      </c>
      <c r="P1" s="116" t="inlineStr">
        <is>
          <t>SPY_Cumulative</t>
        </is>
      </c>
      <c r="Q1" s="116" t="inlineStr">
        <is>
          <t>QQQ_Cumulative</t>
        </is>
      </c>
    </row>
    <row r="2">
      <c r="A2" s="117" t="n">
        <v>44414</v>
      </c>
      <c r="B2" s="118" t="n">
        <v>160.5164002047583</v>
      </c>
      <c r="C2" s="118" t="n">
        <v>160.534816204947</v>
      </c>
      <c r="D2" s="118" t="n">
        <v>158.9881952768175</v>
      </c>
      <c r="E2" s="118" t="n">
        <v>159.0802612304688</v>
      </c>
      <c r="F2" s="119" t="n">
        <v>4088700</v>
      </c>
      <c r="G2" s="120" t="n">
        <v/>
      </c>
      <c r="H2" s="121" t="n">
        <v>100</v>
      </c>
      <c r="I2" s="118" t="n">
        <v/>
      </c>
      <c r="J2" s="118" t="n">
        <v/>
      </c>
      <c r="K2" s="120" t="n">
        <v/>
      </c>
      <c r="L2" s="120" t="n">
        <v/>
      </c>
      <c r="M2" s="120" t="n">
        <v/>
      </c>
      <c r="N2" t="n">
        <v/>
      </c>
      <c r="O2" t="n">
        <v/>
      </c>
      <c r="P2" t="n">
        <v>100</v>
      </c>
      <c r="Q2" t="n">
        <v>100</v>
      </c>
    </row>
    <row r="3">
      <c r="A3" s="117" t="n">
        <v>44417</v>
      </c>
      <c r="B3" s="118" t="n">
        <v>158.8040554603714</v>
      </c>
      <c r="C3" s="118" t="n">
        <v>159.3195910160386</v>
      </c>
      <c r="D3" s="118" t="n">
        <v>157.9939201315855</v>
      </c>
      <c r="E3" s="118" t="n">
        <v>158.1320190429688</v>
      </c>
      <c r="F3" s="119" t="n">
        <v>3612800</v>
      </c>
      <c r="G3" s="120" t="n">
        <v>-0.005960778415659118</v>
      </c>
      <c r="H3" s="121" t="n">
        <v>99.40392215843409</v>
      </c>
      <c r="I3" s="118" t="n">
        <v/>
      </c>
      <c r="J3" s="118" t="n">
        <v/>
      </c>
      <c r="K3" s="120" t="n">
        <v/>
      </c>
      <c r="L3" s="120" t="n">
        <v/>
      </c>
      <c r="M3" s="120" t="n">
        <v/>
      </c>
      <c r="N3" t="n">
        <v/>
      </c>
      <c r="O3" t="n">
        <v/>
      </c>
      <c r="P3" t="n">
        <v>99.91866695268273</v>
      </c>
      <c r="Q3" t="n">
        <v>100.1847773756008</v>
      </c>
    </row>
    <row r="4">
      <c r="A4" s="117" t="n">
        <v>44418</v>
      </c>
      <c r="B4" s="118" t="n">
        <v>157.9387116190999</v>
      </c>
      <c r="C4" s="118" t="n">
        <v>160.1481681314111</v>
      </c>
      <c r="D4" s="118" t="n">
        <v>157.8190286860864</v>
      </c>
      <c r="E4" s="118" t="n">
        <v>158.5923461914062</v>
      </c>
      <c r="F4" s="119" t="n">
        <v>3747100</v>
      </c>
      <c r="G4" s="120" t="n">
        <v>0.002911030613682364</v>
      </c>
      <c r="H4" s="121" t="n">
        <v>99.6932900189574</v>
      </c>
      <c r="I4" s="118" t="n">
        <v/>
      </c>
      <c r="J4" s="118" t="n">
        <v/>
      </c>
      <c r="K4" s="120" t="n">
        <v/>
      </c>
      <c r="L4" s="120" t="n">
        <v/>
      </c>
      <c r="M4" s="120" t="n">
        <v/>
      </c>
      <c r="N4" t="n">
        <v/>
      </c>
      <c r="O4" t="n">
        <v/>
      </c>
      <c r="P4" t="n">
        <v>100.0429688200443</v>
      </c>
      <c r="Q4" t="n">
        <v>99.67124202914214</v>
      </c>
    </row>
    <row r="5">
      <c r="A5" s="117" t="n">
        <v>44419</v>
      </c>
      <c r="B5" s="118" t="n">
        <v>158.3437588507344</v>
      </c>
      <c r="C5" s="118" t="n">
        <v>159.4668959384589</v>
      </c>
      <c r="D5" s="118" t="n">
        <v>157.3679216542209</v>
      </c>
      <c r="E5" s="118" t="n">
        <v>157.6717224121094</v>
      </c>
      <c r="F5" s="119" t="n">
        <v>4078300</v>
      </c>
      <c r="G5" s="120" t="n">
        <v>-0.005804969794606429</v>
      </c>
      <c r="H5" s="121" t="n">
        <v>99.11457348167241</v>
      </c>
      <c r="I5" s="118" t="n">
        <v/>
      </c>
      <c r="J5" s="118" t="n">
        <v/>
      </c>
      <c r="K5" s="120" t="n">
        <v/>
      </c>
      <c r="L5" s="120" t="n">
        <v/>
      </c>
      <c r="M5" s="120" t="n">
        <v/>
      </c>
      <c r="N5" t="n">
        <v/>
      </c>
      <c r="O5" t="n">
        <v/>
      </c>
      <c r="P5" t="n">
        <v>100.2915651756125</v>
      </c>
      <c r="Q5" t="n">
        <v>99.50008351592207</v>
      </c>
    </row>
    <row r="6">
      <c r="A6" s="117" t="n">
        <v>44420</v>
      </c>
      <c r="B6" s="118" t="n">
        <v>157.3218866491524</v>
      </c>
      <c r="C6" s="118" t="n">
        <v>157.7177533457545</v>
      </c>
      <c r="D6" s="118" t="n">
        <v>156.0238327133017</v>
      </c>
      <c r="E6" s="118" t="n">
        <v>157.0917358398438</v>
      </c>
      <c r="F6" s="119" t="n">
        <v>3997100</v>
      </c>
      <c r="G6" s="120" t="n">
        <v>-0.003678443816004684</v>
      </c>
      <c r="H6" s="121" t="n">
        <v>98.74998609177281</v>
      </c>
      <c r="I6" s="118" t="n">
        <v/>
      </c>
      <c r="J6" s="118" t="n">
        <v/>
      </c>
      <c r="K6" s="120" t="n">
        <v/>
      </c>
      <c r="L6" s="120" t="n">
        <v/>
      </c>
      <c r="M6" s="120" t="n">
        <v/>
      </c>
      <c r="N6" t="n">
        <v/>
      </c>
      <c r="O6" t="n">
        <v/>
      </c>
      <c r="P6" t="n">
        <v>100.592103403805</v>
      </c>
      <c r="Q6" t="n">
        <v>99.85871071067136</v>
      </c>
    </row>
    <row r="7">
      <c r="A7" s="117" t="n">
        <v>44421</v>
      </c>
      <c r="B7" s="118" t="n">
        <v>156.916842145996</v>
      </c>
      <c r="C7" s="118" t="n">
        <v>158.0860123631536</v>
      </c>
      <c r="D7" s="118" t="n">
        <v>155.3794361984907</v>
      </c>
      <c r="E7" s="118" t="n">
        <v>158.0583953857422</v>
      </c>
      <c r="F7" s="119" t="n">
        <v>2966200</v>
      </c>
      <c r="G7" s="120" t="n">
        <v>0.006153471668834065</v>
      </c>
      <c r="H7" s="121" t="n">
        <v>99.35764133348628</v>
      </c>
      <c r="I7" s="118" t="n">
        <v/>
      </c>
      <c r="J7" s="118" t="n">
        <v/>
      </c>
      <c r="K7" s="120" t="n">
        <v/>
      </c>
      <c r="L7" s="120" t="n">
        <v/>
      </c>
      <c r="M7" s="120" t="n">
        <v/>
      </c>
      <c r="N7" t="n">
        <v/>
      </c>
      <c r="O7" t="n">
        <v/>
      </c>
      <c r="P7" t="n">
        <v>100.7751949997074</v>
      </c>
      <c r="Q7" t="n">
        <v>100.2092041808369</v>
      </c>
    </row>
    <row r="8">
      <c r="A8" s="117" t="n">
        <v>44424</v>
      </c>
      <c r="B8" s="118" t="n">
        <v>157.1469510764386</v>
      </c>
      <c r="C8" s="118" t="n">
        <v>158.7119735839464</v>
      </c>
      <c r="D8" s="118" t="n">
        <v>156.1895300045138</v>
      </c>
      <c r="E8" s="118" t="n">
        <v>158.6751556396484</v>
      </c>
      <c r="F8" s="119" t="n">
        <v>3530200</v>
      </c>
      <c r="G8" s="120" t="n">
        <v>0.003902103728188777</v>
      </c>
      <c r="H8" s="121" t="n">
        <v>99.74534515615773</v>
      </c>
      <c r="I8" s="118" t="n">
        <v/>
      </c>
      <c r="J8" s="118" t="n">
        <v/>
      </c>
      <c r="K8" s="120" t="n">
        <v/>
      </c>
      <c r="L8" s="120" t="n">
        <v/>
      </c>
      <c r="M8" s="120" t="n">
        <v/>
      </c>
      <c r="N8" t="n">
        <v/>
      </c>
      <c r="O8" t="n">
        <v/>
      </c>
      <c r="P8" t="n">
        <v>101.0124791105343</v>
      </c>
      <c r="Q8" t="n">
        <v>100.2526922671091</v>
      </c>
    </row>
    <row r="9">
      <c r="A9" s="117" t="n">
        <v>44425</v>
      </c>
      <c r="B9" s="118" t="n">
        <v>157.9202898393353</v>
      </c>
      <c r="C9" s="118" t="n">
        <v>158.0675897442241</v>
      </c>
      <c r="D9" s="118" t="n">
        <v>155.9317973125053</v>
      </c>
      <c r="E9" s="118" t="n">
        <v>157.1101684570312</v>
      </c>
      <c r="F9" s="119" t="n">
        <v>3602900</v>
      </c>
      <c r="G9" s="120" t="n">
        <v>-0.009862836915511042</v>
      </c>
      <c r="H9" s="121" t="n">
        <v>98.76157308380118</v>
      </c>
      <c r="I9" s="118" t="n">
        <v/>
      </c>
      <c r="J9" s="118" t="n">
        <v/>
      </c>
      <c r="K9" s="120" t="n">
        <v/>
      </c>
      <c r="L9" s="120" t="n">
        <v/>
      </c>
      <c r="M9" s="120" t="n">
        <v/>
      </c>
      <c r="N9" t="n">
        <v/>
      </c>
      <c r="O9" t="n">
        <v/>
      </c>
      <c r="P9" t="n">
        <v>100.3503180083778</v>
      </c>
      <c r="Q9" t="n">
        <v>99.36966197624729</v>
      </c>
    </row>
    <row r="10">
      <c r="A10" s="117" t="n">
        <v>44426</v>
      </c>
      <c r="B10" s="118" t="n">
        <v>156.2724281650079</v>
      </c>
      <c r="C10" s="118" t="n">
        <v>158.1596679567243</v>
      </c>
      <c r="D10" s="118" t="n">
        <v>155.2689738238407</v>
      </c>
      <c r="E10" s="118" t="n">
        <v>155.4070587158203</v>
      </c>
      <c r="F10" s="119" t="n">
        <v>5487400</v>
      </c>
      <c r="G10" s="120" t="n">
        <v>-0.01084022605243862</v>
      </c>
      <c r="H10" s="121" t="n">
        <v>97.69097530627833</v>
      </c>
      <c r="I10" s="118" t="n">
        <v/>
      </c>
      <c r="J10" s="118" t="n">
        <v/>
      </c>
      <c r="K10" s="120" t="n">
        <v/>
      </c>
      <c r="L10" s="120" t="n">
        <v/>
      </c>
      <c r="M10" s="120" t="n">
        <v/>
      </c>
      <c r="N10" t="n">
        <v/>
      </c>
      <c r="O10" t="n">
        <v/>
      </c>
      <c r="P10" t="n">
        <v>99.25198242846074</v>
      </c>
      <c r="Q10" t="n">
        <v>98.41327437522186</v>
      </c>
    </row>
    <row r="11">
      <c r="A11" s="117" t="n">
        <v>44427</v>
      </c>
      <c r="B11" s="118" t="n">
        <v>153.7039547563207</v>
      </c>
      <c r="C11" s="118" t="n">
        <v>154.2378923837644</v>
      </c>
      <c r="D11" s="118" t="n">
        <v>151.3195811981868</v>
      </c>
      <c r="E11" s="118" t="n">
        <v>152.4427185058594</v>
      </c>
      <c r="F11" s="119" t="n">
        <v>7336300</v>
      </c>
      <c r="G11" s="120" t="n">
        <v>-0.01907468189962702</v>
      </c>
      <c r="H11" s="121" t="n">
        <v>95.82755102784675</v>
      </c>
      <c r="I11" s="118" t="n">
        <v/>
      </c>
      <c r="J11" s="118" t="n">
        <v/>
      </c>
      <c r="K11" s="120" t="n">
        <v/>
      </c>
      <c r="L11" s="120" t="n">
        <v/>
      </c>
      <c r="M11" s="120" t="n">
        <v/>
      </c>
      <c r="N11" t="n">
        <v/>
      </c>
      <c r="O11" t="n">
        <v/>
      </c>
      <c r="P11" t="n">
        <v>99.40565333304995</v>
      </c>
      <c r="Q11" t="n">
        <v>98.88875551023528</v>
      </c>
    </row>
    <row r="12">
      <c r="A12" s="117" t="n">
        <v>44428</v>
      </c>
      <c r="B12" s="118" t="n">
        <v>153.0686955913784</v>
      </c>
      <c r="C12" s="118" t="n">
        <v>154.6705361439358</v>
      </c>
      <c r="D12" s="118" t="n">
        <v>152.2861772647616</v>
      </c>
      <c r="E12" s="118" t="n">
        <v>154.4680023193359</v>
      </c>
      <c r="F12" s="119" t="n">
        <v>4039100</v>
      </c>
      <c r="G12" s="120" t="n">
        <v>0.01328553986262526</v>
      </c>
      <c r="H12" s="121" t="n">
        <v>97.10067177696497</v>
      </c>
      <c r="I12" s="118" t="n">
        <v/>
      </c>
      <c r="J12" s="118" t="n">
        <v/>
      </c>
      <c r="K12" s="120" t="n">
        <v/>
      </c>
      <c r="L12" s="120" t="n">
        <v/>
      </c>
      <c r="M12" s="120" t="n">
        <v/>
      </c>
      <c r="N12" t="n">
        <v/>
      </c>
      <c r="O12" t="n">
        <v/>
      </c>
      <c r="P12" t="n">
        <v>100.1966397246335</v>
      </c>
      <c r="Q12" t="n">
        <v>99.91305800276903</v>
      </c>
    </row>
    <row r="13">
      <c r="A13" s="117" t="n">
        <v>44431</v>
      </c>
      <c r="B13" s="118" t="n">
        <v>155.9962299230354</v>
      </c>
      <c r="C13" s="118" t="n">
        <v>157.3311019289333</v>
      </c>
      <c r="D13" s="118" t="n">
        <v>155.7476630931411</v>
      </c>
      <c r="E13" s="118" t="n">
        <v>156.2447967529297</v>
      </c>
      <c r="F13" s="119" t="n">
        <v>3796500</v>
      </c>
      <c r="G13" s="120" t="n">
        <v>0.01150266985340131</v>
      </c>
      <c r="H13" s="121" t="n">
        <v>98.21758874695888</v>
      </c>
      <c r="I13" s="118" t="n">
        <v/>
      </c>
      <c r="J13" s="118" t="n">
        <v/>
      </c>
      <c r="K13" s="120" t="n">
        <v/>
      </c>
      <c r="L13" s="120" t="n">
        <v/>
      </c>
      <c r="M13" s="120" t="n">
        <v/>
      </c>
      <c r="N13" t="n">
        <v/>
      </c>
      <c r="O13" t="n">
        <v/>
      </c>
      <c r="P13" t="n">
        <v>101.0780207659755</v>
      </c>
      <c r="Q13" t="n">
        <v>101.4074419308027</v>
      </c>
    </row>
    <row r="14">
      <c r="A14" s="117" t="n">
        <v>44432</v>
      </c>
      <c r="B14" s="118" t="n">
        <v>156.1342959644682</v>
      </c>
      <c r="C14" s="118" t="n">
        <v>157.3034518217577</v>
      </c>
      <c r="D14" s="118" t="n">
        <v>155.4806615634645</v>
      </c>
      <c r="E14" s="118" t="n">
        <v>156.4841156005859</v>
      </c>
      <c r="F14" s="119" t="n">
        <v>3133100</v>
      </c>
      <c r="G14" s="120" t="n">
        <v>0.001531691631527998</v>
      </c>
      <c r="H14" s="121" t="n">
        <v>98.36802780571145</v>
      </c>
      <c r="I14" s="118" t="n">
        <v/>
      </c>
      <c r="J14" s="118" t="n">
        <v/>
      </c>
      <c r="K14" s="120" t="n">
        <v/>
      </c>
      <c r="L14" s="120" t="n">
        <v/>
      </c>
      <c r="M14" s="120" t="n">
        <v/>
      </c>
      <c r="N14" t="n">
        <v/>
      </c>
      <c r="O14" t="n">
        <v/>
      </c>
      <c r="P14" t="n">
        <v>101.2384731140853</v>
      </c>
      <c r="Q14" t="n">
        <v>101.7171727959379</v>
      </c>
    </row>
    <row r="15">
      <c r="A15" s="117" t="n">
        <v>44433</v>
      </c>
      <c r="B15" s="118" t="n">
        <v>156.5025550206754</v>
      </c>
      <c r="C15" s="118" t="n">
        <v>157.1377735209729</v>
      </c>
      <c r="D15" s="118" t="n">
        <v>156.0698703624232</v>
      </c>
      <c r="E15" s="118" t="n">
        <v>156.3552551269531</v>
      </c>
      <c r="F15" s="119" t="n">
        <v>3003800</v>
      </c>
      <c r="G15" s="120" t="n">
        <v>-0.0008234731885613522</v>
      </c>
      <c r="H15" s="121" t="n">
        <v>98.2870243722018</v>
      </c>
      <c r="I15" s="118" t="n">
        <v/>
      </c>
      <c r="J15" s="118" t="n">
        <v/>
      </c>
      <c r="K15" s="120" t="n">
        <v/>
      </c>
      <c r="L15" s="120" t="n">
        <v/>
      </c>
      <c r="M15" s="120" t="n">
        <v/>
      </c>
      <c r="N15" t="n">
        <v>44.28347869075839</v>
      </c>
      <c r="O15" t="n">
        <v/>
      </c>
      <c r="P15" t="n">
        <v>101.4508968514399</v>
      </c>
      <c r="Q15" t="n">
        <v>101.8339925608886</v>
      </c>
    </row>
    <row r="16">
      <c r="A16" s="117" t="n">
        <v>44434</v>
      </c>
      <c r="B16" s="118" t="n">
        <v>155.9317892661266</v>
      </c>
      <c r="C16" s="118" t="n">
        <v>156.0606731644306</v>
      </c>
      <c r="D16" s="118" t="n">
        <v>153.0687124813173</v>
      </c>
      <c r="E16" s="118" t="n">
        <v>153.6670989990234</v>
      </c>
      <c r="F16" s="119" t="n">
        <v>4069600</v>
      </c>
      <c r="G16" s="120" t="n">
        <v>-0.0171926177073296</v>
      </c>
      <c r="H16" s="121" t="n">
        <v>96.59721313657954</v>
      </c>
      <c r="I16" s="118" t="n">
        <v/>
      </c>
      <c r="J16" s="118" t="n">
        <v/>
      </c>
      <c r="K16" s="120" t="n">
        <v/>
      </c>
      <c r="L16" s="120" t="n">
        <v/>
      </c>
      <c r="M16" s="120" t="n">
        <v/>
      </c>
      <c r="N16" t="n">
        <v>34.43255057714306</v>
      </c>
      <c r="O16" t="n">
        <v/>
      </c>
      <c r="P16" t="n">
        <v>100.8520193832694</v>
      </c>
      <c r="Q16" t="n">
        <v>101.1873358249985</v>
      </c>
    </row>
    <row r="17">
      <c r="A17" s="117" t="n">
        <v>44435</v>
      </c>
      <c r="B17" s="118" t="n">
        <v>154.2434106778738</v>
      </c>
      <c r="C17" s="118" t="n">
        <v>154.9811113779637</v>
      </c>
      <c r="D17" s="118" t="n">
        <v>153.3305044785846</v>
      </c>
      <c r="E17" s="118" t="n">
        <v>154.5292663574219</v>
      </c>
      <c r="F17" s="119" t="n">
        <v>3012400</v>
      </c>
      <c r="G17" s="120" t="n">
        <v>0.005610617783601946</v>
      </c>
      <c r="H17" s="121" t="n">
        <v>97.13918317845001</v>
      </c>
      <c r="I17" s="118" t="n">
        <v/>
      </c>
      <c r="J17" s="118" t="n">
        <v/>
      </c>
      <c r="K17" s="120" t="n">
        <v/>
      </c>
      <c r="L17" s="120" t="n">
        <v/>
      </c>
      <c r="M17" s="120" t="n">
        <v/>
      </c>
      <c r="N17" t="n">
        <v>39.11094091683632</v>
      </c>
      <c r="O17" t="n">
        <v/>
      </c>
      <c r="P17" t="n">
        <v>101.7537299968631</v>
      </c>
      <c r="Q17" t="n">
        <v>102.1709184316436</v>
      </c>
    </row>
    <row r="18">
      <c r="A18" s="117" t="n">
        <v>44438</v>
      </c>
      <c r="B18" s="118" t="n">
        <v>154.8151020578281</v>
      </c>
      <c r="C18" s="118" t="n">
        <v>155.2946095615759</v>
      </c>
      <c r="D18" s="118" t="n">
        <v>153.5979080196607</v>
      </c>
      <c r="E18" s="118" t="n">
        <v>154.9441986083984</v>
      </c>
      <c r="F18" s="119" t="n">
        <v>3537100</v>
      </c>
      <c r="G18" s="120" t="n">
        <v>0.00268513700192452</v>
      </c>
      <c r="H18" s="121" t="n">
        <v>97.4000151935392</v>
      </c>
      <c r="I18" s="118" t="n">
        <v/>
      </c>
      <c r="J18" s="118" t="n">
        <v/>
      </c>
      <c r="K18" s="120" t="n">
        <v/>
      </c>
      <c r="L18" s="120" t="n">
        <v/>
      </c>
      <c r="M18" s="120" t="n">
        <v/>
      </c>
      <c r="N18" t="n">
        <v>41.28237641720045</v>
      </c>
      <c r="O18" t="n">
        <v/>
      </c>
      <c r="P18" t="n">
        <v>102.2012093402098</v>
      </c>
      <c r="Q18" t="n">
        <v>103.3174916516117</v>
      </c>
    </row>
    <row r="19">
      <c r="A19" s="117" t="n">
        <v>44439</v>
      </c>
      <c r="B19" s="118" t="n">
        <v>154.5016078072766</v>
      </c>
      <c r="C19" s="118" t="n">
        <v>154.6214741489304</v>
      </c>
      <c r="D19" s="118" t="n">
        <v>151.412492201606</v>
      </c>
      <c r="E19" s="118" t="n">
        <v>151.9104461669922</v>
      </c>
      <c r="F19" s="119" t="n">
        <v>7545600</v>
      </c>
      <c r="G19" s="120" t="n">
        <v>-0.01957964524424483</v>
      </c>
      <c r="H19" s="121" t="n">
        <v>95.49295744926565</v>
      </c>
      <c r="I19" s="118" t="n">
        <v/>
      </c>
      <c r="J19" s="118" t="n">
        <v/>
      </c>
      <c r="K19" s="120" t="n">
        <v/>
      </c>
      <c r="L19" s="120" t="n">
        <v/>
      </c>
      <c r="M19" s="120" t="n">
        <v/>
      </c>
      <c r="N19" t="n">
        <v>32.23174108515585</v>
      </c>
      <c r="O19" t="n">
        <v/>
      </c>
      <c r="P19" t="n">
        <v>102.0497890779207</v>
      </c>
      <c r="Q19" t="n">
        <v>103.2332751356226</v>
      </c>
    </row>
    <row r="20">
      <c r="A20" s="117" t="n">
        <v>44440</v>
      </c>
      <c r="B20" s="118" t="n">
        <v>152.0764409811119</v>
      </c>
      <c r="C20" s="118" t="n">
        <v>153.6440464167036</v>
      </c>
      <c r="D20" s="118" t="n">
        <v>151.3018614581803</v>
      </c>
      <c r="E20" s="118" t="n">
        <v>151.7444763183594</v>
      </c>
      <c r="F20" s="119" t="n">
        <v>4706500</v>
      </c>
      <c r="G20" s="120" t="n">
        <v>-0.001092550596884956</v>
      </c>
      <c r="H20" s="121" t="n">
        <v>95.38862656160615</v>
      </c>
      <c r="I20" s="118" t="n">
        <v/>
      </c>
      <c r="J20" s="118" t="n">
        <v/>
      </c>
      <c r="K20" s="120" t="n">
        <v/>
      </c>
      <c r="L20" s="120" t="n">
        <v/>
      </c>
      <c r="M20" s="120" t="n">
        <v/>
      </c>
      <c r="N20" t="n">
        <v>31.8207255871215</v>
      </c>
      <c r="O20" t="n">
        <v/>
      </c>
      <c r="P20" t="n">
        <v>102.1040258677757</v>
      </c>
      <c r="Q20" t="n">
        <v>103.4044507364994</v>
      </c>
    </row>
    <row r="21">
      <c r="A21" s="117" t="n">
        <v>44441</v>
      </c>
      <c r="B21" s="118" t="n">
        <v>152.3714905640187</v>
      </c>
      <c r="C21" s="118" t="n">
        <v>152.5466819779686</v>
      </c>
      <c r="D21" s="118" t="n">
        <v>150.112279722363</v>
      </c>
      <c r="E21" s="118" t="n">
        <v>150.9237518310547</v>
      </c>
      <c r="F21" s="119" t="n">
        <v>4632100</v>
      </c>
      <c r="G21" s="120" t="n">
        <v>-0.005408595470604238</v>
      </c>
      <c r="H21" s="121" t="n">
        <v>94.87270806803788</v>
      </c>
      <c r="I21" s="118" t="n">
        <v/>
      </c>
      <c r="J21" s="118" t="n">
        <v/>
      </c>
      <c r="K21" s="120" t="n">
        <v/>
      </c>
      <c r="L21" s="120" t="n">
        <v/>
      </c>
      <c r="M21" s="120" t="n">
        <v/>
      </c>
      <c r="N21" t="n">
        <v>29.79722589602834</v>
      </c>
      <c r="O21" t="n">
        <v/>
      </c>
      <c r="P21" t="n">
        <v>102.4181491204748</v>
      </c>
      <c r="Q21" t="n">
        <v>103.3555116877436</v>
      </c>
    </row>
    <row r="22">
      <c r="A22" s="117" t="n">
        <v>44442</v>
      </c>
      <c r="B22" s="118" t="n">
        <v>150.4903918670365</v>
      </c>
      <c r="C22" s="118" t="n">
        <v>151.38485183361</v>
      </c>
      <c r="D22" s="118" t="n">
        <v>149.586715740669</v>
      </c>
      <c r="E22" s="118" t="n">
        <v>150.5733795166016</v>
      </c>
      <c r="F22" s="119" t="n">
        <v>4254500</v>
      </c>
      <c r="G22" s="120" t="n">
        <v>-0.00232151871526054</v>
      </c>
      <c r="H22" s="121" t="n">
        <v>94.65245930069048</v>
      </c>
      <c r="I22" s="118" t="n">
        <v/>
      </c>
      <c r="J22" s="118" t="n">
        <v/>
      </c>
      <c r="K22" s="120" t="n">
        <v>0.1475810676411378</v>
      </c>
      <c r="L22" s="120" t="n">
        <v/>
      </c>
      <c r="M22" s="120" t="n">
        <v>-0.05347540699309494</v>
      </c>
      <c r="N22" t="n">
        <v>28.95083452864054</v>
      </c>
      <c r="O22" t="n">
        <v/>
      </c>
      <c r="P22" t="n">
        <v>102.3932813678474</v>
      </c>
      <c r="Q22" t="n">
        <v>103.6734275404326</v>
      </c>
    </row>
    <row r="23">
      <c r="A23" s="117" t="n">
        <v>44446</v>
      </c>
      <c r="B23" s="118" t="n">
        <v>150.951446597306</v>
      </c>
      <c r="C23" s="118" t="n">
        <v>151.0989895704675</v>
      </c>
      <c r="D23" s="118" t="n">
        <v>149.3008535552875</v>
      </c>
      <c r="E23" s="118" t="n">
        <v>149.9739990234375</v>
      </c>
      <c r="F23" s="119" t="n">
        <v>5648800</v>
      </c>
      <c r="G23" s="120" t="n">
        <v>-0.003980653785471966</v>
      </c>
      <c r="H23" s="121" t="n">
        <v>94.27568063027097</v>
      </c>
      <c r="I23" s="118" t="n">
        <v/>
      </c>
      <c r="J23" s="118" t="n">
        <v/>
      </c>
      <c r="K23" s="120" t="n">
        <v>0.1471681133262824</v>
      </c>
      <c r="L23" s="120" t="n">
        <v/>
      </c>
      <c r="M23" s="120" t="n">
        <v>-0.05724319369729025</v>
      </c>
      <c r="N23" t="n">
        <v>27.5111679395345</v>
      </c>
      <c r="O23" t="n">
        <v/>
      </c>
      <c r="P23" t="n">
        <v>102.0271719675934</v>
      </c>
      <c r="Q23" t="n">
        <v>103.8201336169315</v>
      </c>
    </row>
    <row r="24">
      <c r="A24" s="117" t="n">
        <v>44447</v>
      </c>
      <c r="B24" s="118" t="n">
        <v>149.3838218104684</v>
      </c>
      <c r="C24" s="118" t="n">
        <v>149.4668094456724</v>
      </c>
      <c r="D24" s="118" t="n">
        <v>147.3090465075452</v>
      </c>
      <c r="E24" s="118" t="n">
        <v>148.1942901611328</v>
      </c>
      <c r="F24" s="119" t="n">
        <v>6591700</v>
      </c>
      <c r="G24" s="120" t="n">
        <v>-0.011866782734963</v>
      </c>
      <c r="H24" s="121" t="n">
        <v>93.15693161104079</v>
      </c>
      <c r="I24" s="118" t="n">
        <v/>
      </c>
      <c r="J24" s="118" t="n">
        <v/>
      </c>
      <c r="K24" s="120" t="n">
        <v>0.1491584124485011</v>
      </c>
      <c r="L24" s="120" t="n">
        <v/>
      </c>
      <c r="M24" s="120" t="n">
        <v>-0.06843068388959206</v>
      </c>
      <c r="N24" t="n">
        <v>23.73672639010339</v>
      </c>
      <c r="O24" t="n">
        <v/>
      </c>
      <c r="P24" t="n">
        <v>101.902892237697</v>
      </c>
      <c r="Q24" t="n">
        <v>103.458772397112</v>
      </c>
    </row>
    <row r="25">
      <c r="A25" s="117" t="n">
        <v>44448</v>
      </c>
      <c r="B25" s="118" t="n">
        <v>152.3899805950664</v>
      </c>
      <c r="C25" s="118" t="n">
        <v>153.2106691720138</v>
      </c>
      <c r="D25" s="118" t="n">
        <v>150.4904102307033</v>
      </c>
      <c r="E25" s="118" t="n">
        <v>150.6195068359375</v>
      </c>
      <c r="F25" s="119" t="n">
        <v>8414800</v>
      </c>
      <c r="G25" s="120" t="n">
        <v>0.01636511549917152</v>
      </c>
      <c r="H25" s="121" t="n">
        <v>94.68145555640389</v>
      </c>
      <c r="I25" s="118" t="n">
        <v/>
      </c>
      <c r="J25" s="118" t="n">
        <v/>
      </c>
      <c r="K25" s="120" t="n">
        <v>0.1642963960376217</v>
      </c>
      <c r="L25" s="120" t="n">
        <v/>
      </c>
      <c r="M25" s="120" t="n">
        <v>-0.05318544443596096</v>
      </c>
      <c r="N25" t="n">
        <v>36.51815705619359</v>
      </c>
      <c r="O25" t="n">
        <v/>
      </c>
      <c r="P25" t="n">
        <v>101.4667325182466</v>
      </c>
      <c r="Q25" t="n">
        <v>103.1028450521195</v>
      </c>
    </row>
    <row r="26">
      <c r="A26" s="117" t="n">
        <v>44449</v>
      </c>
      <c r="B26" s="118" t="n">
        <v>151.4586102888956</v>
      </c>
      <c r="C26" s="118" t="n">
        <v>152.7588063020788</v>
      </c>
      <c r="D26" s="118" t="n">
        <v>150.7116933661437</v>
      </c>
      <c r="E26" s="118" t="n">
        <v>150.8500061035156</v>
      </c>
      <c r="F26" s="119" t="n">
        <v>4252100</v>
      </c>
      <c r="G26" s="120" t="n">
        <v>0.001530341404113011</v>
      </c>
      <c r="H26" s="121" t="n">
        <v>94.82635050804355</v>
      </c>
      <c r="I26" s="118" t="n">
        <v/>
      </c>
      <c r="J26" s="118" t="n">
        <v/>
      </c>
      <c r="K26" s="120" t="n">
        <v>0.1647289365642859</v>
      </c>
      <c r="L26" s="120" t="n">
        <v/>
      </c>
      <c r="M26" s="120" t="n">
        <v>-0.05173649491956445</v>
      </c>
      <c r="N26" t="n">
        <v>37.58876506683074</v>
      </c>
      <c r="O26" t="n">
        <v/>
      </c>
      <c r="P26" t="n">
        <v>100.6667066616872</v>
      </c>
      <c r="Q26" t="n">
        <v>102.320341445556</v>
      </c>
    </row>
    <row r="27">
      <c r="A27" s="117" t="n">
        <v>44452</v>
      </c>
      <c r="B27" s="118" t="n">
        <v>148.9781240226613</v>
      </c>
      <c r="C27" s="118" t="n">
        <v>150.2322113132133</v>
      </c>
      <c r="D27" s="118" t="n">
        <v>145.999671984028</v>
      </c>
      <c r="E27" s="118" t="n">
        <v>147.0970001220703</v>
      </c>
      <c r="F27" s="119" t="n">
        <v>8814500</v>
      </c>
      <c r="G27" s="120" t="n">
        <v>-0.02487905753792241</v>
      </c>
      <c r="H27" s="121" t="n">
        <v>92.46716027764273</v>
      </c>
      <c r="I27" s="118" t="n">
        <v/>
      </c>
      <c r="J27" s="118" t="n">
        <v/>
      </c>
      <c r="K27" s="120" t="n">
        <v>0.1804976848069389</v>
      </c>
      <c r="L27" s="120" t="n">
        <v/>
      </c>
      <c r="M27" s="120" t="n">
        <v>-0.07532839722357254</v>
      </c>
      <c r="N27" t="n">
        <v>29.01002581485444</v>
      </c>
      <c r="O27" t="n">
        <v/>
      </c>
      <c r="P27" t="n">
        <v>100.9243351030761</v>
      </c>
      <c r="Q27" t="n">
        <v>102.2497096166342</v>
      </c>
    </row>
    <row r="28">
      <c r="A28" s="117" t="n">
        <v>44453</v>
      </c>
      <c r="B28" s="118" t="n">
        <v>146.7742069482915</v>
      </c>
      <c r="C28" s="118" t="n">
        <v>146.9770749828949</v>
      </c>
      <c r="D28" s="118" t="n">
        <v>144.8377585322636</v>
      </c>
      <c r="E28" s="118" t="n">
        <v>146.3961334228516</v>
      </c>
      <c r="F28" s="119" t="n">
        <v>5323900</v>
      </c>
      <c r="G28" s="120" t="n">
        <v>-0.004764656645867227</v>
      </c>
      <c r="H28" s="121" t="n">
        <v>92.02658600790139</v>
      </c>
      <c r="I28" s="118" t="n">
        <v/>
      </c>
      <c r="J28" s="118" t="n">
        <v/>
      </c>
      <c r="K28" s="120" t="n">
        <v>0.1783767245205891</v>
      </c>
      <c r="L28" s="120" t="n">
        <v/>
      </c>
      <c r="M28" s="120" t="n">
        <v>-0.07973413992098588</v>
      </c>
      <c r="N28" t="n">
        <v>27.73692001537034</v>
      </c>
      <c r="O28" t="n">
        <v/>
      </c>
      <c r="P28" t="n">
        <v>100.3796944247605</v>
      </c>
      <c r="Q28" t="n">
        <v>101.9589887695649</v>
      </c>
    </row>
    <row r="29">
      <c r="A29" s="117" t="n">
        <v>44454</v>
      </c>
      <c r="B29" s="118" t="n">
        <v>145.2342769058025</v>
      </c>
      <c r="C29" s="118" t="n">
        <v>145.9904240219319</v>
      </c>
      <c r="D29" s="118" t="n">
        <v>143.5467912380595</v>
      </c>
      <c r="E29" s="118" t="n">
        <v>145.6123504638672</v>
      </c>
      <c r="F29" s="119" t="n">
        <v>6827100</v>
      </c>
      <c r="G29" s="120" t="n">
        <v>-0.005353850137014837</v>
      </c>
      <c r="H29" s="121" t="n">
        <v>91.53388945779398</v>
      </c>
      <c r="I29" s="118" t="n">
        <v/>
      </c>
      <c r="J29" s="118" t="n">
        <v/>
      </c>
      <c r="K29" s="120" t="n">
        <v>0.1771108806968201</v>
      </c>
      <c r="L29" s="120" t="n">
        <v/>
      </c>
      <c r="M29" s="120" t="n">
        <v>-0.08466110542206007</v>
      </c>
      <c r="N29" t="n">
        <v>26.34455737415136</v>
      </c>
      <c r="O29" t="n">
        <v/>
      </c>
      <c r="P29" t="n">
        <v>101.2181361626785</v>
      </c>
      <c r="Q29" t="n">
        <v>102.7170228517505</v>
      </c>
    </row>
    <row r="30">
      <c r="A30" s="117" t="n">
        <v>44455</v>
      </c>
      <c r="B30" s="118" t="n">
        <v>145.3172773385147</v>
      </c>
      <c r="C30" s="118" t="n">
        <v>146.6266895634783</v>
      </c>
      <c r="D30" s="118" t="n">
        <v>144.9576501363801</v>
      </c>
      <c r="E30" s="118" t="n">
        <v>145.3265075683594</v>
      </c>
      <c r="F30" s="119" t="n">
        <v>5085900</v>
      </c>
      <c r="G30" s="120" t="n">
        <v>-0.0019630401857893</v>
      </c>
      <c r="H30" s="121" t="n">
        <v>91.35420475442673</v>
      </c>
      <c r="I30" s="118" t="n">
        <v/>
      </c>
      <c r="J30" s="118" t="n">
        <v/>
      </c>
      <c r="K30" s="120" t="n">
        <v>0.175178999489316</v>
      </c>
      <c r="L30" s="120" t="n">
        <v/>
      </c>
      <c r="M30" s="120" t="n">
        <v>-0.08645795245573251</v>
      </c>
      <c r="N30" t="n">
        <v>25.83520042903116</v>
      </c>
      <c r="O30" t="n">
        <v/>
      </c>
      <c r="P30" t="n">
        <v>101.0576690562584</v>
      </c>
      <c r="Q30" t="n">
        <v>102.7876546806723</v>
      </c>
    </row>
    <row r="31">
      <c r="A31" s="117" t="n">
        <v>44456</v>
      </c>
      <c r="B31" s="118" t="n">
        <v>145.6584644757974</v>
      </c>
      <c r="C31" s="118" t="n">
        <v>148.4617104574018</v>
      </c>
      <c r="D31" s="118" t="n">
        <v>143.9156536549859</v>
      </c>
      <c r="E31" s="118" t="n">
        <v>144.2383880615234</v>
      </c>
      <c r="F31" s="119" t="n">
        <v>7944800</v>
      </c>
      <c r="G31" s="120" t="n">
        <v>-0.007487412482709677</v>
      </c>
      <c r="H31" s="121" t="n">
        <v>90.67019814140042</v>
      </c>
      <c r="I31" s="118" t="n">
        <v/>
      </c>
      <c r="J31" s="118" t="n">
        <v/>
      </c>
      <c r="K31" s="120" t="n">
        <v>0.1659143324135063</v>
      </c>
      <c r="L31" s="120" t="n">
        <v/>
      </c>
      <c r="M31" s="120" t="n">
        <v>-0.09329801858599562</v>
      </c>
      <c r="N31" t="n">
        <v>23.9378386888163</v>
      </c>
      <c r="O31" t="n">
        <v/>
      </c>
      <c r="P31" t="n">
        <v>100.0732823891225</v>
      </c>
      <c r="Q31" t="n">
        <v>101.5704581756107</v>
      </c>
    </row>
    <row r="32">
      <c r="A32" s="117" t="n">
        <v>44459</v>
      </c>
      <c r="B32" s="118" t="n">
        <v>141.757873391079</v>
      </c>
      <c r="C32" s="118" t="n">
        <v>143.1779497743447</v>
      </c>
      <c r="D32" s="118" t="n">
        <v>140.4576914934939</v>
      </c>
      <c r="E32" s="118" t="n">
        <v>142.2373809814453</v>
      </c>
      <c r="F32" s="119" t="n">
        <v>7041200</v>
      </c>
      <c r="G32" s="120" t="n">
        <v>-0.01387291626709397</v>
      </c>
      <c r="H32" s="121" t="n">
        <v>89.41233807466395</v>
      </c>
      <c r="I32" s="118" t="n">
        <v/>
      </c>
      <c r="J32" s="118" t="n">
        <v/>
      </c>
      <c r="K32" s="120" t="n">
        <v>0.1590521596051535</v>
      </c>
      <c r="L32" s="120" t="n">
        <v/>
      </c>
      <c r="M32" s="120" t="n">
        <v>-0.1058766192533603</v>
      </c>
      <c r="N32" t="n">
        <v>20.89831038713906</v>
      </c>
      <c r="O32" t="n">
        <v/>
      </c>
      <c r="P32" t="n">
        <v>98.40462667120335</v>
      </c>
      <c r="Q32" t="n">
        <v>99.47164965519248</v>
      </c>
    </row>
    <row r="33">
      <c r="A33" s="117" t="n">
        <v>44460</v>
      </c>
      <c r="B33" s="118" t="n">
        <v>143.0119441984882</v>
      </c>
      <c r="C33" s="118" t="n">
        <v>143.9709592704099</v>
      </c>
      <c r="D33" s="118" t="n">
        <v>141.6195445901913</v>
      </c>
      <c r="E33" s="118" t="n">
        <v>142.9474029541016</v>
      </c>
      <c r="F33" s="119" t="n">
        <v>5857900</v>
      </c>
      <c r="G33" s="120" t="n">
        <v>0.004991809943047709</v>
      </c>
      <c r="H33" s="121" t="n">
        <v>89.8586674728962</v>
      </c>
      <c r="I33" s="118" t="n">
        <v/>
      </c>
      <c r="J33" s="118" t="n">
        <v/>
      </c>
      <c r="K33" s="120" t="n">
        <v>0.1521266337329669</v>
      </c>
      <c r="L33" s="120" t="n">
        <v/>
      </c>
      <c r="M33" s="120" t="n">
        <v>-0.1014133252710377</v>
      </c>
      <c r="N33" t="n">
        <v>24.5587880339656</v>
      </c>
      <c r="O33" t="n">
        <v/>
      </c>
      <c r="P33" t="n">
        <v>98.31165669632125</v>
      </c>
      <c r="Q33" t="n">
        <v>99.59406562770869</v>
      </c>
    </row>
    <row r="34">
      <c r="A34" s="117" t="n">
        <v>44461</v>
      </c>
      <c r="B34" s="118" t="n">
        <v>144.5795974584625</v>
      </c>
      <c r="C34" s="118" t="n">
        <v>145.695372004697</v>
      </c>
      <c r="D34" s="118" t="n">
        <v>143.4822833745876</v>
      </c>
      <c r="E34" s="118" t="n">
        <v>145.1789855957031</v>
      </c>
      <c r="F34" s="119" t="n">
        <v>6844800</v>
      </c>
      <c r="G34" s="120" t="n">
        <v>0.01561121500275231</v>
      </c>
      <c r="H34" s="121" t="n">
        <v>91.26147045067641</v>
      </c>
      <c r="I34" s="118" t="n">
        <v/>
      </c>
      <c r="J34" s="118" t="n">
        <v/>
      </c>
      <c r="K34" s="120" t="n">
        <v>0.1668928238906205</v>
      </c>
      <c r="L34" s="120" t="n">
        <v/>
      </c>
      <c r="M34" s="120" t="n">
        <v>-0.08738529549323559</v>
      </c>
      <c r="N34" t="n">
        <v>34.77504191349473</v>
      </c>
      <c r="O34" t="n">
        <v/>
      </c>
      <c r="P34" t="n">
        <v>99.27068120743931</v>
      </c>
      <c r="Q34" t="n">
        <v>100.5243262016574</v>
      </c>
    </row>
    <row r="35">
      <c r="A35" s="117" t="n">
        <v>44462</v>
      </c>
      <c r="B35" s="118" t="n">
        <v>146.3500559680492</v>
      </c>
      <c r="C35" s="118" t="n">
        <v>147.8069970146004</v>
      </c>
      <c r="D35" s="118" t="n">
        <v>145.9443198505908</v>
      </c>
      <c r="E35" s="118" t="n">
        <v>147.1522979736328</v>
      </c>
      <c r="F35" s="119" t="n">
        <v>11981500</v>
      </c>
      <c r="G35" s="120" t="n">
        <v>0.0135922728061002</v>
      </c>
      <c r="H35" s="121" t="n">
        <v>92.50192125372786</v>
      </c>
      <c r="I35" s="118" t="n">
        <v/>
      </c>
      <c r="J35" s="118" t="n">
        <v/>
      </c>
      <c r="K35" s="120" t="n">
        <v>0.177672944320496</v>
      </c>
      <c r="L35" s="120" t="n">
        <v/>
      </c>
      <c r="M35" s="120" t="n">
        <v>-0.07498078746272119</v>
      </c>
      <c r="N35" t="n">
        <v>42.22555757256738</v>
      </c>
      <c r="O35" t="n">
        <v>-0.001253609439748615</v>
      </c>
      <c r="P35" t="n">
        <v>100.4768336222641</v>
      </c>
      <c r="Q35" t="n">
        <v>101.451852750536</v>
      </c>
    </row>
    <row r="36">
      <c r="A36" s="117" t="n">
        <v>44463</v>
      </c>
      <c r="B36" s="118" t="n">
        <v>139.2773362682916</v>
      </c>
      <c r="C36" s="118" t="n">
        <v>140.0242670982906</v>
      </c>
      <c r="D36" s="118" t="n">
        <v>136.4740908631891</v>
      </c>
      <c r="E36" s="118" t="n">
        <v>137.9402618408203</v>
      </c>
      <c r="F36" s="119" t="n">
        <v>26913300</v>
      </c>
      <c r="G36" s="120" t="n">
        <v>-0.06260205419600817</v>
      </c>
      <c r="H36" s="121" t="n">
        <v>86.7111109661671</v>
      </c>
      <c r="I36" s="118" t="n">
        <v/>
      </c>
      <c r="J36" s="118" t="n">
        <v/>
      </c>
      <c r="K36" s="120" t="n">
        <v>0.2732805703700706</v>
      </c>
      <c r="L36" s="120" t="n">
        <v/>
      </c>
      <c r="M36" s="120" t="n">
        <v>-0.1328888903383286</v>
      </c>
      <c r="N36" t="n">
        <v>26.82229015219725</v>
      </c>
      <c r="O36" t="n">
        <v>-0.3748510277399459</v>
      </c>
      <c r="P36" t="n">
        <v>100.6423406916054</v>
      </c>
      <c r="Q36" t="n">
        <v>101.5470395421192</v>
      </c>
    </row>
    <row r="37">
      <c r="A37" s="117" t="n">
        <v>44466</v>
      </c>
      <c r="B37" s="118" t="n">
        <v>137.8665073065262</v>
      </c>
      <c r="C37" s="118" t="n">
        <v>138.235364688336</v>
      </c>
      <c r="D37" s="118" t="n">
        <v>135.8193945665109</v>
      </c>
      <c r="E37" s="118" t="n">
        <v>136.510986328125</v>
      </c>
      <c r="F37" s="119" t="n">
        <v>11479300</v>
      </c>
      <c r="G37" s="120" t="n">
        <v>-0.01036155429619712</v>
      </c>
      <c r="H37" s="121" t="n">
        <v>85.81264908180759</v>
      </c>
      <c r="I37" s="118" t="n">
        <v/>
      </c>
      <c r="J37" s="118" t="n">
        <v/>
      </c>
      <c r="K37" s="120" t="n">
        <v>0.2707392297130467</v>
      </c>
      <c r="L37" s="120" t="n">
        <v/>
      </c>
      <c r="M37" s="120" t="n">
        <v>-0.1418735091819239</v>
      </c>
      <c r="N37" t="n">
        <v>25.28136018127873</v>
      </c>
      <c r="O37" t="n">
        <v>-0.6529029808193929</v>
      </c>
      <c r="P37" t="n">
        <v>100.3543986811383</v>
      </c>
      <c r="Q37" t="n">
        <v>100.7364780032732</v>
      </c>
    </row>
    <row r="38">
      <c r="A38" s="117" t="n">
        <v>44467</v>
      </c>
      <c r="B38" s="118" t="n">
        <v>135.8655138020361</v>
      </c>
      <c r="C38" s="118" t="n">
        <v>136.0407193128744</v>
      </c>
      <c r="D38" s="118" t="n">
        <v>133.7077507190691</v>
      </c>
      <c r="E38" s="118" t="n">
        <v>133.9843902587891</v>
      </c>
      <c r="F38" s="119" t="n">
        <v>10692300</v>
      </c>
      <c r="G38" s="120" t="n">
        <v>-0.01850837165049035</v>
      </c>
      <c r="H38" s="121" t="n">
        <v>84.22439668028838</v>
      </c>
      <c r="I38" s="118" t="n">
        <v/>
      </c>
      <c r="J38" s="118" t="n">
        <v/>
      </c>
      <c r="K38" s="120" t="n">
        <v>0.2721309046374606</v>
      </c>
      <c r="L38" s="120" t="n">
        <v/>
      </c>
      <c r="M38" s="120" t="n">
        <v>-0.1577560331971158</v>
      </c>
      <c r="N38" t="n">
        <v>22.7889686684787</v>
      </c>
      <c r="O38" t="n">
        <v>-0.9250332809041324</v>
      </c>
      <c r="P38" t="n">
        <v>98.33205268096874</v>
      </c>
      <c r="Q38" t="n">
        <v>97.88588948301725</v>
      </c>
    </row>
    <row r="39">
      <c r="A39" s="117" t="n">
        <v>44468</v>
      </c>
      <c r="B39" s="118" t="n">
        <v>134.362444513451</v>
      </c>
      <c r="C39" s="118" t="n">
        <v>136.4187732719493</v>
      </c>
      <c r="D39" s="118" t="n">
        <v>134.3439981279956</v>
      </c>
      <c r="E39" s="118" t="n">
        <v>134.6483001708984</v>
      </c>
      <c r="F39" s="119" t="n">
        <v>7794900</v>
      </c>
      <c r="G39" s="120" t="n">
        <v>0.00495512880886384</v>
      </c>
      <c r="H39" s="121" t="n">
        <v>84.64173941468806</v>
      </c>
      <c r="I39" s="118" t="n">
        <v/>
      </c>
      <c r="J39" s="118" t="n">
        <v/>
      </c>
      <c r="K39" s="120" t="n">
        <v>0.2711389526099568</v>
      </c>
      <c r="L39" s="120" t="n">
        <v/>
      </c>
      <c r="M39" s="120" t="n">
        <v>-0.1535826058531191</v>
      </c>
      <c r="N39" t="n">
        <v>24.88454342804931</v>
      </c>
      <c r="O39" t="n">
        <v>-0.9734675075145343</v>
      </c>
      <c r="P39" t="n">
        <v>98.49758926693032</v>
      </c>
      <c r="Q39" t="n">
        <v>97.72538512374244</v>
      </c>
    </row>
    <row r="40">
      <c r="A40" s="117" t="n">
        <v>44469</v>
      </c>
      <c r="B40" s="118" t="n">
        <v>134.5192029890061</v>
      </c>
      <c r="C40" s="118" t="n">
        <v>135.994590197796</v>
      </c>
      <c r="D40" s="118" t="n">
        <v>133.1728982663967</v>
      </c>
      <c r="E40" s="118" t="n">
        <v>133.9198150634766</v>
      </c>
      <c r="F40" s="119" t="n">
        <v>10133600</v>
      </c>
      <c r="G40" s="120" t="n">
        <v>-0.005410280757330521</v>
      </c>
      <c r="H40" s="121" t="n">
        <v>84.18380384066579</v>
      </c>
      <c r="I40" s="118" t="n">
        <v/>
      </c>
      <c r="J40" s="118" t="n">
        <v/>
      </c>
      <c r="K40" s="120" t="n">
        <v>0.2705622938304793</v>
      </c>
      <c r="L40" s="120" t="n">
        <v/>
      </c>
      <c r="M40" s="120" t="n">
        <v>-0.1581619615933418</v>
      </c>
      <c r="N40" t="n">
        <v>24.11125790029944</v>
      </c>
      <c r="O40" t="n">
        <v>-0.9657950346876354</v>
      </c>
      <c r="P40" t="n">
        <v>97.29371701102595</v>
      </c>
      <c r="Q40" t="n">
        <v>97.36634782523261</v>
      </c>
    </row>
    <row r="41">
      <c r="A41" s="117" t="n">
        <v>44470</v>
      </c>
      <c r="B41" s="118" t="n">
        <v>133.9106433955348</v>
      </c>
      <c r="C41" s="118" t="n">
        <v>136.4741430653129</v>
      </c>
      <c r="D41" s="118" t="n">
        <v>133.126833567308</v>
      </c>
      <c r="E41" s="118" t="n">
        <v>135.6073455810547</v>
      </c>
      <c r="F41" s="119" t="n">
        <v>8112300</v>
      </c>
      <c r="G41" s="120" t="n">
        <v>0.01260105173217463</v>
      </c>
      <c r="H41" s="121" t="n">
        <v>85.24460830787325</v>
      </c>
      <c r="I41" s="118" t="n">
        <v/>
      </c>
      <c r="J41" s="118" t="n">
        <v/>
      </c>
      <c r="K41" s="120" t="n">
        <v>0.2785941549288767</v>
      </c>
      <c r="L41" s="120" t="n">
        <v/>
      </c>
      <c r="M41" s="120" t="n">
        <v>-0.1475539169212672</v>
      </c>
      <c r="N41" t="n">
        <v>29.57106113441164</v>
      </c>
      <c r="O41" t="n">
        <v>-0.7669724581457817</v>
      </c>
      <c r="P41" t="n">
        <v>98.44996420002906</v>
      </c>
      <c r="Q41" t="n">
        <v>97.97018289346148</v>
      </c>
    </row>
    <row r="42">
      <c r="A42" s="117" t="n">
        <v>44473</v>
      </c>
      <c r="B42" s="118" t="n">
        <v>135.6072893260996</v>
      </c>
      <c r="C42" s="118" t="n">
        <v>136.1236755100438</v>
      </c>
      <c r="D42" s="118" t="n">
        <v>134.4085276445329</v>
      </c>
      <c r="E42" s="118" t="n">
        <v>135.6810607910156</v>
      </c>
      <c r="F42" s="119" t="n">
        <v>7951000</v>
      </c>
      <c r="G42" s="120" t="n">
        <v>0.0005435930453847604</v>
      </c>
      <c r="H42" s="121" t="n">
        <v>85.29094668410596</v>
      </c>
      <c r="I42" s="118" t="n">
        <v/>
      </c>
      <c r="J42" s="118" t="n">
        <v/>
      </c>
      <c r="K42" s="120" t="n">
        <v>0.2791699441522048</v>
      </c>
      <c r="L42" s="120" t="n">
        <v/>
      </c>
      <c r="M42" s="120" t="n">
        <v>-0.1470905331589402</v>
      </c>
      <c r="N42" t="n">
        <v>29.80862127036572</v>
      </c>
      <c r="O42" t="n">
        <v>-0.5600051451799866</v>
      </c>
      <c r="P42" t="n">
        <v>97.18035843065142</v>
      </c>
      <c r="Q42" t="n">
        <v>95.91385428757077</v>
      </c>
    </row>
    <row r="43">
      <c r="A43" s="117" t="n">
        <v>44474</v>
      </c>
      <c r="B43" s="118" t="n">
        <v>136.4740842047038</v>
      </c>
      <c r="C43" s="118" t="n">
        <v>139.2404507764208</v>
      </c>
      <c r="D43" s="118" t="n">
        <v>136.3081089642254</v>
      </c>
      <c r="E43" s="118" t="n">
        <v>137.8203887939453</v>
      </c>
      <c r="F43" s="119" t="n">
        <v>10881900</v>
      </c>
      <c r="G43" s="120" t="n">
        <v>0.0157673295775953</v>
      </c>
      <c r="H43" s="121" t="n">
        <v>86.63575715045937</v>
      </c>
      <c r="I43" s="118" t="n">
        <v/>
      </c>
      <c r="J43" s="118" t="n">
        <v/>
      </c>
      <c r="K43" s="120" t="n">
        <v>0.2888012206230753</v>
      </c>
      <c r="L43" s="120" t="n">
        <v/>
      </c>
      <c r="M43" s="120" t="n">
        <v>-0.1336424284954061</v>
      </c>
      <c r="N43" t="n">
        <v>36.50258587961171</v>
      </c>
      <c r="O43" t="n">
        <v>-0.2256834899539406</v>
      </c>
      <c r="P43" t="n">
        <v>98.19150929327097</v>
      </c>
      <c r="Q43" t="n">
        <v>97.2086116663413</v>
      </c>
    </row>
    <row r="44">
      <c r="A44" s="117" t="n">
        <v>44475</v>
      </c>
      <c r="B44" s="118" t="n">
        <v>136.4741369170704</v>
      </c>
      <c r="C44" s="118" t="n">
        <v>137.8204420263147</v>
      </c>
      <c r="D44" s="118" t="n">
        <v>136.0222918037989</v>
      </c>
      <c r="E44" s="118" t="n">
        <v>137.2118377685547</v>
      </c>
      <c r="F44" s="119" t="n">
        <v>7610700</v>
      </c>
      <c r="G44" s="120" t="n">
        <v>-0.004415536995041158</v>
      </c>
      <c r="H44" s="121" t="n">
        <v>86.25321375966811</v>
      </c>
      <c r="I44" s="118" t="n">
        <v/>
      </c>
      <c r="J44" s="118" t="n">
        <v/>
      </c>
      <c r="K44" s="120" t="n">
        <v>0.2873356910146045</v>
      </c>
      <c r="L44" s="120" t="n">
        <v/>
      </c>
      <c r="M44" s="120" t="n">
        <v>-0.1374678624033187</v>
      </c>
      <c r="N44" t="n">
        <v>35.46643852068786</v>
      </c>
      <c r="O44" t="n">
        <v>-0.003913135586381067</v>
      </c>
      <c r="P44" t="n">
        <v>98.59960608594334</v>
      </c>
      <c r="Q44" t="n">
        <v>97.83150801560616</v>
      </c>
    </row>
    <row r="45">
      <c r="A45" s="117" t="n">
        <v>44476</v>
      </c>
      <c r="B45" s="118" t="n">
        <v>138.5950296649402</v>
      </c>
      <c r="C45" s="118" t="n">
        <v>141.6933621653429</v>
      </c>
      <c r="D45" s="118" t="n">
        <v>138.5581368814557</v>
      </c>
      <c r="E45" s="118" t="n">
        <v>140.0243225097656</v>
      </c>
      <c r="F45" s="119" t="n">
        <v>7958000</v>
      </c>
      <c r="G45" s="120" t="n">
        <v>0.02049739138364259</v>
      </c>
      <c r="H45" s="121" t="n">
        <v>88.021179640197</v>
      </c>
      <c r="I45" s="118" t="n">
        <v/>
      </c>
      <c r="J45" s="118" t="n">
        <v/>
      </c>
      <c r="K45" s="120" t="n">
        <v>0.2915038820038581</v>
      </c>
      <c r="L45" s="120" t="n">
        <v/>
      </c>
      <c r="M45" s="120" t="n">
        <v>-0.1197882035980296</v>
      </c>
      <c r="N45" t="n">
        <v>43.45502223006411</v>
      </c>
      <c r="O45" t="n">
        <v>0.3540181047388096</v>
      </c>
      <c r="P45" t="n">
        <v>99.4520608393626</v>
      </c>
      <c r="Q45" t="n">
        <v>98.72909698996656</v>
      </c>
    </row>
    <row r="46">
      <c r="A46" s="117" t="n">
        <v>44477</v>
      </c>
      <c r="B46" s="118" t="n">
        <v>140.365477842224</v>
      </c>
      <c r="C46" s="118" t="n">
        <v>140.9648517953373</v>
      </c>
      <c r="D46" s="118" t="n">
        <v>138.9361852573328</v>
      </c>
      <c r="E46" s="118" t="n">
        <v>140.605224609375</v>
      </c>
      <c r="F46" s="119" t="n">
        <v>6333700</v>
      </c>
      <c r="G46" s="120" t="n">
        <v>0.004148579969518229</v>
      </c>
      <c r="H46" s="121" t="n">
        <v>88.3863425429457</v>
      </c>
      <c r="I46" s="118" t="n">
        <v/>
      </c>
      <c r="J46" s="118" t="n">
        <v/>
      </c>
      <c r="K46" s="120" t="n">
        <v>0.2922475317272178</v>
      </c>
      <c r="L46" s="120" t="n">
        <v/>
      </c>
      <c r="M46" s="120" t="n">
        <v>-0.1161365745705427</v>
      </c>
      <c r="N46" t="n">
        <v>44.9702541766023</v>
      </c>
      <c r="O46" t="n">
        <v>0.6353077337620654</v>
      </c>
      <c r="P46" t="n">
        <v>99.27068120743928</v>
      </c>
      <c r="Q46" t="n">
        <v>98.23681014460004</v>
      </c>
    </row>
    <row r="47">
      <c r="A47" s="117" t="n">
        <v>44480</v>
      </c>
      <c r="B47" s="118" t="n">
        <v>140.1534042744069</v>
      </c>
      <c r="C47" s="118" t="n">
        <v>141.6287918366923</v>
      </c>
      <c r="D47" s="118" t="n">
        <v>138.3737005272496</v>
      </c>
      <c r="E47" s="118" t="n">
        <v>138.5765686035156</v>
      </c>
      <c r="F47" s="119" t="n">
        <v>5551200</v>
      </c>
      <c r="G47" s="120" t="n">
        <v>-0.01442802720521463</v>
      </c>
      <c r="H47" s="121" t="n">
        <v>87.11110198816665</v>
      </c>
      <c r="I47" s="118" t="n">
        <v/>
      </c>
      <c r="J47" s="118" t="n">
        <v/>
      </c>
      <c r="K47" s="120" t="n">
        <v>0.2842800677760582</v>
      </c>
      <c r="L47" s="120" t="n">
        <v/>
      </c>
      <c r="M47" s="120" t="n">
        <v>-0.1288889801183332</v>
      </c>
      <c r="N47" t="n">
        <v>40.85307316950622</v>
      </c>
      <c r="O47" t="n">
        <v>0.6858303217312853</v>
      </c>
      <c r="P47" t="n">
        <v>98.55198839819717</v>
      </c>
      <c r="Q47" t="n">
        <v>97.4833128352652</v>
      </c>
    </row>
    <row r="48">
      <c r="A48" s="117" t="n">
        <v>44481</v>
      </c>
      <c r="B48" s="118" t="n">
        <v>140.5499047508416</v>
      </c>
      <c r="C48" s="118" t="n">
        <v>141.6380165786955</v>
      </c>
      <c r="D48" s="118" t="n">
        <v>139.517132090212</v>
      </c>
      <c r="E48" s="118" t="n">
        <v>141.4074859619141</v>
      </c>
      <c r="F48" s="119" t="n">
        <v>7408600</v>
      </c>
      <c r="G48" s="120" t="n">
        <v>0.02042854276828021</v>
      </c>
      <c r="H48" s="121" t="n">
        <v>88.89065486072393</v>
      </c>
      <c r="I48" s="118" t="n">
        <v/>
      </c>
      <c r="J48" s="118" t="n">
        <v/>
      </c>
      <c r="K48" s="120" t="n">
        <v>0.2958289113129809</v>
      </c>
      <c r="L48" s="120" t="n">
        <v/>
      </c>
      <c r="M48" s="120" t="n">
        <v>-0.1110934513927603</v>
      </c>
      <c r="N48" t="n">
        <v>48.00668817892043</v>
      </c>
      <c r="O48" t="n">
        <v>0.8976275947474486</v>
      </c>
      <c r="P48" t="n">
        <v>98.30939867486605</v>
      </c>
      <c r="Q48" t="n">
        <v>97.14332827396301</v>
      </c>
    </row>
    <row r="49">
      <c r="A49" s="117" t="n">
        <v>44482</v>
      </c>
      <c r="B49" s="118" t="n">
        <v>142.3019781405241</v>
      </c>
      <c r="C49" s="118" t="n">
        <v>144.4689579872405</v>
      </c>
      <c r="D49" s="118" t="n">
        <v>141.2323124592517</v>
      </c>
      <c r="E49" s="118" t="n">
        <v>144.1277770996094</v>
      </c>
      <c r="F49" s="119" t="n">
        <v>8456300</v>
      </c>
      <c r="G49" s="120" t="n">
        <v>0.01923724984706943</v>
      </c>
      <c r="H49" s="121" t="n">
        <v>90.60066659734929</v>
      </c>
      <c r="I49" s="118" t="n">
        <v/>
      </c>
      <c r="J49" s="118" t="n">
        <v/>
      </c>
      <c r="K49" s="120" t="n">
        <v>0.3044037287131919</v>
      </c>
      <c r="L49" s="120" t="n">
        <v/>
      </c>
      <c r="M49" s="120" t="n">
        <v>-0.09399333402650656</v>
      </c>
      <c r="N49" t="n">
        <v>53.79030319938285</v>
      </c>
      <c r="O49" t="n">
        <v>1.190300171089178</v>
      </c>
      <c r="P49" t="n">
        <v>98.66306681965126</v>
      </c>
      <c r="Q49" t="n">
        <v>97.92125238853403</v>
      </c>
    </row>
    <row r="50">
      <c r="A50" s="117" t="n">
        <v>44483</v>
      </c>
      <c r="B50" s="118" t="n">
        <v>145.861314336483</v>
      </c>
      <c r="C50" s="118" t="n">
        <v>146.1195215530657</v>
      </c>
      <c r="D50" s="118" t="n">
        <v>144.0816248600379</v>
      </c>
      <c r="E50" s="118" t="n">
        <v>144.9023132324219</v>
      </c>
      <c r="F50" s="119" t="n">
        <v>6024500</v>
      </c>
      <c r="G50" s="120" t="n">
        <v>0.005373954614433574</v>
      </c>
      <c r="H50" s="121" t="n">
        <v>91.08755046768087</v>
      </c>
      <c r="I50" s="118" t="n">
        <v/>
      </c>
      <c r="J50" s="118" t="n">
        <v/>
      </c>
      <c r="K50" s="120" t="n">
        <v>0.3049964083129517</v>
      </c>
      <c r="L50" s="120" t="n">
        <v/>
      </c>
      <c r="M50" s="120" t="n">
        <v>-0.08912449532319078</v>
      </c>
      <c r="N50" t="n">
        <v>55.31446080492552</v>
      </c>
      <c r="O50" t="n">
        <v>1.391434967034025</v>
      </c>
      <c r="P50" t="n">
        <v>100.3226461768191</v>
      </c>
      <c r="Q50" t="n">
        <v>99.72460678098027</v>
      </c>
    </row>
    <row r="51">
      <c r="A51" s="117" t="n">
        <v>44484</v>
      </c>
      <c r="B51" s="118" t="n">
        <v>145.510951973384</v>
      </c>
      <c r="C51" s="118" t="n">
        <v>145.9996758354166</v>
      </c>
      <c r="D51" s="118" t="n">
        <v>144.3675148613876</v>
      </c>
      <c r="E51" s="118" t="n">
        <v>145.70458984375</v>
      </c>
      <c r="F51" s="119" t="n">
        <v>5532100</v>
      </c>
      <c r="G51" s="120" t="n">
        <v>0.005536672213377836</v>
      </c>
      <c r="H51" s="121" t="n">
        <v>91.59187237733993</v>
      </c>
      <c r="I51" s="118" t="n">
        <v>147.7720657348633</v>
      </c>
      <c r="J51" s="118" t="n">
        <v/>
      </c>
      <c r="K51" s="120" t="n">
        <v>0.3042398939709549</v>
      </c>
      <c r="L51" s="120" t="n">
        <v/>
      </c>
      <c r="M51" s="120" t="n">
        <v>-0.08408127622660011</v>
      </c>
      <c r="N51" t="n">
        <v>56.90022600679156</v>
      </c>
      <c r="O51" t="n">
        <v>1.523250808028521</v>
      </c>
      <c r="P51" t="n">
        <v>101.0866986523522</v>
      </c>
      <c r="Q51" t="n">
        <v>100.3529455489004</v>
      </c>
    </row>
    <row r="52">
      <c r="A52" s="117" t="n">
        <v>44487</v>
      </c>
      <c r="B52" s="118" t="n">
        <v>145.0590518262663</v>
      </c>
      <c r="C52" s="118" t="n">
        <v>147.0508393034109</v>
      </c>
      <c r="D52" s="118" t="n">
        <v>143.8049649781163</v>
      </c>
      <c r="E52" s="118" t="n">
        <v>147.0139465332031</v>
      </c>
      <c r="F52" s="119" t="n">
        <v>5765300</v>
      </c>
      <c r="G52" s="120" t="n">
        <v>0.008986379158386404</v>
      </c>
      <c r="H52" s="121" t="n">
        <v>92.41495167034924</v>
      </c>
      <c r="I52" s="118" t="n">
        <v>147.530739440918</v>
      </c>
      <c r="J52" s="118" t="n">
        <v/>
      </c>
      <c r="K52" s="120" t="n">
        <v>0.3005310422424933</v>
      </c>
      <c r="L52" s="120" t="n">
        <v/>
      </c>
      <c r="M52" s="120" t="n">
        <v>-0.0758504832965069</v>
      </c>
      <c r="N52" t="n">
        <v>59.43062343718289</v>
      </c>
      <c r="O52" t="n">
        <v>1.63359773603214</v>
      </c>
      <c r="P52" t="n">
        <v>101.3859602867155</v>
      </c>
      <c r="Q52" t="n">
        <v>101.3620998337798</v>
      </c>
    </row>
    <row r="53">
      <c r="A53" s="117" t="n">
        <v>44488</v>
      </c>
      <c r="B53" s="118" t="n">
        <v>147.2444765570322</v>
      </c>
      <c r="C53" s="118" t="n">
        <v>147.475007123338</v>
      </c>
      <c r="D53" s="118" t="n">
        <v>144.5887740011081</v>
      </c>
      <c r="E53" s="118" t="n">
        <v>145.5293426513672</v>
      </c>
      <c r="F53" s="119" t="n">
        <v>6198200</v>
      </c>
      <c r="G53" s="120" t="n">
        <v>-0.01009838805667762</v>
      </c>
      <c r="H53" s="121" t="n">
        <v>91.48170962614294</v>
      </c>
      <c r="I53" s="118" t="n">
        <v>147.278685913086</v>
      </c>
      <c r="J53" s="118" t="n">
        <v/>
      </c>
      <c r="K53" s="120" t="n">
        <v>0.3031853860067156</v>
      </c>
      <c r="L53" s="120" t="n">
        <v/>
      </c>
      <c r="M53" s="120" t="n">
        <v>-0.08518290373856985</v>
      </c>
      <c r="N53" t="n">
        <v>55.45511517399464</v>
      </c>
      <c r="O53" t="n">
        <v>1.542676460847824</v>
      </c>
      <c r="P53" t="n">
        <v>102.168150725441</v>
      </c>
      <c r="Q53" t="n">
        <v>102.1291647425253</v>
      </c>
    </row>
    <row r="54">
      <c r="A54" s="117" t="n">
        <v>44489</v>
      </c>
      <c r="B54" s="118" t="n">
        <v>146.1564299883505</v>
      </c>
      <c r="C54" s="118" t="n">
        <v>146.4330695784485</v>
      </c>
      <c r="D54" s="118" t="n">
        <v>145.0683320898989</v>
      </c>
      <c r="E54" s="118" t="n">
        <v>146.1103210449219</v>
      </c>
      <c r="F54" s="119" t="n">
        <v>4487000</v>
      </c>
      <c r="G54" s="120" t="n">
        <v>0.003992173557373135</v>
      </c>
      <c r="H54" s="121" t="n">
        <v>91.84692048829571</v>
      </c>
      <c r="I54" s="118" t="n">
        <v>147.0290454101562</v>
      </c>
      <c r="J54" s="118" t="n">
        <v/>
      </c>
      <c r="K54" s="120" t="n">
        <v>0.2985657411016993</v>
      </c>
      <c r="L54" s="120" t="n">
        <v/>
      </c>
      <c r="M54" s="120" t="n">
        <v>-0.08153079511704209</v>
      </c>
      <c r="N54" t="n">
        <v>56.67646570650057</v>
      </c>
      <c r="O54" t="n">
        <v>1.458674982136775</v>
      </c>
      <c r="P54" t="n">
        <v>102.5694439371275</v>
      </c>
      <c r="Q54" t="n">
        <v>101.9958468450419</v>
      </c>
    </row>
    <row r="55">
      <c r="A55" s="117" t="n">
        <v>44490</v>
      </c>
      <c r="B55" s="118" t="n">
        <v>146.1102473376666</v>
      </c>
      <c r="C55" s="118" t="n">
        <v>149.6973018274849</v>
      </c>
      <c r="D55" s="118" t="n">
        <v>145.9534882654675</v>
      </c>
      <c r="E55" s="118" t="n">
        <v>149.5497589111328</v>
      </c>
      <c r="F55" s="119" t="n">
        <v>6121700</v>
      </c>
      <c r="G55" s="120" t="n">
        <v>0.02354000622004992</v>
      </c>
      <c r="H55" s="121" t="n">
        <v>94.00899756788263</v>
      </c>
      <c r="I55" s="118" t="n">
        <v>146.8666061401367</v>
      </c>
      <c r="J55" s="118" t="n">
        <v/>
      </c>
      <c r="K55" s="120" t="n">
        <v>0.3063417590944665</v>
      </c>
      <c r="L55" s="120" t="n">
        <v/>
      </c>
      <c r="M55" s="120" t="n">
        <v>-0.05991002432117298</v>
      </c>
      <c r="N55" t="n">
        <v>63.12279711028344</v>
      </c>
      <c r="O55" t="n">
        <v>1.562509784434829</v>
      </c>
      <c r="P55" t="n">
        <v>102.8369678254817</v>
      </c>
      <c r="Q55" t="n">
        <v>102.6187431943067</v>
      </c>
    </row>
    <row r="56">
      <c r="A56" s="117" t="n">
        <v>44491</v>
      </c>
      <c r="B56" s="118" t="n">
        <v>149.6420367571912</v>
      </c>
      <c r="C56" s="118" t="n">
        <v>151.7998000098428</v>
      </c>
      <c r="D56" s="118" t="n">
        <v>149.6420367571912</v>
      </c>
      <c r="E56" s="118" t="n">
        <v>150.7485809326172</v>
      </c>
      <c r="F56" s="119" t="n">
        <v>5323000</v>
      </c>
      <c r="G56" s="120" t="n">
        <v>0.008016208318976759</v>
      </c>
      <c r="H56" s="121" t="n">
        <v>94.76259327624496</v>
      </c>
      <c r="I56" s="118" t="n">
        <v>146.7397430419922</v>
      </c>
      <c r="J56" s="118" t="n">
        <v/>
      </c>
      <c r="K56" s="120" t="n">
        <v>0.1938011622256863</v>
      </c>
      <c r="L56" s="120" t="n">
        <v/>
      </c>
      <c r="M56" s="120" t="n">
        <v>-0.05237406723754978</v>
      </c>
      <c r="N56" t="n">
        <v>65.07351963987257</v>
      </c>
      <c r="O56" t="n">
        <v>1.632081392175308</v>
      </c>
      <c r="P56" t="n">
        <v>102.7303980677829</v>
      </c>
      <c r="Q56" t="n">
        <v>101.7565000378064</v>
      </c>
    </row>
    <row r="57">
      <c r="A57" s="117" t="n">
        <v>44494</v>
      </c>
      <c r="B57" s="118" t="n">
        <v>150.5180173302138</v>
      </c>
      <c r="C57" s="118" t="n">
        <v>151.901200764049</v>
      </c>
      <c r="D57" s="118" t="n">
        <v>149.9924149420006</v>
      </c>
      <c r="E57" s="118" t="n">
        <v>151.4309234619141</v>
      </c>
      <c r="F57" s="119" t="n">
        <v>3878200</v>
      </c>
      <c r="G57" s="120" t="n">
        <v>0.004526361210669627</v>
      </c>
      <c r="H57" s="121" t="n">
        <v>95.19152300267302</v>
      </c>
      <c r="I57" s="118" t="n">
        <v>146.6071936035156</v>
      </c>
      <c r="J57" s="118" t="n">
        <v/>
      </c>
      <c r="K57" s="120" t="n">
        <v>0.1856733498951889</v>
      </c>
      <c r="L57" s="120" t="n">
        <v/>
      </c>
      <c r="M57" s="120" t="n">
        <v>-0.04808476997326938</v>
      </c>
      <c r="N57" t="n">
        <v>66.17041844992758</v>
      </c>
      <c r="O57" t="n">
        <v>1.639850076486072</v>
      </c>
      <c r="P57" t="n">
        <v>103.2813257862286</v>
      </c>
      <c r="Q57" t="n">
        <v>102.7982575716475</v>
      </c>
    </row>
    <row r="58">
      <c r="A58" s="117" t="n">
        <v>44495</v>
      </c>
      <c r="B58" s="118" t="n">
        <v>151.984238213056</v>
      </c>
      <c r="C58" s="118" t="n">
        <v>152.5651658239921</v>
      </c>
      <c r="D58" s="118" t="n">
        <v>150.4166186962682</v>
      </c>
      <c r="E58" s="118" t="n">
        <v>151.0344390869141</v>
      </c>
      <c r="F58" s="119" t="n">
        <v>4711200</v>
      </c>
      <c r="G58" s="120" t="n">
        <v>-0.00261825237498281</v>
      </c>
      <c r="H58" s="121" t="n">
        <v>94.94228757149304</v>
      </c>
      <c r="I58" s="118" t="n">
        <v>146.4543792724609</v>
      </c>
      <c r="J58" s="118" t="n">
        <v/>
      </c>
      <c r="K58" s="120" t="n">
        <v>0.1662396613915332</v>
      </c>
      <c r="L58" s="120" t="n">
        <v/>
      </c>
      <c r="M58" s="120" t="n">
        <v>-0.05057712428506911</v>
      </c>
      <c r="N58" t="n">
        <v>64.89506162357037</v>
      </c>
      <c r="O58" t="n">
        <v>1.535888875716241</v>
      </c>
      <c r="P58" t="n">
        <v>103.3742810028005</v>
      </c>
      <c r="Q58" t="n">
        <v>103.1219490522972</v>
      </c>
    </row>
    <row r="59">
      <c r="A59" s="117" t="n">
        <v>44496</v>
      </c>
      <c r="B59" s="118" t="n">
        <v>150.9053828435527</v>
      </c>
      <c r="C59" s="118" t="n">
        <v>151.283456549055</v>
      </c>
      <c r="D59" s="118" t="n">
        <v>149.0703675708772</v>
      </c>
      <c r="E59" s="118" t="n">
        <v>149.7066345214844</v>
      </c>
      <c r="F59" s="119" t="n">
        <v>4163900</v>
      </c>
      <c r="G59" s="120" t="n">
        <v>-0.008791402632783551</v>
      </c>
      <c r="H59" s="121" t="n">
        <v>94.10761169457452</v>
      </c>
      <c r="I59" s="118" t="n">
        <v>146.30630859375</v>
      </c>
      <c r="J59" s="118" t="n">
        <v/>
      </c>
      <c r="K59" s="120" t="n">
        <v>0.1744108203107214</v>
      </c>
      <c r="L59" s="120" t="n">
        <v/>
      </c>
      <c r="M59" s="120" t="n">
        <v>-0.05892388305425433</v>
      </c>
      <c r="N59" t="n">
        <v>60.67725631775157</v>
      </c>
      <c r="O59" t="n">
        <v>1.304412085231981</v>
      </c>
      <c r="P59" t="n">
        <v>102.9163085009268</v>
      </c>
      <c r="Q59" t="n">
        <v>103.361304403361</v>
      </c>
    </row>
    <row r="60">
      <c r="A60" s="117" t="n">
        <v>44497</v>
      </c>
      <c r="B60" s="118" t="n">
        <v>150.3151483709991</v>
      </c>
      <c r="C60" s="118" t="n">
        <v>151.7813334953504</v>
      </c>
      <c r="D60" s="118" t="n">
        <v>150.1307267283892</v>
      </c>
      <c r="E60" s="118" t="n">
        <v>151.6522369384766</v>
      </c>
      <c r="F60" s="119" t="n">
        <v>3762000</v>
      </c>
      <c r="G60" s="120" t="n">
        <v>0.01299610016089825</v>
      </c>
      <c r="H60" s="121" t="n">
        <v>95.33064364206012</v>
      </c>
      <c r="I60" s="118" t="n">
        <v>146.2312121582031</v>
      </c>
      <c r="J60" s="118" t="n">
        <v/>
      </c>
      <c r="K60" s="120" t="n">
        <v>0.1715331441411073</v>
      </c>
      <c r="L60" s="120" t="n">
        <v/>
      </c>
      <c r="M60" s="120" t="n">
        <v>-0.04669356357939836</v>
      </c>
      <c r="N60" t="n">
        <v>64.3350646407679</v>
      </c>
      <c r="O60" t="n">
        <v>1.211073556701541</v>
      </c>
      <c r="P60" t="n">
        <v>103.9093361586642</v>
      </c>
      <c r="Q60" t="n">
        <v>104.5091591975807</v>
      </c>
    </row>
    <row r="61">
      <c r="A61" s="117" t="n">
        <v>44498</v>
      </c>
      <c r="B61" s="118" t="n">
        <v>150.361252369847</v>
      </c>
      <c r="C61" s="118" t="n">
        <v>154.5753578211977</v>
      </c>
      <c r="D61" s="118" t="n">
        <v>150.3059272859248</v>
      </c>
      <c r="E61" s="118" t="n">
        <v>154.2618255615234</v>
      </c>
      <c r="F61" s="119" t="n">
        <v>6740600</v>
      </c>
      <c r="G61" s="120" t="n">
        <v>0.01720771599370186</v>
      </c>
      <c r="H61" s="121" t="n">
        <v>96.9710662833495</v>
      </c>
      <c r="I61" s="118" t="n">
        <v>146.2675942993164</v>
      </c>
      <c r="J61" s="118" t="n">
        <v/>
      </c>
      <c r="K61" s="120" t="n">
        <v>0.1745335530466069</v>
      </c>
      <c r="L61" s="120" t="n">
        <v>-0.03028933716650495</v>
      </c>
      <c r="M61" s="120" t="n">
        <v>-0.03028933716650473</v>
      </c>
      <c r="N61" t="n">
        <v>68.55950465514869</v>
      </c>
      <c r="O61" t="n">
        <v>1.248824141347955</v>
      </c>
      <c r="P61" t="n">
        <v>104.1201733776761</v>
      </c>
      <c r="Q61" t="n">
        <v>105.0232413490534</v>
      </c>
    </row>
    <row r="62">
      <c r="A62" s="117" t="n">
        <v>44501</v>
      </c>
      <c r="B62" s="118" t="n">
        <v>154.7321230646892</v>
      </c>
      <c r="C62" s="118" t="n">
        <v>155.6542453546213</v>
      </c>
      <c r="D62" s="118" t="n">
        <v>152.9708661140064</v>
      </c>
      <c r="E62" s="118" t="n">
        <v>153.3766021728516</v>
      </c>
      <c r="F62" s="119" t="n">
        <v>3610800</v>
      </c>
      <c r="G62" s="120" t="n">
        <v>-0.005738447509288869</v>
      </c>
      <c r="H62" s="121" t="n">
        <v>96.41460290956273</v>
      </c>
      <c r="I62" s="118" t="n">
        <v>146.2457662963867</v>
      </c>
      <c r="J62" s="118" t="n">
        <v/>
      </c>
      <c r="K62" s="120" t="n">
        <v>0.1787610177667338</v>
      </c>
      <c r="L62" s="120" t="n">
        <v>-0.0333924579776681</v>
      </c>
      <c r="M62" s="120" t="n">
        <v>-0.03585397090437237</v>
      </c>
      <c r="N62" t="n">
        <v>65.71593475019107</v>
      </c>
      <c r="O62" t="n">
        <v>1.14088283358932</v>
      </c>
      <c r="P62" t="n">
        <v>104.2992876089891</v>
      </c>
      <c r="Q62" t="n">
        <v>105.3823128228766</v>
      </c>
    </row>
    <row r="63">
      <c r="A63" s="117" t="n">
        <v>44502</v>
      </c>
      <c r="B63" s="118" t="n">
        <v>153.7731336328662</v>
      </c>
      <c r="C63" s="118" t="n">
        <v>155.0641134962187</v>
      </c>
      <c r="D63" s="118" t="n">
        <v>153.1737596727014</v>
      </c>
      <c r="E63" s="118" t="n">
        <v>154.7598114013672</v>
      </c>
      <c r="F63" s="119" t="n">
        <v>5038000</v>
      </c>
      <c r="G63" s="120" t="n">
        <v>0.009018384870443263</v>
      </c>
      <c r="H63" s="121" t="n">
        <v>97.28410690573213</v>
      </c>
      <c r="I63" s="118" t="n">
        <v>146.2160665893555</v>
      </c>
      <c r="J63" s="118" t="n">
        <v/>
      </c>
      <c r="K63" s="120" t="n">
        <v>0.1755508337390592</v>
      </c>
      <c r="L63" s="120" t="n">
        <v>-0.02467521914503745</v>
      </c>
      <c r="M63" s="120" t="n">
        <v>-0.02715893094267852</v>
      </c>
      <c r="N63" t="n">
        <v>67.95263721331801</v>
      </c>
      <c r="O63" t="n">
        <v>1.089448899311552</v>
      </c>
      <c r="P63" t="n">
        <v>104.720969426168</v>
      </c>
      <c r="Q63" t="n">
        <v>105.8229351382455</v>
      </c>
    </row>
    <row r="64">
      <c r="A64" s="117" t="n">
        <v>44503</v>
      </c>
      <c r="B64" s="118" t="n">
        <v>155.838672936481</v>
      </c>
      <c r="C64" s="118" t="n">
        <v>159.4072818319435</v>
      </c>
      <c r="D64" s="118" t="n">
        <v>155.5159244945192</v>
      </c>
      <c r="E64" s="118" t="n">
        <v>159.0661010742188</v>
      </c>
      <c r="F64" s="119" t="n">
        <v>7176700</v>
      </c>
      <c r="G64" s="120" t="n">
        <v>0.02782563272633665</v>
      </c>
      <c r="H64" s="121" t="n">
        <v>99.9910987346007</v>
      </c>
      <c r="I64" s="118" t="n">
        <v>146.2677062988281</v>
      </c>
      <c r="J64" s="118" t="n">
        <v/>
      </c>
      <c r="K64" s="120" t="n">
        <v>0.1873991474269143</v>
      </c>
      <c r="L64" s="120" t="n">
        <v>0</v>
      </c>
      <c r="M64" s="120" t="n">
        <v>-8.901265399285929e-05</v>
      </c>
      <c r="N64" t="n">
        <v>73.70437899478918</v>
      </c>
      <c r="O64" t="n">
        <v>1.260190034521454</v>
      </c>
      <c r="P64" t="n">
        <v>105.3603289391202</v>
      </c>
      <c r="Q64" t="n">
        <v>106.9463204080874</v>
      </c>
    </row>
    <row r="65">
      <c r="A65" s="117" t="n">
        <v>44504</v>
      </c>
      <c r="B65" s="118" t="n">
        <v>158.7987241265907</v>
      </c>
      <c r="C65" s="118" t="n">
        <v>161.9523814320349</v>
      </c>
      <c r="D65" s="118" t="n">
        <v>158.6050722078869</v>
      </c>
      <c r="E65" s="118" t="n">
        <v>161.7771759033203</v>
      </c>
      <c r="F65" s="119" t="n">
        <v>5460100</v>
      </c>
      <c r="G65" s="120" t="n">
        <v>0.01704369951103923</v>
      </c>
      <c r="H65" s="121" t="n">
        <v>101.6953169752119</v>
      </c>
      <c r="I65" s="118" t="n">
        <v>146.3761447143555</v>
      </c>
      <c r="J65" s="118" t="n">
        <v/>
      </c>
      <c r="K65" s="120" t="n">
        <v>0.1845980004718056</v>
      </c>
      <c r="L65" s="120" t="n">
        <v>0</v>
      </c>
      <c r="M65" s="120" t="n">
        <v>0</v>
      </c>
      <c r="N65" t="n">
        <v>76.5569949843927</v>
      </c>
      <c r="O65" t="n">
        <v>1.456560553981509</v>
      </c>
      <c r="P65" t="n">
        <v>105.8568353888338</v>
      </c>
      <c r="Q65" t="n">
        <v>108.3172032974051</v>
      </c>
    </row>
    <row r="66">
      <c r="A66" s="117" t="n">
        <v>44505</v>
      </c>
      <c r="B66" s="118" t="n">
        <v>162.0445668426646</v>
      </c>
      <c r="C66" s="118" t="n">
        <v>165.152128926016</v>
      </c>
      <c r="D66" s="118" t="n">
        <v>161.8324826285244</v>
      </c>
      <c r="E66" s="118" t="n">
        <v>163.6859436035156</v>
      </c>
      <c r="F66" s="119" t="n">
        <v>5892200</v>
      </c>
      <c r="G66" s="120" t="n">
        <v>0.01179874533930558</v>
      </c>
      <c r="H66" s="121" t="n">
        <v>102.8951941224024</v>
      </c>
      <c r="I66" s="118" t="n">
        <v>146.5765216064453</v>
      </c>
      <c r="J66" s="118" t="n">
        <v/>
      </c>
      <c r="K66" s="120" t="n">
        <v>0.1848573938926877</v>
      </c>
      <c r="L66" s="120" t="n">
        <v>0</v>
      </c>
      <c r="M66" s="120" t="n">
        <v>0</v>
      </c>
      <c r="N66" t="n">
        <v>78.33871838900717</v>
      </c>
      <c r="O66" t="n">
        <v>1.604179845083415</v>
      </c>
      <c r="P66" t="n">
        <v>106.2241254539009</v>
      </c>
      <c r="Q66" t="n">
        <v>108.4205836203704</v>
      </c>
    </row>
    <row r="67">
      <c r="A67" s="117" t="n">
        <v>44508</v>
      </c>
      <c r="B67" s="118" t="n">
        <v>162.6162865291219</v>
      </c>
      <c r="C67" s="118" t="n">
        <v>162.7914779612515</v>
      </c>
      <c r="D67" s="118" t="n">
        <v>157.0927684351355</v>
      </c>
      <c r="E67" s="118" t="n">
        <v>158.4667358398438</v>
      </c>
      <c r="F67" s="119" t="n">
        <v>8301100</v>
      </c>
      <c r="G67" s="120" t="n">
        <v>-0.03188549761068049</v>
      </c>
      <c r="H67" s="121" t="n">
        <v>99.61432965606201</v>
      </c>
      <c r="I67" s="118" t="n">
        <v>146.6552709960937</v>
      </c>
      <c r="J67" s="118" t="n">
        <v/>
      </c>
      <c r="K67" s="120" t="n">
        <v>0.2196724292075475</v>
      </c>
      <c r="L67" s="120" t="n">
        <v>-0.03188549761068049</v>
      </c>
      <c r="M67" s="120" t="n">
        <v>-0.03188549761068049</v>
      </c>
      <c r="N67" t="n">
        <v>64.01259656724582</v>
      </c>
      <c r="O67" t="n">
        <v>1.254957371337031</v>
      </c>
      <c r="P67" t="n">
        <v>106.3148005115524</v>
      </c>
      <c r="Q67" t="n">
        <v>108.2736981234763</v>
      </c>
    </row>
    <row r="68">
      <c r="A68" s="117" t="n">
        <v>44509</v>
      </c>
      <c r="B68" s="118" t="n">
        <v>157.9134638310005</v>
      </c>
      <c r="C68" s="118" t="n">
        <v>160.3847451534783</v>
      </c>
      <c r="D68" s="118" t="n">
        <v>157.6368242919468</v>
      </c>
      <c r="E68" s="118" t="n">
        <v>160.2833251953125</v>
      </c>
      <c r="F68" s="119" t="n">
        <v>4343000</v>
      </c>
      <c r="G68" s="120" t="n">
        <v>0.01146353741585693</v>
      </c>
      <c r="H68" s="121" t="n">
        <v>100.7562622512298</v>
      </c>
      <c r="I68" s="118" t="n">
        <v>146.762053527832</v>
      </c>
      <c r="J68" s="118" t="n">
        <v/>
      </c>
      <c r="K68" s="120" t="n">
        <v>0.2145515726192045</v>
      </c>
      <c r="L68" s="120" t="n">
        <v>-0.02078748078970694</v>
      </c>
      <c r="M68" s="120" t="n">
        <v>-0.02078748078970694</v>
      </c>
      <c r="N68" t="n">
        <v>66.32118165523148</v>
      </c>
      <c r="O68" t="n">
        <v>1.0587787574823</v>
      </c>
      <c r="P68" t="n">
        <v>105.9633977673775</v>
      </c>
      <c r="Q68" t="n">
        <v>107.5284114331802</v>
      </c>
    </row>
    <row r="69">
      <c r="A69" s="117" t="n">
        <v>44510</v>
      </c>
      <c r="B69" s="118" t="n">
        <v>157.8950467640479</v>
      </c>
      <c r="C69" s="118" t="n">
        <v>158.7618442478271</v>
      </c>
      <c r="D69" s="118" t="n">
        <v>154.5016423948834</v>
      </c>
      <c r="E69" s="118" t="n">
        <v>155.1563415527344</v>
      </c>
      <c r="F69" s="119" t="n">
        <v>8185200</v>
      </c>
      <c r="G69" s="120" t="n">
        <v>-0.03198700573706381</v>
      </c>
      <c r="H69" s="121" t="n">
        <v>97.53337111255459</v>
      </c>
      <c r="I69" s="118" t="n">
        <v>146.8269714355469</v>
      </c>
      <c r="J69" s="118" t="n">
        <v/>
      </c>
      <c r="K69" s="120" t="n">
        <v>0.248217683852073</v>
      </c>
      <c r="L69" s="120" t="n">
        <v>-0.05210955725949118</v>
      </c>
      <c r="M69" s="120" t="n">
        <v>-0.05210955725949118</v>
      </c>
      <c r="N69" t="n">
        <v>55.49992661979587</v>
      </c>
      <c r="O69" t="n">
        <v>0.5232732989234696</v>
      </c>
      <c r="P69" t="n">
        <v>105.110928255648</v>
      </c>
      <c r="Q69" t="n">
        <v>105.9480765920036</v>
      </c>
    </row>
    <row r="70">
      <c r="A70" s="117" t="n">
        <v>44511</v>
      </c>
      <c r="B70" s="118" t="n">
        <v>156.3919835828626</v>
      </c>
      <c r="C70" s="118" t="n">
        <v>156.3919835828626</v>
      </c>
      <c r="D70" s="118" t="n">
        <v>153.6532785979949</v>
      </c>
      <c r="E70" s="118" t="n">
        <v>153.966796875</v>
      </c>
      <c r="F70" s="119" t="n">
        <v>4994900</v>
      </c>
      <c r="G70" s="120" t="n">
        <v>-0.007666748686066871</v>
      </c>
      <c r="H70" s="121" t="n">
        <v>96.78560726772973</v>
      </c>
      <c r="I70" s="118" t="n">
        <v>146.8714178466797</v>
      </c>
      <c r="J70" s="118" t="n">
        <v/>
      </c>
      <c r="K70" s="120" t="n">
        <v>0.2514237093024147</v>
      </c>
      <c r="L70" s="120" t="n">
        <v>-0.05937679506590732</v>
      </c>
      <c r="M70" s="120" t="n">
        <v>-0.05937679506590743</v>
      </c>
      <c r="N70" t="n">
        <v>53.32588930644946</v>
      </c>
      <c r="O70" t="n">
        <v>0.05324193944143074</v>
      </c>
      <c r="P70" t="n">
        <v>105.1449461605775</v>
      </c>
      <c r="Q70" t="n">
        <v>106.2418475857918</v>
      </c>
    </row>
    <row r="71">
      <c r="A71" s="117" t="n">
        <v>44512</v>
      </c>
      <c r="B71" s="118" t="n">
        <v>154.4555053647157</v>
      </c>
      <c r="C71" s="118" t="n">
        <v>156.4657254866809</v>
      </c>
      <c r="D71" s="118" t="n">
        <v>154.3632874945183</v>
      </c>
      <c r="E71" s="118" t="n">
        <v>155.9216766357422</v>
      </c>
      <c r="F71" s="119" t="n">
        <v>5126300</v>
      </c>
      <c r="G71" s="120" t="n">
        <v>0.01269676190204372</v>
      </c>
      <c r="H71" s="121" t="n">
        <v>98.01447107875281</v>
      </c>
      <c r="I71" s="118" t="n">
        <v>146.9713763427734</v>
      </c>
      <c r="J71" s="118" t="n">
        <v/>
      </c>
      <c r="K71" s="120" t="n">
        <v>0.2535972627523472</v>
      </c>
      <c r="L71" s="120" t="n">
        <v>-0.04743392619332198</v>
      </c>
      <c r="M71" s="120" t="n">
        <v>-0.0474339261933221</v>
      </c>
      <c r="N71" t="n">
        <v>56.35185729122755</v>
      </c>
      <c r="O71" t="n">
        <v>-0.1505632300643276</v>
      </c>
      <c r="P71" t="n">
        <v>105.9384636023543</v>
      </c>
      <c r="Q71" t="n">
        <v>107.3598075246351</v>
      </c>
    </row>
    <row r="72">
      <c r="A72" s="117" t="n">
        <v>44515</v>
      </c>
      <c r="B72" s="118" t="n">
        <v>156.4841280368182</v>
      </c>
      <c r="C72" s="118" t="n">
        <v>157.092732040493</v>
      </c>
      <c r="D72" s="118" t="n">
        <v>155.3960306397642</v>
      </c>
      <c r="E72" s="118" t="n">
        <v>155.7003326416016</v>
      </c>
      <c r="F72" s="119" t="n">
        <v>3856700</v>
      </c>
      <c r="G72" s="120" t="n">
        <v>-0.001419584492140413</v>
      </c>
      <c r="H72" s="121" t="n">
        <v>97.87533125560407</v>
      </c>
      <c r="I72" s="118" t="n">
        <v>147.0739154052734</v>
      </c>
      <c r="J72" s="118" t="n">
        <v/>
      </c>
      <c r="K72" s="120" t="n">
        <v>0.2533101544646847</v>
      </c>
      <c r="L72" s="120" t="n">
        <v>-0.04878617421943698</v>
      </c>
      <c r="M72" s="120" t="n">
        <v>-0.0487861742194371</v>
      </c>
      <c r="N72" t="n">
        <v>55.90987065327368</v>
      </c>
      <c r="O72" t="n">
        <v>-0.3153575295177626</v>
      </c>
      <c r="P72" t="n">
        <v>105.9747321495839</v>
      </c>
      <c r="Q72" t="n">
        <v>107.3352696496304</v>
      </c>
    </row>
    <row r="73">
      <c r="A73" s="117" t="n">
        <v>44516</v>
      </c>
      <c r="B73" s="118" t="n">
        <v>156.0692105692444</v>
      </c>
      <c r="C73" s="118" t="n">
        <v>160.4492918112173</v>
      </c>
      <c r="D73" s="118" t="n">
        <v>156.0692105692444</v>
      </c>
      <c r="E73" s="118" t="n">
        <v>158.4482879638672</v>
      </c>
      <c r="F73" s="119" t="n">
        <v>4401000</v>
      </c>
      <c r="G73" s="120" t="n">
        <v>0.01764900097285604</v>
      </c>
      <c r="H73" s="121" t="n">
        <v>99.60273307215284</v>
      </c>
      <c r="I73" s="118" t="n">
        <v>147.243401184082</v>
      </c>
      <c r="J73" s="118" t="n">
        <v/>
      </c>
      <c r="K73" s="120" t="n">
        <v>0.2534345182250443</v>
      </c>
      <c r="L73" s="120" t="n">
        <v>-0.03199820048284152</v>
      </c>
      <c r="M73" s="120" t="n">
        <v>-0.03199820048284185</v>
      </c>
      <c r="N73" t="n">
        <v>60.09452855426346</v>
      </c>
      <c r="O73" t="n">
        <v>-0.256849272753056</v>
      </c>
      <c r="P73" t="n">
        <v>106.3941485661526</v>
      </c>
      <c r="Q73" t="n">
        <v>108.0996347086191</v>
      </c>
    </row>
    <row r="74">
      <c r="A74" s="117" t="n">
        <v>44517</v>
      </c>
      <c r="B74" s="118" t="n">
        <v>158.2361835992911</v>
      </c>
      <c r="C74" s="118" t="n">
        <v>159.2874024006161</v>
      </c>
      <c r="D74" s="118" t="n">
        <v>156.9913129346176</v>
      </c>
      <c r="E74" s="118" t="n">
        <v>158.3652801513672</v>
      </c>
      <c r="F74" s="119" t="n">
        <v>3940200</v>
      </c>
      <c r="G74" s="120" t="n">
        <v>-0.0005238795165709575</v>
      </c>
      <c r="H74" s="121" t="n">
        <v>99.55055324050186</v>
      </c>
      <c r="I74" s="118" t="n">
        <v>147.4468209838867</v>
      </c>
      <c r="J74" s="118" t="n">
        <v/>
      </c>
      <c r="K74" s="120" t="n">
        <v>0.254033249227465</v>
      </c>
      <c r="L74" s="120" t="n">
        <v>-0.03250531679761237</v>
      </c>
      <c r="M74" s="120" t="n">
        <v>-0.0325053167976127</v>
      </c>
      <c r="N74" t="n">
        <v>59.90955541438388</v>
      </c>
      <c r="O74" t="n">
        <v>-0.2415264415069585</v>
      </c>
      <c r="P74" t="n">
        <v>106.1356936593944</v>
      </c>
      <c r="Q74" t="n">
        <v>108.1567331134437</v>
      </c>
    </row>
    <row r="75">
      <c r="A75" s="117" t="n">
        <v>44518</v>
      </c>
      <c r="B75" s="118" t="n">
        <v>158.9093522669369</v>
      </c>
      <c r="C75" s="118" t="n">
        <v>159.9513550643503</v>
      </c>
      <c r="D75" s="118" t="n">
        <v>157.0927700431758</v>
      </c>
      <c r="E75" s="118" t="n">
        <v>158.0056762695312</v>
      </c>
      <c r="F75" s="119" t="n">
        <v>4044200</v>
      </c>
      <c r="G75" s="120" t="n">
        <v>-0.002270724248978229</v>
      </c>
      <c r="H75" s="121" t="n">
        <v>99.32450138525944</v>
      </c>
      <c r="I75" s="118" t="n">
        <v>147.5945443725586</v>
      </c>
      <c r="J75" s="118" t="n">
        <v/>
      </c>
      <c r="K75" s="120" t="n">
        <v>0.2442467669936201</v>
      </c>
      <c r="L75" s="120" t="n">
        <v>-0.03470223043551768</v>
      </c>
      <c r="M75" s="120" t="n">
        <v>-0.03470223043551779</v>
      </c>
      <c r="N75" t="n">
        <v>59.0614151708612</v>
      </c>
      <c r="O75" t="n">
        <v>-0.271175873819069</v>
      </c>
      <c r="P75" t="n">
        <v>106.4961580060105</v>
      </c>
      <c r="Q75" t="n">
        <v>109.2773929020437</v>
      </c>
    </row>
    <row r="76">
      <c r="A76" s="117" t="n">
        <v>44519</v>
      </c>
      <c r="B76" s="118" t="n">
        <v>158.7433683772155</v>
      </c>
      <c r="C76" s="118" t="n">
        <v>163.4000893947794</v>
      </c>
      <c r="D76" s="118" t="n">
        <v>157.24953456499</v>
      </c>
      <c r="E76" s="118" t="n">
        <v>161.2607727050781</v>
      </c>
      <c r="F76" s="119" t="n">
        <v>6145600</v>
      </c>
      <c r="G76" s="120" t="n">
        <v>0.020601136062949</v>
      </c>
      <c r="H76" s="121" t="n">
        <v>101.3706989526817</v>
      </c>
      <c r="I76" s="118" t="n">
        <v>147.8027597045898</v>
      </c>
      <c r="J76" s="118" t="n">
        <v/>
      </c>
      <c r="K76" s="120" t="n">
        <v>0.2517360433317065</v>
      </c>
      <c r="L76" s="120" t="n">
        <v>-0.0148159997434586</v>
      </c>
      <c r="M76" s="120" t="n">
        <v>-0.01481599974345882</v>
      </c>
      <c r="N76" t="n">
        <v>64.02601547012506</v>
      </c>
      <c r="O76" t="n">
        <v>-0.09615898311079274</v>
      </c>
      <c r="P76" t="n">
        <v>106.3057536674215</v>
      </c>
      <c r="Q76" t="n">
        <v>109.8866874765845</v>
      </c>
    </row>
    <row r="77">
      <c r="A77" s="117" t="n">
        <v>44522</v>
      </c>
      <c r="B77" s="118" t="n">
        <v>161.3529700764533</v>
      </c>
      <c r="C77" s="118" t="n">
        <v>163.9072530082118</v>
      </c>
      <c r="D77" s="118" t="n">
        <v>160.6613782916085</v>
      </c>
      <c r="E77" s="118" t="n">
        <v>160.6706085205078</v>
      </c>
      <c r="F77" s="119" t="n">
        <v>5906400</v>
      </c>
      <c r="G77" s="120" t="n">
        <v>-0.003659688433030328</v>
      </c>
      <c r="H77" s="121" t="n">
        <v>100.9997137782764</v>
      </c>
      <c r="I77" s="118" t="n">
        <v>148.0742318725586</v>
      </c>
      <c r="J77" s="118" t="n">
        <v/>
      </c>
      <c r="K77" s="120" t="n">
        <v>0.2529658095368465</v>
      </c>
      <c r="L77" s="120" t="n">
        <v>-0.01842146623360397</v>
      </c>
      <c r="M77" s="120" t="n">
        <v>-0.0184214662336043</v>
      </c>
      <c r="N77" t="n">
        <v>62.54507282400339</v>
      </c>
      <c r="O77" t="n">
        <v>-0.04721226456396987</v>
      </c>
      <c r="P77" t="n">
        <v>106.0064625164378</v>
      </c>
      <c r="Q77" t="n">
        <v>108.6109828350216</v>
      </c>
    </row>
    <row r="78">
      <c r="A78" s="117" t="n">
        <v>44523</v>
      </c>
      <c r="B78" s="118" t="n">
        <v>159.5733270284956</v>
      </c>
      <c r="C78" s="118" t="n">
        <v>159.9237240667643</v>
      </c>
      <c r="D78" s="118" t="n">
        <v>157.1389238009302</v>
      </c>
      <c r="E78" s="118" t="n">
        <v>158.743408203125</v>
      </c>
      <c r="F78" s="119" t="n">
        <v>5302100</v>
      </c>
      <c r="G78" s="120" t="n">
        <v>-0.01199472843931393</v>
      </c>
      <c r="H78" s="121" t="n">
        <v>99.78824963905755</v>
      </c>
      <c r="I78" s="118" t="n">
        <v>148.3211773681641</v>
      </c>
      <c r="J78" s="118" t="n">
        <v/>
      </c>
      <c r="K78" s="120" t="n">
        <v>0.2579117960969767</v>
      </c>
      <c r="L78" s="120" t="n">
        <v>-0.03019523418799186</v>
      </c>
      <c r="M78" s="120" t="n">
        <v>-0.03019523418799208</v>
      </c>
      <c r="N78" t="n">
        <v>57.84017641963454</v>
      </c>
      <c r="O78" t="n">
        <v>-0.1650686715446024</v>
      </c>
      <c r="P78" t="n">
        <v>106.147035420756</v>
      </c>
      <c r="Q78" t="n">
        <v>108.1159534207566</v>
      </c>
    </row>
    <row r="79">
      <c r="A79" s="117" t="n">
        <v>44524</v>
      </c>
      <c r="B79" s="118" t="n">
        <v>155.3684286718161</v>
      </c>
      <c r="C79" s="118" t="n">
        <v>159.0015795863679</v>
      </c>
      <c r="D79" s="118" t="n">
        <v>154.612281450559</v>
      </c>
      <c r="E79" s="118" t="n">
        <v>158.6327362060547</v>
      </c>
      <c r="F79" s="119" t="n">
        <v>4637600</v>
      </c>
      <c r="G79" s="120" t="n">
        <v>-0.0006971753871423125</v>
      </c>
      <c r="H79" s="121" t="n">
        <v>99.71867972748319</v>
      </c>
      <c r="I79" s="118" t="n">
        <v>148.5815850830078</v>
      </c>
      <c r="J79" s="118" t="n">
        <v/>
      </c>
      <c r="K79" s="120" t="n">
        <v>0.2547435125846864</v>
      </c>
      <c r="L79" s="120" t="n">
        <v>-0.03087135820104925</v>
      </c>
      <c r="M79" s="120" t="n">
        <v>-0.03087135820104958</v>
      </c>
      <c r="N79" t="n">
        <v>57.57234197347307</v>
      </c>
      <c r="O79" t="n">
        <v>-0.2649929999365326</v>
      </c>
      <c r="P79" t="n">
        <v>106.4304540091575</v>
      </c>
      <c r="Q79" t="n">
        <v>108.4640973381275</v>
      </c>
    </row>
    <row r="80">
      <c r="A80" s="117" t="n">
        <v>44526</v>
      </c>
      <c r="B80" s="118" t="n">
        <v>154.9718915231442</v>
      </c>
      <c r="C80" s="118" t="n">
        <v>156.4657253397327</v>
      </c>
      <c r="D80" s="118" t="n">
        <v>154.4923839254169</v>
      </c>
      <c r="E80" s="118" t="n">
        <v>154.9350128173828</v>
      </c>
      <c r="F80" s="119" t="n">
        <v>4751100</v>
      </c>
      <c r="G80" s="120" t="n">
        <v>-0.02330996411654118</v>
      </c>
      <c r="H80" s="121" t="n">
        <v>97.39424088128669</v>
      </c>
      <c r="I80" s="118" t="n">
        <v>148.7737551879883</v>
      </c>
      <c r="J80" s="118" t="n">
        <v/>
      </c>
      <c r="K80" s="120" t="n">
        <v>0.2681376716161279</v>
      </c>
      <c r="L80" s="120" t="n">
        <v>-0.05346171206569517</v>
      </c>
      <c r="M80" s="120" t="n">
        <v>-0.05346171206569539</v>
      </c>
      <c r="N80" t="n">
        <v>49.34984095311842</v>
      </c>
      <c r="O80" t="n">
        <v>-0.5767529176161768</v>
      </c>
      <c r="P80" t="n">
        <v>104.0566978856579</v>
      </c>
      <c r="Q80" t="n">
        <v>106.4077601884085</v>
      </c>
    </row>
    <row r="81">
      <c r="A81" s="117" t="n">
        <v>44529</v>
      </c>
      <c r="B81" s="118" t="n">
        <v>156.6040514701787</v>
      </c>
      <c r="C81" s="118" t="n">
        <v>157.8212457416621</v>
      </c>
      <c r="D81" s="118" t="n">
        <v>156.0507723928408</v>
      </c>
      <c r="E81" s="118" t="n">
        <v>156.6409301757812</v>
      </c>
      <c r="F81" s="119" t="n">
        <v>5448700</v>
      </c>
      <c r="G81" s="120" t="n">
        <v>0.01101053485185521</v>
      </c>
      <c r="H81" s="121" t="n">
        <v>98.46660356488009</v>
      </c>
      <c r="I81" s="118" t="n">
        <v>149.0218060302734</v>
      </c>
      <c r="J81" s="118" t="n">
        <v/>
      </c>
      <c r="K81" s="120" t="n">
        <v>0.2641050446182555</v>
      </c>
      <c r="L81" s="120" t="n">
        <v>-0.043039819257779</v>
      </c>
      <c r="M81" s="120" t="n">
        <v>-0.04303981925777933</v>
      </c>
      <c r="N81" t="n">
        <v>52.70572439984755</v>
      </c>
      <c r="O81" t="n">
        <v>-0.6587820435281184</v>
      </c>
      <c r="P81" t="n">
        <v>105.3331219943316</v>
      </c>
      <c r="Q81" t="n">
        <v>108.7170630077437</v>
      </c>
    </row>
    <row r="82">
      <c r="A82" s="117" t="n">
        <v>44530</v>
      </c>
      <c r="B82" s="118" t="n">
        <v>155.6450464470342</v>
      </c>
      <c r="C82" s="118" t="n">
        <v>158.1901134844903</v>
      </c>
      <c r="D82" s="118" t="n">
        <v>154.4831771932862</v>
      </c>
      <c r="E82" s="118" t="n">
        <v>156.0600128173828</v>
      </c>
      <c r="F82" s="119" t="n">
        <v>11033700</v>
      </c>
      <c r="G82" s="120" t="n">
        <v>-0.003708592369481845</v>
      </c>
      <c r="H82" s="121" t="n">
        <v>98.10143107025058</v>
      </c>
      <c r="I82" s="118" t="n">
        <v>149.2982586669922</v>
      </c>
      <c r="J82" s="118" t="n">
        <v/>
      </c>
      <c r="K82" s="120" t="n">
        <v>0.2635262225771872</v>
      </c>
      <c r="L82" s="120" t="n">
        <v>-0.0465887944819775</v>
      </c>
      <c r="M82" s="120" t="n">
        <v>-0.04658879448197784</v>
      </c>
      <c r="N82" t="n">
        <v>51.45546926300113</v>
      </c>
      <c r="O82" t="n">
        <v>-0.7369592090860908</v>
      </c>
      <c r="P82" t="n">
        <v>103.2835985659939</v>
      </c>
      <c r="Q82" t="n">
        <v>107.1204265420862</v>
      </c>
    </row>
    <row r="83">
      <c r="A83" s="117" t="n">
        <v>44531</v>
      </c>
      <c r="B83" s="118" t="n">
        <v>157.5814991299458</v>
      </c>
      <c r="C83" s="118" t="n">
        <v>159.8683587822207</v>
      </c>
      <c r="D83" s="118" t="n">
        <v>153.6993575670235</v>
      </c>
      <c r="E83" s="118" t="n">
        <v>153.7178039550781</v>
      </c>
      <c r="F83" s="119" t="n">
        <v>6618200</v>
      </c>
      <c r="G83" s="120" t="n">
        <v>-0.01500838568458585</v>
      </c>
      <c r="H83" s="121" t="n">
        <v>96.62908695653844</v>
      </c>
      <c r="I83" s="118" t="n">
        <v>149.5136666870117</v>
      </c>
      <c r="J83" s="118" t="n">
        <v/>
      </c>
      <c r="K83" s="120" t="n">
        <v>0.2675984005046218</v>
      </c>
      <c r="L83" s="120" t="n">
        <v>-0.06089795757039806</v>
      </c>
      <c r="M83" s="120" t="n">
        <v>-0.06089795757039829</v>
      </c>
      <c r="N83" t="n">
        <v>46.65047493042998</v>
      </c>
      <c r="O83" t="n">
        <v>-0.9193456942909815</v>
      </c>
      <c r="P83" t="n">
        <v>102.1364056002768</v>
      </c>
      <c r="Q83" t="n">
        <v>105.297985237119</v>
      </c>
    </row>
    <row r="84">
      <c r="A84" s="117" t="n">
        <v>44532</v>
      </c>
      <c r="B84" s="118" t="n">
        <v>154.2526292454561</v>
      </c>
      <c r="C84" s="118" t="n">
        <v>157.2679733412943</v>
      </c>
      <c r="D84" s="118" t="n">
        <v>153.9944361069623</v>
      </c>
      <c r="E84" s="118" t="n">
        <v>156.7608032226562</v>
      </c>
      <c r="F84" s="119" t="n">
        <v>4398900</v>
      </c>
      <c r="G84" s="120" t="n">
        <v>0.01979601054193703</v>
      </c>
      <c r="H84" s="121" t="n">
        <v>98.54195738058783</v>
      </c>
      <c r="I84" s="118" t="n">
        <v>149.7453030395508</v>
      </c>
      <c r="J84" s="118" t="n">
        <v/>
      </c>
      <c r="K84" s="120" t="n">
        <v>0.257781833703677</v>
      </c>
      <c r="L84" s="120" t="n">
        <v>-0.042307483638507</v>
      </c>
      <c r="M84" s="120" t="n">
        <v>-0.04230748363850734</v>
      </c>
      <c r="N84" t="n">
        <v>52.81533375005007</v>
      </c>
      <c r="O84" t="n">
        <v>-0.8117207844239713</v>
      </c>
      <c r="P84" t="n">
        <v>103.7007348236421</v>
      </c>
      <c r="Q84" t="n">
        <v>106.0568737021391</v>
      </c>
    </row>
    <row r="85">
      <c r="A85" s="117" t="n">
        <v>44533</v>
      </c>
      <c r="B85" s="118" t="n">
        <v>157.6153089743735</v>
      </c>
      <c r="C85" s="118" t="n">
        <v>158.9548009950529</v>
      </c>
      <c r="D85" s="118" t="n">
        <v>154.0495182918455</v>
      </c>
      <c r="E85" s="118" t="n">
        <v>157.2642822265625</v>
      </c>
      <c r="F85" s="119" t="n">
        <v>4878500</v>
      </c>
      <c r="G85" s="120" t="n">
        <v>0.003211765910583697</v>
      </c>
      <c r="H85" s="121" t="n">
        <v>98.858451080065</v>
      </c>
      <c r="I85" s="118" t="n">
        <v>149.9475427246094</v>
      </c>
      <c r="J85" s="118" t="n">
        <v/>
      </c>
      <c r="K85" s="120" t="n">
        <v>0.2497741998975106</v>
      </c>
      <c r="L85" s="120" t="n">
        <v>-0.03923159946163601</v>
      </c>
      <c r="M85" s="120" t="n">
        <v>-0.03923159946163635</v>
      </c>
      <c r="N85" t="n">
        <v>53.76726667392995</v>
      </c>
      <c r="O85" t="n">
        <v>-0.6881804007804613</v>
      </c>
      <c r="P85" t="n">
        <v>102.7984264984867</v>
      </c>
      <c r="Q85" t="n">
        <v>104.212696897864</v>
      </c>
    </row>
    <row r="86">
      <c r="A86" s="117" t="n">
        <v>44536</v>
      </c>
      <c r="B86" s="118" t="n">
        <v>157.8093000004045</v>
      </c>
      <c r="C86" s="118" t="n">
        <v>158.1603408240924</v>
      </c>
      <c r="D86" s="118" t="n">
        <v>155.2504260874515</v>
      </c>
      <c r="E86" s="118" t="n">
        <v>156.03564453125</v>
      </c>
      <c r="F86" s="119" t="n">
        <v>5636900</v>
      </c>
      <c r="G86" s="120" t="n">
        <v>-0.00781256670565833</v>
      </c>
      <c r="H86" s="121" t="n">
        <v>98.08611283658392</v>
      </c>
      <c r="I86" s="118" t="n">
        <v>150.309450378418</v>
      </c>
      <c r="J86" s="118" t="n">
        <v/>
      </c>
      <c r="K86" s="120" t="n">
        <v>0.2458077811508257</v>
      </c>
      <c r="L86" s="120" t="n">
        <v>-0.04673766667953072</v>
      </c>
      <c r="M86" s="120" t="n">
        <v>-0.04673766667953105</v>
      </c>
      <c r="N86" t="n">
        <v>51.06010425729468</v>
      </c>
      <c r="O86" t="n">
        <v>-0.6701118364249006</v>
      </c>
      <c r="P86" t="n">
        <v>104.0158763997426</v>
      </c>
      <c r="Q86" t="n">
        <v>105.0477365049163</v>
      </c>
    </row>
    <row r="87">
      <c r="A87" s="117" t="n">
        <v>44537</v>
      </c>
      <c r="B87" s="118" t="n">
        <v>158.0679793135896</v>
      </c>
      <c r="C87" s="118" t="n">
        <v>160.1372513648596</v>
      </c>
      <c r="D87" s="118" t="n">
        <v>157.412089382202</v>
      </c>
      <c r="E87" s="118" t="n">
        <v>158.2342529296875</v>
      </c>
      <c r="F87" s="119" t="n">
        <v>5898700</v>
      </c>
      <c r="G87" s="120" t="n">
        <v>0.01409042405049421</v>
      </c>
      <c r="H87" s="121" t="n">
        <v>99.46818775991602</v>
      </c>
      <c r="I87" s="118" t="n">
        <v>150.7439157104492</v>
      </c>
      <c r="J87" s="118" t="n">
        <v/>
      </c>
      <c r="K87" s="120" t="n">
        <v>0.2257077661189973</v>
      </c>
      <c r="L87" s="120" t="n">
        <v>-0.03330579617168172</v>
      </c>
      <c r="M87" s="120" t="n">
        <v>-0.03330579617168195</v>
      </c>
      <c r="N87" t="n">
        <v>55.38872666040936</v>
      </c>
      <c r="O87" t="n">
        <v>-0.4988519896145187</v>
      </c>
      <c r="P87" t="n">
        <v>106.1674461637136</v>
      </c>
      <c r="Q87" t="n">
        <v>108.2111316685114</v>
      </c>
    </row>
    <row r="88">
      <c r="A88" s="117" t="n">
        <v>44538</v>
      </c>
      <c r="B88" s="118" t="n">
        <v>158.1695813438096</v>
      </c>
      <c r="C88" s="118" t="n">
        <v>158.6961285095353</v>
      </c>
      <c r="D88" s="118" t="n">
        <v>156.8947606861137</v>
      </c>
      <c r="E88" s="118" t="n">
        <v>157.2735137939453</v>
      </c>
      <c r="F88" s="119" t="n">
        <v>5614400</v>
      </c>
      <c r="G88" s="120" t="n">
        <v>-0.006071625567500183</v>
      </c>
      <c r="H88" s="121" t="n">
        <v>98.86425416796</v>
      </c>
      <c r="I88" s="118" t="n">
        <v>151.2096981811523</v>
      </c>
      <c r="J88" s="118" t="n">
        <v/>
      </c>
      <c r="K88" s="120" t="n">
        <v>0.2224787228550507</v>
      </c>
      <c r="L88" s="120" t="n">
        <v>-0.03917520141560005</v>
      </c>
      <c r="M88" s="120" t="n">
        <v>-0.03917520141560027</v>
      </c>
      <c r="N88" t="n">
        <v>53.17542839712022</v>
      </c>
      <c r="O88" t="n">
        <v>-0.4410377331607922</v>
      </c>
      <c r="P88" t="n">
        <v>106.4485624557295</v>
      </c>
      <c r="Q88" t="n">
        <v>108.6952933331225</v>
      </c>
    </row>
    <row r="89">
      <c r="A89" s="117" t="n">
        <v>44539</v>
      </c>
      <c r="B89" s="118" t="n">
        <v>156.3866854792017</v>
      </c>
      <c r="C89" s="118" t="n">
        <v>158.1233961175608</v>
      </c>
      <c r="D89" s="118" t="n">
        <v>155.1857829440933</v>
      </c>
      <c r="E89" s="118" t="n">
        <v>155.2873992919922</v>
      </c>
      <c r="F89" s="119" t="n">
        <v>5171600</v>
      </c>
      <c r="G89" s="120" t="n">
        <v>-0.01262841055713471</v>
      </c>
      <c r="H89" s="121" t="n">
        <v>97.61575577690208</v>
      </c>
      <c r="I89" s="118" t="n">
        <v>151.6224801635742</v>
      </c>
      <c r="J89" s="118" t="n">
        <v/>
      </c>
      <c r="K89" s="120" t="n">
        <v>0.1955284933463942</v>
      </c>
      <c r="L89" s="120" t="n">
        <v>-0.05130889144560014</v>
      </c>
      <c r="M89" s="120" t="n">
        <v>-0.05130889144560036</v>
      </c>
      <c r="N89" t="n">
        <v>48.83132131779298</v>
      </c>
      <c r="O89" t="n">
        <v>-0.5217915399942812</v>
      </c>
      <c r="P89" t="n">
        <v>105.7298770256425</v>
      </c>
      <c r="Q89" t="n">
        <v>107.0959142985666</v>
      </c>
    </row>
    <row r="90">
      <c r="A90" s="117" t="n">
        <v>44540</v>
      </c>
      <c r="B90" s="118" t="n">
        <v>155.6568799575722</v>
      </c>
      <c r="C90" s="118" t="n">
        <v>157.264261715287</v>
      </c>
      <c r="D90" s="118" t="n">
        <v>154.5760593965389</v>
      </c>
      <c r="E90" s="118" t="n">
        <v>156.1741943359375</v>
      </c>
      <c r="F90" s="119" t="n">
        <v>4791100</v>
      </c>
      <c r="G90" s="120" t="n">
        <v>0.005710669687228442</v>
      </c>
      <c r="H90" s="121" t="n">
        <v>98.17320711441313</v>
      </c>
      <c r="I90" s="118" t="n">
        <v>152.0675677490234</v>
      </c>
      <c r="J90" s="118" t="n">
        <v/>
      </c>
      <c r="K90" s="120" t="n">
        <v>0.1942296031397509</v>
      </c>
      <c r="L90" s="120" t="n">
        <v>-0.04589122988943528</v>
      </c>
      <c r="M90" s="120" t="n">
        <v>-0.04589122988943561</v>
      </c>
      <c r="N90" t="n">
        <v>50.76535482913333</v>
      </c>
      <c r="O90" t="n">
        <v>-0.5006322323472081</v>
      </c>
      <c r="P90" t="n">
        <v>106.7251848423003</v>
      </c>
      <c r="Q90" t="n">
        <v>108.2601048925806</v>
      </c>
    </row>
    <row r="91">
      <c r="A91" s="117" t="n">
        <v>44543</v>
      </c>
      <c r="B91" s="118" t="n">
        <v>155.9432294783512</v>
      </c>
      <c r="C91" s="118" t="n">
        <v>156.4790233291072</v>
      </c>
      <c r="D91" s="118" t="n">
        <v>152.6638091326637</v>
      </c>
      <c r="E91" s="118" t="n">
        <v>154.1233825683594</v>
      </c>
      <c r="F91" s="119" t="n">
        <v>5972300</v>
      </c>
      <c r="G91" s="120" t="n">
        <v>-0.01313156617390154</v>
      </c>
      <c r="H91" s="121" t="n">
        <v>96.88403914868607</v>
      </c>
      <c r="I91" s="118" t="n">
        <v>152.4378884887695</v>
      </c>
      <c r="J91" s="118" t="n">
        <v/>
      </c>
      <c r="K91" s="120" t="n">
        <v>0.1948542630961944</v>
      </c>
      <c r="L91" s="120" t="n">
        <v>-0.05842017234124208</v>
      </c>
      <c r="M91" s="120" t="n">
        <v>-0.0584201723412423</v>
      </c>
      <c r="N91" t="n">
        <v>46.39774446372365</v>
      </c>
      <c r="O91" t="n">
        <v>-0.6030351266010887</v>
      </c>
      <c r="P91" t="n">
        <v>105.779760113999</v>
      </c>
      <c r="Q91" t="n">
        <v>106.6960716758847</v>
      </c>
    </row>
    <row r="92">
      <c r="A92" s="117" t="n">
        <v>44544</v>
      </c>
      <c r="B92" s="118" t="n">
        <v>153.6153305392411</v>
      </c>
      <c r="C92" s="118" t="n">
        <v>154.3451244454094</v>
      </c>
      <c r="D92" s="118" t="n">
        <v>151.6938810370694</v>
      </c>
      <c r="E92" s="118" t="n">
        <v>152.7931671142578</v>
      </c>
      <c r="F92" s="119" t="n">
        <v>4872200</v>
      </c>
      <c r="G92" s="120" t="n">
        <v>-0.008630847778801964</v>
      </c>
      <c r="H92" s="121" t="n">
        <v>96.04784775459827</v>
      </c>
      <c r="I92" s="118" t="n">
        <v>152.7801306152344</v>
      </c>
      <c r="J92" s="118" t="n">
        <v/>
      </c>
      <c r="K92" s="120" t="n">
        <v>0.1969713638092359</v>
      </c>
      <c r="L92" s="120" t="n">
        <v>-0.06654680450535544</v>
      </c>
      <c r="M92" s="120" t="n">
        <v>-0.06654680450535555</v>
      </c>
      <c r="N92" t="n">
        <v>43.76742596462164</v>
      </c>
      <c r="O92" t="n">
        <v>-0.7301550739626378</v>
      </c>
      <c r="P92" t="n">
        <v>105.0519909440056</v>
      </c>
      <c r="Q92" t="n">
        <v>105.5917647747355</v>
      </c>
    </row>
    <row r="93">
      <c r="A93" s="117" t="n">
        <v>44545</v>
      </c>
      <c r="B93" s="118" t="n">
        <v>152.4236492619643</v>
      </c>
      <c r="C93" s="118" t="n">
        <v>153.042579964446</v>
      </c>
      <c r="D93" s="118" t="n">
        <v>149.4860366057891</v>
      </c>
      <c r="E93" s="118" t="n">
        <v>151.4074859619141</v>
      </c>
      <c r="F93" s="119" t="n">
        <v>7144600</v>
      </c>
      <c r="G93" s="120" t="n">
        <v>-0.009068999475006279</v>
      </c>
      <c r="H93" s="121" t="n">
        <v>95.17678987373634</v>
      </c>
      <c r="I93" s="118" t="n">
        <v>153.0518725585937</v>
      </c>
      <c r="J93" s="118" t="n">
        <v/>
      </c>
      <c r="K93" s="120" t="n">
        <v>0.1861935332389727</v>
      </c>
      <c r="L93" s="120" t="n">
        <v>-0.07501229104523921</v>
      </c>
      <c r="M93" s="120" t="n">
        <v>-0.07501229104523943</v>
      </c>
      <c r="N93" t="n">
        <v>41.15038014487718</v>
      </c>
      <c r="O93" t="n">
        <v>-0.8679788738417779</v>
      </c>
      <c r="P93" t="n">
        <v>106.6934397171362</v>
      </c>
      <c r="Q93" t="n">
        <v>107.9989798668957</v>
      </c>
    </row>
    <row r="94">
      <c r="A94" s="117" t="n">
        <v>44546</v>
      </c>
      <c r="B94" s="118" t="n">
        <v>150.2989337917957</v>
      </c>
      <c r="C94" s="118" t="n">
        <v>153.2919846844582</v>
      </c>
      <c r="D94" s="118" t="n">
        <v>150.141892955789</v>
      </c>
      <c r="E94" s="118" t="n">
        <v>150.3174133300781</v>
      </c>
      <c r="F94" s="119" t="n">
        <v>7138100</v>
      </c>
      <c r="G94" s="120" t="n">
        <v>-0.007199595349665522</v>
      </c>
      <c r="H94" s="121" t="n">
        <v>94.49155549996529</v>
      </c>
      <c r="I94" s="118" t="n">
        <v>153.3139840698242</v>
      </c>
      <c r="J94" s="118" t="n">
        <v/>
      </c>
      <c r="K94" s="120" t="n">
        <v>0.1869007401647148</v>
      </c>
      <c r="L94" s="120" t="n">
        <v>-0.0816718282531278</v>
      </c>
      <c r="M94" s="120" t="n">
        <v>-0.08167182825312791</v>
      </c>
      <c r="N94" t="n">
        <v>39.1663414587458</v>
      </c>
      <c r="O94" t="n">
        <v>-0.9844433451671986</v>
      </c>
      <c r="P94" t="n">
        <v>105.7525531692105</v>
      </c>
      <c r="Q94" t="n">
        <v>105.2218340950868</v>
      </c>
    </row>
    <row r="95">
      <c r="A95" s="117" t="n">
        <v>44547</v>
      </c>
      <c r="B95" s="118" t="n">
        <v>149.3105053783114</v>
      </c>
      <c r="C95" s="118" t="n">
        <v>150.4467503708496</v>
      </c>
      <c r="D95" s="118" t="n">
        <v>148.312821691293</v>
      </c>
      <c r="E95" s="118" t="n">
        <v>149.0610809326172</v>
      </c>
      <c r="F95" s="119" t="n">
        <v>7705100</v>
      </c>
      <c r="G95" s="120" t="n">
        <v>-0.008357863334849891</v>
      </c>
      <c r="H95" s="121" t="n">
        <v>93.70180799279919</v>
      </c>
      <c r="I95" s="118" t="n">
        <v>153.4947192382812</v>
      </c>
      <c r="J95" s="118" t="n">
        <v/>
      </c>
      <c r="K95" s="120" t="n">
        <v>0.188030586318043</v>
      </c>
      <c r="L95" s="120" t="n">
        <v>-0.08934708960913074</v>
      </c>
      <c r="M95" s="120" t="n">
        <v>-0.08934708960913074</v>
      </c>
      <c r="N95" t="n">
        <v>36.95486792848904</v>
      </c>
      <c r="O95" t="n">
        <v>-1.089781507431853</v>
      </c>
      <c r="P95" t="n">
        <v>104.6270327819701</v>
      </c>
      <c r="Q95" t="n">
        <v>104.6968500186469</v>
      </c>
    </row>
    <row r="96">
      <c r="A96" s="117" t="n">
        <v>44550</v>
      </c>
      <c r="B96" s="118" t="n">
        <v>147.1950435972347</v>
      </c>
      <c r="C96" s="118" t="n">
        <v>147.4352353235212</v>
      </c>
      <c r="D96" s="118" t="n">
        <v>143.6200209219013</v>
      </c>
      <c r="E96" s="118" t="n">
        <v>145.0149230957031</v>
      </c>
      <c r="F96" s="119" t="n">
        <v>8411900</v>
      </c>
      <c r="G96" s="120" t="n">
        <v>-0.02714429421549092</v>
      </c>
      <c r="H96" s="121" t="n">
        <v>91.15833854811922</v>
      </c>
      <c r="I96" s="118" t="n">
        <v>153.5829132080078</v>
      </c>
      <c r="J96" s="118" t="n">
        <v/>
      </c>
      <c r="K96" s="120" t="n">
        <v>0.185436196171187</v>
      </c>
      <c r="L96" s="120" t="n">
        <v>-0.1140661201369735</v>
      </c>
      <c r="M96" s="120" t="n">
        <v>-0.1140661201369736</v>
      </c>
      <c r="N96" t="n">
        <v>30.90296639050285</v>
      </c>
      <c r="O96" t="n">
        <v>-1.358180223710054</v>
      </c>
      <c r="P96" t="n">
        <v>103.5145070868297</v>
      </c>
      <c r="Q96" t="n">
        <v>103.6812707748526</v>
      </c>
    </row>
    <row r="97">
      <c r="A97" s="117" t="n">
        <v>44551</v>
      </c>
      <c r="B97" s="118" t="n">
        <v>153.984883160216</v>
      </c>
      <c r="C97" s="118" t="n">
        <v>158.1418929632757</v>
      </c>
      <c r="D97" s="118" t="n">
        <v>152.1558027936835</v>
      </c>
      <c r="E97" s="118" t="n">
        <v>153.9294586181641</v>
      </c>
      <c r="F97" s="119" t="n">
        <v>13862900</v>
      </c>
      <c r="G97" s="120" t="n">
        <v>0.06147322863163374</v>
      </c>
      <c r="H97" s="121" t="n">
        <v>96.76213593536761</v>
      </c>
      <c r="I97" s="118" t="n">
        <v>153.8899710083008</v>
      </c>
      <c r="J97" s="118" t="n">
        <v/>
      </c>
      <c r="K97" s="120" t="n">
        <v>0.3009203069146539</v>
      </c>
      <c r="L97" s="120" t="n">
        <v>-0.05960490418764341</v>
      </c>
      <c r="M97" s="120" t="n">
        <v>-0.05960490418764353</v>
      </c>
      <c r="N97" t="n">
        <v>50.2384385469401</v>
      </c>
      <c r="O97" t="n">
        <v>-0.8844954929070726</v>
      </c>
      <c r="P97" t="n">
        <v>105.3528169592464</v>
      </c>
      <c r="Q97" t="n">
        <v>106.0016891148637</v>
      </c>
    </row>
    <row r="98">
      <c r="A98" s="117" t="n">
        <v>44552</v>
      </c>
      <c r="B98" s="118" t="n">
        <v>154.492930268409</v>
      </c>
      <c r="C98" s="118" t="n">
        <v>156.1187775518719</v>
      </c>
      <c r="D98" s="118" t="n">
        <v>151.5830156021457</v>
      </c>
      <c r="E98" s="118" t="n">
        <v>152.8301239013672</v>
      </c>
      <c r="F98" s="119" t="n">
        <v>5811300</v>
      </c>
      <c r="G98" s="120" t="n">
        <v>-0.007141808505439329</v>
      </c>
      <c r="H98" s="121" t="n">
        <v>96.07107928993992</v>
      </c>
      <c r="I98" s="118" t="n">
        <v>154.1184237670898</v>
      </c>
      <c r="J98" s="118" t="n">
        <v/>
      </c>
      <c r="K98" s="120" t="n">
        <v>0.299265351725966</v>
      </c>
      <c r="L98" s="120" t="n">
        <v>-0.06632102588138966</v>
      </c>
      <c r="M98" s="120" t="n">
        <v>-0.06632102588138955</v>
      </c>
      <c r="N98" t="n">
        <v>48.4383229951601</v>
      </c>
      <c r="O98" t="n">
        <v>-0.6075644306338815</v>
      </c>
      <c r="P98" t="n">
        <v>106.4061839680918</v>
      </c>
      <c r="Q98" t="n">
        <v>107.292644490021</v>
      </c>
    </row>
    <row r="99">
      <c r="A99" s="117" t="n">
        <v>44553</v>
      </c>
      <c r="B99" s="118" t="n">
        <v>153.5784118434435</v>
      </c>
      <c r="C99" s="118" t="n">
        <v>154.4190549544118</v>
      </c>
      <c r="D99" s="118" t="n">
        <v>152.8301523628667</v>
      </c>
      <c r="E99" s="118" t="n">
        <v>153.0426177978516</v>
      </c>
      <c r="F99" s="119" t="n">
        <v>3876900</v>
      </c>
      <c r="G99" s="120" t="n">
        <v>0.001390392751506875</v>
      </c>
      <c r="H99" s="121" t="n">
        <v>96.20465582221409</v>
      </c>
      <c r="I99" s="118" t="n">
        <v>154.2967205810547</v>
      </c>
      <c r="J99" s="118" t="n">
        <v/>
      </c>
      <c r="K99" s="120" t="n">
        <v>0.2994526786401992</v>
      </c>
      <c r="L99" s="120" t="n">
        <v>-0.06502284540354075</v>
      </c>
      <c r="M99" s="120" t="n">
        <v>-0.06502284540354064</v>
      </c>
      <c r="N99" t="n">
        <v>48.82006083971665</v>
      </c>
      <c r="O99" t="n">
        <v>-0.3833693402705841</v>
      </c>
      <c r="P99" t="n">
        <v>107.0682786578526</v>
      </c>
      <c r="Q99" t="n">
        <v>108.1015143508549</v>
      </c>
    </row>
    <row r="100">
      <c r="A100" s="117" t="n">
        <v>44557</v>
      </c>
      <c r="B100" s="118" t="n">
        <v>153.8278177524387</v>
      </c>
      <c r="C100" s="118" t="n">
        <v>154.9086384375543</v>
      </c>
      <c r="D100" s="118" t="n">
        <v>152.867078857384</v>
      </c>
      <c r="E100" s="118" t="n">
        <v>154.8070220947266</v>
      </c>
      <c r="F100" s="119" t="n">
        <v>3769300</v>
      </c>
      <c r="G100" s="120" t="n">
        <v>0.01152884289528777</v>
      </c>
      <c r="H100" s="121" t="n">
        <v>97.31378418498363</v>
      </c>
      <c r="I100" s="118" t="n">
        <v>154.4948147583008</v>
      </c>
      <c r="J100" s="118" t="n">
        <v/>
      </c>
      <c r="K100" s="120" t="n">
        <v>0.2914214503366303</v>
      </c>
      <c r="L100" s="120" t="n">
        <v>-0.05424364067751497</v>
      </c>
      <c r="M100" s="120" t="n">
        <v>-0.05424364067751486</v>
      </c>
      <c r="N100" t="n">
        <v>51.99791947490199</v>
      </c>
      <c r="O100" t="n">
        <v>-0.1040677400551721</v>
      </c>
      <c r="P100" t="n">
        <v>108.58349222499</v>
      </c>
      <c r="Q100" t="n">
        <v>109.8881399274031</v>
      </c>
    </row>
    <row r="101">
      <c r="A101" s="117" t="n">
        <v>44558</v>
      </c>
      <c r="B101" s="118" t="n">
        <v>155.0102792221897</v>
      </c>
      <c r="C101" s="118" t="n">
        <v>155.4259773826638</v>
      </c>
      <c r="D101" s="118" t="n">
        <v>153.6246092901006</v>
      </c>
      <c r="E101" s="118" t="n">
        <v>153.7354583740234</v>
      </c>
      <c r="F101" s="119" t="n">
        <v>2658600</v>
      </c>
      <c r="G101" s="120" t="n">
        <v>-0.006921932262526354</v>
      </c>
      <c r="H101" s="121" t="n">
        <v>96.64018476264506</v>
      </c>
      <c r="I101" s="118" t="n">
        <v>154.6554321289063</v>
      </c>
      <c r="J101" s="118" t="n">
        <v/>
      </c>
      <c r="K101" s="120" t="n">
        <v>0.2894747783329776</v>
      </c>
      <c r="L101" s="120" t="n">
        <v>-0.0607901021335987</v>
      </c>
      <c r="M101" s="120" t="n">
        <v>-0.0607901021335987</v>
      </c>
      <c r="N101" t="n">
        <v>49.96866221068535</v>
      </c>
      <c r="O101" t="n">
        <v>0.01438443942465673</v>
      </c>
      <c r="P101" t="n">
        <v>108.4947800225904</v>
      </c>
      <c r="Q101" t="n">
        <v>109.3788252321465</v>
      </c>
    </row>
    <row r="102">
      <c r="A102" s="117" t="n">
        <v>44559</v>
      </c>
      <c r="B102" s="118" t="n">
        <v>154.3358720445433</v>
      </c>
      <c r="C102" s="118" t="n">
        <v>156.8577865283918</v>
      </c>
      <c r="D102" s="118" t="n">
        <v>153.9016944837652</v>
      </c>
      <c r="E102" s="118" t="n">
        <v>155.91552734375</v>
      </c>
      <c r="F102" s="119" t="n">
        <v>3830900</v>
      </c>
      <c r="G102" s="120" t="n">
        <v>0.01418065157370951</v>
      </c>
      <c r="H102" s="121" t="n">
        <v>98.01060555078305</v>
      </c>
      <c r="I102" s="118" t="n">
        <v>154.8334637451172</v>
      </c>
      <c r="J102" s="118" t="n">
        <v/>
      </c>
      <c r="K102" s="120" t="n">
        <v>0.2940048264717764</v>
      </c>
      <c r="L102" s="120" t="n">
        <v>-0.04747149381737592</v>
      </c>
      <c r="M102" s="120" t="n">
        <v>-0.04747149381737581</v>
      </c>
      <c r="N102" t="n">
        <v>53.90959126717017</v>
      </c>
      <c r="O102" t="n">
        <v>0.2332886760264816</v>
      </c>
      <c r="P102" t="n">
        <v>108.6335745505337</v>
      </c>
      <c r="Q102" t="n">
        <v>109.3624979761806</v>
      </c>
    </row>
    <row r="103">
      <c r="A103" s="117" t="n">
        <v>44560</v>
      </c>
      <c r="B103" s="118" t="n">
        <v>155.4813690259237</v>
      </c>
      <c r="C103" s="118" t="n">
        <v>157.1534081348647</v>
      </c>
      <c r="D103" s="118" t="n">
        <v>154.4559729293134</v>
      </c>
      <c r="E103" s="118" t="n">
        <v>154.723876953125</v>
      </c>
      <c r="F103" s="119" t="n">
        <v>2666800</v>
      </c>
      <c r="G103" s="120" t="n">
        <v>-0.007642923132330171</v>
      </c>
      <c r="H103" s="121" t="n">
        <v>97.26151802640528</v>
      </c>
      <c r="I103" s="118" t="n">
        <v>155.0173544311523</v>
      </c>
      <c r="J103" s="118" t="n">
        <v/>
      </c>
      <c r="K103" s="120" t="n">
        <v>0.2901171376680691</v>
      </c>
      <c r="L103" s="120" t="n">
        <v>-0.05475159597148305</v>
      </c>
      <c r="M103" s="120" t="n">
        <v>-0.05475159597148294</v>
      </c>
      <c r="N103" t="n">
        <v>51.52067275276753</v>
      </c>
      <c r="O103" t="n">
        <v>0.2879720294393499</v>
      </c>
      <c r="P103" t="n">
        <v>108.3332503178386</v>
      </c>
      <c r="Q103" t="n">
        <v>109.0356709105286</v>
      </c>
    </row>
    <row r="104">
      <c r="A104" s="117" t="n">
        <v>44561</v>
      </c>
      <c r="B104" s="118" t="n">
        <v>154.7885483849165</v>
      </c>
      <c r="C104" s="118" t="n">
        <v>154.9363565429198</v>
      </c>
      <c r="D104" s="118" t="n">
        <v>153.5414540531379</v>
      </c>
      <c r="E104" s="118" t="n">
        <v>153.9663848876953</v>
      </c>
      <c r="F104" s="119" t="n">
        <v>2752000</v>
      </c>
      <c r="G104" s="120" t="n">
        <v>-0.004895767093912595</v>
      </c>
      <c r="H104" s="121" t="n">
        <v>96.78534828694761</v>
      </c>
      <c r="I104" s="118" t="n">
        <v>155.1744757080078</v>
      </c>
      <c r="J104" s="118" t="n">
        <v/>
      </c>
      <c r="K104" s="120" t="n">
        <v>0.281423704074301</v>
      </c>
      <c r="L104" s="120" t="n">
        <v>-0.05937931200349933</v>
      </c>
      <c r="M104" s="120" t="n">
        <v>-0.05937931200349911</v>
      </c>
      <c r="N104" t="n">
        <v>50.00378959935607</v>
      </c>
      <c r="O104" t="n">
        <v>0.2639089465458066</v>
      </c>
      <c r="P104" t="n">
        <v>108.060228958948</v>
      </c>
      <c r="Q104" t="n">
        <v>108.3547961421197</v>
      </c>
    </row>
    <row r="105">
      <c r="A105" s="117" t="n">
        <v>44564</v>
      </c>
      <c r="B105" s="118" t="n">
        <v>154.7608465445512</v>
      </c>
      <c r="C105" s="118" t="n">
        <v>155.1118874195207</v>
      </c>
      <c r="D105" s="118" t="n">
        <v>150.8624942130656</v>
      </c>
      <c r="E105" s="118" t="n">
        <v>152.1188354492188</v>
      </c>
      <c r="F105" s="119" t="n">
        <v>5670500</v>
      </c>
      <c r="G105" s="120" t="n">
        <v>-0.0119996935683343</v>
      </c>
      <c r="H105" s="121" t="n">
        <v>95.62395376559974</v>
      </c>
      <c r="I105" s="118" t="n">
        <v>155.2258572387695</v>
      </c>
      <c r="J105" s="118" t="n">
        <v/>
      </c>
      <c r="K105" s="120" t="n">
        <v>0.2837515684709884</v>
      </c>
      <c r="L105" s="120" t="n">
        <v>-0.07066647202349308</v>
      </c>
      <c r="M105" s="120" t="n">
        <v>-0.07066647202349285</v>
      </c>
      <c r="N105" t="n">
        <v>46.41435851849113</v>
      </c>
      <c r="O105" t="n">
        <v>0.1215841326675066</v>
      </c>
      <c r="P105" t="n">
        <v>108.6859001392224</v>
      </c>
      <c r="Q105" t="n">
        <v>109.3979036008392</v>
      </c>
    </row>
    <row r="106">
      <c r="A106" s="117" t="n">
        <v>44565</v>
      </c>
      <c r="B106" s="118" t="n">
        <v>153.23661049155</v>
      </c>
      <c r="C106" s="118" t="n">
        <v>154.437513054916</v>
      </c>
      <c r="D106" s="118" t="n">
        <v>152.4236796892302</v>
      </c>
      <c r="E106" s="118" t="n">
        <v>153.7077331542969</v>
      </c>
      <c r="F106" s="119" t="n">
        <v>6064200</v>
      </c>
      <c r="G106" s="120" t="n">
        <v>0.01044510826279987</v>
      </c>
      <c r="H106" s="121" t="n">
        <v>96.62275631519839</v>
      </c>
      <c r="I106" s="118" t="n">
        <v>155.2850402832031</v>
      </c>
      <c r="J106" s="118" t="n">
        <v/>
      </c>
      <c r="K106" s="120" t="n">
        <v>0.2857699529677729</v>
      </c>
      <c r="L106" s="120" t="n">
        <v>-0.06095948271152873</v>
      </c>
      <c r="M106" s="120" t="n">
        <v>-0.06095948271152851</v>
      </c>
      <c r="N106" t="n">
        <v>49.75478531412378</v>
      </c>
      <c r="O106" t="n">
        <v>0.1316249725447612</v>
      </c>
      <c r="P106" t="n">
        <v>108.6494840088912</v>
      </c>
      <c r="Q106" t="n">
        <v>107.9789445894285</v>
      </c>
    </row>
    <row r="107">
      <c r="A107" s="117" t="n">
        <v>44566</v>
      </c>
      <c r="B107" s="118" t="n">
        <v>153.8001172879383</v>
      </c>
      <c r="C107" s="118" t="n">
        <v>154.2804726765653</v>
      </c>
      <c r="D107" s="118" t="n">
        <v>149.7447241787728</v>
      </c>
      <c r="E107" s="118" t="n">
        <v>149.8832855224609</v>
      </c>
      <c r="F107" s="119" t="n">
        <v>5021000</v>
      </c>
      <c r="G107" s="120" t="n">
        <v>-0.02488129616742729</v>
      </c>
      <c r="H107" s="121" t="n">
        <v>94.21865689880678</v>
      </c>
      <c r="I107" s="118" t="n">
        <v>155.2540875244141</v>
      </c>
      <c r="J107" s="118" t="n">
        <v/>
      </c>
      <c r="K107" s="120" t="n">
        <v>0.2925984366102511</v>
      </c>
      <c r="L107" s="120" t="n">
        <v>-0.08432402793539728</v>
      </c>
      <c r="M107" s="120" t="n">
        <v>-0.08432402793539706</v>
      </c>
      <c r="N107" t="n">
        <v>42.83339299501681</v>
      </c>
      <c r="O107" t="n">
        <v>-0.1091277578128216</v>
      </c>
      <c r="P107" t="n">
        <v>106.5631754924681</v>
      </c>
      <c r="Q107" t="n">
        <v>104.6617092526671</v>
      </c>
    </row>
    <row r="108">
      <c r="A108" s="117" t="n">
        <v>44567</v>
      </c>
      <c r="B108" s="118" t="n">
        <v>149.7354592466743</v>
      </c>
      <c r="C108" s="118" t="n">
        <v>150.7516226300129</v>
      </c>
      <c r="D108" s="118" t="n">
        <v>146.9364076766495</v>
      </c>
      <c r="E108" s="118" t="n">
        <v>148.7654876708984</v>
      </c>
      <c r="F108" s="119" t="n">
        <v>4144600</v>
      </c>
      <c r="G108" s="120" t="n">
        <v>-0.007457788556383016</v>
      </c>
      <c r="H108" s="121" t="n">
        <v>93.51599407758908</v>
      </c>
      <c r="I108" s="118" t="n">
        <v>155.2087084960937</v>
      </c>
      <c r="J108" s="118" t="n">
        <v/>
      </c>
      <c r="K108" s="120" t="n">
        <v>0.2928610034926296</v>
      </c>
      <c r="L108" s="120" t="n">
        <v>-0.09115294572121557</v>
      </c>
      <c r="M108" s="120" t="n">
        <v>-0.09115294572121546</v>
      </c>
      <c r="N108" t="n">
        <v>41.03655572195301</v>
      </c>
      <c r="O108" t="n">
        <v>-0.321471593380426</v>
      </c>
      <c r="P108" t="n">
        <v>106.4630846329316</v>
      </c>
      <c r="Q108" t="n">
        <v>104.5881896097649</v>
      </c>
    </row>
    <row r="109">
      <c r="A109" s="117" t="n">
        <v>44568</v>
      </c>
      <c r="B109" s="118" t="n">
        <v>148.5160882433352</v>
      </c>
      <c r="C109" s="118" t="n">
        <v>148.857882272156</v>
      </c>
      <c r="D109" s="118" t="n">
        <v>144.904105700065</v>
      </c>
      <c r="E109" s="118" t="n">
        <v>145.0057220458984</v>
      </c>
      <c r="F109" s="119" t="n">
        <v>5108000</v>
      </c>
      <c r="G109" s="120" t="n">
        <v>-0.02527310388897064</v>
      </c>
      <c r="H109" s="121" t="n">
        <v>91.15255464398581</v>
      </c>
      <c r="I109" s="118" t="n">
        <v>155.114690246582</v>
      </c>
      <c r="J109" s="118" t="n">
        <v/>
      </c>
      <c r="K109" s="120" t="n">
        <v>0.301893341658811</v>
      </c>
      <c r="L109" s="120" t="n">
        <v>-0.1141223317431883</v>
      </c>
      <c r="M109" s="120" t="n">
        <v>-0.1141223317431881</v>
      </c>
      <c r="N109" t="n">
        <v>35.62347246849552</v>
      </c>
      <c r="O109" t="n">
        <v>-0.672749381717372</v>
      </c>
      <c r="P109" t="n">
        <v>106.0421628687261</v>
      </c>
      <c r="Q109" t="n">
        <v>103.4552010768641</v>
      </c>
    </row>
    <row r="110">
      <c r="A110" s="117" t="n">
        <v>44571</v>
      </c>
      <c r="B110" s="118" t="n">
        <v>139.0473232563413</v>
      </c>
      <c r="C110" s="118" t="n">
        <v>139.7955825519148</v>
      </c>
      <c r="D110" s="118" t="n">
        <v>137.4399415169823</v>
      </c>
      <c r="E110" s="118" t="n">
        <v>138.9734191894531</v>
      </c>
      <c r="F110" s="119" t="n">
        <v>10439000</v>
      </c>
      <c r="G110" s="120" t="n">
        <v>-0.04160044701226284</v>
      </c>
      <c r="H110" s="121" t="n">
        <v>87.36056762448628</v>
      </c>
      <c r="I110" s="118" t="n">
        <v>154.8611138916016</v>
      </c>
      <c r="J110" s="118" t="n">
        <v/>
      </c>
      <c r="K110" s="120" t="n">
        <v>0.3287795344149776</v>
      </c>
      <c r="L110" s="120" t="n">
        <v>-0.1509752387408528</v>
      </c>
      <c r="M110" s="120" t="n">
        <v>-0.1509752387408526</v>
      </c>
      <c r="N110" t="n">
        <v>29.01125202481551</v>
      </c>
      <c r="O110" t="n">
        <v>-1.236188403053954</v>
      </c>
      <c r="P110" t="n">
        <v>105.9102235758543</v>
      </c>
      <c r="Q110" t="n">
        <v>103.5232697572826</v>
      </c>
    </row>
    <row r="111">
      <c r="A111" s="117" t="n">
        <v>44572</v>
      </c>
      <c r="B111" s="118" t="n">
        <v>139.0103592661666</v>
      </c>
      <c r="C111" s="118" t="n">
        <v>139.34292050754</v>
      </c>
      <c r="D111" s="118" t="n">
        <v>136.3498834309386</v>
      </c>
      <c r="E111" s="118" t="n">
        <v>138.8440856933594</v>
      </c>
      <c r="F111" s="119" t="n">
        <v>8175400</v>
      </c>
      <c r="G111" s="120" t="n">
        <v>-0.0009306347706494744</v>
      </c>
      <c r="H111" s="121" t="n">
        <v>87.27926684267126</v>
      </c>
      <c r="I111" s="118" t="n">
        <v>154.5527590942383</v>
      </c>
      <c r="J111" s="118" t="n">
        <v/>
      </c>
      <c r="K111" s="120" t="n">
        <v>0.3279320485978424</v>
      </c>
      <c r="L111" s="120" t="n">
        <v>-0.1517653707048229</v>
      </c>
      <c r="M111" s="120" t="n">
        <v>-0.1517653707048227</v>
      </c>
      <c r="N111" t="n">
        <v>28.88744855366228</v>
      </c>
      <c r="O111" t="n">
        <v>-1.523538332860615</v>
      </c>
      <c r="P111" t="n">
        <v>106.8748857614553</v>
      </c>
      <c r="Q111" t="n">
        <v>105.0784003048438</v>
      </c>
    </row>
    <row r="112">
      <c r="A112" s="117" t="n">
        <v>44573</v>
      </c>
      <c r="B112" s="118" t="n">
        <v>140.5346011863101</v>
      </c>
      <c r="C112" s="118" t="n">
        <v>141.7632297993724</v>
      </c>
      <c r="D112" s="118" t="n">
        <v>139.2505480501524</v>
      </c>
      <c r="E112" s="118" t="n">
        <v>140.6085052490234</v>
      </c>
      <c r="F112" s="119" t="n">
        <v>6351200</v>
      </c>
      <c r="G112" s="120" t="n">
        <v>0.01270792015988942</v>
      </c>
      <c r="H112" s="121" t="n">
        <v>88.38840479732161</v>
      </c>
      <c r="I112" s="118" t="n">
        <v>154.2973971557617</v>
      </c>
      <c r="J112" s="118" t="n">
        <v/>
      </c>
      <c r="K112" s="120" t="n">
        <v>0.333504413631501</v>
      </c>
      <c r="L112" s="120" t="n">
        <v>-0.1409860727588864</v>
      </c>
      <c r="M112" s="120" t="n">
        <v>-0.1409860727588862</v>
      </c>
      <c r="N112" t="n">
        <v>33.08290263897329</v>
      </c>
      <c r="O112" t="n">
        <v>-1.498450263035731</v>
      </c>
      <c r="P112" t="n">
        <v>107.1638165787033</v>
      </c>
      <c r="Q112" t="n">
        <v>105.4951426199906</v>
      </c>
    </row>
    <row r="113">
      <c r="A113" s="117" t="n">
        <v>44574</v>
      </c>
      <c r="B113" s="118" t="n">
        <v>141.5230628112891</v>
      </c>
      <c r="C113" s="118" t="n">
        <v>141.8925831894518</v>
      </c>
      <c r="D113" s="118" t="n">
        <v>137.6616700058755</v>
      </c>
      <c r="E113" s="118" t="n">
        <v>138.1882171630859</v>
      </c>
      <c r="F113" s="119" t="n">
        <v>4990900</v>
      </c>
      <c r="G113" s="120" t="n">
        <v>-0.01721295651106647</v>
      </c>
      <c r="H113" s="121" t="n">
        <v>86.86697902946278</v>
      </c>
      <c r="I113" s="118" t="n">
        <v>153.9659652709961</v>
      </c>
      <c r="J113" s="118" t="n">
        <v/>
      </c>
      <c r="K113" s="120" t="n">
        <v>0.3364060021466715</v>
      </c>
      <c r="L113" s="120" t="n">
        <v>-0.155772242130888</v>
      </c>
      <c r="M113" s="120" t="n">
        <v>-0.1557722421308878</v>
      </c>
      <c r="N113" t="n">
        <v>30.43076833354971</v>
      </c>
      <c r="O113" t="n">
        <v>-1.542490260240091</v>
      </c>
      <c r="P113" t="n">
        <v>105.6872402675769</v>
      </c>
      <c r="Q113" t="n">
        <v>102.8560309389112</v>
      </c>
    </row>
    <row r="114">
      <c r="A114" s="117" t="n">
        <v>44575</v>
      </c>
      <c r="B114" s="118" t="n">
        <v>137.0796352672023</v>
      </c>
      <c r="C114" s="118" t="n">
        <v>137.4953332103933</v>
      </c>
      <c r="D114" s="118" t="n">
        <v>135.6570210826526</v>
      </c>
      <c r="E114" s="118" t="n">
        <v>136.8856353759766</v>
      </c>
      <c r="F114" s="119" t="n">
        <v>6030500</v>
      </c>
      <c r="G114" s="120" t="n">
        <v>-0.009426142212777155</v>
      </c>
      <c r="H114" s="121" t="n">
        <v>86.04815853153674</v>
      </c>
      <c r="I114" s="118" t="n">
        <v>153.5223559570312</v>
      </c>
      <c r="J114" s="118" t="n">
        <v/>
      </c>
      <c r="K114" s="120" t="n">
        <v>0.3367491068795212</v>
      </c>
      <c r="L114" s="120" t="n">
        <v>-0.1637300530365362</v>
      </c>
      <c r="M114" s="120" t="n">
        <v>-0.1637300530365361</v>
      </c>
      <c r="N114" t="n">
        <v>29.07961932989369</v>
      </c>
      <c r="O114" t="n">
        <v>-1.552704689056842</v>
      </c>
      <c r="P114" t="n">
        <v>105.7304968746694</v>
      </c>
      <c r="Q114" t="n">
        <v>103.4960576640062</v>
      </c>
    </row>
    <row r="115">
      <c r="A115" s="117" t="n">
        <v>44579</v>
      </c>
      <c r="B115" s="118" t="n">
        <v>136.7748007931139</v>
      </c>
      <c r="C115" s="118" t="n">
        <v>137.48611500838</v>
      </c>
      <c r="D115" s="118" t="n">
        <v>135.1489538254061</v>
      </c>
      <c r="E115" s="118" t="n">
        <v>135.7494049072266</v>
      </c>
      <c r="F115" s="119" t="n">
        <v>6931000</v>
      </c>
      <c r="G115" s="120" t="n">
        <v>-0.008300582202282802</v>
      </c>
      <c r="H115" s="121" t="n">
        <v>85.33390871829066</v>
      </c>
      <c r="I115" s="118" t="n">
        <v>153.0018005371094</v>
      </c>
      <c r="J115" s="118" t="n">
        <v/>
      </c>
      <c r="K115" s="120" t="n">
        <v>0.3367403698528554</v>
      </c>
      <c r="L115" s="120" t="n">
        <v>-0.1706715804746052</v>
      </c>
      <c r="M115" s="120" t="n">
        <v>-0.170671580474605</v>
      </c>
      <c r="N115" t="n">
        <v>27.91528293121627</v>
      </c>
      <c r="O115" t="n">
        <v>-1.527027369104328</v>
      </c>
      <c r="P115" t="n">
        <v>103.8580288933768</v>
      </c>
      <c r="Q115" t="n">
        <v>100.9196149638318</v>
      </c>
    </row>
    <row r="116">
      <c r="A116" s="117" t="n">
        <v>44580</v>
      </c>
      <c r="B116" s="118" t="n">
        <v>136.4976778251572</v>
      </c>
      <c r="C116" s="118" t="n">
        <v>137.7355532853996</v>
      </c>
      <c r="D116" s="118" t="n">
        <v>133.9665305717747</v>
      </c>
      <c r="E116" s="118" t="n">
        <v>134.0496673583984</v>
      </c>
      <c r="F116" s="119" t="n">
        <v>4823800</v>
      </c>
      <c r="G116" s="120" t="n">
        <v>-0.0125211418052974</v>
      </c>
      <c r="H116" s="121" t="n">
        <v>84.26543074642863</v>
      </c>
      <c r="I116" s="118" t="n">
        <v>152.409075012207</v>
      </c>
      <c r="J116" s="118" t="n">
        <v/>
      </c>
      <c r="K116" s="120" t="n">
        <v>0.327547462601161</v>
      </c>
      <c r="L116" s="120" t="n">
        <v>-0.1810557192186458</v>
      </c>
      <c r="M116" s="120" t="n">
        <v>-0.1810557192186456</v>
      </c>
      <c r="N116" t="n">
        <v>26.22373457066571</v>
      </c>
      <c r="O116" t="n">
        <v>-1.512681145038889</v>
      </c>
      <c r="P116" t="n">
        <v>102.779624411337</v>
      </c>
      <c r="Q116" t="n">
        <v>99.81114721827899</v>
      </c>
    </row>
    <row r="117">
      <c r="A117" s="117" t="n">
        <v>44581</v>
      </c>
      <c r="B117" s="118" t="n">
        <v>134.373002979005</v>
      </c>
      <c r="C117" s="118" t="n">
        <v>136.1466583328293</v>
      </c>
      <c r="D117" s="118" t="n">
        <v>131.6386088320093</v>
      </c>
      <c r="E117" s="118" t="n">
        <v>131.85107421875</v>
      </c>
      <c r="F117" s="119" t="n">
        <v>5366500</v>
      </c>
      <c r="G117" s="120" t="n">
        <v>-0.01640133230446761</v>
      </c>
      <c r="H117" s="121" t="n">
        <v>82.88336541497736</v>
      </c>
      <c r="I117" s="118" t="n">
        <v>151.8767617797852</v>
      </c>
      <c r="J117" s="118" t="n">
        <v/>
      </c>
      <c r="K117" s="120" t="n">
        <v>0.2214041780507732</v>
      </c>
      <c r="L117" s="120" t="n">
        <v>-0.1944874965065839</v>
      </c>
      <c r="M117" s="120" t="n">
        <v>-0.1944874965065838</v>
      </c>
      <c r="N117" t="n">
        <v>24.18250715394159</v>
      </c>
      <c r="O117" t="n">
        <v>-1.534577177202225</v>
      </c>
      <c r="P117" t="n">
        <v>101.6420391055371</v>
      </c>
      <c r="Q117" t="n">
        <v>98.51476651212303</v>
      </c>
    </row>
    <row r="118">
      <c r="A118" s="117" t="n">
        <v>44582</v>
      </c>
      <c r="B118" s="118" t="n">
        <v>133.3199400265093</v>
      </c>
      <c r="C118" s="118" t="n">
        <v>135.2044450761156</v>
      </c>
      <c r="D118" s="118" t="n">
        <v>131.961982261563</v>
      </c>
      <c r="E118" s="118" t="n">
        <v>132.0543518066406</v>
      </c>
      <c r="F118" s="119" t="n">
        <v>7553400</v>
      </c>
      <c r="G118" s="120" t="n">
        <v>0.001541721135721374</v>
      </c>
      <c r="H118" s="121" t="n">
        <v>83.01114845123735</v>
      </c>
      <c r="I118" s="118" t="n">
        <v>151.3121823120117</v>
      </c>
      <c r="J118" s="118" t="n">
        <v/>
      </c>
      <c r="K118" s="120" t="n">
        <v>0.2237845429044426</v>
      </c>
      <c r="L118" s="120" t="n">
        <v>-0.1932456208548604</v>
      </c>
      <c r="M118" s="120" t="n">
        <v>-0.1932456208548602</v>
      </c>
      <c r="N118" t="n">
        <v>24.76560654791496</v>
      </c>
      <c r="O118" t="n">
        <v>-1.421261936829627</v>
      </c>
      <c r="P118" t="n">
        <v>99.64675984620942</v>
      </c>
      <c r="Q118" t="n">
        <v>95.7830739071055</v>
      </c>
    </row>
    <row r="119">
      <c r="A119" s="117" t="n">
        <v>44585</v>
      </c>
      <c r="B119" s="118" t="n">
        <v>130.0774223464031</v>
      </c>
      <c r="C119" s="118" t="n">
        <v>135.1582108934487</v>
      </c>
      <c r="D119" s="118" t="n">
        <v>128.92269767662</v>
      </c>
      <c r="E119" s="118" t="n">
        <v>134.8718414306641</v>
      </c>
      <c r="F119" s="119" t="n">
        <v>9733200</v>
      </c>
      <c r="G119" s="120" t="n">
        <v>0.0213358332041107</v>
      </c>
      <c r="H119" s="121" t="n">
        <v>84.78226046867462</v>
      </c>
      <c r="I119" s="118" t="n">
        <v>150.9064923095703</v>
      </c>
      <c r="J119" s="118" t="n">
        <v/>
      </c>
      <c r="K119" s="120" t="n">
        <v>0.2441891836485542</v>
      </c>
      <c r="L119" s="120" t="n">
        <v>-0.1760328439847337</v>
      </c>
      <c r="M119" s="120" t="n">
        <v>-0.1760328439847335</v>
      </c>
      <c r="N119" t="n">
        <v>32.51292305898971</v>
      </c>
      <c r="O119" t="n">
        <v>-1.059066814138273</v>
      </c>
      <c r="P119" t="n">
        <v>100.069932252715</v>
      </c>
      <c r="Q119" t="n">
        <v>96.22156026538838</v>
      </c>
    </row>
    <row r="120">
      <c r="A120" s="117" t="n">
        <v>44586</v>
      </c>
      <c r="B120" s="118" t="n">
        <v>133.9203720804973</v>
      </c>
      <c r="C120" s="118" t="n">
        <v>136.6824790322497</v>
      </c>
      <c r="D120" s="118" t="n">
        <v>131.647867343879</v>
      </c>
      <c r="E120" s="118" t="n">
        <v>134.3914947509766</v>
      </c>
      <c r="F120" s="119" t="n">
        <v>8195400</v>
      </c>
      <c r="G120" s="120" t="n">
        <v>-0.003561504570503304</v>
      </c>
      <c r="H120" s="121" t="n">
        <v>84.48030806051783</v>
      </c>
      <c r="I120" s="118" t="n">
        <v>150.5149862670899</v>
      </c>
      <c r="J120" s="118" t="n">
        <v/>
      </c>
      <c r="K120" s="120" t="n">
        <v>0.2353856417645871</v>
      </c>
      <c r="L120" s="120" t="n">
        <v>-0.1789674067768268</v>
      </c>
      <c r="M120" s="120" t="n">
        <v>-0.1789674067768265</v>
      </c>
      <c r="N120" t="n">
        <v>31.9096225478537</v>
      </c>
      <c r="O120" t="n">
        <v>-0.7679118507039187</v>
      </c>
      <c r="P120" t="n">
        <v>98.84818030404617</v>
      </c>
      <c r="Q120" t="n">
        <v>93.99102299955869</v>
      </c>
    </row>
    <row r="121">
      <c r="A121" s="117" t="n">
        <v>44587</v>
      </c>
      <c r="B121" s="118" t="n">
        <v>136.5161640555332</v>
      </c>
      <c r="C121" s="118" t="n">
        <v>137.6154641628509</v>
      </c>
      <c r="D121" s="118" t="n">
        <v>131.851073713204</v>
      </c>
      <c r="E121" s="118" t="n">
        <v>133.0150451660156</v>
      </c>
      <c r="F121" s="119" t="n">
        <v>7444600</v>
      </c>
      <c r="G121" s="120" t="n">
        <v>-0.01024208851543362</v>
      </c>
      <c r="H121" s="121" t="n">
        <v>83.61505326755091</v>
      </c>
      <c r="I121" s="118" t="n">
        <v>150.0568536376953</v>
      </c>
      <c r="J121" s="118" t="n">
        <v/>
      </c>
      <c r="K121" s="120" t="n">
        <v>0.2356769693885336</v>
      </c>
      <c r="L121" s="120" t="n">
        <v>-0.1873764952706746</v>
      </c>
      <c r="M121" s="120" t="n">
        <v>-0.1873764952706742</v>
      </c>
      <c r="N121" t="n">
        <v>30.18137142978571</v>
      </c>
      <c r="O121" t="n">
        <v>-0.5919832746236642</v>
      </c>
      <c r="P121" t="n">
        <v>98.60018903919477</v>
      </c>
      <c r="Q121" t="n">
        <v>93.84394953844101</v>
      </c>
    </row>
    <row r="122">
      <c r="A122" s="117" t="n">
        <v>44588</v>
      </c>
      <c r="B122" s="118" t="n">
        <v>133.9388528955872</v>
      </c>
      <c r="C122" s="118" t="n">
        <v>136.1189740253728</v>
      </c>
      <c r="D122" s="118" t="n">
        <v>132.6363198524361</v>
      </c>
      <c r="E122" s="118" t="n">
        <v>133.6155242919922</v>
      </c>
      <c r="F122" s="119" t="n">
        <v>6396400</v>
      </c>
      <c r="G122" s="120" t="n">
        <v>0.004514369973916077</v>
      </c>
      <c r="H122" s="121" t="n">
        <v>83.99252255338932</v>
      </c>
      <c r="I122" s="118" t="n">
        <v>149.6151574707031</v>
      </c>
      <c r="J122" s="118" t="n">
        <v/>
      </c>
      <c r="K122" s="120" t="n">
        <v>0.2264124657444633</v>
      </c>
      <c r="L122" s="120" t="n">
        <v>-0.1837080121208261</v>
      </c>
      <c r="M122" s="120" t="n">
        <v>-0.1837080121208257</v>
      </c>
      <c r="N122" t="n">
        <v>31.91384367656781</v>
      </c>
      <c r="O122" t="n">
        <v>-0.3699866110023367</v>
      </c>
      <c r="P122" t="n">
        <v>98.11329024939835</v>
      </c>
      <c r="Q122" t="n">
        <v>92.89889105380003</v>
      </c>
    </row>
    <row r="123">
      <c r="A123" s="117" t="n">
        <v>44589</v>
      </c>
      <c r="B123" s="118" t="n">
        <v>133.1351378423201</v>
      </c>
      <c r="C123" s="118" t="n">
        <v>134.8995606111906</v>
      </c>
      <c r="D123" s="118" t="n">
        <v>129.8926758778063</v>
      </c>
      <c r="E123" s="118" t="n">
        <v>134.7887115478516</v>
      </c>
      <c r="F123" s="119" t="n">
        <v>6130200</v>
      </c>
      <c r="G123" s="120" t="n">
        <v>0.008780321463961016</v>
      </c>
      <c r="H123" s="121" t="n">
        <v>84.73000390197708</v>
      </c>
      <c r="I123" s="118" t="n">
        <v>149.1419659423828</v>
      </c>
      <c r="J123" s="118" t="n">
        <v/>
      </c>
      <c r="K123" s="120" t="n">
        <v>0.2337479657043948</v>
      </c>
      <c r="L123" s="120" t="n">
        <v>-0.1765407060587911</v>
      </c>
      <c r="M123" s="120" t="n">
        <v>-0.1765407060587908</v>
      </c>
      <c r="N123" t="n">
        <v>35.29220190902468</v>
      </c>
      <c r="O123" t="n">
        <v>-0.09336062531099643</v>
      </c>
      <c r="P123" t="n">
        <v>100.5499758074399</v>
      </c>
      <c r="Q123" t="n">
        <v>95.81302856928036</v>
      </c>
    </row>
    <row r="124">
      <c r="A124" s="117" t="n">
        <v>44592</v>
      </c>
      <c r="B124" s="118" t="n">
        <v>135.1212514514281</v>
      </c>
      <c r="C124" s="118" t="n">
        <v>136.8856598453297</v>
      </c>
      <c r="D124" s="118" t="n">
        <v>134.1512800134219</v>
      </c>
      <c r="E124" s="118" t="n">
        <v>136.7840576171875</v>
      </c>
      <c r="F124" s="119" t="n">
        <v>6932200</v>
      </c>
      <c r="G124" s="120" t="n">
        <v>0.01480351022294291</v>
      </c>
      <c r="H124" s="121" t="n">
        <v>85.98430538093</v>
      </c>
      <c r="I124" s="118" t="n">
        <v>148.7103414916992</v>
      </c>
      <c r="J124" s="118" t="n">
        <v/>
      </c>
      <c r="K124" s="120" t="n">
        <v>0.2459807358081673</v>
      </c>
      <c r="L124" s="120" t="n">
        <v>-0.1643506179827551</v>
      </c>
      <c r="M124" s="120" t="n">
        <v>-0.1643506179827547</v>
      </c>
      <c r="N124" t="n">
        <v>40.68309752002386</v>
      </c>
      <c r="O124" t="n">
        <v>0.2556858123484718</v>
      </c>
      <c r="P124" t="n">
        <v>102.3609975643622</v>
      </c>
      <c r="Q124" t="n">
        <v>98.87699065860525</v>
      </c>
    </row>
    <row r="125">
      <c r="A125" s="117" t="n">
        <v>44593</v>
      </c>
      <c r="B125" s="118" t="n">
        <v>138.1050749113679</v>
      </c>
      <c r="C125" s="118" t="n">
        <v>138.2713485031556</v>
      </c>
      <c r="D125" s="118" t="n">
        <v>135.6108723642277</v>
      </c>
      <c r="E125" s="118" t="n">
        <v>136.9226379394531</v>
      </c>
      <c r="F125" s="119" t="n">
        <v>6695000</v>
      </c>
      <c r="G125" s="120" t="n">
        <v>0.001013132119924931</v>
      </c>
      <c r="H125" s="121" t="n">
        <v>86.07141884252086</v>
      </c>
      <c r="I125" s="118" t="n">
        <v>148.2886807250977</v>
      </c>
      <c r="J125" s="118" t="n">
        <v/>
      </c>
      <c r="K125" s="120" t="n">
        <v>0.2459564541950294</v>
      </c>
      <c r="L125" s="120" t="n">
        <v>-0.1635039947528379</v>
      </c>
      <c r="M125" s="120" t="n">
        <v>-0.1635039947528376</v>
      </c>
      <c r="N125" t="n">
        <v>41.05042464700422</v>
      </c>
      <c r="O125" t="n">
        <v>0.5127491833293085</v>
      </c>
      <c r="P125" t="n">
        <v>103.0526383910725</v>
      </c>
      <c r="Q125" t="n">
        <v>99.54968898328866</v>
      </c>
    </row>
    <row r="126">
      <c r="A126" s="117" t="n">
        <v>44594</v>
      </c>
      <c r="B126" s="118" t="n">
        <v>137.0427590939011</v>
      </c>
      <c r="C126" s="118" t="n">
        <v>138.0681553863175</v>
      </c>
      <c r="D126" s="118" t="n">
        <v>136.2852527806912</v>
      </c>
      <c r="E126" s="118" t="n">
        <v>137.3753204345703</v>
      </c>
      <c r="F126" s="119" t="n">
        <v>5491700</v>
      </c>
      <c r="G126" s="120" t="n">
        <v>0.003306118710021844</v>
      </c>
      <c r="H126" s="121" t="n">
        <v>86.35598117075423</v>
      </c>
      <c r="I126" s="118" t="n">
        <v>147.8109716796875</v>
      </c>
      <c r="J126" s="118" t="n">
        <v/>
      </c>
      <c r="K126" s="120" t="n">
        <v>0.2412190455122556</v>
      </c>
      <c r="L126" s="120" t="n">
        <v>-0.1481169404675422</v>
      </c>
      <c r="M126" s="120" t="n">
        <v>-0.1607384396590315</v>
      </c>
      <c r="N126" t="n">
        <v>42.30724338143852</v>
      </c>
      <c r="O126" t="n">
        <v>0.7175602712043228</v>
      </c>
      <c r="P126" t="n">
        <v>104.0537019486945</v>
      </c>
      <c r="Q126" t="n">
        <v>100.3585759317792</v>
      </c>
    </row>
    <row r="127">
      <c r="A127" s="117" t="n">
        <v>44595</v>
      </c>
      <c r="B127" s="118" t="n">
        <v>136.1651633267178</v>
      </c>
      <c r="C127" s="118" t="n">
        <v>137.1443819453339</v>
      </c>
      <c r="D127" s="118" t="n">
        <v>133.9203847427183</v>
      </c>
      <c r="E127" s="118" t="n">
        <v>134.2344665527344</v>
      </c>
      <c r="F127" s="119" t="n">
        <v>5240200</v>
      </c>
      <c r="G127" s="120" t="n">
        <v>-0.02286330522760727</v>
      </c>
      <c r="H127" s="121" t="n">
        <v>84.38159801501777</v>
      </c>
      <c r="I127" s="118" t="n">
        <v>147.282248840332</v>
      </c>
      <c r="J127" s="118" t="n">
        <v/>
      </c>
      <c r="K127" s="120" t="n">
        <v>0.2391650927262873</v>
      </c>
      <c r="L127" s="120" t="n">
        <v>-0.1675938028758607</v>
      </c>
      <c r="M127" s="120" t="n">
        <v>-0.1799267328789049</v>
      </c>
      <c r="N127" t="n">
        <v>36.49361155264597</v>
      </c>
      <c r="O127" t="n">
        <v>0.6479175432363746</v>
      </c>
      <c r="P127" t="n">
        <v>101.6079326507466</v>
      </c>
      <c r="Q127" t="n">
        <v>96.28965457729191</v>
      </c>
    </row>
    <row r="128">
      <c r="A128" s="117" t="n">
        <v>44596</v>
      </c>
      <c r="B128" s="118" t="n">
        <v>134.2899005792461</v>
      </c>
      <c r="C128" s="118" t="n">
        <v>135.3152969926315</v>
      </c>
      <c r="D128" s="118" t="n">
        <v>132.6917650488262</v>
      </c>
      <c r="E128" s="118" t="n">
        <v>134.3083801269531</v>
      </c>
      <c r="F128" s="119" t="n">
        <v>4313400</v>
      </c>
      <c r="G128" s="120" t="n">
        <v>0.0005506303717437433</v>
      </c>
      <c r="H128" s="121" t="n">
        <v>84.42806108570112</v>
      </c>
      <c r="I128" s="118" t="n">
        <v>146.7935482788086</v>
      </c>
      <c r="J128" s="118" t="n">
        <v/>
      </c>
      <c r="K128" s="120" t="n">
        <v>0.2399346683014821</v>
      </c>
      <c r="L128" s="120" t="n">
        <v>-0.1671354547420965</v>
      </c>
      <c r="M128" s="120" t="n">
        <v>-0.1794751756309729</v>
      </c>
      <c r="N128" t="n">
        <v>36.71400645899336</v>
      </c>
      <c r="O128" t="n">
        <v>0.6135854810524393</v>
      </c>
      <c r="P128" t="n">
        <v>102.0857255631715</v>
      </c>
      <c r="Q128" t="n">
        <v>97.50434774064864</v>
      </c>
    </row>
    <row r="129">
      <c r="A129" s="117" t="n">
        <v>44599</v>
      </c>
      <c r="B129" s="118" t="n">
        <v>134.2251854457472</v>
      </c>
      <c r="C129" s="118" t="n">
        <v>134.982677426027</v>
      </c>
      <c r="D129" s="118" t="n">
        <v>133.2275017361094</v>
      </c>
      <c r="E129" s="118" t="n">
        <v>134.0773773193359</v>
      </c>
      <c r="F129" s="119" t="n">
        <v>3877500</v>
      </c>
      <c r="G129" s="120" t="n">
        <v>-0.001719943367635257</v>
      </c>
      <c r="H129" s="121" t="n">
        <v>84.28284960199447</v>
      </c>
      <c r="I129" s="118" t="n">
        <v>146.3024411010742</v>
      </c>
      <c r="J129" s="118" t="n">
        <v/>
      </c>
      <c r="K129" s="120" t="n">
        <v>0.2277837326896116</v>
      </c>
      <c r="L129" s="120" t="n">
        <v>-0.1685679345928512</v>
      </c>
      <c r="M129" s="120" t="n">
        <v>-0.1808864318606266</v>
      </c>
      <c r="N129" t="n">
        <v>36.29011928947753</v>
      </c>
      <c r="O129" t="n">
        <v>0.5823276669559623</v>
      </c>
      <c r="P129" t="n">
        <v>101.7580763192065</v>
      </c>
      <c r="Q129" t="n">
        <v>96.71997303567771</v>
      </c>
    </row>
    <row r="130">
      <c r="A130" s="117" t="n">
        <v>44600</v>
      </c>
      <c r="B130" s="118" t="n">
        <v>133.7078674343049</v>
      </c>
      <c r="C130" s="118" t="n">
        <v>134.4099348718774</v>
      </c>
      <c r="D130" s="118" t="n">
        <v>131.4538429034689</v>
      </c>
      <c r="E130" s="118" t="n">
        <v>132.590087890625</v>
      </c>
      <c r="F130" s="119" t="n">
        <v>5829400</v>
      </c>
      <c r="G130" s="120" t="n">
        <v>-0.01109276940261605</v>
      </c>
      <c r="H130" s="121" t="n">
        <v>83.34791938676418</v>
      </c>
      <c r="I130" s="118" t="n">
        <v>145.8555426025391</v>
      </c>
      <c r="J130" s="118" t="n">
        <v/>
      </c>
      <c r="K130" s="120" t="n">
        <v>0.181745417533232</v>
      </c>
      <c r="L130" s="120" t="n">
        <v>-0.1777908187683535</v>
      </c>
      <c r="M130" s="120" t="n">
        <v>-0.1899726697865507</v>
      </c>
      <c r="N130" t="n">
        <v>33.60029163523285</v>
      </c>
      <c r="O130" t="n">
        <v>0.4731347984792826</v>
      </c>
      <c r="P130" t="n">
        <v>102.5953373923113</v>
      </c>
      <c r="Q130" t="n">
        <v>97.8066454751244</v>
      </c>
    </row>
    <row r="131">
      <c r="A131" s="117" t="n">
        <v>44601</v>
      </c>
      <c r="B131" s="118" t="n">
        <v>134.973514425428</v>
      </c>
      <c r="C131" s="118" t="n">
        <v>136.1282395799486</v>
      </c>
      <c r="D131" s="118" t="n">
        <v>134.5670489157142</v>
      </c>
      <c r="E131" s="118" t="n">
        <v>135.1120758056641</v>
      </c>
      <c r="F131" s="119" t="n">
        <v>4551000</v>
      </c>
      <c r="G131" s="120" t="n">
        <v>0.01902093855703213</v>
      </c>
      <c r="H131" s="121" t="n">
        <v>84.93327504027629</v>
      </c>
      <c r="I131" s="118" t="n">
        <v>145.4249655151367</v>
      </c>
      <c r="J131" s="118" t="n">
        <v/>
      </c>
      <c r="K131" s="120" t="n">
        <v>0.1968865270723157</v>
      </c>
      <c r="L131" s="120" t="n">
        <v>-0.1621516284511186</v>
      </c>
      <c r="M131" s="120" t="n">
        <v>-0.1745651897090439</v>
      </c>
      <c r="N131" t="n">
        <v>41.51624939989209</v>
      </c>
      <c r="O131" t="n">
        <v>0.5756021621323413</v>
      </c>
      <c r="P131" t="n">
        <v>104.0969437974769</v>
      </c>
      <c r="Q131" t="n">
        <v>99.8792329863542</v>
      </c>
    </row>
    <row r="132">
      <c r="A132" s="117" t="n">
        <v>44602</v>
      </c>
      <c r="B132" s="118" t="n">
        <v>132.9873177768548</v>
      </c>
      <c r="C132" s="118" t="n">
        <v>136.2944363495084</v>
      </c>
      <c r="D132" s="118" t="n">
        <v>132.8857014567504</v>
      </c>
      <c r="E132" s="118" t="n">
        <v>133.7817687988281</v>
      </c>
      <c r="F132" s="119" t="n">
        <v>5142600</v>
      </c>
      <c r="G132" s="120" t="n">
        <v>-0.009845951954356447</v>
      </c>
      <c r="H132" s="121" t="n">
        <v>84.0970260949036</v>
      </c>
      <c r="I132" s="118" t="n">
        <v>144.9794006347656</v>
      </c>
      <c r="J132" s="118" t="n">
        <v/>
      </c>
      <c r="K132" s="120" t="n">
        <v>0.1918334279954373</v>
      </c>
      <c r="L132" s="120" t="n">
        <v>-0.1704010432624246</v>
      </c>
      <c r="M132" s="120" t="n">
        <v>-0.182692381192622</v>
      </c>
      <c r="N132" t="n">
        <v>38.88300778729916</v>
      </c>
      <c r="O132" t="n">
        <v>0.5582061742117164</v>
      </c>
      <c r="P132" t="n">
        <v>102.2267633542598</v>
      </c>
      <c r="Q132" t="n">
        <v>97.61871542686458</v>
      </c>
    </row>
    <row r="133">
      <c r="A133" s="117" t="n">
        <v>44603</v>
      </c>
      <c r="B133" s="118" t="n">
        <v>133.726382051626</v>
      </c>
      <c r="C133" s="118" t="n">
        <v>134.0035188590201</v>
      </c>
      <c r="D133" s="118" t="n">
        <v>128.9227290745938</v>
      </c>
      <c r="E133" s="118" t="n">
        <v>129.4954681396484</v>
      </c>
      <c r="F133" s="119" t="n">
        <v>6710500</v>
      </c>
      <c r="G133" s="120" t="n">
        <v>-0.0320394975912236</v>
      </c>
      <c r="H133" s="121" t="n">
        <v>81.40259962990686</v>
      </c>
      <c r="I133" s="118" t="n">
        <v>144.494953918457</v>
      </c>
      <c r="J133" s="118" t="n">
        <v/>
      </c>
      <c r="K133" s="120" t="n">
        <v>0.2130478825171982</v>
      </c>
      <c r="L133" s="120" t="n">
        <v>-0.1969809770384998</v>
      </c>
      <c r="M133" s="120" t="n">
        <v>-0.2088785066766897</v>
      </c>
      <c r="N133" t="n">
        <v>31.86912938255958</v>
      </c>
      <c r="O133" t="n">
        <v>0.2766772121590391</v>
      </c>
      <c r="P133" t="n">
        <v>100.2109921812685</v>
      </c>
      <c r="Q133" t="n">
        <v>94.5220902817797</v>
      </c>
    </row>
    <row r="134">
      <c r="A134" s="117" t="n">
        <v>44606</v>
      </c>
      <c r="B134" s="118" t="n">
        <v>129.4030712611824</v>
      </c>
      <c r="C134" s="118" t="n">
        <v>132.2945064382531</v>
      </c>
      <c r="D134" s="118" t="n">
        <v>129.1351672355233</v>
      </c>
      <c r="E134" s="118" t="n">
        <v>130.7979736328125</v>
      </c>
      <c r="F134" s="119" t="n">
        <v>6841200</v>
      </c>
      <c r="G134" s="120" t="n">
        <v>0.01005830946732011</v>
      </c>
      <c r="H134" s="121" t="n">
        <v>82.22137216842881</v>
      </c>
      <c r="I134" s="118" t="n">
        <v>143.9756973266602</v>
      </c>
      <c r="J134" s="118" t="n">
        <v/>
      </c>
      <c r="K134" s="120" t="n">
        <v>0.216640025733081</v>
      </c>
      <c r="L134" s="120" t="n">
        <v>-0.1889039631974081</v>
      </c>
      <c r="M134" s="120" t="n">
        <v>-0.2009211618705955</v>
      </c>
      <c r="N134" t="n">
        <v>35.66678229568441</v>
      </c>
      <c r="O134" t="n">
        <v>0.2003869812616212</v>
      </c>
      <c r="P134" t="n">
        <v>99.88337983307896</v>
      </c>
      <c r="Q134" t="n">
        <v>94.63920908072248</v>
      </c>
    </row>
    <row r="135">
      <c r="A135" s="117" t="n">
        <v>44607</v>
      </c>
      <c r="B135" s="118" t="n">
        <v>133.2275303075529</v>
      </c>
      <c r="C135" s="118" t="n">
        <v>135.1674736193965</v>
      </c>
      <c r="D135" s="118" t="n">
        <v>133.1166812368516</v>
      </c>
      <c r="E135" s="118" t="n">
        <v>134.4838714599609</v>
      </c>
      <c r="F135" s="119" t="n">
        <v>7820200</v>
      </c>
      <c r="G135" s="120" t="n">
        <v>0.02818008356532964</v>
      </c>
      <c r="H135" s="121" t="n">
        <v>84.53837730699121</v>
      </c>
      <c r="I135" s="118" t="n">
        <v>143.5200891113281</v>
      </c>
      <c r="J135" s="118" t="n">
        <v/>
      </c>
      <c r="K135" s="120" t="n">
        <v>0.2403781566919844</v>
      </c>
      <c r="L135" s="120" t="n">
        <v>-0.1660472091008033</v>
      </c>
      <c r="M135" s="120" t="n">
        <v>-0.1784030534368224</v>
      </c>
      <c r="N135" t="n">
        <v>45.00828984626046</v>
      </c>
      <c r="O135" t="n">
        <v>0.4083814791359983</v>
      </c>
      <c r="P135" t="n">
        <v>101.4941534585324</v>
      </c>
      <c r="Q135" t="n">
        <v>96.99230756415024</v>
      </c>
    </row>
    <row r="136">
      <c r="A136" s="117" t="n">
        <v>44608</v>
      </c>
      <c r="B136" s="118" t="n">
        <v>133.9665512264021</v>
      </c>
      <c r="C136" s="118" t="n">
        <v>135.7494394835342</v>
      </c>
      <c r="D136" s="118" t="n">
        <v>133.5877981234867</v>
      </c>
      <c r="E136" s="118" t="n">
        <v>135.3245086669922</v>
      </c>
      <c r="F136" s="119" t="n">
        <v>4817500</v>
      </c>
      <c r="G136" s="120" t="n">
        <v>0.006250840326838203</v>
      </c>
      <c r="H136" s="121" t="n">
        <v>85.06681320502722</v>
      </c>
      <c r="I136" s="118" t="n">
        <v>143.105866394043</v>
      </c>
      <c r="J136" s="118" t="n">
        <v/>
      </c>
      <c r="K136" s="120" t="n">
        <v>0.2369929222037538</v>
      </c>
      <c r="L136" s="120" t="n">
        <v>-0.1577519378740669</v>
      </c>
      <c r="M136" s="120" t="n">
        <v>-0.1732673821108381</v>
      </c>
      <c r="N136" t="n">
        <v>46.90198463240279</v>
      </c>
      <c r="O136" t="n">
        <v>0.6011480524946493</v>
      </c>
      <c r="P136" t="n">
        <v>101.6079326507466</v>
      </c>
      <c r="Q136" t="n">
        <v>96.96782095211566</v>
      </c>
    </row>
    <row r="137">
      <c r="A137" s="117" t="n">
        <v>44609</v>
      </c>
      <c r="B137" s="118" t="n">
        <v>134.4468882657109</v>
      </c>
      <c r="C137" s="118" t="n">
        <v>135.7124760109271</v>
      </c>
      <c r="D137" s="118" t="n">
        <v>131.7679328351898</v>
      </c>
      <c r="E137" s="118" t="n">
        <v>131.9157409667969</v>
      </c>
      <c r="F137" s="119" t="n">
        <v>5202300</v>
      </c>
      <c r="G137" s="120" t="n">
        <v>-0.02518958120574921</v>
      </c>
      <c r="H137" s="121" t="n">
        <v>82.92401580588488</v>
      </c>
      <c r="I137" s="118" t="n">
        <v>142.5794961547851</v>
      </c>
      <c r="J137" s="118" t="n">
        <v/>
      </c>
      <c r="K137" s="120" t="n">
        <v>0.2471787764563293</v>
      </c>
      <c r="L137" s="120" t="n">
        <v>-0.1690001968585683</v>
      </c>
      <c r="M137" s="120" t="n">
        <v>-0.1940924305245988</v>
      </c>
      <c r="N137" t="n">
        <v>40.77090949533285</v>
      </c>
      <c r="O137" t="n">
        <v>0.5017076836677341</v>
      </c>
      <c r="P137" t="n">
        <v>99.43742797483431</v>
      </c>
      <c r="Q137" t="n">
        <v>94.08362101115351</v>
      </c>
    </row>
    <row r="138">
      <c r="A138" s="117" t="n">
        <v>44610</v>
      </c>
      <c r="B138" s="118" t="n">
        <v>132.4423377258018</v>
      </c>
      <c r="C138" s="118" t="n">
        <v>132.9688991062263</v>
      </c>
      <c r="D138" s="118" t="n">
        <v>131.0012431415562</v>
      </c>
      <c r="E138" s="118" t="n">
        <v>132.0543518066406</v>
      </c>
      <c r="F138" s="119" t="n">
        <v>5177400</v>
      </c>
      <c r="G138" s="120" t="n">
        <v>0.001050752842897129</v>
      </c>
      <c r="H138" s="121" t="n">
        <v>83.01114845123736</v>
      </c>
      <c r="I138" s="118" t="n">
        <v>142.0751129150391</v>
      </c>
      <c r="J138" s="118" t="n">
        <v/>
      </c>
      <c r="K138" s="120" t="n">
        <v>0.247147992287079</v>
      </c>
      <c r="L138" s="120" t="n">
        <v>-0.16754665547022</v>
      </c>
      <c r="M138" s="120" t="n">
        <v>-0.1932456208548602</v>
      </c>
      <c r="N138" t="n">
        <v>41.10803062091853</v>
      </c>
      <c r="O138" t="n">
        <v>0.4495724107255588</v>
      </c>
      <c r="P138" t="n">
        <v>98.79359669390227</v>
      </c>
      <c r="Q138" t="n">
        <v>93.01053325877416</v>
      </c>
    </row>
    <row r="139">
      <c r="A139" s="117" t="n">
        <v>44614</v>
      </c>
      <c r="B139" s="118" t="n">
        <v>130.7979729282972</v>
      </c>
      <c r="C139" s="118" t="n">
        <v>130.8441647354821</v>
      </c>
      <c r="D139" s="118" t="n">
        <v>125.7818555939003</v>
      </c>
      <c r="E139" s="118" t="n">
        <v>127.6571273803711</v>
      </c>
      <c r="F139" s="119" t="n">
        <v>9604500</v>
      </c>
      <c r="G139" s="120" t="n">
        <v>-0.03329859535949353</v>
      </c>
      <c r="H139" s="121" t="n">
        <v>80.24699380863277</v>
      </c>
      <c r="I139" s="118" t="n">
        <v>141.5225074768067</v>
      </c>
      <c r="J139" s="118" t="n">
        <v/>
      </c>
      <c r="K139" s="120" t="n">
        <v>0.260650294973713</v>
      </c>
      <c r="L139" s="120" t="n">
        <v>-0.1932396114190498</v>
      </c>
      <c r="M139" s="120" t="n">
        <v>-0.2201094084805136</v>
      </c>
      <c r="N139" t="n">
        <v>34.41574845925383</v>
      </c>
      <c r="O139" t="n">
        <v>0.1393289959806738</v>
      </c>
      <c r="P139" t="n">
        <v>97.73335231252008</v>
      </c>
      <c r="Q139" t="n">
        <v>92.07637669910042</v>
      </c>
    </row>
    <row r="140">
      <c r="A140" s="117" t="n">
        <v>44615</v>
      </c>
      <c r="B140" s="118" t="n">
        <v>129.0150780013927</v>
      </c>
      <c r="C140" s="118" t="n">
        <v>130.225227169171</v>
      </c>
      <c r="D140" s="118" t="n">
        <v>126.1051634502236</v>
      </c>
      <c r="E140" s="118" t="n">
        <v>126.4007797241211</v>
      </c>
      <c r="F140" s="119" t="n">
        <v>7636600</v>
      </c>
      <c r="G140" s="120" t="n">
        <v>-0.009841578625739755</v>
      </c>
      <c r="H140" s="121" t="n">
        <v>79.45723670958586</v>
      </c>
      <c r="I140" s="118" t="n">
        <v>140.9270391845703</v>
      </c>
      <c r="J140" s="118" t="n">
        <v/>
      </c>
      <c r="K140" s="120" t="n">
        <v>0.2619026261515034</v>
      </c>
      <c r="L140" s="120" t="n">
        <v>-0.2011794072154015</v>
      </c>
      <c r="M140" s="120" t="n">
        <v>-0.2277847630564274</v>
      </c>
      <c r="N140" t="n">
        <v>32.77404935568127</v>
      </c>
      <c r="O140" t="n">
        <v>-0.1163022703700012</v>
      </c>
      <c r="P140" t="n">
        <v>95.99968623832579</v>
      </c>
      <c r="Q140" t="n">
        <v>89.71783579701739</v>
      </c>
    </row>
    <row r="141">
      <c r="A141" s="117" t="n">
        <v>44616</v>
      </c>
      <c r="B141" s="118" t="n">
        <v>122.8626623867452</v>
      </c>
      <c r="C141" s="118" t="n">
        <v>126.9457657159268</v>
      </c>
      <c r="D141" s="118" t="n">
        <v>120.9504322287483</v>
      </c>
      <c r="E141" s="118" t="n">
        <v>126.7148208618164</v>
      </c>
      <c r="F141" s="119" t="n">
        <v>8417200</v>
      </c>
      <c r="G141" s="120" t="n">
        <v>0.002484487345574271</v>
      </c>
      <c r="H141" s="121" t="n">
        <v>79.65464720870511</v>
      </c>
      <c r="I141" s="118" t="n">
        <v>140.3788679504395</v>
      </c>
      <c r="J141" s="118" t="n">
        <v/>
      </c>
      <c r="K141" s="120" t="n">
        <v>0.2610849374651696</v>
      </c>
      <c r="L141" s="120" t="n">
        <v>-0.1991947475612441</v>
      </c>
      <c r="M141" s="120" t="n">
        <v>-0.2258662040721813</v>
      </c>
      <c r="N141" t="n">
        <v>33.62635119711977</v>
      </c>
      <c r="O141" t="n">
        <v>-0.2238194662128774</v>
      </c>
      <c r="P141" t="n">
        <v>97.44439935780677</v>
      </c>
      <c r="Q141" t="n">
        <v>92.73273922398964</v>
      </c>
    </row>
    <row r="142">
      <c r="A142" s="117" t="n">
        <v>44617</v>
      </c>
      <c r="B142" s="118" t="n">
        <v>127.6016809304382</v>
      </c>
      <c r="C142" s="118" t="n">
        <v>128.6085973136011</v>
      </c>
      <c r="D142" s="118" t="n">
        <v>125.8095462472997</v>
      </c>
      <c r="E142" s="118" t="n">
        <v>128.2206115722656</v>
      </c>
      <c r="F142" s="119" t="n">
        <v>5424500</v>
      </c>
      <c r="G142" s="120" t="n">
        <v>0.01188330378568181</v>
      </c>
      <c r="H142" s="121" t="n">
        <v>80.60120757942747</v>
      </c>
      <c r="I142" s="118" t="n">
        <v>139.8874168395996</v>
      </c>
      <c r="J142" s="118" t="n">
        <v/>
      </c>
      <c r="K142" s="120" t="n">
        <v>0.264915748700581</v>
      </c>
      <c r="L142" s="120" t="n">
        <v>-0.1896785354733448</v>
      </c>
      <c r="M142" s="120" t="n">
        <v>-0.216666937004408</v>
      </c>
      <c r="N142" t="n">
        <v>37.70461313878532</v>
      </c>
      <c r="O142" t="n">
        <v>-0.1563005996116007</v>
      </c>
      <c r="P142" t="n">
        <v>99.59442687836565</v>
      </c>
      <c r="Q142" t="n">
        <v>94.17075097260799</v>
      </c>
    </row>
    <row r="143">
      <c r="A143" s="117" t="n">
        <v>44620</v>
      </c>
      <c r="B143" s="118" t="n">
        <v>126.6132965372386</v>
      </c>
      <c r="C143" s="118" t="n">
        <v>127.8326930187042</v>
      </c>
      <c r="D143" s="118" t="n">
        <v>124.747256813677</v>
      </c>
      <c r="E143" s="118" t="n">
        <v>126.1421737670898</v>
      </c>
      <c r="F143" s="119" t="n">
        <v>6613300</v>
      </c>
      <c r="G143" s="120" t="n">
        <v>-0.01620985721164159</v>
      </c>
      <c r="H143" s="121" t="n">
        <v>79.29467351347907</v>
      </c>
      <c r="I143" s="118" t="n">
        <v>139.3821105957031</v>
      </c>
      <c r="J143" s="118" t="n">
        <v/>
      </c>
      <c r="K143" s="120" t="n">
        <v>0.2663688171689088</v>
      </c>
      <c r="L143" s="120" t="n">
        <v>-0.2028137307088501</v>
      </c>
      <c r="M143" s="120" t="n">
        <v>-0.2293646541047244</v>
      </c>
      <c r="N143" t="n">
        <v>34.54907821378873</v>
      </c>
      <c r="O143" t="n">
        <v>-0.2109928204122093</v>
      </c>
      <c r="P143" t="n">
        <v>99.33960989506312</v>
      </c>
      <c r="Q143" t="n">
        <v>94.45127048863429</v>
      </c>
    </row>
    <row r="144">
      <c r="A144" s="117" t="n">
        <v>44621</v>
      </c>
      <c r="B144" s="118" t="n">
        <v>126.299159454618</v>
      </c>
      <c r="C144" s="118" t="n">
        <v>126.326871717462</v>
      </c>
      <c r="D144" s="118" t="n">
        <v>121.1536998516059</v>
      </c>
      <c r="E144" s="118" t="n">
        <v>122.1421508789062</v>
      </c>
      <c r="F144" s="119" t="n">
        <v>6534000</v>
      </c>
      <c r="G144" s="120" t="n">
        <v>-0.03171043251220074</v>
      </c>
      <c r="H144" s="121" t="n">
        <v>76.78020512045289</v>
      </c>
      <c r="I144" s="118" t="n">
        <v>138.8186053466797</v>
      </c>
      <c r="J144" s="118" t="n">
        <v/>
      </c>
      <c r="K144" s="120" t="n">
        <v>0.275736163940536</v>
      </c>
      <c r="L144" s="120" t="n">
        <v>-0.2280928521008603</v>
      </c>
      <c r="M144" s="120" t="n">
        <v>-0.2538018342322529</v>
      </c>
      <c r="N144" t="n">
        <v>29.44216606990733</v>
      </c>
      <c r="O144" t="n">
        <v>-0.4615677020924127</v>
      </c>
      <c r="P144" t="n">
        <v>97.82663221191564</v>
      </c>
      <c r="Q144" t="n">
        <v>93.0050993839472</v>
      </c>
    </row>
    <row r="145">
      <c r="A145" s="117" t="n">
        <v>44622</v>
      </c>
      <c r="B145" s="118" t="n">
        <v>122.8442073217501</v>
      </c>
      <c r="C145" s="118" t="n">
        <v>126.1975317820459</v>
      </c>
      <c r="D145" s="118" t="n">
        <v>122.650221499279</v>
      </c>
      <c r="E145" s="118" t="n">
        <v>125.3384094238281</v>
      </c>
      <c r="F145" s="119" t="n">
        <v>7743900</v>
      </c>
      <c r="G145" s="120" t="n">
        <v>0.02616834992606853</v>
      </c>
      <c r="H145" s="121" t="n">
        <v>78.78941639544023</v>
      </c>
      <c r="I145" s="118" t="n">
        <v>138.3441519165039</v>
      </c>
      <c r="J145" s="118" t="n">
        <v/>
      </c>
      <c r="K145" s="120" t="n">
        <v>0.2972372884851379</v>
      </c>
      <c r="L145" s="120" t="n">
        <v>-0.207893315744202</v>
      </c>
      <c r="M145" s="120" t="n">
        <v>-0.234275059516252</v>
      </c>
      <c r="N145" t="n">
        <v>37.40431712549102</v>
      </c>
      <c r="O145" t="n">
        <v>-0.3614806159872979</v>
      </c>
      <c r="P145" t="n">
        <v>99.62627531170091</v>
      </c>
      <c r="Q145" t="n">
        <v>94.56566380633528</v>
      </c>
    </row>
    <row r="146">
      <c r="A146" s="117" t="n">
        <v>44623</v>
      </c>
      <c r="B146" s="118" t="n">
        <v>126.3176320748186</v>
      </c>
      <c r="C146" s="118" t="n">
        <v>126.3730565974702</v>
      </c>
      <c r="D146" s="118" t="n">
        <v>123.2783891890106</v>
      </c>
      <c r="E146" s="118" t="n">
        <v>123.7587585449219</v>
      </c>
      <c r="F146" s="119" t="n">
        <v>4576500</v>
      </c>
      <c r="G146" s="120" t="n">
        <v>-0.01260308700395829</v>
      </c>
      <c r="H146" s="121" t="n">
        <v>77.79642652561739</v>
      </c>
      <c r="I146" s="118" t="n">
        <v>137.9190286254883</v>
      </c>
      <c r="J146" s="118" t="n">
        <v/>
      </c>
      <c r="K146" s="120" t="n">
        <v>0.2972428746605901</v>
      </c>
      <c r="L146" s="120" t="n">
        <v>-0.2178763052022948</v>
      </c>
      <c r="M146" s="120" t="n">
        <v>-0.2439255575622695</v>
      </c>
      <c r="N146" t="n">
        <v>35.28507714364991</v>
      </c>
      <c r="O146" t="n">
        <v>-0.3508156269548923</v>
      </c>
      <c r="P146" t="n">
        <v>99.13029278199815</v>
      </c>
      <c r="Q146" t="n">
        <v>93.21482473831317</v>
      </c>
    </row>
    <row r="147">
      <c r="A147" s="117" t="n">
        <v>44624</v>
      </c>
      <c r="B147" s="118" t="n">
        <v>122.6893637516319</v>
      </c>
      <c r="C147" s="118" t="n">
        <v>123.7170995775581</v>
      </c>
      <c r="D147" s="118" t="n">
        <v>121.0135094156451</v>
      </c>
      <c r="E147" s="118" t="n">
        <v>121.4579315185547</v>
      </c>
      <c r="F147" s="119" t="n">
        <v>7084500</v>
      </c>
      <c r="G147" s="120" t="n">
        <v>-0.01859122581236972</v>
      </c>
      <c r="H147" s="121" t="n">
        <v>76.35009559268421</v>
      </c>
      <c r="I147" s="118" t="n">
        <v>137.2695980834961</v>
      </c>
      <c r="J147" s="118" t="n">
        <v/>
      </c>
      <c r="K147" s="120" t="n">
        <v>0.2942164430393595</v>
      </c>
      <c r="L147" s="120" t="n">
        <v>-0.227727996986925</v>
      </c>
      <c r="M147" s="120" t="n">
        <v>-0.2579819082525909</v>
      </c>
      <c r="N147" t="n">
        <v>32.40515923617369</v>
      </c>
      <c r="O147" t="n">
        <v>-0.441981949477356</v>
      </c>
      <c r="P147" t="n">
        <v>98.32488752138374</v>
      </c>
      <c r="Q147" t="n">
        <v>91.86396003880601</v>
      </c>
    </row>
    <row r="148">
      <c r="A148" s="117" t="n">
        <v>44627</v>
      </c>
      <c r="B148" s="118" t="n">
        <v>121.2912813139921</v>
      </c>
      <c r="C148" s="118" t="n">
        <v>121.3190568130667</v>
      </c>
      <c r="D148" s="118" t="n">
        <v>114.9674670127285</v>
      </c>
      <c r="E148" s="118" t="n">
        <v>115.2174606323242</v>
      </c>
      <c r="F148" s="119" t="n">
        <v>11383400</v>
      </c>
      <c r="G148" s="120" t="n">
        <v>-0.05137969013803878</v>
      </c>
      <c r="H148" s="121" t="n">
        <v>72.42725133912245</v>
      </c>
      <c r="I148" s="118" t="n">
        <v>136.5173448181152</v>
      </c>
      <c r="J148" s="118" t="n">
        <v/>
      </c>
      <c r="K148" s="120" t="n">
        <v>0.3363596085353959</v>
      </c>
      <c r="L148" s="120" t="n">
        <v>-0.2622503280888624</v>
      </c>
      <c r="M148" s="120" t="n">
        <v>-0.2961065678833916</v>
      </c>
      <c r="N148" t="n">
        <v>26.16694676525448</v>
      </c>
      <c r="O148" t="n">
        <v>-0.8426065771536999</v>
      </c>
      <c r="P148" t="n">
        <v>95.42635540505019</v>
      </c>
      <c r="Q148" t="n">
        <v>88.47589636507089</v>
      </c>
    </row>
    <row r="149">
      <c r="A149" s="117" t="n">
        <v>44628</v>
      </c>
      <c r="B149" s="118" t="n">
        <v>115.958171005851</v>
      </c>
      <c r="C149" s="118" t="n">
        <v>116.1711282802853</v>
      </c>
      <c r="D149" s="118" t="n">
        <v>111.8472345122527</v>
      </c>
      <c r="E149" s="118" t="n">
        <v>112.2268447875977</v>
      </c>
      <c r="F149" s="119" t="n">
        <v>9089400</v>
      </c>
      <c r="G149" s="120" t="n">
        <v>-0.02595627284539848</v>
      </c>
      <c r="H149" s="121" t="n">
        <v>70.54730984192194</v>
      </c>
      <c r="I149" s="118" t="n">
        <v>135.7010293579102</v>
      </c>
      <c r="J149" s="118" t="n">
        <v/>
      </c>
      <c r="K149" s="120" t="n">
        <v>0.3418678755897884</v>
      </c>
      <c r="L149" s="120" t="n">
        <v>-0.281399559864591</v>
      </c>
      <c r="M149" s="120" t="n">
        <v>-0.3143770178614942</v>
      </c>
      <c r="N149" t="n">
        <v>23.80216822865771</v>
      </c>
      <c r="O149" t="n">
        <v>-1.206873642987316</v>
      </c>
      <c r="P149" t="n">
        <v>94.70285138669439</v>
      </c>
      <c r="Q149" t="n">
        <v>88.06465627537779</v>
      </c>
    </row>
    <row r="150">
      <c r="A150" s="117" t="n">
        <v>44629</v>
      </c>
      <c r="B150" s="118" t="n">
        <v>117.939574872042</v>
      </c>
      <c r="C150" s="118" t="n">
        <v>120.0413368819091</v>
      </c>
      <c r="D150" s="118" t="n">
        <v>117.245159084153</v>
      </c>
      <c r="E150" s="118" t="n">
        <v>117.5414428710938</v>
      </c>
      <c r="F150" s="119" t="n">
        <v>8845100</v>
      </c>
      <c r="G150" s="120" t="n">
        <v>0.04735585406107234</v>
      </c>
      <c r="H150" s="121" t="n">
        <v>73.88813795119725</v>
      </c>
      <c r="I150" s="118" t="n">
        <v>134.9557177734375</v>
      </c>
      <c r="J150" s="118" t="n">
        <v/>
      </c>
      <c r="K150" s="120" t="n">
        <v>0.3951008865652997</v>
      </c>
      <c r="L150" s="120" t="n">
        <v>-0.2461209933764467</v>
      </c>
      <c r="M150" s="120" t="n">
        <v>-0.2819087559784259</v>
      </c>
      <c r="N150" t="n">
        <v>35.03769260489625</v>
      </c>
      <c r="O150" t="n">
        <v>-0.9964869523442283</v>
      </c>
      <c r="P150" t="n">
        <v>97.24193010065819</v>
      </c>
      <c r="Q150" t="n">
        <v>91.23482669484984</v>
      </c>
    </row>
    <row r="151">
      <c r="A151" s="117" t="n">
        <v>44630</v>
      </c>
      <c r="B151" s="118" t="n">
        <v>114.8285847921925</v>
      </c>
      <c r="C151" s="118" t="n">
        <v>117.2173766567328</v>
      </c>
      <c r="D151" s="118" t="n">
        <v>114.8100701470863</v>
      </c>
      <c r="E151" s="118" t="n">
        <v>116.6896209716797</v>
      </c>
      <c r="F151" s="119" t="n">
        <v>7167400</v>
      </c>
      <c r="G151" s="120" t="n">
        <v>-0.007246992027724608</v>
      </c>
      <c r="H151" s="121" t="n">
        <v>73.35267120452151</v>
      </c>
      <c r="I151" s="118" t="n">
        <v>134.2148010253906</v>
      </c>
      <c r="J151" s="118" t="n">
        <v/>
      </c>
      <c r="K151" s="120" t="n">
        <v>0.3841432150323502</v>
      </c>
      <c r="L151" s="120" t="n">
        <v>-0.2515843485273165</v>
      </c>
      <c r="M151" s="120" t="n">
        <v>-0.2871127574990291</v>
      </c>
      <c r="N151" t="n">
        <v>34.16806332457672</v>
      </c>
      <c r="O151" t="n">
        <v>-0.8282025601007721</v>
      </c>
      <c r="P151" t="n">
        <v>96.80281871917484</v>
      </c>
      <c r="Q151" t="n">
        <v>90.22167389830531</v>
      </c>
    </row>
    <row r="152">
      <c r="A152" s="117" t="n">
        <v>44631</v>
      </c>
      <c r="B152" s="118" t="n">
        <v>117.5969798236725</v>
      </c>
      <c r="C152" s="118" t="n">
        <v>118.3932436826037</v>
      </c>
      <c r="D152" s="118" t="n">
        <v>113.4304858444115</v>
      </c>
      <c r="E152" s="118" t="n">
        <v>113.5415878295898</v>
      </c>
      <c r="F152" s="119" t="n">
        <v>5882000</v>
      </c>
      <c r="G152" s="120" t="n">
        <v>-0.0269778332972207</v>
      </c>
      <c r="H152" s="121" t="n">
        <v>71.37377506886008</v>
      </c>
      <c r="I152" s="118" t="n">
        <v>133.3673222351074</v>
      </c>
      <c r="J152" s="118" t="n">
        <v/>
      </c>
      <c r="K152" s="120" t="n">
        <v>0.3905720585770689</v>
      </c>
      <c r="L152" s="120" t="n">
        <v>-0.2717749812097774</v>
      </c>
      <c r="M152" s="120" t="n">
        <v>-0.3063449106869357</v>
      </c>
      <c r="N152" t="n">
        <v>31.09633346858274</v>
      </c>
      <c r="O152" t="n">
        <v>-0.8397800147321233</v>
      </c>
      <c r="P152" t="n">
        <v>95.57196827228951</v>
      </c>
      <c r="Q152" t="n">
        <v>88.3506267538877</v>
      </c>
    </row>
    <row r="153">
      <c r="A153" s="117" t="n">
        <v>44634</v>
      </c>
      <c r="B153" s="118" t="n">
        <v>112.5231353737615</v>
      </c>
      <c r="C153" s="118" t="n">
        <v>113.3749503951362</v>
      </c>
      <c r="D153" s="118" t="n">
        <v>108.0973931279642</v>
      </c>
      <c r="E153" s="118" t="n">
        <v>108.8566207885742</v>
      </c>
      <c r="F153" s="119" t="n">
        <v>13884900</v>
      </c>
      <c r="G153" s="120" t="n">
        <v>-0.04126212369028259</v>
      </c>
      <c r="H153" s="121" t="n">
        <v>68.42874153372638</v>
      </c>
      <c r="I153" s="118" t="n">
        <v>132.4499771118164</v>
      </c>
      <c r="J153" s="118" t="n">
        <v/>
      </c>
      <c r="K153" s="120" t="n">
        <v>0.3994102264732053</v>
      </c>
      <c r="L153" s="120" t="n">
        <v>-0.3018230920094579</v>
      </c>
      <c r="M153" s="120" t="n">
        <v>-0.3349665927805654</v>
      </c>
      <c r="N153" t="n">
        <v>27.18012318329671</v>
      </c>
      <c r="O153" t="n">
        <v>-1.059653983527001</v>
      </c>
      <c r="P153" t="n">
        <v>94.873501727128</v>
      </c>
      <c r="Q153" t="n">
        <v>86.6538737076925</v>
      </c>
    </row>
    <row r="154">
      <c r="A154" s="117" t="n">
        <v>44635</v>
      </c>
      <c r="B154" s="118" t="n">
        <v>110.958373007709</v>
      </c>
      <c r="C154" s="118" t="n">
        <v>111.4953895421043</v>
      </c>
      <c r="D154" s="118" t="n">
        <v>109.023271202544</v>
      </c>
      <c r="E154" s="118" t="n">
        <v>110.5509872436523</v>
      </c>
      <c r="F154" s="119" t="n">
        <v>10431300</v>
      </c>
      <c r="G154" s="120" t="n">
        <v>0.01556512082410677</v>
      </c>
      <c r="H154" s="121" t="n">
        <v>69.4938431635404</v>
      </c>
      <c r="I154" s="118" t="n">
        <v>131.5816691589355</v>
      </c>
      <c r="J154" s="118" t="n">
        <v/>
      </c>
      <c r="K154" s="120" t="n">
        <v>0.4032349465470237</v>
      </c>
      <c r="L154" s="120" t="n">
        <v>-0.2909558840799837</v>
      </c>
      <c r="M154" s="120" t="n">
        <v>-0.3246152674451275</v>
      </c>
      <c r="N154" t="n">
        <v>30.58495688229902</v>
      </c>
      <c r="O154" t="n">
        <v>-0.9890286890478599</v>
      </c>
      <c r="P154" t="n">
        <v>96.95981024355108</v>
      </c>
      <c r="Q154" t="n">
        <v>89.37192181884429</v>
      </c>
    </row>
    <row r="155">
      <c r="A155" s="117" t="n">
        <v>44636</v>
      </c>
      <c r="B155" s="118" t="n">
        <v>113.7452996566757</v>
      </c>
      <c r="C155" s="118" t="n">
        <v>116.7636954602788</v>
      </c>
      <c r="D155" s="118" t="n">
        <v>112.8934846895609</v>
      </c>
      <c r="E155" s="118" t="n">
        <v>115.9118804931641</v>
      </c>
      <c r="F155" s="119" t="n">
        <v>11100400</v>
      </c>
      <c r="G155" s="120" t="n">
        <v>0.04849249548261758</v>
      </c>
      <c r="H155" s="121" t="n">
        <v>72.86377303921812</v>
      </c>
      <c r="I155" s="118" t="n">
        <v>130.8575300598145</v>
      </c>
      <c r="J155" s="118" t="n">
        <v/>
      </c>
      <c r="K155" s="120" t="n">
        <v>0.4328131390311895</v>
      </c>
      <c r="L155" s="120" t="n">
        <v>-0.2565725654917559</v>
      </c>
      <c r="M155" s="120" t="n">
        <v>-0.2918641763526815</v>
      </c>
      <c r="N155" t="n">
        <v>40.12415972685079</v>
      </c>
      <c r="O155" t="n">
        <v>-0.5037830081060095</v>
      </c>
      <c r="P155" t="n">
        <v>99.10981562664472</v>
      </c>
      <c r="Q155" t="n">
        <v>92.68644021819222</v>
      </c>
    </row>
    <row r="156">
      <c r="A156" s="117" t="n">
        <v>44637</v>
      </c>
      <c r="B156" s="118" t="n">
        <v>115.680410099229</v>
      </c>
      <c r="C156" s="118" t="n">
        <v>117.9673538208008</v>
      </c>
      <c r="D156" s="118" t="n">
        <v>114.5323042790632</v>
      </c>
      <c r="E156" s="118" t="n">
        <v>117.9673538208008</v>
      </c>
      <c r="F156" s="119" t="n">
        <v>6845300</v>
      </c>
      <c r="G156" s="120" t="n">
        <v>0.01773306859393031</v>
      </c>
      <c r="H156" s="121" t="n">
        <v>74.15587132453514</v>
      </c>
      <c r="I156" s="118" t="n">
        <v>130.1427224731445</v>
      </c>
      <c r="J156" s="118" t="n">
        <v/>
      </c>
      <c r="K156" s="120" t="n">
        <v>0.439363002296122</v>
      </c>
      <c r="L156" s="120" t="n">
        <v>-0.2433893158010115</v>
      </c>
      <c r="M156" s="120" t="n">
        <v>-0.2793067552181243</v>
      </c>
      <c r="N156" t="n">
        <v>43.33929906078165</v>
      </c>
      <c r="O156" t="n">
        <v>0.006105364143413894</v>
      </c>
      <c r="P156" t="n">
        <v>100.3497498134364</v>
      </c>
      <c r="Q156" t="n">
        <v>93.8085353699541</v>
      </c>
    </row>
    <row r="157">
      <c r="A157" s="117" t="n">
        <v>44638</v>
      </c>
      <c r="B157" s="118" t="n">
        <v>117.4488579945167</v>
      </c>
      <c r="C157" s="118" t="n">
        <v>121.7172080900349</v>
      </c>
      <c r="D157" s="118" t="n">
        <v>117.309973421211</v>
      </c>
      <c r="E157" s="118" t="n">
        <v>121.5135116577148</v>
      </c>
      <c r="F157" s="119" t="n">
        <v>10350900</v>
      </c>
      <c r="G157" s="120" t="n">
        <v>0.03006050167320762</v>
      </c>
      <c r="H157" s="121" t="n">
        <v>76.3850340185645</v>
      </c>
      <c r="I157" s="118" t="n">
        <v>129.5753269958496</v>
      </c>
      <c r="J157" s="118" t="n">
        <v/>
      </c>
      <c r="K157" s="120" t="n">
        <v>0.4517488160974282</v>
      </c>
      <c r="L157" s="120" t="n">
        <v>-0.2206452190626811</v>
      </c>
      <c r="M157" s="120" t="n">
        <v>-0.2576423547274893</v>
      </c>
      <c r="N157" t="n">
        <v>48.47927453477044</v>
      </c>
      <c r="O157" t="n">
        <v>0.5998281943836377</v>
      </c>
      <c r="P157" t="n">
        <v>101.4488749629473</v>
      </c>
      <c r="Q157" t="n">
        <v>95.72860700141092</v>
      </c>
    </row>
    <row r="158">
      <c r="A158" s="117" t="n">
        <v>44641</v>
      </c>
      <c r="B158" s="118" t="n">
        <v>120.1061676593033</v>
      </c>
      <c r="C158" s="118" t="n">
        <v>122.5042136928245</v>
      </c>
      <c r="D158" s="118" t="n">
        <v>119.087685418694</v>
      </c>
      <c r="E158" s="118" t="n">
        <v>120.5413360595703</v>
      </c>
      <c r="F158" s="119" t="n">
        <v>14388500</v>
      </c>
      <c r="G158" s="120" t="n">
        <v>-0.00800055553396406</v>
      </c>
      <c r="H158" s="121" t="n">
        <v>75.77391131193522</v>
      </c>
      <c r="I158" s="118" t="n">
        <v>129.010843963623</v>
      </c>
      <c r="J158" s="118" t="n">
        <v/>
      </c>
      <c r="K158" s="120" t="n">
        <v>0.4516250775894001</v>
      </c>
      <c r="L158" s="120" t="n">
        <v>-0.2268804902682307</v>
      </c>
      <c r="M158" s="120" t="n">
        <v>-0.2635816282945548</v>
      </c>
      <c r="N158" t="n">
        <v>47.21474751650169</v>
      </c>
      <c r="O158" t="n">
        <v>0.9252562929450434</v>
      </c>
      <c r="P158" t="n">
        <v>101.4192255178265</v>
      </c>
      <c r="Q158" t="n">
        <v>95.46245820465963</v>
      </c>
    </row>
    <row r="159">
      <c r="A159" s="117" t="n">
        <v>44642</v>
      </c>
      <c r="B159" s="118" t="n">
        <v>127.1058743739113</v>
      </c>
      <c r="C159" s="118" t="n">
        <v>128.6984024990983</v>
      </c>
      <c r="D159" s="118" t="n">
        <v>123.1338219806944</v>
      </c>
      <c r="E159" s="118" t="n">
        <v>123.2264022827148</v>
      </c>
      <c r="F159" s="119" t="n">
        <v>19731200</v>
      </c>
      <c r="G159" s="120" t="n">
        <v>0.0222750660554949</v>
      </c>
      <c r="H159" s="121" t="n">
        <v>77.4617801916918</v>
      </c>
      <c r="I159" s="118" t="n">
        <v>128.5752575683594</v>
      </c>
      <c r="J159" s="118" t="n">
        <v/>
      </c>
      <c r="K159" s="120" t="n">
        <v>0.4471401620340685</v>
      </c>
      <c r="L159" s="120" t="n">
        <v>-0.2096592021201636</v>
      </c>
      <c r="M159" s="120" t="n">
        <v>-0.2471778604203361</v>
      </c>
      <c r="N159" t="n">
        <v>51.01514316953959</v>
      </c>
      <c r="O159" t="n">
        <v>1.29675075555104</v>
      </c>
      <c r="P159" t="n">
        <v>102.6059707547848</v>
      </c>
      <c r="Q159" t="n">
        <v>97.33855475162868</v>
      </c>
    </row>
    <row r="160">
      <c r="A160" s="117" t="n">
        <v>44643</v>
      </c>
      <c r="B160" s="118" t="n">
        <v>122.809738654147</v>
      </c>
      <c r="C160" s="118" t="n">
        <v>125.3651835096289</v>
      </c>
      <c r="D160" s="118" t="n">
        <v>121.4764581633131</v>
      </c>
      <c r="E160" s="118" t="n">
        <v>123.1430587768555</v>
      </c>
      <c r="F160" s="119" t="n">
        <v>8068800</v>
      </c>
      <c r="G160" s="120" t="n">
        <v>-0.0006763445521046352</v>
      </c>
      <c r="H160" s="121" t="n">
        <v>77.40938933866282</v>
      </c>
      <c r="I160" s="118" t="n">
        <v>128.2586503601074</v>
      </c>
      <c r="J160" s="118" t="n">
        <v/>
      </c>
      <c r="K160" s="120" t="n">
        <v>0.4460241333123086</v>
      </c>
      <c r="L160" s="120" t="n">
        <v>-0.2101937448131157</v>
      </c>
      <c r="M160" s="120" t="n">
        <v>-0.2476870275731445</v>
      </c>
      <c r="N160" t="n">
        <v>50.89266101537459</v>
      </c>
      <c r="O160" t="n">
        <v>1.498015370418371</v>
      </c>
      <c r="P160" t="n">
        <v>101.2845633167293</v>
      </c>
      <c r="Q160" t="n">
        <v>95.93967373682692</v>
      </c>
    </row>
    <row r="161">
      <c r="A161" s="117" t="n">
        <v>44644</v>
      </c>
      <c r="B161" s="118" t="n">
        <v>123.8374983898443</v>
      </c>
      <c r="C161" s="118" t="n">
        <v>124.2448912992213</v>
      </c>
      <c r="D161" s="118" t="n">
        <v>121.4764815762655</v>
      </c>
      <c r="E161" s="118" t="n">
        <v>122.2912673950195</v>
      </c>
      <c r="F161" s="119" t="n">
        <v>5853800</v>
      </c>
      <c r="G161" s="120" t="n">
        <v>-0.006917088062425414</v>
      </c>
      <c r="H161" s="121" t="n">
        <v>76.8739417757487</v>
      </c>
      <c r="I161" s="118" t="n">
        <v>127.9275939941406</v>
      </c>
      <c r="J161" s="118" t="n">
        <v/>
      </c>
      <c r="K161" s="120" t="n">
        <v>0.4463179902077799</v>
      </c>
      <c r="L161" s="120" t="n">
        <v>-0.2156569042324979</v>
      </c>
      <c r="M161" s="120" t="n">
        <v>-0.2528908426539261</v>
      </c>
      <c r="N161" t="n">
        <v>49.5824305944283</v>
      </c>
      <c r="O161" t="n">
        <v>1.529577762680935</v>
      </c>
      <c r="P161" t="n">
        <v>102.8113547781909</v>
      </c>
      <c r="Q161" t="n">
        <v>98.0720936779514</v>
      </c>
    </row>
    <row r="162">
      <c r="A162" s="117" t="n">
        <v>44645</v>
      </c>
      <c r="B162" s="118" t="n">
        <v>123.1893697062287</v>
      </c>
      <c r="C162" s="118" t="n">
        <v>123.9485903254503</v>
      </c>
      <c r="D162" s="118" t="n">
        <v>121.9486834943751</v>
      </c>
      <c r="E162" s="118" t="n">
        <v>123.7911911010742</v>
      </c>
      <c r="F162" s="119" t="n">
        <v>6287000</v>
      </c>
      <c r="G162" s="120" t="n">
        <v>0.01226517426800156</v>
      </c>
      <c r="H162" s="121" t="n">
        <v>77.81681406829647</v>
      </c>
      <c r="I162" s="118" t="n">
        <v>127.5912477111816</v>
      </c>
      <c r="J162" s="118" t="n">
        <v/>
      </c>
      <c r="K162" s="120" t="n">
        <v>0.4464707598660307</v>
      </c>
      <c r="L162" s="120" t="n">
        <v>-0.1999218637820338</v>
      </c>
      <c r="M162" s="120" t="n">
        <v>-0.2437274186418568</v>
      </c>
      <c r="N162" t="n">
        <v>51.92932397401918</v>
      </c>
      <c r="O162" t="n">
        <v>1.59971428248745</v>
      </c>
      <c r="P162" t="n">
        <v>103.3134398691468</v>
      </c>
      <c r="Q162" t="n">
        <v>97.99027797772699</v>
      </c>
    </row>
    <row r="163">
      <c r="A163" s="117" t="n">
        <v>44648</v>
      </c>
      <c r="B163" s="118" t="n">
        <v>123.8467238578141</v>
      </c>
      <c r="C163" s="118" t="n">
        <v>124.8652058983247</v>
      </c>
      <c r="D163" s="118" t="n">
        <v>122.3745659221048</v>
      </c>
      <c r="E163" s="118" t="n">
        <v>124.8189086914062</v>
      </c>
      <c r="F163" s="119" t="n">
        <v>5804100</v>
      </c>
      <c r="G163" s="120" t="n">
        <v>0.008302025218360765</v>
      </c>
      <c r="H163" s="121" t="n">
        <v>78.46285122110396</v>
      </c>
      <c r="I163" s="118" t="n">
        <v>127.323861541748</v>
      </c>
      <c r="J163" s="118" t="n">
        <v/>
      </c>
      <c r="K163" s="120" t="n">
        <v>0.4441448220220923</v>
      </c>
      <c r="L163" s="120" t="n">
        <v>-0.1893106486688606</v>
      </c>
      <c r="M163" s="120" t="n">
        <v>-0.2374488245994667</v>
      </c>
      <c r="N163" t="n">
        <v>53.52562330995378</v>
      </c>
      <c r="O163" t="n">
        <v>1.656570482285562</v>
      </c>
      <c r="P163" t="n">
        <v>104.0483151654844</v>
      </c>
      <c r="Q163" t="n">
        <v>99.50642303655339</v>
      </c>
    </row>
    <row r="164">
      <c r="A164" s="117" t="n">
        <v>44649</v>
      </c>
      <c r="B164" s="118" t="n">
        <v>127.6336443503728</v>
      </c>
      <c r="C164" s="118" t="n">
        <v>129.3928255945845</v>
      </c>
      <c r="D164" s="118" t="n">
        <v>126.800336817909</v>
      </c>
      <c r="E164" s="118" t="n">
        <v>128.8280334472656</v>
      </c>
      <c r="F164" s="119" t="n">
        <v>7275900</v>
      </c>
      <c r="G164" s="120" t="n">
        <v>0.03211953058948191</v>
      </c>
      <c r="H164" s="121" t="n">
        <v>80.98304117103817</v>
      </c>
      <c r="I164" s="118" t="n">
        <v>127.1627095031738</v>
      </c>
      <c r="J164" s="118" t="n">
        <v/>
      </c>
      <c r="K164" s="120" t="n">
        <v>0.4417825926839099</v>
      </c>
      <c r="L164" s="120" t="n">
        <v>-0.1618636824346125</v>
      </c>
      <c r="M164" s="120" t="n">
        <v>-0.2129560387951438</v>
      </c>
      <c r="N164" t="n">
        <v>59.21534887256267</v>
      </c>
      <c r="O164" t="n">
        <v>1.888613119815445</v>
      </c>
      <c r="P164" t="n">
        <v>105.335483323958</v>
      </c>
      <c r="Q164" t="n">
        <v>101.2189052707303</v>
      </c>
    </row>
    <row r="165">
      <c r="A165" s="117" t="n">
        <v>44650</v>
      </c>
      <c r="B165" s="118" t="n">
        <v>128.6798537389499</v>
      </c>
      <c r="C165" s="118" t="n">
        <v>129.4946393418497</v>
      </c>
      <c r="D165" s="118" t="n">
        <v>127.3650950520402</v>
      </c>
      <c r="E165" s="118" t="n">
        <v>128.2724609375</v>
      </c>
      <c r="F165" s="119" t="n">
        <v>5545800</v>
      </c>
      <c r="G165" s="120" t="n">
        <v>-0.004312512540161073</v>
      </c>
      <c r="H165" s="121" t="n">
        <v>80.63380079044768</v>
      </c>
      <c r="I165" s="118" t="n">
        <v>127.0131706237793</v>
      </c>
      <c r="J165" s="118" t="n">
        <v/>
      </c>
      <c r="K165" s="120" t="n">
        <v>0.4337914253661229</v>
      </c>
      <c r="L165" s="120" t="n">
        <v>-0.1654781558144777</v>
      </c>
      <c r="M165" s="120" t="n">
        <v>-0.2163501757474978</v>
      </c>
      <c r="N165" t="n">
        <v>58.15285929264189</v>
      </c>
      <c r="O165" t="n">
        <v>1.922682317244425</v>
      </c>
      <c r="P165" t="n">
        <v>104.6850550783823</v>
      </c>
      <c r="Q165" t="n">
        <v>100.1008855250886</v>
      </c>
    </row>
    <row r="166">
      <c r="A166" s="117" t="n">
        <v>44651</v>
      </c>
      <c r="B166" s="118" t="n">
        <v>127.6151127054249</v>
      </c>
      <c r="C166" s="118" t="n">
        <v>128.4298984618606</v>
      </c>
      <c r="D166" s="118" t="n">
        <v>124.5319047439231</v>
      </c>
      <c r="E166" s="118" t="n">
        <v>124.5874557495117</v>
      </c>
      <c r="F166" s="119" t="n">
        <v>7206500</v>
      </c>
      <c r="G166" s="120" t="n">
        <v>-0.02872795268022321</v>
      </c>
      <c r="H166" s="121" t="n">
        <v>78.31735677691316</v>
      </c>
      <c r="I166" s="118" t="n">
        <v>126.8239263916016</v>
      </c>
      <c r="J166" s="118" t="n">
        <v/>
      </c>
      <c r="K166" s="120" t="n">
        <v>0.4443970575670578</v>
      </c>
      <c r="L166" s="120" t="n">
        <v>-0.1687701846458289</v>
      </c>
      <c r="M166" s="120" t="n">
        <v>-0.238862830816489</v>
      </c>
      <c r="N166" t="n">
        <v>51.54637300365326</v>
      </c>
      <c r="O166" t="n">
        <v>1.626784369656675</v>
      </c>
      <c r="P166" t="n">
        <v>103.0738091870037</v>
      </c>
      <c r="Q166" t="n">
        <v>98.8601507729387</v>
      </c>
    </row>
    <row r="167">
      <c r="A167" s="117" t="n">
        <v>44652</v>
      </c>
      <c r="B167" s="118" t="n">
        <v>124.4856034209871</v>
      </c>
      <c r="C167" s="118" t="n">
        <v>125.254091938091</v>
      </c>
      <c r="D167" s="118" t="n">
        <v>122.9115970935848</v>
      </c>
      <c r="E167" s="118" t="n">
        <v>123.6245346069336</v>
      </c>
      <c r="F167" s="119" t="n">
        <v>5807500</v>
      </c>
      <c r="G167" s="120" t="n">
        <v>-0.007728877171343185</v>
      </c>
      <c r="H167" s="121" t="n">
        <v>77.71205154600014</v>
      </c>
      <c r="I167" s="118" t="n">
        <v>126.6593955993652</v>
      </c>
      <c r="J167" s="118" t="n">
        <v/>
      </c>
      <c r="K167" s="120" t="n">
        <v>0.4397899012368042</v>
      </c>
      <c r="L167" s="120" t="n">
        <v>-0.1689972147275322</v>
      </c>
      <c r="M167" s="120" t="n">
        <v>-0.2447455665076521</v>
      </c>
      <c r="N167" t="n">
        <v>49.94950878861709</v>
      </c>
      <c r="O167" t="n">
        <v>1.309590141309365</v>
      </c>
      <c r="P167" t="n">
        <v>103.3659499367125</v>
      </c>
      <c r="Q167" t="n">
        <v>98.67201567279862</v>
      </c>
    </row>
    <row r="168">
      <c r="A168" s="117" t="n">
        <v>44655</v>
      </c>
      <c r="B168" s="118" t="n">
        <v>123.1893619922057</v>
      </c>
      <c r="C168" s="118" t="n">
        <v>125.1892828259735</v>
      </c>
      <c r="D168" s="118" t="n">
        <v>123.0134410677643</v>
      </c>
      <c r="E168" s="118" t="n">
        <v>124.3837509155273</v>
      </c>
      <c r="F168" s="119" t="n">
        <v>5307300</v>
      </c>
      <c r="G168" s="120" t="n">
        <v>0.006141307718631195</v>
      </c>
      <c r="H168" s="121" t="n">
        <v>78.18930516799026</v>
      </c>
      <c r="I168" s="118" t="n">
        <v>126.505983581543</v>
      </c>
      <c r="J168" s="118" t="n">
        <v/>
      </c>
      <c r="K168" s="120" t="n">
        <v>0.3934491386310004</v>
      </c>
      <c r="L168" s="120" t="n">
        <v>-0.1422148784159266</v>
      </c>
      <c r="M168" s="120" t="n">
        <v>-0.2401073166257152</v>
      </c>
      <c r="N168" t="n">
        <v>51.23231630084442</v>
      </c>
      <c r="O168" t="n">
        <v>1.102593630419876</v>
      </c>
      <c r="P168" t="n">
        <v>104.2514337882802</v>
      </c>
      <c r="Q168" t="n">
        <v>100.7035330011777</v>
      </c>
    </row>
    <row r="169">
      <c r="A169" s="117" t="n">
        <v>44656</v>
      </c>
      <c r="B169" s="118" t="n">
        <v>124.1059617577885</v>
      </c>
      <c r="C169" s="118" t="n">
        <v>124.698529228358</v>
      </c>
      <c r="D169" s="118" t="n">
        <v>122.2356790672577</v>
      </c>
      <c r="E169" s="118" t="n">
        <v>122.4949264526367</v>
      </c>
      <c r="F169" s="119" t="n">
        <v>5707800</v>
      </c>
      <c r="G169" s="120" t="n">
        <v>-0.01518545990925602</v>
      </c>
      <c r="H169" s="121" t="n">
        <v>77.00196460902914</v>
      </c>
      <c r="I169" s="118" t="n">
        <v>126.2584452819824</v>
      </c>
      <c r="J169" s="118" t="n">
        <v/>
      </c>
      <c r="K169" s="120" t="n">
        <v>0.3842777440031436</v>
      </c>
      <c r="L169" s="120" t="n">
        <v>-0.1288227818388855</v>
      </c>
      <c r="M169" s="120" t="n">
        <v>-0.2516466365044323</v>
      </c>
      <c r="N169" t="n">
        <v>47.94028102971262</v>
      </c>
      <c r="O169" t="n">
        <v>0.8040132034491884</v>
      </c>
      <c r="P169" t="n">
        <v>102.9345866680656</v>
      </c>
      <c r="Q169" t="n">
        <v>98.46750205372264</v>
      </c>
    </row>
    <row r="170">
      <c r="A170" s="117" t="n">
        <v>44657</v>
      </c>
      <c r="B170" s="118" t="n">
        <v>120.4116914728247</v>
      </c>
      <c r="C170" s="118" t="n">
        <v>120.6431633848725</v>
      </c>
      <c r="D170" s="118" t="n">
        <v>116.9673882913203</v>
      </c>
      <c r="E170" s="118" t="n">
        <v>118.8469390869141</v>
      </c>
      <c r="F170" s="119" t="n">
        <v>6961000</v>
      </c>
      <c r="G170" s="120" t="n">
        <v>-0.02978072211940275</v>
      </c>
      <c r="H170" s="121" t="n">
        <v>74.70879049835956</v>
      </c>
      <c r="I170" s="118" t="n">
        <v>125.9475541687012</v>
      </c>
      <c r="J170" s="118" t="n">
        <v/>
      </c>
      <c r="K170" s="120" t="n">
        <v>0.367811850615996</v>
      </c>
      <c r="L170" s="120" t="n">
        <v>-0.154767068489696</v>
      </c>
      <c r="M170" s="120" t="n">
        <v>-0.2739331400698143</v>
      </c>
      <c r="N170" t="n">
        <v>42.28845578601833</v>
      </c>
      <c r="O170" t="n">
        <v>0.3495836560574055</v>
      </c>
      <c r="P170" t="n">
        <v>101.9053052214088</v>
      </c>
      <c r="Q170" t="n">
        <v>96.32962260628621</v>
      </c>
    </row>
    <row r="171">
      <c r="A171" s="117" t="n">
        <v>44658</v>
      </c>
      <c r="B171" s="118" t="n">
        <v>117.9858811514957</v>
      </c>
      <c r="C171" s="118" t="n">
        <v>120.3468907734002</v>
      </c>
      <c r="D171" s="118" t="n">
        <v>117.6710756301972</v>
      </c>
      <c r="E171" s="118" t="n">
        <v>119.7913665771484</v>
      </c>
      <c r="F171" s="119" t="n">
        <v>5320500</v>
      </c>
      <c r="G171" s="120" t="n">
        <v>0.007946586571688785</v>
      </c>
      <c r="H171" s="121" t="n">
        <v>75.30247036972094</v>
      </c>
      <c r="I171" s="118" t="n">
        <v>125.6830805969238</v>
      </c>
      <c r="J171" s="118" t="n">
        <v/>
      </c>
      <c r="K171" s="120" t="n">
        <v>0.3673530296212992</v>
      </c>
      <c r="L171" s="120" t="n">
        <v>-0.1480503518262071</v>
      </c>
      <c r="M171" s="120" t="n">
        <v>-0.2681633869105449</v>
      </c>
      <c r="N171" t="n">
        <v>44.12501750272774</v>
      </c>
      <c r="O171" t="n">
        <v>0.113573262591445</v>
      </c>
      <c r="P171" t="n">
        <v>102.418805865277</v>
      </c>
      <c r="Q171" t="n">
        <v>96.55866555653849</v>
      </c>
    </row>
    <row r="172">
      <c r="A172" s="117" t="n">
        <v>44659</v>
      </c>
      <c r="B172" s="118" t="n">
        <v>119.8469224330052</v>
      </c>
      <c r="C172" s="118" t="n">
        <v>120.3005984257776</v>
      </c>
      <c r="D172" s="118" t="n">
        <v>118.4025326212501</v>
      </c>
      <c r="E172" s="118" t="n">
        <v>118.6525192260742</v>
      </c>
      <c r="F172" s="119" t="n">
        <v>4877400</v>
      </c>
      <c r="G172" s="120" t="n">
        <v>-0.00950692344210613</v>
      </c>
      <c r="H172" s="121" t="n">
        <v>74.58657554891454</v>
      </c>
      <c r="I172" s="118" t="n">
        <v>125.3838204956055</v>
      </c>
      <c r="J172" s="118" t="n">
        <v/>
      </c>
      <c r="K172" s="120" t="n">
        <v>0.3543523585977839</v>
      </c>
      <c r="L172" s="120" t="n">
        <v>-0.141370214755403</v>
      </c>
      <c r="M172" s="120" t="n">
        <v>-0.2751209015633166</v>
      </c>
      <c r="N172" t="n">
        <v>42.37387072713757</v>
      </c>
      <c r="O172" t="n">
        <v>-0.1063727717631986</v>
      </c>
      <c r="P172" t="n">
        <v>102.1449506618621</v>
      </c>
      <c r="Q172" t="n">
        <v>95.20886029174601</v>
      </c>
    </row>
    <row r="173">
      <c r="A173" s="117" t="n">
        <v>44662</v>
      </c>
      <c r="B173" s="118" t="n">
        <v>115.8285626476567</v>
      </c>
      <c r="C173" s="118" t="n">
        <v>117.4673880134442</v>
      </c>
      <c r="D173" s="118" t="n">
        <v>115.1063712921422</v>
      </c>
      <c r="E173" s="118" t="n">
        <v>115.7174606323242</v>
      </c>
      <c r="F173" s="119" t="n">
        <v>6365400</v>
      </c>
      <c r="G173" s="120" t="n">
        <v>-0.02473658893122777</v>
      </c>
      <c r="H173" s="121" t="n">
        <v>72.74155808977308</v>
      </c>
      <c r="I173" s="118" t="n">
        <v>125.0023954772949</v>
      </c>
      <c r="J173" s="118" t="n">
        <v/>
      </c>
      <c r="K173" s="120" t="n">
        <v>0.3314350433865214</v>
      </c>
      <c r="L173" s="120" t="n">
        <v>-0.1576546626696413</v>
      </c>
      <c r="M173" s="120" t="n">
        <v>-0.2930519378461838</v>
      </c>
      <c r="N173" t="n">
        <v>38.16959532579062</v>
      </c>
      <c r="O173" t="n">
        <v>-0.419107602647518</v>
      </c>
      <c r="P173" t="n">
        <v>100.3990647068515</v>
      </c>
      <c r="Q173" t="n">
        <v>92.95647645684012</v>
      </c>
    </row>
    <row r="174">
      <c r="A174" s="117" t="n">
        <v>44663</v>
      </c>
      <c r="B174" s="118" t="n">
        <v>115.9211486272304</v>
      </c>
      <c r="C174" s="118" t="n">
        <v>118.6062316983407</v>
      </c>
      <c r="D174" s="118" t="n">
        <v>115.1248845617186</v>
      </c>
      <c r="E174" s="118" t="n">
        <v>115.7730102539062</v>
      </c>
      <c r="F174" s="119" t="n">
        <v>5146800</v>
      </c>
      <c r="G174" s="120" t="n">
        <v>0.0004800452868434224</v>
      </c>
      <c r="H174" s="121" t="n">
        <v>72.77647733189173</v>
      </c>
      <c r="I174" s="118" t="n">
        <v>124.5821745300293</v>
      </c>
      <c r="J174" s="118" t="n">
        <v/>
      </c>
      <c r="K174" s="120" t="n">
        <v>0.3283216158989776</v>
      </c>
      <c r="L174" s="120" t="n">
        <v>-0.1572502987605613</v>
      </c>
      <c r="M174" s="120" t="n">
        <v>-0.2927125707609038</v>
      </c>
      <c r="N174" t="n">
        <v>38.29438157791565</v>
      </c>
      <c r="O174" t="n">
        <v>-0.5817977162745849</v>
      </c>
      <c r="P174" t="n">
        <v>100.0270667408418</v>
      </c>
      <c r="Q174" t="n">
        <v>92.56380210613904</v>
      </c>
    </row>
    <row r="175">
      <c r="A175" s="117" t="n">
        <v>44664</v>
      </c>
      <c r="B175" s="118" t="n">
        <v>115.773012926583</v>
      </c>
      <c r="C175" s="118" t="n">
        <v>118.3840162753626</v>
      </c>
      <c r="D175" s="118" t="n">
        <v>115.773012926583</v>
      </c>
      <c r="E175" s="118" t="n">
        <v>118.0414352416992</v>
      </c>
      <c r="F175" s="119" t="n">
        <v>5119300</v>
      </c>
      <c r="G175" s="120" t="n">
        <v>0.01959372899450407</v>
      </c>
      <c r="H175" s="121" t="n">
        <v>74.20243990590748</v>
      </c>
      <c r="I175" s="118" t="n">
        <v>124.2045504760742</v>
      </c>
      <c r="J175" s="118" t="n">
        <v/>
      </c>
      <c r="K175" s="120" t="n">
        <v>0.288219205168964</v>
      </c>
      <c r="L175" s="120" t="n">
        <v>-0.1407376895042765</v>
      </c>
      <c r="M175" s="120" t="n">
        <v>-0.2788541725511735</v>
      </c>
      <c r="N175" t="n">
        <v>43.32460429777363</v>
      </c>
      <c r="O175" t="n">
        <v>-0.4993676525128126</v>
      </c>
      <c r="P175" t="n">
        <v>101.1727322214569</v>
      </c>
      <c r="Q175" t="n">
        <v>94.4453496155917</v>
      </c>
    </row>
    <row r="176">
      <c r="A176" s="117" t="n">
        <v>44665</v>
      </c>
      <c r="B176" s="118" t="n">
        <v>119.513584751762</v>
      </c>
      <c r="C176" s="118" t="n">
        <v>124.4207923356285</v>
      </c>
      <c r="D176" s="118" t="n">
        <v>119.337663830148</v>
      </c>
      <c r="E176" s="118" t="n">
        <v>123.568977355957</v>
      </c>
      <c r="F176" s="119" t="n">
        <v>12811300</v>
      </c>
      <c r="G176" s="120" t="n">
        <v>0.04682713407321537</v>
      </c>
      <c r="H176" s="121" t="n">
        <v>77.67712750794111</v>
      </c>
      <c r="I176" s="118" t="n">
        <v>123.928423614502</v>
      </c>
      <c r="J176" s="118" t="n">
        <v/>
      </c>
      <c r="K176" s="120" t="n">
        <v>0.3264931667554999</v>
      </c>
      <c r="L176" s="120" t="n">
        <v>-0.1005008980866325</v>
      </c>
      <c r="M176" s="120" t="n">
        <v>-0.2450849802028875</v>
      </c>
      <c r="N176" t="n">
        <v>53.31214851125663</v>
      </c>
      <c r="O176" t="n">
        <v>-0.05849472947142775</v>
      </c>
      <c r="P176" t="n">
        <v>99.9129554866489</v>
      </c>
      <c r="Q176" t="n">
        <v>92.28564923056408</v>
      </c>
    </row>
    <row r="177">
      <c r="A177" s="117" t="n">
        <v>44669</v>
      </c>
      <c r="B177" s="118" t="n">
        <v>122.2171772017958</v>
      </c>
      <c r="C177" s="118" t="n">
        <v>123.5041605481219</v>
      </c>
      <c r="D177" s="118" t="n">
        <v>120.6524247180623</v>
      </c>
      <c r="E177" s="118" t="n">
        <v>121.8746032714844</v>
      </c>
      <c r="F177" s="119" t="n">
        <v>5298200</v>
      </c>
      <c r="G177" s="120" t="n">
        <v>-0.01371196978989142</v>
      </c>
      <c r="H177" s="121" t="n">
        <v>76.61202108218667</v>
      </c>
      <c r="I177" s="118" t="n">
        <v>123.6812263488769</v>
      </c>
      <c r="J177" s="118" t="n">
        <v/>
      </c>
      <c r="K177" s="120" t="n">
        <v>0.3142675192883859</v>
      </c>
      <c r="L177" s="120" t="n">
        <v>-0.1128348025981031</v>
      </c>
      <c r="M177" s="120" t="n">
        <v>-0.2554363521482809</v>
      </c>
      <c r="N177" t="n">
        <v>50.38128676328902</v>
      </c>
      <c r="O177" t="n">
        <v>0.1231794476713213</v>
      </c>
      <c r="P177" t="n">
        <v>99.95403524299215</v>
      </c>
      <c r="Q177" t="n">
        <v>92.35654591816454</v>
      </c>
    </row>
    <row r="178">
      <c r="A178" s="117" t="n">
        <v>44670</v>
      </c>
      <c r="B178" s="118" t="n">
        <v>123.2263626249423</v>
      </c>
      <c r="C178" s="118" t="n">
        <v>127.2910081399868</v>
      </c>
      <c r="D178" s="118" t="n">
        <v>122.9393397635761</v>
      </c>
      <c r="E178" s="118" t="n">
        <v>126.8928833007812</v>
      </c>
      <c r="F178" s="119" t="n">
        <v>7346100</v>
      </c>
      <c r="G178" s="120" t="n">
        <v>0.04117576504530884</v>
      </c>
      <c r="H178" s="121" t="n">
        <v>79.76657966191304</v>
      </c>
      <c r="I178" s="118" t="n">
        <v>123.5329164123535</v>
      </c>
      <c r="J178" s="118" t="n">
        <v/>
      </c>
      <c r="K178" s="120" t="n">
        <v>0.3440400784916598</v>
      </c>
      <c r="L178" s="120" t="n">
        <v>-0.07630509687350751</v>
      </c>
      <c r="M178" s="120" t="n">
        <v>-0.2247783743230604</v>
      </c>
      <c r="N178" t="n">
        <v>57.78379084593031</v>
      </c>
      <c r="O178" t="n">
        <v>0.5609743645097087</v>
      </c>
      <c r="P178" t="n">
        <v>101.5675539141362</v>
      </c>
      <c r="Q178" t="n">
        <v>94.42080319675871</v>
      </c>
    </row>
    <row r="179">
      <c r="A179" s="117" t="n">
        <v>44671</v>
      </c>
      <c r="B179" s="118" t="n">
        <v>127.735477730518</v>
      </c>
      <c r="C179" s="118" t="n">
        <v>128.3743283981781</v>
      </c>
      <c r="D179" s="118" t="n">
        <v>125.6059331212077</v>
      </c>
      <c r="E179" s="118" t="n">
        <v>125.8003616333008</v>
      </c>
      <c r="F179" s="119" t="n">
        <v>5309700</v>
      </c>
      <c r="G179" s="120" t="n">
        <v>-0.008609794647748692</v>
      </c>
      <c r="H179" s="121" t="n">
        <v>79.07980579127069</v>
      </c>
      <c r="I179" s="118" t="n">
        <v>123.3673760986328</v>
      </c>
      <c r="J179" s="118" t="n">
        <v/>
      </c>
      <c r="K179" s="120" t="n">
        <v>0.3382613596300613</v>
      </c>
      <c r="L179" s="120" t="n">
        <v>-0.08425792030659873</v>
      </c>
      <c r="M179" s="120" t="n">
        <v>-0.2314528733266327</v>
      </c>
      <c r="N179" t="n">
        <v>55.83094489209409</v>
      </c>
      <c r="O179" t="n">
        <v>0.7450952037520475</v>
      </c>
      <c r="P179" t="n">
        <v>101.492234878211</v>
      </c>
      <c r="Q179" t="n">
        <v>93.04370894423477</v>
      </c>
    </row>
    <row r="180">
      <c r="A180" s="117" t="n">
        <v>44672</v>
      </c>
      <c r="B180" s="118" t="n">
        <v>128.2817430680878</v>
      </c>
      <c r="C180" s="118" t="n">
        <v>128.8280134178627</v>
      </c>
      <c r="D180" s="118" t="n">
        <v>125.0689116336929</v>
      </c>
      <c r="E180" s="118" t="n">
        <v>125.4207534790039</v>
      </c>
      <c r="F180" s="119" t="n">
        <v>6562400</v>
      </c>
      <c r="G180" s="120" t="n">
        <v>-0.003017544221402213</v>
      </c>
      <c r="H180" s="121" t="n">
        <v>78.84117898027563</v>
      </c>
      <c r="I180" s="118" t="n">
        <v>123.2239894104004</v>
      </c>
      <c r="J180" s="118" t="n">
        <v/>
      </c>
      <c r="K180" s="120" t="n">
        <v>0.3385399680463385</v>
      </c>
      <c r="L180" s="120" t="n">
        <v>-0.0870212125274723</v>
      </c>
      <c r="M180" s="120" t="n">
        <v>-0.2337719982676012</v>
      </c>
      <c r="N180" t="n">
        <v>55.13372550715255</v>
      </c>
      <c r="O180" t="n">
        <v>0.8043643792312226</v>
      </c>
      <c r="P180" t="n">
        <v>99.97456405243116</v>
      </c>
      <c r="Q180" t="n">
        <v>91.11855373491309</v>
      </c>
    </row>
    <row r="181">
      <c r="A181" s="117" t="n">
        <v>44673</v>
      </c>
      <c r="B181" s="118" t="n">
        <v>124.3744898237134</v>
      </c>
      <c r="C181" s="118" t="n">
        <v>124.9300139374227</v>
      </c>
      <c r="D181" s="118" t="n">
        <v>119.1710057473039</v>
      </c>
      <c r="E181" s="118" t="n">
        <v>119.5043258666992</v>
      </c>
      <c r="F181" s="119" t="n">
        <v>7321700</v>
      </c>
      <c r="G181" s="120" t="n">
        <v>-0.04717263649109815</v>
      </c>
      <c r="H181" s="121" t="n">
        <v>75.12203270370948</v>
      </c>
      <c r="I181" s="118" t="n">
        <v>122.9118344116211</v>
      </c>
      <c r="J181" s="118" t="n">
        <v/>
      </c>
      <c r="K181" s="120" t="n">
        <v>0.3789742812797311</v>
      </c>
      <c r="L181" s="120" t="n">
        <v>-0.1300888289929975</v>
      </c>
      <c r="M181" s="120" t="n">
        <v>-0.2699169932626242</v>
      </c>
      <c r="N181" t="n">
        <v>45.57991374472537</v>
      </c>
      <c r="O181" t="n">
        <v>0.4270917706093248</v>
      </c>
      <c r="P181" t="n">
        <v>97.23136315058035</v>
      </c>
      <c r="Q181" t="n">
        <v>88.73253588087501</v>
      </c>
    </row>
    <row r="182">
      <c r="A182" s="117" t="n">
        <v>44676</v>
      </c>
      <c r="B182" s="118" t="n">
        <v>118.3284451410661</v>
      </c>
      <c r="C182" s="118" t="n">
        <v>119.383956502707</v>
      </c>
      <c r="D182" s="118" t="n">
        <v>115.5970723202892</v>
      </c>
      <c r="E182" s="118" t="n">
        <v>118.4580688476562</v>
      </c>
      <c r="F182" s="119" t="n">
        <v>6512500</v>
      </c>
      <c r="G182" s="120" t="n">
        <v>-0.008754971934739952</v>
      </c>
      <c r="H182" s="121" t="n">
        <v>74.46434141570788</v>
      </c>
      <c r="I182" s="118" t="n">
        <v>122.6053604125977</v>
      </c>
      <c r="J182" s="118" t="n">
        <v/>
      </c>
      <c r="K182" s="120" t="n">
        <v>0.3766405278610794</v>
      </c>
      <c r="L182" s="120" t="n">
        <v>-0.1377048768808806</v>
      </c>
      <c r="M182" s="120" t="n">
        <v>-0.2763088494966405</v>
      </c>
      <c r="N182" t="n">
        <v>44.12379850956484</v>
      </c>
      <c r="O182" t="n">
        <v>0.1058099636084664</v>
      </c>
      <c r="P182" t="n">
        <v>97.79506418647352</v>
      </c>
      <c r="Q182" t="n">
        <v>89.87237656410787</v>
      </c>
    </row>
    <row r="183">
      <c r="A183" s="117" t="n">
        <v>44677</v>
      </c>
      <c r="B183" s="118" t="n">
        <v>117.5414403543204</v>
      </c>
      <c r="C183" s="118" t="n">
        <v>118.134007915514</v>
      </c>
      <c r="D183" s="118" t="n">
        <v>111.550952886127</v>
      </c>
      <c r="E183" s="118" t="n">
        <v>111.5879821777344</v>
      </c>
      <c r="F183" s="119" t="n">
        <v>7977900</v>
      </c>
      <c r="G183" s="120" t="n">
        <v>-0.05799593676271386</v>
      </c>
      <c r="H183" s="121" t="n">
        <v>70.14571217988535</v>
      </c>
      <c r="I183" s="118" t="n">
        <v>122.2472106933594</v>
      </c>
      <c r="J183" s="118" t="n">
        <v/>
      </c>
      <c r="K183" s="120" t="n">
        <v>0.4233682315530741</v>
      </c>
      <c r="L183" s="120" t="n">
        <v>-0.1877144903120936</v>
      </c>
      <c r="M183" s="120" t="n">
        <v>-0.318279995696969</v>
      </c>
      <c r="N183" t="n">
        <v>35.99276161527146</v>
      </c>
      <c r="O183" t="n">
        <v>-0.5354401355437731</v>
      </c>
      <c r="P183" t="n">
        <v>94.96281902024441</v>
      </c>
      <c r="Q183" t="n">
        <v>86.48016058979746</v>
      </c>
    </row>
    <row r="184">
      <c r="A184" s="117" t="n">
        <v>44678</v>
      </c>
      <c r="B184" s="118" t="n">
        <v>112.1157312245427</v>
      </c>
      <c r="C184" s="118" t="n">
        <v>114.8100676545571</v>
      </c>
      <c r="D184" s="118" t="n">
        <v>112.1157312245427</v>
      </c>
      <c r="E184" s="118" t="n">
        <v>112.2546157836914</v>
      </c>
      <c r="F184" s="119" t="n">
        <v>6007800</v>
      </c>
      <c r="G184" s="120" t="n">
        <v>0.005974062734598329</v>
      </c>
      <c r="H184" s="121" t="n">
        <v>70.56476706501107</v>
      </c>
      <c r="I184" s="118" t="n">
        <v>121.876343536377</v>
      </c>
      <c r="J184" s="118" t="n">
        <v/>
      </c>
      <c r="K184" s="120" t="n">
        <v>0.4024151168923321</v>
      </c>
      <c r="L184" s="120" t="n">
        <v>-0.1828618457188128</v>
      </c>
      <c r="M184" s="120" t="n">
        <v>-0.3142073576238319</v>
      </c>
      <c r="N184" t="n">
        <v>37.20204534176897</v>
      </c>
      <c r="O184" t="n">
        <v>-0.8614285143563336</v>
      </c>
      <c r="P184" t="n">
        <v>95.22984112605307</v>
      </c>
      <c r="Q184" t="n">
        <v>86.37650686432519</v>
      </c>
    </row>
    <row r="185">
      <c r="A185" s="117" t="n">
        <v>44679</v>
      </c>
      <c r="B185" s="118" t="n">
        <v>114.0415918608402</v>
      </c>
      <c r="C185" s="118" t="n">
        <v>118.4858558626024</v>
      </c>
      <c r="D185" s="118" t="n">
        <v>113.5138361287277</v>
      </c>
      <c r="E185" s="118" t="n">
        <v>117.6340408325195</v>
      </c>
      <c r="F185" s="119" t="n">
        <v>6551600</v>
      </c>
      <c r="G185" s="120" t="n">
        <v>0.04792163788787085</v>
      </c>
      <c r="H185" s="121" t="n">
        <v>73.94634627994249</v>
      </c>
      <c r="I185" s="118" t="n">
        <v>121.5393469238281</v>
      </c>
      <c r="J185" s="118" t="n">
        <v/>
      </c>
      <c r="K185" s="120" t="n">
        <v>0.4465682685888143</v>
      </c>
      <c r="L185" s="120" t="n">
        <v>-0.1437032469849866</v>
      </c>
      <c r="M185" s="120" t="n">
        <v>-0.2813430509497151</v>
      </c>
      <c r="N185" t="n">
        <v>46.05842249368377</v>
      </c>
      <c r="O185" t="n">
        <v>-0.6700053952296343</v>
      </c>
      <c r="P185" t="n">
        <v>97.63529072063122</v>
      </c>
      <c r="Q185" t="n">
        <v>89.44425386960656</v>
      </c>
    </row>
    <row r="186">
      <c r="A186" s="117" t="n">
        <v>44680</v>
      </c>
      <c r="B186" s="118" t="n">
        <v>116.8655518703588</v>
      </c>
      <c r="C186" s="118" t="n">
        <v>118.9302775782258</v>
      </c>
      <c r="D186" s="118" t="n">
        <v>115.0415518892449</v>
      </c>
      <c r="E186" s="118" t="n">
        <v>115.4581985473633</v>
      </c>
      <c r="F186" s="119" t="n">
        <v>5867900</v>
      </c>
      <c r="G186" s="120" t="n">
        <v>-0.01849670613843901</v>
      </c>
      <c r="H186" s="121" t="n">
        <v>72.57858244279115</v>
      </c>
      <c r="I186" s="118" t="n">
        <v>121.1420207214355</v>
      </c>
      <c r="J186" s="118" t="n">
        <v/>
      </c>
      <c r="K186" s="120" t="n">
        <v>0.4404721573287333</v>
      </c>
      <c r="L186" s="120" t="n">
        <v>-0.1468049676686143</v>
      </c>
      <c r="M186" s="120" t="n">
        <v>-0.2946358373506454</v>
      </c>
      <c r="N186" t="n">
        <v>43.39276606096755</v>
      </c>
      <c r="O186" t="n">
        <v>-0.6449459222863287</v>
      </c>
      <c r="P186" t="n">
        <v>94.02713477665171</v>
      </c>
      <c r="Q186" t="n">
        <v>85.41939303789049</v>
      </c>
    </row>
    <row r="187">
      <c r="A187" s="117" t="n">
        <v>44683</v>
      </c>
      <c r="B187" s="118" t="n">
        <v>115.2082226971965</v>
      </c>
      <c r="C187" s="118" t="n">
        <v>116.8285263958674</v>
      </c>
      <c r="D187" s="118" t="n">
        <v>113.69902808089</v>
      </c>
      <c r="E187" s="118" t="n">
        <v>116.7359390258789</v>
      </c>
      <c r="F187" s="119" t="n">
        <v>5428400</v>
      </c>
      <c r="G187" s="120" t="n">
        <v>0.01106669335388477</v>
      </c>
      <c r="H187" s="121" t="n">
        <v>73.38178735874516</v>
      </c>
      <c r="I187" s="118" t="n">
        <v>120.8384246826172</v>
      </c>
      <c r="J187" s="118" t="n">
        <v/>
      </c>
      <c r="K187" s="120" t="n">
        <v>0.4430853063429176</v>
      </c>
      <c r="L187" s="120" t="n">
        <v>-0.137362919874745</v>
      </c>
      <c r="M187" s="120" t="n">
        <v>-0.2868297884597852</v>
      </c>
      <c r="N187" t="n">
        <v>45.39150132892231</v>
      </c>
      <c r="O187" t="n">
        <v>-0.503604072757335</v>
      </c>
      <c r="P187" t="n">
        <v>94.59311597146531</v>
      </c>
      <c r="Q187" t="n">
        <v>86.84553740893868</v>
      </c>
    </row>
    <row r="188">
      <c r="A188" s="117" t="n">
        <v>44684</v>
      </c>
      <c r="B188" s="118" t="n">
        <v>115.7544994095064</v>
      </c>
      <c r="C188" s="118" t="n">
        <v>116.4396615253401</v>
      </c>
      <c r="D188" s="118" t="n">
        <v>111.3102418330973</v>
      </c>
      <c r="E188" s="118" t="n">
        <v>113.7545852661133</v>
      </c>
      <c r="F188" s="119" t="n">
        <v>8201200</v>
      </c>
      <c r="G188" s="120" t="n">
        <v>-0.02553929650666276</v>
      </c>
      <c r="H188" s="121" t="n">
        <v>71.50766813320129</v>
      </c>
      <c r="I188" s="118" t="n">
        <v>120.4724293518066</v>
      </c>
      <c r="J188" s="118" t="n">
        <v/>
      </c>
      <c r="K188" s="120" t="n">
        <v>0.4491274280846139</v>
      </c>
      <c r="L188" s="120" t="n">
        <v>-0.1593940640417056</v>
      </c>
      <c r="M188" s="120" t="n">
        <v>-0.3050436539520301</v>
      </c>
      <c r="N188" t="n">
        <v>41.69240351412718</v>
      </c>
      <c r="O188" t="n">
        <v>-0.567445684372974</v>
      </c>
      <c r="P188" t="n">
        <v>95.02672988241233</v>
      </c>
      <c r="Q188" t="n">
        <v>86.93824649030198</v>
      </c>
    </row>
    <row r="189">
      <c r="A189" s="117" t="n">
        <v>44685</v>
      </c>
      <c r="B189" s="118" t="n">
        <v>113.4582928788255</v>
      </c>
      <c r="C189" s="118" t="n">
        <v>116.8470385840043</v>
      </c>
      <c r="D189" s="118" t="n">
        <v>111.1806097180416</v>
      </c>
      <c r="E189" s="118" t="n">
        <v>116.717414855957</v>
      </c>
      <c r="F189" s="119" t="n">
        <v>6924000</v>
      </c>
      <c r="G189" s="120" t="n">
        <v>0.02604580362991626</v>
      </c>
      <c r="H189" s="121" t="n">
        <v>73.37014281543188</v>
      </c>
      <c r="I189" s="118" t="n">
        <v>120.2536351013184</v>
      </c>
      <c r="J189" s="118" t="n">
        <v/>
      </c>
      <c r="K189" s="120" t="n">
        <v>0.4593313117803937</v>
      </c>
      <c r="L189" s="120" t="n">
        <v>-0.137499806903594</v>
      </c>
      <c r="M189" s="120" t="n">
        <v>-0.2869429574315006</v>
      </c>
      <c r="N189" t="n">
        <v>46.36984304227455</v>
      </c>
      <c r="O189" t="n">
        <v>-0.3759084134226587</v>
      </c>
      <c r="P189" t="n">
        <v>97.92058361442369</v>
      </c>
      <c r="Q189" t="n">
        <v>89.87781898276313</v>
      </c>
    </row>
    <row r="190">
      <c r="A190" s="117" t="n">
        <v>44686</v>
      </c>
      <c r="B190" s="118" t="n">
        <v>114.911910358313</v>
      </c>
      <c r="C190" s="118" t="n">
        <v>115.5044778559439</v>
      </c>
      <c r="D190" s="118" t="n">
        <v>107.8844198159016</v>
      </c>
      <c r="E190" s="118" t="n">
        <v>109.8380432128906</v>
      </c>
      <c r="F190" s="119" t="n">
        <v>8411600</v>
      </c>
      <c r="G190" s="120" t="n">
        <v>-0.05894040449367699</v>
      </c>
      <c r="H190" s="121" t="n">
        <v>69.04567692013147</v>
      </c>
      <c r="I190" s="118" t="n">
        <v>119.9223803710938</v>
      </c>
      <c r="J190" s="118" t="n">
        <v/>
      </c>
      <c r="K190" s="120" t="n">
        <v>0.4931287371768097</v>
      </c>
      <c r="L190" s="120" t="n">
        <v>-0.1883359171605706</v>
      </c>
      <c r="M190" s="120" t="n">
        <v>-0.3289708279475529</v>
      </c>
      <c r="N190" t="n">
        <v>38.62253834543359</v>
      </c>
      <c r="O190" t="n">
        <v>-0.6615948248296788</v>
      </c>
      <c r="P190" t="n">
        <v>94.44019036153938</v>
      </c>
      <c r="Q190" t="n">
        <v>85.35121328770347</v>
      </c>
    </row>
    <row r="191">
      <c r="A191" s="117" t="n">
        <v>44687</v>
      </c>
      <c r="B191" s="118" t="n">
        <v>105.3104670242844</v>
      </c>
      <c r="C191" s="118" t="n">
        <v>107.3103878850475</v>
      </c>
      <c r="D191" s="118" t="n">
        <v>102.4587382226238</v>
      </c>
      <c r="E191" s="118" t="n">
        <v>106.0048828125</v>
      </c>
      <c r="F191" s="119" t="n">
        <v>11237500</v>
      </c>
      <c r="G191" s="120" t="n">
        <v>-0.03489829469158612</v>
      </c>
      <c r="H191" s="121" t="n">
        <v>66.63610053979268</v>
      </c>
      <c r="I191" s="118" t="n">
        <v>119.5081816101074</v>
      </c>
      <c r="J191" s="118" t="n">
        <v/>
      </c>
      <c r="K191" s="120" t="n">
        <v>0.5033165096345193</v>
      </c>
      <c r="L191" s="120" t="n">
        <v>-0.216661609514077</v>
      </c>
      <c r="M191" s="120" t="n">
        <v>-0.3523886017404904</v>
      </c>
      <c r="N191" t="n">
        <v>35.10324711934697</v>
      </c>
      <c r="O191" t="n">
        <v>-1.035509647783489</v>
      </c>
      <c r="P191" t="n">
        <v>93.87650408395638</v>
      </c>
      <c r="Q191" t="n">
        <v>84.32861956083856</v>
      </c>
    </row>
    <row r="192">
      <c r="A192" s="117" t="n">
        <v>44690</v>
      </c>
      <c r="B192" s="118" t="n">
        <v>104.5975361559195</v>
      </c>
      <c r="C192" s="118" t="n">
        <v>105.9493313703623</v>
      </c>
      <c r="D192" s="118" t="n">
        <v>102.3939188761879</v>
      </c>
      <c r="E192" s="118" t="n">
        <v>102.9679718017578</v>
      </c>
      <c r="F192" s="119" t="n">
        <v>7506000</v>
      </c>
      <c r="G192" s="120" t="n">
        <v>-0.02864878418962868</v>
      </c>
      <c r="H192" s="121" t="n">
        <v>64.72705727618975</v>
      </c>
      <c r="I192" s="118" t="n">
        <v>119.0031288146973</v>
      </c>
      <c r="J192" s="118" t="n">
        <v/>
      </c>
      <c r="K192" s="120" t="n">
        <v>0.5098240449458662</v>
      </c>
      <c r="L192" s="120" t="n">
        <v>-0.2391033020105594</v>
      </c>
      <c r="M192" s="120" t="n">
        <v>-0.3709418809279706</v>
      </c>
      <c r="N192" t="n">
        <v>32.57100455971033</v>
      </c>
      <c r="O192" t="n">
        <v>-1.3919481851293</v>
      </c>
      <c r="P192" t="n">
        <v>90.87081925667252</v>
      </c>
      <c r="Q192" t="n">
        <v>81.0291041240631</v>
      </c>
    </row>
    <row r="193">
      <c r="A193" s="117" t="n">
        <v>44691</v>
      </c>
      <c r="B193" s="118" t="n">
        <v>104.6531015694733</v>
      </c>
      <c r="C193" s="118" t="n">
        <v>105.0327189751001</v>
      </c>
      <c r="D193" s="118" t="n">
        <v>100.3199461897315</v>
      </c>
      <c r="E193" s="118" t="n">
        <v>101.3754577636719</v>
      </c>
      <c r="F193" s="119" t="n">
        <v>7526900</v>
      </c>
      <c r="G193" s="120" t="n">
        <v>-0.01546611058001579</v>
      </c>
      <c r="H193" s="121" t="n">
        <v>63.72598145083719</v>
      </c>
      <c r="I193" s="118" t="n">
        <v>118.5077944946289</v>
      </c>
      <c r="J193" s="118" t="n">
        <v/>
      </c>
      <c r="K193" s="120" t="n">
        <v>0.5064943389870206</v>
      </c>
      <c r="L193" s="120" t="n">
        <v>-0.250871414481633</v>
      </c>
      <c r="M193" s="120" t="n">
        <v>-0.3806709633587955</v>
      </c>
      <c r="N193" t="n">
        <v>31.29608181980122</v>
      </c>
      <c r="O193" t="n">
        <v>-1.623397256217202</v>
      </c>
      <c r="P193" t="n">
        <v>91.08078573538472</v>
      </c>
      <c r="Q193" t="n">
        <v>82.01351548205763</v>
      </c>
    </row>
    <row r="194">
      <c r="A194" s="117" t="n">
        <v>44692</v>
      </c>
      <c r="B194" s="118" t="n">
        <v>102.4957575511908</v>
      </c>
      <c r="C194" s="118" t="n">
        <v>102.9124112219939</v>
      </c>
      <c r="D194" s="118" t="n">
        <v>99.61624646419695</v>
      </c>
      <c r="E194" s="118" t="n">
        <v>99.92179107666016</v>
      </c>
      <c r="F194" s="119" t="n">
        <v>6611800</v>
      </c>
      <c r="G194" s="120" t="n">
        <v>-0.01433943401173621</v>
      </c>
      <c r="H194" s="121" t="n">
        <v>62.81218694498978</v>
      </c>
      <c r="I194" s="118" t="n">
        <v>118.063387298584</v>
      </c>
      <c r="J194" s="118" t="n">
        <v/>
      </c>
      <c r="K194" s="120" t="n">
        <v>0.5066692598358846</v>
      </c>
      <c r="L194" s="120" t="n">
        <v>-0.2616134943999789</v>
      </c>
      <c r="M194" s="120" t="n">
        <v>-0.389551791211264</v>
      </c>
      <c r="N194" t="n">
        <v>30.13647330891891</v>
      </c>
      <c r="O194" t="n">
        <v>-1.751811444245856</v>
      </c>
      <c r="P194" t="n">
        <v>89.63387362768921</v>
      </c>
      <c r="Q194" t="n">
        <v>79.58114735925206</v>
      </c>
    </row>
    <row r="195">
      <c r="A195" s="117" t="n">
        <v>44693</v>
      </c>
      <c r="B195" s="118" t="n">
        <v>97.38487398072679</v>
      </c>
      <c r="C195" s="118" t="n">
        <v>101.736543586986</v>
      </c>
      <c r="D195" s="118" t="n">
        <v>97.21821390290616</v>
      </c>
      <c r="E195" s="118" t="n">
        <v>99.90328979492188</v>
      </c>
      <c r="F195" s="119" t="n">
        <v>10245400</v>
      </c>
      <c r="G195" s="120" t="n">
        <v>-0.0001851576271695299</v>
      </c>
      <c r="H195" s="121" t="n">
        <v>62.80055678949772</v>
      </c>
      <c r="I195" s="118" t="n">
        <v>117.5546849060059</v>
      </c>
      <c r="J195" s="118" t="n">
        <v/>
      </c>
      <c r="K195" s="120" t="n">
        <v>0.4977642616113155</v>
      </c>
      <c r="L195" s="120" t="n">
        <v>-0.2617502122932898</v>
      </c>
      <c r="M195" s="120" t="n">
        <v>-0.3896648203531133</v>
      </c>
      <c r="N195" t="n">
        <v>30.12117600090482</v>
      </c>
      <c r="O195" t="n">
        <v>-1.71333204376659</v>
      </c>
      <c r="P195" t="n">
        <v>89.54029856209037</v>
      </c>
      <c r="Q195" t="n">
        <v>79.39297808379861</v>
      </c>
    </row>
    <row r="196">
      <c r="A196" s="117" t="n">
        <v>44694</v>
      </c>
      <c r="B196" s="118" t="n">
        <v>102.0883761756365</v>
      </c>
      <c r="C196" s="118" t="n">
        <v>104.7271546146808</v>
      </c>
      <c r="D196" s="118" t="n">
        <v>100.6162111113514</v>
      </c>
      <c r="E196" s="118" t="n">
        <v>104.6345672607422</v>
      </c>
      <c r="F196" s="119" t="n">
        <v>9618800</v>
      </c>
      <c r="G196" s="120" t="n">
        <v>0.04735857523343356</v>
      </c>
      <c r="H196" s="121" t="n">
        <v>65.77470168291467</v>
      </c>
      <c r="I196" s="118" t="n">
        <v>117.1722010803223</v>
      </c>
      <c r="J196" s="118" t="n">
        <v/>
      </c>
      <c r="K196" s="120" t="n">
        <v>0.4985413192110112</v>
      </c>
      <c r="L196" s="120" t="n">
        <v>-0.2076401434013141</v>
      </c>
      <c r="M196" s="120" t="n">
        <v>-0.3607602158301951</v>
      </c>
      <c r="N196" t="n">
        <v>38.69162670216723</v>
      </c>
      <c r="O196" t="n">
        <v>-1.26523931541481</v>
      </c>
      <c r="P196" t="n">
        <v>91.68100620978028</v>
      </c>
      <c r="Q196" t="n">
        <v>82.33530168898659</v>
      </c>
    </row>
    <row r="197">
      <c r="A197" s="117" t="n">
        <v>44697</v>
      </c>
      <c r="B197" s="118" t="n">
        <v>104.6068009719403</v>
      </c>
      <c r="C197" s="118" t="n">
        <v>105.0327084887305</v>
      </c>
      <c r="D197" s="118" t="n">
        <v>103.2920349999775</v>
      </c>
      <c r="E197" s="118" t="n">
        <v>104.2549591064453</v>
      </c>
      <c r="F197" s="119" t="n">
        <v>5722500</v>
      </c>
      <c r="G197" s="120" t="n">
        <v>-0.003627942125004613</v>
      </c>
      <c r="H197" s="121" t="n">
        <v>65.53607487191961</v>
      </c>
      <c r="I197" s="118" t="n">
        <v>116.8281416320801</v>
      </c>
      <c r="J197" s="118" t="n">
        <v/>
      </c>
      <c r="K197" s="120" t="n">
        <v>0.4982433562726388</v>
      </c>
      <c r="L197" s="120" t="n">
        <v>-0.210514779103231</v>
      </c>
      <c r="M197" s="120" t="n">
        <v>-0.3630793407711636</v>
      </c>
      <c r="N197" t="n">
        <v>38.28589524704932</v>
      </c>
      <c r="O197" t="n">
        <v>-0.9071796939234726</v>
      </c>
      <c r="P197" t="n">
        <v>91.30902300208076</v>
      </c>
      <c r="Q197" t="n">
        <v>81.38089625613702</v>
      </c>
    </row>
    <row r="198">
      <c r="A198" s="117" t="n">
        <v>44698</v>
      </c>
      <c r="B198" s="118" t="n">
        <v>106.9400149559829</v>
      </c>
      <c r="C198" s="118" t="n">
        <v>108.4214336637929</v>
      </c>
      <c r="D198" s="118" t="n">
        <v>104.6901078652596</v>
      </c>
      <c r="E198" s="118" t="n">
        <v>107.3103713989258</v>
      </c>
      <c r="F198" s="119" t="n">
        <v>6026100</v>
      </c>
      <c r="G198" s="120" t="n">
        <v>0.0293071170778636</v>
      </c>
      <c r="H198" s="121" t="n">
        <v>67.45674829101459</v>
      </c>
      <c r="I198" s="118" t="n">
        <v>116.6699998474121</v>
      </c>
      <c r="J198" s="118" t="n">
        <v/>
      </c>
      <c r="K198" s="120" t="n">
        <v>0.4845175660943867</v>
      </c>
      <c r="L198" s="120" t="n">
        <v>-0.167026240116813</v>
      </c>
      <c r="M198" s="120" t="n">
        <v>-0.3444130324418341</v>
      </c>
      <c r="N198" t="n">
        <v>43.4280138337279</v>
      </c>
      <c r="O198" t="n">
        <v>-0.4030385304998996</v>
      </c>
      <c r="P198" t="n">
        <v>93.18726886180288</v>
      </c>
      <c r="Q198" t="n">
        <v>83.48877832225685</v>
      </c>
    </row>
    <row r="199">
      <c r="A199" s="117" t="n">
        <v>44699</v>
      </c>
      <c r="B199" s="118" t="n">
        <v>104.1623457614728</v>
      </c>
      <c r="C199" s="118" t="n">
        <v>104.9586095919663</v>
      </c>
      <c r="D199" s="118" t="n">
        <v>100.7180430647263</v>
      </c>
      <c r="E199" s="118" t="n">
        <v>101.2643203735352</v>
      </c>
      <c r="F199" s="119" t="n">
        <v>8188300</v>
      </c>
      <c r="G199" s="120" t="n">
        <v>-0.05634172118288971</v>
      </c>
      <c r="H199" s="121" t="n">
        <v>63.65611898689787</v>
      </c>
      <c r="I199" s="118" t="n">
        <v>116.4507493591309</v>
      </c>
      <c r="J199" s="118" t="n">
        <v/>
      </c>
      <c r="K199" s="120" t="n">
        <v>0.5141612713603386</v>
      </c>
      <c r="L199" s="120" t="n">
        <v>-0.213957415448815</v>
      </c>
      <c r="M199" s="120" t="n">
        <v>-0.3813499305791325</v>
      </c>
      <c r="N199" t="n">
        <v>36.8796715864686</v>
      </c>
      <c r="O199" t="n">
        <v>-0.4136797194347652</v>
      </c>
      <c r="P199" t="n">
        <v>89.43074762573832</v>
      </c>
      <c r="Q199" t="n">
        <v>79.39028677787017</v>
      </c>
    </row>
    <row r="200">
      <c r="A200" s="117" t="n">
        <v>44700</v>
      </c>
      <c r="B200" s="118" t="n">
        <v>100.8754560562516</v>
      </c>
      <c r="C200" s="118" t="n">
        <v>101.0236014700933</v>
      </c>
      <c r="D200" s="118" t="n">
        <v>98.40333774045514</v>
      </c>
      <c r="E200" s="118" t="n">
        <v>98.55148315429688</v>
      </c>
      <c r="F200" s="119" t="n">
        <v>7702000</v>
      </c>
      <c r="G200" s="120" t="n">
        <v>-0.02678966499978863</v>
      </c>
      <c r="H200" s="121" t="n">
        <v>61.95079288405218</v>
      </c>
      <c r="I200" s="118" t="n">
        <v>116.0709501647949</v>
      </c>
      <c r="J200" s="118" t="n">
        <v/>
      </c>
      <c r="K200" s="120" t="n">
        <v>0.5166215972590902</v>
      </c>
      <c r="L200" s="120" t="n">
        <v>-0.2350152329645093</v>
      </c>
      <c r="M200" s="120" t="n">
        <v>-0.3979233586910135</v>
      </c>
      <c r="N200" t="n">
        <v>34.37505412914075</v>
      </c>
      <c r="O200" t="n">
        <v>-0.5327579072559478</v>
      </c>
      <c r="P200" t="n">
        <v>88.88302246059837</v>
      </c>
      <c r="Q200" t="n">
        <v>78.9648810207823</v>
      </c>
    </row>
    <row r="201">
      <c r="A201" s="117" t="n">
        <v>44701</v>
      </c>
      <c r="B201" s="118" t="n">
        <v>100.6162155667758</v>
      </c>
      <c r="C201" s="118" t="n">
        <v>101.5606249850718</v>
      </c>
      <c r="D201" s="118" t="n">
        <v>97.28302122964966</v>
      </c>
      <c r="E201" s="118" t="n">
        <v>99.99587249755859</v>
      </c>
      <c r="F201" s="119" t="n">
        <v>7621900</v>
      </c>
      <c r="G201" s="120" t="n">
        <v>0.01465619082566527</v>
      </c>
      <c r="H201" s="121" t="n">
        <v>62.85875552636212</v>
      </c>
      <c r="I201" s="118" t="n">
        <v>115.7370751953125</v>
      </c>
      <c r="J201" s="118" t="n">
        <v>138.0948435211182</v>
      </c>
      <c r="K201" s="120" t="n">
        <v>0.5064777701541098</v>
      </c>
      <c r="L201" s="120" t="n">
        <v>-0.22380347024011</v>
      </c>
      <c r="M201" s="120" t="n">
        <v>-0.3890992085443133</v>
      </c>
      <c r="N201" t="n">
        <v>36.83473031683598</v>
      </c>
      <c r="O201" t="n">
        <v>-0.4470412796163759</v>
      </c>
      <c r="P201" t="n">
        <v>88.9218146788661</v>
      </c>
      <c r="Q201" t="n">
        <v>78.71944246393744</v>
      </c>
    </row>
    <row r="202">
      <c r="A202" s="117" t="n">
        <v>44704</v>
      </c>
      <c r="B202" s="118" t="n">
        <v>99.50514425460274</v>
      </c>
      <c r="C202" s="118" t="n">
        <v>100.6902792851504</v>
      </c>
      <c r="D202" s="118" t="n">
        <v>97.97742825955288</v>
      </c>
      <c r="E202" s="118" t="n">
        <v>100.5791702270508</v>
      </c>
      <c r="F202" s="119" t="n">
        <v>7136400</v>
      </c>
      <c r="G202" s="120" t="n">
        <v>0.005833218061139789</v>
      </c>
      <c r="H202" s="121" t="n">
        <v>63.22542435439927</v>
      </c>
      <c r="I202" s="118" t="n">
        <v>115.4778268432617</v>
      </c>
      <c r="J202" s="118" t="n">
        <v>137.8023380661011</v>
      </c>
      <c r="K202" s="120" t="n">
        <v>0.5089773339451384</v>
      </c>
      <c r="L202" s="120" t="n">
        <v>-0.2192757466237206</v>
      </c>
      <c r="M202" s="120" t="n">
        <v>-0.3855356910140294</v>
      </c>
      <c r="N202" t="n">
        <v>37.84783869724844</v>
      </c>
      <c r="O202" t="n">
        <v>-0.2913905940621166</v>
      </c>
      <c r="P202" t="n">
        <v>90.58556325865547</v>
      </c>
      <c r="Q202" t="n">
        <v>80.02837405393107</v>
      </c>
    </row>
    <row r="203">
      <c r="A203" s="117" t="n">
        <v>44705</v>
      </c>
      <c r="B203" s="118" t="n">
        <v>99.17182566005773</v>
      </c>
      <c r="C203" s="118" t="n">
        <v>99.98660424002222</v>
      </c>
      <c r="D203" s="118" t="n">
        <v>96.9682156204498</v>
      </c>
      <c r="E203" s="118" t="n">
        <v>99.33848571777344</v>
      </c>
      <c r="F203" s="119" t="n">
        <v>6023400</v>
      </c>
      <c r="G203" s="120" t="n">
        <v>-0.01233540211632866</v>
      </c>
      <c r="H203" s="121" t="n">
        <v>62.44551332101223</v>
      </c>
      <c r="I203" s="118" t="n">
        <v>115.2874641418457</v>
      </c>
      <c r="J203" s="118" t="n">
        <v>137.5083703994751</v>
      </c>
      <c r="K203" s="120" t="n">
        <v>0.4736608600093928</v>
      </c>
      <c r="L203" s="120" t="n">
        <v>-0.2289062942310875</v>
      </c>
      <c r="M203" s="120" t="n">
        <v>-0.3931153553515034</v>
      </c>
      <c r="N203" t="n">
        <v>36.5066041031182</v>
      </c>
      <c r="O203" t="n">
        <v>-0.2158042092091552</v>
      </c>
      <c r="P203" t="n">
        <v>89.89404049842643</v>
      </c>
      <c r="Q203" t="n">
        <v>78.32678520089304</v>
      </c>
    </row>
    <row r="204">
      <c r="A204" s="117" t="n">
        <v>44706</v>
      </c>
      <c r="B204" s="118" t="n">
        <v>95.79233984640199</v>
      </c>
      <c r="C204" s="118" t="n">
        <v>100.8199103007065</v>
      </c>
      <c r="D204" s="118" t="n">
        <v>95.79233984640199</v>
      </c>
      <c r="E204" s="118" t="n">
        <v>100.1810455322266</v>
      </c>
      <c r="F204" s="119" t="n">
        <v>7158800</v>
      </c>
      <c r="G204" s="120" t="n">
        <v>0.008481705840039488</v>
      </c>
      <c r="H204" s="121" t="n">
        <v>62.97515779603133</v>
      </c>
      <c r="I204" s="118" t="n">
        <v>115.0800653076172</v>
      </c>
      <c r="J204" s="118" t="n">
        <v>137.2163138961792</v>
      </c>
      <c r="K204" s="120" t="n">
        <v>0.4745403931122142</v>
      </c>
      <c r="L204" s="120" t="n">
        <v>-0.2223661042436497</v>
      </c>
      <c r="M204" s="120" t="n">
        <v>-0.3879679383167579</v>
      </c>
      <c r="N204" t="n">
        <v>38.11060268960306</v>
      </c>
      <c r="O204" t="n">
        <v>-0.06092329277969455</v>
      </c>
      <c r="P204" t="n">
        <v>90.6882368224708</v>
      </c>
      <c r="Q204" t="n">
        <v>79.4229925527719</v>
      </c>
    </row>
    <row r="205">
      <c r="A205" s="117" t="n">
        <v>44707</v>
      </c>
      <c r="B205" s="118" t="n">
        <v>101.8476509787836</v>
      </c>
      <c r="C205" s="118" t="n">
        <v>105.0882580553813</v>
      </c>
      <c r="D205" s="118" t="n">
        <v>101.8476509787836</v>
      </c>
      <c r="E205" s="118" t="n">
        <v>104.5697631835938</v>
      </c>
      <c r="F205" s="119" t="n">
        <v>6520300</v>
      </c>
      <c r="G205" s="120" t="n">
        <v>0.04380786433253392</v>
      </c>
      <c r="H205" s="121" t="n">
        <v>65.73396496507978</v>
      </c>
      <c r="I205" s="118" t="n">
        <v>114.8532229614258</v>
      </c>
      <c r="J205" s="118" t="n">
        <v>136.9508041000366</v>
      </c>
      <c r="K205" s="120" t="n">
        <v>0.4686148656443425</v>
      </c>
      <c r="L205" s="120" t="n">
        <v>-0.1882996240379756</v>
      </c>
      <c r="M205" s="120" t="n">
        <v>-0.3611561207913774</v>
      </c>
      <c r="N205" t="n">
        <v>45.79231238079959</v>
      </c>
      <c r="O205" t="n">
        <v>0.3619851514720462</v>
      </c>
      <c r="P205" t="n">
        <v>92.50032855687996</v>
      </c>
      <c r="Q205" t="n">
        <v>81.62355806877001</v>
      </c>
    </row>
    <row r="206">
      <c r="A206" s="117" t="n">
        <v>44708</v>
      </c>
      <c r="B206" s="118" t="n">
        <v>105.754896744868</v>
      </c>
      <c r="C206" s="118" t="n">
        <v>107.4122366150456</v>
      </c>
      <c r="D206" s="118" t="n">
        <v>105.5604611709092</v>
      </c>
      <c r="E206" s="118" t="n">
        <v>107.3937149047852</v>
      </c>
      <c r="F206" s="119" t="n">
        <v>5043000</v>
      </c>
      <c r="G206" s="120" t="n">
        <v>0.02700543288248025</v>
      </c>
      <c r="H206" s="121" t="n">
        <v>67.50913914404354</v>
      </c>
      <c r="I206" s="118" t="n">
        <v>114.6417501831055</v>
      </c>
      <c r="J206" s="118" t="n">
        <v>136.7023139953613</v>
      </c>
      <c r="K206" s="120" t="n">
        <v>0.4795239203509004</v>
      </c>
      <c r="L206" s="120" t="n">
        <v>-0.1663793040142493</v>
      </c>
      <c r="M206" s="120" t="n">
        <v>-0.3439038652890255</v>
      </c>
      <c r="N206" t="n">
        <v>50.08543449157761</v>
      </c>
      <c r="O206" t="n">
        <v>0.8300337546683902</v>
      </c>
      <c r="P206" t="n">
        <v>94.77113070867111</v>
      </c>
      <c r="Q206" t="n">
        <v>84.28773734221137</v>
      </c>
    </row>
    <row r="207">
      <c r="A207" s="117" t="n">
        <v>44712</v>
      </c>
      <c r="B207" s="118" t="n">
        <v>108.7918086492621</v>
      </c>
      <c r="C207" s="118" t="n">
        <v>110.9120924059317</v>
      </c>
      <c r="D207" s="118" t="n">
        <v>105.9678482374621</v>
      </c>
      <c r="E207" s="118" t="n">
        <v>110.0417556762695</v>
      </c>
      <c r="F207" s="119" t="n">
        <v>13774600</v>
      </c>
      <c r="G207" s="120" t="n">
        <v>0.02465731606204447</v>
      </c>
      <c r="H207" s="121" t="n">
        <v>69.17373332499477</v>
      </c>
      <c r="I207" s="118" t="n">
        <v>114.4123150634766</v>
      </c>
      <c r="J207" s="118" t="n">
        <v>136.462230796814</v>
      </c>
      <c r="K207" s="120" t="n">
        <v>0.4872428845443625</v>
      </c>
      <c r="L207" s="120" t="n">
        <v>-0.145824455037467</v>
      </c>
      <c r="M207" s="120" t="n">
        <v>-0.3277262955283714</v>
      </c>
      <c r="N207" t="n">
        <v>53.78182018768153</v>
      </c>
      <c r="O207" t="n">
        <v>1.288721413112124</v>
      </c>
      <c r="P207" t="n">
        <v>94.23936665597419</v>
      </c>
      <c r="Q207" t="n">
        <v>84.06413681061437</v>
      </c>
    </row>
    <row r="208">
      <c r="A208" s="117" t="n">
        <v>44713</v>
      </c>
      <c r="B208" s="118" t="n">
        <v>110.9491182130093</v>
      </c>
      <c r="C208" s="118" t="n">
        <v>111.8009331511913</v>
      </c>
      <c r="D208" s="118" t="n">
        <v>108.8936465105547</v>
      </c>
      <c r="E208" s="118" t="n">
        <v>109.8843460083008</v>
      </c>
      <c r="F208" s="119" t="n">
        <v>5543100</v>
      </c>
      <c r="G208" s="120" t="n">
        <v>-0.001430453985411084</v>
      </c>
      <c r="H208" s="121" t="n">
        <v>69.07478348247426</v>
      </c>
      <c r="I208" s="118" t="n">
        <v>114.1991752624512</v>
      </c>
      <c r="J208" s="118" t="n">
        <v>136.2182767486572</v>
      </c>
      <c r="K208" s="120" t="n">
        <v>0.4795767215171955</v>
      </c>
      <c r="L208" s="120" t="n">
        <v>-0.1470463138499994</v>
      </c>
      <c r="M208" s="120" t="n">
        <v>-0.3286879521282199</v>
      </c>
      <c r="N208" t="n">
        <v>53.52806033649039</v>
      </c>
      <c r="O208" t="n">
        <v>1.535522097951351</v>
      </c>
      <c r="P208" t="n">
        <v>93.47710731512608</v>
      </c>
      <c r="Q208" t="n">
        <v>83.44239387817598</v>
      </c>
    </row>
    <row r="209">
      <c r="A209" s="117" t="n">
        <v>44714</v>
      </c>
      <c r="B209" s="118" t="n">
        <v>110.6528603875783</v>
      </c>
      <c r="C209" s="118" t="n">
        <v>114.4212237041107</v>
      </c>
      <c r="D209" s="118" t="n">
        <v>110.4213884220322</v>
      </c>
      <c r="E209" s="118" t="n">
        <v>114.2638244628906</v>
      </c>
      <c r="F209" s="119" t="n">
        <v>5838100</v>
      </c>
      <c r="G209" s="120" t="n">
        <v>0.03985534440236838</v>
      </c>
      <c r="H209" s="121" t="n">
        <v>71.82778276768731</v>
      </c>
      <c r="I209" s="118" t="n">
        <v>114.0199237060547</v>
      </c>
      <c r="J209" s="118" t="n">
        <v>136.0040450286865</v>
      </c>
      <c r="K209" s="120" t="n">
        <v>0.4923526806270389</v>
      </c>
      <c r="L209" s="120" t="n">
        <v>-0.1130515509292215</v>
      </c>
      <c r="M209" s="120" t="n">
        <v>-0.3019325792588309</v>
      </c>
      <c r="N209" t="n">
        <v>59.28413890539442</v>
      </c>
      <c r="O209" t="n">
        <v>1.922612268468408</v>
      </c>
      <c r="P209" t="n">
        <v>95.25723992887373</v>
      </c>
      <c r="Q209" t="n">
        <v>85.72750911946864</v>
      </c>
    </row>
    <row r="210">
      <c r="A210" s="117" t="n">
        <v>44715</v>
      </c>
      <c r="B210" s="118" t="n">
        <v>111.5767126416309</v>
      </c>
      <c r="C210" s="118" t="n">
        <v>113.7393775342192</v>
      </c>
      <c r="D210" s="118" t="n">
        <v>111.3817953495449</v>
      </c>
      <c r="E210" s="118" t="n">
        <v>112.2635650634766</v>
      </c>
      <c r="F210" s="119" t="n">
        <v>5201500</v>
      </c>
      <c r="G210" s="120" t="n">
        <v>-0.01750562270094225</v>
      </c>
      <c r="H210" s="121" t="n">
        <v>70.57039270311093</v>
      </c>
      <c r="I210" s="118" t="n">
        <v>113.8023338317871</v>
      </c>
      <c r="J210" s="118" t="n">
        <v>135.7883275604248</v>
      </c>
      <c r="K210" s="120" t="n">
        <v>0.4471274394658916</v>
      </c>
      <c r="L210" s="120" t="n">
        <v>-0.1285781358338405</v>
      </c>
      <c r="M210" s="120" t="n">
        <v>-0.3141526841461457</v>
      </c>
      <c r="N210" t="n">
        <v>55.87975139812567</v>
      </c>
      <c r="O210" t="n">
        <v>1.965819276498697</v>
      </c>
      <c r="P210" t="n">
        <v>93.69392164975469</v>
      </c>
      <c r="Q210" t="n">
        <v>83.49692913449724</v>
      </c>
    </row>
    <row r="211">
      <c r="A211" s="117" t="n">
        <v>44718</v>
      </c>
      <c r="B211" s="118" t="n">
        <v>112.774063384447</v>
      </c>
      <c r="C211" s="118" t="n">
        <v>113.3680990365805</v>
      </c>
      <c r="D211" s="118" t="n">
        <v>110.8527277730076</v>
      </c>
      <c r="E211" s="118" t="n">
        <v>111.5952758789062</v>
      </c>
      <c r="F211" s="119" t="n">
        <v>3963400</v>
      </c>
      <c r="G211" s="120" t="n">
        <v>-0.005952859097183016</v>
      </c>
      <c r="H211" s="121" t="n">
        <v>70.15029709891644</v>
      </c>
      <c r="I211" s="118" t="n">
        <v>113.5884140014648</v>
      </c>
      <c r="J211" s="118" t="n">
        <v>135.58409034729</v>
      </c>
      <c r="K211" s="120" t="n">
        <v>0.427265470777507</v>
      </c>
      <c r="L211" s="120" t="n">
        <v>-0.1337655874054261</v>
      </c>
      <c r="M211" s="120" t="n">
        <v>-0.3182354365796048</v>
      </c>
      <c r="N211" t="n">
        <v>54.74856031902594</v>
      </c>
      <c r="O211" t="n">
        <v>1.871744725259627</v>
      </c>
      <c r="P211" t="n">
        <v>93.97921454354717</v>
      </c>
      <c r="Q211" t="n">
        <v>83.77507346624384</v>
      </c>
    </row>
    <row r="212">
      <c r="A212" s="117" t="n">
        <v>44719</v>
      </c>
      <c r="B212" s="118" t="n">
        <v>110.138040154638</v>
      </c>
      <c r="C212" s="118" t="n">
        <v>113.2103192105046</v>
      </c>
      <c r="D212" s="118" t="n">
        <v>109.9523995721078</v>
      </c>
      <c r="E212" s="118" t="n">
        <v>112.9318618774414</v>
      </c>
      <c r="F212" s="119" t="n">
        <v>5373600</v>
      </c>
      <c r="G212" s="120" t="n">
        <v>0.01197708404776487</v>
      </c>
      <c r="H212" s="121" t="n">
        <v>70.99049310324584</v>
      </c>
      <c r="I212" s="118" t="n">
        <v>113.3712274169922</v>
      </c>
      <c r="J212" s="118" t="n">
        <v>135.3764096450806</v>
      </c>
      <c r="K212" s="120" t="n">
        <v>0.4115028569880566</v>
      </c>
      <c r="L212" s="120" t="n">
        <v>-0.1233906250407146</v>
      </c>
      <c r="M212" s="120" t="n">
        <v>-0.3100698851027311</v>
      </c>
      <c r="N212" t="n">
        <v>56.63914652999215</v>
      </c>
      <c r="O212" t="n">
        <v>1.820236661270982</v>
      </c>
      <c r="P212" t="n">
        <v>94.880666886713</v>
      </c>
      <c r="Q212" t="n">
        <v>84.49769337994265</v>
      </c>
    </row>
    <row r="213">
      <c r="A213" s="117" t="n">
        <v>44720</v>
      </c>
      <c r="B213" s="118" t="n">
        <v>112.2171635520819</v>
      </c>
      <c r="C213" s="118" t="n">
        <v>114.9274522862486</v>
      </c>
      <c r="D213" s="118" t="n">
        <v>111.7994775582812</v>
      </c>
      <c r="E213" s="118" t="n">
        <v>113.6094360351562</v>
      </c>
      <c r="F213" s="119" t="n">
        <v>4365800</v>
      </c>
      <c r="G213" s="120" t="n">
        <v>0.00599984934676967</v>
      </c>
      <c r="H213" s="121" t="n">
        <v>71.4164253669182</v>
      </c>
      <c r="I213" s="118" t="n">
        <v>113.1470379638672</v>
      </c>
      <c r="J213" s="118" t="n">
        <v>135.1632328414917</v>
      </c>
      <c r="K213" s="120" t="n">
        <v>0.4043715005486831</v>
      </c>
      <c r="L213" s="120" t="n">
        <v>-0.118131100854993</v>
      </c>
      <c r="M213" s="120" t="n">
        <v>-0.3059304083535481</v>
      </c>
      <c r="N213" t="n">
        <v>57.60611412750438</v>
      </c>
      <c r="O213" t="n">
        <v>1.75190330101193</v>
      </c>
      <c r="P213" t="n">
        <v>93.84910528113578</v>
      </c>
      <c r="Q213" t="n">
        <v>83.88961202902667</v>
      </c>
    </row>
    <row r="214">
      <c r="A214" s="117" t="n">
        <v>44721</v>
      </c>
      <c r="B214" s="118" t="n">
        <v>112.634843633983</v>
      </c>
      <c r="C214" s="118" t="n">
        <v>113.2660074494557</v>
      </c>
      <c r="D214" s="118" t="n">
        <v>110.0730602557156</v>
      </c>
      <c r="E214" s="118" t="n">
        <v>110.0823440551758</v>
      </c>
      <c r="F214" s="119" t="n">
        <v>3892600</v>
      </c>
      <c r="G214" s="120" t="n">
        <v>-0.03104576611830923</v>
      </c>
      <c r="H214" s="121" t="n">
        <v>69.19924772797117</v>
      </c>
      <c r="I214" s="118" t="n">
        <v>112.7721241760254</v>
      </c>
      <c r="J214" s="118" t="n">
        <v>134.9312239837647</v>
      </c>
      <c r="K214" s="120" t="n">
        <v>0.4195904206414489</v>
      </c>
      <c r="L214" s="120" t="n">
        <v>-0.1455093964448598</v>
      </c>
      <c r="M214" s="120" t="n">
        <v>-0.3274783305656341</v>
      </c>
      <c r="N214" t="n">
        <v>51.20479647492223</v>
      </c>
      <c r="O214" t="n">
        <v>1.404281406633488</v>
      </c>
      <c r="P214" t="n">
        <v>91.61711010592254</v>
      </c>
      <c r="Q214" t="n">
        <v>81.64266206894771</v>
      </c>
    </row>
    <row r="215">
      <c r="A215" s="117" t="n">
        <v>44722</v>
      </c>
      <c r="B215" s="118" t="n">
        <v>108.6807978276115</v>
      </c>
      <c r="C215" s="118" t="n">
        <v>108.6807978276115</v>
      </c>
      <c r="D215" s="118" t="n">
        <v>106.0540488541434</v>
      </c>
      <c r="E215" s="118" t="n">
        <v>106.4902954101562</v>
      </c>
      <c r="F215" s="119" t="n">
        <v>6292600</v>
      </c>
      <c r="G215" s="120" t="n">
        <v>-0.03263056102093098</v>
      </c>
      <c r="H215" s="121" t="n">
        <v>66.94123745238109</v>
      </c>
      <c r="I215" s="118" t="n">
        <v>112.3364808654785</v>
      </c>
      <c r="J215" s="118" t="n">
        <v>134.6818991851807</v>
      </c>
      <c r="K215" s="120" t="n">
        <v>0.440389757314862</v>
      </c>
      <c r="L215" s="120" t="n">
        <v>-0.1733919042259779</v>
      </c>
      <c r="M215" s="120" t="n">
        <v>-0.3494230899380106</v>
      </c>
      <c r="N215" t="n">
        <v>45.64220092391809</v>
      </c>
      <c r="O215" t="n">
        <v>0.8924837599135124</v>
      </c>
      <c r="P215" t="n">
        <v>88.96059951797876</v>
      </c>
      <c r="Q215" t="n">
        <v>78.76305870763477</v>
      </c>
    </row>
    <row r="216">
      <c r="A216" s="117" t="n">
        <v>44725</v>
      </c>
      <c r="B216" s="118" t="n">
        <v>102.4619727890458</v>
      </c>
      <c r="C216" s="118" t="n">
        <v>103.9749063441627</v>
      </c>
      <c r="D216" s="118" t="n">
        <v>101.3945624647097</v>
      </c>
      <c r="E216" s="118" t="n">
        <v>102.5083847045898</v>
      </c>
      <c r="F216" s="119" t="n">
        <v>6423100</v>
      </c>
      <c r="G216" s="120" t="n">
        <v>-0.03739224020583043</v>
      </c>
      <c r="H216" s="121" t="n">
        <v>64.43815462188613</v>
      </c>
      <c r="I216" s="118" t="n">
        <v>111.8948994445801</v>
      </c>
      <c r="J216" s="118" t="n">
        <v>134.4261056137085</v>
      </c>
      <c r="K216" s="120" t="n">
        <v>0.4312648511305385</v>
      </c>
      <c r="L216" s="120" t="n">
        <v>-0.2043006326992441</v>
      </c>
      <c r="M216" s="120" t="n">
        <v>-0.3737496180314155</v>
      </c>
      <c r="N216" t="n">
        <v>40.40247254444175</v>
      </c>
      <c r="O216" t="n">
        <v>0.2776989736502931</v>
      </c>
      <c r="P216" t="n">
        <v>85.58294624130554</v>
      </c>
      <c r="Q216" t="n">
        <v>75.1008748453032</v>
      </c>
    </row>
    <row r="217">
      <c r="A217" s="117" t="n">
        <v>44726</v>
      </c>
      <c r="B217" s="118" t="n">
        <v>102.4434178472002</v>
      </c>
      <c r="C217" s="118" t="n">
        <v>103.8542509300762</v>
      </c>
      <c r="D217" s="118" t="n">
        <v>102.1092718651966</v>
      </c>
      <c r="E217" s="118" t="n">
        <v>102.7682800292969</v>
      </c>
      <c r="F217" s="119" t="n">
        <v>4548400</v>
      </c>
      <c r="G217" s="120" t="n">
        <v>0.002535356746240724</v>
      </c>
      <c r="H217" s="121" t="n">
        <v>64.60152833192203</v>
      </c>
      <c r="I217" s="118" t="n">
        <v>111.4777743530273</v>
      </c>
      <c r="J217" s="118" t="n">
        <v>134.1673006820679</v>
      </c>
      <c r="K217" s="120" t="n">
        <v>0.4312597675301427</v>
      </c>
      <c r="L217" s="120" t="n">
        <v>-0.2022832509403788</v>
      </c>
      <c r="M217" s="120" t="n">
        <v>-0.3721618499006556</v>
      </c>
      <c r="N217" t="n">
        <v>40.8795311114315</v>
      </c>
      <c r="O217" t="n">
        <v>-0.09933890302051696</v>
      </c>
      <c r="P217" t="n">
        <v>85.32506690864385</v>
      </c>
      <c r="Q217" t="n">
        <v>75.23724288950552</v>
      </c>
    </row>
    <row r="218">
      <c r="A218" s="117" t="n">
        <v>44727</v>
      </c>
      <c r="B218" s="118" t="n">
        <v>104.1048516586268</v>
      </c>
      <c r="C218" s="118" t="n">
        <v>106.4809942886389</v>
      </c>
      <c r="D218" s="118" t="n">
        <v>103.2230748897187</v>
      </c>
      <c r="E218" s="118" t="n">
        <v>105.2929229736328</v>
      </c>
      <c r="F218" s="119" t="n">
        <v>4828700</v>
      </c>
      <c r="G218" s="120" t="n">
        <v>0.02456636370304355</v>
      </c>
      <c r="H218" s="121" t="n">
        <v>66.18855297269648</v>
      </c>
      <c r="I218" s="118" t="n">
        <v>111.0959577941895</v>
      </c>
      <c r="J218" s="118" t="n">
        <v>133.9190443038941</v>
      </c>
      <c r="K218" s="120" t="n">
        <v>0.4272431519875753</v>
      </c>
      <c r="L218" s="120" t="n">
        <v>-0.1826862511509707</v>
      </c>
      <c r="M218" s="120" t="n">
        <v>-0.356738149558669</v>
      </c>
      <c r="N218" t="n">
        <v>45.44770536396783</v>
      </c>
      <c r="O218" t="n">
        <v>-0.1628393584856841</v>
      </c>
      <c r="P218" t="n">
        <v>86.54146896987801</v>
      </c>
      <c r="Q218" t="n">
        <v>77.11604783005971</v>
      </c>
    </row>
    <row r="219">
      <c r="A219" s="117" t="n">
        <v>44728</v>
      </c>
      <c r="B219" s="118" t="n">
        <v>101.6451801785252</v>
      </c>
      <c r="C219" s="118" t="n">
        <v>102.0071704758226</v>
      </c>
      <c r="D219" s="118" t="n">
        <v>98.12737067783395</v>
      </c>
      <c r="E219" s="118" t="n">
        <v>99.42682647705078</v>
      </c>
      <c r="F219" s="119" t="n">
        <v>7384800</v>
      </c>
      <c r="G219" s="120" t="n">
        <v>-0.0557121630866968</v>
      </c>
      <c r="H219" s="121" t="n">
        <v>62.50104551500916</v>
      </c>
      <c r="I219" s="118" t="n">
        <v>110.6345957946777</v>
      </c>
      <c r="J219" s="118" t="n">
        <v>133.6566262054443</v>
      </c>
      <c r="K219" s="120" t="n">
        <v>0.4261582647718464</v>
      </c>
      <c r="L219" s="120" t="n">
        <v>-0.2282205680198472</v>
      </c>
      <c r="M219" s="120" t="n">
        <v>-0.3925756586779068</v>
      </c>
      <c r="N219" t="n">
        <v>38.08421502667204</v>
      </c>
      <c r="O219" t="n">
        <v>-0.5615980787485115</v>
      </c>
      <c r="P219" t="n">
        <v>83.67728682045262</v>
      </c>
      <c r="Q219" t="n">
        <v>74.00470166873771</v>
      </c>
    </row>
    <row r="220">
      <c r="A220" s="117" t="n">
        <v>44729</v>
      </c>
      <c r="B220" s="118" t="n">
        <v>98.52648064747949</v>
      </c>
      <c r="C220" s="118" t="n">
        <v>100.7541179578358</v>
      </c>
      <c r="D220" s="118" t="n">
        <v>98.24802332813603</v>
      </c>
      <c r="E220" s="118" t="n">
        <v>99.63101196289062</v>
      </c>
      <c r="F220" s="119" t="n">
        <v>10256800</v>
      </c>
      <c r="G220" s="120" t="n">
        <v>0.002053625697155059</v>
      </c>
      <c r="H220" s="121" t="n">
        <v>62.62939926817784</v>
      </c>
      <c r="I220" s="118" t="n">
        <v>110.2502772521973</v>
      </c>
      <c r="J220" s="118" t="n">
        <v>133.396058883667</v>
      </c>
      <c r="K220" s="120" t="n">
        <v>0.4147687919673634</v>
      </c>
      <c r="L220" s="120" t="n">
        <v>-0.2266356219457971</v>
      </c>
      <c r="M220" s="120" t="n">
        <v>-0.3913282364414903</v>
      </c>
      <c r="N220" t="n">
        <v>38.45798449620205</v>
      </c>
      <c r="O220" t="n">
        <v>-0.7609153828671607</v>
      </c>
      <c r="P220" t="n">
        <v>83.85767026643983</v>
      </c>
      <c r="Q220" t="n">
        <v>74.90454621378099</v>
      </c>
    </row>
    <row r="221">
      <c r="A221" s="117" t="n">
        <v>44733</v>
      </c>
      <c r="B221" s="118" t="n">
        <v>100.6705852720692</v>
      </c>
      <c r="C221" s="118" t="n">
        <v>101.9329129372929</v>
      </c>
      <c r="D221" s="118" t="n">
        <v>100.280750661726</v>
      </c>
      <c r="E221" s="118" t="n">
        <v>100.8747863769531</v>
      </c>
      <c r="F221" s="119" t="n">
        <v>6211400</v>
      </c>
      <c r="G221" s="120" t="n">
        <v>0.01248380789834558</v>
      </c>
      <c r="H221" s="121" t="n">
        <v>63.41125265743056</v>
      </c>
      <c r="I221" s="118" t="n">
        <v>109.8719456481934</v>
      </c>
      <c r="J221" s="118" t="n">
        <v>133.1458140563965</v>
      </c>
      <c r="K221" s="120" t="n">
        <v>0.4138819272215911</v>
      </c>
      <c r="L221" s="120" t="n">
        <v>-0.2169810896147449</v>
      </c>
      <c r="M221" s="120" t="n">
        <v>-0.3837296950720785</v>
      </c>
      <c r="N221" t="n">
        <v>40.80226183022829</v>
      </c>
      <c r="O221" t="n">
        <v>-0.7566997119260404</v>
      </c>
      <c r="P221" t="n">
        <v>85.96869895238865</v>
      </c>
      <c r="Q221" t="n">
        <v>76.79435560524254</v>
      </c>
    </row>
    <row r="222">
      <c r="A222" s="117" t="n">
        <v>44734</v>
      </c>
      <c r="B222" s="118" t="n">
        <v>97.8303340192149</v>
      </c>
      <c r="C222" s="118" t="n">
        <v>99.22260630483524</v>
      </c>
      <c r="D222" s="118" t="n">
        <v>97.09706976567929</v>
      </c>
      <c r="E222" s="118" t="n">
        <v>97.38480377197266</v>
      </c>
      <c r="F222" s="119" t="n">
        <v>9884000</v>
      </c>
      <c r="G222" s="120" t="n">
        <v>-0.034597174678903</v>
      </c>
      <c r="H222" s="121" t="n">
        <v>61.21740247263339</v>
      </c>
      <c r="I222" s="118" t="n">
        <v>109.4465913391113</v>
      </c>
      <c r="J222" s="118" t="n">
        <v>132.8798711776734</v>
      </c>
      <c r="K222" s="120" t="n">
        <v>0.4318058958618717</v>
      </c>
      <c r="L222" s="120" t="n">
        <v>-0.2440713316342278</v>
      </c>
      <c r="M222" s="120" t="n">
        <v>-0.4050509064610907</v>
      </c>
      <c r="N222" t="n">
        <v>36.59042920720346</v>
      </c>
      <c r="O222" t="n">
        <v>-0.9255071500709229</v>
      </c>
      <c r="P222" t="n">
        <v>85.81282168042982</v>
      </c>
      <c r="Q222" t="n">
        <v>76.6823631033063</v>
      </c>
    </row>
    <row r="223">
      <c r="A223" s="117" t="n">
        <v>44735</v>
      </c>
      <c r="B223" s="118" t="n">
        <v>97.46835315691715</v>
      </c>
      <c r="C223" s="118" t="n">
        <v>100.3364309417779</v>
      </c>
      <c r="D223" s="118" t="n">
        <v>96.91144560545001</v>
      </c>
      <c r="E223" s="118" t="n">
        <v>100.2436141967773</v>
      </c>
      <c r="F223" s="119" t="n">
        <v>8898400</v>
      </c>
      <c r="G223" s="120" t="n">
        <v>0.02935581645262242</v>
      </c>
      <c r="H223" s="121" t="n">
        <v>63.01448930332633</v>
      </c>
      <c r="I223" s="118" t="n">
        <v>109.1371144104004</v>
      </c>
      <c r="J223" s="118" t="n">
        <v>132.6312192535401</v>
      </c>
      <c r="K223" s="120" t="n">
        <v>0.4428402448787163</v>
      </c>
      <c r="L223" s="120" t="n">
        <v>-0.2218804283944069</v>
      </c>
      <c r="M223" s="120" t="n">
        <v>-0.3875856900725083</v>
      </c>
      <c r="N223" t="n">
        <v>41.88266666913749</v>
      </c>
      <c r="O223" t="n">
        <v>-0.7866383988990224</v>
      </c>
      <c r="P223" t="n">
        <v>86.65400846403838</v>
      </c>
      <c r="Q223" t="n">
        <v>77.82435683128193</v>
      </c>
    </row>
    <row r="224">
      <c r="A224" s="117" t="n">
        <v>44736</v>
      </c>
      <c r="B224" s="118" t="n">
        <v>102.0350178320141</v>
      </c>
      <c r="C224" s="118" t="n">
        <v>104.8288468212988</v>
      </c>
      <c r="D224" s="118" t="n">
        <v>101.7379999617605</v>
      </c>
      <c r="E224" s="118" t="n">
        <v>104.8010025024414</v>
      </c>
      <c r="F224" s="119" t="n">
        <v>10463700</v>
      </c>
      <c r="G224" s="120" t="n">
        <v>0.04546312842150679</v>
      </c>
      <c r="H224" s="121" t="n">
        <v>65.87932512293911</v>
      </c>
      <c r="I224" s="118" t="n">
        <v>108.9176742553711</v>
      </c>
      <c r="J224" s="118" t="n">
        <v>132.4142528152466</v>
      </c>
      <c r="K224" s="120" t="n">
        <v>0.4699468301438735</v>
      </c>
      <c r="L224" s="120" t="n">
        <v>-0.1829812748856119</v>
      </c>
      <c r="M224" s="120" t="n">
        <v>-0.3597434196531063</v>
      </c>
      <c r="N224" t="n">
        <v>49.16635157646085</v>
      </c>
      <c r="O224" t="n">
        <v>-0.3520117221473755</v>
      </c>
      <c r="P224" t="n">
        <v>89.40908242641666</v>
      </c>
      <c r="Q224" t="n">
        <v>80.49091128900301</v>
      </c>
    </row>
    <row r="225">
      <c r="A225" s="117" t="n">
        <v>44739</v>
      </c>
      <c r="B225" s="118" t="n">
        <v>104.1790979833862</v>
      </c>
      <c r="C225" s="118" t="n">
        <v>105.0794352440683</v>
      </c>
      <c r="D225" s="118" t="n">
        <v>101.9514607873459</v>
      </c>
      <c r="E225" s="118" t="n">
        <v>102.5640640258789</v>
      </c>
      <c r="F225" s="119" t="n">
        <v>12644700</v>
      </c>
      <c r="G225" s="120" t="n">
        <v>-0.02134462861183406</v>
      </c>
      <c r="H225" s="121" t="n">
        <v>64.47315539499171</v>
      </c>
      <c r="I225" s="118" t="n">
        <v>108.6081268310547</v>
      </c>
      <c r="J225" s="118" t="n">
        <v>132.1739756011963</v>
      </c>
      <c r="K225" s="120" t="n">
        <v>0.4508286712180376</v>
      </c>
      <c r="L225" s="120" t="n">
        <v>-0.1917272162319333</v>
      </c>
      <c r="M225" s="120" t="n">
        <v>-0.3734094585768937</v>
      </c>
      <c r="N225" t="n">
        <v>46.11158380623473</v>
      </c>
      <c r="O225" t="n">
        <v>-0.1875893125434072</v>
      </c>
      <c r="P225" t="n">
        <v>89.06756037089693</v>
      </c>
      <c r="Q225" t="n">
        <v>79.90077197760993</v>
      </c>
    </row>
    <row r="226">
      <c r="A226" s="117" t="n">
        <v>44740</v>
      </c>
      <c r="B226" s="118" t="n">
        <v>100.4292568978987</v>
      </c>
      <c r="C226" s="118" t="n">
        <v>105.8591254967424</v>
      </c>
      <c r="D226" s="118" t="n">
        <v>95.12006353340485</v>
      </c>
      <c r="E226" s="118" t="n">
        <v>95.39851379394531</v>
      </c>
      <c r="F226" s="119" t="n">
        <v>31296500</v>
      </c>
      <c r="G226" s="120" t="n">
        <v>-0.06986414101264149</v>
      </c>
      <c r="H226" s="121" t="n">
        <v>59.96879377494606</v>
      </c>
      <c r="I226" s="118" t="n">
        <v>108.0447175598145</v>
      </c>
      <c r="J226" s="118" t="n">
        <v>131.8967181396484</v>
      </c>
      <c r="K226" s="120" t="n">
        <v>0.5005901146416989</v>
      </c>
      <c r="L226" s="120" t="n">
        <v>-0.2481964999737857</v>
      </c>
      <c r="M226" s="120" t="n">
        <v>-0.4171856685200649</v>
      </c>
      <c r="N226" t="n">
        <v>37.97274574471005</v>
      </c>
      <c r="O226" t="n">
        <v>-0.5152499313710208</v>
      </c>
      <c r="P226" t="n">
        <v>87.24763935294544</v>
      </c>
      <c r="Q226" t="n">
        <v>77.46645586194188</v>
      </c>
    </row>
    <row r="227">
      <c r="A227" s="117" t="n">
        <v>44741</v>
      </c>
      <c r="B227" s="118" t="n">
        <v>95.59342573309198</v>
      </c>
      <c r="C227" s="118" t="n">
        <v>98.02526419479558</v>
      </c>
      <c r="D227" s="118" t="n">
        <v>94.23828137978758</v>
      </c>
      <c r="E227" s="118" t="n">
        <v>95.83475494384766</v>
      </c>
      <c r="F227" s="119" t="n">
        <v>10326600</v>
      </c>
      <c r="G227" s="120" t="n">
        <v>0.004572829623369135</v>
      </c>
      <c r="H227" s="121" t="n">
        <v>60.24302085159785</v>
      </c>
      <c r="I227" s="118" t="n">
        <v>107.5239205932617</v>
      </c>
      <c r="J227" s="118" t="n">
        <v>131.6404069137573</v>
      </c>
      <c r="K227" s="120" t="n">
        <v>0.4895360171510901</v>
      </c>
      <c r="L227" s="120" t="n">
        <v>-0.2447586306579134</v>
      </c>
      <c r="M227" s="120" t="n">
        <v>-0.4145205578801494</v>
      </c>
      <c r="N227" t="n">
        <v>38.68232323139583</v>
      </c>
      <c r="O227" t="n">
        <v>-0.6478592224786697</v>
      </c>
      <c r="P227" t="n">
        <v>87.17660760612307</v>
      </c>
      <c r="Q227" t="n">
        <v>77.53748070696751</v>
      </c>
    </row>
    <row r="228">
      <c r="A228" s="117" t="n">
        <v>44742</v>
      </c>
      <c r="B228" s="118" t="n">
        <v>94.61883869975789</v>
      </c>
      <c r="C228" s="118" t="n">
        <v>95.95541544669823</v>
      </c>
      <c r="D228" s="118" t="n">
        <v>93.54214459766247</v>
      </c>
      <c r="E228" s="118" t="n">
        <v>94.86016082763672</v>
      </c>
      <c r="F228" s="119" t="n">
        <v>9027400</v>
      </c>
      <c r="G228" s="120" t="n">
        <v>-0.0101695268776133</v>
      </c>
      <c r="H228" s="121" t="n">
        <v>59.63037783185891</v>
      </c>
      <c r="I228" s="118" t="n">
        <v>106.8832661437988</v>
      </c>
      <c r="J228" s="118" t="n">
        <v>131.3827270507813</v>
      </c>
      <c r="K228" s="120" t="n">
        <v>0.4893349324296521</v>
      </c>
      <c r="L228" s="120" t="n">
        <v>-0.2524390780625231</v>
      </c>
      <c r="M228" s="120" t="n">
        <v>-0.4204746068030772</v>
      </c>
      <c r="N228" t="n">
        <v>37.64617946541932</v>
      </c>
      <c r="O228" t="n">
        <v>-0.7398221304757477</v>
      </c>
      <c r="P228" t="n">
        <v>86.46834892216734</v>
      </c>
      <c r="Q228" t="n">
        <v>76.57579593236865</v>
      </c>
    </row>
    <row r="229">
      <c r="A229" s="117" t="n">
        <v>44743</v>
      </c>
      <c r="B229" s="118" t="n">
        <v>94.34039967733987</v>
      </c>
      <c r="C229" s="118" t="n">
        <v>95.1386366095568</v>
      </c>
      <c r="D229" s="118" t="n">
        <v>92.38193546939665</v>
      </c>
      <c r="E229" s="118" t="n">
        <v>93.91343688964844</v>
      </c>
      <c r="F229" s="119" t="n">
        <v>7934300</v>
      </c>
      <c r="G229" s="120" t="n">
        <v>-0.009980205912875295</v>
      </c>
      <c r="H229" s="121" t="n">
        <v>59.0352543824344</v>
      </c>
      <c r="I229" s="118" t="n">
        <v>106.2455276489258</v>
      </c>
      <c r="J229" s="118" t="n">
        <v>131.1242324829101</v>
      </c>
      <c r="K229" s="120" t="n">
        <v>0.457139237883813</v>
      </c>
      <c r="L229" s="120" t="n">
        <v>-0.259899889995878</v>
      </c>
      <c r="M229" s="120" t="n">
        <v>-0.4262583895589225</v>
      </c>
      <c r="N229" t="n">
        <v>36.62003046437395</v>
      </c>
      <c r="O229" t="n">
        <v>-0.798023011441356</v>
      </c>
      <c r="P229" t="n">
        <v>87.38289188644922</v>
      </c>
      <c r="Q229" t="n">
        <v>77.08123172955695</v>
      </c>
    </row>
    <row r="230">
      <c r="A230" s="117" t="n">
        <v>44747</v>
      </c>
      <c r="B230" s="118" t="n">
        <v>93.23586046317338</v>
      </c>
      <c r="C230" s="118" t="n">
        <v>96.88361527856077</v>
      </c>
      <c r="D230" s="118" t="n">
        <v>92.92028204524776</v>
      </c>
      <c r="E230" s="118" t="n">
        <v>96.82792663574219</v>
      </c>
      <c r="F230" s="119" t="n">
        <v>9948800</v>
      </c>
      <c r="G230" s="120" t="n">
        <v>0.03103378858893624</v>
      </c>
      <c r="H230" s="121" t="n">
        <v>60.86734198623294</v>
      </c>
      <c r="I230" s="118" t="n">
        <v>105.6736711120605</v>
      </c>
      <c r="J230" s="118" t="n">
        <v>130.8817395782471</v>
      </c>
      <c r="K230" s="120" t="n">
        <v>0.4776755300523995</v>
      </c>
      <c r="L230" s="120" t="n">
        <v>-0.2369317796473617</v>
      </c>
      <c r="M230" s="120" t="n">
        <v>-0.4084530137158183</v>
      </c>
      <c r="N230" t="n">
        <v>41.87284916082826</v>
      </c>
      <c r="O230" t="n">
        <v>-0.5837790289047438</v>
      </c>
      <c r="P230" t="n">
        <v>87.54791193155503</v>
      </c>
      <c r="Q230" t="n">
        <v>78.40086019263758</v>
      </c>
    </row>
    <row r="231">
      <c r="A231" s="117" t="n">
        <v>44748</v>
      </c>
      <c r="B231" s="118" t="n">
        <v>97.35697334692735</v>
      </c>
      <c r="C231" s="118" t="n">
        <v>98.12736582108221</v>
      </c>
      <c r="D231" s="118" t="n">
        <v>96.02038949600463</v>
      </c>
      <c r="E231" s="118" t="n">
        <v>96.74437713623047</v>
      </c>
      <c r="F231" s="119" t="n">
        <v>6432900</v>
      </c>
      <c r="G231" s="120" t="n">
        <v>-0.0008628657290785657</v>
      </c>
      <c r="H231" s="121" t="n">
        <v>60.81482164281291</v>
      </c>
      <c r="I231" s="118" t="n">
        <v>105.2184721374512</v>
      </c>
      <c r="J231" s="118" t="n">
        <v>130.6442695236206</v>
      </c>
      <c r="K231" s="120" t="n">
        <v>0.4781554214246225</v>
      </c>
      <c r="L231" s="120" t="n">
        <v>-0.237590205063653</v>
      </c>
      <c r="M231" s="120" t="n">
        <v>-0.4089634393374227</v>
      </c>
      <c r="N231" t="n">
        <v>41.76598572701172</v>
      </c>
      <c r="O231" t="n">
        <v>-0.4000002178399882</v>
      </c>
      <c r="P231" t="n">
        <v>87.84359467570341</v>
      </c>
      <c r="Q231" t="n">
        <v>78.90357905241243</v>
      </c>
    </row>
    <row r="232">
      <c r="A232" s="117" t="n">
        <v>44749</v>
      </c>
      <c r="B232" s="118" t="n">
        <v>98.0624015957915</v>
      </c>
      <c r="C232" s="118" t="n">
        <v>100.5035170064461</v>
      </c>
      <c r="D232" s="118" t="n">
        <v>97.70968800479743</v>
      </c>
      <c r="E232" s="118" t="n">
        <v>100.3642883300781</v>
      </c>
      <c r="F232" s="119" t="n">
        <v>7633900</v>
      </c>
      <c r="G232" s="120" t="n">
        <v>0.03741727737572065</v>
      </c>
      <c r="H232" s="121" t="n">
        <v>63.09034669277702</v>
      </c>
      <c r="I232" s="118" t="n">
        <v>104.8565965270996</v>
      </c>
      <c r="J232" s="118" t="n">
        <v>130.4349040603638</v>
      </c>
      <c r="K232" s="120" t="n">
        <v>0.4993759969633868</v>
      </c>
      <c r="L232" s="120" t="n">
        <v>-0.2090629062925534</v>
      </c>
      <c r="M232" s="120" t="n">
        <v>-0.3868484604079191</v>
      </c>
      <c r="N232" t="n">
        <v>47.96255519336044</v>
      </c>
      <c r="O232" t="n">
        <v>-0.007692484102539865</v>
      </c>
      <c r="P232" t="n">
        <v>89.15924637279471</v>
      </c>
      <c r="Q232" t="n">
        <v>80.59200186597199</v>
      </c>
    </row>
    <row r="233">
      <c r="A233" s="117" t="n">
        <v>44750</v>
      </c>
      <c r="B233" s="118" t="n">
        <v>98.92561357338613</v>
      </c>
      <c r="C233" s="118" t="n">
        <v>100.8098214111144</v>
      </c>
      <c r="D233" s="118" t="n">
        <v>98.86064113351497</v>
      </c>
      <c r="E233" s="118" t="n">
        <v>100.1786575317383</v>
      </c>
      <c r="F233" s="119" t="n">
        <v>5938600</v>
      </c>
      <c r="G233" s="120" t="n">
        <v>-0.001849570214948804</v>
      </c>
      <c r="H233" s="121" t="n">
        <v>62.97365666668326</v>
      </c>
      <c r="I233" s="118" t="n">
        <v>104.6284100341797</v>
      </c>
      <c r="J233" s="118" t="n">
        <v>130.221060333252</v>
      </c>
      <c r="K233" s="120" t="n">
        <v>0.4977728994059646</v>
      </c>
      <c r="L233" s="120" t="n">
        <v>-0.2105257999829729</v>
      </c>
      <c r="M233" s="120" t="n">
        <v>-0.3879825272327987</v>
      </c>
      <c r="N233" t="n">
        <v>47.68235457678105</v>
      </c>
      <c r="O233" t="n">
        <v>0.2519084520551775</v>
      </c>
      <c r="P233" t="n">
        <v>89.08590495043158</v>
      </c>
      <c r="Q233" t="n">
        <v>80.69310098676932</v>
      </c>
    </row>
    <row r="234">
      <c r="A234" s="117" t="n">
        <v>44753</v>
      </c>
      <c r="B234" s="118" t="n">
        <v>98.94416114243381</v>
      </c>
      <c r="C234" s="118" t="n">
        <v>99.39896816200455</v>
      </c>
      <c r="D234" s="118" t="n">
        <v>97.3384108751587</v>
      </c>
      <c r="E234" s="118" t="n">
        <v>97.56117248535156</v>
      </c>
      <c r="F234" s="119" t="n">
        <v>4935200</v>
      </c>
      <c r="G234" s="120" t="n">
        <v>-0.02612817051932903</v>
      </c>
      <c r="H234" s="121" t="n">
        <v>61.32827022707048</v>
      </c>
      <c r="I234" s="118" t="n">
        <v>104.3345411682129</v>
      </c>
      <c r="J234" s="118" t="n">
        <v>129.9829712677002</v>
      </c>
      <c r="K234" s="120" t="n">
        <v>0.4947617045525107</v>
      </c>
      <c r="L234" s="120" t="n">
        <v>-0.2311533165016286</v>
      </c>
      <c r="M234" s="120" t="n">
        <v>-0.4039734241220688</v>
      </c>
      <c r="N234" t="n">
        <v>43.79700542741259</v>
      </c>
      <c r="O234" t="n">
        <v>0.258953221230708</v>
      </c>
      <c r="P234" t="n">
        <v>88.06821615640911</v>
      </c>
      <c r="Q234" t="n">
        <v>78.96912730346939</v>
      </c>
    </row>
    <row r="235">
      <c r="A235" s="117" t="n">
        <v>44754</v>
      </c>
      <c r="B235" s="118" t="n">
        <v>97.46834767849234</v>
      </c>
      <c r="C235" s="118" t="n">
        <v>98.2573005888479</v>
      </c>
      <c r="D235" s="118" t="n">
        <v>95.74192940895679</v>
      </c>
      <c r="E235" s="118" t="n">
        <v>96.30812072753906</v>
      </c>
      <c r="F235" s="119" t="n">
        <v>6017400</v>
      </c>
      <c r="G235" s="120" t="n">
        <v>-0.01284375459920428</v>
      </c>
      <c r="H235" s="121" t="n">
        <v>60.5405849742803</v>
      </c>
      <c r="I235" s="118" t="n">
        <v>103.9080227661133</v>
      </c>
      <c r="J235" s="118" t="n">
        <v>129.7287503814697</v>
      </c>
      <c r="K235" s="120" t="n">
        <v>0.4852934749297147</v>
      </c>
      <c r="L235" s="120" t="n">
        <v>-0.2410281946288938</v>
      </c>
      <c r="M235" s="120" t="n">
        <v>-0.411628643197249</v>
      </c>
      <c r="N235" t="n">
        <v>42.03131399210617</v>
      </c>
      <c r="O235" t="n">
        <v>0.1938161174665733</v>
      </c>
      <c r="P235" t="n">
        <v>87.288925725631</v>
      </c>
      <c r="Q235" t="n">
        <v>78.20414708883987</v>
      </c>
    </row>
    <row r="236">
      <c r="A236" s="117" t="n">
        <v>44755</v>
      </c>
      <c r="B236" s="118" t="n">
        <v>94.61883839399142</v>
      </c>
      <c r="C236" s="118" t="n">
        <v>98.27586923039131</v>
      </c>
      <c r="D236" s="118" t="n">
        <v>94.26612483960015</v>
      </c>
      <c r="E236" s="118" t="n">
        <v>97.56117248535156</v>
      </c>
      <c r="F236" s="119" t="n">
        <v>5299400</v>
      </c>
      <c r="G236" s="120" t="n">
        <v>0.01301086292979847</v>
      </c>
      <c r="H236" s="121" t="n">
        <v>61.32827022707048</v>
      </c>
      <c r="I236" s="118" t="n">
        <v>103.5500822448731</v>
      </c>
      <c r="J236" s="118" t="n">
        <v>129.5268549346924</v>
      </c>
      <c r="K236" s="120" t="n">
        <v>0.4728920598306598</v>
      </c>
      <c r="L236" s="120" t="n">
        <v>-0.2311533165016286</v>
      </c>
      <c r="M236" s="120" t="n">
        <v>-0.4039734241220688</v>
      </c>
      <c r="N236" t="n">
        <v>44.44338907117925</v>
      </c>
      <c r="O236" t="n">
        <v>0.2463433342681172</v>
      </c>
      <c r="P236" t="n">
        <v>86.83048833698706</v>
      </c>
      <c r="Q236" t="n">
        <v>78.04294213564084</v>
      </c>
    </row>
    <row r="237">
      <c r="A237" s="117" t="n">
        <v>44756</v>
      </c>
      <c r="B237" s="118" t="n">
        <v>95.70481473067049</v>
      </c>
      <c r="C237" s="118" t="n">
        <v>96.34526236356349</v>
      </c>
      <c r="D237" s="118" t="n">
        <v>94.53530381713763</v>
      </c>
      <c r="E237" s="118" t="n">
        <v>95.80691528320312</v>
      </c>
      <c r="F237" s="119" t="n">
        <v>6951300</v>
      </c>
      <c r="G237" s="120" t="n">
        <v>-0.0179811000366138</v>
      </c>
      <c r="H237" s="121" t="n">
        <v>60.22552046504504</v>
      </c>
      <c r="I237" s="118" t="n">
        <v>103.1315017700195</v>
      </c>
      <c r="J237" s="118" t="n">
        <v>129.3233345794678</v>
      </c>
      <c r="K237" s="120" t="n">
        <v>0.4758559784871339</v>
      </c>
      <c r="L237" s="120" t="n">
        <v>-0.2449780256304316</v>
      </c>
      <c r="M237" s="120" t="n">
        <v>-0.4146906376074103</v>
      </c>
      <c r="N237" t="n">
        <v>41.81984294351783</v>
      </c>
      <c r="O237" t="n">
        <v>0.1773858056701547</v>
      </c>
      <c r="P237" t="n">
        <v>86.61963635966498</v>
      </c>
      <c r="Q237" t="n">
        <v>78.32160764091643</v>
      </c>
    </row>
    <row r="238">
      <c r="A238" s="117" t="n">
        <v>44757</v>
      </c>
      <c r="B238" s="118" t="n">
        <v>97.23629873434891</v>
      </c>
      <c r="C238" s="118" t="n">
        <v>98.03453541394656</v>
      </c>
      <c r="D238" s="118" t="n">
        <v>96.46590636752231</v>
      </c>
      <c r="E238" s="118" t="n">
        <v>97.18060302734375</v>
      </c>
      <c r="F238" s="119" t="n">
        <v>7862000</v>
      </c>
      <c r="G238" s="120" t="n">
        <v>0.01433808551376514</v>
      </c>
      <c r="H238" s="121" t="n">
        <v>61.08903912758387</v>
      </c>
      <c r="I238" s="118" t="n">
        <v>102.8000221252441</v>
      </c>
      <c r="J238" s="118" t="n">
        <v>129.1393156433105</v>
      </c>
      <c r="K238" s="120" t="n">
        <v>0.4693177659928477</v>
      </c>
      <c r="L238" s="120" t="n">
        <v>-0.2275014017001132</v>
      </c>
      <c r="M238" s="120" t="n">
        <v>-0.4062984219174179</v>
      </c>
      <c r="N238" t="n">
        <v>44.57875133721821</v>
      </c>
      <c r="O238" t="n">
        <v>0.2351127006922291</v>
      </c>
      <c r="P238" t="n">
        <v>88.2745151950454</v>
      </c>
      <c r="Q238" t="n">
        <v>79.7423181371377</v>
      </c>
    </row>
    <row r="239">
      <c r="A239" s="117" t="n">
        <v>44760</v>
      </c>
      <c r="B239" s="118" t="n">
        <v>98.56361321275935</v>
      </c>
      <c r="C239" s="118" t="n">
        <v>99.01842024552411</v>
      </c>
      <c r="D239" s="118" t="n">
        <v>96.23387525220956</v>
      </c>
      <c r="E239" s="118" t="n">
        <v>96.47520446777344</v>
      </c>
      <c r="F239" s="119" t="n">
        <v>6834800</v>
      </c>
      <c r="G239" s="120" t="n">
        <v>-0.007258635340756547</v>
      </c>
      <c r="H239" s="121" t="n">
        <v>60.64561606923954</v>
      </c>
      <c r="I239" s="118" t="n">
        <v>102.3951779174805</v>
      </c>
      <c r="J239" s="118" t="n">
        <v>128.9484501647949</v>
      </c>
      <c r="K239" s="120" t="n">
        <v>0.4275931149970767</v>
      </c>
      <c r="L239" s="120" t="n">
        <v>-0.2307875547572447</v>
      </c>
      <c r="M239" s="120" t="n">
        <v>-0.4106078851739512</v>
      </c>
      <c r="N239" t="n">
        <v>43.43960507931899</v>
      </c>
      <c r="O239" t="n">
        <v>0.2359984987465871</v>
      </c>
      <c r="P239" t="n">
        <v>87.54562439347951</v>
      </c>
      <c r="Q239" t="n">
        <v>79.06746676771154</v>
      </c>
    </row>
    <row r="240">
      <c r="A240" s="117" t="n">
        <v>44761</v>
      </c>
      <c r="B240" s="118" t="n">
        <v>98.01596912316333</v>
      </c>
      <c r="C240" s="118" t="n">
        <v>101.7101347650207</v>
      </c>
      <c r="D240" s="118" t="n">
        <v>97.8581799610506</v>
      </c>
      <c r="E240" s="118" t="n">
        <v>101.34814453125</v>
      </c>
      <c r="F240" s="119" t="n">
        <v>8973900</v>
      </c>
      <c r="G240" s="120" t="n">
        <v>0.05050976663236106</v>
      </c>
      <c r="H240" s="121" t="n">
        <v>63.7088119841726</v>
      </c>
      <c r="I240" s="118" t="n">
        <v>102.2253799438477</v>
      </c>
      <c r="J240" s="118" t="n">
        <v>128.7855918121338</v>
      </c>
      <c r="K240" s="120" t="n">
        <v>0.465347331487021</v>
      </c>
      <c r="L240" s="120" t="n">
        <v>-0.151929072054693</v>
      </c>
      <c r="M240" s="120" t="n">
        <v>-0.3808378269991336</v>
      </c>
      <c r="N240" t="n">
        <v>52.47443639687801</v>
      </c>
      <c r="O240" t="n">
        <v>0.5566696140093694</v>
      </c>
      <c r="P240" t="n">
        <v>89.91103469258101</v>
      </c>
      <c r="Q240" t="n">
        <v>81.49906594596612</v>
      </c>
    </row>
    <row r="241">
      <c r="A241" s="117" t="n">
        <v>44762</v>
      </c>
      <c r="B241" s="118" t="n">
        <v>101.376024019158</v>
      </c>
      <c r="C241" s="118" t="n">
        <v>103.6129386224172</v>
      </c>
      <c r="D241" s="118" t="n">
        <v>101.0511617840124</v>
      </c>
      <c r="E241" s="118" t="n">
        <v>103.1302871704102</v>
      </c>
      <c r="F241" s="119" t="n">
        <v>5884600</v>
      </c>
      <c r="G241" s="120" t="n">
        <v>0.01758436375330619</v>
      </c>
      <c r="H241" s="121" t="n">
        <v>64.82909090839328</v>
      </c>
      <c r="I241" s="118" t="n">
        <v>102.1678880310059</v>
      </c>
      <c r="J241" s="118" t="n">
        <v>128.6232065200806</v>
      </c>
      <c r="K241" s="120" t="n">
        <v>0.4673262153330801</v>
      </c>
      <c r="L241" s="120" t="n">
        <v>-0.1293941546266343</v>
      </c>
      <c r="M241" s="120" t="n">
        <v>-0.3699502541267988</v>
      </c>
      <c r="N241" t="n">
        <v>55.28745790243638</v>
      </c>
      <c r="O241" t="n">
        <v>0.8624496274747715</v>
      </c>
      <c r="P241" t="n">
        <v>90.48404822218806</v>
      </c>
      <c r="Q241" t="n">
        <v>82.79135415834519</v>
      </c>
    </row>
    <row r="242">
      <c r="A242" s="117" t="n">
        <v>44763</v>
      </c>
      <c r="B242" s="118" t="n">
        <v>102.4434106398343</v>
      </c>
      <c r="C242" s="118" t="n">
        <v>103.6500425286533</v>
      </c>
      <c r="D242" s="118" t="n">
        <v>102.1649533139339</v>
      </c>
      <c r="E242" s="118" t="n">
        <v>103.6036376953125</v>
      </c>
      <c r="F242" s="119" t="n">
        <v>4291400</v>
      </c>
      <c r="G242" s="120" t="n">
        <v>0.004589830377570658</v>
      </c>
      <c r="H242" s="121" t="n">
        <v>65.12664543919492</v>
      </c>
      <c r="I242" s="118" t="n">
        <v>102.1806013488769</v>
      </c>
      <c r="J242" s="118" t="n">
        <v>128.462819404602</v>
      </c>
      <c r="K242" s="120" t="n">
        <v>0.4474359981307303</v>
      </c>
      <c r="L242" s="120" t="n">
        <v>-0.119271624420203</v>
      </c>
      <c r="M242" s="120" t="n">
        <v>-0.3670584326638093</v>
      </c>
      <c r="N242" t="n">
        <v>56.03186230487425</v>
      </c>
      <c r="O242" t="n">
        <v>1.057376940927234</v>
      </c>
      <c r="P242" t="n">
        <v>91.40547593816173</v>
      </c>
      <c r="Q242" t="n">
        <v>83.97982631251345</v>
      </c>
    </row>
    <row r="243">
      <c r="A243" s="117" t="n">
        <v>44764</v>
      </c>
      <c r="B243" s="118" t="n">
        <v>103.8913917828464</v>
      </c>
      <c r="C243" s="118" t="n">
        <v>103.8913917828464</v>
      </c>
      <c r="D243" s="118" t="n">
        <v>100.9397733009932</v>
      </c>
      <c r="E243" s="118" t="n">
        <v>101.283203125</v>
      </c>
      <c r="F243" s="119" t="n">
        <v>6039300</v>
      </c>
      <c r="G243" s="120" t="n">
        <v>-0.02239723065648191</v>
      </c>
      <c r="H243" s="121" t="n">
        <v>63.66798893941036</v>
      </c>
      <c r="I243" s="118" t="n">
        <v>102.1787562561035</v>
      </c>
      <c r="J243" s="118" t="n">
        <v>128.2801334762573</v>
      </c>
      <c r="K243" s="120" t="n">
        <v>0.4454472870851446</v>
      </c>
      <c r="L243" s="120" t="n">
        <v>-0.1389975009937723</v>
      </c>
      <c r="M243" s="120" t="n">
        <v>-0.3812345709395132</v>
      </c>
      <c r="N243" t="n">
        <v>51.50497293140371</v>
      </c>
      <c r="O243" t="n">
        <v>0.9919027037930217</v>
      </c>
      <c r="P243" t="n">
        <v>90.55740440286137</v>
      </c>
      <c r="Q243" t="n">
        <v>82.50722914675762</v>
      </c>
    </row>
    <row r="244">
      <c r="A244" s="117" t="n">
        <v>44767</v>
      </c>
      <c r="B244" s="118" t="n">
        <v>101.7379803833893</v>
      </c>
      <c r="C244" s="118" t="n">
        <v>101.7379803833893</v>
      </c>
      <c r="D244" s="118" t="n">
        <v>99.94658970649361</v>
      </c>
      <c r="E244" s="118" t="n">
        <v>101.4316787719727</v>
      </c>
      <c r="F244" s="119" t="n">
        <v>5079500</v>
      </c>
      <c r="G244" s="120" t="n">
        <v>0.001465945412383984</v>
      </c>
      <c r="H244" s="121" t="n">
        <v>63.7613227357118</v>
      </c>
      <c r="I244" s="118" t="n">
        <v>102.2089540100098</v>
      </c>
      <c r="J244" s="118" t="n">
        <v>128.1012326812744</v>
      </c>
      <c r="K244" s="120" t="n">
        <v>0.4132741878940732</v>
      </c>
      <c r="L244" s="120" t="n">
        <v>-0.1377353183303029</v>
      </c>
      <c r="M244" s="120" t="n">
        <v>-0.3803274945974401</v>
      </c>
      <c r="N244" t="n">
        <v>51.77345885558491</v>
      </c>
      <c r="O244" t="n">
        <v>0.9219454226085348</v>
      </c>
      <c r="P244" t="n">
        <v>90.6674276051387</v>
      </c>
      <c r="Q244" t="n">
        <v>82.03729295633961</v>
      </c>
    </row>
    <row r="245">
      <c r="A245" s="117" t="n">
        <v>44768</v>
      </c>
      <c r="B245" s="118" t="n">
        <v>99.76098242553526</v>
      </c>
      <c r="C245" s="118" t="n">
        <v>100.1786614006284</v>
      </c>
      <c r="D245" s="118" t="n">
        <v>97.05997000343983</v>
      </c>
      <c r="E245" s="118" t="n">
        <v>97.64472198486328</v>
      </c>
      <c r="F245" s="119" t="n">
        <v>8459500</v>
      </c>
      <c r="G245" s="120" t="n">
        <v>-0.03733504988735115</v>
      </c>
      <c r="H245" s="121" t="n">
        <v>61.3807905704905</v>
      </c>
      <c r="I245" s="118" t="n">
        <v>102.1637826538086</v>
      </c>
      <c r="J245" s="118" t="n">
        <v>127.8893346786499</v>
      </c>
      <c r="K245" s="120" t="n">
        <v>0.4272191841096504</v>
      </c>
      <c r="L245" s="120" t="n">
        <v>-0.1635418980677698</v>
      </c>
      <c r="M245" s="120" t="n">
        <v>-0.4034629985004645</v>
      </c>
      <c r="N245" t="n">
        <v>44.93950001729129</v>
      </c>
      <c r="O245" t="n">
        <v>0.5995941283790593</v>
      </c>
      <c r="P245" t="n">
        <v>89.59473458913266</v>
      </c>
      <c r="Q245" t="n">
        <v>80.42533740646095</v>
      </c>
    </row>
    <row r="246">
      <c r="A246" s="117" t="n">
        <v>44769</v>
      </c>
      <c r="B246" s="118" t="n">
        <v>98.66570928438233</v>
      </c>
      <c r="C246" s="118" t="n">
        <v>100.5963216768794</v>
      </c>
      <c r="D246" s="118" t="n">
        <v>98.15520655952506</v>
      </c>
      <c r="E246" s="118" t="n">
        <v>100.1136703491211</v>
      </c>
      <c r="F246" s="119" t="n">
        <v>7437000</v>
      </c>
      <c r="G246" s="120" t="n">
        <v>0.02528501606713096</v>
      </c>
      <c r="H246" s="121" t="n">
        <v>62.93280484627856</v>
      </c>
      <c r="I246" s="118" t="n">
        <v>102.0733647155762</v>
      </c>
      <c r="J246" s="118" t="n">
        <v>127.6868769073486</v>
      </c>
      <c r="K246" s="120" t="n">
        <v>0.3543634543382129</v>
      </c>
      <c r="L246" s="120" t="n">
        <v>-0.1423920415209314</v>
      </c>
      <c r="M246" s="120" t="n">
        <v>-0.3883795508329105</v>
      </c>
      <c r="N246" t="n">
        <v>49.60953255826016</v>
      </c>
      <c r="O246" t="n">
        <v>0.5338159994824816</v>
      </c>
      <c r="P246" t="n">
        <v>91.92119032855462</v>
      </c>
      <c r="Q246" t="n">
        <v>83.8241064971114</v>
      </c>
    </row>
    <row r="247">
      <c r="A247" s="117" t="n">
        <v>44770</v>
      </c>
      <c r="B247" s="118" t="n">
        <v>101.5709188540391</v>
      </c>
      <c r="C247" s="118" t="n">
        <v>104.3276195041639</v>
      </c>
      <c r="D247" s="118" t="n">
        <v>100.2714631199258</v>
      </c>
      <c r="E247" s="118" t="n">
        <v>104.1698303222656</v>
      </c>
      <c r="F247" s="119" t="n">
        <v>6773500</v>
      </c>
      <c r="G247" s="120" t="n">
        <v>0.04051554556934822</v>
      </c>
      <c r="H247" s="121" t="n">
        <v>65.48256176883486</v>
      </c>
      <c r="I247" s="118" t="n">
        <v>102.0716621398926</v>
      </c>
      <c r="J247" s="118" t="n">
        <v>127.5148432159424</v>
      </c>
      <c r="K247" s="120" t="n">
        <v>0.3790571610423636</v>
      </c>
      <c r="L247" s="120" t="n">
        <v>-0.1075039620195211</v>
      </c>
      <c r="M247" s="120" t="n">
        <v>-0.3635994146535361</v>
      </c>
      <c r="N247" t="n">
        <v>56.18452201915179</v>
      </c>
      <c r="O247" t="n">
        <v>0.7323766203990405</v>
      </c>
      <c r="P247" t="n">
        <v>93.07410213946051</v>
      </c>
      <c r="Q247" t="n">
        <v>84.6437244940023</v>
      </c>
    </row>
    <row r="248">
      <c r="A248" s="117" t="n">
        <v>44771</v>
      </c>
      <c r="B248" s="118" t="n">
        <v>104.6617574366784</v>
      </c>
      <c r="C248" s="118" t="n">
        <v>106.9357994858062</v>
      </c>
      <c r="D248" s="118" t="n">
        <v>103.492246657559</v>
      </c>
      <c r="E248" s="118" t="n">
        <v>106.6666259765625</v>
      </c>
      <c r="F248" s="119" t="n">
        <v>7560000</v>
      </c>
      <c r="G248" s="120" t="n">
        <v>0.02396851033137559</v>
      </c>
      <c r="H248" s="121" t="n">
        <v>67.0520812271161</v>
      </c>
      <c r="I248" s="118" t="n">
        <v>102.0587872314453</v>
      </c>
      <c r="J248" s="118" t="n">
        <v>127.3411389160156</v>
      </c>
      <c r="K248" s="120" t="n">
        <v>0.3809621436818855</v>
      </c>
      <c r="L248" s="120" t="n">
        <v>-0.08611216151247425</v>
      </c>
      <c r="M248" s="120" t="n">
        <v>-0.3483458406487658</v>
      </c>
      <c r="N248" t="n">
        <v>59.67269846096828</v>
      </c>
      <c r="O248" t="n">
        <v>0.9850265504196298</v>
      </c>
      <c r="P248" t="n">
        <v>94.43101069261702</v>
      </c>
      <c r="Q248" t="n">
        <v>86.18738922392548</v>
      </c>
    </row>
    <row r="249">
      <c r="A249" s="117" t="n">
        <v>44774</v>
      </c>
      <c r="B249" s="118" t="n">
        <v>105.8126834842636</v>
      </c>
      <c r="C249" s="118" t="n">
        <v>107.2513675396609</v>
      </c>
      <c r="D249" s="118" t="n">
        <v>105.1165474087093</v>
      </c>
      <c r="E249" s="118" t="n">
        <v>106.0911407470703</v>
      </c>
      <c r="F249" s="119" t="n">
        <v>4802900</v>
      </c>
      <c r="G249" s="120" t="n">
        <v>-0.005395176084585618</v>
      </c>
      <c r="H249" s="121" t="n">
        <v>66.69032344205789</v>
      </c>
      <c r="I249" s="118" t="n">
        <v>102.155323638916</v>
      </c>
      <c r="J249" s="118" t="n">
        <v>127.1509557342529</v>
      </c>
      <c r="K249" s="120" t="n">
        <v>0.3787277622611663</v>
      </c>
      <c r="L249" s="120" t="n">
        <v>-0.07152468206133433</v>
      </c>
      <c r="M249" s="120" t="n">
        <v>-0.3518616295847183</v>
      </c>
      <c r="N249" t="n">
        <v>58.51636238101328</v>
      </c>
      <c r="O249" t="n">
        <v>1.06002342133281</v>
      </c>
      <c r="P249" t="n">
        <v>94.15138498992775</v>
      </c>
      <c r="Q249" t="n">
        <v>86.13546837907757</v>
      </c>
    </row>
    <row r="250">
      <c r="A250" s="117" t="n">
        <v>44775</v>
      </c>
      <c r="B250" s="118" t="n">
        <v>105.4135809206486</v>
      </c>
      <c r="C250" s="118" t="n">
        <v>105.6084982011259</v>
      </c>
      <c r="D250" s="118" t="n">
        <v>103.6500345163536</v>
      </c>
      <c r="E250" s="118" t="n">
        <v>103.7428512573242</v>
      </c>
      <c r="F250" s="119" t="n">
        <v>6334400</v>
      </c>
      <c r="G250" s="120" t="n">
        <v>-0.02213464265922638</v>
      </c>
      <c r="H250" s="121" t="n">
        <v>65.21415696383971</v>
      </c>
      <c r="I250" s="118" t="n">
        <v>102.2591510009766</v>
      </c>
      <c r="J250" s="118" t="n">
        <v>126.9451584243774</v>
      </c>
      <c r="K250" s="120" t="n">
        <v>0.3798518218082603</v>
      </c>
      <c r="L250" s="120" t="n">
        <v>-0.09207615144181824</v>
      </c>
      <c r="M250" s="120" t="n">
        <v>-0.3662079408075939</v>
      </c>
      <c r="N250" t="n">
        <v>53.9244240134629</v>
      </c>
      <c r="O250" t="n">
        <v>0.9041871025161257</v>
      </c>
      <c r="P250" t="n">
        <v>93.5302224734086</v>
      </c>
      <c r="Q250" t="n">
        <v>85.87864944287817</v>
      </c>
    </row>
    <row r="251">
      <c r="A251" s="117" t="n">
        <v>44776</v>
      </c>
      <c r="B251" s="118" t="n">
        <v>105.2743569346028</v>
      </c>
      <c r="C251" s="118" t="n">
        <v>106.8337023290003</v>
      </c>
      <c r="D251" s="118" t="n">
        <v>104.4946877781359</v>
      </c>
      <c r="E251" s="118" t="n">
        <v>106.0725936889648</v>
      </c>
      <c r="F251" s="119" t="n">
        <v>5986500</v>
      </c>
      <c r="G251" s="120" t="n">
        <v>0.02245689609843016</v>
      </c>
      <c r="H251" s="121" t="n">
        <v>66.67866451092337</v>
      </c>
      <c r="I251" s="118" t="n">
        <v>102.3806854248047</v>
      </c>
      <c r="J251" s="118" t="n">
        <v>126.7469984436035</v>
      </c>
      <c r="K251" s="120" t="n">
        <v>0.3850992907061909</v>
      </c>
      <c r="L251" s="120" t="n">
        <v>-0.07168699990946037</v>
      </c>
      <c r="M251" s="120" t="n">
        <v>-0.3519749383863</v>
      </c>
      <c r="N251" t="n">
        <v>57.48864509847012</v>
      </c>
      <c r="O251" t="n">
        <v>0.9083184528809227</v>
      </c>
      <c r="P251" t="n">
        <v>94.99484455330168</v>
      </c>
      <c r="Q251" t="n">
        <v>88.21733448788919</v>
      </c>
    </row>
    <row r="252">
      <c r="A252" s="117" t="n">
        <v>44777</v>
      </c>
      <c r="B252" s="118" t="n">
        <v>106.4067604097174</v>
      </c>
      <c r="C252" s="118" t="n">
        <v>107.0657686343757</v>
      </c>
      <c r="D252" s="118" t="n">
        <v>105.6549354218543</v>
      </c>
      <c r="E252" s="118" t="n">
        <v>106.2582550048828</v>
      </c>
      <c r="F252" s="119" t="n">
        <v>4332000</v>
      </c>
      <c r="G252" s="120" t="n">
        <v>0.001750323146263222</v>
      </c>
      <c r="H252" s="121" t="n">
        <v>66.79537372077876</v>
      </c>
      <c r="I252" s="118" t="n">
        <v>102.4942671203613</v>
      </c>
      <c r="J252" s="118" t="n">
        <v>126.5432199859619</v>
      </c>
      <c r="K252" s="120" t="n">
        <v>0.3654541471319909</v>
      </c>
      <c r="L252" s="120" t="n">
        <v>-0.07006215217842493</v>
      </c>
      <c r="M252" s="120" t="n">
        <v>-0.3508406851215988</v>
      </c>
      <c r="N252" t="n">
        <v>57.76900979390008</v>
      </c>
      <c r="O252" t="n">
        <v>0.873597377658043</v>
      </c>
      <c r="P252" t="n">
        <v>94.93067542070584</v>
      </c>
      <c r="Q252" t="n">
        <v>88.62988178331896</v>
      </c>
    </row>
    <row r="253">
      <c r="A253" s="117" t="n">
        <v>44778</v>
      </c>
      <c r="B253" s="118" t="n">
        <v>104.6896092367896</v>
      </c>
      <c r="C253" s="118" t="n">
        <v>106.0911655122176</v>
      </c>
      <c r="D253" s="118" t="n">
        <v>104.4854081405924</v>
      </c>
      <c r="E253" s="118" t="n">
        <v>105.6920471191406</v>
      </c>
      <c r="F253" s="119" t="n">
        <v>4162200</v>
      </c>
      <c r="G253" s="120" t="n">
        <v>-0.005328601393992161</v>
      </c>
      <c r="H253" s="121" t="n">
        <v>66.43944779925799</v>
      </c>
      <c r="I253" s="118" t="n">
        <v>102.6213383483887</v>
      </c>
      <c r="J253" s="118" t="n">
        <v>126.3440335083008</v>
      </c>
      <c r="K253" s="120" t="n">
        <v>0.3662877498775631</v>
      </c>
      <c r="L253" s="120" t="n">
        <v>-0.07501742029065295</v>
      </c>
      <c r="M253" s="120" t="n">
        <v>-0.3542997963517829</v>
      </c>
      <c r="N253" t="n">
        <v>56.54426358733499</v>
      </c>
      <c r="O253" t="n">
        <v>0.7663708498297406</v>
      </c>
      <c r="P253" t="n">
        <v>94.77021569344089</v>
      </c>
      <c r="Q253" t="n">
        <v>87.90587776942841</v>
      </c>
    </row>
    <row r="254">
      <c r="A254" s="117" t="n">
        <v>44781</v>
      </c>
      <c r="B254" s="118" t="n">
        <v>105.8127136230469</v>
      </c>
      <c r="C254" s="118" t="n">
        <v>107.2792424061458</v>
      </c>
      <c r="D254" s="118" t="n">
        <v>105.1722659850493</v>
      </c>
      <c r="E254" s="118" t="n">
        <v>105.8127136230469</v>
      </c>
      <c r="F254" s="119" t="n">
        <v>6071600</v>
      </c>
      <c r="G254" s="120" t="n">
        <v>0.001141680071445883</v>
      </c>
      <c r="H254" s="121" t="n">
        <v>66.51530039276827</v>
      </c>
      <c r="I254" s="118" t="n">
        <v>102.7339717102051</v>
      </c>
      <c r="J254" s="118" t="n">
        <v>126.1425454711914</v>
      </c>
      <c r="K254" s="120" t="n">
        <v>0.3500203379194341</v>
      </c>
      <c r="L254" s="120" t="n">
        <v>-0.07396138611296432</v>
      </c>
      <c r="M254" s="120" t="n">
        <v>-0.3535626132971491</v>
      </c>
      <c r="N254" t="n">
        <v>56.75468298081436</v>
      </c>
      <c r="O254" t="n">
        <v>0.6614083054404997</v>
      </c>
      <c r="P254" t="n">
        <v>94.66020724947374</v>
      </c>
      <c r="Q254" t="n">
        <v>87.62173567018415</v>
      </c>
    </row>
    <row r="255">
      <c r="A255" s="117" t="n">
        <v>44782</v>
      </c>
      <c r="B255" s="118" t="n">
        <v>103.3251786946728</v>
      </c>
      <c r="C255" s="118" t="n">
        <v>103.7242970785468</v>
      </c>
      <c r="D255" s="118" t="n">
        <v>101.0047246213273</v>
      </c>
      <c r="E255" s="118" t="n">
        <v>102.2020797729492</v>
      </c>
      <c r="F255" s="119" t="n">
        <v>7377600</v>
      </c>
      <c r="G255" s="120" t="n">
        <v>-0.03412287357982691</v>
      </c>
      <c r="H255" s="121" t="n">
        <v>64.24560720634163</v>
      </c>
      <c r="I255" s="118" t="n">
        <v>102.6866180419922</v>
      </c>
      <c r="J255" s="118" t="n">
        <v>125.9058070755005</v>
      </c>
      <c r="K255" s="120" t="n">
        <v>0.3713419115888866</v>
      </c>
      <c r="L255" s="120" t="n">
        <v>-0.1055604846646696</v>
      </c>
      <c r="M255" s="120" t="n">
        <v>-0.3756209145208842</v>
      </c>
      <c r="N255" t="n">
        <v>49.09429019544933</v>
      </c>
      <c r="O255" t="n">
        <v>0.3237367371176761</v>
      </c>
      <c r="P255" t="n">
        <v>94.28431308958058</v>
      </c>
      <c r="Q255" t="n">
        <v>86.62998516364193</v>
      </c>
    </row>
    <row r="256">
      <c r="A256" s="117" t="n">
        <v>44783</v>
      </c>
      <c r="B256" s="118" t="n">
        <v>105.1072744393131</v>
      </c>
      <c r="C256" s="118" t="n">
        <v>105.6549052241912</v>
      </c>
      <c r="D256" s="118" t="n">
        <v>103.8263864776673</v>
      </c>
      <c r="E256" s="118" t="n">
        <v>105.0144577026367</v>
      </c>
      <c r="F256" s="119" t="n">
        <v>6951800</v>
      </c>
      <c r="G256" s="120" t="n">
        <v>0.02751781505753548</v>
      </c>
      <c r="H256" s="121" t="n">
        <v>66.01350594370481</v>
      </c>
      <c r="I256" s="118" t="n">
        <v>102.6390328979492</v>
      </c>
      <c r="J256" s="118" t="n">
        <v>125.6771364593506</v>
      </c>
      <c r="K256" s="120" t="n">
        <v>0.3798803977553023</v>
      </c>
      <c r="L256" s="120" t="n">
        <v>-0.08094746350152027</v>
      </c>
      <c r="M256" s="120" t="n">
        <v>-0.3584393663208767</v>
      </c>
      <c r="N256" t="n">
        <v>54.27166536775982</v>
      </c>
      <c r="O256" t="n">
        <v>0.2670727074536832</v>
      </c>
      <c r="P256" t="n">
        <v>96.26465693902159</v>
      </c>
      <c r="Q256" t="n">
        <v>89.04790567271739</v>
      </c>
    </row>
    <row r="257">
      <c r="A257" s="117" t="n">
        <v>44784</v>
      </c>
      <c r="B257" s="118" t="n">
        <v>106.6294980823884</v>
      </c>
      <c r="C257" s="118" t="n">
        <v>108.3652001980567</v>
      </c>
      <c r="D257" s="118" t="n">
        <v>105.5620949233385</v>
      </c>
      <c r="E257" s="118" t="n">
        <v>105.905517578125</v>
      </c>
      <c r="F257" s="119" t="n">
        <v>5582100</v>
      </c>
      <c r="G257" s="120" t="n">
        <v>0.008485116192395559</v>
      </c>
      <c r="H257" s="121" t="n">
        <v>66.57363821190454</v>
      </c>
      <c r="I257" s="118" t="n">
        <v>102.5563081359863</v>
      </c>
      <c r="J257" s="118" t="n">
        <v>125.4495094299316</v>
      </c>
      <c r="K257" s="120" t="n">
        <v>0.3711228650935121</v>
      </c>
      <c r="L257" s="120" t="n">
        <v>-0.07314919594241487</v>
      </c>
      <c r="M257" s="120" t="n">
        <v>-0.3529956497996425</v>
      </c>
      <c r="N257" t="n">
        <v>55.80533178261857</v>
      </c>
      <c r="O257" t="n">
        <v>0.2662864386749711</v>
      </c>
      <c r="P257" t="n">
        <v>96.26465693902159</v>
      </c>
      <c r="Q257" t="n">
        <v>88.54245278787239</v>
      </c>
    </row>
    <row r="258">
      <c r="A258" s="117" t="n">
        <v>44785</v>
      </c>
      <c r="B258" s="118" t="n">
        <v>106.1746939168857</v>
      </c>
      <c r="C258" s="118" t="n">
        <v>107.7897279372328</v>
      </c>
      <c r="D258" s="118" t="n">
        <v>105.5992187687328</v>
      </c>
      <c r="E258" s="118" t="n">
        <v>107.7340393066406</v>
      </c>
      <c r="F258" s="119" t="n">
        <v>4407900</v>
      </c>
      <c r="G258" s="120" t="n">
        <v>0.01726559456325538</v>
      </c>
      <c r="H258" s="121" t="n">
        <v>67.72307165787213</v>
      </c>
      <c r="I258" s="118" t="n">
        <v>102.5133020019531</v>
      </c>
      <c r="J258" s="118" t="n">
        <v>125.2330074310303</v>
      </c>
      <c r="K258" s="120" t="n">
        <v>0.3722142385892256</v>
      </c>
      <c r="L258" s="120" t="n">
        <v>-0.0571465657389294</v>
      </c>
      <c r="M258" s="120" t="n">
        <v>-0.3418247350084206</v>
      </c>
      <c r="N258" t="n">
        <v>58.85492100132499</v>
      </c>
      <c r="O258" t="n">
        <v>0.3597841901160821</v>
      </c>
      <c r="P258" t="n">
        <v>97.89430644317559</v>
      </c>
      <c r="Q258" t="n">
        <v>90.26643501500068</v>
      </c>
    </row>
    <row r="259">
      <c r="A259" s="117" t="n">
        <v>44788</v>
      </c>
      <c r="B259" s="118" t="n">
        <v>107.1585591983868</v>
      </c>
      <c r="C259" s="118" t="n">
        <v>108.2074089024159</v>
      </c>
      <c r="D259" s="118" t="n">
        <v>106.6016516738515</v>
      </c>
      <c r="E259" s="118" t="n">
        <v>107.9660797119141</v>
      </c>
      <c r="F259" s="119" t="n">
        <v>4279000</v>
      </c>
      <c r="G259" s="120" t="n">
        <v>0.002153826281524607</v>
      </c>
      <c r="H259" s="121" t="n">
        <v>67.86893538947443</v>
      </c>
      <c r="I259" s="118" t="n">
        <v>102.3873471069336</v>
      </c>
      <c r="J259" s="118" t="n">
        <v>125.0243046569824</v>
      </c>
      <c r="K259" s="120" t="n">
        <v>0.3694483780972493</v>
      </c>
      <c r="L259" s="120" t="n">
        <v>-0.05511582323259212</v>
      </c>
      <c r="M259" s="120" t="n">
        <v>-0.3404071398248323</v>
      </c>
      <c r="N259" t="n">
        <v>59.23930142178683</v>
      </c>
      <c r="O259" t="n">
        <v>0.4047723028937482</v>
      </c>
      <c r="P259" t="n">
        <v>98.29773223068085</v>
      </c>
      <c r="Q259" t="n">
        <v>90.99593271051658</v>
      </c>
    </row>
    <row r="260">
      <c r="A260" s="117" t="n">
        <v>44789</v>
      </c>
      <c r="B260" s="118" t="n">
        <v>107.6133827858444</v>
      </c>
      <c r="C260" s="118" t="n">
        <v>109.9616812277199</v>
      </c>
      <c r="D260" s="118" t="n">
        <v>107.4927146391864</v>
      </c>
      <c r="E260" s="118" t="n">
        <v>109.5811233520508</v>
      </c>
      <c r="F260" s="119" t="n">
        <v>6189800</v>
      </c>
      <c r="G260" s="120" t="n">
        <v>0.01495880599208688</v>
      </c>
      <c r="H260" s="121" t="n">
        <v>68.88417362685504</v>
      </c>
      <c r="I260" s="118" t="n">
        <v>102.3336982727051</v>
      </c>
      <c r="J260" s="118" t="n">
        <v>124.8139490890503</v>
      </c>
      <c r="K260" s="120" t="n">
        <v>0.3321854289047434</v>
      </c>
      <c r="L260" s="120" t="n">
        <v>-0.04098148414733593</v>
      </c>
      <c r="M260" s="120" t="n">
        <v>-0.3305404181957062</v>
      </c>
      <c r="N260" t="n">
        <v>61.90675377595311</v>
      </c>
      <c r="O260" t="n">
        <v>0.5043346402798317</v>
      </c>
      <c r="P260" t="n">
        <v>98.49026176593354</v>
      </c>
      <c r="Q260" t="n">
        <v>90.78278982481292</v>
      </c>
    </row>
    <row r="261">
      <c r="A261" s="117" t="n">
        <v>44790</v>
      </c>
      <c r="B261" s="118" t="n">
        <v>108.383763525463</v>
      </c>
      <c r="C261" s="118" t="n">
        <v>109.5068695056822</v>
      </c>
      <c r="D261" s="118" t="n">
        <v>108.0496246606814</v>
      </c>
      <c r="E261" s="118" t="n">
        <v>108.6343765258789</v>
      </c>
      <c r="F261" s="119" t="n">
        <v>5108400</v>
      </c>
      <c r="G261" s="120" t="n">
        <v>-0.00863968900127321</v>
      </c>
      <c r="H261" s="121" t="n">
        <v>68.28903578960931</v>
      </c>
      <c r="I261" s="118" t="n">
        <v>102.2744802856445</v>
      </c>
      <c r="J261" s="118" t="n">
        <v>124.5858118438721</v>
      </c>
      <c r="K261" s="120" t="n">
        <v>0.331129737403368</v>
      </c>
      <c r="L261" s="120" t="n">
        <v>-0.04926710587076544</v>
      </c>
      <c r="M261" s="120" t="n">
        <v>-0.3363243407814178</v>
      </c>
      <c r="N261" t="n">
        <v>59.45065420281124</v>
      </c>
      <c r="O261" t="n">
        <v>0.4682468587155275</v>
      </c>
      <c r="P261" t="n">
        <v>97.79116799259006</v>
      </c>
      <c r="Q261" t="n">
        <v>89.74733763628994</v>
      </c>
    </row>
    <row r="262">
      <c r="A262" s="117" t="n">
        <v>44791</v>
      </c>
      <c r="B262" s="118" t="n">
        <v>107.669076185629</v>
      </c>
      <c r="C262" s="118" t="n">
        <v>108.3002400189413</v>
      </c>
      <c r="D262" s="118" t="n">
        <v>107.0193518343359</v>
      </c>
      <c r="E262" s="118" t="n">
        <v>107.6783599853516</v>
      </c>
      <c r="F262" s="119" t="n">
        <v>4750200</v>
      </c>
      <c r="G262" s="120" t="n">
        <v>-0.008800313225893142</v>
      </c>
      <c r="H262" s="121" t="n">
        <v>67.68807088476653</v>
      </c>
      <c r="I262" s="118" t="n">
        <v>102.1694102478027</v>
      </c>
      <c r="J262" s="118" t="n">
        <v>124.3573206329346</v>
      </c>
      <c r="K262" s="120" t="n">
        <v>0.3335773988452996</v>
      </c>
      <c r="L262" s="120" t="n">
        <v>-0.05763385313326252</v>
      </c>
      <c r="M262" s="120" t="n">
        <v>-0.3421648944629424</v>
      </c>
      <c r="N262" t="n">
        <v>56.9917795616641</v>
      </c>
      <c r="O262" t="n">
        <v>0.3473691908924335</v>
      </c>
      <c r="P262" t="n">
        <v>98.07539828805069</v>
      </c>
      <c r="Q262" t="n">
        <v>89.96318037175038</v>
      </c>
    </row>
    <row r="263">
      <c r="A263" s="117" t="n">
        <v>44792</v>
      </c>
      <c r="B263" s="118" t="n">
        <v>107.2049846522153</v>
      </c>
      <c r="C263" s="118" t="n">
        <v>107.3442133213033</v>
      </c>
      <c r="D263" s="118" t="n">
        <v>104.9123747564886</v>
      </c>
      <c r="E263" s="118" t="n">
        <v>105.0330429077148</v>
      </c>
      <c r="F263" s="119" t="n">
        <v>5967600</v>
      </c>
      <c r="G263" s="120" t="n">
        <v>-0.02456684033817547</v>
      </c>
      <c r="H263" s="121" t="n">
        <v>66.02518885454135</v>
      </c>
      <c r="I263" s="118" t="n">
        <v>101.9978823852539</v>
      </c>
      <c r="J263" s="118" t="n">
        <v>124.1086867904663</v>
      </c>
      <c r="K263" s="120" t="n">
        <v>0.3357757964894514</v>
      </c>
      <c r="L263" s="120" t="n">
        <v>-0.08078481180343955</v>
      </c>
      <c r="M263" s="120" t="n">
        <v>-0.3583258244695181</v>
      </c>
      <c r="N263" t="n">
        <v>50.73841614178517</v>
      </c>
      <c r="O263" t="n">
        <v>0.07108453368769885</v>
      </c>
      <c r="P263" t="n">
        <v>96.7574516737288</v>
      </c>
      <c r="Q263" t="n">
        <v>88.20913241267874</v>
      </c>
    </row>
    <row r="264">
      <c r="A264" s="117" t="n">
        <v>44795</v>
      </c>
      <c r="B264" s="118" t="n">
        <v>103.0467293306704</v>
      </c>
      <c r="C264" s="118" t="n">
        <v>103.6593326524422</v>
      </c>
      <c r="D264" s="118" t="n">
        <v>101.9514746402159</v>
      </c>
      <c r="E264" s="118" t="n">
        <v>102.4155654907227</v>
      </c>
      <c r="F264" s="119" t="n">
        <v>5802900</v>
      </c>
      <c r="G264" s="120" t="n">
        <v>-0.02492051400712036</v>
      </c>
      <c r="H264" s="121" t="n">
        <v>64.379807210869</v>
      </c>
      <c r="I264" s="118" t="n">
        <v>101.8445468139648</v>
      </c>
      <c r="J264" s="118" t="n">
        <v>123.8254341125488</v>
      </c>
      <c r="K264" s="120" t="n">
        <v>0.3491623452898229</v>
      </c>
      <c r="L264" s="120" t="n">
        <v>-0.1036921267764495</v>
      </c>
      <c r="M264" s="120" t="n">
        <v>-0.3743166747488329</v>
      </c>
      <c r="N264" t="n">
        <v>45.42705398426803</v>
      </c>
      <c r="O264" t="n">
        <v>-0.2865082693857264</v>
      </c>
      <c r="P264" t="n">
        <v>94.74272096160416</v>
      </c>
      <c r="Q264" t="n">
        <v>85.88684297426032</v>
      </c>
    </row>
    <row r="265">
      <c r="A265" s="117" t="n">
        <v>44796</v>
      </c>
      <c r="B265" s="118" t="n">
        <v>102.8796531513093</v>
      </c>
      <c r="C265" s="118" t="n">
        <v>104.7267397777091</v>
      </c>
      <c r="D265" s="118" t="n">
        <v>102.6290472156504</v>
      </c>
      <c r="E265" s="118" t="n">
        <v>102.7311477661133</v>
      </c>
      <c r="F265" s="119" t="n">
        <v>4806700</v>
      </c>
      <c r="G265" s="120" t="n">
        <v>0.003081389766082188</v>
      </c>
      <c r="H265" s="121" t="n">
        <v>64.57818648995092</v>
      </c>
      <c r="I265" s="118" t="n">
        <v>101.769363861084</v>
      </c>
      <c r="J265" s="118" t="n">
        <v>123.5302039718628</v>
      </c>
      <c r="K265" s="120" t="n">
        <v>0.3189126200943478</v>
      </c>
      <c r="L265" s="120" t="n">
        <v>-0.1009302528686395</v>
      </c>
      <c r="M265" s="120" t="n">
        <v>-0.3723887005535957</v>
      </c>
      <c r="N265" t="n">
        <v>46.15886269920315</v>
      </c>
      <c r="O265" t="n">
        <v>-0.4884838097516699</v>
      </c>
      <c r="P265" t="n">
        <v>94.51352440474744</v>
      </c>
      <c r="Q265" t="n">
        <v>85.81580958540633</v>
      </c>
    </row>
    <row r="266">
      <c r="A266" s="117" t="n">
        <v>44797</v>
      </c>
      <c r="B266" s="118" t="n">
        <v>102.7311461975984</v>
      </c>
      <c r="C266" s="118" t="n">
        <v>104.3554640992075</v>
      </c>
      <c r="D266" s="118" t="n">
        <v>102.1185429041745</v>
      </c>
      <c r="E266" s="118" t="n">
        <v>103.4087219238281</v>
      </c>
      <c r="F266" s="119" t="n">
        <v>4769000</v>
      </c>
      <c r="G266" s="120" t="n">
        <v>0.006595605835704843</v>
      </c>
      <c r="H266" s="121" t="n">
        <v>65.00411875362327</v>
      </c>
      <c r="I266" s="118" t="n">
        <v>101.7873706054688</v>
      </c>
      <c r="J266" s="118" t="n">
        <v>123.2288178634644</v>
      </c>
      <c r="K266" s="120" t="n">
        <v>0.3081010289745809</v>
      </c>
      <c r="L266" s="120" t="n">
        <v>-0.0950003431977543</v>
      </c>
      <c r="M266" s="120" t="n">
        <v>-0.3682492238044127</v>
      </c>
      <c r="N266" t="n">
        <v>47.77806839862215</v>
      </c>
      <c r="O266" t="n">
        <v>-0.5581187434217549</v>
      </c>
      <c r="P266" t="n">
        <v>94.81606976312239</v>
      </c>
      <c r="Q266" t="n">
        <v>86.06441790256692</v>
      </c>
    </row>
    <row r="267">
      <c r="A267" s="117" t="n">
        <v>44798</v>
      </c>
      <c r="B267" s="118" t="n">
        <v>103.8635227962522</v>
      </c>
      <c r="C267" s="118" t="n">
        <v>105.2000994892317</v>
      </c>
      <c r="D267" s="118" t="n">
        <v>103.390148195893</v>
      </c>
      <c r="E267" s="118" t="n">
        <v>105.0887222290039</v>
      </c>
      <c r="F267" s="119" t="n">
        <v>5433700</v>
      </c>
      <c r="G267" s="120" t="n">
        <v>0.01624621476719623</v>
      </c>
      <c r="H267" s="121" t="n">
        <v>66.06018962764696</v>
      </c>
      <c r="I267" s="118" t="n">
        <v>101.8337794494629</v>
      </c>
      <c r="J267" s="118" t="n">
        <v>122.9619277954102</v>
      </c>
      <c r="K267" s="120" t="n">
        <v>0.2782497946373299</v>
      </c>
      <c r="L267" s="120" t="n">
        <v>-0.0802975244091062</v>
      </c>
      <c r="M267" s="120" t="n">
        <v>-0.3579856650149963</v>
      </c>
      <c r="N267" t="n">
        <v>51.65986576416135</v>
      </c>
      <c r="O267" t="n">
        <v>-0.475910209996468</v>
      </c>
      <c r="P267" t="n">
        <v>96.15464849505442</v>
      </c>
      <c r="Q267" t="n">
        <v>87.58622751958553</v>
      </c>
    </row>
    <row r="268">
      <c r="A268" s="117" t="n">
        <v>44799</v>
      </c>
      <c r="B268" s="118" t="n">
        <v>105.1722861133512</v>
      </c>
      <c r="C268" s="118" t="n">
        <v>105.5621278832217</v>
      </c>
      <c r="D268" s="118" t="n">
        <v>100.4571275647431</v>
      </c>
      <c r="E268" s="118" t="n">
        <v>100.503532409668</v>
      </c>
      <c r="F268" s="119" t="n">
        <v>6203600</v>
      </c>
      <c r="G268" s="120" t="n">
        <v>-0.04363160691348145</v>
      </c>
      <c r="H268" s="121" t="n">
        <v>63.17787740118344</v>
      </c>
      <c r="I268" s="118" t="n">
        <v>101.7379916381836</v>
      </c>
      <c r="J268" s="118" t="n">
        <v>122.6630288314819</v>
      </c>
      <c r="K268" s="120" t="n">
        <v>0.3050777110943343</v>
      </c>
      <c r="L268" s="120" t="n">
        <v>-0.1204256213014436</v>
      </c>
      <c r="M268" s="120" t="n">
        <v>-0.3859977821118822</v>
      </c>
      <c r="N268" t="n">
        <v>42.39695924475744</v>
      </c>
      <c r="O268" t="n">
        <v>-0.7015837417424202</v>
      </c>
      <c r="P268" t="n">
        <v>92.89988766712209</v>
      </c>
      <c r="Q268" t="n">
        <v>83.99622191910606</v>
      </c>
    </row>
    <row r="269">
      <c r="A269" s="117" t="n">
        <v>44802</v>
      </c>
      <c r="B269" s="118" t="n">
        <v>99.13908614926692</v>
      </c>
      <c r="C269" s="118" t="n">
        <v>100.7448436229292</v>
      </c>
      <c r="D269" s="118" t="n">
        <v>98.79566344880728</v>
      </c>
      <c r="E269" s="118" t="n">
        <v>100.1322402954102</v>
      </c>
      <c r="F269" s="119" t="n">
        <v>4132400</v>
      </c>
      <c r="G269" s="120" t="n">
        <v>-0.003694319048850647</v>
      </c>
      <c r="H269" s="121" t="n">
        <v>62.94447816523429</v>
      </c>
      <c r="I269" s="118" t="n">
        <v>101.7520999145508</v>
      </c>
      <c r="J269" s="118" t="n">
        <v>122.3879083251953</v>
      </c>
      <c r="K269" s="120" t="n">
        <v>0.3049451062278994</v>
      </c>
      <c r="L269" s="120" t="n">
        <v>-0.118627432809152</v>
      </c>
      <c r="M269" s="120" t="n">
        <v>-0.3882661022014627</v>
      </c>
      <c r="N269" t="n">
        <v>41.74422928863913</v>
      </c>
      <c r="O269" t="n">
        <v>-0.8378814494610272</v>
      </c>
      <c r="P269" t="n">
        <v>92.28562466060488</v>
      </c>
      <c r="Q269" t="n">
        <v>83.16837621551967</v>
      </c>
    </row>
    <row r="270">
      <c r="A270" s="117" t="n">
        <v>44803</v>
      </c>
      <c r="B270" s="118" t="n">
        <v>101.1439525164048</v>
      </c>
      <c r="C270" s="118" t="n">
        <v>102.1742346836886</v>
      </c>
      <c r="D270" s="118" t="n">
        <v>99.43609464898906</v>
      </c>
      <c r="E270" s="118" t="n">
        <v>100.1136703491211</v>
      </c>
      <c r="F270" s="119" t="n">
        <v>5129500</v>
      </c>
      <c r="G270" s="120" t="n">
        <v>-0.0001854542176853435</v>
      </c>
      <c r="H270" s="121" t="n">
        <v>62.93280484627856</v>
      </c>
      <c r="I270" s="118" t="n">
        <v>101.7617530822754</v>
      </c>
      <c r="J270" s="118" t="n">
        <v>122.1186426925659</v>
      </c>
      <c r="K270" s="120" t="n">
        <v>0.2962292112011999</v>
      </c>
      <c r="L270" s="120" t="n">
        <v>-0.1187908870690896</v>
      </c>
      <c r="M270" s="120" t="n">
        <v>-0.3883795508329105</v>
      </c>
      <c r="N270" t="n">
        <v>41.70964212856306</v>
      </c>
      <c r="O270" t="n">
        <v>-0.8865955650710854</v>
      </c>
      <c r="P270" t="n">
        <v>91.27252570104362</v>
      </c>
      <c r="Q270" t="n">
        <v>82.24218250386276</v>
      </c>
    </row>
    <row r="271">
      <c r="A271" s="117" t="n">
        <v>44804</v>
      </c>
      <c r="B271" s="118" t="n">
        <v>100.2064878841634</v>
      </c>
      <c r="C271" s="118" t="n">
        <v>100.25289979823</v>
      </c>
      <c r="D271" s="118" t="n">
        <v>98.21089596418433</v>
      </c>
      <c r="E271" s="118" t="n">
        <v>98.804931640625</v>
      </c>
      <c r="F271" s="119" t="n">
        <v>8884800</v>
      </c>
      <c r="G271" s="120" t="n">
        <v>-0.0130725274973158</v>
      </c>
      <c r="H271" s="121" t="n">
        <v>62.11011402444237</v>
      </c>
      <c r="I271" s="118" t="n">
        <v>101.7203559875488</v>
      </c>
      <c r="J271" s="118" t="n">
        <v>121.8330589675903</v>
      </c>
      <c r="K271" s="120" t="n">
        <v>0.2845580567345383</v>
      </c>
      <c r="L271" s="120" t="n">
        <v>-0.1303105174287642</v>
      </c>
      <c r="M271" s="120" t="n">
        <v>-0.396374975972568</v>
      </c>
      <c r="N271" t="n">
        <v>39.24192303262813</v>
      </c>
      <c r="O271" t="n">
        <v>-0.9581751331890436</v>
      </c>
      <c r="P271" t="n">
        <v>90.57802914131639</v>
      </c>
      <c r="Q271" t="n">
        <v>81.76410404503271</v>
      </c>
    </row>
    <row r="272">
      <c r="A272" s="117" t="n">
        <v>44805</v>
      </c>
      <c r="B272" s="118" t="n">
        <v>98.20161578792664</v>
      </c>
      <c r="C272" s="118" t="n">
        <v>98.89775198562519</v>
      </c>
      <c r="D272" s="118" t="n">
        <v>96.34525259406387</v>
      </c>
      <c r="E272" s="118" t="n">
        <v>98.84205627441406</v>
      </c>
      <c r="F272" s="119" t="n">
        <v>5590800</v>
      </c>
      <c r="G272" s="120" t="n">
        <v>0.0003757366476815349</v>
      </c>
      <c r="H272" s="121" t="n">
        <v>62.13345107047304</v>
      </c>
      <c r="I272" s="118" t="n">
        <v>101.7495010375977</v>
      </c>
      <c r="J272" s="118" t="n">
        <v>121.5487675857544</v>
      </c>
      <c r="K272" s="120" t="n">
        <v>0.2842705161949035</v>
      </c>
      <c r="L272" s="120" t="n">
        <v>-0.1299837432180589</v>
      </c>
      <c r="M272" s="120" t="n">
        <v>-0.3961481719295832</v>
      </c>
      <c r="N272" t="n">
        <v>39.35153878233903</v>
      </c>
      <c r="O272" t="n">
        <v>-0.9522602754512369</v>
      </c>
      <c r="P272" t="n">
        <v>90.86224467846687</v>
      </c>
      <c r="Q272" t="n">
        <v>81.79959510797467</v>
      </c>
    </row>
    <row r="273">
      <c r="A273" s="117" t="n">
        <v>44806</v>
      </c>
      <c r="B273" s="118" t="n">
        <v>100.028908240306</v>
      </c>
      <c r="C273" s="118" t="n">
        <v>100.6711955238073</v>
      </c>
      <c r="D273" s="118" t="n">
        <v>97.78556863422214</v>
      </c>
      <c r="E273" s="118" t="n">
        <v>98.42784881591797</v>
      </c>
      <c r="F273" s="119" t="n">
        <v>7763800</v>
      </c>
      <c r="G273" s="120" t="n">
        <v>-0.004190599367400183</v>
      </c>
      <c r="H273" s="121" t="n">
        <v>61.87307466972272</v>
      </c>
      <c r="I273" s="118" t="n">
        <v>101.7131857299805</v>
      </c>
      <c r="J273" s="118" t="n">
        <v>121.2486653900147</v>
      </c>
      <c r="K273" s="120" t="n">
        <v>0.2841998370809518</v>
      </c>
      <c r="L273" s="120" t="n">
        <v>-0.1058707037834911</v>
      </c>
      <c r="M273" s="120" t="n">
        <v>-0.3986786730182985</v>
      </c>
      <c r="N273" t="n">
        <v>38.51659497970681</v>
      </c>
      <c r="O273" t="n">
        <v>-0.9247160454653675</v>
      </c>
      <c r="P273" t="n">
        <v>89.90415732004425</v>
      </c>
      <c r="Q273" t="n">
        <v>80.64393125464828</v>
      </c>
    </row>
    <row r="274">
      <c r="A274" s="117" t="n">
        <v>44810</v>
      </c>
      <c r="B274" s="118" t="n">
        <v>98.14859356276227</v>
      </c>
      <c r="C274" s="118" t="n">
        <v>99.05151705822672</v>
      </c>
      <c r="D274" s="118" t="n">
        <v>96.51029945863921</v>
      </c>
      <c r="E274" s="118" t="n">
        <v>97.87864685058594</v>
      </c>
      <c r="F274" s="119" t="n">
        <v>9158900</v>
      </c>
      <c r="G274" s="120" t="n">
        <v>-0.00557974162738395</v>
      </c>
      <c r="H274" s="121" t="n">
        <v>61.52783889937383</v>
      </c>
      <c r="I274" s="118" t="n">
        <v>101.5747386169434</v>
      </c>
      <c r="J274" s="118" t="n">
        <v>120.9462322235107</v>
      </c>
      <c r="K274" s="120" t="n">
        <v>0.283776321910075</v>
      </c>
      <c r="L274" s="120" t="n">
        <v>-0.1067928137939261</v>
      </c>
      <c r="M274" s="120" t="n">
        <v>-0.4020338906578921</v>
      </c>
      <c r="N274" t="n">
        <v>37.3839860452052</v>
      </c>
      <c r="O274" t="n">
        <v>-0.8915662771715979</v>
      </c>
      <c r="P274" t="n">
        <v>89.56494494006529</v>
      </c>
      <c r="Q274" t="n">
        <v>80.06470241205081</v>
      </c>
    </row>
    <row r="275">
      <c r="A275" s="117" t="n">
        <v>44811</v>
      </c>
      <c r="B275" s="118" t="n">
        <v>97.81348678263062</v>
      </c>
      <c r="C275" s="118" t="n">
        <v>101.052833091803</v>
      </c>
      <c r="D275" s="118" t="n">
        <v>97.73901725552655</v>
      </c>
      <c r="E275" s="118" t="n">
        <v>100.9783706665039</v>
      </c>
      <c r="F275" s="119" t="n">
        <v>7238300</v>
      </c>
      <c r="G275" s="120" t="n">
        <v>0.0316690505606374</v>
      </c>
      <c r="H275" s="121" t="n">
        <v>63.47636714036485</v>
      </c>
      <c r="I275" s="118" t="n">
        <v>101.5430247497559</v>
      </c>
      <c r="J275" s="118" t="n">
        <v>120.6610956954956</v>
      </c>
      <c r="K275" s="120" t="n">
        <v>0.2864223404615175</v>
      </c>
      <c r="L275" s="120" t="n">
        <v>-0.07850579025284143</v>
      </c>
      <c r="M275" s="120" t="n">
        <v>-0.3830968717075893</v>
      </c>
      <c r="N275" t="n">
        <v>46.87859811058485</v>
      </c>
      <c r="O275" t="n">
        <v>-0.6217428530006992</v>
      </c>
      <c r="P275" t="n">
        <v>91.17396970576419</v>
      </c>
      <c r="Q275" t="n">
        <v>81.68210892441309</v>
      </c>
    </row>
    <row r="276">
      <c r="A276" s="117" t="n">
        <v>44812</v>
      </c>
      <c r="B276" s="118" t="n">
        <v>99.60070516288893</v>
      </c>
      <c r="C276" s="118" t="n">
        <v>101.2669234192323</v>
      </c>
      <c r="D276" s="118" t="n">
        <v>98.74432697246351</v>
      </c>
      <c r="E276" s="118" t="n">
        <v>101.2110748291016</v>
      </c>
      <c r="F276" s="119" t="n">
        <v>5628300</v>
      </c>
      <c r="G276" s="120" t="n">
        <v>0.002304495121694838</v>
      </c>
      <c r="H276" s="121" t="n">
        <v>63.62264811878273</v>
      </c>
      <c r="I276" s="118" t="n">
        <v>101.659275970459</v>
      </c>
      <c r="J276" s="118" t="n">
        <v>120.3608472061157</v>
      </c>
      <c r="K276" s="120" t="n">
        <v>0.2671041841243447</v>
      </c>
      <c r="L276" s="120" t="n">
        <v>-0.076382211341809</v>
      </c>
      <c r="M276" s="120" t="n">
        <v>-0.3816752214578811</v>
      </c>
      <c r="N276" t="n">
        <v>47.52193061092245</v>
      </c>
      <c r="O276" t="n">
        <v>-0.3992709748803708</v>
      </c>
      <c r="P276" t="n">
        <v>91.76990289105692</v>
      </c>
      <c r="Q276" t="n">
        <v>82.10559232012348</v>
      </c>
    </row>
    <row r="277">
      <c r="A277" s="117" t="n">
        <v>44813</v>
      </c>
      <c r="B277" s="118" t="n">
        <v>101.8161290412948</v>
      </c>
      <c r="C277" s="118" t="n">
        <v>103.9663922723439</v>
      </c>
      <c r="D277" s="118" t="n">
        <v>101.7416666152269</v>
      </c>
      <c r="E277" s="118" t="n">
        <v>103.2961807250977</v>
      </c>
      <c r="F277" s="119" t="n">
        <v>5171500</v>
      </c>
      <c r="G277" s="120" t="n">
        <v>0.02060155866852376</v>
      </c>
      <c r="H277" s="121" t="n">
        <v>64.93337383664868</v>
      </c>
      <c r="I277" s="118" t="n">
        <v>101.808504486084</v>
      </c>
      <c r="J277" s="118" t="n">
        <v>120.0739750671387</v>
      </c>
      <c r="K277" s="120" t="n">
        <v>0.2765326630945222</v>
      </c>
      <c r="L277" s="120" t="n">
        <v>-0.05735424528147504</v>
      </c>
      <c r="M277" s="120" t="n">
        <v>-0.3689367672565436</v>
      </c>
      <c r="N277" t="n">
        <v>53.0129478969135</v>
      </c>
      <c r="O277" t="n">
        <v>-0.09901450154781422</v>
      </c>
      <c r="P277" t="n">
        <v>93.19558516958062</v>
      </c>
      <c r="Q277" t="n">
        <v>83.90059939227739</v>
      </c>
    </row>
    <row r="278">
      <c r="A278" s="117" t="n">
        <v>44816</v>
      </c>
      <c r="B278" s="118" t="n">
        <v>103.6778252966966</v>
      </c>
      <c r="C278" s="118" t="n">
        <v>105.5209070635238</v>
      </c>
      <c r="D278" s="118" t="n">
        <v>103.6778252966966</v>
      </c>
      <c r="E278" s="118" t="n">
        <v>104.6086730957031</v>
      </c>
      <c r="F278" s="119" t="n">
        <v>4836900</v>
      </c>
      <c r="G278" s="120" t="n">
        <v>0.01270610744165279</v>
      </c>
      <c r="H278" s="121" t="n">
        <v>65.75842426116614</v>
      </c>
      <c r="I278" s="118" t="n">
        <v>102.0034747314453</v>
      </c>
      <c r="J278" s="118" t="n">
        <v>119.8033013916016</v>
      </c>
      <c r="K278" s="120" t="n">
        <v>0.2729667092833647</v>
      </c>
      <c r="L278" s="120" t="n">
        <v>-0.04537688704260368</v>
      </c>
      <c r="M278" s="120" t="n">
        <v>-0.3609184100188285</v>
      </c>
      <c r="N278" t="n">
        <v>56.12499053904972</v>
      </c>
      <c r="O278" t="n">
        <v>0.1851751924965919</v>
      </c>
      <c r="P278" t="n">
        <v>94.19720954298889</v>
      </c>
      <c r="Q278" t="n">
        <v>84.89782649278827</v>
      </c>
    </row>
    <row r="279">
      <c r="A279" s="117" t="n">
        <v>44817</v>
      </c>
      <c r="B279" s="118" t="n">
        <v>101.3134423408863</v>
      </c>
      <c r="C279" s="118" t="n">
        <v>101.3786084860933</v>
      </c>
      <c r="D279" s="118" t="n">
        <v>98.14856640206828</v>
      </c>
      <c r="E279" s="118" t="n">
        <v>98.40920257568359</v>
      </c>
      <c r="F279" s="119" t="n">
        <v>5955600</v>
      </c>
      <c r="G279" s="120" t="n">
        <v>-0.05926344667757932</v>
      </c>
      <c r="H279" s="121" t="n">
        <v>61.86135339136288</v>
      </c>
      <c r="I279" s="118" t="n">
        <v>102.093390045166</v>
      </c>
      <c r="J279" s="118" t="n">
        <v>119.5021837234497</v>
      </c>
      <c r="K279" s="120" t="n">
        <v>0.341121975698525</v>
      </c>
      <c r="L279" s="120" t="n">
        <v>-0.1019511429945391</v>
      </c>
      <c r="M279" s="120" t="n">
        <v>-0.3987925877493004</v>
      </c>
      <c r="N279" t="n">
        <v>41.9812275859928</v>
      </c>
      <c r="O279" t="n">
        <v>-0.03542112690006027</v>
      </c>
      <c r="P279" t="n">
        <v>90.1012914480683</v>
      </c>
      <c r="Q279" t="n">
        <v>80.24229442801411</v>
      </c>
    </row>
    <row r="280">
      <c r="A280" s="117" t="n">
        <v>44818</v>
      </c>
      <c r="B280" s="118" t="n">
        <v>98.79085278404098</v>
      </c>
      <c r="C280" s="118" t="n">
        <v>99.93579845165041</v>
      </c>
      <c r="D280" s="118" t="n">
        <v>97.87862611718141</v>
      </c>
      <c r="E280" s="118" t="n">
        <v>99.60069274902344</v>
      </c>
      <c r="F280" s="119" t="n">
        <v>4888700</v>
      </c>
      <c r="G280" s="120" t="n">
        <v>0.01210750765329593</v>
      </c>
      <c r="H280" s="121" t="n">
        <v>62.61034020099206</v>
      </c>
      <c r="I280" s="118" t="n">
        <v>102.1488453674316</v>
      </c>
      <c r="J280" s="118" t="n">
        <v>119.2255121231079</v>
      </c>
      <c r="K280" s="120" t="n">
        <v>0.3391200725399705</v>
      </c>
      <c r="L280" s="120" t="n">
        <v>-0.09107800958531187</v>
      </c>
      <c r="M280" s="120" t="n">
        <v>-0.3915134644042567</v>
      </c>
      <c r="N280" t="n">
        <v>44.85740982064822</v>
      </c>
      <c r="O280" t="n">
        <v>-0.08908893987893307</v>
      </c>
      <c r="P280" t="n">
        <v>90.44510842081863</v>
      </c>
      <c r="Q280" t="n">
        <v>80.87887799028644</v>
      </c>
    </row>
    <row r="281">
      <c r="A281" s="117" t="n">
        <v>44819</v>
      </c>
      <c r="B281" s="118" t="n">
        <v>98.80948971144599</v>
      </c>
      <c r="C281" s="118" t="n">
        <v>100.6618747384777</v>
      </c>
      <c r="D281" s="118" t="n">
        <v>97.58077097013681</v>
      </c>
      <c r="E281" s="118" t="n">
        <v>98.20443725585938</v>
      </c>
      <c r="F281" s="119" t="n">
        <v>6598900</v>
      </c>
      <c r="G281" s="120" t="n">
        <v>-0.01401853194618219</v>
      </c>
      <c r="H281" s="121" t="n">
        <v>61.73263514672311</v>
      </c>
      <c r="I281" s="118" t="n">
        <v>102.1780465698242</v>
      </c>
      <c r="J281" s="118" t="n">
        <v>118.9333296585083</v>
      </c>
      <c r="K281" s="120" t="n">
        <v>0.3405165253821078</v>
      </c>
      <c r="L281" s="120" t="n">
        <v>-0.1038197615445277</v>
      </c>
      <c r="M281" s="120" t="n">
        <v>-0.4000435523423274</v>
      </c>
      <c r="N281" t="n">
        <v>42.21629608317473</v>
      </c>
      <c r="O281" t="n">
        <v>-0.2002566748152496</v>
      </c>
      <c r="P281" t="n">
        <v>89.41823995787377</v>
      </c>
      <c r="Q281" t="n">
        <v>79.53196053947433</v>
      </c>
    </row>
    <row r="282">
      <c r="A282" s="117" t="n">
        <v>44820</v>
      </c>
      <c r="B282" s="118" t="n">
        <v>96.87331561615864</v>
      </c>
      <c r="C282" s="118" t="n">
        <v>98.0089508967567</v>
      </c>
      <c r="D282" s="118" t="n">
        <v>96.11002081962938</v>
      </c>
      <c r="E282" s="118" t="n">
        <v>96.91986083984375</v>
      </c>
      <c r="F282" s="119" t="n">
        <v>8000800</v>
      </c>
      <c r="G282" s="120" t="n">
        <v>-0.01308063517200164</v>
      </c>
      <c r="H282" s="121" t="n">
        <v>60.92513306816254</v>
      </c>
      <c r="I282" s="118" t="n">
        <v>102.1091580200195</v>
      </c>
      <c r="J282" s="118" t="n">
        <v>118.6376288986206</v>
      </c>
      <c r="K282" s="120" t="n">
        <v>0.341518974277367</v>
      </c>
      <c r="L282" s="120" t="n">
        <v>-0.1155423682921212</v>
      </c>
      <c r="M282" s="120" t="n">
        <v>-0.4078913637532275</v>
      </c>
      <c r="N282" t="n">
        <v>39.88933337695728</v>
      </c>
      <c r="O282" t="n">
        <v>-0.3340531272439755</v>
      </c>
      <c r="P282" t="n">
        <v>88.73609610375436</v>
      </c>
      <c r="Q282" t="n">
        <v>79.04562019863538</v>
      </c>
    </row>
    <row r="283">
      <c r="A283" s="117" t="n">
        <v>44823</v>
      </c>
      <c r="B283" s="118" t="n">
        <v>96.51959257814367</v>
      </c>
      <c r="C283" s="118" t="n">
        <v>99.9451121246759</v>
      </c>
      <c r="D283" s="118" t="n">
        <v>96.18448686475871</v>
      </c>
      <c r="E283" s="118" t="n">
        <v>99.79617309570312</v>
      </c>
      <c r="F283" s="119" t="n">
        <v>5162300</v>
      </c>
      <c r="G283" s="120" t="n">
        <v>0.02967722230443948</v>
      </c>
      <c r="H283" s="121" t="n">
        <v>62.73322178615396</v>
      </c>
      <c r="I283" s="118" t="n">
        <v>102.1015083312988</v>
      </c>
      <c r="J283" s="118" t="n">
        <v>118.3680207443237</v>
      </c>
      <c r="K283" s="120" t="n">
        <v>0.3543899158930686</v>
      </c>
      <c r="L283" s="120" t="n">
        <v>-0.08929412253706825</v>
      </c>
      <c r="M283" s="120" t="n">
        <v>-0.3903192241269536</v>
      </c>
      <c r="N283" t="n">
        <v>46.94153539967303</v>
      </c>
      <c r="O283" t="n">
        <v>-0.2087194211879245</v>
      </c>
      <c r="P283" t="n">
        <v>89.42423183180061</v>
      </c>
      <c r="Q283" t="n">
        <v>79.66117739935254</v>
      </c>
    </row>
    <row r="284">
      <c r="A284" s="117" t="n">
        <v>44824</v>
      </c>
      <c r="B284" s="118" t="n">
        <v>96.64060577382511</v>
      </c>
      <c r="C284" s="118" t="n">
        <v>97.21773389159866</v>
      </c>
      <c r="D284" s="118" t="n">
        <v>94.67651660250063</v>
      </c>
      <c r="E284" s="118" t="n">
        <v>95.33741760253906</v>
      </c>
      <c r="F284" s="119" t="n">
        <v>10006600</v>
      </c>
      <c r="G284" s="120" t="n">
        <v>-0.04467862198371253</v>
      </c>
      <c r="H284" s="121" t="n">
        <v>59.93038788414998</v>
      </c>
      <c r="I284" s="118" t="n">
        <v>102.0570332336426</v>
      </c>
      <c r="J284" s="118" t="n">
        <v>118.0609038162231</v>
      </c>
      <c r="K284" s="120" t="n">
        <v>0.3773056172590404</v>
      </c>
      <c r="L284" s="120" t="n">
        <v>-0.12998320617458</v>
      </c>
      <c r="M284" s="120" t="n">
        <v>-0.417558921042922</v>
      </c>
      <c r="N284" t="n">
        <v>39.25352188650727</v>
      </c>
      <c r="O284" t="n">
        <v>-0.3951693258610949</v>
      </c>
      <c r="P284" t="n">
        <v>88.39777660154034</v>
      </c>
      <c r="Q284" t="n">
        <v>79.02618298915223</v>
      </c>
    </row>
    <row r="285">
      <c r="A285" s="117" t="n">
        <v>44825</v>
      </c>
      <c r="B285" s="118" t="n">
        <v>95.57012073974103</v>
      </c>
      <c r="C285" s="118" t="n">
        <v>96.46373357746721</v>
      </c>
      <c r="D285" s="118" t="n">
        <v>92.87066129767871</v>
      </c>
      <c r="E285" s="118" t="n">
        <v>92.8892822265625</v>
      </c>
      <c r="F285" s="119" t="n">
        <v>6279300</v>
      </c>
      <c r="G285" s="120" t="n">
        <v>-0.02567864158207867</v>
      </c>
      <c r="H285" s="121" t="n">
        <v>58.39145693379795</v>
      </c>
      <c r="I285" s="118" t="n">
        <v>101.988656463623</v>
      </c>
      <c r="J285" s="118" t="n">
        <v>117.7390288162231</v>
      </c>
      <c r="K285" s="120" t="n">
        <v>0.3845932537354332</v>
      </c>
      <c r="L285" s="120" t="n">
        <v>-0.1523240555936122</v>
      </c>
      <c r="M285" s="120" t="n">
        <v>-0.43251521675214</v>
      </c>
      <c r="N285" t="n">
        <v>35.78776656523138</v>
      </c>
      <c r="O285" t="n">
        <v>-0.6380513958583416</v>
      </c>
      <c r="P285" t="n">
        <v>86.85578408060918</v>
      </c>
      <c r="Q285" t="n">
        <v>77.61115413877988</v>
      </c>
    </row>
    <row r="286">
      <c r="A286" s="117" t="n">
        <v>44826</v>
      </c>
      <c r="B286" s="118" t="n">
        <v>92.88930330571525</v>
      </c>
      <c r="C286" s="118" t="n">
        <v>93.28025767935065</v>
      </c>
      <c r="D286" s="118" t="n">
        <v>91.06484246027821</v>
      </c>
      <c r="E286" s="118" t="n">
        <v>91.73505401611328</v>
      </c>
      <c r="F286" s="119" t="n">
        <v>9638800</v>
      </c>
      <c r="G286" s="120" t="n">
        <v>-0.01242584916991807</v>
      </c>
      <c r="H286" s="121" t="n">
        <v>57.66589349712681</v>
      </c>
      <c r="I286" s="118" t="n">
        <v>101.8721340942383</v>
      </c>
      <c r="J286" s="118" t="n">
        <v>117.4175258636475</v>
      </c>
      <c r="K286" s="120" t="n">
        <v>0.3830815697136107</v>
      </c>
      <c r="L286" s="120" t="n">
        <v>-0.1628571490237737</v>
      </c>
      <c r="M286" s="120" t="n">
        <v>-0.4395666970750016</v>
      </c>
      <c r="N286" t="n">
        <v>34.25226756944872</v>
      </c>
      <c r="O286" t="n">
        <v>-0.8195433936585692</v>
      </c>
      <c r="P286" t="n">
        <v>86.12619963846556</v>
      </c>
      <c r="Q286" t="n">
        <v>76.65592849840928</v>
      </c>
    </row>
    <row r="287">
      <c r="A287" s="117" t="n">
        <v>44827</v>
      </c>
      <c r="B287" s="118" t="n">
        <v>90.21776106794206</v>
      </c>
      <c r="C287" s="118" t="n">
        <v>90.79488922218637</v>
      </c>
      <c r="D287" s="118" t="n">
        <v>88.74701993738067</v>
      </c>
      <c r="E287" s="118" t="n">
        <v>90.31084442138672</v>
      </c>
      <c r="F287" s="119" t="n">
        <v>9026500</v>
      </c>
      <c r="G287" s="120" t="n">
        <v>-0.01552524942620515</v>
      </c>
      <c r="H287" s="121" t="n">
        <v>56.77061611719893</v>
      </c>
      <c r="I287" s="118" t="n">
        <v>101.762212677002</v>
      </c>
      <c r="J287" s="118" t="n">
        <v>117.077908821106</v>
      </c>
      <c r="K287" s="120" t="n">
        <v>0.3754761590523291</v>
      </c>
      <c r="L287" s="120" t="n">
        <v>-0.1758540005905441</v>
      </c>
      <c r="M287" s="120" t="n">
        <v>-0.4482675638896642</v>
      </c>
      <c r="N287" t="n">
        <v>32.40474217242476</v>
      </c>
      <c r="O287" t="n">
        <v>-0.9684048491511639</v>
      </c>
      <c r="P287" t="n">
        <v>84.68316158718827</v>
      </c>
      <c r="Q287" t="n">
        <v>75.40783751005495</v>
      </c>
    </row>
    <row r="288">
      <c r="A288" s="117" t="n">
        <v>44830</v>
      </c>
      <c r="B288" s="118" t="n">
        <v>89.44513773017148</v>
      </c>
      <c r="C288" s="118" t="n">
        <v>90.97173424684658</v>
      </c>
      <c r="D288" s="118" t="n">
        <v>89.09141821758519</v>
      </c>
      <c r="E288" s="118" t="n">
        <v>89.41721343994141</v>
      </c>
      <c r="F288" s="119" t="n">
        <v>8521600</v>
      </c>
      <c r="G288" s="120" t="n">
        <v>-0.00989505731200635</v>
      </c>
      <c r="H288" s="121" t="n">
        <v>56.20886761708134</v>
      </c>
      <c r="I288" s="118" t="n">
        <v>101.6069448852539</v>
      </c>
      <c r="J288" s="118" t="n">
        <v>116.7386273193359</v>
      </c>
      <c r="K288" s="120" t="n">
        <v>0.3504155753895399</v>
      </c>
      <c r="L288" s="120" t="n">
        <v>-0.1840089724881614</v>
      </c>
      <c r="M288" s="120" t="n">
        <v>-0.4537269879658689</v>
      </c>
      <c r="N288" t="n">
        <v>31.26519774380643</v>
      </c>
      <c r="O288" t="n">
        <v>-1.052943071294584</v>
      </c>
      <c r="P288" t="n">
        <v>83.84542086900314</v>
      </c>
      <c r="Q288" t="n">
        <v>75.09583398658013</v>
      </c>
    </row>
    <row r="289">
      <c r="A289" s="117" t="n">
        <v>44831</v>
      </c>
      <c r="B289" s="118" t="n">
        <v>90.35739251992479</v>
      </c>
      <c r="C289" s="118" t="n">
        <v>90.98105881980477</v>
      </c>
      <c r="D289" s="118" t="n">
        <v>88.43053792499963</v>
      </c>
      <c r="E289" s="118" t="n">
        <v>89.63133239746094</v>
      </c>
      <c r="F289" s="119" t="n">
        <v>9890300</v>
      </c>
      <c r="G289" s="120" t="n">
        <v>0.002394605571815811</v>
      </c>
      <c r="H289" s="121" t="n">
        <v>56.34346568466265</v>
      </c>
      <c r="I289" s="118" t="n">
        <v>101.4700674438477</v>
      </c>
      <c r="J289" s="118" t="n">
        <v>116.4103469848633</v>
      </c>
      <c r="K289" s="120" t="n">
        <v>0.3515178292109252</v>
      </c>
      <c r="L289" s="120" t="n">
        <v>-0.1820549958271299</v>
      </c>
      <c r="M289" s="120" t="n">
        <v>-0.4524188795675192</v>
      </c>
      <c r="N289" t="n">
        <v>31.88329654364591</v>
      </c>
      <c r="O289" t="n">
        <v>-1.019639220178424</v>
      </c>
      <c r="P289" t="n">
        <v>83.63138847584058</v>
      </c>
      <c r="Q289" t="n">
        <v>75.12593389383687</v>
      </c>
    </row>
    <row r="290">
      <c r="A290" s="117" t="n">
        <v>44832</v>
      </c>
      <c r="B290" s="118" t="n">
        <v>90.39462739257075</v>
      </c>
      <c r="C290" s="118" t="n">
        <v>92.55419393202517</v>
      </c>
      <c r="D290" s="118" t="n">
        <v>90.06883209386521</v>
      </c>
      <c r="E290" s="118" t="n">
        <v>91.87467193603516</v>
      </c>
      <c r="F290" s="119" t="n">
        <v>9423300</v>
      </c>
      <c r="G290" s="120" t="n">
        <v>0.02502851936448258</v>
      </c>
      <c r="H290" s="121" t="n">
        <v>57.75365920661329</v>
      </c>
      <c r="I290" s="118" t="n">
        <v>101.2805979919434</v>
      </c>
      <c r="J290" s="118" t="n">
        <v>116.0888493728638</v>
      </c>
      <c r="K290" s="120" t="n">
        <v>0.3674069341172452</v>
      </c>
      <c r="L290" s="120" t="n">
        <v>-0.1615830434511075</v>
      </c>
      <c r="M290" s="120" t="n">
        <v>-0.43871373489115</v>
      </c>
      <c r="N290" t="n">
        <v>38.15794893878428</v>
      </c>
      <c r="O290" t="n">
        <v>-0.7823960025428089</v>
      </c>
      <c r="P290" t="n">
        <v>85.27695481750712</v>
      </c>
      <c r="Q290" t="n">
        <v>76.62035199718387</v>
      </c>
    </row>
    <row r="291">
      <c r="A291" s="117" t="n">
        <v>44833</v>
      </c>
      <c r="B291" s="118" t="n">
        <v>91.32547225327136</v>
      </c>
      <c r="C291" s="118" t="n">
        <v>91.32547225327136</v>
      </c>
      <c r="D291" s="118" t="n">
        <v>87.94649751691307</v>
      </c>
      <c r="E291" s="118" t="n">
        <v>88.73771667480469</v>
      </c>
      <c r="F291" s="119" t="n">
        <v>19339200</v>
      </c>
      <c r="G291" s="120" t="n">
        <v>-0.03414385265412945</v>
      </c>
      <c r="H291" s="121" t="n">
        <v>55.78172677642589</v>
      </c>
      <c r="I291" s="118" t="n">
        <v>100.9927465820312</v>
      </c>
      <c r="J291" s="118" t="n">
        <v>115.761921043396</v>
      </c>
      <c r="K291" s="120" t="n">
        <v>0.3816256006182687</v>
      </c>
      <c r="L291" s="120" t="n">
        <v>-0.1902098284782364</v>
      </c>
      <c r="M291" s="120" t="n">
        <v>-0.4578782104238132</v>
      </c>
      <c r="N291" t="n">
        <v>33.50955705325632</v>
      </c>
      <c r="O291" t="n">
        <v>-0.7713388284507783</v>
      </c>
      <c r="P291" t="n">
        <v>83.49561202232599</v>
      </c>
      <c r="Q291" t="n">
        <v>74.41156731831862</v>
      </c>
    </row>
    <row r="292">
      <c r="A292" s="117" t="n">
        <v>44834</v>
      </c>
      <c r="B292" s="118" t="n">
        <v>77.53961555166708</v>
      </c>
      <c r="C292" s="118" t="n">
        <v>80.23906817588681</v>
      </c>
      <c r="D292" s="118" t="n">
        <v>76.79493455765898</v>
      </c>
      <c r="E292" s="118" t="n">
        <v>77.37206268310547</v>
      </c>
      <c r="F292" s="119" t="n">
        <v>48176100</v>
      </c>
      <c r="G292" s="120" t="n">
        <v>-0.1280814338884863</v>
      </c>
      <c r="H292" s="121" t="n">
        <v>48.6371232261255</v>
      </c>
      <c r="I292" s="118" t="n">
        <v>100.4681150817871</v>
      </c>
      <c r="J292" s="118" t="n">
        <v>115.3848155212402</v>
      </c>
      <c r="K292" s="120" t="n">
        <v>0.5787579425653311</v>
      </c>
      <c r="L292" s="120" t="n">
        <v>-0.2939289147955471</v>
      </c>
      <c r="M292" s="120" t="n">
        <v>-0.5273139465749234</v>
      </c>
      <c r="N292" t="n">
        <v>22.71337545922677</v>
      </c>
      <c r="O292" t="n">
        <v>-1.426008611859104</v>
      </c>
      <c r="P292" t="n">
        <v>82.20447387841814</v>
      </c>
      <c r="Q292" t="n">
        <v>73.14979766078517</v>
      </c>
    </row>
    <row r="293">
      <c r="A293" s="117" t="n">
        <v>44837</v>
      </c>
      <c r="B293" s="118" t="n">
        <v>77.38137163486005</v>
      </c>
      <c r="C293" s="118" t="n">
        <v>80.49040684228962</v>
      </c>
      <c r="D293" s="118" t="n">
        <v>76.53430386726355</v>
      </c>
      <c r="E293" s="118" t="n">
        <v>79.49440002441406</v>
      </c>
      <c r="F293" s="119" t="n">
        <v>19108200</v>
      </c>
      <c r="G293" s="120" t="n">
        <v>0.02743027997070602</v>
      </c>
      <c r="H293" s="121" t="n">
        <v>49.97125313318784</v>
      </c>
      <c r="I293" s="118" t="n">
        <v>100.0323390197754</v>
      </c>
      <c r="J293" s="118" t="n">
        <v>115.0252500915527</v>
      </c>
      <c r="K293" s="120" t="n">
        <v>0.5947212014998352</v>
      </c>
      <c r="L293" s="120" t="n">
        <v>-0.2745611872491688</v>
      </c>
      <c r="M293" s="120" t="n">
        <v>-0.5143480357912255</v>
      </c>
      <c r="N293" t="n">
        <v>27.41606868233073</v>
      </c>
      <c r="O293" t="n">
        <v>-1.599602024573688</v>
      </c>
      <c r="P293" t="n">
        <v>84.37474980052289</v>
      </c>
      <c r="Q293" t="n">
        <v>74.86589393435172</v>
      </c>
    </row>
    <row r="294">
      <c r="A294" s="117" t="n">
        <v>44838</v>
      </c>
      <c r="B294" s="118" t="n">
        <v>81.6353311888745</v>
      </c>
      <c r="C294" s="118" t="n">
        <v>82.91059494986297</v>
      </c>
      <c r="D294" s="118" t="n">
        <v>81.0861345170394</v>
      </c>
      <c r="E294" s="118" t="n">
        <v>82.51033020019531</v>
      </c>
      <c r="F294" s="119" t="n">
        <v>15114800</v>
      </c>
      <c r="G294" s="120" t="n">
        <v>0.03793890104026199</v>
      </c>
      <c r="H294" s="121" t="n">
        <v>51.86710756066574</v>
      </c>
      <c r="I294" s="118" t="n">
        <v>99.65391204833985</v>
      </c>
      <c r="J294" s="118" t="n">
        <v>114.6862146759033</v>
      </c>
      <c r="K294" s="120" t="n">
        <v>0.6185219725904066</v>
      </c>
      <c r="L294" s="120" t="n">
        <v>-0.2470388359214499</v>
      </c>
      <c r="M294" s="120" t="n">
        <v>-0.4959229339810999</v>
      </c>
      <c r="N294" t="n">
        <v>33.59918308140024</v>
      </c>
      <c r="O294" t="n">
        <v>-1.401893210911024</v>
      </c>
      <c r="P294" t="n">
        <v>86.98925085858305</v>
      </c>
      <c r="Q294" t="n">
        <v>77.21976136233044</v>
      </c>
    </row>
    <row r="295">
      <c r="A295" s="117" t="n">
        <v>44839</v>
      </c>
      <c r="B295" s="118" t="n">
        <v>81.43986352896746</v>
      </c>
      <c r="C295" s="118" t="n">
        <v>85.35873150551491</v>
      </c>
      <c r="D295" s="118" t="n">
        <v>81.1233787188835</v>
      </c>
      <c r="E295" s="118" t="n">
        <v>84.80022430419922</v>
      </c>
      <c r="F295" s="119" t="n">
        <v>12732700</v>
      </c>
      <c r="G295" s="120" t="n">
        <v>0.0277528171132988</v>
      </c>
      <c r="H295" s="121" t="n">
        <v>53.30656591099269</v>
      </c>
      <c r="I295" s="118" t="n">
        <v>99.39702209472657</v>
      </c>
      <c r="J295" s="118" t="n">
        <v>114.3649103927612</v>
      </c>
      <c r="K295" s="120" t="n">
        <v>0.615360093004804</v>
      </c>
      <c r="L295" s="120" t="n">
        <v>-0.2261420424413614</v>
      </c>
      <c r="M295" s="120" t="n">
        <v>-0.4819333753568691</v>
      </c>
      <c r="N295" t="n">
        <v>37.92308394263561</v>
      </c>
      <c r="O295" t="n">
        <v>-1.024962305531799</v>
      </c>
      <c r="P295" t="n">
        <v>86.78673732650397</v>
      </c>
      <c r="Q295" t="n">
        <v>77.17869972330804</v>
      </c>
    </row>
    <row r="296">
      <c r="A296" s="117" t="n">
        <v>44840</v>
      </c>
      <c r="B296" s="118" t="n">
        <v>84.2324031339603</v>
      </c>
      <c r="C296" s="118" t="n">
        <v>86.23372703208994</v>
      </c>
      <c r="D296" s="118" t="n">
        <v>83.59942643831475</v>
      </c>
      <c r="E296" s="118" t="n">
        <v>83.93453216552734</v>
      </c>
      <c r="F296" s="119" t="n">
        <v>9951900</v>
      </c>
      <c r="G296" s="120" t="n">
        <v>-0.01020860670800139</v>
      </c>
      <c r="H296" s="121" t="n">
        <v>52.76238014465321</v>
      </c>
      <c r="I296" s="118" t="n">
        <v>99.07343933105469</v>
      </c>
      <c r="J296" s="118" t="n">
        <v>114.0595084381104</v>
      </c>
      <c r="K296" s="120" t="n">
        <v>0.6141984090641139</v>
      </c>
      <c r="L296" s="120" t="n">
        <v>-0.2340420539779348</v>
      </c>
      <c r="M296" s="120" t="n">
        <v>-0.4872221137763927</v>
      </c>
      <c r="N296" t="n">
        <v>36.94365062797864</v>
      </c>
      <c r="O296" t="n">
        <v>-0.7545038516421503</v>
      </c>
      <c r="P296" t="n">
        <v>85.89145395698695</v>
      </c>
      <c r="Q296" t="n">
        <v>76.57107119529431</v>
      </c>
    </row>
    <row r="297">
      <c r="A297" s="117" t="n">
        <v>44841</v>
      </c>
      <c r="B297" s="118" t="n">
        <v>82.41725772261032</v>
      </c>
      <c r="C297" s="118" t="n">
        <v>82.62204535665697</v>
      </c>
      <c r="D297" s="118" t="n">
        <v>80.6951908663705</v>
      </c>
      <c r="E297" s="118" t="n">
        <v>81.1326904296875</v>
      </c>
      <c r="F297" s="119" t="n">
        <v>8554700</v>
      </c>
      <c r="G297" s="120" t="n">
        <v>-0.03338127542445024</v>
      </c>
      <c r="H297" s="121" t="n">
        <v>51.00110460099499</v>
      </c>
      <c r="I297" s="118" t="n">
        <v>98.61269653320312</v>
      </c>
      <c r="J297" s="118" t="n">
        <v>113.695524597168</v>
      </c>
      <c r="K297" s="120" t="n">
        <v>0.6100720859485629</v>
      </c>
      <c r="L297" s="120" t="n">
        <v>-0.2596107071376436</v>
      </c>
      <c r="M297" s="120" t="n">
        <v>-0.5043392936279902</v>
      </c>
      <c r="N297" t="n">
        <v>33.89265474112388</v>
      </c>
      <c r="O297" t="n">
        <v>-0.6867990238907575</v>
      </c>
      <c r="P297" t="n">
        <v>83.49561202232599</v>
      </c>
      <c r="Q297" t="n">
        <v>73.65340507870781</v>
      </c>
    </row>
    <row r="298">
      <c r="A298" s="117" t="n">
        <v>44844</v>
      </c>
      <c r="B298" s="118" t="n">
        <v>81.69118947393977</v>
      </c>
      <c r="C298" s="118" t="n">
        <v>81.70980330162683</v>
      </c>
      <c r="D298" s="118" t="n">
        <v>79.18720709270464</v>
      </c>
      <c r="E298" s="118" t="n">
        <v>80.69518280029297</v>
      </c>
      <c r="F298" s="119" t="n">
        <v>7991200</v>
      </c>
      <c r="G298" s="120" t="n">
        <v>-0.005392495023614274</v>
      </c>
      <c r="H298" s="121" t="n">
        <v>50.7260813982353</v>
      </c>
      <c r="I298" s="118" t="n">
        <v>98.09326766967773</v>
      </c>
      <c r="J298" s="118" t="n">
        <v>113.3348498916626</v>
      </c>
      <c r="K298" s="120" t="n">
        <v>0.6039915908185189</v>
      </c>
      <c r="L298" s="120" t="n">
        <v>-0.263603252714941</v>
      </c>
      <c r="M298" s="120" t="n">
        <v>-0.5070121415205024</v>
      </c>
      <c r="N298" t="n">
        <v>33.42841289417463</v>
      </c>
      <c r="O298" t="n">
        <v>-0.5972738069016152</v>
      </c>
      <c r="P298" t="n">
        <v>82.85808991898934</v>
      </c>
      <c r="Q298" t="n">
        <v>72.91715775879996</v>
      </c>
    </row>
    <row r="299">
      <c r="A299" s="117" t="n">
        <v>44845</v>
      </c>
      <c r="B299" s="118" t="n">
        <v>80.09013848739897</v>
      </c>
      <c r="C299" s="118" t="n">
        <v>82.14731109140924</v>
      </c>
      <c r="D299" s="118" t="n">
        <v>79.82019179703504</v>
      </c>
      <c r="E299" s="118" t="n">
        <v>81.90528869628906</v>
      </c>
      <c r="F299" s="119" t="n">
        <v>11903200</v>
      </c>
      <c r="G299" s="120" t="n">
        <v>0.01499601158337915</v>
      </c>
      <c r="H299" s="121" t="n">
        <v>51.48677030246267</v>
      </c>
      <c r="I299" s="118" t="n">
        <v>97.60955062866211</v>
      </c>
      <c r="J299" s="118" t="n">
        <v>112.9791632461548</v>
      </c>
      <c r="K299" s="120" t="n">
        <v>0.5844025748335858</v>
      </c>
      <c r="L299" s="120" t="n">
        <v>-0.2525602385626915</v>
      </c>
      <c r="M299" s="120" t="n">
        <v>-0.4996192898842786</v>
      </c>
      <c r="N299" t="n">
        <v>36.03806561143391</v>
      </c>
      <c r="O299" t="n">
        <v>-0.3922568985906105</v>
      </c>
      <c r="P299" t="n">
        <v>82.33334344277571</v>
      </c>
      <c r="Q299" t="n">
        <v>71.91538534160993</v>
      </c>
    </row>
    <row r="300">
      <c r="A300" s="117" t="n">
        <v>44846</v>
      </c>
      <c r="B300" s="118" t="n">
        <v>81.91460888083569</v>
      </c>
      <c r="C300" s="118" t="n">
        <v>82.73375241299412</v>
      </c>
      <c r="D300" s="118" t="n">
        <v>81.27232160680597</v>
      </c>
      <c r="E300" s="118" t="n">
        <v>82.38934326171875</v>
      </c>
      <c r="F300" s="119" t="n">
        <v>8772900</v>
      </c>
      <c r="G300" s="120" t="n">
        <v>0.005909930520171969</v>
      </c>
      <c r="H300" s="121" t="n">
        <v>51.79105353765829</v>
      </c>
      <c r="I300" s="118" t="n">
        <v>97.18248046875</v>
      </c>
      <c r="J300" s="118" t="n">
        <v>112.6170748519897</v>
      </c>
      <c r="K300" s="120" t="n">
        <v>0.5819185406529458</v>
      </c>
      <c r="L300" s="120" t="n">
        <v>-0.2481429215045831</v>
      </c>
      <c r="M300" s="120" t="n">
        <v>-0.4966620746538605</v>
      </c>
      <c r="N300" t="n">
        <v>37.10024624368591</v>
      </c>
      <c r="O300" t="n">
        <v>-0.1710402276241156</v>
      </c>
      <c r="P300" t="n">
        <v>82.06177577743632</v>
      </c>
      <c r="Q300" t="n">
        <v>71.89076202832186</v>
      </c>
    </row>
    <row r="301">
      <c r="A301" s="117" t="n">
        <v>44847</v>
      </c>
      <c r="B301" s="118" t="n">
        <v>80.41594380712775</v>
      </c>
      <c r="C301" s="118" t="n">
        <v>83.59944169481659</v>
      </c>
      <c r="D301" s="118" t="n">
        <v>80.09945895245002</v>
      </c>
      <c r="E301" s="118" t="n">
        <v>83.36672973632812</v>
      </c>
      <c r="F301" s="119" t="n">
        <v>9335000</v>
      </c>
      <c r="G301" s="120" t="n">
        <v>0.01186302057906441</v>
      </c>
      <c r="H301" s="121" t="n">
        <v>52.40545187158695</v>
      </c>
      <c r="I301" s="118" t="n">
        <v>96.72836318969726</v>
      </c>
      <c r="J301" s="118" t="n">
        <v>112.2652312088013</v>
      </c>
      <c r="K301" s="120" t="n">
        <v>0.586059211962902</v>
      </c>
      <c r="L301" s="120" t="n">
        <v>-0.2392236255098767</v>
      </c>
      <c r="M301" s="120" t="n">
        <v>-0.4906909664872556</v>
      </c>
      <c r="N301" t="n">
        <v>39.29242693186089</v>
      </c>
      <c r="O301" t="n">
        <v>0.08060672250517431</v>
      </c>
      <c r="P301" t="n">
        <v>84.22748400254514</v>
      </c>
      <c r="Q301" t="n">
        <v>73.57676693846</v>
      </c>
    </row>
    <row r="302">
      <c r="A302" s="117" t="n">
        <v>44848</v>
      </c>
      <c r="B302" s="118" t="n">
        <v>84.25102039368889</v>
      </c>
      <c r="C302" s="118" t="n">
        <v>84.59542946923847</v>
      </c>
      <c r="D302" s="118" t="n">
        <v>81.43985659363541</v>
      </c>
      <c r="E302" s="118" t="n">
        <v>81.49571228027344</v>
      </c>
      <c r="F302" s="119" t="n">
        <v>7811700</v>
      </c>
      <c r="G302" s="120" t="n">
        <v>-0.0224432152007441</v>
      </c>
      <c r="H302" s="121" t="n">
        <v>51.22930503754068</v>
      </c>
      <c r="I302" s="118" t="n">
        <v>96.23311233520508</v>
      </c>
      <c r="J302" s="118" t="n">
        <v>111.8931321334839</v>
      </c>
      <c r="K302" s="120" t="n">
        <v>0.5881854049351185</v>
      </c>
      <c r="L302" s="120" t="n">
        <v>-0.2562978934022004</v>
      </c>
      <c r="M302" s="120" t="n">
        <v>-0.5021214987300652</v>
      </c>
      <c r="N302" t="n">
        <v>36.65853073746645</v>
      </c>
      <c r="O302" t="n">
        <v>0.1561728296389173</v>
      </c>
      <c r="P302" t="n">
        <v>82.30804031999845</v>
      </c>
      <c r="Q302" t="n">
        <v>71.36524396261041</v>
      </c>
    </row>
    <row r="303">
      <c r="A303" s="117" t="n">
        <v>44851</v>
      </c>
      <c r="B303" s="118" t="n">
        <v>83.33879205581874</v>
      </c>
      <c r="C303" s="118" t="n">
        <v>84.41857877868952</v>
      </c>
      <c r="D303" s="118" t="n">
        <v>82.56618677326165</v>
      </c>
      <c r="E303" s="118" t="n">
        <v>83.74836730957031</v>
      </c>
      <c r="F303" s="119" t="n">
        <v>8451900</v>
      </c>
      <c r="G303" s="120" t="n">
        <v>0.0276413932250783</v>
      </c>
      <c r="H303" s="121" t="n">
        <v>52.64535440273082</v>
      </c>
      <c r="I303" s="118" t="n">
        <v>95.79423873901368</v>
      </c>
      <c r="J303" s="118" t="n">
        <v>111.5382545852661</v>
      </c>
      <c r="K303" s="120" t="n">
        <v>0.5865003647951726</v>
      </c>
      <c r="L303" s="120" t="n">
        <v>-0.2357409310314117</v>
      </c>
      <c r="M303" s="120" t="n">
        <v>-0.4883594432981503</v>
      </c>
      <c r="N303" t="n">
        <v>41.72358562979485</v>
      </c>
      <c r="O303" t="n">
        <v>0.3802207703278651</v>
      </c>
      <c r="P303" t="n">
        <v>84.42309802462223</v>
      </c>
      <c r="Q303" t="n">
        <v>73.72182405608842</v>
      </c>
    </row>
    <row r="304">
      <c r="A304" s="117" t="n">
        <v>44852</v>
      </c>
      <c r="B304" s="118" t="n">
        <v>86.19651347427059</v>
      </c>
      <c r="C304" s="118" t="n">
        <v>86.48508115033803</v>
      </c>
      <c r="D304" s="118" t="n">
        <v>82.98509108403741</v>
      </c>
      <c r="E304" s="118" t="n">
        <v>83.47843933105469</v>
      </c>
      <c r="F304" s="119" t="n">
        <v>7364700</v>
      </c>
      <c r="G304" s="120" t="n">
        <v>-0.003223083472395971</v>
      </c>
      <c r="H304" s="121" t="n">
        <v>52.47567403105695</v>
      </c>
      <c r="I304" s="118" t="n">
        <v>95.34755325317383</v>
      </c>
      <c r="J304" s="118" t="n">
        <v>111.1858148574829</v>
      </c>
      <c r="K304" s="120" t="n">
        <v>0.5703962326333084</v>
      </c>
      <c r="L304" s="120" t="n">
        <v>-0.2382042018052331</v>
      </c>
      <c r="M304" s="120" t="n">
        <v>-0.4900085035202635</v>
      </c>
      <c r="N304" t="n">
        <v>41.2974409598132</v>
      </c>
      <c r="O304" t="n">
        <v>0.5237373300544377</v>
      </c>
      <c r="P304" t="n">
        <v>85.41504832571758</v>
      </c>
      <c r="Q304" t="n">
        <v>74.30482927081405</v>
      </c>
    </row>
    <row r="305">
      <c r="A305" s="117" t="n">
        <v>44853</v>
      </c>
      <c r="B305" s="118" t="n">
        <v>82.15660707245367</v>
      </c>
      <c r="C305" s="118" t="n">
        <v>83.53425747482572</v>
      </c>
      <c r="D305" s="118" t="n">
        <v>81.69118329563545</v>
      </c>
      <c r="E305" s="118" t="n">
        <v>82.44516754150391</v>
      </c>
      <c r="F305" s="119" t="n">
        <v>5102000</v>
      </c>
      <c r="G305" s="120" t="n">
        <v>-0.01237770851768183</v>
      </c>
      <c r="H305" s="121" t="n">
        <v>51.82614543363164</v>
      </c>
      <c r="I305" s="118" t="n">
        <v>94.95241500854492</v>
      </c>
      <c r="J305" s="118" t="n">
        <v>110.8374465179443</v>
      </c>
      <c r="K305" s="120" t="n">
        <v>0.5662402810765059</v>
      </c>
      <c r="L305" s="120" t="n">
        <v>-0.2476334881452826</v>
      </c>
      <c r="M305" s="120" t="n">
        <v>-0.496321029610186</v>
      </c>
      <c r="N305" t="n">
        <v>39.62889286252823</v>
      </c>
      <c r="O305" t="n">
        <v>0.5593464831088735</v>
      </c>
      <c r="P305" t="n">
        <v>84.80975837178049</v>
      </c>
      <c r="Q305" t="n">
        <v>74.03385321104827</v>
      </c>
    </row>
    <row r="306">
      <c r="A306" s="117" t="n">
        <v>44854</v>
      </c>
      <c r="B306" s="118" t="n">
        <v>83.28295335781064</v>
      </c>
      <c r="C306" s="118" t="n">
        <v>84.31619497844068</v>
      </c>
      <c r="D306" s="118" t="n">
        <v>80.62072809587444</v>
      </c>
      <c r="E306" s="118" t="n">
        <v>80.82551574707031</v>
      </c>
      <c r="F306" s="119" t="n">
        <v>13500000</v>
      </c>
      <c r="G306" s="120" t="n">
        <v>-0.01964519986715096</v>
      </c>
      <c r="H306" s="121" t="n">
        <v>50.80801044824391</v>
      </c>
      <c r="I306" s="118" t="n">
        <v>94.46863616943359</v>
      </c>
      <c r="J306" s="118" t="n">
        <v>110.4730354309082</v>
      </c>
      <c r="K306" s="120" t="n">
        <v>0.5680211373902531</v>
      </c>
      <c r="L306" s="120" t="n">
        <v>-0.2624138786440199</v>
      </c>
      <c r="M306" s="120" t="n">
        <v>-0.5062159036523748</v>
      </c>
      <c r="N306" t="n">
        <v>37.09863225072124</v>
      </c>
      <c r="O306" t="n">
        <v>0.4867584077304556</v>
      </c>
      <c r="P306" t="n">
        <v>84.09859230072232</v>
      </c>
      <c r="Q306" t="n">
        <v>73.65613910377795</v>
      </c>
    </row>
    <row r="307">
      <c r="A307" s="117" t="n">
        <v>44855</v>
      </c>
      <c r="B307" s="118" t="n">
        <v>81.00236244268825</v>
      </c>
      <c r="C307" s="118" t="n">
        <v>82.64065635717331</v>
      </c>
      <c r="D307" s="118" t="n">
        <v>80.7138019328487</v>
      </c>
      <c r="E307" s="118" t="n">
        <v>82.38002014160156</v>
      </c>
      <c r="F307" s="119" t="n">
        <v>7976300</v>
      </c>
      <c r="G307" s="120" t="n">
        <v>0.01923284225486177</v>
      </c>
      <c r="H307" s="121" t="n">
        <v>51.78519289847836</v>
      </c>
      <c r="I307" s="118" t="n">
        <v>93.99812622070313</v>
      </c>
      <c r="J307" s="118" t="n">
        <v>110.1355191040039</v>
      </c>
      <c r="K307" s="120" t="n">
        <v>0.5733951870128944</v>
      </c>
      <c r="L307" s="120" t="n">
        <v>-0.2482280011226049</v>
      </c>
      <c r="M307" s="120" t="n">
        <v>-0.4967190320193614</v>
      </c>
      <c r="N307" t="n">
        <v>40.99278862697005</v>
      </c>
      <c r="O307" t="n">
        <v>0.5516174042562003</v>
      </c>
      <c r="P307" t="n">
        <v>86.14230833401028</v>
      </c>
      <c r="Q307" t="n">
        <v>75.38321419676683</v>
      </c>
    </row>
    <row r="308">
      <c r="A308" s="117" t="n">
        <v>44858</v>
      </c>
      <c r="B308" s="118" t="n">
        <v>81.71911679777203</v>
      </c>
      <c r="C308" s="118" t="n">
        <v>82.69650257818446</v>
      </c>
      <c r="D308" s="118" t="n">
        <v>80.2763000862723</v>
      </c>
      <c r="E308" s="118" t="n">
        <v>81.92390441894531</v>
      </c>
      <c r="F308" s="119" t="n">
        <v>8847100</v>
      </c>
      <c r="G308" s="120" t="n">
        <v>-0.005536727496208926</v>
      </c>
      <c r="H308" s="121" t="n">
        <v>51.49847239706087</v>
      </c>
      <c r="I308" s="118" t="n">
        <v>93.48192352294922</v>
      </c>
      <c r="J308" s="118" t="n">
        <v>109.8013111877441</v>
      </c>
      <c r="K308" s="120" t="n">
        <v>0.5730024223063184</v>
      </c>
      <c r="L308" s="120" t="n">
        <v>-0.2523903578196695</v>
      </c>
      <c r="M308" s="120" t="n">
        <v>-0.4995055615930984</v>
      </c>
      <c r="N308" t="n">
        <v>40.20625962124001</v>
      </c>
      <c r="O308" t="n">
        <v>0.5696552205381593</v>
      </c>
      <c r="P308" t="n">
        <v>87.19639112089872</v>
      </c>
      <c r="Q308" t="n">
        <v>76.21252943882843</v>
      </c>
    </row>
    <row r="309">
      <c r="A309" s="117" t="n">
        <v>44859</v>
      </c>
      <c r="B309" s="118" t="n">
        <v>81.94251966154702</v>
      </c>
      <c r="C309" s="118" t="n">
        <v>85.5728270129718</v>
      </c>
      <c r="D309" s="118" t="n">
        <v>81.81220155524291</v>
      </c>
      <c r="E309" s="118" t="n">
        <v>85.37734985351562</v>
      </c>
      <c r="F309" s="119" t="n">
        <v>8639900</v>
      </c>
      <c r="G309" s="120" t="n">
        <v>0.04215430720818625</v>
      </c>
      <c r="H309" s="121" t="n">
        <v>53.66935482323887</v>
      </c>
      <c r="I309" s="118" t="n">
        <v>93.03014892578125</v>
      </c>
      <c r="J309" s="118" t="n">
        <v>109.5031693267822</v>
      </c>
      <c r="K309" s="120" t="n">
        <v>0.5955594563637803</v>
      </c>
      <c r="L309" s="120" t="n">
        <v>-0.2208753912913975</v>
      </c>
      <c r="M309" s="120" t="n">
        <v>-0.4784075652805052</v>
      </c>
      <c r="N309" t="n">
        <v>48.29534087969416</v>
      </c>
      <c r="O309" t="n">
        <v>0.8056015561142149</v>
      </c>
      <c r="P309" t="n">
        <v>88.58879341000119</v>
      </c>
      <c r="Q309" t="n">
        <v>77.78905373256354</v>
      </c>
    </row>
    <row r="310">
      <c r="A310" s="117" t="n">
        <v>44860</v>
      </c>
      <c r="B310" s="118" t="n">
        <v>84.50234940924733</v>
      </c>
      <c r="C310" s="118" t="n">
        <v>87.82547527022435</v>
      </c>
      <c r="D310" s="118" t="n">
        <v>84.42787989204015</v>
      </c>
      <c r="E310" s="118" t="n">
        <v>86.00101470947266</v>
      </c>
      <c r="F310" s="119" t="n">
        <v>8648200</v>
      </c>
      <c r="G310" s="120" t="n">
        <v>0.007304804576706569</v>
      </c>
      <c r="H310" s="121" t="n">
        <v>54.06139897198056</v>
      </c>
      <c r="I310" s="118" t="n">
        <v>92.55854675292969</v>
      </c>
      <c r="J310" s="118" t="n">
        <v>109.2383073043823</v>
      </c>
      <c r="K310" s="120" t="n">
        <v>0.5882783477941761</v>
      </c>
      <c r="L310" s="120" t="n">
        <v>-0.2151840382838781</v>
      </c>
      <c r="M310" s="120" t="n">
        <v>-0.4745974344761908</v>
      </c>
      <c r="N310" t="n">
        <v>49.62083497920874</v>
      </c>
      <c r="O310" t="n">
        <v>0.9833339186540142</v>
      </c>
      <c r="P310" t="n">
        <v>87.92135621196083</v>
      </c>
      <c r="Q310" t="n">
        <v>76.07019780244181</v>
      </c>
    </row>
    <row r="311">
      <c r="A311" s="117" t="n">
        <v>44861</v>
      </c>
      <c r="B311" s="118" t="n">
        <v>86.45712598499615</v>
      </c>
      <c r="C311" s="118" t="n">
        <v>87.01564024874962</v>
      </c>
      <c r="D311" s="118" t="n">
        <v>83.98107496302485</v>
      </c>
      <c r="E311" s="118" t="n">
        <v>84.27894592285156</v>
      </c>
      <c r="F311" s="119" t="n">
        <v>8617900</v>
      </c>
      <c r="G311" s="120" t="n">
        <v>-0.02002381939839382</v>
      </c>
      <c r="H311" s="121" t="n">
        <v>52.9788832825411</v>
      </c>
      <c r="I311" s="118" t="n">
        <v>92.07143814086913</v>
      </c>
      <c r="J311" s="118" t="n">
        <v>108.9654816055298</v>
      </c>
      <c r="K311" s="120" t="n">
        <v>0.5803211486927781</v>
      </c>
      <c r="L311" s="120" t="n">
        <v>-0.2308990513622586</v>
      </c>
      <c r="M311" s="120" t="n">
        <v>-0.4851180005596923</v>
      </c>
      <c r="N311" t="n">
        <v>46.10611631516461</v>
      </c>
      <c r="O311" t="n">
        <v>0.9633214086371842</v>
      </c>
      <c r="P311" t="n">
        <v>87.45186484900358</v>
      </c>
      <c r="Q311" t="n">
        <v>74.68526031549784</v>
      </c>
    </row>
    <row r="312">
      <c r="A312" s="117" t="n">
        <v>44862</v>
      </c>
      <c r="B312" s="118" t="n">
        <v>84.89328955315563</v>
      </c>
      <c r="C312" s="118" t="n">
        <v>87.38796114880219</v>
      </c>
      <c r="D312" s="118" t="n">
        <v>84.2044643884645</v>
      </c>
      <c r="E312" s="118" t="n">
        <v>87.34142303466797</v>
      </c>
      <c r="F312" s="119" t="n">
        <v>6022400</v>
      </c>
      <c r="G312" s="120" t="n">
        <v>0.03633739219543375</v>
      </c>
      <c r="H312" s="121" t="n">
        <v>54.90399774245491</v>
      </c>
      <c r="I312" s="118" t="n">
        <v>91.66469940185547</v>
      </c>
      <c r="J312" s="118" t="n">
        <v>108.699146194458</v>
      </c>
      <c r="K312" s="120" t="n">
        <v>0.3564882687175643</v>
      </c>
      <c r="L312" s="120" t="n">
        <v>-0.2029519285537289</v>
      </c>
      <c r="M312" s="120" t="n">
        <v>-0.4664085314116608</v>
      </c>
      <c r="N312" t="n">
        <v>52.54375908537602</v>
      </c>
      <c r="O312" t="n">
        <v>1.123558269617319</v>
      </c>
      <c r="P312" t="n">
        <v>89.53239548699722</v>
      </c>
      <c r="Q312" t="n">
        <v>76.97069167843924</v>
      </c>
    </row>
    <row r="313">
      <c r="A313" s="117" t="n">
        <v>44865</v>
      </c>
      <c r="B313" s="118" t="n">
        <v>86.56882124620084</v>
      </c>
      <c r="C313" s="118" t="n">
        <v>87.39727498890733</v>
      </c>
      <c r="D313" s="118" t="n">
        <v>86.27095031738281</v>
      </c>
      <c r="E313" s="118" t="n">
        <v>86.27095031738281</v>
      </c>
      <c r="F313" s="119" t="n">
        <v>6426400</v>
      </c>
      <c r="G313" s="120" t="n">
        <v>-0.01225618589772992</v>
      </c>
      <c r="H313" s="121" t="n">
        <v>54.23108413959483</v>
      </c>
      <c r="I313" s="118" t="n">
        <v>91.28945755004882</v>
      </c>
      <c r="J313" s="118" t="n">
        <v>108.4395598602295</v>
      </c>
      <c r="K313" s="120" t="n">
        <v>0.3531314610543235</v>
      </c>
      <c r="L313" s="120" t="n">
        <v>-0.2127206978868015</v>
      </c>
      <c r="M313" s="120" t="n">
        <v>-0.4729483276441222</v>
      </c>
      <c r="N313" t="n">
        <v>50.28279213901565</v>
      </c>
      <c r="O313" t="n">
        <v>1.122056043958514</v>
      </c>
      <c r="P313" t="n">
        <v>88.88567895642801</v>
      </c>
      <c r="Q313" t="n">
        <v>76.07567439641046</v>
      </c>
    </row>
    <row r="314">
      <c r="A314" s="117" t="n">
        <v>44866</v>
      </c>
      <c r="B314" s="118" t="n">
        <v>89.07281643225242</v>
      </c>
      <c r="C314" s="118" t="n">
        <v>89.7895660183265</v>
      </c>
      <c r="D314" s="118" t="n">
        <v>86.5409096160148</v>
      </c>
      <c r="E314" s="118" t="n">
        <v>87.28558349609375</v>
      </c>
      <c r="F314" s="119" t="n">
        <v>7250700</v>
      </c>
      <c r="G314" s="120" t="n">
        <v>0.01176100616694487</v>
      </c>
      <c r="H314" s="121" t="n">
        <v>54.86889625460071</v>
      </c>
      <c r="I314" s="118" t="n">
        <v>90.98685791015625</v>
      </c>
      <c r="J314" s="118" t="n">
        <v>108.1915596008301</v>
      </c>
      <c r="K314" s="120" t="n">
        <v>0.3316621104857414</v>
      </c>
      <c r="L314" s="120" t="n">
        <v>-0.2034615011595402</v>
      </c>
      <c r="M314" s="120" t="n">
        <v>-0.4667496696752461</v>
      </c>
      <c r="N314" t="n">
        <v>52.37463718406536</v>
      </c>
      <c r="O314" t="n">
        <v>1.149766835754694</v>
      </c>
      <c r="P314" t="n">
        <v>88.49671631288406</v>
      </c>
      <c r="Q314" t="n">
        <v>75.29835689365189</v>
      </c>
    </row>
    <row r="315">
      <c r="A315" s="117" t="n">
        <v>44867</v>
      </c>
      <c r="B315" s="118" t="n">
        <v>86.68985893562571</v>
      </c>
      <c r="C315" s="118" t="n">
        <v>87.90927446553944</v>
      </c>
      <c r="D315" s="118" t="n">
        <v>83.95317104728355</v>
      </c>
      <c r="E315" s="118" t="n">
        <v>84.05556488037109</v>
      </c>
      <c r="F315" s="119" t="n">
        <v>7176600</v>
      </c>
      <c r="G315" s="120" t="n">
        <v>-0.03700517870591091</v>
      </c>
      <c r="H315" s="121" t="n">
        <v>52.83846294330312</v>
      </c>
      <c r="I315" s="118" t="n">
        <v>90.6133462524414</v>
      </c>
      <c r="J315" s="118" t="n">
        <v>107.9330904006958</v>
      </c>
      <c r="K315" s="120" t="n">
        <v>0.3469277727902212</v>
      </c>
      <c r="L315" s="120" t="n">
        <v>-0.2329375506552694</v>
      </c>
      <c r="M315" s="120" t="n">
        <v>-0.4864826934438996</v>
      </c>
      <c r="N315" t="n">
        <v>45.77218753638924</v>
      </c>
      <c r="O315" t="n">
        <v>0.9208308230127764</v>
      </c>
      <c r="P315" t="n">
        <v>86.27578987029429</v>
      </c>
      <c r="Q315" t="n">
        <v>72.71735178914165</v>
      </c>
    </row>
    <row r="316">
      <c r="A316" s="117" t="n">
        <v>44868</v>
      </c>
      <c r="B316" s="118" t="n">
        <v>83.74837105794143</v>
      </c>
      <c r="C316" s="118" t="n">
        <v>85.27496076068192</v>
      </c>
      <c r="D316" s="118" t="n">
        <v>82.58481140025481</v>
      </c>
      <c r="E316" s="118" t="n">
        <v>84.14863586425781</v>
      </c>
      <c r="F316" s="119" t="n">
        <v>6550300</v>
      </c>
      <c r="G316" s="120" t="n">
        <v>0.001107255468679291</v>
      </c>
      <c r="H316" s="121" t="n">
        <v>52.8969686203537</v>
      </c>
      <c r="I316" s="118" t="n">
        <v>90.22814453125</v>
      </c>
      <c r="J316" s="118" t="n">
        <v>107.6835852432251</v>
      </c>
      <c r="K316" s="120" t="n">
        <v>0.3449237931696293</v>
      </c>
      <c r="L316" s="120" t="n">
        <v>-0.2320882165634139</v>
      </c>
      <c r="M316" s="120" t="n">
        <v>-0.4859140985979539</v>
      </c>
      <c r="N316" t="n">
        <v>45.98348999702135</v>
      </c>
      <c r="O316" t="n">
        <v>0.7530078245412695</v>
      </c>
      <c r="P316" t="n">
        <v>85.3874281482445</v>
      </c>
      <c r="Q316" t="n">
        <v>71.29681644140142</v>
      </c>
    </row>
    <row r="317">
      <c r="A317" s="117" t="n">
        <v>44869</v>
      </c>
      <c r="B317" s="118" t="n">
        <v>87.91857663038451</v>
      </c>
      <c r="C317" s="118" t="n">
        <v>91.4371874704462</v>
      </c>
      <c r="D317" s="118" t="n">
        <v>87.45315270518013</v>
      </c>
      <c r="E317" s="118" t="n">
        <v>89.16591644287109</v>
      </c>
      <c r="F317" s="119" t="n">
        <v>12543300</v>
      </c>
      <c r="G317" s="120" t="n">
        <v>0.05962402749709184</v>
      </c>
      <c r="H317" s="121" t="n">
        <v>56.05089893188647</v>
      </c>
      <c r="I317" s="118" t="n">
        <v>89.90968841552734</v>
      </c>
      <c r="J317" s="118" t="n">
        <v>107.4701594543457</v>
      </c>
      <c r="K317" s="120" t="n">
        <v>0.3804489177046181</v>
      </c>
      <c r="L317" s="120" t="n">
        <v>-0.1863022232724502</v>
      </c>
      <c r="M317" s="120" t="n">
        <v>-0.455262226676891</v>
      </c>
      <c r="N317" t="n">
        <v>55.94857855608167</v>
      </c>
      <c r="O317" t="n">
        <v>0.9448221336868743</v>
      </c>
      <c r="P317" t="n">
        <v>86.61641904804908</v>
      </c>
      <c r="Q317" t="n">
        <v>72.44364170430569</v>
      </c>
    </row>
    <row r="318">
      <c r="A318" s="117" t="n">
        <v>44872</v>
      </c>
      <c r="B318" s="118" t="n">
        <v>89.64993708908797</v>
      </c>
      <c r="C318" s="118" t="n">
        <v>90.17121661504963</v>
      </c>
      <c r="D318" s="118" t="n">
        <v>86.26165212845584</v>
      </c>
      <c r="E318" s="118" t="n">
        <v>86.97840881347656</v>
      </c>
      <c r="F318" s="119" t="n">
        <v>9094500</v>
      </c>
      <c r="G318" s="120" t="n">
        <v>-0.0245330022576068</v>
      </c>
      <c r="H318" s="121" t="n">
        <v>54.67580210184961</v>
      </c>
      <c r="I318" s="118" t="n">
        <v>89.63918594360352</v>
      </c>
      <c r="J318" s="118" t="n">
        <v>107.2447797393799</v>
      </c>
      <c r="K318" s="120" t="n">
        <v>0.3932362836431018</v>
      </c>
      <c r="L318" s="120" t="n">
        <v>-0.2062646726659167</v>
      </c>
      <c r="M318" s="120" t="n">
        <v>-0.4606350487198329</v>
      </c>
      <c r="N318" t="n">
        <v>51.4886111001103</v>
      </c>
      <c r="O318" t="n">
        <v>0.890048724374257</v>
      </c>
      <c r="P318" t="n">
        <v>87.44495795984656</v>
      </c>
      <c r="Q318" t="n">
        <v>73.24012301404039</v>
      </c>
    </row>
    <row r="319">
      <c r="A319" s="117" t="n">
        <v>44873</v>
      </c>
      <c r="B319" s="118" t="n">
        <v>87.90926261437436</v>
      </c>
      <c r="C319" s="118" t="n">
        <v>89.38930710834016</v>
      </c>
      <c r="D319" s="118" t="n">
        <v>86.51299100792905</v>
      </c>
      <c r="E319" s="118" t="n">
        <v>87.26697540283203</v>
      </c>
      <c r="F319" s="119" t="n">
        <v>7017800</v>
      </c>
      <c r="G319" s="120" t="n">
        <v>0.003317680712856985</v>
      </c>
      <c r="H319" s="121" t="n">
        <v>54.85719895594291</v>
      </c>
      <c r="I319" s="118" t="n">
        <v>89.38188064575195</v>
      </c>
      <c r="J319" s="118" t="n">
        <v>107.0067554092407</v>
      </c>
      <c r="K319" s="120" t="n">
        <v>0.3911017510218221</v>
      </c>
      <c r="L319" s="120" t="n">
        <v>-0.2036313122793071</v>
      </c>
      <c r="M319" s="120" t="n">
        <v>-0.4588456080237796</v>
      </c>
      <c r="N319" t="n">
        <v>52.03183255346062</v>
      </c>
      <c r="O319" t="n">
        <v>0.8395788939534814</v>
      </c>
      <c r="P319" t="n">
        <v>87.9167516191895</v>
      </c>
      <c r="Q319" t="n">
        <v>73.77383033921978</v>
      </c>
    </row>
    <row r="320">
      <c r="A320" s="117" t="n">
        <v>44874</v>
      </c>
      <c r="B320" s="118" t="n">
        <v>86.26166205199081</v>
      </c>
      <c r="C320" s="118" t="n">
        <v>87.40660794597028</v>
      </c>
      <c r="D320" s="118" t="n">
        <v>85.60076098053133</v>
      </c>
      <c r="E320" s="118" t="n">
        <v>85.7310791015625</v>
      </c>
      <c r="F320" s="119" t="n">
        <v>6550900</v>
      </c>
      <c r="G320" s="120" t="n">
        <v>-0.01759997174394667</v>
      </c>
      <c r="H320" s="121" t="n">
        <v>53.89171380436625</v>
      </c>
      <c r="I320" s="118" t="n">
        <v>89.09422882080078</v>
      </c>
      <c r="J320" s="118" t="n">
        <v>106.7634533309937</v>
      </c>
      <c r="K320" s="120" t="n">
        <v>0.3979915069736933</v>
      </c>
      <c r="L320" s="120" t="n">
        <v>-0.2108291882989762</v>
      </c>
      <c r="M320" s="120" t="n">
        <v>-0.4683699100316737</v>
      </c>
      <c r="N320" t="n">
        <v>48.89359573654048</v>
      </c>
      <c r="O320" t="n">
        <v>0.6761056457856697</v>
      </c>
      <c r="P320" t="n">
        <v>86.10549372930464</v>
      </c>
      <c r="Q320" t="n">
        <v>72.07141273483236</v>
      </c>
    </row>
    <row r="321">
      <c r="A321" s="117" t="n">
        <v>44875</v>
      </c>
      <c r="B321" s="118" t="n">
        <v>89.66855623359332</v>
      </c>
      <c r="C321" s="118" t="n">
        <v>92.78689445480511</v>
      </c>
      <c r="D321" s="118" t="n">
        <v>89.57547288853405</v>
      </c>
      <c r="E321" s="118" t="n">
        <v>92.61003112792969</v>
      </c>
      <c r="F321" s="119" t="n">
        <v>9361000</v>
      </c>
      <c r="G321" s="120" t="n">
        <v>0.08023871970884611</v>
      </c>
      <c r="H321" s="121" t="n">
        <v>58.21591592294414</v>
      </c>
      <c r="I321" s="118" t="n">
        <v>88.97033081054687</v>
      </c>
      <c r="J321" s="118" t="n">
        <v>106.5614282608032</v>
      </c>
      <c r="K321" s="120" t="n">
        <v>0.4844351715722425</v>
      </c>
      <c r="L321" s="120" t="n">
        <v>-0.1399383205638697</v>
      </c>
      <c r="M321" s="120" t="n">
        <v>-0.4257125922539166</v>
      </c>
      <c r="N321" t="n">
        <v>60.41062162991611</v>
      </c>
      <c r="O321" t="n">
        <v>0.9858485625306015</v>
      </c>
      <c r="P321" t="n">
        <v>90.837332650909</v>
      </c>
      <c r="Q321" t="n">
        <v>77.38945033707529</v>
      </c>
    </row>
    <row r="322">
      <c r="A322" s="117" t="n">
        <v>44876</v>
      </c>
      <c r="B322" s="118" t="n">
        <v>93.37333288546299</v>
      </c>
      <c r="C322" s="118" t="n">
        <v>99.79618359892009</v>
      </c>
      <c r="D322" s="118" t="n">
        <v>93.21509047687776</v>
      </c>
      <c r="E322" s="118" t="n">
        <v>98.75363159179688</v>
      </c>
      <c r="F322" s="119" t="n">
        <v>12597500</v>
      </c>
      <c r="G322" s="120" t="n">
        <v>0.06633839109049156</v>
      </c>
      <c r="H322" s="121" t="n">
        <v>62.07786612113158</v>
      </c>
      <c r="I322" s="118" t="n">
        <v>88.96856231689453</v>
      </c>
      <c r="J322" s="118" t="n">
        <v>106.3871187973023</v>
      </c>
      <c r="K322" s="120" t="n">
        <v>0.5174024577280636</v>
      </c>
      <c r="L322" s="120" t="n">
        <v>-0.06028325878205976</v>
      </c>
      <c r="M322" s="120" t="n">
        <v>-0.3876152896005123</v>
      </c>
      <c r="N322" t="n">
        <v>67.46289706277577</v>
      </c>
      <c r="O322" t="n">
        <v>1.526781601106503</v>
      </c>
      <c r="P322" t="n">
        <v>91.71649994572624</v>
      </c>
      <c r="Q322" t="n">
        <v>78.81543237538494</v>
      </c>
    </row>
    <row r="323">
      <c r="A323" s="117" t="n">
        <v>44879</v>
      </c>
      <c r="B323" s="118" t="n">
        <v>97.92516501107521</v>
      </c>
      <c r="C323" s="118" t="n">
        <v>99.07942115228471</v>
      </c>
      <c r="D323" s="118" t="n">
        <v>97.10602167694901</v>
      </c>
      <c r="E323" s="118" t="n">
        <v>97.17118072509766</v>
      </c>
      <c r="F323" s="119" t="n">
        <v>7134900</v>
      </c>
      <c r="G323" s="120" t="n">
        <v>-0.01602422960241456</v>
      </c>
      <c r="H323" s="121" t="n">
        <v>61.08311614117861</v>
      </c>
      <c r="I323" s="118" t="n">
        <v>88.94342895507812</v>
      </c>
      <c r="J323" s="118" t="n">
        <v>106.1990311431885</v>
      </c>
      <c r="K323" s="120" t="n">
        <v>0.5210193824905512</v>
      </c>
      <c r="L323" s="120" t="n">
        <v>-0.07534149560456882</v>
      </c>
      <c r="M323" s="120" t="n">
        <v>-0.3974282828049619</v>
      </c>
      <c r="N323" t="n">
        <v>64.2863081044533</v>
      </c>
      <c r="O323" t="n">
        <v>1.687725134860315</v>
      </c>
      <c r="P323" t="n">
        <v>90.93630187887301</v>
      </c>
      <c r="Q323" t="n">
        <v>78.12574037612482</v>
      </c>
    </row>
    <row r="324">
      <c r="A324" s="117" t="n">
        <v>44880</v>
      </c>
      <c r="B324" s="118" t="n">
        <v>100.5222565017609</v>
      </c>
      <c r="C324" s="118" t="n">
        <v>101.7509753695282</v>
      </c>
      <c r="D324" s="118" t="n">
        <v>98.23237166191296</v>
      </c>
      <c r="E324" s="118" t="n">
        <v>99.33077239990234</v>
      </c>
      <c r="F324" s="119" t="n">
        <v>7242900</v>
      </c>
      <c r="G324" s="120" t="n">
        <v>0.02222461082277349</v>
      </c>
      <c r="H324" s="121" t="n">
        <v>62.44066462525859</v>
      </c>
      <c r="I324" s="118" t="n">
        <v>88.97247146606445</v>
      </c>
      <c r="J324" s="118" t="n">
        <v>106.0117647171021</v>
      </c>
      <c r="K324" s="120" t="n">
        <v>0.521605316219627</v>
      </c>
      <c r="L324" s="120" t="n">
        <v>-0.05479132020041244</v>
      </c>
      <c r="M324" s="120" t="n">
        <v>-0.3840363608974918</v>
      </c>
      <c r="N324" t="n">
        <v>66.59782401980206</v>
      </c>
      <c r="O324" t="n">
        <v>1.837023428556768</v>
      </c>
      <c r="P324" t="n">
        <v>91.71191011126504</v>
      </c>
      <c r="Q324" t="n">
        <v>79.20684223949107</v>
      </c>
    </row>
    <row r="325">
      <c r="A325" s="117" t="n">
        <v>44881</v>
      </c>
      <c r="B325" s="118" t="n">
        <v>97.97171594017041</v>
      </c>
      <c r="C325" s="118" t="n">
        <v>99.22835885728448</v>
      </c>
      <c r="D325" s="118" t="n">
        <v>97.52490593983002</v>
      </c>
      <c r="E325" s="118" t="n">
        <v>97.95310211181641</v>
      </c>
      <c r="F325" s="119" t="n">
        <v>5998700</v>
      </c>
      <c r="G325" s="120" t="n">
        <v>-0.01386952154705379</v>
      </c>
      <c r="H325" s="121" t="n">
        <v>61.5746424818262</v>
      </c>
      <c r="I325" s="118" t="n">
        <v>88.91196609497071</v>
      </c>
      <c r="J325" s="118" t="n">
        <v>105.8169170379639</v>
      </c>
      <c r="K325" s="120" t="n">
        <v>0.5224512333983784</v>
      </c>
      <c r="L325" s="120" t="n">
        <v>-0.0679009123513552</v>
      </c>
      <c r="M325" s="120" t="n">
        <v>-0.3925794818622257</v>
      </c>
      <c r="N325" t="n">
        <v>63.76260556629084</v>
      </c>
      <c r="O325" t="n">
        <v>1.741269505363691</v>
      </c>
      <c r="P325" t="n">
        <v>91.01226290129037</v>
      </c>
      <c r="Q325" t="n">
        <v>78.12574037612482</v>
      </c>
    </row>
    <row r="326">
      <c r="A326" s="117" t="n">
        <v>44882</v>
      </c>
      <c r="B326" s="118" t="n">
        <v>96.9105598796625</v>
      </c>
      <c r="C326" s="118" t="n">
        <v>98.11135433011034</v>
      </c>
      <c r="D326" s="118" t="n">
        <v>95.80284878391039</v>
      </c>
      <c r="E326" s="118" t="n">
        <v>98.07411956787109</v>
      </c>
      <c r="F326" s="119" t="n">
        <v>5252900</v>
      </c>
      <c r="G326" s="120" t="n">
        <v>0.001235463231338496</v>
      </c>
      <c r="H326" s="121" t="n">
        <v>61.65071568859531</v>
      </c>
      <c r="I326" s="118" t="n">
        <v>88.8492269897461</v>
      </c>
      <c r="J326" s="118" t="n">
        <v>105.6204110336304</v>
      </c>
      <c r="K326" s="120" t="n">
        <v>0.5123431977687906</v>
      </c>
      <c r="L326" s="120" t="n">
        <v>-0.06674933820060114</v>
      </c>
      <c r="M326" s="120" t="n">
        <v>-0.391829036146106</v>
      </c>
      <c r="N326" t="n">
        <v>63.9079590147504</v>
      </c>
      <c r="O326" t="n">
        <v>1.588615224152137</v>
      </c>
      <c r="P326" t="n">
        <v>90.73376620932871</v>
      </c>
      <c r="Q326" t="n">
        <v>77.95326611333974</v>
      </c>
    </row>
    <row r="327">
      <c r="A327" s="117" t="n">
        <v>44883</v>
      </c>
      <c r="B327" s="118" t="n">
        <v>100.1871393825135</v>
      </c>
      <c r="C327" s="118" t="n">
        <v>100.2709193717868</v>
      </c>
      <c r="D327" s="118" t="n">
        <v>96.96640706452187</v>
      </c>
      <c r="E327" s="118" t="n">
        <v>98.12996673583984</v>
      </c>
      <c r="F327" s="119" t="n">
        <v>5498900</v>
      </c>
      <c r="G327" s="120" t="n">
        <v>0.0005694383820606941</v>
      </c>
      <c r="H327" s="121" t="n">
        <v>61.68582197238991</v>
      </c>
      <c r="I327" s="118" t="n">
        <v>88.74590270996094</v>
      </c>
      <c r="J327" s="118" t="n">
        <v>105.4398885345459</v>
      </c>
      <c r="K327" s="120" t="n">
        <v>0.5122628290179706</v>
      </c>
      <c r="L327" s="120" t="n">
        <v>-0.06193278404302216</v>
      </c>
      <c r="M327" s="120" t="n">
        <v>-0.3914827202564327</v>
      </c>
      <c r="N327" t="n">
        <v>63.97976369507027</v>
      </c>
      <c r="O327" t="n">
        <v>1.40051949957242</v>
      </c>
      <c r="P327" t="n">
        <v>91.14572967926422</v>
      </c>
      <c r="Q327" t="n">
        <v>77.95600868223825</v>
      </c>
    </row>
    <row r="328">
      <c r="A328" s="117" t="n">
        <v>44886</v>
      </c>
      <c r="B328" s="118" t="n">
        <v>97.37597766629393</v>
      </c>
      <c r="C328" s="118" t="n">
        <v>98.18581771529975</v>
      </c>
      <c r="D328" s="118" t="n">
        <v>96.43581950850155</v>
      </c>
      <c r="E328" s="118" t="n">
        <v>96.64991760253906</v>
      </c>
      <c r="F328" s="119" t="n">
        <v>4774800</v>
      </c>
      <c r="G328" s="120" t="n">
        <v>-0.01508253984519314</v>
      </c>
      <c r="H328" s="121" t="n">
        <v>60.75544310460784</v>
      </c>
      <c r="I328" s="118" t="n">
        <v>88.58672760009766</v>
      </c>
      <c r="J328" s="118" t="n">
        <v>105.2515962219238</v>
      </c>
      <c r="K328" s="120" t="n">
        <v>0.5170204917666265</v>
      </c>
      <c r="L328" s="120" t="n">
        <v>-0.07608122020516273</v>
      </c>
      <c r="M328" s="120" t="n">
        <v>-0.3984592546669619</v>
      </c>
      <c r="N328" t="n">
        <v>60.5421369552522</v>
      </c>
      <c r="O328" t="n">
        <v>1.098860672551628</v>
      </c>
      <c r="P328" t="n">
        <v>90.81432444536235</v>
      </c>
      <c r="Q328" t="n">
        <v>77.15407641001991</v>
      </c>
    </row>
    <row r="329">
      <c r="A329" s="117" t="n">
        <v>44887</v>
      </c>
      <c r="B329" s="118" t="n">
        <v>97.38528668085665</v>
      </c>
      <c r="C329" s="118" t="n">
        <v>98.81879295795633</v>
      </c>
      <c r="D329" s="118" t="n">
        <v>96.65921952611458</v>
      </c>
      <c r="E329" s="118" t="n">
        <v>98.64192962646484</v>
      </c>
      <c r="F329" s="119" t="n">
        <v>5313200</v>
      </c>
      <c r="G329" s="120" t="n">
        <v>0.02061059205572935</v>
      </c>
      <c r="H329" s="121" t="n">
        <v>62.00764875760198</v>
      </c>
      <c r="I329" s="118" t="n">
        <v>88.59138214111329</v>
      </c>
      <c r="J329" s="118" t="n">
        <v>105.0744189834595</v>
      </c>
      <c r="K329" s="120" t="n">
        <v>0.5040752921731455</v>
      </c>
      <c r="L329" s="120" t="n">
        <v>-0.05703870714218418</v>
      </c>
      <c r="M329" s="120" t="n">
        <v>-0.3786077120112947</v>
      </c>
      <c r="N329" t="n">
        <v>63.3930266626263</v>
      </c>
      <c r="O329" t="n">
        <v>0.9609104531205195</v>
      </c>
      <c r="P329" t="n">
        <v>92.03640845600988</v>
      </c>
      <c r="Q329" t="n">
        <v>78.26530381212794</v>
      </c>
    </row>
    <row r="330">
      <c r="A330" s="117" t="n">
        <v>44888</v>
      </c>
      <c r="B330" s="118" t="n">
        <v>98.6698802882559</v>
      </c>
      <c r="C330" s="118" t="n">
        <v>99.58211438175331</v>
      </c>
      <c r="D330" s="118" t="n">
        <v>97.95313050906985</v>
      </c>
      <c r="E330" s="118" t="n">
        <v>99.27493286132812</v>
      </c>
      <c r="F330" s="119" t="n">
        <v>3873100</v>
      </c>
      <c r="G330" s="120" t="n">
        <v>0.006417182198891647</v>
      </c>
      <c r="H330" s="121" t="n">
        <v>62.4055631374044</v>
      </c>
      <c r="I330" s="118" t="n">
        <v>88.58486694335937</v>
      </c>
      <c r="J330" s="118" t="n">
        <v>104.907843208313</v>
      </c>
      <c r="K330" s="120" t="n">
        <v>0.5040946895872962</v>
      </c>
      <c r="L330" s="120" t="n">
        <v>-0.05098755271941313</v>
      </c>
      <c r="M330" s="120" t="n">
        <v>-0.3741838208453029</v>
      </c>
      <c r="N330" t="n">
        <v>64.27631354569769</v>
      </c>
      <c r="O330" t="n">
        <v>0.8438823204978467</v>
      </c>
      <c r="P330" t="n">
        <v>92.61638790801464</v>
      </c>
      <c r="Q330" t="n">
        <v>79.05083193392535</v>
      </c>
    </row>
    <row r="331">
      <c r="A331" s="117" t="n">
        <v>44890</v>
      </c>
      <c r="B331" s="118" t="n">
        <v>99.08873515113605</v>
      </c>
      <c r="C331" s="118" t="n">
        <v>99.76825709917146</v>
      </c>
      <c r="D331" s="118" t="n">
        <v>98.26028126354763</v>
      </c>
      <c r="E331" s="118" t="n">
        <v>98.63262176513672</v>
      </c>
      <c r="F331" s="119" t="n">
        <v>3426100</v>
      </c>
      <c r="G331" s="120" t="n">
        <v>-0.006470022972351108</v>
      </c>
      <c r="H331" s="121" t="n">
        <v>62.00179771030289</v>
      </c>
      <c r="I331" s="118" t="n">
        <v>88.59343063354493</v>
      </c>
      <c r="J331" s="118" t="n">
        <v>104.7254459381104</v>
      </c>
      <c r="K331" s="120" t="n">
        <v>0.4964569971790558</v>
      </c>
      <c r="L331" s="120" t="n">
        <v>-0.05712768505436561</v>
      </c>
      <c r="M331" s="120" t="n">
        <v>-0.3766670620364049</v>
      </c>
      <c r="N331" t="n">
        <v>62.62507285938382</v>
      </c>
      <c r="O331" t="n">
        <v>0.6627915949010847</v>
      </c>
      <c r="P331" t="n">
        <v>92.59566724054351</v>
      </c>
      <c r="Q331" t="n">
        <v>78.53078619026839</v>
      </c>
    </row>
    <row r="332">
      <c r="A332" s="117" t="n">
        <v>44893</v>
      </c>
      <c r="B332" s="118" t="n">
        <v>97.97172128475341</v>
      </c>
      <c r="C332" s="118" t="n">
        <v>98.94911421905229</v>
      </c>
      <c r="D332" s="118" t="n">
        <v>97.41321408021309</v>
      </c>
      <c r="E332" s="118" t="n">
        <v>97.70177459716797</v>
      </c>
      <c r="F332" s="119" t="n">
        <v>6967400</v>
      </c>
      <c r="G332" s="120" t="n">
        <v>-0.009437518250151267</v>
      </c>
      <c r="H332" s="121" t="n">
        <v>61.41665461286971</v>
      </c>
      <c r="I332" s="118" t="n">
        <v>88.60906890869141</v>
      </c>
      <c r="J332" s="118" t="n">
        <v>104.5450459671021</v>
      </c>
      <c r="K332" s="120" t="n">
        <v>0.4887574915754561</v>
      </c>
      <c r="L332" s="120" t="n">
        <v>-0.06602605973422748</v>
      </c>
      <c r="M332" s="120" t="n">
        <v>-0.3825497780143567</v>
      </c>
      <c r="N332" t="n">
        <v>60.21098649180588</v>
      </c>
      <c r="O332" t="n">
        <v>0.4311164180591542</v>
      </c>
      <c r="P332" t="n">
        <v>91.11813901841145</v>
      </c>
      <c r="Q332" t="n">
        <v>77.37849714913797</v>
      </c>
    </row>
    <row r="333">
      <c r="A333" s="117" t="n">
        <v>44894</v>
      </c>
      <c r="B333" s="118" t="n">
        <v>98.08342160895302</v>
      </c>
      <c r="C333" s="118" t="n">
        <v>99.43314789061763</v>
      </c>
      <c r="D333" s="118" t="n">
        <v>97.85070969130022</v>
      </c>
      <c r="E333" s="118" t="n">
        <v>98.90256500244141</v>
      </c>
      <c r="F333" s="119" t="n">
        <v>8494400</v>
      </c>
      <c r="G333" s="120" t="n">
        <v>0.01229036432781694</v>
      </c>
      <c r="H333" s="121" t="n">
        <v>62.17148767385758</v>
      </c>
      <c r="I333" s="118" t="n">
        <v>88.59119674682617</v>
      </c>
      <c r="J333" s="118" t="n">
        <v>104.392081451416</v>
      </c>
      <c r="K333" s="120" t="n">
        <v>0.4843043400137708</v>
      </c>
      <c r="L333" s="120" t="n">
        <v>-0.05454717973567436</v>
      </c>
      <c r="M333" s="120" t="n">
        <v>-0.3749610898318618</v>
      </c>
      <c r="N333" t="n">
        <v>62.23347072805284</v>
      </c>
      <c r="O333" t="n">
        <v>0.3149342112631923</v>
      </c>
      <c r="P333" t="n">
        <v>90.96161975996046</v>
      </c>
      <c r="Q333" t="n">
        <v>76.79275790934219</v>
      </c>
    </row>
    <row r="334">
      <c r="A334" s="117" t="n">
        <v>44895</v>
      </c>
      <c r="B334" s="118" t="n">
        <v>99.6751773898614</v>
      </c>
      <c r="C334" s="118" t="n">
        <v>102.1046905517578</v>
      </c>
      <c r="D334" s="118" t="n">
        <v>98.15789103328275</v>
      </c>
      <c r="E334" s="118" t="n">
        <v>102.1046905517578</v>
      </c>
      <c r="F334" s="119" t="n">
        <v>16251000</v>
      </c>
      <c r="G334" s="120" t="n">
        <v>0.03237656727343086</v>
      </c>
      <c r="H334" s="121" t="n">
        <v>64.18438702701951</v>
      </c>
      <c r="I334" s="118" t="n">
        <v>88.72654220581055</v>
      </c>
      <c r="J334" s="118" t="n">
        <v>104.2486150360107</v>
      </c>
      <c r="K334" s="120" t="n">
        <v>0.4922937011496475</v>
      </c>
      <c r="L334" s="120" t="n">
        <v>-0.02393666289653151</v>
      </c>
      <c r="M334" s="120" t="n">
        <v>-0.3547244755082912</v>
      </c>
      <c r="N334" t="n">
        <v>67.04418786782722</v>
      </c>
      <c r="O334" t="n">
        <v>0.4042339585205119</v>
      </c>
      <c r="P334" t="n">
        <v>93.82696043673376</v>
      </c>
      <c r="Q334" t="n">
        <v>80.29344632831101</v>
      </c>
    </row>
    <row r="335">
      <c r="A335" s="117" t="n">
        <v>44896</v>
      </c>
      <c r="B335" s="118" t="n">
        <v>102.4770372505668</v>
      </c>
      <c r="C335" s="118" t="n">
        <v>104.1246419357912</v>
      </c>
      <c r="D335" s="118" t="n">
        <v>101.974385656972</v>
      </c>
      <c r="E335" s="118" t="n">
        <v>103.4265060424805</v>
      </c>
      <c r="F335" s="119" t="n">
        <v>7822900</v>
      </c>
      <c r="G335" s="120" t="n">
        <v>0.01294568823018571</v>
      </c>
      <c r="H335" s="121" t="n">
        <v>65.01529809071688</v>
      </c>
      <c r="I335" s="118" t="n">
        <v>88.9372866821289</v>
      </c>
      <c r="J335" s="118" t="n">
        <v>104.0933282089233</v>
      </c>
      <c r="K335" s="120" t="n">
        <v>0.4623197309157876</v>
      </c>
      <c r="L335" s="120" t="n">
        <v>-0.01130085124147528</v>
      </c>
      <c r="M335" s="120" t="n">
        <v>-0.3463709397456519</v>
      </c>
      <c r="N335" t="n">
        <v>68.81034939943757</v>
      </c>
      <c r="O335" t="n">
        <v>0.4967262472675014</v>
      </c>
      <c r="P335" t="n">
        <v>93.7579284409387</v>
      </c>
      <c r="Q335" t="n">
        <v>80.39196521294841</v>
      </c>
    </row>
    <row r="336">
      <c r="A336" s="117" t="n">
        <v>44897</v>
      </c>
      <c r="B336" s="118" t="n">
        <v>101.4470474583942</v>
      </c>
      <c r="C336" s="118" t="n">
        <v>105.2378873960221</v>
      </c>
      <c r="D336" s="118" t="n">
        <v>101.1575940706674</v>
      </c>
      <c r="E336" s="118" t="n">
        <v>104.7616958618164</v>
      </c>
      <c r="F336" s="119" t="n">
        <v>5892000</v>
      </c>
      <c r="G336" s="120" t="n">
        <v>0.01290955162680962</v>
      </c>
      <c r="H336" s="121" t="n">
        <v>65.85461643795141</v>
      </c>
      <c r="I336" s="118" t="n">
        <v>89.19781951904297</v>
      </c>
      <c r="J336" s="118" t="n">
        <v>103.9405141448975</v>
      </c>
      <c r="K336" s="120" t="n">
        <v>0.4609292233355823</v>
      </c>
      <c r="L336" s="120" t="n">
        <v>0</v>
      </c>
      <c r="M336" s="120" t="n">
        <v>-0.3379328816475153</v>
      </c>
      <c r="N336" t="n">
        <v>70.52848606951358</v>
      </c>
      <c r="O336" t="n">
        <v>0.5860923393703601</v>
      </c>
      <c r="P336" t="n">
        <v>93.64974264827687</v>
      </c>
      <c r="Q336" t="n">
        <v>80.0717339827781</v>
      </c>
    </row>
    <row r="337">
      <c r="A337" s="117" t="n">
        <v>44900</v>
      </c>
      <c r="B337" s="118" t="n">
        <v>103.6599109086071</v>
      </c>
      <c r="C337" s="118" t="n">
        <v>103.7626190135766</v>
      </c>
      <c r="D337" s="118" t="n">
        <v>101.9512364207376</v>
      </c>
      <c r="E337" s="118" t="n">
        <v>102.3527297973633</v>
      </c>
      <c r="F337" s="119" t="n">
        <v>6220100</v>
      </c>
      <c r="G337" s="120" t="n">
        <v>-0.02299472192231999</v>
      </c>
      <c r="H337" s="121" t="n">
        <v>64.34030784565967</v>
      </c>
      <c r="I337" s="118" t="n">
        <v>89.4386572265625</v>
      </c>
      <c r="J337" s="118" t="n">
        <v>103.7926990890503</v>
      </c>
      <c r="K337" s="120" t="n">
        <v>0.4390718644504419</v>
      </c>
      <c r="L337" s="120" t="n">
        <v>-0.0229947219223201</v>
      </c>
      <c r="M337" s="120" t="n">
        <v>-0.3531569309279424</v>
      </c>
      <c r="N337" t="n">
        <v>63.70944406011536</v>
      </c>
      <c r="O337" t="n">
        <v>0.4285351692943831</v>
      </c>
      <c r="P337" t="n">
        <v>91.96507416382913</v>
      </c>
      <c r="Q337" t="n">
        <v>78.72785813485653</v>
      </c>
    </row>
    <row r="338">
      <c r="A338" s="117" t="n">
        <v>44901</v>
      </c>
      <c r="B338" s="118" t="n">
        <v>102.3807462516936</v>
      </c>
      <c r="C338" s="118" t="n">
        <v>103.2024040195971</v>
      </c>
      <c r="D338" s="118" t="n">
        <v>99.67300054974336</v>
      </c>
      <c r="E338" s="118" t="n">
        <v>100.774772644043</v>
      </c>
      <c r="F338" s="119" t="n">
        <v>7086100</v>
      </c>
      <c r="G338" s="120" t="n">
        <v>-0.01541685460118492</v>
      </c>
      <c r="H338" s="121" t="n">
        <v>63.34838267460766</v>
      </c>
      <c r="I338" s="118" t="n">
        <v>89.66580841064453</v>
      </c>
      <c r="J338" s="118" t="n">
        <v>103.6363011932373</v>
      </c>
      <c r="K338" s="120" t="n">
        <v>0.4314393626609686</v>
      </c>
      <c r="L338" s="120" t="n">
        <v>-0.03805707023903371</v>
      </c>
      <c r="M338" s="120" t="n">
        <v>-0.3631292164736105</v>
      </c>
      <c r="N338" t="n">
        <v>59.64166136201928</v>
      </c>
      <c r="O338" t="n">
        <v>0.17652701837507</v>
      </c>
      <c r="P338" t="n">
        <v>90.63941633244622</v>
      </c>
      <c r="Q338" t="n">
        <v>77.09658498909155</v>
      </c>
    </row>
    <row r="339">
      <c r="A339" s="117" t="n">
        <v>44902</v>
      </c>
      <c r="B339" s="118" t="n">
        <v>100.2052028845682</v>
      </c>
      <c r="C339" s="118" t="n">
        <v>101.8858744416604</v>
      </c>
      <c r="D339" s="118" t="n">
        <v>99.96243763218763</v>
      </c>
      <c r="E339" s="118" t="n">
        <v>101.1482467651367</v>
      </c>
      <c r="F339" s="119" t="n">
        <v>5751500</v>
      </c>
      <c r="G339" s="120" t="n">
        <v>0.003706027920429511</v>
      </c>
      <c r="H339" s="121" t="n">
        <v>63.58315354951382</v>
      </c>
      <c r="I339" s="118" t="n">
        <v>89.89614669799805</v>
      </c>
      <c r="J339" s="118" t="n">
        <v>103.5037567901611</v>
      </c>
      <c r="K339" s="120" t="n">
        <v>0.4313888983630347</v>
      </c>
      <c r="L339" s="120" t="n">
        <v>-0.03449208288347982</v>
      </c>
      <c r="M339" s="120" t="n">
        <v>-0.3568640750428079</v>
      </c>
      <c r="N339" t="n">
        <v>60.2879495692716</v>
      </c>
      <c r="O339" t="n">
        <v>0.002662950428863109</v>
      </c>
      <c r="P339" t="n">
        <v>90.48520674953599</v>
      </c>
      <c r="Q339" t="n">
        <v>76.78182180906155</v>
      </c>
    </row>
    <row r="340">
      <c r="A340" s="117" t="n">
        <v>44903</v>
      </c>
      <c r="B340" s="118" t="n">
        <v>101.4003513114546</v>
      </c>
      <c r="C340" s="118" t="n">
        <v>104.0987579184314</v>
      </c>
      <c r="D340" s="118" t="n">
        <v>101.2696331945743</v>
      </c>
      <c r="E340" s="118" t="n">
        <v>103.9773788452148</v>
      </c>
      <c r="F340" s="119" t="n">
        <v>6192800</v>
      </c>
      <c r="G340" s="120" t="n">
        <v>0.02797015440759232</v>
      </c>
      <c r="H340" s="121" t="n">
        <v>65.36158417201537</v>
      </c>
      <c r="I340" s="118" t="n">
        <v>90.13820083618164</v>
      </c>
      <c r="J340" s="118" t="n">
        <v>103.3916397857666</v>
      </c>
      <c r="K340" s="120" t="n">
        <v>0.4261698537939633</v>
      </c>
      <c r="L340" s="120" t="n">
        <v>-0.007486677359977878</v>
      </c>
      <c r="M340" s="120" t="n">
        <v>-0.334221768920703</v>
      </c>
      <c r="N340" t="n">
        <v>64.87643104637428</v>
      </c>
      <c r="O340" t="n">
        <v>0.04360060620116935</v>
      </c>
      <c r="P340" t="n">
        <v>91.19406314505339</v>
      </c>
      <c r="Q340" t="n">
        <v>77.6905263040978</v>
      </c>
    </row>
    <row r="341">
      <c r="A341" s="117" t="n">
        <v>44904</v>
      </c>
      <c r="B341" s="118" t="n">
        <v>102.9129441672613</v>
      </c>
      <c r="C341" s="118" t="n">
        <v>103.996038030688</v>
      </c>
      <c r="D341" s="118" t="n">
        <v>102.0165884143419</v>
      </c>
      <c r="E341" s="118" t="n">
        <v>102.1659774780273</v>
      </c>
      <c r="F341" s="119" t="n">
        <v>5677700</v>
      </c>
      <c r="G341" s="120" t="n">
        <v>-0.017421110123232</v>
      </c>
      <c r="H341" s="121" t="n">
        <v>64.22291281632579</v>
      </c>
      <c r="I341" s="118" t="n">
        <v>90.4067660522461</v>
      </c>
      <c r="J341" s="118" t="n">
        <v>103.2688955688477</v>
      </c>
      <c r="K341" s="120" t="n">
        <v>0.3462727511091521</v>
      </c>
      <c r="L341" s="120" t="n">
        <v>-0.02477736125246466</v>
      </c>
      <c r="M341" s="120" t="n">
        <v>-0.345820364801986</v>
      </c>
      <c r="N341" t="n">
        <v>60.08915041657676</v>
      </c>
      <c r="O341" t="n">
        <v>-0.07922157663577867</v>
      </c>
      <c r="P341" t="n">
        <v>90.5128269270091</v>
      </c>
      <c r="Q341" t="n">
        <v>77.19511241755728</v>
      </c>
    </row>
    <row r="342">
      <c r="A342" s="117" t="n">
        <v>44907</v>
      </c>
      <c r="B342" s="118" t="n">
        <v>102.80092731638</v>
      </c>
      <c r="C342" s="118" t="n">
        <v>104.7336965363775</v>
      </c>
      <c r="D342" s="118" t="n">
        <v>102.4367829070764</v>
      </c>
      <c r="E342" s="118" t="n">
        <v>104.6403274536133</v>
      </c>
      <c r="F342" s="119" t="n">
        <v>6426000</v>
      </c>
      <c r="G342" s="120" t="n">
        <v>0.02421892333108722</v>
      </c>
      <c r="H342" s="121" t="n">
        <v>65.77832261792348</v>
      </c>
      <c r="I342" s="118" t="n">
        <v>90.95213134765625</v>
      </c>
      <c r="J342" s="118" t="n">
        <v>103.1509941482544</v>
      </c>
      <c r="K342" s="120" t="n">
        <v>0.2718212336973282</v>
      </c>
      <c r="L342" s="120" t="n">
        <v>-0.001158518933897512</v>
      </c>
      <c r="M342" s="120" t="n">
        <v>-0.3288652564865415</v>
      </c>
      <c r="N342" t="n">
        <v>63.99727523041661</v>
      </c>
      <c r="O342" t="n">
        <v>-0.02455951158214376</v>
      </c>
      <c r="P342" t="n">
        <v>91.81777147007595</v>
      </c>
      <c r="Q342" t="n">
        <v>78.16401672710701</v>
      </c>
    </row>
    <row r="343">
      <c r="A343" s="117" t="n">
        <v>44908</v>
      </c>
      <c r="B343" s="118" t="n">
        <v>107.9456265152385</v>
      </c>
      <c r="C343" s="118" t="n">
        <v>108.7299352297564</v>
      </c>
      <c r="D343" s="118" t="n">
        <v>103.8746724887139</v>
      </c>
      <c r="E343" s="118" t="n">
        <v>105.3685989379883</v>
      </c>
      <c r="F343" s="119" t="n">
        <v>8655300</v>
      </c>
      <c r="G343" s="120" t="n">
        <v>0.006959759225694695</v>
      </c>
      <c r="H343" s="121" t="n">
        <v>66.23612390561429</v>
      </c>
      <c r="I343" s="118" t="n">
        <v>91.46961532592773</v>
      </c>
      <c r="J343" s="118" t="n">
        <v>103.0471262741089</v>
      </c>
      <c r="K343" s="120" t="n">
        <v>0.2625282752281349</v>
      </c>
      <c r="L343" s="120" t="n">
        <v>0</v>
      </c>
      <c r="M343" s="120" t="n">
        <v>-0.3241943202636894</v>
      </c>
      <c r="N343" t="n">
        <v>65.08108982610318</v>
      </c>
      <c r="O343" t="n">
        <v>0.02710609177658796</v>
      </c>
      <c r="P343" t="n">
        <v>92.51281408727927</v>
      </c>
      <c r="Q343" t="n">
        <v>79.00429370093428</v>
      </c>
    </row>
    <row r="344">
      <c r="A344" s="117" t="n">
        <v>44909</v>
      </c>
      <c r="B344" s="118" t="n">
        <v>106.1622450365421</v>
      </c>
      <c r="C344" s="118" t="n">
        <v>106.554406511273</v>
      </c>
      <c r="D344" s="118" t="n">
        <v>102.9222949942969</v>
      </c>
      <c r="E344" s="118" t="n">
        <v>104.061408996582</v>
      </c>
      <c r="F344" s="119" t="n">
        <v>7528500</v>
      </c>
      <c r="G344" s="120" t="n">
        <v>-0.01240587760093081</v>
      </c>
      <c r="H344" s="121" t="n">
        <v>65.41440665968116</v>
      </c>
      <c r="I344" s="118" t="n">
        <v>91.90063690185546</v>
      </c>
      <c r="J344" s="118" t="n">
        <v>102.9567225646973</v>
      </c>
      <c r="K344" s="120" t="n">
        <v>0.2597350630271681</v>
      </c>
      <c r="L344" s="120" t="n">
        <v>-0.0124058776009307</v>
      </c>
      <c r="M344" s="120" t="n">
        <v>-0.332578282808512</v>
      </c>
      <c r="N344" t="n">
        <v>61.50226212528636</v>
      </c>
      <c r="O344" t="n">
        <v>-0.05577499855587575</v>
      </c>
      <c r="P344" t="n">
        <v>91.92134529081135</v>
      </c>
      <c r="Q344" t="n">
        <v>78.41856300496684</v>
      </c>
    </row>
    <row r="345">
      <c r="A345" s="117" t="n">
        <v>44910</v>
      </c>
      <c r="B345" s="118" t="n">
        <v>101.9512419538381</v>
      </c>
      <c r="C345" s="118" t="n">
        <v>102.3527353522537</v>
      </c>
      <c r="D345" s="118" t="n">
        <v>100.5880336326978</v>
      </c>
      <c r="E345" s="118" t="n">
        <v>101.3163223266602</v>
      </c>
      <c r="F345" s="119" t="n">
        <v>7500700</v>
      </c>
      <c r="G345" s="120" t="n">
        <v>-0.02637948780812727</v>
      </c>
      <c r="H345" s="121" t="n">
        <v>63.68880811672621</v>
      </c>
      <c r="I345" s="118" t="n">
        <v>92.23095886230469</v>
      </c>
      <c r="J345" s="118" t="n">
        <v>102.8366121292114</v>
      </c>
      <c r="K345" s="120" t="n">
        <v>0.2735901469477115</v>
      </c>
      <c r="L345" s="120" t="n">
        <v>-0.03845810471213518</v>
      </c>
      <c r="M345" s="120" t="n">
        <v>-0.3501845258600441</v>
      </c>
      <c r="N345" t="n">
        <v>54.69969375992566</v>
      </c>
      <c r="O345" t="n">
        <v>-0.3102786737027032</v>
      </c>
      <c r="P345" t="n">
        <v>89.67279867074846</v>
      </c>
      <c r="Q345" t="n">
        <v>75.78555161732523</v>
      </c>
    </row>
    <row r="346">
      <c r="A346" s="117" t="n">
        <v>44911</v>
      </c>
      <c r="B346" s="118" t="n">
        <v>99.78504695684519</v>
      </c>
      <c r="C346" s="118" t="n">
        <v>100.4759866002108</v>
      </c>
      <c r="D346" s="118" t="n">
        <v>98.15106335352706</v>
      </c>
      <c r="E346" s="118" t="n">
        <v>98.92603302001953</v>
      </c>
      <c r="F346" s="119" t="n">
        <v>14083600</v>
      </c>
      <c r="G346" s="120" t="n">
        <v>-0.02359234180386005</v>
      </c>
      <c r="H346" s="121" t="n">
        <v>62.18623998655596</v>
      </c>
      <c r="I346" s="118" t="n">
        <v>92.53078887939454</v>
      </c>
      <c r="J346" s="118" t="n">
        <v>102.7124485015869</v>
      </c>
      <c r="K346" s="120" t="n">
        <v>0.2881146774619295</v>
      </c>
      <c r="L346" s="120" t="n">
        <v>-0.06114312976449787</v>
      </c>
      <c r="M346" s="120" t="n">
        <v>-0.3655151946353914</v>
      </c>
      <c r="N346" t="n">
        <v>49.5594105395783</v>
      </c>
      <c r="O346" t="n">
        <v>-0.63566103021705</v>
      </c>
      <c r="P346" t="n">
        <v>88.61409653277849</v>
      </c>
      <c r="Q346" t="n">
        <v>75.06296587893982</v>
      </c>
    </row>
    <row r="347">
      <c r="A347" s="117" t="n">
        <v>44914</v>
      </c>
      <c r="B347" s="118" t="n">
        <v>98.02966711474744</v>
      </c>
      <c r="C347" s="118" t="n">
        <v>98.51519761064988</v>
      </c>
      <c r="D347" s="118" t="n">
        <v>95.65805601572271</v>
      </c>
      <c r="E347" s="118" t="n">
        <v>96.21828460693359</v>
      </c>
      <c r="F347" s="119" t="n">
        <v>10620300</v>
      </c>
      <c r="G347" s="120" t="n">
        <v>-0.02737144440572048</v>
      </c>
      <c r="H347" s="121" t="n">
        <v>60.48411277596315</v>
      </c>
      <c r="I347" s="118" t="n">
        <v>92.83250076293945</v>
      </c>
      <c r="J347" s="118" t="n">
        <v>102.5862502670288</v>
      </c>
      <c r="K347" s="120" t="n">
        <v>0.304731137289541</v>
      </c>
      <c r="L347" s="120" t="n">
        <v>-0.08684099839307768</v>
      </c>
      <c r="M347" s="120" t="n">
        <v>-0.3828819602117032</v>
      </c>
      <c r="N347" t="n">
        <v>44.46216784453632</v>
      </c>
      <c r="O347" t="n">
        <v>-1.007222388729087</v>
      </c>
      <c r="P347" t="n">
        <v>87.86267717074628</v>
      </c>
      <c r="Q347" t="n">
        <v>74.0080764809337</v>
      </c>
    </row>
    <row r="348">
      <c r="A348" s="117" t="n">
        <v>44915</v>
      </c>
      <c r="B348" s="118" t="n">
        <v>96.17160623335066</v>
      </c>
      <c r="C348" s="118" t="n">
        <v>96.54508962402606</v>
      </c>
      <c r="D348" s="118" t="n">
        <v>94.93911603064409</v>
      </c>
      <c r="E348" s="118" t="n">
        <v>96.36768341064453</v>
      </c>
      <c r="F348" s="119" t="n">
        <v>17147900</v>
      </c>
      <c r="G348" s="120" t="n">
        <v>0.001552706996609476</v>
      </c>
      <c r="H348" s="121" t="n">
        <v>60.5780268810541</v>
      </c>
      <c r="I348" s="118" t="n">
        <v>93.14595077514649</v>
      </c>
      <c r="J348" s="118" t="n">
        <v>102.4920013809204</v>
      </c>
      <c r="K348" s="120" t="n">
        <v>0.3000818004181842</v>
      </c>
      <c r="L348" s="120" t="n">
        <v>-0.08542313002226576</v>
      </c>
      <c r="M348" s="120" t="n">
        <v>-0.38192375671359</v>
      </c>
      <c r="N348" t="n">
        <v>44.7995138529418</v>
      </c>
      <c r="O348" t="n">
        <v>-1.203617866544946</v>
      </c>
      <c r="P348" t="n">
        <v>87.98291312365754</v>
      </c>
      <c r="Q348" t="n">
        <v>73.95045690258017</v>
      </c>
    </row>
    <row r="349">
      <c r="A349" s="117" t="n">
        <v>44916</v>
      </c>
      <c r="B349" s="118" t="n">
        <v>109.0193888174359</v>
      </c>
      <c r="C349" s="118" t="n">
        <v>111.2789530217077</v>
      </c>
      <c r="D349" s="118" t="n">
        <v>107.6935224126751</v>
      </c>
      <c r="E349" s="118" t="n">
        <v>108.1043548583984</v>
      </c>
      <c r="F349" s="119" t="n">
        <v>32777300</v>
      </c>
      <c r="G349" s="120" t="n">
        <v>0.1217905321822597</v>
      </c>
      <c r="H349" s="121" t="n">
        <v>67.95585701344892</v>
      </c>
      <c r="I349" s="118" t="n">
        <v>93.66993209838867</v>
      </c>
      <c r="J349" s="118" t="n">
        <v>102.4713889312744</v>
      </c>
      <c r="K349" s="120" t="n">
        <v>0.5237314806666029</v>
      </c>
      <c r="L349" s="120" t="n">
        <v>0</v>
      </c>
      <c r="M349" s="120" t="n">
        <v>-0.3066479221145264</v>
      </c>
      <c r="N349" t="n">
        <v>63.53729170782688</v>
      </c>
      <c r="O349" t="n">
        <v>-0.5377114296463681</v>
      </c>
      <c r="P349" t="n">
        <v>89.29848365004293</v>
      </c>
      <c r="Q349" t="n">
        <v>75.02318581416905</v>
      </c>
    </row>
    <row r="350">
      <c r="A350" s="117" t="n">
        <v>44917</v>
      </c>
      <c r="B350" s="118" t="n">
        <v>106.7131303238478</v>
      </c>
      <c r="C350" s="118" t="n">
        <v>109.0754025024422</v>
      </c>
      <c r="D350" s="118" t="n">
        <v>106.4983750696106</v>
      </c>
      <c r="E350" s="118" t="n">
        <v>108.9726943969727</v>
      </c>
      <c r="F350" s="119" t="n">
        <v>17147600</v>
      </c>
      <c r="G350" s="120" t="n">
        <v>0.008032419597819418</v>
      </c>
      <c r="H350" s="121" t="n">
        <v>68.50170697111035</v>
      </c>
      <c r="I350" s="118" t="n">
        <v>94.20159912109375</v>
      </c>
      <c r="J350" s="118" t="n">
        <v>102.4285451889038</v>
      </c>
      <c r="K350" s="120" t="n">
        <v>0.5238174562249278</v>
      </c>
      <c r="L350" s="120" t="n">
        <v>0</v>
      </c>
      <c r="M350" s="120" t="n">
        <v>-0.3010786272959304</v>
      </c>
      <c r="N350" t="n">
        <v>64.49749565113319</v>
      </c>
      <c r="O350" t="n">
        <v>-0.05860477287217547</v>
      </c>
      <c r="P350" t="n">
        <v>88.0245315583218</v>
      </c>
      <c r="Q350" t="n">
        <v>73.18775789011856</v>
      </c>
    </row>
    <row r="351">
      <c r="A351" s="117" t="n">
        <v>44918</v>
      </c>
      <c r="B351" s="118" t="n">
        <v>108.4124718918966</v>
      </c>
      <c r="C351" s="118" t="n">
        <v>109.4021967641939</v>
      </c>
      <c r="D351" s="118" t="n">
        <v>108.104347578354</v>
      </c>
      <c r="E351" s="118" t="n">
        <v>108.5431900024414</v>
      </c>
      <c r="F351" s="119" t="n">
        <v>6603700</v>
      </c>
      <c r="G351" s="120" t="n">
        <v>-0.003941394648521945</v>
      </c>
      <c r="H351" s="121" t="n">
        <v>68.23171470983979</v>
      </c>
      <c r="I351" s="118" t="n">
        <v>94.70512832641602</v>
      </c>
      <c r="J351" s="118" t="n">
        <v>102.3878130340576</v>
      </c>
      <c r="K351" s="120" t="n">
        <v>0.5231491116031567</v>
      </c>
      <c r="L351" s="120" t="n">
        <v>-0.003941394648522056</v>
      </c>
      <c r="M351" s="120" t="n">
        <v>-0.3038333522540438</v>
      </c>
      <c r="N351" t="n">
        <v>63.60527875952877</v>
      </c>
      <c r="O351" t="n">
        <v>0.1956120423200081</v>
      </c>
      <c r="P351" t="n">
        <v>88.53086704260504</v>
      </c>
      <c r="Q351" t="n">
        <v>73.35233765551358</v>
      </c>
    </row>
    <row r="352">
      <c r="A352" s="117" t="n">
        <v>44922</v>
      </c>
      <c r="B352" s="118" t="n">
        <v>108.7486148334627</v>
      </c>
      <c r="C352" s="118" t="n">
        <v>110.3639203805209</v>
      </c>
      <c r="D352" s="118" t="n">
        <v>108.1417052014707</v>
      </c>
      <c r="E352" s="118" t="n">
        <v>109.7663497924805</v>
      </c>
      <c r="F352" s="119" t="n">
        <v>6661100</v>
      </c>
      <c r="G352" s="120" t="n">
        <v>0.01126887638009855</v>
      </c>
      <c r="H352" s="121" t="n">
        <v>69.00060946810713</v>
      </c>
      <c r="I352" s="118" t="n">
        <v>95.27054107666015</v>
      </c>
      <c r="J352" s="118" t="n">
        <v>102.3689368438721</v>
      </c>
      <c r="K352" s="120" t="n">
        <v>0.5205748971075996</v>
      </c>
      <c r="L352" s="120" t="n">
        <v>0</v>
      </c>
      <c r="M352" s="120" t="n">
        <v>-0.295988336360647</v>
      </c>
      <c r="N352" t="n">
        <v>65.08650429747247</v>
      </c>
      <c r="O352" t="n">
        <v>0.4005691240448073</v>
      </c>
      <c r="P352" t="n">
        <v>88.18174445735052</v>
      </c>
      <c r="Q352" t="n">
        <v>72.31527068343352</v>
      </c>
    </row>
    <row r="353">
      <c r="A353" s="117" t="n">
        <v>44923</v>
      </c>
      <c r="B353" s="118" t="n">
        <v>109.7850148441267</v>
      </c>
      <c r="C353" s="118" t="n">
        <v>110.4012563232923</v>
      </c>
      <c r="D353" s="118" t="n">
        <v>107.3387056423421</v>
      </c>
      <c r="E353" s="118" t="n">
        <v>107.3573837280273</v>
      </c>
      <c r="F353" s="119" t="n">
        <v>5437800</v>
      </c>
      <c r="G353" s="120" t="n">
        <v>-0.02194630748865578</v>
      </c>
      <c r="H353" s="121" t="n">
        <v>67.4863008758154</v>
      </c>
      <c r="I353" s="118" t="n">
        <v>95.7427214050293</v>
      </c>
      <c r="J353" s="118" t="n">
        <v>102.3614406585693</v>
      </c>
      <c r="K353" s="120" t="n">
        <v>0.5294805499773183</v>
      </c>
      <c r="L353" s="120" t="n">
        <v>-0.02194630748865567</v>
      </c>
      <c r="M353" s="120" t="n">
        <v>-0.3114387928064763</v>
      </c>
      <c r="N353" t="n">
        <v>59.91463126675329</v>
      </c>
      <c r="O353" t="n">
        <v>0.3312002054664047</v>
      </c>
      <c r="P353" t="n">
        <v>87.08585137776566</v>
      </c>
      <c r="Q353" t="n">
        <v>71.3605064097935</v>
      </c>
    </row>
    <row r="354">
      <c r="A354" s="117" t="n">
        <v>44924</v>
      </c>
      <c r="B354" s="118" t="n">
        <v>108.3844646552196</v>
      </c>
      <c r="C354" s="118" t="n">
        <v>110.2425353799565</v>
      </c>
      <c r="D354" s="118" t="n">
        <v>108.1230284274499</v>
      </c>
      <c r="E354" s="118" t="n">
        <v>109.5702667236328</v>
      </c>
      <c r="F354" s="119" t="n">
        <v>4588600</v>
      </c>
      <c r="G354" s="120" t="n">
        <v>0.02061230367919031</v>
      </c>
      <c r="H354" s="121" t="n">
        <v>68.87734900365291</v>
      </c>
      <c r="I354" s="118" t="n">
        <v>96.26455795288086</v>
      </c>
      <c r="J354" s="118" t="n">
        <v>102.3565370559692</v>
      </c>
      <c r="K354" s="120" t="n">
        <v>0.5229048882327459</v>
      </c>
      <c r="L354" s="120" t="n">
        <v>-0.001786367764058494</v>
      </c>
      <c r="M354" s="120" t="n">
        <v>-0.291833497962127</v>
      </c>
      <c r="N354" t="n">
        <v>62.83603389586801</v>
      </c>
      <c r="O354" t="n">
        <v>0.3877262350819728</v>
      </c>
      <c r="P354" t="n">
        <v>88.65340529190196</v>
      </c>
      <c r="Q354" t="n">
        <v>73.0999444223965</v>
      </c>
    </row>
    <row r="355">
      <c r="A355" s="117" t="n">
        <v>44925</v>
      </c>
      <c r="B355" s="118" t="n">
        <v>108.8326285561499</v>
      </c>
      <c r="C355" s="118" t="n">
        <v>109.4768871438413</v>
      </c>
      <c r="D355" s="118" t="n">
        <v>108.0950009137387</v>
      </c>
      <c r="E355" s="118" t="n">
        <v>109.252799987793</v>
      </c>
      <c r="F355" s="119" t="n">
        <v>4355500</v>
      </c>
      <c r="G355" s="120" t="n">
        <v>-0.002897380332573141</v>
      </c>
      <c r="H355" s="121" t="n">
        <v>68.67778512728995</v>
      </c>
      <c r="I355" s="118" t="n">
        <v>96.80071060180664</v>
      </c>
      <c r="J355" s="118" t="n">
        <v>102.3232416534424</v>
      </c>
      <c r="K355" s="120" t="n">
        <v>0.5223438622099402</v>
      </c>
      <c r="L355" s="120" t="n">
        <v>-0.004678572309805284</v>
      </c>
      <c r="M355" s="120" t="n">
        <v>-0.2904113448693161</v>
      </c>
      <c r="N355" t="n">
        <v>62.13639165691885</v>
      </c>
      <c r="O355" t="n">
        <v>0.3578328763365803</v>
      </c>
      <c r="P355" t="n">
        <v>88.41989930847718</v>
      </c>
      <c r="Q355" t="n">
        <v>73.0560633200205</v>
      </c>
    </row>
    <row r="356">
      <c r="A356" s="117" t="n">
        <v>44929</v>
      </c>
      <c r="B356" s="118" t="n">
        <v>110.6907185348339</v>
      </c>
      <c r="C356" s="118" t="n">
        <v>111.5683962951218</v>
      </c>
      <c r="D356" s="118" t="n">
        <v>109.6543055279082</v>
      </c>
      <c r="E356" s="118" t="n">
        <v>110.8774566650391</v>
      </c>
      <c r="F356" s="119" t="n">
        <v>8124800</v>
      </c>
      <c r="G356" s="120" t="n">
        <v>0.01487061821232616</v>
      </c>
      <c r="H356" s="121" t="n">
        <v>69.69906624958605</v>
      </c>
      <c r="I356" s="118" t="n">
        <v>97.40174942016601</v>
      </c>
      <c r="J356" s="118" t="n">
        <v>102.2877921676636</v>
      </c>
      <c r="K356" s="120" t="n">
        <v>0.5228718341540829</v>
      </c>
      <c r="L356" s="120" t="n">
        <v>0</v>
      </c>
      <c r="M356" s="120" t="n">
        <v>-0.2786475059538051</v>
      </c>
      <c r="N356" t="n">
        <v>64.32552826227689</v>
      </c>
      <c r="O356" t="n">
        <v>0.3984667840115721</v>
      </c>
      <c r="P356" t="n">
        <v>88.04766520950486</v>
      </c>
      <c r="Q356" t="n">
        <v>72.56220441023864</v>
      </c>
    </row>
    <row r="357">
      <c r="A357" s="117" t="n">
        <v>44930</v>
      </c>
      <c r="B357" s="118" t="n">
        <v>112.0072386897153</v>
      </c>
      <c r="C357" s="118" t="n">
        <v>114.1267527970233</v>
      </c>
      <c r="D357" s="118" t="n">
        <v>111.6057452987011</v>
      </c>
      <c r="E357" s="118" t="n">
        <v>113.1743698120117</v>
      </c>
      <c r="F357" s="119" t="n">
        <v>8550700</v>
      </c>
      <c r="G357" s="120" t="n">
        <v>0.02071578133246366</v>
      </c>
      <c r="H357" s="121" t="n">
        <v>71.14293686508937</v>
      </c>
      <c r="I357" s="118" t="n">
        <v>98.01763641357422</v>
      </c>
      <c r="J357" s="118" t="n">
        <v>102.2460964584351</v>
      </c>
      <c r="K357" s="120" t="n">
        <v>0.5166669836800175</v>
      </c>
      <c r="L357" s="120" t="n">
        <v>0</v>
      </c>
      <c r="M357" s="120" t="n">
        <v>-0.2637041254235168</v>
      </c>
      <c r="N357" t="n">
        <v>67.21179315681968</v>
      </c>
      <c r="O357" t="n">
        <v>0.5231693703359586</v>
      </c>
      <c r="P357" t="n">
        <v>88.72739607991235</v>
      </c>
      <c r="Q357" t="n">
        <v>72.90789624887476</v>
      </c>
    </row>
    <row r="358">
      <c r="A358" s="117" t="n">
        <v>44931</v>
      </c>
      <c r="B358" s="118" t="n">
        <v>112.3060107888216</v>
      </c>
      <c r="C358" s="118" t="n">
        <v>114.2294403730277</v>
      </c>
      <c r="D358" s="118" t="n">
        <v>112.119272680616</v>
      </c>
      <c r="E358" s="118" t="n">
        <v>112.6234741210938</v>
      </c>
      <c r="F358" s="119" t="n">
        <v>6046700</v>
      </c>
      <c r="G358" s="120" t="n">
        <v>-0.004867671822101016</v>
      </c>
      <c r="H358" s="121" t="n">
        <v>70.79663639596966</v>
      </c>
      <c r="I358" s="118" t="n">
        <v>98.63162780761719</v>
      </c>
      <c r="J358" s="118" t="n">
        <v>102.2065071487427</v>
      </c>
      <c r="K358" s="120" t="n">
        <v>0.512337020902774</v>
      </c>
      <c r="L358" s="120" t="n">
        <v>-0.004867671822101127</v>
      </c>
      <c r="M358" s="120" t="n">
        <v>-0.2485921713784661</v>
      </c>
      <c r="N358" t="n">
        <v>65.83600492443055</v>
      </c>
      <c r="O358" t="n">
        <v>0.5110945442656951</v>
      </c>
      <c r="P358" t="n">
        <v>87.71471773219078</v>
      </c>
      <c r="Q358" t="n">
        <v>71.76657748333835</v>
      </c>
    </row>
    <row r="359">
      <c r="A359" s="117" t="n">
        <v>44932</v>
      </c>
      <c r="B359" s="118" t="n">
        <v>113.9120043405392</v>
      </c>
      <c r="C359" s="118" t="n">
        <v>117.0492535545604</v>
      </c>
      <c r="D359" s="118" t="n">
        <v>113.6972490668232</v>
      </c>
      <c r="E359" s="118" t="n">
        <v>116.2742767333984</v>
      </c>
      <c r="F359" s="119" t="n">
        <v>10080700</v>
      </c>
      <c r="G359" s="120" t="n">
        <v>0.03241600066766992</v>
      </c>
      <c r="H359" s="121" t="n">
        <v>73.0915802086502</v>
      </c>
      <c r="I359" s="118" t="n">
        <v>99.24956634521484</v>
      </c>
      <c r="J359" s="118" t="n">
        <v>102.1717465209961</v>
      </c>
      <c r="K359" s="120" t="n">
        <v>0.5206674457503415</v>
      </c>
      <c r="L359" s="120" t="n">
        <v>0</v>
      </c>
      <c r="M359" s="120" t="n">
        <v>-0.2184055686986864</v>
      </c>
      <c r="N359" t="n">
        <v>70.19073321505567</v>
      </c>
      <c r="O359" t="n">
        <v>0.6809009501887142</v>
      </c>
      <c r="P359" t="n">
        <v>89.7261942369241</v>
      </c>
      <c r="Q359" t="n">
        <v>73.74741282197938</v>
      </c>
    </row>
    <row r="360">
      <c r="A360" s="117" t="n">
        <v>44935</v>
      </c>
      <c r="B360" s="118" t="n">
        <v>116.7131086076865</v>
      </c>
      <c r="C360" s="118" t="n">
        <v>118.2163740164417</v>
      </c>
      <c r="D360" s="118" t="n">
        <v>116.29294426614</v>
      </c>
      <c r="E360" s="118" t="n">
        <v>116.5730514526367</v>
      </c>
      <c r="F360" s="119" t="n">
        <v>9397900</v>
      </c>
      <c r="G360" s="120" t="n">
        <v>0.002569568503301367</v>
      </c>
      <c r="H360" s="121" t="n">
        <v>73.27939403101087</v>
      </c>
      <c r="I360" s="118" t="n">
        <v>99.86100708007812</v>
      </c>
      <c r="J360" s="118" t="n">
        <v>102.138896484375</v>
      </c>
      <c r="K360" s="120" t="n">
        <v>0.5151868974837276</v>
      </c>
      <c r="L360" s="120" t="n">
        <v>0</v>
      </c>
      <c r="M360" s="120" t="n">
        <v>-0.1960796456312391</v>
      </c>
      <c r="N360" t="n">
        <v>70.52188891979716</v>
      </c>
      <c r="O360" t="n">
        <v>0.7403349561251269</v>
      </c>
      <c r="P360" t="n">
        <v>89.67533710009678</v>
      </c>
      <c r="Q360" t="n">
        <v>74.22483340602695</v>
      </c>
    </row>
    <row r="361">
      <c r="A361" s="117" t="n">
        <v>44936</v>
      </c>
      <c r="B361" s="118" t="n">
        <v>116.909182150606</v>
      </c>
      <c r="C361" s="118" t="n">
        <v>117.9549341358049</v>
      </c>
      <c r="D361" s="118" t="n">
        <v>116.1248735044088</v>
      </c>
      <c r="E361" s="118" t="n">
        <v>117.4974136352539</v>
      </c>
      <c r="F361" s="119" t="n">
        <v>5899900</v>
      </c>
      <c r="G361" s="120" t="n">
        <v>0.007929467154702996</v>
      </c>
      <c r="H361" s="121" t="n">
        <v>73.86046057909631</v>
      </c>
      <c r="I361" s="118" t="n">
        <v>100.5253764343262</v>
      </c>
      <c r="J361" s="118" t="n">
        <v>102.1149272155762</v>
      </c>
      <c r="K361" s="120" t="n">
        <v>0.5075672943959982</v>
      </c>
      <c r="L361" s="120" t="n">
        <v>0</v>
      </c>
      <c r="M361" s="120" t="n">
        <v>-0.1643648197016164</v>
      </c>
      <c r="N361" t="n">
        <v>71.57404230823379</v>
      </c>
      <c r="O361" t="n">
        <v>0.7657102085245255</v>
      </c>
      <c r="P361" t="n">
        <v>90.30422559198712</v>
      </c>
      <c r="Q361" t="n">
        <v>74.85308673566364</v>
      </c>
    </row>
    <row r="362">
      <c r="A362" s="117" t="n">
        <v>44937</v>
      </c>
      <c r="B362" s="118" t="n">
        <v>117.9456016870343</v>
      </c>
      <c r="C362" s="118" t="n">
        <v>119.7569843336875</v>
      </c>
      <c r="D362" s="118" t="n">
        <v>117.6561554500316</v>
      </c>
      <c r="E362" s="118" t="n">
        <v>119.4582061767578</v>
      </c>
      <c r="F362" s="119" t="n">
        <v>6989200</v>
      </c>
      <c r="G362" s="120" t="n">
        <v>0.01668796342692924</v>
      </c>
      <c r="H362" s="121" t="n">
        <v>75.09304124393643</v>
      </c>
      <c r="I362" s="118" t="n">
        <v>101.167712097168</v>
      </c>
      <c r="J362" s="118" t="n">
        <v>102.0932622909546</v>
      </c>
      <c r="K362" s="120" t="n">
        <v>0.5049699114602102</v>
      </c>
      <c r="L362" s="120" t="n">
        <v>0</v>
      </c>
      <c r="M362" s="120" t="n">
        <v>-0.1504197703745416</v>
      </c>
      <c r="N362" t="n">
        <v>73.71706800542746</v>
      </c>
      <c r="O362" t="n">
        <v>0.8328052371345973</v>
      </c>
      <c r="P362" t="n">
        <v>91.44636383647283</v>
      </c>
      <c r="Q362" t="n">
        <v>76.14804916631445</v>
      </c>
    </row>
    <row r="363">
      <c r="A363" s="117" t="n">
        <v>44938</v>
      </c>
      <c r="B363" s="118" t="n">
        <v>119.8410324445369</v>
      </c>
      <c r="C363" s="118" t="n">
        <v>119.9437405558511</v>
      </c>
      <c r="D363" s="118" t="n">
        <v>118.0763235881395</v>
      </c>
      <c r="E363" s="118" t="n">
        <v>119.4115219116211</v>
      </c>
      <c r="F363" s="119" t="n">
        <v>8366400</v>
      </c>
      <c r="G363" s="120" t="n">
        <v>-0.0003907999846208821</v>
      </c>
      <c r="H363" s="121" t="n">
        <v>75.06369488457315</v>
      </c>
      <c r="I363" s="118" t="n">
        <v>101.8305235290527</v>
      </c>
      <c r="J363" s="118" t="n">
        <v>102.0662253570557</v>
      </c>
      <c r="K363" s="120" t="n">
        <v>0.5056706270408051</v>
      </c>
      <c r="L363" s="120" t="n">
        <v>-0.0003907999846209931</v>
      </c>
      <c r="M363" s="120" t="n">
        <v>-0.1507517863152134</v>
      </c>
      <c r="N363" t="n">
        <v>73.57484652263223</v>
      </c>
      <c r="O363" t="n">
        <v>0.7925215693955723</v>
      </c>
      <c r="P363" t="n">
        <v>91.77930393463183</v>
      </c>
      <c r="Q363" t="n">
        <v>76.55959683382797</v>
      </c>
    </row>
    <row r="364">
      <c r="A364" s="117" t="n">
        <v>44939</v>
      </c>
      <c r="B364" s="118" t="n">
        <v>118.2630606694505</v>
      </c>
      <c r="C364" s="118" t="n">
        <v>120.6626747446619</v>
      </c>
      <c r="D364" s="118" t="n">
        <v>118.2630606694505</v>
      </c>
      <c r="E364" s="118" t="n">
        <v>120.3078765869141</v>
      </c>
      <c r="F364" s="119" t="n">
        <v>4856500</v>
      </c>
      <c r="G364" s="120" t="n">
        <v>0.00750643372551929</v>
      </c>
      <c r="H364" s="121" t="n">
        <v>75.6271555354168</v>
      </c>
      <c r="I364" s="118" t="n">
        <v>102.4909693908691</v>
      </c>
      <c r="J364" s="118" t="n">
        <v>102.0236245727539</v>
      </c>
      <c r="K364" s="120" t="n">
        <v>0.5005893482347044</v>
      </c>
      <c r="L364" s="120" t="n">
        <v>0</v>
      </c>
      <c r="M364" s="120" t="n">
        <v>-0.129391209635985</v>
      </c>
      <c r="N364" t="n">
        <v>74.58857178194428</v>
      </c>
      <c r="O364" t="n">
        <v>0.7454229765844822</v>
      </c>
      <c r="P364" t="n">
        <v>92.13537030481881</v>
      </c>
      <c r="Q364" t="n">
        <v>77.08635802656349</v>
      </c>
    </row>
    <row r="365">
      <c r="A365" s="117" t="n">
        <v>44943</v>
      </c>
      <c r="B365" s="118" t="n">
        <v>119.5142251234641</v>
      </c>
      <c r="C365" s="118" t="n">
        <v>120.4946181008712</v>
      </c>
      <c r="D365" s="118" t="n">
        <v>119.3554970028867</v>
      </c>
      <c r="E365" s="118" t="n">
        <v>119.6449432373047</v>
      </c>
      <c r="F365" s="119" t="n">
        <v>6172200</v>
      </c>
      <c r="G365" s="120" t="n">
        <v>-0.005510307125489389</v>
      </c>
      <c r="H365" s="121" t="n">
        <v>75.21042668138949</v>
      </c>
      <c r="I365" s="118" t="n">
        <v>103.2027569580078</v>
      </c>
      <c r="J365" s="118" t="n">
        <v>101.9804869842529</v>
      </c>
      <c r="K365" s="120" t="n">
        <v>0.4870275272344821</v>
      </c>
      <c r="L365" s="120" t="n">
        <v>-0.0055103071254895</v>
      </c>
      <c r="M365" s="120" t="n">
        <v>-0.129065229046802</v>
      </c>
      <c r="N365" t="n">
        <v>72.37711389489857</v>
      </c>
      <c r="O365" t="n">
        <v>0.5953128181118155</v>
      </c>
      <c r="P365" t="n">
        <v>91.96657951146592</v>
      </c>
      <c r="Q365" t="n">
        <v>77.2427442605764</v>
      </c>
    </row>
    <row r="366">
      <c r="A366" s="117" t="n">
        <v>44944</v>
      </c>
      <c r="B366" s="118" t="n">
        <v>119.3274798757187</v>
      </c>
      <c r="C366" s="118" t="n">
        <v>120.0651004211172</v>
      </c>
      <c r="D366" s="118" t="n">
        <v>117.6468083357667</v>
      </c>
      <c r="E366" s="118" t="n">
        <v>118.0483016967773</v>
      </c>
      <c r="F366" s="119" t="n">
        <v>6828800</v>
      </c>
      <c r="G366" s="120" t="n">
        <v>-0.01334483094166838</v>
      </c>
      <c r="H366" s="121" t="n">
        <v>74.20675625227561</v>
      </c>
      <c r="I366" s="118" t="n">
        <v>103.8807502746582</v>
      </c>
      <c r="J366" s="118" t="n">
        <v>101.9477912139893</v>
      </c>
      <c r="K366" s="120" t="n">
        <v>0.4792926739366153</v>
      </c>
      <c r="L366" s="120" t="n">
        <v>-0.01878160395013151</v>
      </c>
      <c r="M366" s="120" t="n">
        <v>-0.140687706326393</v>
      </c>
      <c r="N366" t="n">
        <v>67.20873500687117</v>
      </c>
      <c r="O366" t="n">
        <v>0.3275621147368675</v>
      </c>
      <c r="P366" t="n">
        <v>90.51460530338393</v>
      </c>
      <c r="Q366" t="n">
        <v>76.23859665910669</v>
      </c>
    </row>
    <row r="367">
      <c r="A367" s="117" t="n">
        <v>44945</v>
      </c>
      <c r="B367" s="118" t="n">
        <v>116.5170420159463</v>
      </c>
      <c r="C367" s="118" t="n">
        <v>117.1239516605141</v>
      </c>
      <c r="D367" s="118" t="n">
        <v>115.4152698857412</v>
      </c>
      <c r="E367" s="118" t="n">
        <v>116.2742767333984</v>
      </c>
      <c r="F367" s="119" t="n">
        <v>5273500</v>
      </c>
      <c r="G367" s="120" t="n">
        <v>-0.01502795836856441</v>
      </c>
      <c r="H367" s="121" t="n">
        <v>73.0915802086502</v>
      </c>
      <c r="I367" s="118" t="n">
        <v>104.4229174804688</v>
      </c>
      <c r="J367" s="118" t="n">
        <v>101.9110399246216</v>
      </c>
      <c r="K367" s="120" t="n">
        <v>0.4686567962857078</v>
      </c>
      <c r="L367" s="120" t="n">
        <v>-0.03352731315643853</v>
      </c>
      <c r="M367" s="120" t="n">
        <v>-0.1536014157013156</v>
      </c>
      <c r="N367" t="n">
        <v>61.91810125234485</v>
      </c>
      <c r="O367" t="n">
        <v>-0.01195424476363538</v>
      </c>
      <c r="P367" t="n">
        <v>89.85567627115348</v>
      </c>
      <c r="Q367" t="n">
        <v>75.48959340348091</v>
      </c>
    </row>
    <row r="368">
      <c r="A368" s="117" t="n">
        <v>44946</v>
      </c>
      <c r="B368" s="118" t="n">
        <v>116.4143183600712</v>
      </c>
      <c r="C368" s="118" t="n">
        <v>118.2443789700067</v>
      </c>
      <c r="D368" s="118" t="n">
        <v>115.8167478394229</v>
      </c>
      <c r="E368" s="118" t="n">
        <v>118.2257080078125</v>
      </c>
      <c r="F368" s="119" t="n">
        <v>5673200</v>
      </c>
      <c r="G368" s="120" t="n">
        <v>0.01678300075680905</v>
      </c>
      <c r="H368" s="121" t="n">
        <v>74.31827625460834</v>
      </c>
      <c r="I368" s="118" t="n">
        <v>105.0478634643555</v>
      </c>
      <c r="J368" s="118" t="n">
        <v>101.880249710083</v>
      </c>
      <c r="K368" s="120" t="n">
        <v>0.4681763023540595</v>
      </c>
      <c r="L368" s="120" t="n">
        <v>-0.01730700132170793</v>
      </c>
      <c r="M368" s="120" t="n">
        <v>-0.1393963076204686</v>
      </c>
      <c r="N368" t="n">
        <v>65.16641772258231</v>
      </c>
      <c r="O368" t="n">
        <v>-0.140876758709811</v>
      </c>
      <c r="P368" t="n">
        <v>91.52959332664629</v>
      </c>
      <c r="Q368" t="n">
        <v>77.55552527243053</v>
      </c>
    </row>
    <row r="369">
      <c r="A369" s="117" t="n">
        <v>44949</v>
      </c>
      <c r="B369" s="118" t="n">
        <v>118.4871463611014</v>
      </c>
      <c r="C369" s="118" t="n">
        <v>120.2144989011745</v>
      </c>
      <c r="D369" s="118" t="n">
        <v>118.1510120467128</v>
      </c>
      <c r="E369" s="118" t="n">
        <v>119.7849884033203</v>
      </c>
      <c r="F369" s="119" t="n">
        <v>5581600</v>
      </c>
      <c r="G369" s="120" t="n">
        <v>0.01318901296327835</v>
      </c>
      <c r="H369" s="121" t="n">
        <v>75.29846096353887</v>
      </c>
      <c r="I369" s="118" t="n">
        <v>105.6982237243652</v>
      </c>
      <c r="J369" s="118" t="n">
        <v>101.8667000198364</v>
      </c>
      <c r="K369" s="120" t="n">
        <v>0.2183130297875478</v>
      </c>
      <c r="L369" s="120" t="n">
        <v>-0.004346250623216918</v>
      </c>
      <c r="M369" s="120" t="n">
        <v>-0.1280457943654297</v>
      </c>
      <c r="N369" t="n">
        <v>67.54836407732947</v>
      </c>
      <c r="O369" t="n">
        <v>-0.1557498652542018</v>
      </c>
      <c r="P369" t="n">
        <v>92.62782559839222</v>
      </c>
      <c r="Q369" t="n">
        <v>79.27848224015749</v>
      </c>
    </row>
    <row r="370">
      <c r="A370" s="117" t="n">
        <v>44950</v>
      </c>
      <c r="B370" s="118" t="n">
        <v>118.4031282463138</v>
      </c>
      <c r="C370" s="118" t="n">
        <v>119.5235713919124</v>
      </c>
      <c r="D370" s="118" t="n">
        <v>112.4647639027127</v>
      </c>
      <c r="E370" s="118" t="n">
        <v>118.4218063354492</v>
      </c>
      <c r="F370" s="119" t="n">
        <v>5486200</v>
      </c>
      <c r="G370" s="120" t="n">
        <v>-0.01138024126429937</v>
      </c>
      <c r="H370" s="121" t="n">
        <v>74.44154631094338</v>
      </c>
      <c r="I370" s="118" t="n">
        <v>106.352038269043</v>
      </c>
      <c r="J370" s="118" t="n">
        <v>101.8645743560791</v>
      </c>
      <c r="K370" s="120" t="n">
        <v>0.2257592117132673</v>
      </c>
      <c r="L370" s="120" t="n">
        <v>-0.01567703050682889</v>
      </c>
      <c r="M370" s="120" t="n">
        <v>-0.1379688435969716</v>
      </c>
      <c r="N370" t="n">
        <v>63.46266416024569</v>
      </c>
      <c r="O370" t="n">
        <v>-0.2845090814814348</v>
      </c>
      <c r="P370" t="n">
        <v>92.52842100027834</v>
      </c>
      <c r="Q370" t="n">
        <v>79.11660232451925</v>
      </c>
    </row>
    <row r="371">
      <c r="A371" s="117" t="n">
        <v>44951</v>
      </c>
      <c r="B371" s="118" t="n">
        <v>117.5161120103044</v>
      </c>
      <c r="C371" s="118" t="n">
        <v>118.5898741863082</v>
      </c>
      <c r="D371" s="118" t="n">
        <v>116.5543969989319</v>
      </c>
      <c r="E371" s="118" t="n">
        <v>118.412467956543</v>
      </c>
      <c r="F371" s="119" t="n">
        <v>5933700</v>
      </c>
      <c r="G371" s="120" t="n">
        <v>-7.88569199814404e-05</v>
      </c>
      <c r="H371" s="121" t="n">
        <v>74.43567607988264</v>
      </c>
      <c r="I371" s="118" t="n">
        <v>106.8680870056152</v>
      </c>
      <c r="J371" s="118" t="n">
        <v>101.8576798629761</v>
      </c>
      <c r="K371" s="120" t="n">
        <v>0.2243093441489742</v>
      </c>
      <c r="L371" s="120" t="n">
        <v>-0.01575465118447017</v>
      </c>
      <c r="M371" s="120" t="n">
        <v>-0.1380368207188936</v>
      </c>
      <c r="N371" t="n">
        <v>63.43435816100719</v>
      </c>
      <c r="O371" t="n">
        <v>-0.390852538887148</v>
      </c>
      <c r="P371" t="n">
        <v>92.56308089169998</v>
      </c>
      <c r="Q371" t="n">
        <v>78.94101810821685</v>
      </c>
    </row>
    <row r="372">
      <c r="A372" s="117" t="n">
        <v>44952</v>
      </c>
      <c r="B372" s="118" t="n">
        <v>119.9437390223188</v>
      </c>
      <c r="C372" s="118" t="n">
        <v>120.4386014849039</v>
      </c>
      <c r="D372" s="118" t="n">
        <v>117.6561577183718</v>
      </c>
      <c r="E372" s="118" t="n">
        <v>119.0753860473633</v>
      </c>
      <c r="F372" s="119" t="n">
        <v>5838800</v>
      </c>
      <c r="G372" s="120" t="n">
        <v>0.005598380831515204</v>
      </c>
      <c r="H372" s="121" t="n">
        <v>74.85239534202913</v>
      </c>
      <c r="I372" s="118" t="n">
        <v>107.2745220947266</v>
      </c>
      <c r="J372" s="118" t="n">
        <v>101.8597941970825</v>
      </c>
      <c r="K372" s="120" t="n">
        <v>0.2229236162831423</v>
      </c>
      <c r="L372" s="120" t="n">
        <v>-0.01024447089015335</v>
      </c>
      <c r="M372" s="120" t="n">
        <v>-0.1332112225785343</v>
      </c>
      <c r="N372" t="n">
        <v>64.64007302005268</v>
      </c>
      <c r="O372" t="n">
        <v>-0.4337788637857924</v>
      </c>
      <c r="P372" t="n">
        <v>93.58039334881325</v>
      </c>
      <c r="Q372" t="n">
        <v>80.48017169677428</v>
      </c>
    </row>
    <row r="373">
      <c r="A373" s="117" t="n">
        <v>44953</v>
      </c>
      <c r="B373" s="118" t="n">
        <v>118.6458826435421</v>
      </c>
      <c r="C373" s="118" t="n">
        <v>120.0557790524267</v>
      </c>
      <c r="D373" s="118" t="n">
        <v>118.3004092623019</v>
      </c>
      <c r="E373" s="118" t="n">
        <v>119.0753860473633</v>
      </c>
      <c r="F373" s="119" t="n">
        <v>5730000</v>
      </c>
      <c r="G373" s="120" t="n">
        <v>0</v>
      </c>
      <c r="H373" s="121" t="n">
        <v>74.85239534202913</v>
      </c>
      <c r="I373" s="118" t="n">
        <v>107.7126062011719</v>
      </c>
      <c r="J373" s="118" t="n">
        <v>101.8765838241577</v>
      </c>
      <c r="K373" s="120" t="n">
        <v>0.2013923592745622</v>
      </c>
      <c r="L373" s="120" t="n">
        <v>-0.01024447089015335</v>
      </c>
      <c r="M373" s="120" t="n">
        <v>-0.1332112225785343</v>
      </c>
      <c r="N373" t="n">
        <v>64.64007302005268</v>
      </c>
      <c r="O373" t="n">
        <v>-0.4760235038230487</v>
      </c>
      <c r="P373" t="n">
        <v>93.79540716960176</v>
      </c>
      <c r="Q373" t="n">
        <v>81.28131793678493</v>
      </c>
    </row>
    <row r="374">
      <c r="A374" s="117" t="n">
        <v>44956</v>
      </c>
      <c r="B374" s="118" t="n">
        <v>118.113658113176</v>
      </c>
      <c r="C374" s="118" t="n">
        <v>119.1033829292751</v>
      </c>
      <c r="D374" s="118" t="n">
        <v>117.8428828642502</v>
      </c>
      <c r="E374" s="118" t="n">
        <v>117.9922790527344</v>
      </c>
      <c r="F374" s="119" t="n">
        <v>6494600</v>
      </c>
      <c r="G374" s="120" t="n">
        <v>-0.009095977183715243</v>
      </c>
      <c r="H374" s="121" t="n">
        <v>74.17153966185161</v>
      </c>
      <c r="I374" s="118" t="n">
        <v>108.0858363342285</v>
      </c>
      <c r="J374" s="118" t="n">
        <v>101.8876801681519</v>
      </c>
      <c r="K374" s="120" t="n">
        <v>0.1989676470473947</v>
      </c>
      <c r="L374" s="120" t="n">
        <v>-0.01924726460039239</v>
      </c>
      <c r="M374" s="120" t="n">
        <v>-0.1410955135210605</v>
      </c>
      <c r="N374" t="n">
        <v>60.83876832853166</v>
      </c>
      <c r="O374" t="n">
        <v>-0.5836627473658202</v>
      </c>
      <c r="P374" t="n">
        <v>92.61857213791897</v>
      </c>
      <c r="Q374" t="n">
        <v>79.63788692328612</v>
      </c>
    </row>
    <row r="375">
      <c r="A375" s="117" t="n">
        <v>44957</v>
      </c>
      <c r="B375" s="118" t="n">
        <v>118.0389816664881</v>
      </c>
      <c r="C375" s="118" t="n">
        <v>119.3741800706214</v>
      </c>
      <c r="D375" s="118" t="n">
        <v>117.6561663295958</v>
      </c>
      <c r="E375" s="118" t="n">
        <v>118.8886566162109</v>
      </c>
      <c r="F375" s="119" t="n">
        <v>7686900</v>
      </c>
      <c r="G375" s="120" t="n">
        <v>0.007596917109092827</v>
      </c>
      <c r="H375" s="121" t="n">
        <v>74.73501470051647</v>
      </c>
      <c r="I375" s="118" t="n">
        <v>108.5045474243164</v>
      </c>
      <c r="J375" s="118" t="n">
        <v>101.8919162750244</v>
      </c>
      <c r="K375" s="120" t="n">
        <v>0.19777751396408</v>
      </c>
      <c r="L375" s="120" t="n">
        <v>-0.01179656736504564</v>
      </c>
      <c r="M375" s="120" t="n">
        <v>-0.1345704873326522</v>
      </c>
      <c r="N375" t="n">
        <v>62.78908653520823</v>
      </c>
      <c r="O375" t="n">
        <v>-0.5989910689444056</v>
      </c>
      <c r="P375" t="n">
        <v>93.98037307089507</v>
      </c>
      <c r="Q375" t="n">
        <v>80.83135721703573</v>
      </c>
    </row>
    <row r="376">
      <c r="A376" s="117" t="n">
        <v>44958</v>
      </c>
      <c r="B376" s="118" t="n">
        <v>119.4208608433172</v>
      </c>
      <c r="C376" s="118" t="n">
        <v>121.5870559755048</v>
      </c>
      <c r="D376" s="118" t="n">
        <v>117.8522362907949</v>
      </c>
      <c r="E376" s="118" t="n">
        <v>120.9147872924805</v>
      </c>
      <c r="F376" s="119" t="n">
        <v>6387900</v>
      </c>
      <c r="G376" s="120" t="n">
        <v>0.01704225393689285</v>
      </c>
      <c r="H376" s="121" t="n">
        <v>76.0086677990201</v>
      </c>
      <c r="I376" s="118" t="n">
        <v>108.9613607788086</v>
      </c>
      <c r="J376" s="118" t="n">
        <v>101.878645324707</v>
      </c>
      <c r="K376" s="120" t="n">
        <v>0.1994587996989044</v>
      </c>
      <c r="L376" s="120" t="n">
        <v>0</v>
      </c>
      <c r="M376" s="120" t="n">
        <v>-0.1198216178132937</v>
      </c>
      <c r="N376" t="n">
        <v>66.81241872847363</v>
      </c>
      <c r="O376" t="n">
        <v>-0.4821937308908493</v>
      </c>
      <c r="P376" t="n">
        <v>94.97917860706188</v>
      </c>
      <c r="Q376" t="n">
        <v>82.55981641021638</v>
      </c>
    </row>
    <row r="377">
      <c r="A377" s="117" t="n">
        <v>44959</v>
      </c>
      <c r="B377" s="118" t="n">
        <v>121.8018089780948</v>
      </c>
      <c r="C377" s="118" t="n">
        <v>122.6047958122351</v>
      </c>
      <c r="D377" s="118" t="n">
        <v>119.383516555084</v>
      </c>
      <c r="E377" s="118" t="n">
        <v>120.5039596557617</v>
      </c>
      <c r="F377" s="119" t="n">
        <v>5214500</v>
      </c>
      <c r="G377" s="120" t="n">
        <v>-0.003397662485441044</v>
      </c>
      <c r="H377" s="121" t="n">
        <v>75.75041599987102</v>
      </c>
      <c r="I377" s="118" t="n">
        <v>109.408840637207</v>
      </c>
      <c r="J377" s="118" t="n">
        <v>101.8717921066284</v>
      </c>
      <c r="K377" s="120" t="n">
        <v>0.1915326609724257</v>
      </c>
      <c r="L377" s="120" t="n">
        <v>-0.003397662485441044</v>
      </c>
      <c r="M377" s="120" t="n">
        <v>-0.1228121668829457</v>
      </c>
      <c r="N377" t="n">
        <v>65.2713741581296</v>
      </c>
      <c r="O377" t="n">
        <v>-0.4431272678439377</v>
      </c>
      <c r="P377" t="n">
        <v>96.36179613652519</v>
      </c>
      <c r="Q377" t="n">
        <v>85.52286734296749</v>
      </c>
    </row>
    <row r="378">
      <c r="A378" s="117" t="n">
        <v>44960</v>
      </c>
      <c r="B378" s="118" t="n">
        <v>118.3844325387791</v>
      </c>
      <c r="C378" s="118" t="n">
        <v>120.8400736001895</v>
      </c>
      <c r="D378" s="118" t="n">
        <v>118.0576372832458</v>
      </c>
      <c r="E378" s="118" t="n">
        <v>119.1500701904297</v>
      </c>
      <c r="F378" s="119" t="n">
        <v>4930200</v>
      </c>
      <c r="G378" s="120" t="n">
        <v>-0.01123522803067734</v>
      </c>
      <c r="H378" s="121" t="n">
        <v>74.89934280269381</v>
      </c>
      <c r="I378" s="118" t="n">
        <v>109.8588436889648</v>
      </c>
      <c r="J378" s="118" t="n">
        <v>101.8330780410767</v>
      </c>
      <c r="K378" s="120" t="n">
        <v>0.1963675821529459</v>
      </c>
      <c r="L378" s="120" t="n">
        <v>-0.01459471700332304</v>
      </c>
      <c r="M378" s="120" t="n">
        <v>-0.1195233489919014</v>
      </c>
      <c r="N378" t="n">
        <v>60.33260924159504</v>
      </c>
      <c r="O378" t="n">
        <v>-0.5140029659599721</v>
      </c>
      <c r="P378" t="n">
        <v>95.33756203194471</v>
      </c>
      <c r="Q378" t="n">
        <v>84.00292882435626</v>
      </c>
    </row>
    <row r="379">
      <c r="A379" s="117" t="n">
        <v>44963</v>
      </c>
      <c r="B379" s="118" t="n">
        <v>117.1986453007815</v>
      </c>
      <c r="C379" s="118" t="n">
        <v>117.7401958958224</v>
      </c>
      <c r="D379" s="118" t="n">
        <v>116.0782021804795</v>
      </c>
      <c r="E379" s="118" t="n">
        <v>117.3947296142578</v>
      </c>
      <c r="F379" s="119" t="n">
        <v>4666400</v>
      </c>
      <c r="G379" s="120" t="n">
        <v>-0.01473218247682462</v>
      </c>
      <c r="H379" s="121" t="n">
        <v>73.79591201713028</v>
      </c>
      <c r="I379" s="118" t="n">
        <v>110.2338996887207</v>
      </c>
      <c r="J379" s="118" t="n">
        <v>101.7910498809814</v>
      </c>
      <c r="K379" s="120" t="n">
        <v>0.1721794785144109</v>
      </c>
      <c r="L379" s="120" t="n">
        <v>-0.02911188744605719</v>
      </c>
      <c r="M379" s="120" t="n">
        <v>-0.1324946916811363</v>
      </c>
      <c r="N379" t="n">
        <v>54.56768031989928</v>
      </c>
      <c r="O379" t="n">
        <v>-0.6745210148468326</v>
      </c>
      <c r="P379" t="n">
        <v>94.75491870495524</v>
      </c>
      <c r="Q379" t="n">
        <v>83.29235570862285</v>
      </c>
    </row>
    <row r="380">
      <c r="A380" s="117" t="n">
        <v>44964</v>
      </c>
      <c r="B380" s="118" t="n">
        <v>115.742069465624</v>
      </c>
      <c r="C380" s="118" t="n">
        <v>117.5814694318874</v>
      </c>
      <c r="D380" s="118" t="n">
        <v>115.0791397789308</v>
      </c>
      <c r="E380" s="118" t="n">
        <v>117.0212478637695</v>
      </c>
      <c r="F380" s="119" t="n">
        <v>5288900</v>
      </c>
      <c r="G380" s="120" t="n">
        <v>-0.003181418379815559</v>
      </c>
      <c r="H380" s="121" t="n">
        <v>73.56113634628372</v>
      </c>
      <c r="I380" s="118" t="n">
        <v>110.5888259887695</v>
      </c>
      <c r="J380" s="118" t="n">
        <v>101.7490523529053</v>
      </c>
      <c r="K380" s="120" t="n">
        <v>0.1724882405508011</v>
      </c>
      <c r="L380" s="120" t="n">
        <v>-0.03220068873208093</v>
      </c>
      <c r="M380" s="120" t="n">
        <v>-0.1352545890136094</v>
      </c>
      <c r="N380" t="n">
        <v>53.3985471895995</v>
      </c>
      <c r="O380" t="n">
        <v>-0.7930861593543921</v>
      </c>
      <c r="P380" t="n">
        <v>95.99418138863439</v>
      </c>
      <c r="Q380" t="n">
        <v>85.01806378907666</v>
      </c>
    </row>
    <row r="381">
      <c r="A381" s="117" t="n">
        <v>44965</v>
      </c>
      <c r="B381" s="118" t="n">
        <v>115.2005159525039</v>
      </c>
      <c r="C381" s="118" t="n">
        <v>115.8727846667029</v>
      </c>
      <c r="D381" s="118" t="n">
        <v>113.7252675225711</v>
      </c>
      <c r="E381" s="118" t="n">
        <v>114.7616806030273</v>
      </c>
      <c r="F381" s="119" t="n">
        <v>5877800</v>
      </c>
      <c r="G381" s="120" t="n">
        <v>-0.01930903405997397</v>
      </c>
      <c r="H381" s="121" t="n">
        <v>72.14074185908294</v>
      </c>
      <c r="I381" s="118" t="n">
        <v>110.9114071655274</v>
      </c>
      <c r="J381" s="118" t="n">
        <v>101.7253391265869</v>
      </c>
      <c r="K381" s="120" t="n">
        <v>0.1831675946719899</v>
      </c>
      <c r="L381" s="120" t="n">
        <v>-0.05088795859657247</v>
      </c>
      <c r="M381" s="120" t="n">
        <v>-0.1519519876075519</v>
      </c>
      <c r="N381" t="n">
        <v>46.85748839525083</v>
      </c>
      <c r="O381" t="n">
        <v>-0.9976986226078939</v>
      </c>
      <c r="P381" t="n">
        <v>94.94449657817499</v>
      </c>
      <c r="Q381" t="n">
        <v>83.50633588950423</v>
      </c>
    </row>
    <row r="382">
      <c r="A382" s="117" t="n">
        <v>44966</v>
      </c>
      <c r="B382" s="118" t="n">
        <v>116.4423428673118</v>
      </c>
      <c r="C382" s="118" t="n">
        <v>116.7317891207862</v>
      </c>
      <c r="D382" s="118" t="n">
        <v>113.4451508478912</v>
      </c>
      <c r="E382" s="118" t="n">
        <v>114.0800704956055</v>
      </c>
      <c r="F382" s="119" t="n">
        <v>5929000</v>
      </c>
      <c r="G382" s="120" t="n">
        <v>-0.005939352786054397</v>
      </c>
      <c r="H382" s="121" t="n">
        <v>71.71227254293416</v>
      </c>
      <c r="I382" s="118" t="n">
        <v>111.2389730834961</v>
      </c>
      <c r="J382" s="118" t="n">
        <v>101.7034491348267</v>
      </c>
      <c r="K382" s="120" t="n">
        <v>0.1712203596936124</v>
      </c>
      <c r="L382" s="120" t="n">
        <v>-0.05652506984395977</v>
      </c>
      <c r="M382" s="120" t="n">
        <v>-0.1569888439326629</v>
      </c>
      <c r="N382" t="n">
        <v>45.06421758937012</v>
      </c>
      <c r="O382" t="n">
        <v>-1.142542258704073</v>
      </c>
      <c r="P382" t="n">
        <v>94.12141086198335</v>
      </c>
      <c r="Q382" t="n">
        <v>82.76832854095748</v>
      </c>
    </row>
    <row r="383">
      <c r="A383" s="117" t="n">
        <v>44967</v>
      </c>
      <c r="B383" s="118" t="n">
        <v>113.4544784985023</v>
      </c>
      <c r="C383" s="118" t="n">
        <v>114.5095624161829</v>
      </c>
      <c r="D383" s="118" t="n">
        <v>112.5487836527858</v>
      </c>
      <c r="E383" s="118" t="n">
        <v>114.1267471313477</v>
      </c>
      <c r="F383" s="119" t="n">
        <v>5195500</v>
      </c>
      <c r="G383" s="120" t="n">
        <v>0.0004091567925879058</v>
      </c>
      <c r="H383" s="121" t="n">
        <v>71.74161410635702</v>
      </c>
      <c r="I383" s="118" t="n">
        <v>111.5434567260742</v>
      </c>
      <c r="J383" s="118" t="n">
        <v>101.7161429595947</v>
      </c>
      <c r="K383" s="120" t="n">
        <v>0.1713587727021867</v>
      </c>
      <c r="L383" s="120" t="n">
        <v>-0.05613904066764996</v>
      </c>
      <c r="M383" s="120" t="n">
        <v>-0.1566439201919305</v>
      </c>
      <c r="N383" t="n">
        <v>45.2188307213556</v>
      </c>
      <c r="O383" t="n">
        <v>-1.193249365647504</v>
      </c>
      <c r="P383" t="n">
        <v>94.34105879216355</v>
      </c>
      <c r="Q383" t="n">
        <v>82.22511193483095</v>
      </c>
    </row>
    <row r="384">
      <c r="A384" s="117" t="n">
        <v>44970</v>
      </c>
      <c r="B384" s="118" t="n">
        <v>114.6776306390307</v>
      </c>
      <c r="C384" s="118" t="n">
        <v>117.3853761581946</v>
      </c>
      <c r="D384" s="118" t="n">
        <v>114.3414963194875</v>
      </c>
      <c r="E384" s="118" t="n">
        <v>116.8531646728516</v>
      </c>
      <c r="F384" s="119" t="n">
        <v>5689800</v>
      </c>
      <c r="G384" s="120" t="n">
        <v>0.0238893827260851</v>
      </c>
      <c r="H384" s="121" t="n">
        <v>73.45547698313088</v>
      </c>
      <c r="I384" s="118" t="n">
        <v>111.8384262084961</v>
      </c>
      <c r="J384" s="118" t="n">
        <v>101.7391357040405</v>
      </c>
      <c r="K384" s="120" t="n">
        <v>0.1922660687660031</v>
      </c>
      <c r="L384" s="120" t="n">
        <v>-0.03359078496994972</v>
      </c>
      <c r="M384" s="120" t="n">
        <v>-0.1364966640270247</v>
      </c>
      <c r="N384" t="n">
        <v>53.45848651685088</v>
      </c>
      <c r="O384" t="n">
        <v>-1.008560908593916</v>
      </c>
      <c r="P384" t="n">
        <v>95.44852976607255</v>
      </c>
      <c r="Q384" t="n">
        <v>83.54201491666974</v>
      </c>
    </row>
    <row r="385">
      <c r="A385" s="117" t="n">
        <v>44971</v>
      </c>
      <c r="B385" s="118" t="n">
        <v>115.7327135820383</v>
      </c>
      <c r="C385" s="118" t="n">
        <v>117.9829456951947</v>
      </c>
      <c r="D385" s="118" t="n">
        <v>115.5366364179065</v>
      </c>
      <c r="E385" s="118" t="n">
        <v>117.8335494995117</v>
      </c>
      <c r="F385" s="119" t="n">
        <v>4845900</v>
      </c>
      <c r="G385" s="120" t="n">
        <v>0.008389886824245574</v>
      </c>
      <c r="H385" s="121" t="n">
        <v>74.07176012164032</v>
      </c>
      <c r="I385" s="118" t="n">
        <v>112.1265670776367</v>
      </c>
      <c r="J385" s="118" t="n">
        <v>101.7401332473755</v>
      </c>
      <c r="K385" s="120" t="n">
        <v>0.1946281786484599</v>
      </c>
      <c r="L385" s="120" t="n">
        <v>-0.02548272102993954</v>
      </c>
      <c r="M385" s="120" t="n">
        <v>-0.129251968765853</v>
      </c>
      <c r="N385" t="n">
        <v>56.02014072260109</v>
      </c>
      <c r="O385" t="n">
        <v>-0.7951417609878337</v>
      </c>
      <c r="P385" t="n">
        <v>95.40460903502262</v>
      </c>
      <c r="Q385" t="n">
        <v>84.15933214602582</v>
      </c>
    </row>
    <row r="386">
      <c r="A386" s="117" t="n">
        <v>44972</v>
      </c>
      <c r="B386" s="118" t="n">
        <v>116.619741471123</v>
      </c>
      <c r="C386" s="118" t="n">
        <v>119.0473727455268</v>
      </c>
      <c r="D386" s="118" t="n">
        <v>116.619741471123</v>
      </c>
      <c r="E386" s="118" t="n">
        <v>119.0287017822266</v>
      </c>
      <c r="F386" s="119" t="n">
        <v>5687900</v>
      </c>
      <c r="G386" s="120" t="n">
        <v>0.01014271646565135</v>
      </c>
      <c r="H386" s="121" t="n">
        <v>74.82304898266587</v>
      </c>
      <c r="I386" s="118" t="n">
        <v>112.4119071960449</v>
      </c>
      <c r="J386" s="118" t="n">
        <v>101.7579857635498</v>
      </c>
      <c r="K386" s="120" t="n">
        <v>0.1922171549853796</v>
      </c>
      <c r="L386" s="120" t="n">
        <v>-0.01559846857846814</v>
      </c>
      <c r="M386" s="120" t="n">
        <v>-0.1204202183720209</v>
      </c>
      <c r="N386" t="n">
        <v>58.98391773737684</v>
      </c>
      <c r="O386" t="n">
        <v>-0.559384311301939</v>
      </c>
      <c r="P386" t="n">
        <v>95.71442286115365</v>
      </c>
      <c r="Q386" t="n">
        <v>84.8040750643669</v>
      </c>
    </row>
    <row r="387">
      <c r="A387" s="117" t="n">
        <v>44973</v>
      </c>
      <c r="B387" s="118" t="n">
        <v>117.114609331831</v>
      </c>
      <c r="C387" s="118" t="n">
        <v>118.7766029628706</v>
      </c>
      <c r="D387" s="118" t="n">
        <v>115.8821191125745</v>
      </c>
      <c r="E387" s="118" t="n">
        <v>116.1342163085938</v>
      </c>
      <c r="F387" s="119" t="n">
        <v>4722200</v>
      </c>
      <c r="G387" s="120" t="n">
        <v>-0.02431754215826476</v>
      </c>
      <c r="H387" s="121" t="n">
        <v>73.00353633461998</v>
      </c>
      <c r="I387" s="118" t="n">
        <v>112.6875369262695</v>
      </c>
      <c r="J387" s="118" t="n">
        <v>101.7549771499634</v>
      </c>
      <c r="K387" s="120" t="n">
        <v>0.2045898076823794</v>
      </c>
      <c r="L387" s="120" t="n">
        <v>-0.0395366943194716</v>
      </c>
      <c r="M387" s="120" t="n">
        <v>-0.1418094367933165</v>
      </c>
      <c r="N387" t="n">
        <v>50.16655373089375</v>
      </c>
      <c r="O387" t="n">
        <v>-0.5817006191938379</v>
      </c>
      <c r="P387" t="n">
        <v>94.39655003838257</v>
      </c>
      <c r="Q387" t="n">
        <v>83.2127955790813</v>
      </c>
    </row>
    <row r="388">
      <c r="A388" s="117" t="n">
        <v>44974</v>
      </c>
      <c r="B388" s="118" t="n">
        <v>115.5086291304002</v>
      </c>
      <c r="C388" s="118" t="n">
        <v>116.6104011668808</v>
      </c>
      <c r="D388" s="118" t="n">
        <v>115.2565319487559</v>
      </c>
      <c r="E388" s="118" t="n">
        <v>116.5637130737305</v>
      </c>
      <c r="F388" s="119" t="n">
        <v>5161500</v>
      </c>
      <c r="G388" s="120" t="n">
        <v>0.003698279273659066</v>
      </c>
      <c r="H388" s="121" t="n">
        <v>73.27352379995013</v>
      </c>
      <c r="I388" s="118" t="n">
        <v>113.0033157348633</v>
      </c>
      <c r="J388" s="118" t="n">
        <v>101.7690227890015</v>
      </c>
      <c r="K388" s="120" t="n">
        <v>0.195436713396519</v>
      </c>
      <c r="L388" s="120" t="n">
        <v>-0.03598463278296316</v>
      </c>
      <c r="M388" s="120" t="n">
        <v>-0.1173050226742408</v>
      </c>
      <c r="N388" t="n">
        <v>51.32919802225553</v>
      </c>
      <c r="O388" t="n">
        <v>-0.5511481064535693</v>
      </c>
      <c r="P388" t="n">
        <v>94.16071962110686</v>
      </c>
      <c r="Q388" t="n">
        <v>82.6256636952654</v>
      </c>
    </row>
    <row r="389">
      <c r="A389" s="117" t="n">
        <v>44978</v>
      </c>
      <c r="B389" s="118" t="n">
        <v>115.1071398866536</v>
      </c>
      <c r="C389" s="118" t="n">
        <v>115.7794085600044</v>
      </c>
      <c r="D389" s="118" t="n">
        <v>112.959622873009</v>
      </c>
      <c r="E389" s="118" t="n">
        <v>113.071662902832</v>
      </c>
      <c r="F389" s="119" t="n">
        <v>5110300</v>
      </c>
      <c r="G389" s="120" t="n">
        <v>-0.02995829558629104</v>
      </c>
      <c r="H389" s="121" t="n">
        <v>71.07837391530208</v>
      </c>
      <c r="I389" s="118" t="n">
        <v>113.2417840576172</v>
      </c>
      <c r="J389" s="118" t="n">
        <v>101.7507940292358</v>
      </c>
      <c r="K389" s="120" t="n">
        <v>0.2140794793804748</v>
      </c>
      <c r="L389" s="120" t="n">
        <v>-0.06486489010377816</v>
      </c>
      <c r="M389" s="120" t="n">
        <v>-0.1437490597175004</v>
      </c>
      <c r="N389" t="n">
        <v>42.62222298975944</v>
      </c>
      <c r="O389" t="n">
        <v>-0.7380678403724703</v>
      </c>
      <c r="P389" t="n">
        <v>92.27176660736031</v>
      </c>
      <c r="Q389" t="n">
        <v>80.66949438905418</v>
      </c>
    </row>
    <row r="390">
      <c r="A390" s="117" t="n">
        <v>44979</v>
      </c>
      <c r="B390" s="118" t="n">
        <v>113.0716760805856</v>
      </c>
      <c r="C390" s="118" t="n">
        <v>113.3517904349949</v>
      </c>
      <c r="D390" s="118" t="n">
        <v>111.7084676112418</v>
      </c>
      <c r="E390" s="118" t="n">
        <v>111.9512329101562</v>
      </c>
      <c r="F390" s="119" t="n">
        <v>5022000</v>
      </c>
      <c r="G390" s="120" t="n">
        <v>-0.009909025514541314</v>
      </c>
      <c r="H390" s="121" t="n">
        <v>70.37405649464324</v>
      </c>
      <c r="I390" s="118" t="n">
        <v>113.401261138916</v>
      </c>
      <c r="J390" s="118" t="n">
        <v>101.7613599777222</v>
      </c>
      <c r="K390" s="120" t="n">
        <v>0.2133592474486679</v>
      </c>
      <c r="L390" s="120" t="n">
        <v>-0.07413116776728323</v>
      </c>
      <c r="M390" s="120" t="n">
        <v>-0.1310025472368769</v>
      </c>
      <c r="N390" t="n">
        <v>40.26233847539762</v>
      </c>
      <c r="O390" t="n">
        <v>-0.8984628588965883</v>
      </c>
      <c r="P390" t="n">
        <v>92.14460900698185</v>
      </c>
      <c r="Q390" t="n">
        <v>80.7298565363062</v>
      </c>
    </row>
    <row r="391">
      <c r="A391" s="117" t="n">
        <v>44980</v>
      </c>
      <c r="B391" s="118" t="n">
        <v>112.7542070738294</v>
      </c>
      <c r="C391" s="118" t="n">
        <v>112.7542070738294</v>
      </c>
      <c r="D391" s="118" t="n">
        <v>110.6907200748602</v>
      </c>
      <c r="E391" s="118" t="n">
        <v>112.0072402954102</v>
      </c>
      <c r="F391" s="119" t="n">
        <v>4101900</v>
      </c>
      <c r="G391" s="120" t="n">
        <v>0.0005002837735503807</v>
      </c>
      <c r="H391" s="121" t="n">
        <v>70.40926349318643</v>
      </c>
      <c r="I391" s="118" t="n">
        <v>113.5980863952637</v>
      </c>
      <c r="J391" s="118" t="n">
        <v>101.7913717651367</v>
      </c>
      <c r="K391" s="120" t="n">
        <v>0.213464187901732</v>
      </c>
      <c r="L391" s="120" t="n">
        <v>-0.07366797061408115</v>
      </c>
      <c r="M391" s="120" t="n">
        <v>-0.1305678019120029</v>
      </c>
      <c r="N391" t="n">
        <v>40.43986187456902</v>
      </c>
      <c r="O391" t="n">
        <v>-0.9566992640860992</v>
      </c>
      <c r="P391" t="n">
        <v>92.63476938332467</v>
      </c>
      <c r="Q391" t="n">
        <v>81.4349445142426</v>
      </c>
    </row>
    <row r="392">
      <c r="A392" s="117" t="n">
        <v>44981</v>
      </c>
      <c r="B392" s="118" t="n">
        <v>110.1491566348374</v>
      </c>
      <c r="C392" s="118" t="n">
        <v>110.8681061980128</v>
      </c>
      <c r="D392" s="118" t="n">
        <v>109.5609180504553</v>
      </c>
      <c r="E392" s="118" t="n">
        <v>110.2145156860352</v>
      </c>
      <c r="F392" s="119" t="n">
        <v>4693000</v>
      </c>
      <c r="G392" s="120" t="n">
        <v>-0.01600543504729546</v>
      </c>
      <c r="H392" s="121" t="n">
        <v>69.28233259961833</v>
      </c>
      <c r="I392" s="118" t="n">
        <v>113.7095701599121</v>
      </c>
      <c r="J392" s="118" t="n">
        <v>101.8276044845581</v>
      </c>
      <c r="K392" s="120" t="n">
        <v>0.2160963463043442</v>
      </c>
      <c r="L392" s="120" t="n">
        <v>-0.08849431774264682</v>
      </c>
      <c r="M392" s="120" t="n">
        <v>-0.1444834424865277</v>
      </c>
      <c r="N392" t="n">
        <v>36.68221546869751</v>
      </c>
      <c r="O392" t="n">
        <v>-1.063653026766566</v>
      </c>
      <c r="P392" t="n">
        <v>91.64519517016582</v>
      </c>
      <c r="Q392" t="n">
        <v>80.07139222964426</v>
      </c>
    </row>
    <row r="393">
      <c r="A393" s="117" t="n">
        <v>44984</v>
      </c>
      <c r="B393" s="118" t="n">
        <v>111.3536505715495</v>
      </c>
      <c r="C393" s="118" t="n">
        <v>111.8765230463406</v>
      </c>
      <c r="D393" s="118" t="n">
        <v>110.475965668633</v>
      </c>
      <c r="E393" s="118" t="n">
        <v>110.6720428466797</v>
      </c>
      <c r="F393" s="119" t="n">
        <v>4239800</v>
      </c>
      <c r="G393" s="120" t="n">
        <v>0.004151242309569092</v>
      </c>
      <c r="H393" s="121" t="n">
        <v>69.56994035001149</v>
      </c>
      <c r="I393" s="118" t="n">
        <v>113.8156390380859</v>
      </c>
      <c r="J393" s="118" t="n">
        <v>101.8740874099731</v>
      </c>
      <c r="K393" s="120" t="n">
        <v>0.2175545302458654</v>
      </c>
      <c r="L393" s="120" t="n">
        <v>-0.08471043678904755</v>
      </c>
      <c r="M393" s="120" t="n">
        <v>-0.1409319859564409</v>
      </c>
      <c r="N393" t="n">
        <v>38.25898420843768</v>
      </c>
      <c r="O393" t="n">
        <v>-1.049505100970777</v>
      </c>
      <c r="P393" t="n">
        <v>91.95733343014776</v>
      </c>
      <c r="Q393" t="n">
        <v>80.64478563748263</v>
      </c>
    </row>
    <row r="394">
      <c r="A394" s="117" t="n">
        <v>44985</v>
      </c>
      <c r="B394" s="118" t="n">
        <v>110.8681144582488</v>
      </c>
      <c r="C394" s="118" t="n">
        <v>112.4180679644212</v>
      </c>
      <c r="D394" s="118" t="n">
        <v>110.03711769242</v>
      </c>
      <c r="E394" s="118" t="n">
        <v>110.9148025512695</v>
      </c>
      <c r="F394" s="119" t="n">
        <v>8414100</v>
      </c>
      <c r="G394" s="120" t="n">
        <v>0.002193505228110348</v>
      </c>
      <c r="H394" s="121" t="n">
        <v>69.72254237788857</v>
      </c>
      <c r="I394" s="118" t="n">
        <v>113.9527069091797</v>
      </c>
      <c r="J394" s="118" t="n">
        <v>101.9290524673462</v>
      </c>
      <c r="K394" s="120" t="n">
        <v>0.2174372043525878</v>
      </c>
      <c r="L394" s="120" t="n">
        <v>-0.0827027443469095</v>
      </c>
      <c r="M394" s="120" t="n">
        <v>-0.139047615776334</v>
      </c>
      <c r="N394" t="n">
        <v>39.12519635045486</v>
      </c>
      <c r="O394" t="n">
        <v>-0.9715085635075184</v>
      </c>
      <c r="P394" t="n">
        <v>91.61745692621139</v>
      </c>
      <c r="Q394" t="n">
        <v>80.54053384402626</v>
      </c>
    </row>
    <row r="395">
      <c r="A395" s="117" t="n">
        <v>44986</v>
      </c>
      <c r="B395" s="118" t="n">
        <v>110.1304884744228</v>
      </c>
      <c r="C395" s="118" t="n">
        <v>111.8485091692509</v>
      </c>
      <c r="D395" s="118" t="n">
        <v>110.0184484471882</v>
      </c>
      <c r="E395" s="118" t="n">
        <v>110.7187271118164</v>
      </c>
      <c r="F395" s="119" t="n">
        <v>4120500</v>
      </c>
      <c r="G395" s="120" t="n">
        <v>-0.001767802267533147</v>
      </c>
      <c r="H395" s="121" t="n">
        <v>69.59928670937477</v>
      </c>
      <c r="I395" s="118" t="n">
        <v>114.1407550048828</v>
      </c>
      <c r="J395" s="118" t="n">
        <v>101.9831296539307</v>
      </c>
      <c r="K395" s="120" t="n">
        <v>0.213896913195139</v>
      </c>
      <c r="L395" s="120" t="n">
        <v>-0.0843243445154549</v>
      </c>
      <c r="M395" s="120" t="n">
        <v>-0.1405696093534027</v>
      </c>
      <c r="N395" t="n">
        <v>38.65349132424574</v>
      </c>
      <c r="O395" t="n">
        <v>-0.8833728297429434</v>
      </c>
      <c r="P395" t="n">
        <v>91.26603204457119</v>
      </c>
      <c r="Q395" t="n">
        <v>79.89305690061504</v>
      </c>
    </row>
    <row r="396">
      <c r="A396" s="117" t="n">
        <v>44987</v>
      </c>
      <c r="B396" s="118" t="n">
        <v>109.7570154674822</v>
      </c>
      <c r="C396" s="118" t="n">
        <v>112.007240605484</v>
      </c>
      <c r="D396" s="118" t="n">
        <v>109.7570154674822</v>
      </c>
      <c r="E396" s="118" t="n">
        <v>111.6524353027344</v>
      </c>
      <c r="F396" s="119" t="n">
        <v>4443200</v>
      </c>
      <c r="G396" s="120" t="n">
        <v>0.00843315503415254</v>
      </c>
      <c r="H396" s="121" t="n">
        <v>70.18622828446135</v>
      </c>
      <c r="I396" s="118" t="n">
        <v>114.3952830505371</v>
      </c>
      <c r="J396" s="118" t="n">
        <v>102.0182189941406</v>
      </c>
      <c r="K396" s="120" t="n">
        <v>0.2049442615550846</v>
      </c>
      <c r="L396" s="120" t="n">
        <v>-0.07660230975175464</v>
      </c>
      <c r="M396" s="120" t="n">
        <v>-0.1333218996280177</v>
      </c>
      <c r="N396" t="n">
        <v>42.22557993405991</v>
      </c>
      <c r="O396" t="n">
        <v>-0.719388727690231</v>
      </c>
      <c r="P396" t="n">
        <v>91.97583297193913</v>
      </c>
      <c r="Q396" t="n">
        <v>80.55424668851877</v>
      </c>
    </row>
    <row r="397">
      <c r="A397" s="117" t="n">
        <v>44988</v>
      </c>
      <c r="B397" s="118" t="n">
        <v>112.4857851735691</v>
      </c>
      <c r="C397" s="118" t="n">
        <v>113.3378827244186</v>
      </c>
      <c r="D397" s="118" t="n">
        <v>111.4464170469292</v>
      </c>
      <c r="E397" s="118" t="n">
        <v>113.2442474365234</v>
      </c>
      <c r="F397" s="119" t="n">
        <v>3871800</v>
      </c>
      <c r="G397" s="120" t="n">
        <v>0.01425685099902241</v>
      </c>
      <c r="H397" s="121" t="n">
        <v>71.18686288329629</v>
      </c>
      <c r="I397" s="118" t="n">
        <v>114.7358023071289</v>
      </c>
      <c r="J397" s="118" t="n">
        <v>102.063165435791</v>
      </c>
      <c r="K397" s="120" t="n">
        <v>0.2148564909657179</v>
      </c>
      <c r="L397" s="120" t="n">
        <v>-0.06343756646904397</v>
      </c>
      <c r="M397" s="120" t="n">
        <v>-0.1209657990868986</v>
      </c>
      <c r="N397" t="n">
        <v>47.80543571543556</v>
      </c>
      <c r="O397" t="n">
        <v>-0.4728223668111019</v>
      </c>
      <c r="P397" t="n">
        <v>93.45092607289399</v>
      </c>
      <c r="Q397" t="n">
        <v>82.21961825320558</v>
      </c>
    </row>
    <row r="398">
      <c r="A398" s="117" t="n">
        <v>44991</v>
      </c>
      <c r="B398" s="118" t="n">
        <v>113.4221661266324</v>
      </c>
      <c r="C398" s="118" t="n">
        <v>114.2274425594571</v>
      </c>
      <c r="D398" s="118" t="n">
        <v>112.3266181228762</v>
      </c>
      <c r="E398" s="118" t="n">
        <v>112.5232543945312</v>
      </c>
      <c r="F398" s="119" t="n">
        <v>5183800</v>
      </c>
      <c r="G398" s="120" t="n">
        <v>-0.006366707875349875</v>
      </c>
      <c r="H398" s="121" t="n">
        <v>70.73363692275575</v>
      </c>
      <c r="I398" s="118" t="n">
        <v>115.0589137268066</v>
      </c>
      <c r="J398" s="118" t="n">
        <v>102.089229850769</v>
      </c>
      <c r="K398" s="120" t="n">
        <v>0.2130734889523884</v>
      </c>
      <c r="L398" s="120" t="n">
        <v>-0.06940038589036235</v>
      </c>
      <c r="M398" s="120" t="n">
        <v>-0.1265623530565539</v>
      </c>
      <c r="N398" t="n">
        <v>45.65465378470141</v>
      </c>
      <c r="O398" t="n">
        <v>-0.3339406274203047</v>
      </c>
      <c r="P398" t="n">
        <v>93.51564864212098</v>
      </c>
      <c r="Q398" t="n">
        <v>82.3129083148963</v>
      </c>
    </row>
    <row r="399">
      <c r="A399" s="117" t="n">
        <v>44992</v>
      </c>
      <c r="B399" s="118" t="n">
        <v>112.5513328702538</v>
      </c>
      <c r="C399" s="118" t="n">
        <v>113.3191536768167</v>
      </c>
      <c r="D399" s="118" t="n">
        <v>111.6430627009592</v>
      </c>
      <c r="E399" s="118" t="n">
        <v>111.9801483154297</v>
      </c>
      <c r="F399" s="119" t="n">
        <v>5345700</v>
      </c>
      <c r="G399" s="120" t="n">
        <v>-0.004826611903680944</v>
      </c>
      <c r="H399" s="121" t="n">
        <v>70.39223310879373</v>
      </c>
      <c r="I399" s="118" t="n">
        <v>115.1364295959473</v>
      </c>
      <c r="J399" s="118" t="n">
        <v>102.1428089904785</v>
      </c>
      <c r="K399" s="120" t="n">
        <v>0.2085515730954281</v>
      </c>
      <c r="L399" s="120" t="n">
        <v>-0.07389202906538483</v>
      </c>
      <c r="M399" s="120" t="n">
        <v>-0.1307780976004143</v>
      </c>
      <c r="N399" t="n">
        <v>44.04706721523574</v>
      </c>
      <c r="O399" t="n">
        <v>-0.2577204842162248</v>
      </c>
      <c r="P399" t="n">
        <v>92.08218135498542</v>
      </c>
      <c r="Q399" t="n">
        <v>81.30324994414457</v>
      </c>
    </row>
    <row r="400">
      <c r="A400" s="117" t="n">
        <v>44993</v>
      </c>
      <c r="B400" s="118" t="n">
        <v>111.6805032464389</v>
      </c>
      <c r="C400" s="118" t="n">
        <v>112.4015099293492</v>
      </c>
      <c r="D400" s="118" t="n">
        <v>111.1748712883406</v>
      </c>
      <c r="E400" s="118" t="n">
        <v>112.2329635620117</v>
      </c>
      <c r="F400" s="119" t="n">
        <v>4175200</v>
      </c>
      <c r="G400" s="120" t="n">
        <v>0.002257679154611392</v>
      </c>
      <c r="H400" s="121" t="n">
        <v>70.55115618613</v>
      </c>
      <c r="I400" s="118" t="n">
        <v>115.201634979248</v>
      </c>
      <c r="J400" s="118" t="n">
        <v>102.2112163925171</v>
      </c>
      <c r="K400" s="120" t="n">
        <v>0.2091311978358397</v>
      </c>
      <c r="L400" s="120" t="n">
        <v>-0.0718011744044863</v>
      </c>
      <c r="M400" s="120" t="n">
        <v>-0.1288156734306352</v>
      </c>
      <c r="N400" t="n">
        <v>45.0176133492003</v>
      </c>
      <c r="O400" t="n">
        <v>-0.1733897646969265</v>
      </c>
      <c r="P400" t="n">
        <v>92.23245784823678</v>
      </c>
      <c r="Q400" t="n">
        <v>81.70931247386106</v>
      </c>
    </row>
    <row r="401">
      <c r="A401" s="117" t="n">
        <v>44994</v>
      </c>
      <c r="B401" s="118" t="n">
        <v>112.4389767024631</v>
      </c>
      <c r="C401" s="118" t="n">
        <v>114.105709199331</v>
      </c>
      <c r="D401" s="118" t="n">
        <v>110.0699687955274</v>
      </c>
      <c r="E401" s="118" t="n">
        <v>110.3696060180664</v>
      </c>
      <c r="F401" s="119" t="n">
        <v>5635900</v>
      </c>
      <c r="G401" s="120" t="n">
        <v>-0.01660258701906026</v>
      </c>
      <c r="H401" s="121" t="n">
        <v>69.37982447625447</v>
      </c>
      <c r="I401" s="118" t="n">
        <v>115.2381632995605</v>
      </c>
      <c r="J401" s="118" t="n">
        <v>102.2630850601196</v>
      </c>
      <c r="K401" s="120" t="n">
        <v>0.2063632198885643</v>
      </c>
      <c r="L401" s="120" t="n">
        <v>-0.08721167617742531</v>
      </c>
      <c r="M401" s="120" t="n">
        <v>-0.1432795870221444</v>
      </c>
      <c r="N401" t="n">
        <v>39.5696612643661</v>
      </c>
      <c r="O401" t="n">
        <v>-0.2230502621173783</v>
      </c>
      <c r="P401" t="n">
        <v>90.53078041132432</v>
      </c>
      <c r="Q401" t="n">
        <v>80.29361720487785</v>
      </c>
    </row>
    <row r="402">
      <c r="A402" s="117" t="n">
        <v>44995</v>
      </c>
      <c r="B402" s="118" t="n">
        <v>111.2685221470508</v>
      </c>
      <c r="C402" s="118" t="n">
        <v>111.4183371923698</v>
      </c>
      <c r="D402" s="118" t="n">
        <v>109.2178755813783</v>
      </c>
      <c r="E402" s="118" t="n">
        <v>110.013786315918</v>
      </c>
      <c r="F402" s="119" t="n">
        <v>5979600</v>
      </c>
      <c r="G402" s="120" t="n">
        <v>-0.00322389211111429</v>
      </c>
      <c r="H402" s="121" t="n">
        <v>69.15615140745498</v>
      </c>
      <c r="I402" s="118" t="n">
        <v>115.2431120300293</v>
      </c>
      <c r="J402" s="118" t="n">
        <v>102.310258140564</v>
      </c>
      <c r="K402" s="120" t="n">
        <v>0.2058773022945641</v>
      </c>
      <c r="L402" s="120" t="n">
        <v>-0.09015440725371404</v>
      </c>
      <c r="M402" s="120" t="n">
        <v>-0.1460415612029743</v>
      </c>
      <c r="N402" t="n">
        <v>38.60881098921855</v>
      </c>
      <c r="O402" t="n">
        <v>-0.2573746532935808</v>
      </c>
      <c r="P402" t="n">
        <v>89.22447810372233</v>
      </c>
      <c r="Q402" t="n">
        <v>79.16599419617725</v>
      </c>
    </row>
    <row r="403">
      <c r="A403" s="117" t="n">
        <v>44998</v>
      </c>
      <c r="B403" s="118" t="n">
        <v>108.4500662582843</v>
      </c>
      <c r="C403" s="118" t="n">
        <v>110.7628947572406</v>
      </c>
      <c r="D403" s="118" t="n">
        <v>108.4219763807935</v>
      </c>
      <c r="E403" s="118" t="n">
        <v>109.4238891601562</v>
      </c>
      <c r="F403" s="119" t="n">
        <v>6038200</v>
      </c>
      <c r="G403" s="120" t="n">
        <v>-0.005362029392095957</v>
      </c>
      <c r="H403" s="121" t="n">
        <v>68.78533409096397</v>
      </c>
      <c r="I403" s="118" t="n">
        <v>115.2844421386719</v>
      </c>
      <c r="J403" s="118" t="n">
        <v>102.3606851577759</v>
      </c>
      <c r="K403" s="120" t="n">
        <v>0.2061000240768195</v>
      </c>
      <c r="L403" s="120" t="n">
        <v>-0.09503302606428865</v>
      </c>
      <c r="M403" s="120" t="n">
        <v>-0.1506205114514323</v>
      </c>
      <c r="N403" t="n">
        <v>37.0045341228933</v>
      </c>
      <c r="O403" t="n">
        <v>-0.2946389962273992</v>
      </c>
      <c r="P403" t="n">
        <v>89.09731312418879</v>
      </c>
      <c r="Q403" t="n">
        <v>79.75312607999314</v>
      </c>
    </row>
    <row r="404">
      <c r="A404" s="117" t="n">
        <v>44999</v>
      </c>
      <c r="B404" s="118" t="n">
        <v>111.4277038574219</v>
      </c>
      <c r="C404" s="118" t="n">
        <v>111.8865218141856</v>
      </c>
      <c r="D404" s="118" t="n">
        <v>109.7703369517728</v>
      </c>
      <c r="E404" s="118" t="n">
        <v>111.4277038574219</v>
      </c>
      <c r="F404" s="119" t="n">
        <v>6050800</v>
      </c>
      <c r="G404" s="120" t="n">
        <v>0.01831240611757812</v>
      </c>
      <c r="H404" s="121" t="n">
        <v>70.04495906377099</v>
      </c>
      <c r="I404" s="118" t="n">
        <v>115.3215908813477</v>
      </c>
      <c r="J404" s="118" t="n">
        <v>102.4169184494019</v>
      </c>
      <c r="K404" s="120" t="n">
        <v>0.1975752189047393</v>
      </c>
      <c r="L404" s="120" t="n">
        <v>-0.07846090331458222</v>
      </c>
      <c r="M404" s="120" t="n">
        <v>-0.1350663293091902</v>
      </c>
      <c r="N404" t="n">
        <v>45.31668914464932</v>
      </c>
      <c r="O404" t="n">
        <v>-0.1655964125854275</v>
      </c>
      <c r="P404" t="n">
        <v>90.57010392875799</v>
      </c>
      <c r="Q404" t="n">
        <v>81.58583706663015</v>
      </c>
    </row>
    <row r="405">
      <c r="A405" s="117" t="n">
        <v>45000</v>
      </c>
      <c r="B405" s="118" t="n">
        <v>108.9182422766973</v>
      </c>
      <c r="C405" s="118" t="n">
        <v>111.0812484184235</v>
      </c>
      <c r="D405" s="118" t="n">
        <v>108.440692961177</v>
      </c>
      <c r="E405" s="118" t="n">
        <v>110.650520324707</v>
      </c>
      <c r="F405" s="119" t="n">
        <v>6599200</v>
      </c>
      <c r="G405" s="120" t="n">
        <v>-0.00697477831643456</v>
      </c>
      <c r="H405" s="121" t="n">
        <v>69.55641100211746</v>
      </c>
      <c r="I405" s="118" t="n">
        <v>115.3495452880859</v>
      </c>
      <c r="J405" s="118" t="n">
        <v>102.4473222351074</v>
      </c>
      <c r="K405" s="120" t="n">
        <v>0.1940452287115543</v>
      </c>
      <c r="L405" s="120" t="n">
        <v>-0.08488843422389025</v>
      </c>
      <c r="M405" s="120" t="n">
        <v>-0.1410990499206787</v>
      </c>
      <c r="N405" t="n">
        <v>42.94960223376129</v>
      </c>
      <c r="O405" t="n">
        <v>-0.1161798771310356</v>
      </c>
      <c r="P405" t="n">
        <v>90.00364308886402</v>
      </c>
      <c r="Q405" t="n">
        <v>82.01383160370631</v>
      </c>
    </row>
    <row r="406">
      <c r="A406" s="117" t="n">
        <v>45001</v>
      </c>
      <c r="B406" s="118" t="n">
        <v>109.4238769362437</v>
      </c>
      <c r="C406" s="118" t="n">
        <v>113.122524700282</v>
      </c>
      <c r="D406" s="118" t="n">
        <v>109.1897851247497</v>
      </c>
      <c r="E406" s="118" t="n">
        <v>112.9727096557617</v>
      </c>
      <c r="F406" s="119" t="n">
        <v>5658700</v>
      </c>
      <c r="G406" s="120" t="n">
        <v>0.02098670050750928</v>
      </c>
      <c r="H406" s="121" t="n">
        <v>71.01617056819613</v>
      </c>
      <c r="I406" s="118" t="n">
        <v>115.3914503479004</v>
      </c>
      <c r="J406" s="118" t="n">
        <v>102.4752172088623</v>
      </c>
      <c r="K406" s="120" t="n">
        <v>0.2072086109811215</v>
      </c>
      <c r="L406" s="120" t="n">
        <v>-0.06568326186198903</v>
      </c>
      <c r="M406" s="120" t="n">
        <v>-0.1230735529157488</v>
      </c>
      <c r="N406" t="n">
        <v>51.15880578651197</v>
      </c>
      <c r="O406" t="n">
        <v>0.07879763039322496</v>
      </c>
      <c r="P406" t="n">
        <v>91.58277489732448</v>
      </c>
      <c r="Q406" t="n">
        <v>84.17578755941682</v>
      </c>
    </row>
    <row r="407">
      <c r="A407" s="117" t="n">
        <v>45002</v>
      </c>
      <c r="B407" s="118" t="n">
        <v>113.4596133289864</v>
      </c>
      <c r="C407" s="118" t="n">
        <v>113.9839838254091</v>
      </c>
      <c r="D407" s="118" t="n">
        <v>111.1186952996985</v>
      </c>
      <c r="E407" s="118" t="n">
        <v>112.729248046875</v>
      </c>
      <c r="F407" s="119" t="n">
        <v>12868900</v>
      </c>
      <c r="G407" s="120" t="n">
        <v>-0.002155047972457802</v>
      </c>
      <c r="H407" s="121" t="n">
        <v>70.86312731380141</v>
      </c>
      <c r="I407" s="118" t="n">
        <v>115.3825479125977</v>
      </c>
      <c r="J407" s="118" t="n">
        <v>102.4886546707153</v>
      </c>
      <c r="K407" s="120" t="n">
        <v>0.1905606160843232</v>
      </c>
      <c r="L407" s="120" t="n">
        <v>-0.06769675925414687</v>
      </c>
      <c r="M407" s="120" t="n">
        <v>-0.1249633714775324</v>
      </c>
      <c r="N407" t="n">
        <v>50.34094153226085</v>
      </c>
      <c r="O407" t="n">
        <v>0.1908754471993117</v>
      </c>
      <c r="P407" t="n">
        <v>90.51191929093393</v>
      </c>
      <c r="Q407" t="n">
        <v>83.77797836788085</v>
      </c>
    </row>
    <row r="408">
      <c r="A408" s="117" t="n">
        <v>45005</v>
      </c>
      <c r="B408" s="118" t="n">
        <v>113.2910727780956</v>
      </c>
      <c r="C408" s="118" t="n">
        <v>114.8735357334227</v>
      </c>
      <c r="D408" s="118" t="n">
        <v>112.1861591256269</v>
      </c>
      <c r="E408" s="118" t="n">
        <v>113.4877090454102</v>
      </c>
      <c r="F408" s="119" t="n">
        <v>7594100</v>
      </c>
      <c r="G408" s="120" t="n">
        <v>0.006728165153907284</v>
      </c>
      <c r="H408" s="121" t="n">
        <v>71.33990613769102</v>
      </c>
      <c r="I408" s="118" t="n">
        <v>115.399832611084</v>
      </c>
      <c r="J408" s="118" t="n">
        <v>102.5066714859009</v>
      </c>
      <c r="K408" s="120" t="n">
        <v>0.1919380932042477</v>
      </c>
      <c r="L408" s="120" t="n">
        <v>-0.06142406907688591</v>
      </c>
      <c r="M408" s="120" t="n">
        <v>-0.119075980525115</v>
      </c>
      <c r="N408" t="n">
        <v>52.86882221424918</v>
      </c>
      <c r="O408" t="n">
        <v>0.308623355917798</v>
      </c>
      <c r="P408" t="n">
        <v>91.38226849542779</v>
      </c>
      <c r="Q408" t="n">
        <v>84.07526087511854</v>
      </c>
    </row>
    <row r="409">
      <c r="A409" s="117" t="n">
        <v>45006</v>
      </c>
      <c r="B409" s="118" t="n">
        <v>115.6413528912921</v>
      </c>
      <c r="C409" s="118" t="n">
        <v>118.0384507137551</v>
      </c>
      <c r="D409" s="118" t="n">
        <v>115.1450794024773</v>
      </c>
      <c r="E409" s="118" t="n">
        <v>117.6170883178711</v>
      </c>
      <c r="F409" s="119" t="n">
        <v>15078800</v>
      </c>
      <c r="G409" s="120" t="n">
        <v>0.03638613650054956</v>
      </c>
      <c r="H409" s="121" t="n">
        <v>73.93568970035345</v>
      </c>
      <c r="I409" s="118" t="n">
        <v>115.4266888427734</v>
      </c>
      <c r="J409" s="118" t="n">
        <v>102.5234378051758</v>
      </c>
      <c r="K409" s="120" t="n">
        <v>0.2044662686446436</v>
      </c>
      <c r="L409" s="120" t="n">
        <v>-0.02727291713818691</v>
      </c>
      <c r="M409" s="120" t="n">
        <v>-0.08702255890588917</v>
      </c>
      <c r="N409" t="n">
        <v>63.70240572117442</v>
      </c>
      <c r="O409" t="n">
        <v>0.6381733425608408</v>
      </c>
      <c r="P409" t="n">
        <v>92.58214862843265</v>
      </c>
      <c r="Q409" t="n">
        <v>85.27607031741587</v>
      </c>
    </row>
    <row r="410">
      <c r="A410" s="117" t="n">
        <v>45007</v>
      </c>
      <c r="B410" s="118" t="n">
        <v>115.7911884674986</v>
      </c>
      <c r="C410" s="118" t="n">
        <v>117.2893747797915</v>
      </c>
      <c r="D410" s="118" t="n">
        <v>111.7367161786716</v>
      </c>
      <c r="E410" s="118" t="n">
        <v>111.8958969116211</v>
      </c>
      <c r="F410" s="119" t="n">
        <v>17625500</v>
      </c>
      <c r="G410" s="120" t="n">
        <v>-0.0486425186005961</v>
      </c>
      <c r="H410" s="121" t="n">
        <v>70.33927153885611</v>
      </c>
      <c r="I410" s="118" t="n">
        <v>115.3331457519531</v>
      </c>
      <c r="J410" s="118" t="n">
        <v>102.5215994644165</v>
      </c>
      <c r="K410" s="120" t="n">
        <v>0.2701814889776456</v>
      </c>
      <c r="L410" s="120" t="n">
        <v>-0.07458881235959625</v>
      </c>
      <c r="M410" s="120" t="n">
        <v>-0.1314320810662341</v>
      </c>
      <c r="N410" t="n">
        <v>47.4341398970085</v>
      </c>
      <c r="O410" t="n">
        <v>0.4531062793805012</v>
      </c>
      <c r="P410" t="n">
        <v>91.00396135182272</v>
      </c>
      <c r="Q410" t="n">
        <v>84.11648484687947</v>
      </c>
    </row>
    <row r="411">
      <c r="A411" s="117" t="n">
        <v>45008</v>
      </c>
      <c r="B411" s="118" t="n">
        <v>112.8041628752149</v>
      </c>
      <c r="C411" s="118" t="n">
        <v>115.4259868685216</v>
      </c>
      <c r="D411" s="118" t="n">
        <v>111.8677956324807</v>
      </c>
      <c r="E411" s="118" t="n">
        <v>113.272346496582</v>
      </c>
      <c r="F411" s="119" t="n">
        <v>7628100</v>
      </c>
      <c r="G411" s="120" t="n">
        <v>0.01230116226735367</v>
      </c>
      <c r="H411" s="121" t="n">
        <v>71.20452633182303</v>
      </c>
      <c r="I411" s="118" t="n">
        <v>115.2486444091797</v>
      </c>
      <c r="J411" s="118" t="n">
        <v>102.5299848175049</v>
      </c>
      <c r="K411" s="120" t="n">
        <v>0.2736305213925123</v>
      </c>
      <c r="L411" s="120" t="n">
        <v>-0.06320517917640711</v>
      </c>
      <c r="M411" s="120" t="n">
        <v>-0.120747686155212</v>
      </c>
      <c r="N411" t="n">
        <v>50.69642809638536</v>
      </c>
      <c r="O411" t="n">
        <v>0.4071108862314946</v>
      </c>
      <c r="P411" t="n">
        <v>91.24996024480187</v>
      </c>
      <c r="Q411" t="n">
        <v>85.113951174584</v>
      </c>
    </row>
    <row r="412">
      <c r="A412" s="117" t="n">
        <v>45009</v>
      </c>
      <c r="B412" s="118" t="n">
        <v>112.5794326281801</v>
      </c>
      <c r="C412" s="118" t="n">
        <v>113.3004322354467</v>
      </c>
      <c r="D412" s="118" t="n">
        <v>111.7273350393137</v>
      </c>
      <c r="E412" s="118" t="n">
        <v>113.0288848876953</v>
      </c>
      <c r="F412" s="119" t="n">
        <v>6158800</v>
      </c>
      <c r="G412" s="120" t="n">
        <v>-0.002149347271569679</v>
      </c>
      <c r="H412" s="121" t="n">
        <v>71.05148307742832</v>
      </c>
      <c r="I412" s="118" t="n">
        <v>115.1200579833984</v>
      </c>
      <c r="J412" s="118" t="n">
        <v>102.5304699325562</v>
      </c>
      <c r="K412" s="120" t="n">
        <v>0.266741803158331</v>
      </c>
      <c r="L412" s="120" t="n">
        <v>-0.06521867656856495</v>
      </c>
      <c r="M412" s="120" t="n">
        <v>-0.1226375047169956</v>
      </c>
      <c r="N412" t="n">
        <v>50.10412110284356</v>
      </c>
      <c r="O412" t="n">
        <v>0.3463872400615642</v>
      </c>
      <c r="P412" t="n">
        <v>91.84874916311146</v>
      </c>
      <c r="Q412" t="n">
        <v>85.42719355316872</v>
      </c>
    </row>
    <row r="413">
      <c r="A413" s="117" t="n">
        <v>45012</v>
      </c>
      <c r="B413" s="118" t="n">
        <v>113.3191690016218</v>
      </c>
      <c r="C413" s="118" t="n">
        <v>113.3659902248073</v>
      </c>
      <c r="D413" s="118" t="n">
        <v>110.1261601812219</v>
      </c>
      <c r="E413" s="118" t="n">
        <v>110.3134307861328</v>
      </c>
      <c r="F413" s="119" t="n">
        <v>6564200</v>
      </c>
      <c r="G413" s="120" t="n">
        <v>-0.0240244261832766</v>
      </c>
      <c r="H413" s="121" t="n">
        <v>69.3445119670223</v>
      </c>
      <c r="I413" s="118" t="n">
        <v>114.9380961608887</v>
      </c>
      <c r="J413" s="118" t="n">
        <v>102.513989906311</v>
      </c>
      <c r="K413" s="120" t="n">
        <v>0.28123879016565</v>
      </c>
      <c r="L413" s="120" t="n">
        <v>-0.08767626147084917</v>
      </c>
      <c r="M413" s="120" t="n">
        <v>-0.1437156352208975</v>
      </c>
      <c r="N413" t="n">
        <v>43.93806977724554</v>
      </c>
      <c r="O413" t="n">
        <v>0.121069171660705</v>
      </c>
      <c r="P413" t="n">
        <v>92.02049899765235</v>
      </c>
      <c r="Q413" t="n">
        <v>84.84190713627518</v>
      </c>
    </row>
    <row r="414">
      <c r="A414" s="117" t="n">
        <v>45013</v>
      </c>
      <c r="B414" s="118" t="n">
        <v>110.444509965765</v>
      </c>
      <c r="C414" s="118" t="n">
        <v>110.9033350439613</v>
      </c>
      <c r="D414" s="118" t="n">
        <v>109.4145074597818</v>
      </c>
      <c r="E414" s="118" t="n">
        <v>110.3696060180664</v>
      </c>
      <c r="F414" s="119" t="n">
        <v>4461400</v>
      </c>
      <c r="G414" s="120" t="n">
        <v>0.0005092329332272438</v>
      </c>
      <c r="H414" s="121" t="n">
        <v>69.37982447625448</v>
      </c>
      <c r="I414" s="118" t="n">
        <v>114.7393307495117</v>
      </c>
      <c r="J414" s="118" t="n">
        <v>102.5154262161255</v>
      </c>
      <c r="K414" s="120" t="n">
        <v>0.2811271312365248</v>
      </c>
      <c r="L414" s="120" t="n">
        <v>-0.08721167617742509</v>
      </c>
      <c r="M414" s="120" t="n">
        <v>-0.1432795870221444</v>
      </c>
      <c r="N414" t="n">
        <v>44.09135480839849</v>
      </c>
      <c r="O414" t="n">
        <v>-0.01899897850438675</v>
      </c>
      <c r="P414" t="n">
        <v>91.81393430943309</v>
      </c>
      <c r="Q414" t="n">
        <v>84.39127145408681</v>
      </c>
    </row>
    <row r="415">
      <c r="A415" s="117" t="n">
        <v>45014</v>
      </c>
      <c r="B415" s="118" t="n">
        <v>111.0906056889722</v>
      </c>
      <c r="C415" s="118" t="n">
        <v>112.8977946976109</v>
      </c>
      <c r="D415" s="118" t="n">
        <v>110.9501491780999</v>
      </c>
      <c r="E415" s="118" t="n">
        <v>112.822883605957</v>
      </c>
      <c r="F415" s="119" t="n">
        <v>5644000</v>
      </c>
      <c r="G415" s="120" t="n">
        <v>0.02222783677862417</v>
      </c>
      <c r="H415" s="121" t="n">
        <v>70.92198789044227</v>
      </c>
      <c r="I415" s="118" t="n">
        <v>114.6028895568848</v>
      </c>
      <c r="J415" s="118" t="n">
        <v>102.5470891571045</v>
      </c>
      <c r="K415" s="120" t="n">
        <v>0.2919305285758851</v>
      </c>
      <c r="L415" s="120" t="n">
        <v>-0.06692236630206294</v>
      </c>
      <c r="M415" s="120" t="n">
        <v>-0.1242365455175571</v>
      </c>
      <c r="N415" t="n">
        <v>50.46165234203673</v>
      </c>
      <c r="O415" t="n">
        <v>0.05472924720273653</v>
      </c>
      <c r="P415" t="n">
        <v>93.14843974775971</v>
      </c>
      <c r="Q415" t="n">
        <v>85.93007474568212</v>
      </c>
    </row>
    <row r="416">
      <c r="A416" s="117" t="n">
        <v>45015</v>
      </c>
      <c r="B416" s="118" t="n">
        <v>113.3285090674351</v>
      </c>
      <c r="C416" s="118" t="n">
        <v>113.7124230078441</v>
      </c>
      <c r="D416" s="118" t="n">
        <v>111.7460463810218</v>
      </c>
      <c r="E416" s="118" t="n">
        <v>112.4576873779297</v>
      </c>
      <c r="F416" s="119" t="n">
        <v>4578900</v>
      </c>
      <c r="G416" s="120" t="n">
        <v>-0.003236898547131828</v>
      </c>
      <c r="H416" s="121" t="n">
        <v>70.69242061087999</v>
      </c>
      <c r="I416" s="118" t="n">
        <v>114.4910772705078</v>
      </c>
      <c r="J416" s="118" t="n">
        <v>102.5968356704712</v>
      </c>
      <c r="K416" s="120" t="n">
        <v>0.2909818841309317</v>
      </c>
      <c r="L416" s="120" t="n">
        <v>-0.06994264393894101</v>
      </c>
      <c r="M416" s="120" t="n">
        <v>-0.123290482181331</v>
      </c>
      <c r="N416" t="n">
        <v>49.55645093529956</v>
      </c>
      <c r="O416" t="n">
        <v>0.07860279047267227</v>
      </c>
      <c r="P416" t="n">
        <v>93.69385523735889</v>
      </c>
      <c r="Q416" t="n">
        <v>86.74343866022505</v>
      </c>
    </row>
    <row r="417">
      <c r="A417" s="117" t="n">
        <v>45016</v>
      </c>
      <c r="B417" s="118" t="n">
        <v>113.2255145517354</v>
      </c>
      <c r="C417" s="118" t="n">
        <v>114.9016126147331</v>
      </c>
      <c r="D417" s="118" t="n">
        <v>112.9258773481998</v>
      </c>
      <c r="E417" s="118" t="n">
        <v>114.836067199707</v>
      </c>
      <c r="F417" s="119" t="n">
        <v>5659400</v>
      </c>
      <c r="G417" s="120" t="n">
        <v>0.02114910840896522</v>
      </c>
      <c r="H417" s="121" t="n">
        <v>72.18750227807166</v>
      </c>
      <c r="I417" s="118" t="n">
        <v>114.462313079834</v>
      </c>
      <c r="J417" s="118" t="n">
        <v>102.6571746063232</v>
      </c>
      <c r="K417" s="120" t="n">
        <v>0.2962776425462569</v>
      </c>
      <c r="L417" s="120" t="n">
        <v>-0.05027276008905002</v>
      </c>
      <c r="M417" s="120" t="n">
        <v>-0.09501569975752922</v>
      </c>
      <c r="N417" t="n">
        <v>55.19364493422349</v>
      </c>
      <c r="O417" t="n">
        <v>0.2448863563947612</v>
      </c>
      <c r="P417" t="n">
        <v>95.01442883089008</v>
      </c>
      <c r="Q417" t="n">
        <v>88.18602990083592</v>
      </c>
    </row>
    <row r="418">
      <c r="A418" s="117" t="n">
        <v>45019</v>
      </c>
      <c r="B418" s="118" t="n">
        <v>114.7049819000184</v>
      </c>
      <c r="C418" s="118" t="n">
        <v>115.0327089909498</v>
      </c>
      <c r="D418" s="118" t="n">
        <v>113.131884719633</v>
      </c>
      <c r="E418" s="118" t="n">
        <v>113.9277954101562</v>
      </c>
      <c r="F418" s="119" t="n">
        <v>4838400</v>
      </c>
      <c r="G418" s="120" t="n">
        <v>-0.007909290275251557</v>
      </c>
      <c r="H418" s="121" t="n">
        <v>71.61655036830901</v>
      </c>
      <c r="I418" s="118" t="n">
        <v>114.3763548278809</v>
      </c>
      <c r="J418" s="118" t="n">
        <v>102.7003489685059</v>
      </c>
      <c r="K418" s="120" t="n">
        <v>0.2968270965748387</v>
      </c>
      <c r="L418" s="120" t="n">
        <v>-0.05778442851181931</v>
      </c>
      <c r="M418" s="120" t="n">
        <v>-0.1021734832826923</v>
      </c>
      <c r="N418" t="n">
        <v>52.76842689042681</v>
      </c>
      <c r="O418" t="n">
        <v>0.281408333119216</v>
      </c>
      <c r="P418" t="n">
        <v>95.37647969584881</v>
      </c>
      <c r="Q418" t="n">
        <v>87.97169942299242</v>
      </c>
    </row>
    <row r="419">
      <c r="A419" s="117" t="n">
        <v>45020</v>
      </c>
      <c r="B419" s="118" t="n">
        <v>113.6562465837699</v>
      </c>
      <c r="C419" s="118" t="n">
        <v>116.0627099685508</v>
      </c>
      <c r="D419" s="118" t="n">
        <v>113.6375223833528</v>
      </c>
      <c r="E419" s="118" t="n">
        <v>115.8192596435547</v>
      </c>
      <c r="F419" s="119" t="n">
        <v>5895300</v>
      </c>
      <c r="G419" s="120" t="n">
        <v>0.01660230698390053</v>
      </c>
      <c r="H419" s="121" t="n">
        <v>72.80555032265164</v>
      </c>
      <c r="I419" s="118" t="n">
        <v>114.2970402526855</v>
      </c>
      <c r="J419" s="118" t="n">
        <v>102.7823111343384</v>
      </c>
      <c r="K419" s="120" t="n">
        <v>0.3011660133647866</v>
      </c>
      <c r="L419" s="120" t="n">
        <v>-0.04214147634896126</v>
      </c>
      <c r="M419" s="120" t="n">
        <v>-0.0872674918338654</v>
      </c>
      <c r="N419" t="n">
        <v>57.00528376805102</v>
      </c>
      <c r="O419" t="n">
        <v>0.4127149430412938</v>
      </c>
      <c r="P419" t="n">
        <v>94.84733524320613</v>
      </c>
      <c r="Q419" t="n">
        <v>87.67492954545538</v>
      </c>
    </row>
    <row r="420">
      <c r="A420" s="117" t="n">
        <v>45021</v>
      </c>
      <c r="B420" s="118" t="n">
        <v>115.1731721715787</v>
      </c>
      <c r="C420" s="118" t="n">
        <v>115.4821750797494</v>
      </c>
      <c r="D420" s="118" t="n">
        <v>112.8884337871628</v>
      </c>
      <c r="E420" s="118" t="n">
        <v>113.2068023681641</v>
      </c>
      <c r="F420" s="119" t="n">
        <v>4331400</v>
      </c>
      <c r="G420" s="120" t="n">
        <v>-0.02255632857117829</v>
      </c>
      <c r="H420" s="121" t="n">
        <v>71.16332440776846</v>
      </c>
      <c r="I420" s="118" t="n">
        <v>114.1927401733398</v>
      </c>
      <c r="J420" s="118" t="n">
        <v>102.8501900863647</v>
      </c>
      <c r="K420" s="120" t="n">
        <v>0.3133636951134515</v>
      </c>
      <c r="L420" s="120" t="n">
        <v>-0.06374724793313791</v>
      </c>
      <c r="M420" s="120" t="n">
        <v>-0.1078553861856564</v>
      </c>
      <c r="N420" t="n">
        <v>50.2945766275958</v>
      </c>
      <c r="O420" t="n">
        <v>0.308177005754271</v>
      </c>
      <c r="P420" t="n">
        <v>94.59898977891081</v>
      </c>
      <c r="Q420" t="n">
        <v>86.80936283972918</v>
      </c>
    </row>
    <row r="421">
      <c r="A421" s="117" t="n">
        <v>45022</v>
      </c>
      <c r="B421" s="118" t="n">
        <v>111.9052636589529</v>
      </c>
      <c r="C421" s="118" t="n">
        <v>112.8228996585733</v>
      </c>
      <c r="D421" s="118" t="n">
        <v>110.3508904335938</v>
      </c>
      <c r="E421" s="118" t="n">
        <v>112.5700836181641</v>
      </c>
      <c r="F421" s="119" t="n">
        <v>4256900</v>
      </c>
      <c r="G421" s="120" t="n">
        <v>-0.0056243859616254</v>
      </c>
      <c r="H421" s="121" t="n">
        <v>70.76307440498681</v>
      </c>
      <c r="I421" s="118" t="n">
        <v>114.0758924865723</v>
      </c>
      <c r="J421" s="118" t="n">
        <v>102.9086665725708</v>
      </c>
      <c r="K421" s="120" t="n">
        <v>0.3077343893180972</v>
      </c>
      <c r="L421" s="120" t="n">
        <v>-0.0690130947683959</v>
      </c>
      <c r="M421" s="120" t="n">
        <v>-0.1128731518273335</v>
      </c>
      <c r="N421" t="n">
        <v>48.78713125803998</v>
      </c>
      <c r="O421" t="n">
        <v>0.1866809460291254</v>
      </c>
      <c r="P421" t="n">
        <v>94.96802132457741</v>
      </c>
      <c r="Q421" t="n">
        <v>87.39465780045106</v>
      </c>
    </row>
    <row r="422">
      <c r="A422" s="117" t="n">
        <v>45026</v>
      </c>
      <c r="B422" s="118" t="n">
        <v>111.7086079331814</v>
      </c>
      <c r="C422" s="118" t="n">
        <v>114.1525268554688</v>
      </c>
      <c r="D422" s="118" t="n">
        <v>111.5494200824915</v>
      </c>
      <c r="E422" s="118" t="n">
        <v>114.1525268554688</v>
      </c>
      <c r="F422" s="119" t="n">
        <v>3731200</v>
      </c>
      <c r="G422" s="120" t="n">
        <v>0.01405740483121876</v>
      </c>
      <c r="H422" s="121" t="n">
        <v>71.75781958899937</v>
      </c>
      <c r="I422" s="118" t="n">
        <v>113.9774353027344</v>
      </c>
      <c r="J422" s="118" t="n">
        <v>102.9925051879883</v>
      </c>
      <c r="K422" s="120" t="n">
        <v>0.3105647108994295</v>
      </c>
      <c r="L422" s="120" t="n">
        <v>-0.05592583494899162</v>
      </c>
      <c r="M422" s="120" t="n">
        <v>-0.1004024505859271</v>
      </c>
      <c r="N422" t="n">
        <v>52.59035855280612</v>
      </c>
      <c r="O422" t="n">
        <v>0.2021211379317927</v>
      </c>
      <c r="P422" t="n">
        <v>95.06548520490462</v>
      </c>
      <c r="Q422" t="n">
        <v>87.34518903433793</v>
      </c>
    </row>
    <row r="423">
      <c r="A423" s="117" t="n">
        <v>45027</v>
      </c>
      <c r="B423" s="118" t="n">
        <v>114.2742464500105</v>
      </c>
      <c r="C423" s="118" t="n">
        <v>116.1844362699908</v>
      </c>
      <c r="D423" s="118" t="n">
        <v>114.2742464500105</v>
      </c>
      <c r="E423" s="118" t="n">
        <v>115.4540710449219</v>
      </c>
      <c r="F423" s="119" t="n">
        <v>4471000</v>
      </c>
      <c r="G423" s="120" t="n">
        <v>0.01140179920065232</v>
      </c>
      <c r="H423" s="121" t="n">
        <v>72.57598783902978</v>
      </c>
      <c r="I423" s="118" t="n">
        <v>113.9050090026855</v>
      </c>
      <c r="J423" s="118" t="n">
        <v>103.068557472229</v>
      </c>
      <c r="K423" s="120" t="n">
        <v>0.3109721767738658</v>
      </c>
      <c r="L423" s="120" t="n">
        <v>-0.04516169088855648</v>
      </c>
      <c r="M423" s="120" t="n">
        <v>-0.09014541996610892</v>
      </c>
      <c r="N423" t="n">
        <v>55.51645114800876</v>
      </c>
      <c r="O423" t="n">
        <v>0.28419392312472</v>
      </c>
      <c r="P423" t="n">
        <v>95.09101708148943</v>
      </c>
      <c r="Q423" t="n">
        <v>86.78464554432929</v>
      </c>
    </row>
    <row r="424">
      <c r="A424" s="117" t="n">
        <v>45028</v>
      </c>
      <c r="B424" s="118" t="n">
        <v>116.8211706759255</v>
      </c>
      <c r="C424" s="118" t="n">
        <v>116.9148059645806</v>
      </c>
      <c r="D424" s="118" t="n">
        <v>115.3791643701108</v>
      </c>
      <c r="E424" s="118" t="n">
        <v>115.7911682128906</v>
      </c>
      <c r="F424" s="119" t="n">
        <v>4524900</v>
      </c>
      <c r="G424" s="120" t="n">
        <v>0.002919751247555391</v>
      </c>
      <c r="H424" s="121" t="n">
        <v>72.78789167006535</v>
      </c>
      <c r="I424" s="118" t="n">
        <v>113.8609867858887</v>
      </c>
      <c r="J424" s="118" t="n">
        <v>103.1235083007813</v>
      </c>
      <c r="K424" s="120" t="n">
        <v>0.3055872147339082</v>
      </c>
      <c r="L424" s="120" t="n">
        <v>-0.04237380054431472</v>
      </c>
      <c r="M424" s="120" t="n">
        <v>-0.08748887092096103</v>
      </c>
      <c r="N424" t="n">
        <v>56.26926745226175</v>
      </c>
      <c r="O424" t="n">
        <v>0.3415318446611323</v>
      </c>
      <c r="P424" t="n">
        <v>94.70344171910095</v>
      </c>
      <c r="Q424" t="n">
        <v>86.01799928317266</v>
      </c>
    </row>
    <row r="425">
      <c r="A425" s="117" t="n">
        <v>45029</v>
      </c>
      <c r="B425" s="118" t="n">
        <v>116.7088123645799</v>
      </c>
      <c r="C425" s="118" t="n">
        <v>118.6096367210743</v>
      </c>
      <c r="D425" s="118" t="n">
        <v>116.5402659754175</v>
      </c>
      <c r="E425" s="118" t="n">
        <v>118.3849105834961</v>
      </c>
      <c r="F425" s="119" t="n">
        <v>5355300</v>
      </c>
      <c r="G425" s="120" t="n">
        <v>0.02240017447476372</v>
      </c>
      <c r="H425" s="121" t="n">
        <v>74.41835314312502</v>
      </c>
      <c r="I425" s="118" t="n">
        <v>113.8509118652344</v>
      </c>
      <c r="J425" s="118" t="n">
        <v>103.2026125335693</v>
      </c>
      <c r="K425" s="120" t="n">
        <v>0.311744950940638</v>
      </c>
      <c r="L425" s="120" t="n">
        <v>-0.02092280659490242</v>
      </c>
      <c r="M425" s="120" t="n">
        <v>-0.06704846241942686</v>
      </c>
      <c r="N425" t="n">
        <v>61.64750116030667</v>
      </c>
      <c r="O425" t="n">
        <v>0.5235960889970772</v>
      </c>
      <c r="P425" t="n">
        <v>95.96133676936296</v>
      </c>
      <c r="Q425" t="n">
        <v>87.70240649741045</v>
      </c>
    </row>
    <row r="426">
      <c r="A426" s="117" t="n">
        <v>45030</v>
      </c>
      <c r="B426" s="118" t="n">
        <v>118.9186361246964</v>
      </c>
      <c r="C426" s="118" t="n">
        <v>119.3774540590545</v>
      </c>
      <c r="D426" s="118" t="n">
        <v>117.504719631894</v>
      </c>
      <c r="E426" s="118" t="n">
        <v>117.9354476928711</v>
      </c>
      <c r="F426" s="119" t="n">
        <v>4828700</v>
      </c>
      <c r="G426" s="120" t="n">
        <v>-0.003796623137270472</v>
      </c>
      <c r="H426" s="121" t="n">
        <v>74.13581470174427</v>
      </c>
      <c r="I426" s="118" t="n">
        <v>113.7913250732422</v>
      </c>
      <c r="J426" s="118" t="n">
        <v>103.315297203064</v>
      </c>
      <c r="K426" s="120" t="n">
        <v>0.3057337836835727</v>
      </c>
      <c r="L426" s="120" t="n">
        <v>-0.02463999372055803</v>
      </c>
      <c r="M426" s="120" t="n">
        <v>-0.07059052781295738</v>
      </c>
      <c r="N426" t="n">
        <v>60.26436420774348</v>
      </c>
      <c r="O426" t="n">
        <v>0.578888635889572</v>
      </c>
      <c r="P426" t="n">
        <v>95.7269379081732</v>
      </c>
      <c r="Q426" t="n">
        <v>87.53755332950841</v>
      </c>
    </row>
    <row r="427">
      <c r="A427" s="117" t="n">
        <v>45033</v>
      </c>
      <c r="B427" s="118" t="n">
        <v>118.0103569572514</v>
      </c>
      <c r="C427" s="118" t="n">
        <v>118.4317264831871</v>
      </c>
      <c r="D427" s="118" t="n">
        <v>117.1676250492948</v>
      </c>
      <c r="E427" s="118" t="n">
        <v>118.1601791381836</v>
      </c>
      <c r="F427" s="119" t="n">
        <v>3917900</v>
      </c>
      <c r="G427" s="120" t="n">
        <v>0.00190554620946326</v>
      </c>
      <c r="H427" s="121" t="n">
        <v>74.27708392243464</v>
      </c>
      <c r="I427" s="118" t="n">
        <v>113.7444494628906</v>
      </c>
      <c r="J427" s="118" t="n">
        <v>103.4269243240356</v>
      </c>
      <c r="K427" s="120" t="n">
        <v>0.3052832585191216</v>
      </c>
      <c r="L427" s="120" t="n">
        <v>-0.02278140015773022</v>
      </c>
      <c r="M427" s="120" t="n">
        <v>-0.06881949511619212</v>
      </c>
      <c r="N427" t="n">
        <v>60.73868184181298</v>
      </c>
      <c r="O427" t="n">
        <v>0.5935307153060099</v>
      </c>
      <c r="P427" t="n">
        <v>96.07041543978974</v>
      </c>
      <c r="Q427" t="n">
        <v>87.61172230336473</v>
      </c>
    </row>
    <row r="428">
      <c r="A428" s="117" t="n">
        <v>45034</v>
      </c>
      <c r="B428" s="118" t="n">
        <v>119.1340155846584</v>
      </c>
      <c r="C428" s="118" t="n">
        <v>119.1808296636479</v>
      </c>
      <c r="D428" s="118" t="n">
        <v>117.0646375500338</v>
      </c>
      <c r="E428" s="118" t="n">
        <v>118.1789169311523</v>
      </c>
      <c r="F428" s="119" t="n">
        <v>3857700</v>
      </c>
      <c r="G428" s="120" t="n">
        <v>0.0001585795917491417</v>
      </c>
      <c r="H428" s="121" t="n">
        <v>74.28886275207938</v>
      </c>
      <c r="I428" s="118" t="n">
        <v>113.7250263977051</v>
      </c>
      <c r="J428" s="118" t="n">
        <v>103.5435181045532</v>
      </c>
      <c r="K428" s="120" t="n">
        <v>0.3049762303744164</v>
      </c>
      <c r="L428" s="120" t="n">
        <v>-0.02262643323111757</v>
      </c>
      <c r="M428" s="120" t="n">
        <v>-0.06867182889188284</v>
      </c>
      <c r="N428" t="n">
        <v>60.78071848347619</v>
      </c>
      <c r="O428" t="n">
        <v>0.5674274970280582</v>
      </c>
      <c r="P428" t="n">
        <v>96.13309398305894</v>
      </c>
      <c r="Q428" t="n">
        <v>87.61723307264675</v>
      </c>
    </row>
    <row r="429">
      <c r="A429" s="117" t="n">
        <v>45035</v>
      </c>
      <c r="B429" s="118" t="n">
        <v>117.9822587889206</v>
      </c>
      <c r="C429" s="118" t="n">
        <v>118.0571698741196</v>
      </c>
      <c r="D429" s="118" t="n">
        <v>116.9709805704761</v>
      </c>
      <c r="E429" s="118" t="n">
        <v>117.6732559204102</v>
      </c>
      <c r="F429" s="119" t="n">
        <v>3547400</v>
      </c>
      <c r="G429" s="120" t="n">
        <v>-0.004278775130734824</v>
      </c>
      <c r="H429" s="121" t="n">
        <v>73.97099741364521</v>
      </c>
      <c r="I429" s="118" t="n">
        <v>113.7305969238281</v>
      </c>
      <c r="J429" s="118" t="n">
        <v>103.662317199707</v>
      </c>
      <c r="K429" s="120" t="n">
        <v>0.277442465931125</v>
      </c>
      <c r="L429" s="120" t="n">
        <v>-0.0268083949420459</v>
      </c>
      <c r="M429" s="120" t="n">
        <v>-0.07265677270897297</v>
      </c>
      <c r="N429" t="n">
        <v>58.94651716288209</v>
      </c>
      <c r="O429" t="n">
        <v>0.4823951007523717</v>
      </c>
      <c r="P429" t="n">
        <v>96.11685246272276</v>
      </c>
      <c r="Q429" t="n">
        <v>87.57600910088581</v>
      </c>
    </row>
    <row r="430">
      <c r="A430" s="117" t="n">
        <v>45036</v>
      </c>
      <c r="B430" s="118" t="n">
        <v>116.8586332938546</v>
      </c>
      <c r="C430" s="118" t="n">
        <v>117.3736309845886</v>
      </c>
      <c r="D430" s="118" t="n">
        <v>115.8379892971634</v>
      </c>
      <c r="E430" s="118" t="n">
        <v>116.5308990478516</v>
      </c>
      <c r="F430" s="119" t="n">
        <v>3891600</v>
      </c>
      <c r="G430" s="120" t="n">
        <v>-0.009707871713273919</v>
      </c>
      <c r="H430" s="121" t="n">
        <v>73.25289646025062</v>
      </c>
      <c r="I430" s="118" t="n">
        <v>113.7207899475098</v>
      </c>
      <c r="J430" s="118" t="n">
        <v>103.7608320617676</v>
      </c>
      <c r="K430" s="120" t="n">
        <v>0.2136838622720745</v>
      </c>
      <c r="L430" s="120" t="n">
        <v>-0.03625601419638358</v>
      </c>
      <c r="M430" s="120" t="n">
        <v>-0.07368391048404976</v>
      </c>
      <c r="N430" t="n">
        <v>54.91473483518496</v>
      </c>
      <c r="O430" t="n">
        <v>0.3231526576011343</v>
      </c>
      <c r="P430" t="n">
        <v>95.59231998200652</v>
      </c>
      <c r="Q430" t="n">
        <v>86.90830891578376</v>
      </c>
    </row>
    <row r="431">
      <c r="A431" s="117" t="n">
        <v>45037</v>
      </c>
      <c r="B431" s="118" t="n">
        <v>116.4840829123948</v>
      </c>
      <c r="C431" s="118" t="n">
        <v>117.6826318039265</v>
      </c>
      <c r="D431" s="118" t="n">
        <v>115.7537176281124</v>
      </c>
      <c r="E431" s="118" t="n">
        <v>117.5421752929688</v>
      </c>
      <c r="F431" s="119" t="n">
        <v>3651400</v>
      </c>
      <c r="G431" s="120" t="n">
        <v>0.008678181095143955</v>
      </c>
      <c r="H431" s="121" t="n">
        <v>73.88859836147651</v>
      </c>
      <c r="I431" s="118" t="n">
        <v>113.7763998413086</v>
      </c>
      <c r="J431" s="118" t="n">
        <v>103.8648210525513</v>
      </c>
      <c r="K431" s="120" t="n">
        <v>0.2117722392518476</v>
      </c>
      <c r="L431" s="120" t="n">
        <v>-0.02789246935822398</v>
      </c>
      <c r="M431" s="120" t="n">
        <v>-0.06281718110834078</v>
      </c>
      <c r="N431" t="n">
        <v>57.67462877650628</v>
      </c>
      <c r="O431" t="n">
        <v>0.2624478507781585</v>
      </c>
      <c r="P431" t="n">
        <v>95.66662069453035</v>
      </c>
      <c r="Q431" t="n">
        <v>86.9989589345161</v>
      </c>
    </row>
    <row r="432">
      <c r="A432" s="117" t="n">
        <v>45040</v>
      </c>
      <c r="B432" s="118" t="n">
        <v>117.523467087216</v>
      </c>
      <c r="C432" s="118" t="n">
        <v>119.040377609053</v>
      </c>
      <c r="D432" s="118" t="n">
        <v>117.1863742726042</v>
      </c>
      <c r="E432" s="118" t="n">
        <v>119.0029220581055</v>
      </c>
      <c r="F432" s="119" t="n">
        <v>3790900</v>
      </c>
      <c r="G432" s="120" t="n">
        <v>0.01242742667894192</v>
      </c>
      <c r="H432" s="121" t="n">
        <v>74.80684350002355</v>
      </c>
      <c r="I432" s="118" t="n">
        <v>113.8748568725586</v>
      </c>
      <c r="J432" s="118" t="n">
        <v>103.9580142211914</v>
      </c>
      <c r="K432" s="120" t="n">
        <v>0.2143477776095589</v>
      </c>
      <c r="L432" s="120" t="n">
        <v>-0.01581167429712604</v>
      </c>
      <c r="M432" s="120" t="n">
        <v>-0.01581167429712627</v>
      </c>
      <c r="N432" t="n">
        <v>61.35460742606498</v>
      </c>
      <c r="O432" t="n">
        <v>0.2947727585009825</v>
      </c>
      <c r="P432" t="n">
        <v>95.76640162955343</v>
      </c>
      <c r="Q432" t="n">
        <v>86.8176161779097</v>
      </c>
    </row>
    <row r="433">
      <c r="A433" s="117" t="n">
        <v>45041</v>
      </c>
      <c r="B433" s="118" t="n">
        <v>118.47856439314</v>
      </c>
      <c r="C433" s="118" t="n">
        <v>118.7032905658355</v>
      </c>
      <c r="D433" s="118" t="n">
        <v>116.1563772728156</v>
      </c>
      <c r="E433" s="118" t="n">
        <v>116.7275619506836</v>
      </c>
      <c r="F433" s="119" t="n">
        <v>4383300</v>
      </c>
      <c r="G433" s="120" t="n">
        <v>-0.01912020367290546</v>
      </c>
      <c r="H433" s="121" t="n">
        <v>73.37652141617593</v>
      </c>
      <c r="I433" s="118" t="n">
        <v>113.9268731689453</v>
      </c>
      <c r="J433" s="118" t="n">
        <v>104.0407587432861</v>
      </c>
      <c r="K433" s="120" t="n">
        <v>0.206823467152646</v>
      </c>
      <c r="L433" s="120" t="n">
        <v>-0.03462955553706082</v>
      </c>
      <c r="M433" s="120" t="n">
        <v>-0.03462955553706104</v>
      </c>
      <c r="N433" t="n">
        <v>53.54509208076057</v>
      </c>
      <c r="O433" t="n">
        <v>0.1446109048160107</v>
      </c>
      <c r="P433" t="n">
        <v>94.24623664935578</v>
      </c>
      <c r="Q433" t="n">
        <v>85.17987535408813</v>
      </c>
    </row>
    <row r="434">
      <c r="A434" s="117" t="n">
        <v>45042</v>
      </c>
      <c r="B434" s="118" t="n">
        <v>116.3061752511425</v>
      </c>
      <c r="C434" s="118" t="n">
        <v>117.0271820341477</v>
      </c>
      <c r="D434" s="118" t="n">
        <v>115.4447190957865</v>
      </c>
      <c r="E434" s="118" t="n">
        <v>115.959716796875</v>
      </c>
      <c r="F434" s="119" t="n">
        <v>4003200</v>
      </c>
      <c r="G434" s="120" t="n">
        <v>-0.00657809638937723</v>
      </c>
      <c r="H434" s="121" t="n">
        <v>72.89384358558313</v>
      </c>
      <c r="I434" s="118" t="n">
        <v>113.9090042114258</v>
      </c>
      <c r="J434" s="118" t="n">
        <v>104.1327514648438</v>
      </c>
      <c r="K434" s="120" t="n">
        <v>0.2094284103382512</v>
      </c>
      <c r="L434" s="120" t="n">
        <v>-0.04097985537219395</v>
      </c>
      <c r="M434" s="120" t="n">
        <v>-0.04097985537219417</v>
      </c>
      <c r="N434" t="n">
        <v>51.17772258043139</v>
      </c>
      <c r="O434" t="n">
        <v>-0.01618189805650028</v>
      </c>
      <c r="P434" t="n">
        <v>93.8470243594025</v>
      </c>
      <c r="Q434" t="n">
        <v>85.69647793492236</v>
      </c>
    </row>
    <row r="435">
      <c r="A435" s="117" t="n">
        <v>45043</v>
      </c>
      <c r="B435" s="118" t="n">
        <v>116.5215449970069</v>
      </c>
      <c r="C435" s="118" t="n">
        <v>117.9916413205093</v>
      </c>
      <c r="D435" s="118" t="n">
        <v>115.3042646922836</v>
      </c>
      <c r="E435" s="118" t="n">
        <v>117.7013626098633</v>
      </c>
      <c r="F435" s="119" t="n">
        <v>4252100</v>
      </c>
      <c r="G435" s="120" t="n">
        <v>0.01501940381623301</v>
      </c>
      <c r="H435" s="121" t="n">
        <v>73.98866565811232</v>
      </c>
      <c r="I435" s="118" t="n">
        <v>113.9063604736328</v>
      </c>
      <c r="J435" s="118" t="n">
        <v>104.2397176742554</v>
      </c>
      <c r="K435" s="120" t="n">
        <v>0.201874853201688</v>
      </c>
      <c r="L435" s="120" t="n">
        <v>-0.02657594455212675</v>
      </c>
      <c r="M435" s="120" t="n">
        <v>-0.02657594455212697</v>
      </c>
      <c r="N435" t="n">
        <v>55.93650843145748</v>
      </c>
      <c r="O435" t="n">
        <v>-0.01502221680852833</v>
      </c>
      <c r="P435" t="n">
        <v>95.71534525553889</v>
      </c>
      <c r="Q435" t="n">
        <v>88.02666187073085</v>
      </c>
    </row>
    <row r="436">
      <c r="A436" s="117" t="n">
        <v>45044</v>
      </c>
      <c r="B436" s="118" t="n">
        <v>117.186359734937</v>
      </c>
      <c r="C436" s="118" t="n">
        <v>118.9841830938918</v>
      </c>
      <c r="D436" s="118" t="n">
        <v>117.0084476759863</v>
      </c>
      <c r="E436" s="118" t="n">
        <v>118.6564559936523</v>
      </c>
      <c r="F436" s="119" t="n">
        <v>4421400</v>
      </c>
      <c r="G436" s="120" t="n">
        <v>0.008114548231313634</v>
      </c>
      <c r="H436" s="121" t="n">
        <v>74.58905025416563</v>
      </c>
      <c r="I436" s="118" t="n">
        <v>113.8989155578613</v>
      </c>
      <c r="J436" s="118" t="n">
        <v>104.3451940917969</v>
      </c>
      <c r="K436" s="120" t="n">
        <v>0.2018446302410877</v>
      </c>
      <c r="L436" s="120" t="n">
        <v>-0.01533147680281222</v>
      </c>
      <c r="M436" s="120" t="n">
        <v>-0.0186770481046743</v>
      </c>
      <c r="N436" t="n">
        <v>58.33490599042275</v>
      </c>
      <c r="O436" t="n">
        <v>0.03742365170703876</v>
      </c>
      <c r="P436" t="n">
        <v>96.53227675639189</v>
      </c>
      <c r="Q436" t="n">
        <v>88.63390592646908</v>
      </c>
    </row>
    <row r="437">
      <c r="A437" s="117" t="n">
        <v>45047</v>
      </c>
      <c r="B437" s="118" t="n">
        <v>118.8437155636657</v>
      </c>
      <c r="C437" s="118" t="n">
        <v>120.4917165846364</v>
      </c>
      <c r="D437" s="118" t="n">
        <v>118.78753582138</v>
      </c>
      <c r="E437" s="118" t="n">
        <v>119.7800827026367</v>
      </c>
      <c r="F437" s="119" t="n">
        <v>4112600</v>
      </c>
      <c r="G437" s="120" t="n">
        <v>0.009469579211471624</v>
      </c>
      <c r="H437" s="121" t="n">
        <v>75.29537717385588</v>
      </c>
      <c r="I437" s="118" t="n">
        <v>113.9718328857422</v>
      </c>
      <c r="J437" s="118" t="n">
        <v>104.465059928894</v>
      </c>
      <c r="K437" s="120" t="n">
        <v>0.1917388578298786</v>
      </c>
      <c r="L437" s="120" t="n">
        <v>0</v>
      </c>
      <c r="M437" s="120" t="n">
        <v>-0.00938433267966654</v>
      </c>
      <c r="N437" t="n">
        <v>61.02280963978932</v>
      </c>
      <c r="O437" t="n">
        <v>0.1299355167502154</v>
      </c>
      <c r="P437" t="n">
        <v>96.43480549690958</v>
      </c>
      <c r="Q437" t="n">
        <v>88.5322600006577</v>
      </c>
    </row>
    <row r="438">
      <c r="A438" s="117" t="n">
        <v>45048</v>
      </c>
      <c r="B438" s="118" t="n">
        <v>119.059100773558</v>
      </c>
      <c r="C438" s="118" t="n">
        <v>119.4617389886757</v>
      </c>
      <c r="D438" s="118" t="n">
        <v>117.2050904206194</v>
      </c>
      <c r="E438" s="118" t="n">
        <v>119.1621017456055</v>
      </c>
      <c r="F438" s="119" t="n">
        <v>3831600</v>
      </c>
      <c r="G438" s="120" t="n">
        <v>-0.005159296463047469</v>
      </c>
      <c r="H438" s="121" t="n">
        <v>74.90690600071899</v>
      </c>
      <c r="I438" s="118" t="n">
        <v>114.0238006591797</v>
      </c>
      <c r="J438" s="118" t="n">
        <v>104.5749674224854</v>
      </c>
      <c r="K438" s="120" t="n">
        <v>0.1900609183847498</v>
      </c>
      <c r="L438" s="120" t="n">
        <v>-0.005159296463047358</v>
      </c>
      <c r="M438" s="120" t="n">
        <v>-0.01449521258831177</v>
      </c>
      <c r="N438" t="n">
        <v>58.776932623224</v>
      </c>
      <c r="O438" t="n">
        <v>0.131268865517421</v>
      </c>
      <c r="P438" t="n">
        <v>95.35096257757415</v>
      </c>
      <c r="Q438" t="n">
        <v>87.76012005787572</v>
      </c>
    </row>
    <row r="439">
      <c r="A439" s="117" t="n">
        <v>45049</v>
      </c>
      <c r="B439" s="118" t="n">
        <v>117.5047270661984</v>
      </c>
      <c r="C439" s="118" t="n">
        <v>120.2108350570576</v>
      </c>
      <c r="D439" s="118" t="n">
        <v>115.8005389154181</v>
      </c>
      <c r="E439" s="118" t="n">
        <v>118.6751861572266</v>
      </c>
      <c r="F439" s="119" t="n">
        <v>4560100</v>
      </c>
      <c r="G439" s="120" t="n">
        <v>-0.004086161466154814</v>
      </c>
      <c r="H439" s="121" t="n">
        <v>74.60082428786997</v>
      </c>
      <c r="I439" s="118" t="n">
        <v>114.1358711242676</v>
      </c>
      <c r="J439" s="118" t="n">
        <v>104.6859673309326</v>
      </c>
      <c r="K439" s="120" t="n">
        <v>0.1835110545258544</v>
      </c>
      <c r="L439" s="120" t="n">
        <v>-0.00922437621080241</v>
      </c>
      <c r="M439" s="120" t="n">
        <v>-0.01852214427534438</v>
      </c>
      <c r="N439" t="n">
        <v>56.99697824143699</v>
      </c>
      <c r="O439" t="n">
        <v>0.08344848769592739</v>
      </c>
      <c r="P439" t="n">
        <v>94.69648317585833</v>
      </c>
      <c r="Q439" t="n">
        <v>87.18582100423288</v>
      </c>
    </row>
    <row r="440">
      <c r="A440" s="117" t="n">
        <v>45050</v>
      </c>
      <c r="B440" s="118" t="n">
        <v>116.9897352356484</v>
      </c>
      <c r="C440" s="118" t="n">
        <v>117.223827065626</v>
      </c>
      <c r="D440" s="118" t="n">
        <v>115.0046339456289</v>
      </c>
      <c r="E440" s="118" t="n">
        <v>115.8005447387695</v>
      </c>
      <c r="F440" s="119" t="n">
        <v>6177100</v>
      </c>
      <c r="G440" s="120" t="n">
        <v>-0.02422276729904238</v>
      </c>
      <c r="H440" s="121" t="n">
        <v>72.79378588082814</v>
      </c>
      <c r="I440" s="118" t="n">
        <v>114.2128573608398</v>
      </c>
      <c r="J440" s="118" t="n">
        <v>104.7582293319702</v>
      </c>
      <c r="K440" s="120" t="n">
        <v>0.1864539320037754</v>
      </c>
      <c r="L440" s="120" t="n">
        <v>-0.0332237035914118</v>
      </c>
      <c r="M440" s="120" t="n">
        <v>-0.04229625398372583</v>
      </c>
      <c r="N440" t="n">
        <v>47.79468192890572</v>
      </c>
      <c r="O440" t="n">
        <v>-0.1452429507566348</v>
      </c>
      <c r="P440" t="n">
        <v>94.02575487465127</v>
      </c>
      <c r="Q440" t="n">
        <v>86.87806376344516</v>
      </c>
    </row>
    <row r="441">
      <c r="A441" s="117" t="n">
        <v>45051</v>
      </c>
      <c r="B441" s="118" t="n">
        <v>117.9167303219828</v>
      </c>
      <c r="C441" s="118" t="n">
        <v>118.9467328877987</v>
      </c>
      <c r="D441" s="118" t="n">
        <v>117.2519104191024</v>
      </c>
      <c r="E441" s="118" t="n">
        <v>118.5347290039062</v>
      </c>
      <c r="F441" s="119" t="n">
        <v>4887800</v>
      </c>
      <c r="G441" s="120" t="n">
        <v>0.02361115201404851</v>
      </c>
      <c r="H441" s="121" t="n">
        <v>74.51253102493848</v>
      </c>
      <c r="I441" s="118" t="n">
        <v>114.3434071350098</v>
      </c>
      <c r="J441" s="118" t="n">
        <v>104.8352515411377</v>
      </c>
      <c r="K441" s="120" t="n">
        <v>0.2006064719196715</v>
      </c>
      <c r="L441" s="120" t="n">
        <v>-0.01039700149332967</v>
      </c>
      <c r="M441" s="120" t="n">
        <v>-0.0196837652521118</v>
      </c>
      <c r="N441" t="n">
        <v>55.20303625195299</v>
      </c>
      <c r="O441" t="n">
        <v>-0.1170392929077899</v>
      </c>
      <c r="P441" t="n">
        <v>95.76640162955343</v>
      </c>
      <c r="Q441" t="n">
        <v>88.72460720817151</v>
      </c>
    </row>
    <row r="442">
      <c r="A442" s="117" t="n">
        <v>45054</v>
      </c>
      <c r="B442" s="118" t="n">
        <v>119.1620985420843</v>
      </c>
      <c r="C442" s="118" t="n">
        <v>119.5647367463775</v>
      </c>
      <c r="D442" s="118" t="n">
        <v>117.963549602025</v>
      </c>
      <c r="E442" s="118" t="n">
        <v>118.8062744140625</v>
      </c>
      <c r="F442" s="119" t="n">
        <v>3892600</v>
      </c>
      <c r="G442" s="120" t="n">
        <v>0.002290851064815858</v>
      </c>
      <c r="H442" s="121" t="n">
        <v>74.68322813597908</v>
      </c>
      <c r="I442" s="118" t="n">
        <v>114.5152423095703</v>
      </c>
      <c r="J442" s="118" t="n">
        <v>104.9112647247314</v>
      </c>
      <c r="K442" s="120" t="n">
        <v>0.1960363942188328</v>
      </c>
      <c r="L442" s="120" t="n">
        <v>-0.008129968410455768</v>
      </c>
      <c r="M442" s="120" t="n">
        <v>-0.01743800676188345</v>
      </c>
      <c r="N442" t="n">
        <v>55.8727864851455</v>
      </c>
      <c r="O442" t="n">
        <v>-0.08619035025933441</v>
      </c>
      <c r="P442" t="n">
        <v>95.79191136867298</v>
      </c>
      <c r="Q442" t="n">
        <v>88.94441427998366</v>
      </c>
    </row>
    <row r="443">
      <c r="A443" s="117" t="n">
        <v>45055</v>
      </c>
      <c r="B443" s="118" t="n">
        <v>117.2987147042832</v>
      </c>
      <c r="C443" s="118" t="n">
        <v>117.6639044806487</v>
      </c>
      <c r="D443" s="118" t="n">
        <v>116.2687122244498</v>
      </c>
      <c r="E443" s="118" t="n">
        <v>117.139533996582</v>
      </c>
      <c r="F443" s="119" t="n">
        <v>4082100</v>
      </c>
      <c r="G443" s="120" t="n">
        <v>-0.01402906055004771</v>
      </c>
      <c r="H443" s="121" t="n">
        <v>73.63549260638641</v>
      </c>
      <c r="I443" s="118" t="n">
        <v>114.6445921325684</v>
      </c>
      <c r="J443" s="118" t="n">
        <v>104.9905463790894</v>
      </c>
      <c r="K443" s="120" t="n">
        <v>0.2007125554824032</v>
      </c>
      <c r="L443" s="120" t="n">
        <v>-0.02204497314140319</v>
      </c>
      <c r="M443" s="120" t="n">
        <v>-0.03122242845919654</v>
      </c>
      <c r="N443" t="n">
        <v>50.84767630162317</v>
      </c>
      <c r="O443" t="n">
        <v>-0.1788009749831798</v>
      </c>
      <c r="P443" t="n">
        <v>95.3718455864571</v>
      </c>
      <c r="Q443" t="n">
        <v>88.38112822107654</v>
      </c>
    </row>
    <row r="444">
      <c r="A444" s="117" t="n">
        <v>45056</v>
      </c>
      <c r="B444" s="118" t="n">
        <v>118.2538184478451</v>
      </c>
      <c r="C444" s="118" t="n">
        <v>118.4129991625588</v>
      </c>
      <c r="D444" s="118" t="n">
        <v>114.3959828847208</v>
      </c>
      <c r="E444" s="118" t="n">
        <v>115.6507186889648</v>
      </c>
      <c r="F444" s="119" t="n">
        <v>5052600</v>
      </c>
      <c r="G444" s="120" t="n">
        <v>-0.0127097595220127</v>
      </c>
      <c r="H444" s="121" t="n">
        <v>72.69960320307429</v>
      </c>
      <c r="I444" s="118" t="n">
        <v>114.7393104553223</v>
      </c>
      <c r="J444" s="118" t="n">
        <v>105.0616415786743</v>
      </c>
      <c r="K444" s="120" t="n">
        <v>0.2061188543207396</v>
      </c>
      <c r="L444" s="120" t="n">
        <v>-0.03447454635611946</v>
      </c>
      <c r="M444" s="120" t="n">
        <v>-0.04353535842379963</v>
      </c>
      <c r="N444" t="n">
        <v>46.79877418864212</v>
      </c>
      <c r="O444" t="n">
        <v>-0.3321765743111802</v>
      </c>
      <c r="P444" t="n">
        <v>95.81745800356798</v>
      </c>
      <c r="Q444" t="n">
        <v>89.34287280247379</v>
      </c>
    </row>
    <row r="445">
      <c r="A445" s="117" t="n">
        <v>45057</v>
      </c>
      <c r="B445" s="118" t="n">
        <v>115.5945223995876</v>
      </c>
      <c r="C445" s="118" t="n">
        <v>115.9784363621249</v>
      </c>
      <c r="D445" s="118" t="n">
        <v>114.1431575960328</v>
      </c>
      <c r="E445" s="118" t="n">
        <v>114.4427947998047</v>
      </c>
      <c r="F445" s="119" t="n">
        <v>5923100</v>
      </c>
      <c r="G445" s="120" t="n">
        <v>-0.01044458610247623</v>
      </c>
      <c r="H445" s="121" t="n">
        <v>71.94028593780392</v>
      </c>
      <c r="I445" s="118" t="n">
        <v>114.813791809082</v>
      </c>
      <c r="J445" s="118" t="n">
        <v>105.145631942749</v>
      </c>
      <c r="K445" s="120" t="n">
        <v>0.1912544817883835</v>
      </c>
      <c r="L445" s="120" t="n">
        <v>-0.04455906009083543</v>
      </c>
      <c r="M445" s="120" t="n">
        <v>-0.0535252357267163</v>
      </c>
      <c r="N445" t="n">
        <v>43.75457500818361</v>
      </c>
      <c r="O445" t="n">
        <v>-0.4969153484323469</v>
      </c>
      <c r="P445" t="n">
        <v>95.65034965757387</v>
      </c>
      <c r="Q445" t="n">
        <v>89.63414045455714</v>
      </c>
    </row>
    <row r="446">
      <c r="A446" s="117" t="n">
        <v>45058</v>
      </c>
      <c r="B446" s="118" t="n">
        <v>113.2910570518274</v>
      </c>
      <c r="C446" s="118" t="n">
        <v>113.4876932918463</v>
      </c>
      <c r="D446" s="118" t="n">
        <v>111.4557783344037</v>
      </c>
      <c r="E446" s="118" t="n">
        <v>112.5606918334961</v>
      </c>
      <c r="F446" s="119" t="n">
        <v>6574200</v>
      </c>
      <c r="G446" s="120" t="n">
        <v>-0.01644579695559656</v>
      </c>
      <c r="H446" s="121" t="n">
        <v>70.75717060234325</v>
      </c>
      <c r="I446" s="118" t="n">
        <v>114.8319569396973</v>
      </c>
      <c r="J446" s="118" t="n">
        <v>105.2078670501709</v>
      </c>
      <c r="K446" s="120" t="n">
        <v>0.1983019424488385</v>
      </c>
      <c r="L446" s="120" t="n">
        <v>-0.06027204779164574</v>
      </c>
      <c r="M446" s="120" t="n">
        <v>-0.06909076752355092</v>
      </c>
      <c r="N446" t="n">
        <v>39.44871469320881</v>
      </c>
      <c r="O446" t="n">
        <v>-0.7020324247188636</v>
      </c>
      <c r="P446" t="n">
        <v>95.52504422512106</v>
      </c>
      <c r="Q446" t="n">
        <v>89.3126276501352</v>
      </c>
    </row>
    <row r="447">
      <c r="A447" s="117" t="n">
        <v>45061</v>
      </c>
      <c r="B447" s="118" t="n">
        <v>112.1955140887407</v>
      </c>
      <c r="C447" s="118" t="n">
        <v>112.3546947931935</v>
      </c>
      <c r="D447" s="118" t="n">
        <v>110.50069179611</v>
      </c>
      <c r="E447" s="118" t="n">
        <v>112.2048797607422</v>
      </c>
      <c r="F447" s="119" t="n">
        <v>5518200</v>
      </c>
      <c r="G447" s="120" t="n">
        <v>-0.003161068637355546</v>
      </c>
      <c r="H447" s="121" t="n">
        <v>70.53350232948416</v>
      </c>
      <c r="I447" s="118" t="n">
        <v>114.8111695861816</v>
      </c>
      <c r="J447" s="118" t="n">
        <v>105.2480422973633</v>
      </c>
      <c r="K447" s="120" t="n">
        <v>0.1977065762948631</v>
      </c>
      <c r="L447" s="120" t="n">
        <v>-0.06324259234901797</v>
      </c>
      <c r="M447" s="120" t="n">
        <v>-0.07203343550255692</v>
      </c>
      <c r="N447" t="n">
        <v>38.67386751454416</v>
      </c>
      <c r="O447" t="n">
        <v>-0.8227008694307629</v>
      </c>
      <c r="P447" t="n">
        <v>95.8545899119422</v>
      </c>
      <c r="Q447" t="n">
        <v>89.79625959738901</v>
      </c>
    </row>
    <row r="448">
      <c r="A448" s="117" t="n">
        <v>45062</v>
      </c>
      <c r="B448" s="118" t="n">
        <v>110.0231302039848</v>
      </c>
      <c r="C448" s="118" t="n">
        <v>110.3414915771985</v>
      </c>
      <c r="D448" s="118" t="n">
        <v>108.7309462253129</v>
      </c>
      <c r="E448" s="118" t="n">
        <v>109.0680389404297</v>
      </c>
      <c r="F448" s="119" t="n">
        <v>8306400</v>
      </c>
      <c r="G448" s="120" t="n">
        <v>-0.02795636720079631</v>
      </c>
      <c r="H448" s="121" t="n">
        <v>68.56164183840289</v>
      </c>
      <c r="I448" s="118" t="n">
        <v>114.7420652770996</v>
      </c>
      <c r="J448" s="118" t="n">
        <v>105.2600493621826</v>
      </c>
      <c r="K448" s="120" t="n">
        <v>0.2169293754749359</v>
      </c>
      <c r="L448" s="120" t="n">
        <v>-0.08943092641537476</v>
      </c>
      <c r="M448" s="120" t="n">
        <v>-0.09797600952970886</v>
      </c>
      <c r="N448" t="n">
        <v>32.59537761251492</v>
      </c>
      <c r="O448" t="n">
        <v>-1.059716564628844</v>
      </c>
      <c r="P448" t="n">
        <v>95.21402021755655</v>
      </c>
      <c r="Q448" t="n">
        <v>89.89790552320039</v>
      </c>
    </row>
    <row r="449">
      <c r="A449" s="117" t="n">
        <v>45063</v>
      </c>
      <c r="B449" s="118" t="n">
        <v>108.9744135815841</v>
      </c>
      <c r="C449" s="118" t="n">
        <v>109.6766889907184</v>
      </c>
      <c r="D449" s="118" t="n">
        <v>107.9163212036312</v>
      </c>
      <c r="E449" s="118" t="n">
        <v>109.5362396240234</v>
      </c>
      <c r="F449" s="119" t="n">
        <v>7765400</v>
      </c>
      <c r="G449" s="120" t="n">
        <v>0.004292739542603119</v>
      </c>
      <c r="H449" s="121" t="n">
        <v>68.85595910942838</v>
      </c>
      <c r="I449" s="118" t="n">
        <v>114.6931871032715</v>
      </c>
      <c r="J449" s="118" t="n">
        <v>105.2772748565674</v>
      </c>
      <c r="K449" s="120" t="n">
        <v>0.2188635332869442</v>
      </c>
      <c r="L449" s="120" t="n">
        <v>-0.08552209054692672</v>
      </c>
      <c r="M449" s="120" t="n">
        <v>-0.09410385547744038</v>
      </c>
      <c r="N449" t="n">
        <v>34.25632664693799</v>
      </c>
      <c r="O449" t="n">
        <v>-1.124751072864286</v>
      </c>
      <c r="P449" t="n">
        <v>96.36982465725474</v>
      </c>
      <c r="Q449" t="n">
        <v>90.98605604495063</v>
      </c>
    </row>
    <row r="450">
      <c r="A450" s="117" t="n">
        <v>45064</v>
      </c>
      <c r="B450" s="118" t="n">
        <v>109.9576057502437</v>
      </c>
      <c r="C450" s="118" t="n">
        <v>111.5681585529731</v>
      </c>
      <c r="D450" s="118" t="n">
        <v>109.4145110341764</v>
      </c>
      <c r="E450" s="118" t="n">
        <v>111.3059768676758</v>
      </c>
      <c r="F450" s="119" t="n">
        <v>5970500</v>
      </c>
      <c r="G450" s="120" t="n">
        <v>0.01615663683294999</v>
      </c>
      <c r="H450" s="121" t="n">
        <v>69.96843983454389</v>
      </c>
      <c r="I450" s="118" t="n">
        <v>114.6746473693848</v>
      </c>
      <c r="J450" s="118" t="n">
        <v>105.3150904846191</v>
      </c>
      <c r="K450" s="120" t="n">
        <v>0.228169763933008</v>
      </c>
      <c r="L450" s="120" t="n">
        <v>-0.07074720307213789</v>
      </c>
      <c r="M450" s="120" t="n">
        <v>-0.07946762046201972</v>
      </c>
      <c r="N450" t="n">
        <v>40.24966004737205</v>
      </c>
      <c r="O450" t="n">
        <v>-0.9929573307096696</v>
      </c>
      <c r="P450" t="n">
        <v>97.29815926238543</v>
      </c>
      <c r="Q450" t="n">
        <v>92.67596548464209</v>
      </c>
    </row>
    <row r="451">
      <c r="A451" s="117" t="n">
        <v>45065</v>
      </c>
      <c r="B451" s="118" t="n">
        <v>107.270234158027</v>
      </c>
      <c r="C451" s="118" t="n">
        <v>108.1410560210619</v>
      </c>
      <c r="D451" s="118" t="n">
        <v>105.9031387756988</v>
      </c>
      <c r="E451" s="118" t="n">
        <v>107.4575119018555</v>
      </c>
      <c r="F451" s="119" t="n">
        <v>11674300</v>
      </c>
      <c r="G451" s="120" t="n">
        <v>-0.03457554638234295</v>
      </c>
      <c r="H451" s="121" t="n">
        <v>67.54924279774444</v>
      </c>
      <c r="I451" s="118" t="n">
        <v>114.6164054870605</v>
      </c>
      <c r="J451" s="118" t="n">
        <v>105.3220150756836</v>
      </c>
      <c r="K451" s="120" t="n">
        <v>0.2513201799882747</v>
      </c>
      <c r="L451" s="120" t="n">
        <v>-0.1028766262532391</v>
      </c>
      <c r="M451" s="120" t="n">
        <v>-0.1112955304471837</v>
      </c>
      <c r="N451" t="n">
        <v>33.1685090996818</v>
      </c>
      <c r="O451" t="n">
        <v>-1.100981689402464</v>
      </c>
      <c r="P451" t="n">
        <v>97.15661230959645</v>
      </c>
      <c r="Q451" t="n">
        <v>92.4671628637373</v>
      </c>
    </row>
    <row r="452">
      <c r="A452" s="117" t="n">
        <v>45068</v>
      </c>
      <c r="B452" s="118" t="n">
        <v>105.6690363756355</v>
      </c>
      <c r="C452" s="118" t="n">
        <v>105.6690363756355</v>
      </c>
      <c r="D452" s="118" t="n">
        <v>103.019115503041</v>
      </c>
      <c r="E452" s="118" t="n">
        <v>103.1689376831055</v>
      </c>
      <c r="F452" s="119" t="n">
        <v>12710300</v>
      </c>
      <c r="G452" s="120" t="n">
        <v>-0.03990948741365696</v>
      </c>
      <c r="H452" s="121" t="n">
        <v>64.8533871425058</v>
      </c>
      <c r="I452" s="118" t="n">
        <v>114.4795085144043</v>
      </c>
      <c r="J452" s="118" t="n">
        <v>105.3065684890747</v>
      </c>
      <c r="K452" s="120" t="n">
        <v>0.2727188616408044</v>
      </c>
      <c r="L452" s="120" t="n">
        <v>-0.1386803602462829</v>
      </c>
      <c r="M452" s="120" t="n">
        <v>-0.1467632702892625</v>
      </c>
      <c r="N452" t="n">
        <v>27.38639585240603</v>
      </c>
      <c r="O452" t="n">
        <v>-1.379233956643967</v>
      </c>
      <c r="P452" t="n">
        <v>97.19606127266653</v>
      </c>
      <c r="Q452" t="n">
        <v>92.77765412959518</v>
      </c>
    </row>
    <row r="453">
      <c r="A453" s="117" t="n">
        <v>45069</v>
      </c>
      <c r="B453" s="118" t="n">
        <v>102.7850184417346</v>
      </c>
      <c r="C453" s="118" t="n">
        <v>103.9929329169757</v>
      </c>
      <c r="D453" s="118" t="n">
        <v>101.3055637808809</v>
      </c>
      <c r="E453" s="118" t="n">
        <v>101.8580169677734</v>
      </c>
      <c r="F453" s="119" t="n">
        <v>11790400</v>
      </c>
      <c r="G453" s="120" t="n">
        <v>-0.01270654467101973</v>
      </c>
      <c r="H453" s="121" t="n">
        <v>64.02932468171261</v>
      </c>
      <c r="I453" s="118" t="n">
        <v>114.3281910705566</v>
      </c>
      <c r="J453" s="118" t="n">
        <v>105.2873983383179</v>
      </c>
      <c r="K453" s="120" t="n">
        <v>0.2698650103355202</v>
      </c>
      <c r="L453" s="120" t="n">
        <v>-0.1496247567248402</v>
      </c>
      <c r="M453" s="120" t="n">
        <v>-0.1576049609102869</v>
      </c>
      <c r="N453" t="n">
        <v>25.9000838269455</v>
      </c>
      <c r="O453" t="n">
        <v>-1.556424892038144</v>
      </c>
      <c r="P453" t="n">
        <v>96.10524505177831</v>
      </c>
      <c r="Q453" t="n">
        <v>91.6015790703544</v>
      </c>
    </row>
    <row r="454">
      <c r="A454" s="117" t="n">
        <v>45070</v>
      </c>
      <c r="B454" s="118" t="n">
        <v>102.0640433028902</v>
      </c>
      <c r="C454" s="118" t="n">
        <v>102.1576786110821</v>
      </c>
      <c r="D454" s="118" t="n">
        <v>100.3785791797714</v>
      </c>
      <c r="E454" s="118" t="n">
        <v>101.3992233276367</v>
      </c>
      <c r="F454" s="119" t="n">
        <v>8503200</v>
      </c>
      <c r="G454" s="120" t="n">
        <v>-0.004504246732801365</v>
      </c>
      <c r="H454" s="121" t="n">
        <v>63.74092080521152</v>
      </c>
      <c r="I454" s="118" t="n">
        <v>114.1276214599609</v>
      </c>
      <c r="J454" s="118" t="n">
        <v>105.2653308868408</v>
      </c>
      <c r="K454" s="120" t="n">
        <v>0.2699728719162759</v>
      </c>
      <c r="L454" s="120" t="n">
        <v>-0.1534550566360176</v>
      </c>
      <c r="M454" s="120" t="n">
        <v>-0.1613993160128347</v>
      </c>
      <c r="N454" t="n">
        <v>25.38091567555819</v>
      </c>
      <c r="O454" t="n">
        <v>-1.603055734510184</v>
      </c>
      <c r="P454" t="n">
        <v>95.40898487398643</v>
      </c>
      <c r="Q454" t="n">
        <v>91.13171123056316</v>
      </c>
    </row>
    <row r="455">
      <c r="A455" s="117" t="n">
        <v>45071</v>
      </c>
      <c r="B455" s="118" t="n">
        <v>101.4553819401171</v>
      </c>
      <c r="C455" s="118" t="n">
        <v>102.035932160184</v>
      </c>
      <c r="D455" s="118" t="n">
        <v>100.584560181974</v>
      </c>
      <c r="E455" s="118" t="n">
        <v>100.6407470703125</v>
      </c>
      <c r="F455" s="119" t="n">
        <v>6729800</v>
      </c>
      <c r="G455" s="120" t="n">
        <v>-0.007480099279197239</v>
      </c>
      <c r="H455" s="121" t="n">
        <v>63.26413238944109</v>
      </c>
      <c r="I455" s="118" t="n">
        <v>113.927425994873</v>
      </c>
      <c r="J455" s="118" t="n">
        <v>105.2575242233276</v>
      </c>
      <c r="K455" s="120" t="n">
        <v>0.2576662480446021</v>
      </c>
      <c r="L455" s="120" t="n">
        <v>-0.1597872968566826</v>
      </c>
      <c r="M455" s="120" t="n">
        <v>-0.1676721323846615</v>
      </c>
      <c r="N455" t="n">
        <v>24.50634540886222</v>
      </c>
      <c r="O455" t="n">
        <v>-1.580880930523636</v>
      </c>
      <c r="P455" t="n">
        <v>96.23522148939823</v>
      </c>
      <c r="Q455" t="n">
        <v>93.34919352668284</v>
      </c>
    </row>
    <row r="456">
      <c r="A456" s="117" t="n">
        <v>45072</v>
      </c>
      <c r="B456" s="118" t="n">
        <v>100.1912892342369</v>
      </c>
      <c r="C456" s="118" t="n">
        <v>101.5490188008733</v>
      </c>
      <c r="D456" s="118" t="n">
        <v>100.1912892342369</v>
      </c>
      <c r="E456" s="118" t="n">
        <v>100.6688385009766</v>
      </c>
      <c r="F456" s="119" t="n">
        <v>7911200</v>
      </c>
      <c r="G456" s="120" t="n">
        <v>0.0002791258161511934</v>
      </c>
      <c r="H456" s="121" t="n">
        <v>63.28179104202739</v>
      </c>
      <c r="I456" s="118" t="n">
        <v>113.6813485717773</v>
      </c>
      <c r="J456" s="118" t="n">
        <v>105.2357961273193</v>
      </c>
      <c r="K456" s="120" t="n">
        <v>0.2527531318087514</v>
      </c>
      <c r="L456" s="120" t="n">
        <v>-0.1595527718001771</v>
      </c>
      <c r="M456" s="120" t="n">
        <v>-0.167439808189308</v>
      </c>
      <c r="N456" t="n">
        <v>24.60995929211931</v>
      </c>
      <c r="O456" t="n">
        <v>-1.462942460488968</v>
      </c>
      <c r="P456" t="n">
        <v>97.48153864533607</v>
      </c>
      <c r="Q456" t="n">
        <v>95.73428864725973</v>
      </c>
    </row>
    <row r="457">
      <c r="A457" s="117" t="n">
        <v>45076</v>
      </c>
      <c r="B457" s="118" t="n">
        <v>101.5022115538609</v>
      </c>
      <c r="C457" s="118" t="n">
        <v>101.951663834265</v>
      </c>
      <c r="D457" s="118" t="n">
        <v>99.50774473483247</v>
      </c>
      <c r="E457" s="118" t="n">
        <v>99.74183654785156</v>
      </c>
      <c r="F457" s="119" t="n">
        <v>9335200</v>
      </c>
      <c r="G457" s="120" t="n">
        <v>-0.009208430006034218</v>
      </c>
      <c r="H457" s="121" t="n">
        <v>62.6990650985604</v>
      </c>
      <c r="I457" s="118" t="n">
        <v>113.4216003417969</v>
      </c>
      <c r="J457" s="118" t="n">
        <v>105.204977722168</v>
      </c>
      <c r="K457" s="120" t="n">
        <v>0.2441156529547461</v>
      </c>
      <c r="L457" s="120" t="n">
        <v>-0.1672919712748205</v>
      </c>
      <c r="M457" s="120" t="n">
        <v>-0.1751063804414071</v>
      </c>
      <c r="N457" t="n">
        <v>23.4654285416881</v>
      </c>
      <c r="O457" t="n">
        <v>-1.348781195999976</v>
      </c>
      <c r="P457" t="n">
        <v>97.51866317455521</v>
      </c>
      <c r="Q457" t="n">
        <v>96.16847745988545</v>
      </c>
    </row>
    <row r="458">
      <c r="A458" s="117" t="n">
        <v>45077</v>
      </c>
      <c r="B458" s="118" t="n">
        <v>98.97400842155798</v>
      </c>
      <c r="C458" s="118" t="n">
        <v>99.41410214075452</v>
      </c>
      <c r="D458" s="118" t="n">
        <v>98.15937354415686</v>
      </c>
      <c r="E458" s="118" t="n">
        <v>98.56201171875</v>
      </c>
      <c r="F458" s="119" t="n">
        <v>21465200</v>
      </c>
      <c r="G458" s="120" t="n">
        <v>-0.01182878589302427</v>
      </c>
      <c r="H458" s="121" t="n">
        <v>61.95741128181675</v>
      </c>
      <c r="I458" s="118" t="n">
        <v>113.1230863952637</v>
      </c>
      <c r="J458" s="118" t="n">
        <v>105.1591175842285</v>
      </c>
      <c r="K458" s="120" t="n">
        <v>0.2438723383598754</v>
      </c>
      <c r="L458" s="120" t="n">
        <v>-0.177141896258013</v>
      </c>
      <c r="M458" s="120" t="n">
        <v>-0.1848638704516876</v>
      </c>
      <c r="N458" t="n">
        <v>22.0592852706737</v>
      </c>
      <c r="O458" t="n">
        <v>-1.256032353025875</v>
      </c>
      <c r="P458" t="n">
        <v>96.9778891735028</v>
      </c>
      <c r="Q458" t="n">
        <v>95.62164681436933</v>
      </c>
    </row>
    <row r="459">
      <c r="A459" s="117" t="n">
        <v>45078</v>
      </c>
      <c r="B459" s="118" t="n">
        <v>97.55074093190737</v>
      </c>
      <c r="C459" s="118" t="n">
        <v>97.94401346454936</v>
      </c>
      <c r="D459" s="118" t="n">
        <v>96.352191988285</v>
      </c>
      <c r="E459" s="118" t="n">
        <v>97.03573608398438</v>
      </c>
      <c r="F459" s="119" t="n">
        <v>12025200</v>
      </c>
      <c r="G459" s="120" t="n">
        <v>-0.01548543508954447</v>
      </c>
      <c r="H459" s="121" t="n">
        <v>60.99797381109596</v>
      </c>
      <c r="I459" s="118" t="n">
        <v>112.7114593505859</v>
      </c>
      <c r="J459" s="118" t="n">
        <v>105.1044658660889</v>
      </c>
      <c r="K459" s="120" t="n">
        <v>0.2439770305300974</v>
      </c>
      <c r="L459" s="120" t="n">
        <v>-0.1898842120114151</v>
      </c>
      <c r="M459" s="120" t="n">
        <v>-0.1974866080749504</v>
      </c>
      <c r="N459" t="n">
        <v>20.35959300543858</v>
      </c>
      <c r="O459" t="n">
        <v>-1.200813377882107</v>
      </c>
      <c r="P459" t="n">
        <v>97.89928737285614</v>
      </c>
      <c r="Q459" t="n">
        <v>96.72627838099559</v>
      </c>
    </row>
    <row r="460">
      <c r="A460" s="117" t="n">
        <v>45079</v>
      </c>
      <c r="B460" s="118" t="n">
        <v>101.1129263852339</v>
      </c>
      <c r="C460" s="118" t="n">
        <v>101.8550921982451</v>
      </c>
      <c r="D460" s="118" t="n">
        <v>99.70375242399386</v>
      </c>
      <c r="E460" s="118" t="n">
        <v>101.2538452148438</v>
      </c>
      <c r="F460" s="119" t="n">
        <v>11838200</v>
      </c>
      <c r="G460" s="120" t="n">
        <v>0.04346964634975925</v>
      </c>
      <c r="H460" s="121" t="n">
        <v>63.64953416071618</v>
      </c>
      <c r="I460" s="118" t="n">
        <v>112.4986183166504</v>
      </c>
      <c r="J460" s="118" t="n">
        <v>105.0628294754028</v>
      </c>
      <c r="K460" s="120" t="n">
        <v>0.3025661459870148</v>
      </c>
      <c r="L460" s="120" t="n">
        <v>-0.1546687652051949</v>
      </c>
      <c r="M460" s="120" t="n">
        <v>-0.1626016347370228</v>
      </c>
      <c r="N460" t="n">
        <v>35.21606555198578</v>
      </c>
      <c r="O460" t="n">
        <v>-0.8026819543423755</v>
      </c>
      <c r="P460" t="n">
        <v>99.31502255032886</v>
      </c>
      <c r="Q460" t="n">
        <v>97.45170921421963</v>
      </c>
    </row>
    <row r="461">
      <c r="A461" s="117" t="n">
        <v>45082</v>
      </c>
      <c r="B461" s="118" t="n">
        <v>101.3478263797176</v>
      </c>
      <c r="C461" s="118" t="n">
        <v>101.3478263797176</v>
      </c>
      <c r="D461" s="118" t="n">
        <v>98.8113151737206</v>
      </c>
      <c r="E461" s="118" t="n">
        <v>98.83010101318359</v>
      </c>
      <c r="F461" s="119" t="n">
        <v>7434000</v>
      </c>
      <c r="G461" s="120" t="n">
        <v>-0.02393730526003601</v>
      </c>
      <c r="H461" s="121" t="n">
        <v>62.12593583185203</v>
      </c>
      <c r="I461" s="118" t="n">
        <v>112.2097734069824</v>
      </c>
      <c r="J461" s="118" t="n">
        <v>105.0138080978394</v>
      </c>
      <c r="K461" s="120" t="n">
        <v>0.2864132299770111</v>
      </c>
      <c r="L461" s="120" t="n">
        <v>-0.1749037170183212</v>
      </c>
      <c r="M461" s="120" t="n">
        <v>-0.1826466950305778</v>
      </c>
      <c r="N461" t="n">
        <v>31.57161029847886</v>
      </c>
      <c r="O461" t="n">
        <v>-0.6325284471302322</v>
      </c>
      <c r="P461" t="n">
        <v>99.12471414075596</v>
      </c>
      <c r="Q461" t="n">
        <v>97.5204015941073</v>
      </c>
    </row>
    <row r="462">
      <c r="A462" s="117" t="n">
        <v>45083</v>
      </c>
      <c r="B462" s="118" t="n">
        <v>99.10251297026952</v>
      </c>
      <c r="C462" s="118" t="n">
        <v>100.2862211945279</v>
      </c>
      <c r="D462" s="118" t="n">
        <v>98.8300717903052</v>
      </c>
      <c r="E462" s="118" t="n">
        <v>99.7601318359375</v>
      </c>
      <c r="F462" s="119" t="n">
        <v>7896300</v>
      </c>
      <c r="G462" s="120" t="n">
        <v>0.009410400406550723</v>
      </c>
      <c r="H462" s="121" t="n">
        <v>62.71056576366143</v>
      </c>
      <c r="I462" s="118" t="n">
        <v>111.9443983459473</v>
      </c>
      <c r="J462" s="118" t="n">
        <v>104.9742169570923</v>
      </c>
      <c r="K462" s="120" t="n">
        <v>0.2911763284271418</v>
      </c>
      <c r="L462" s="120" t="n">
        <v>-0.167139230621507</v>
      </c>
      <c r="M462" s="120" t="n">
        <v>-0.1749550731571982</v>
      </c>
      <c r="N462" t="n">
        <v>34.37792883234231</v>
      </c>
      <c r="O462" t="n">
        <v>-0.3987150619129394</v>
      </c>
      <c r="P462" t="n">
        <v>99.34053966860351</v>
      </c>
      <c r="Q462" t="n">
        <v>97.50389491774624</v>
      </c>
    </row>
    <row r="463">
      <c r="A463" s="117" t="n">
        <v>45084</v>
      </c>
      <c r="B463" s="118" t="n">
        <v>99.61921898996732</v>
      </c>
      <c r="C463" s="118" t="n">
        <v>101.6860048808764</v>
      </c>
      <c r="D463" s="118" t="n">
        <v>99.03675775974403</v>
      </c>
      <c r="E463" s="118" t="n">
        <v>100.6056365966797</v>
      </c>
      <c r="F463" s="119" t="n">
        <v>11123900</v>
      </c>
      <c r="G463" s="120" t="n">
        <v>0.008475377339443257</v>
      </c>
      <c r="H463" s="121" t="n">
        <v>63.24206147167843</v>
      </c>
      <c r="I463" s="118" t="n">
        <v>111.7502424621582</v>
      </c>
      <c r="J463" s="118" t="n">
        <v>104.9520799255371</v>
      </c>
      <c r="K463" s="120" t="n">
        <v>0.2964580834036954</v>
      </c>
      <c r="L463" s="120" t="n">
        <v>-0.1600804213298053</v>
      </c>
      <c r="M463" s="120" t="n">
        <v>-0.1679625060802119</v>
      </c>
      <c r="N463" t="n">
        <v>36.91105773002799</v>
      </c>
      <c r="O463" t="n">
        <v>-0.1417432860016117</v>
      </c>
      <c r="P463" t="n">
        <v>98.99704737867681</v>
      </c>
      <c r="Q463" t="n">
        <v>95.84972431201871</v>
      </c>
    </row>
    <row r="464">
      <c r="A464" s="117" t="n">
        <v>45085</v>
      </c>
      <c r="B464" s="118" t="n">
        <v>100.6713936554591</v>
      </c>
      <c r="C464" s="118" t="n">
        <v>101.0095888202652</v>
      </c>
      <c r="D464" s="118" t="n">
        <v>99.27160899303887</v>
      </c>
      <c r="E464" s="118" t="n">
        <v>99.76951599121094</v>
      </c>
      <c r="F464" s="119" t="n">
        <v>9137600</v>
      </c>
      <c r="G464" s="120" t="n">
        <v>-0.008310872370110745</v>
      </c>
      <c r="H464" s="121" t="n">
        <v>62.71646477036462</v>
      </c>
      <c r="I464" s="118" t="n">
        <v>111.5382406616211</v>
      </c>
      <c r="J464" s="118" t="n">
        <v>104.9388496780395</v>
      </c>
      <c r="K464" s="120" t="n">
        <v>0.2958263077312266</v>
      </c>
      <c r="L464" s="120" t="n">
        <v>-0.1670608857492903</v>
      </c>
      <c r="M464" s="120" t="n">
        <v>-0.1748774634993261</v>
      </c>
      <c r="N464" t="n">
        <v>35.45357008376698</v>
      </c>
      <c r="O464" t="n">
        <v>0.009278494757565259</v>
      </c>
      <c r="P464" t="n">
        <v>99.59585843445163</v>
      </c>
      <c r="Q464" t="n">
        <v>97.03952075958033</v>
      </c>
    </row>
    <row r="465">
      <c r="A465" s="117" t="n">
        <v>45086</v>
      </c>
      <c r="B465" s="118" t="n">
        <v>99.49708672487185</v>
      </c>
      <c r="C465" s="118" t="n">
        <v>99.84467840639074</v>
      </c>
      <c r="D465" s="118" t="n">
        <v>98.97099020113448</v>
      </c>
      <c r="E465" s="118" t="n">
        <v>99.45011138916016</v>
      </c>
      <c r="F465" s="119" t="n">
        <v>5795200</v>
      </c>
      <c r="G465" s="120" t="n">
        <v>-0.003201424792708463</v>
      </c>
      <c r="H465" s="121" t="n">
        <v>62.51568272513774</v>
      </c>
      <c r="I465" s="118" t="n">
        <v>111.2707852172852</v>
      </c>
      <c r="J465" s="118" t="n">
        <v>104.9224444961548</v>
      </c>
      <c r="K465" s="120" t="n">
        <v>0.2958878229722262</v>
      </c>
      <c r="L465" s="120" t="n">
        <v>-0.1697274776804693</v>
      </c>
      <c r="M465" s="120" t="n">
        <v>-0.1775190312447018</v>
      </c>
      <c r="N465" t="n">
        <v>34.88685196173439</v>
      </c>
      <c r="O465" t="n">
        <v>0.1189305204777376</v>
      </c>
      <c r="P465" t="n">
        <v>99.77455205392496</v>
      </c>
      <c r="Q465" t="n">
        <v>97.41046815480202</v>
      </c>
    </row>
    <row r="466">
      <c r="A466" s="117" t="n">
        <v>45089</v>
      </c>
      <c r="B466" s="118" t="n">
        <v>99.85408558343455</v>
      </c>
      <c r="C466" s="118" t="n">
        <v>100.3801749959916</v>
      </c>
      <c r="D466" s="118" t="n">
        <v>98.2664136766998</v>
      </c>
      <c r="E466" s="118" t="n">
        <v>100.3613891601562</v>
      </c>
      <c r="F466" s="119" t="n">
        <v>7964600</v>
      </c>
      <c r="G466" s="120" t="n">
        <v>0.009163164910194643</v>
      </c>
      <c r="H466" s="121" t="n">
        <v>63.08852423542158</v>
      </c>
      <c r="I466" s="118" t="n">
        <v>111.0288592529297</v>
      </c>
      <c r="J466" s="118" t="n">
        <v>104.9072078323364</v>
      </c>
      <c r="K466" s="120" t="n">
        <v>0.2988004939989004</v>
      </c>
      <c r="L466" s="120" t="n">
        <v>-0.1621195536380522</v>
      </c>
      <c r="M466" s="120" t="n">
        <v>-0.1699825024925005</v>
      </c>
      <c r="N466" t="n">
        <v>37.93508109323997</v>
      </c>
      <c r="O466" t="n">
        <v>0.2751728520612726</v>
      </c>
      <c r="P466" t="n">
        <v>100.679693974632</v>
      </c>
      <c r="Q466" t="n">
        <v>99.05641959766238</v>
      </c>
    </row>
    <row r="467">
      <c r="A467" s="117" t="n">
        <v>45090</v>
      </c>
      <c r="B467" s="118" t="n">
        <v>100.6526097112982</v>
      </c>
      <c r="C467" s="118" t="n">
        <v>100.97202623934</v>
      </c>
      <c r="D467" s="118" t="n">
        <v>99.85407914233893</v>
      </c>
      <c r="E467" s="118" t="n">
        <v>100.3144073486328</v>
      </c>
      <c r="F467" s="119" t="n">
        <v>8460500</v>
      </c>
      <c r="G467" s="120" t="n">
        <v>-0.0004681263573231842</v>
      </c>
      <c r="H467" s="121" t="n">
        <v>63.05899083438236</v>
      </c>
      <c r="I467" s="118" t="n">
        <v>110.7384260559082</v>
      </c>
      <c r="J467" s="118" t="n">
        <v>104.8833362579346</v>
      </c>
      <c r="K467" s="120" t="n">
        <v>0.2992387446930163</v>
      </c>
      <c r="L467" s="120" t="n">
        <v>-0.16251178755928</v>
      </c>
      <c r="M467" s="120" t="n">
        <v>-0.1703710555601231</v>
      </c>
      <c r="N467" t="n">
        <v>37.83673519820659</v>
      </c>
      <c r="O467" t="n">
        <v>0.3906455410770366</v>
      </c>
      <c r="P467" t="n">
        <v>101.3434784909066</v>
      </c>
      <c r="Q467" t="n">
        <v>99.81758926485037</v>
      </c>
    </row>
    <row r="468">
      <c r="A468" s="117" t="n">
        <v>45091</v>
      </c>
      <c r="B468" s="118" t="n">
        <v>100.9720251595308</v>
      </c>
      <c r="C468" s="118" t="n">
        <v>106.5335639145494</v>
      </c>
      <c r="D468" s="118" t="n">
        <v>100.9720251595308</v>
      </c>
      <c r="E468" s="118" t="n">
        <v>106.0262603759766</v>
      </c>
      <c r="F468" s="119" t="n">
        <v>17415500</v>
      </c>
      <c r="G468" s="120" t="n">
        <v>0.05693950827514516</v>
      </c>
      <c r="H468" s="121" t="n">
        <v>66.64953876481897</v>
      </c>
      <c r="I468" s="118" t="n">
        <v>110.5803953552246</v>
      </c>
      <c r="J468" s="118" t="n">
        <v>104.9109498977661</v>
      </c>
      <c r="K468" s="120" t="n">
        <v>0.3599947465811803</v>
      </c>
      <c r="L468" s="120" t="n">
        <v>-0.1148256205566751</v>
      </c>
      <c r="M468" s="120" t="n">
        <v>-0.1231323914128889</v>
      </c>
      <c r="N468" t="n">
        <v>53.58967948841586</v>
      </c>
      <c r="O468" t="n">
        <v>0.8411363643234742</v>
      </c>
      <c r="P468" t="n">
        <v>101.4641571931227</v>
      </c>
      <c r="Q468" t="n">
        <v>100.5430115542461</v>
      </c>
    </row>
    <row r="469">
      <c r="A469" s="117" t="n">
        <v>45092</v>
      </c>
      <c r="B469" s="118" t="n">
        <v>105.0586332263442</v>
      </c>
      <c r="C469" s="118" t="n">
        <v>105.9886861706494</v>
      </c>
      <c r="D469" s="118" t="n">
        <v>103.4897543723052</v>
      </c>
      <c r="E469" s="118" t="n">
        <v>105.603515625</v>
      </c>
      <c r="F469" s="119" t="n">
        <v>10374200</v>
      </c>
      <c r="G469" s="120" t="n">
        <v>-0.003987170248931582</v>
      </c>
      <c r="H469" s="121" t="n">
        <v>66.38379570675087</v>
      </c>
      <c r="I469" s="118" t="n">
        <v>110.3760804748535</v>
      </c>
      <c r="J469" s="118" t="n">
        <v>104.9383062744141</v>
      </c>
      <c r="K469" s="120" t="n">
        <v>0.3595273241794033</v>
      </c>
      <c r="L469" s="120" t="n">
        <v>-0.118354961507508</v>
      </c>
      <c r="M469" s="120" t="n">
        <v>-0.1266286118540991</v>
      </c>
      <c r="N469" t="n">
        <v>52.52869169089671</v>
      </c>
      <c r="O469" t="n">
        <v>1.084581771778414</v>
      </c>
      <c r="P469" t="n">
        <v>102.7220596225398</v>
      </c>
      <c r="Q469" t="n">
        <v>101.7410613399882</v>
      </c>
    </row>
    <row r="470">
      <c r="A470" s="117" t="n">
        <v>45093</v>
      </c>
      <c r="B470" s="118" t="n">
        <v>107.0972367338265</v>
      </c>
      <c r="C470" s="118" t="n">
        <v>107.8112203189325</v>
      </c>
      <c r="D470" s="118" t="n">
        <v>106.2141519619172</v>
      </c>
      <c r="E470" s="118" t="n">
        <v>106.7120590209961</v>
      </c>
      <c r="F470" s="119" t="n">
        <v>14445500</v>
      </c>
      <c r="G470" s="120" t="n">
        <v>0.0104972205653886</v>
      </c>
      <c r="H470" s="121" t="n">
        <v>67.08064105225233</v>
      </c>
      <c r="I470" s="118" t="n">
        <v>110.2461856079101</v>
      </c>
      <c r="J470" s="118" t="n">
        <v>104.9712982177734</v>
      </c>
      <c r="K470" s="120" t="n">
        <v>0.3563705290929506</v>
      </c>
      <c r="L470" s="120" t="n">
        <v>-0.1091001390780718</v>
      </c>
      <c r="M470" s="120" t="n">
        <v>-0.117460639757232</v>
      </c>
      <c r="N470" t="n">
        <v>55.04227187914694</v>
      </c>
      <c r="O470" t="n">
        <v>1.280744564143479</v>
      </c>
      <c r="P470" t="n">
        <v>102.3721696051567</v>
      </c>
      <c r="Q470" t="n">
        <v>101.1008210191845</v>
      </c>
    </row>
    <row r="471">
      <c r="A471" s="117" t="n">
        <v>45097</v>
      </c>
      <c r="B471" s="118" t="n">
        <v>104.6640683063783</v>
      </c>
      <c r="C471" s="118" t="n">
        <v>105.9886883245893</v>
      </c>
      <c r="D471" s="118" t="n">
        <v>102.3624128173217</v>
      </c>
      <c r="E471" s="118" t="n">
        <v>102.9072952270508</v>
      </c>
      <c r="F471" s="119" t="n">
        <v>10602400</v>
      </c>
      <c r="G471" s="120" t="n">
        <v>-0.03565448768256552</v>
      </c>
      <c r="H471" s="121" t="n">
        <v>64.6889151621162</v>
      </c>
      <c r="I471" s="118" t="n">
        <v>110.0529298400879</v>
      </c>
      <c r="J471" s="118" t="n">
        <v>104.9918100357056</v>
      </c>
      <c r="K471" s="120" t="n">
        <v>0.3577019848202741</v>
      </c>
      <c r="L471" s="120" t="n">
        <v>-0.140864717195712</v>
      </c>
      <c r="M471" s="120" t="n">
        <v>-0.148927128506387</v>
      </c>
      <c r="N471" t="n">
        <v>46.03298587616894</v>
      </c>
      <c r="O471" t="n">
        <v>1.120513489257021</v>
      </c>
      <c r="P471" t="n">
        <v>101.8410622972622</v>
      </c>
      <c r="Q471" t="n">
        <v>100.9560800232048</v>
      </c>
    </row>
    <row r="472">
      <c r="A472" s="117" t="n">
        <v>45098</v>
      </c>
      <c r="B472" s="118" t="n">
        <v>102.5221028987723</v>
      </c>
      <c r="C472" s="118" t="n">
        <v>103.677628729425</v>
      </c>
      <c r="D472" s="118" t="n">
        <v>102.1275358999854</v>
      </c>
      <c r="E472" s="118" t="n">
        <v>103.3206405639648</v>
      </c>
      <c r="F472" s="119" t="n">
        <v>8377800</v>
      </c>
      <c r="G472" s="120" t="n">
        <v>0.004016676718614276</v>
      </c>
      <c r="H472" s="121" t="n">
        <v>64.94874962160029</v>
      </c>
      <c r="I472" s="118" t="n">
        <v>109.8362921142578</v>
      </c>
      <c r="J472" s="118" t="n">
        <v>105.0142029571533</v>
      </c>
      <c r="K472" s="120" t="n">
        <v>0.3286335042169196</v>
      </c>
      <c r="L472" s="120" t="n">
        <v>-0.137413848507132</v>
      </c>
      <c r="M472" s="120" t="n">
        <v>-0.1455086439176144</v>
      </c>
      <c r="N472" t="n">
        <v>47.04702431681078</v>
      </c>
      <c r="O472" t="n">
        <v>1.011937214149532</v>
      </c>
      <c r="P472" t="n">
        <v>101.3192379664611</v>
      </c>
      <c r="Q472" t="n">
        <v>99.58028443258922</v>
      </c>
    </row>
    <row r="473">
      <c r="A473" s="117" t="n">
        <v>45099</v>
      </c>
      <c r="B473" s="118" t="n">
        <v>104.1097782723004</v>
      </c>
      <c r="C473" s="118" t="n">
        <v>104.5137417856748</v>
      </c>
      <c r="D473" s="118" t="n">
        <v>103.1327500732686</v>
      </c>
      <c r="E473" s="118" t="n">
        <v>103.7715759277344</v>
      </c>
      <c r="F473" s="119" t="n">
        <v>6002900</v>
      </c>
      <c r="G473" s="120" t="n">
        <v>0.004364426713850733</v>
      </c>
      <c r="H473" s="121" t="n">
        <v>65.23221367948</v>
      </c>
      <c r="I473" s="118" t="n">
        <v>109.6026422119141</v>
      </c>
      <c r="J473" s="118" t="n">
        <v>105.0409215927124</v>
      </c>
      <c r="K473" s="120" t="n">
        <v>0.3252597560126418</v>
      </c>
      <c r="L473" s="120" t="n">
        <v>-0.1336491544645588</v>
      </c>
      <c r="M473" s="120" t="n">
        <v>-0.1417792790163739</v>
      </c>
      <c r="N473" t="n">
        <v>48.19074329185272</v>
      </c>
      <c r="O473" t="n">
        <v>0.9415214126705043</v>
      </c>
      <c r="P473" t="n">
        <v>101.6849857881161</v>
      </c>
      <c r="Q473" t="n">
        <v>100.7552231626602</v>
      </c>
    </row>
    <row r="474">
      <c r="A474" s="117" t="n">
        <v>45100</v>
      </c>
      <c r="B474" s="118" t="n">
        <v>101.2256816002502</v>
      </c>
      <c r="C474" s="118" t="n">
        <v>103.6118841426123</v>
      </c>
      <c r="D474" s="118" t="n">
        <v>100.8029322006786</v>
      </c>
      <c r="E474" s="118" t="n">
        <v>102.8885040283203</v>
      </c>
      <c r="F474" s="119" t="n">
        <v>14329200</v>
      </c>
      <c r="G474" s="120" t="n">
        <v>-0.008509766682439412</v>
      </c>
      <c r="H474" s="121" t="n">
        <v>64.67710276088859</v>
      </c>
      <c r="I474" s="118" t="n">
        <v>109.3445889282227</v>
      </c>
      <c r="J474" s="118" t="n">
        <v>105.0659708786011</v>
      </c>
      <c r="K474" s="120" t="n">
        <v>0.3264880454522705</v>
      </c>
      <c r="L474" s="120" t="n">
        <v>-0.1410215980251996</v>
      </c>
      <c r="M474" s="120" t="n">
        <v>-0.1490825371139795</v>
      </c>
      <c r="N474" t="n">
        <v>46.09125275416256</v>
      </c>
      <c r="O474" t="n">
        <v>0.811436024638869</v>
      </c>
      <c r="P474" t="n">
        <v>100.9162475491057</v>
      </c>
      <c r="Q474" t="n">
        <v>99.75637273476393</v>
      </c>
    </row>
    <row r="475">
      <c r="A475" s="117" t="n">
        <v>45103</v>
      </c>
      <c r="B475" s="118" t="n">
        <v>103.0294228087916</v>
      </c>
      <c r="C475" s="118" t="n">
        <v>105.4156253494122</v>
      </c>
      <c r="D475" s="118" t="n">
        <v>103.0294228087916</v>
      </c>
      <c r="E475" s="118" t="n">
        <v>104.9740829467773</v>
      </c>
      <c r="F475" s="119" t="n">
        <v>6887100</v>
      </c>
      <c r="G475" s="120" t="n">
        <v>0.02027028129287389</v>
      </c>
      <c r="H475" s="121" t="n">
        <v>65.98812582705992</v>
      </c>
      <c r="I475" s="118" t="n">
        <v>109.0763723754883</v>
      </c>
      <c r="J475" s="118" t="n">
        <v>105.0859494400024</v>
      </c>
      <c r="K475" s="120" t="n">
        <v>0.331826413145964</v>
      </c>
      <c r="L475" s="120" t="n">
        <v>-0.1236098641926671</v>
      </c>
      <c r="M475" s="120" t="n">
        <v>-0.1318342007842613</v>
      </c>
      <c r="N475" t="n">
        <v>51.46882606754864</v>
      </c>
      <c r="O475" t="n">
        <v>0.8383731197947013</v>
      </c>
      <c r="P475" t="n">
        <v>100.5039298797263</v>
      </c>
      <c r="Q475" t="n">
        <v>98.41911835380915</v>
      </c>
    </row>
    <row r="476">
      <c r="A476" s="117" t="n">
        <v>45104</v>
      </c>
      <c r="B476" s="118" t="n">
        <v>105.7162431160556</v>
      </c>
      <c r="C476" s="118" t="n">
        <v>107.2663361076479</v>
      </c>
      <c r="D476" s="118" t="n">
        <v>105.6222996066261</v>
      </c>
      <c r="E476" s="118" t="n">
        <v>106.7308502197266</v>
      </c>
      <c r="F476" s="119" t="n">
        <v>7138600</v>
      </c>
      <c r="G476" s="120" t="n">
        <v>0.01673524763097878</v>
      </c>
      <c r="H476" s="121" t="n">
        <v>67.09245345347995</v>
      </c>
      <c r="I476" s="118" t="n">
        <v>108.8522804260254</v>
      </c>
      <c r="J476" s="118" t="n">
        <v>105.1135483169556</v>
      </c>
      <c r="K476" s="120" t="n">
        <v>0.3356074019237454</v>
      </c>
      <c r="L476" s="120" t="n">
        <v>-0.1089432582485842</v>
      </c>
      <c r="M476" s="120" t="n">
        <v>-0.1173052311496394</v>
      </c>
      <c r="N476" t="n">
        <v>55.49598339804209</v>
      </c>
      <c r="O476" t="n">
        <v>0.9394219653641289</v>
      </c>
      <c r="P476" t="n">
        <v>101.6057853166176</v>
      </c>
      <c r="Q476" t="n">
        <v>100.1113431709819</v>
      </c>
    </row>
    <row r="477">
      <c r="A477" s="117" t="n">
        <v>45105</v>
      </c>
      <c r="B477" s="118" t="n">
        <v>106.4771935174875</v>
      </c>
      <c r="C477" s="118" t="n">
        <v>106.8623712189509</v>
      </c>
      <c r="D477" s="118" t="n">
        <v>105.3310712490113</v>
      </c>
      <c r="E477" s="118" t="n">
        <v>106.1859664916992</v>
      </c>
      <c r="F477" s="119" t="n">
        <v>6766000</v>
      </c>
      <c r="G477" s="120" t="n">
        <v>-0.005105213037332579</v>
      </c>
      <c r="H477" s="121" t="n">
        <v>66.74993218540261</v>
      </c>
      <c r="I477" s="118" t="n">
        <v>108.6127961730957</v>
      </c>
      <c r="J477" s="118" t="n">
        <v>105.1279972457886</v>
      </c>
      <c r="K477" s="120" t="n">
        <v>0.3339171978984776</v>
      </c>
      <c r="L477" s="120" t="n">
        <v>-0.1134922927435766</v>
      </c>
      <c r="M477" s="120" t="n">
        <v>-0.1218115759915596</v>
      </c>
      <c r="N477" t="n">
        <v>53.99926553277827</v>
      </c>
      <c r="O477" t="n">
        <v>0.932598350359032</v>
      </c>
      <c r="P477" t="n">
        <v>101.6570114111991</v>
      </c>
      <c r="Q477" t="n">
        <v>100.3066978060729</v>
      </c>
    </row>
    <row r="478">
      <c r="A478" s="117" t="n">
        <v>45106</v>
      </c>
      <c r="B478" s="118" t="n">
        <v>106.7214633563912</v>
      </c>
      <c r="C478" s="118" t="n">
        <v>107.3508928105847</v>
      </c>
      <c r="D478" s="118" t="n">
        <v>105.7914103444164</v>
      </c>
      <c r="E478" s="118" t="n">
        <v>106.5053939819336</v>
      </c>
      <c r="F478" s="119" t="n">
        <v>12465500</v>
      </c>
      <c r="G478" s="120" t="n">
        <v>0.003008189319059884</v>
      </c>
      <c r="H478" s="121" t="n">
        <v>66.95072861845071</v>
      </c>
      <c r="I478" s="118" t="n">
        <v>108.3793257141113</v>
      </c>
      <c r="J478" s="118" t="n">
        <v>105.1374808502197</v>
      </c>
      <c r="K478" s="120" t="n">
        <v>0.3290947781308147</v>
      </c>
      <c r="L478" s="120" t="n">
        <v>-0.1108255097273436</v>
      </c>
      <c r="M478" s="120" t="n">
        <v>-0.1191698189543354</v>
      </c>
      <c r="N478" t="n">
        <v>54.76939531519688</v>
      </c>
      <c r="O478" t="n">
        <v>0.9115528145518759</v>
      </c>
      <c r="P478" t="n">
        <v>102.0576921530137</v>
      </c>
      <c r="Q478" t="n">
        <v>100.1058238578715</v>
      </c>
    </row>
    <row r="479">
      <c r="A479" s="117" t="n">
        <v>45107</v>
      </c>
      <c r="B479" s="118" t="n">
        <v>104.8331568736214</v>
      </c>
      <c r="C479" s="118" t="n">
        <v>105.4531969284447</v>
      </c>
      <c r="D479" s="118" t="n">
        <v>103.1515487265999</v>
      </c>
      <c r="E479" s="118" t="n">
        <v>103.6870346069336</v>
      </c>
      <c r="F479" s="119" t="n">
        <v>19629600</v>
      </c>
      <c r="G479" s="120" t="n">
        <v>-0.02646212806346759</v>
      </c>
      <c r="H479" s="121" t="n">
        <v>65.1790698638068</v>
      </c>
      <c r="I479" s="118" t="n">
        <v>108.0996012878418</v>
      </c>
      <c r="J479" s="118" t="n">
        <v>105.163870010376</v>
      </c>
      <c r="K479" s="120" t="n">
        <v>0.3398819295097257</v>
      </c>
      <c r="L479" s="120" t="n">
        <v>-0.1343549589597072</v>
      </c>
      <c r="M479" s="120" t="n">
        <v>-0.1424784600073332</v>
      </c>
      <c r="N479" t="n">
        <v>47.25258652193061</v>
      </c>
      <c r="O479" t="n">
        <v>0.6803726555239513</v>
      </c>
      <c r="P479" t="n">
        <v>103.2620366748434</v>
      </c>
      <c r="Q479" t="n">
        <v>101.6494800439663</v>
      </c>
    </row>
    <row r="480">
      <c r="A480" s="117" t="n">
        <v>45110</v>
      </c>
      <c r="B480" s="118" t="n">
        <v>104.3352421456211</v>
      </c>
      <c r="C480" s="118" t="n">
        <v>104.560715149367</v>
      </c>
      <c r="D480" s="118" t="n">
        <v>102.5033187866211</v>
      </c>
      <c r="E480" s="118" t="n">
        <v>102.5033187866211</v>
      </c>
      <c r="F480" s="119" t="n">
        <v>5734200</v>
      </c>
      <c r="G480" s="120" t="n">
        <v>-0.01141623757299881</v>
      </c>
      <c r="H480" s="121" t="n">
        <v>64.4349701174545</v>
      </c>
      <c r="I480" s="118" t="n">
        <v>107.8190496826172</v>
      </c>
      <c r="J480" s="118" t="n">
        <v>105.178383140564</v>
      </c>
      <c r="K480" s="120" t="n">
        <v>0.3087653747485291</v>
      </c>
      <c r="L480" s="120" t="n">
        <v>-0.1442373684021114</v>
      </c>
      <c r="M480" s="120" t="n">
        <v>-0.1522681296318532</v>
      </c>
      <c r="N480" t="n">
        <v>44.49073155287951</v>
      </c>
      <c r="O480" t="n">
        <v>0.432371457516295</v>
      </c>
      <c r="P480" t="n">
        <v>103.3808558299788</v>
      </c>
      <c r="Q480" t="n">
        <v>101.8888781141718</v>
      </c>
    </row>
    <row r="481">
      <c r="A481" s="117" t="n">
        <v>45112</v>
      </c>
      <c r="B481" s="118" t="n">
        <v>102.0430186829997</v>
      </c>
      <c r="C481" s="118" t="n">
        <v>102.3154599285619</v>
      </c>
      <c r="D481" s="118" t="n">
        <v>100.0889617842701</v>
      </c>
      <c r="E481" s="118" t="n">
        <v>100.6150512695312</v>
      </c>
      <c r="F481" s="119" t="n">
        <v>10405300</v>
      </c>
      <c r="G481" s="120" t="n">
        <v>-0.01842152565831168</v>
      </c>
      <c r="H481" s="121" t="n">
        <v>63.24797966214327</v>
      </c>
      <c r="I481" s="118" t="n">
        <v>107.4805072021484</v>
      </c>
      <c r="J481" s="118" t="n">
        <v>105.1904362106323</v>
      </c>
      <c r="K481" s="120" t="n">
        <v>0.3034818937345747</v>
      </c>
      <c r="L481" s="120" t="n">
        <v>-0.1600018216775162</v>
      </c>
      <c r="M481" s="120" t="n">
        <v>-0.1678846440332086</v>
      </c>
      <c r="N481" t="n">
        <v>40.43105774151047</v>
      </c>
      <c r="O481" t="n">
        <v>0.1408794854174277</v>
      </c>
      <c r="P481" t="n">
        <v>103.2270963755286</v>
      </c>
      <c r="Q481" t="n">
        <v>101.886127001445</v>
      </c>
    </row>
    <row r="482">
      <c r="A482" s="117" t="n">
        <v>45113</v>
      </c>
      <c r="B482" s="118" t="n">
        <v>98.91463508215874</v>
      </c>
      <c r="C482" s="118" t="n">
        <v>99.66619035409713</v>
      </c>
      <c r="D482" s="118" t="n">
        <v>97.3927243677803</v>
      </c>
      <c r="E482" s="118" t="n">
        <v>98.73613739013672</v>
      </c>
      <c r="F482" s="119" t="n">
        <v>9923500</v>
      </c>
      <c r="G482" s="120" t="n">
        <v>-0.01867428238307234</v>
      </c>
      <c r="H482" s="121" t="n">
        <v>62.0668690297736</v>
      </c>
      <c r="I482" s="118" t="n">
        <v>107.0751715087891</v>
      </c>
      <c r="J482" s="118" t="n">
        <v>105.1995175933838</v>
      </c>
      <c r="K482" s="120" t="n">
        <v>0.3095544239845887</v>
      </c>
      <c r="L482" s="120" t="n">
        <v>-0.1756881848607765</v>
      </c>
      <c r="M482" s="120" t="n">
        <v>-0.1834238011658232</v>
      </c>
      <c r="N482" t="n">
        <v>36.8298393956709</v>
      </c>
      <c r="O482" t="n">
        <v>-0.162315336018788</v>
      </c>
      <c r="P482" t="n">
        <v>102.4187542111914</v>
      </c>
      <c r="Q482" t="n">
        <v>101.1101594235648</v>
      </c>
    </row>
    <row r="483">
      <c r="A483" s="117" t="n">
        <v>45114</v>
      </c>
      <c r="B483" s="118" t="n">
        <v>98.45430423214884</v>
      </c>
      <c r="C483" s="118" t="n">
        <v>99.0837336371055</v>
      </c>
      <c r="D483" s="118" t="n">
        <v>97.73092414919709</v>
      </c>
      <c r="E483" s="118" t="n">
        <v>98.1348876953125</v>
      </c>
      <c r="F483" s="119" t="n">
        <v>7463100</v>
      </c>
      <c r="G483" s="120" t="n">
        <v>-0.006089459348085469</v>
      </c>
      <c r="H483" s="121" t="n">
        <v>61.68891535395385</v>
      </c>
      <c r="I483" s="118" t="n">
        <v>106.7033180236816</v>
      </c>
      <c r="J483" s="118" t="n">
        <v>105.1912111663818</v>
      </c>
      <c r="K483" s="120" t="n">
        <v>0.308370132813451</v>
      </c>
      <c r="L483" s="120" t="n">
        <v>-0.1807077981492133</v>
      </c>
      <c r="M483" s="120" t="n">
        <v>-0.1883963087332381</v>
      </c>
      <c r="N483" t="n">
        <v>35.73301600818729</v>
      </c>
      <c r="O483" t="n">
        <v>-0.3750438102658298</v>
      </c>
      <c r="P483" t="n">
        <v>102.1601886171071</v>
      </c>
      <c r="Q483" t="n">
        <v>100.7744724079197</v>
      </c>
    </row>
    <row r="484">
      <c r="A484" s="117" t="n">
        <v>45117</v>
      </c>
      <c r="B484" s="118" t="n">
        <v>98.15367433065585</v>
      </c>
      <c r="C484" s="118" t="n">
        <v>99.87286124801365</v>
      </c>
      <c r="D484" s="118" t="n">
        <v>97.93759781968664</v>
      </c>
      <c r="E484" s="118" t="n">
        <v>99.37495422363281</v>
      </c>
      <c r="F484" s="119" t="n">
        <v>5374600</v>
      </c>
      <c r="G484" s="120" t="n">
        <v>0.01263634735253838</v>
      </c>
      <c r="H484" s="121" t="n">
        <v>62.46843791616774</v>
      </c>
      <c r="I484" s="118" t="n">
        <v>106.3716227722168</v>
      </c>
      <c r="J484" s="118" t="n">
        <v>105.2113988494873</v>
      </c>
      <c r="K484" s="120" t="n">
        <v>0.3107970738681968</v>
      </c>
      <c r="L484" s="120" t="n">
        <v>-0.1703549373034009</v>
      </c>
      <c r="M484" s="120" t="n">
        <v>-0.178140602577789</v>
      </c>
      <c r="N484" t="n">
        <v>39.72034813902305</v>
      </c>
      <c r="O484" t="n">
        <v>-0.4015548521641168</v>
      </c>
      <c r="P484" t="n">
        <v>102.4187542111914</v>
      </c>
      <c r="Q484" t="n">
        <v>100.8075028482985</v>
      </c>
    </row>
    <row r="485">
      <c r="A485" s="117" t="n">
        <v>45118</v>
      </c>
      <c r="B485" s="118" t="n">
        <v>99.25283405313698</v>
      </c>
      <c r="C485" s="118" t="n">
        <v>101.1035505833685</v>
      </c>
      <c r="D485" s="118" t="n">
        <v>99.22465171692926</v>
      </c>
      <c r="E485" s="118" t="n">
        <v>100.8874740600586</v>
      </c>
      <c r="F485" s="119" t="n">
        <v>5454900</v>
      </c>
      <c r="G485" s="120" t="n">
        <v>0.01522033240913023</v>
      </c>
      <c r="H485" s="121" t="n">
        <v>63.41922830633094</v>
      </c>
      <c r="I485" s="118" t="n">
        <v>106.0353450012207</v>
      </c>
      <c r="J485" s="118" t="n">
        <v>105.2513898086548</v>
      </c>
      <c r="K485" s="120" t="n">
        <v>0.3151430222854956</v>
      </c>
      <c r="L485" s="120" t="n">
        <v>-0.1577274636675648</v>
      </c>
      <c r="M485" s="120" t="n">
        <v>-0.1656316293554556</v>
      </c>
      <c r="N485" t="n">
        <v>44.26270410726831</v>
      </c>
      <c r="O485" t="n">
        <v>-0.291656104116685</v>
      </c>
      <c r="P485" t="n">
        <v>103.0710272455376</v>
      </c>
      <c r="Q485" t="n">
        <v>101.3055311463124</v>
      </c>
    </row>
    <row r="486">
      <c r="A486" s="117" t="n">
        <v>45119</v>
      </c>
      <c r="B486" s="118" t="n">
        <v>101.9584421586902</v>
      </c>
      <c r="C486" s="118" t="n">
        <v>102.4845315287177</v>
      </c>
      <c r="D486" s="118" t="n">
        <v>100.7277657391915</v>
      </c>
      <c r="E486" s="118" t="n">
        <v>101.2350692749023</v>
      </c>
      <c r="F486" s="119" t="n">
        <v>8305000</v>
      </c>
      <c r="G486" s="120" t="n">
        <v>0.003445375336058376</v>
      </c>
      <c r="H486" s="121" t="n">
        <v>63.63773135136942</v>
      </c>
      <c r="I486" s="118" t="n">
        <v>105.6869172668457</v>
      </c>
      <c r="J486" s="118" t="n">
        <v>105.2988898849487</v>
      </c>
      <c r="K486" s="120" t="n">
        <v>0.3138060637956782</v>
      </c>
      <c r="L486" s="120" t="n">
        <v>-0.1548255186446459</v>
      </c>
      <c r="M486" s="120" t="n">
        <v>-0.1627569171500497</v>
      </c>
      <c r="N486" t="n">
        <v>45.28314752919022</v>
      </c>
      <c r="O486" t="n">
        <v>-0.1756974410155652</v>
      </c>
      <c r="P486" t="n">
        <v>103.9003114519984</v>
      </c>
      <c r="Q486" t="n">
        <v>102.5850292476601</v>
      </c>
    </row>
    <row r="487">
      <c r="A487" s="117" t="n">
        <v>45120</v>
      </c>
      <c r="B487" s="118" t="n">
        <v>102.4657447147899</v>
      </c>
      <c r="C487" s="118" t="n">
        <v>102.5221093846311</v>
      </c>
      <c r="D487" s="118" t="n">
        <v>101.1599106356486</v>
      </c>
      <c r="E487" s="118" t="n">
        <v>101.3102188110352</v>
      </c>
      <c r="F487" s="119" t="n">
        <v>6692300</v>
      </c>
      <c r="G487" s="120" t="n">
        <v>0.0007423271073065951</v>
      </c>
      <c r="H487" s="121" t="n">
        <v>63.68497136439903</v>
      </c>
      <c r="I487" s="118" t="n">
        <v>105.3175199890137</v>
      </c>
      <c r="J487" s="118" t="n">
        <v>105.353886756897</v>
      </c>
      <c r="K487" s="120" t="n">
        <v>0.3137799493601008</v>
      </c>
      <c r="L487" s="120" t="n">
        <v>-0.1541981227167319</v>
      </c>
      <c r="M487" s="120" t="n">
        <v>-0.1621354089142453</v>
      </c>
      <c r="N487" t="n">
        <v>45.51539662275719</v>
      </c>
      <c r="O487" t="n">
        <v>-0.0790056820157532</v>
      </c>
      <c r="P487" t="n">
        <v>104.7249763073777</v>
      </c>
      <c r="Q487" t="n">
        <v>104.3267997254011</v>
      </c>
    </row>
    <row r="488">
      <c r="A488" s="117" t="n">
        <v>45121</v>
      </c>
      <c r="B488" s="118" t="n">
        <v>101.4041848839706</v>
      </c>
      <c r="C488" s="118" t="n">
        <v>102.0617966900876</v>
      </c>
      <c r="D488" s="118" t="n">
        <v>100.6995977342319</v>
      </c>
      <c r="E488" s="118" t="n">
        <v>101.41357421875</v>
      </c>
      <c r="F488" s="119" t="n">
        <v>6933600</v>
      </c>
      <c r="G488" s="120" t="n">
        <v>0.00102018739005616</v>
      </c>
      <c r="H488" s="121" t="n">
        <v>63.74994196912108</v>
      </c>
      <c r="I488" s="118" t="n">
        <v>104.9625494384766</v>
      </c>
      <c r="J488" s="118" t="n">
        <v>105.413868560791</v>
      </c>
      <c r="K488" s="120" t="n">
        <v>0.2332440329803027</v>
      </c>
      <c r="L488" s="120" t="n">
        <v>-0.1533352463070418</v>
      </c>
      <c r="M488" s="120" t="n">
        <v>-0.1612806300238451</v>
      </c>
      <c r="N488" t="n">
        <v>45.85578643577541</v>
      </c>
      <c r="O488" t="n">
        <v>0.002521315733799767</v>
      </c>
      <c r="P488" t="n">
        <v>104.6597371972949</v>
      </c>
      <c r="Q488" t="n">
        <v>104.3047651921013</v>
      </c>
    </row>
    <row r="489">
      <c r="A489" s="117" t="n">
        <v>45124</v>
      </c>
      <c r="B489" s="118" t="n">
        <v>100.7653493906705</v>
      </c>
      <c r="C489" s="118" t="n">
        <v>102.493932927613</v>
      </c>
      <c r="D489" s="118" t="n">
        <v>100.2956246685757</v>
      </c>
      <c r="E489" s="118" t="n">
        <v>102.1275482177734</v>
      </c>
      <c r="F489" s="119" t="n">
        <v>6682900</v>
      </c>
      <c r="G489" s="120" t="n">
        <v>0.007040221237872846</v>
      </c>
      <c r="H489" s="121" t="n">
        <v>64.19875566448525</v>
      </c>
      <c r="I489" s="118" t="n">
        <v>104.6315966796875</v>
      </c>
      <c r="J489" s="118" t="n">
        <v>105.4763496398926</v>
      </c>
      <c r="K489" s="120" t="n">
        <v>0.2353471318603756</v>
      </c>
      <c r="L489" s="120" t="n">
        <v>-0.1473745391267343</v>
      </c>
      <c r="M489" s="120" t="n">
        <v>-0.1553758601027236</v>
      </c>
      <c r="N489" t="n">
        <v>48.26047624281819</v>
      </c>
      <c r="O489" t="n">
        <v>0.1092320603753123</v>
      </c>
      <c r="P489" t="n">
        <v>105.0231458267888</v>
      </c>
      <c r="Q489" t="n">
        <v>105.2788385177993</v>
      </c>
    </row>
    <row r="490">
      <c r="A490" s="117" t="n">
        <v>45125</v>
      </c>
      <c r="B490" s="118" t="n">
        <v>102.0054137950975</v>
      </c>
      <c r="C490" s="118" t="n">
        <v>103.6588395173243</v>
      </c>
      <c r="D490" s="118" t="n">
        <v>101.7517584527291</v>
      </c>
      <c r="E490" s="118" t="n">
        <v>103.0763854980469</v>
      </c>
      <c r="F490" s="119" t="n">
        <v>5717200</v>
      </c>
      <c r="G490" s="120" t="n">
        <v>0.009290708499631872</v>
      </c>
      <c r="H490" s="121" t="n">
        <v>64.79520758940308</v>
      </c>
      <c r="I490" s="118" t="n">
        <v>104.377113494873</v>
      </c>
      <c r="J490" s="118" t="n">
        <v>105.5323582077026</v>
      </c>
      <c r="K490" s="120" t="n">
        <v>0.2345645172034566</v>
      </c>
      <c r="L490" s="120" t="n">
        <v>-0.1394530445103963</v>
      </c>
      <c r="M490" s="120" t="n">
        <v>-0.1475287034271857</v>
      </c>
      <c r="N490" t="n">
        <v>51.35262547932297</v>
      </c>
      <c r="O490" t="n">
        <v>0.2408730000781532</v>
      </c>
      <c r="P490" t="n">
        <v>105.8035283725191</v>
      </c>
      <c r="Q490" t="n">
        <v>106.1400820463833</v>
      </c>
    </row>
    <row r="491">
      <c r="A491" s="117" t="n">
        <v>45126</v>
      </c>
      <c r="B491" s="118" t="n">
        <v>102.4751445925421</v>
      </c>
      <c r="C491" s="118" t="n">
        <v>103.5742986952471</v>
      </c>
      <c r="D491" s="118" t="n">
        <v>102.005419881906</v>
      </c>
      <c r="E491" s="118" t="n">
        <v>103.2266998291016</v>
      </c>
      <c r="F491" s="119" t="n">
        <v>5027100</v>
      </c>
      <c r="G491" s="120" t="n">
        <v>0.001458280966376568</v>
      </c>
      <c r="H491" s="121" t="n">
        <v>64.8896972073431</v>
      </c>
      <c r="I491" s="118" t="n">
        <v>104.0709529113769</v>
      </c>
      <c r="J491" s="118" t="n">
        <v>105.6048031234741</v>
      </c>
      <c r="K491" s="120" t="n">
        <v>0.1971712045062182</v>
      </c>
      <c r="L491" s="120" t="n">
        <v>-0.1381981252645328</v>
      </c>
      <c r="M491" s="120" t="n">
        <v>-0.1462855607610113</v>
      </c>
      <c r="N491" t="n">
        <v>51.84362955567243</v>
      </c>
      <c r="O491" t="n">
        <v>0.3297300000670362</v>
      </c>
      <c r="P491" t="n">
        <v>106.0388201114738</v>
      </c>
      <c r="Q491" t="n">
        <v>106.1153220318417</v>
      </c>
    </row>
    <row r="492">
      <c r="A492" s="117" t="n">
        <v>45127</v>
      </c>
      <c r="B492" s="118" t="n">
        <v>102.9354749111363</v>
      </c>
      <c r="C492" s="118" t="n">
        <v>103.3582242923984</v>
      </c>
      <c r="D492" s="118" t="n">
        <v>100.972029020815</v>
      </c>
      <c r="E492" s="118" t="n">
        <v>101.0189971923828</v>
      </c>
      <c r="F492" s="119" t="n">
        <v>6458000</v>
      </c>
      <c r="G492" s="120" t="n">
        <v>-0.02138693419797144</v>
      </c>
      <c r="H492" s="121" t="n">
        <v>63.50190552304338</v>
      </c>
      <c r="I492" s="118" t="n">
        <v>103.7152073669434</v>
      </c>
      <c r="J492" s="118" t="n">
        <v>105.7230377960205</v>
      </c>
      <c r="K492" s="120" t="n">
        <v>0.2108437674417038</v>
      </c>
      <c r="L492" s="120" t="n">
        <v>-0.1566294252511885</v>
      </c>
      <c r="M492" s="120" t="n">
        <v>-0.1645438952968736</v>
      </c>
      <c r="N492" t="n">
        <v>44.70653325904382</v>
      </c>
      <c r="O492" t="n">
        <v>0.235878169243829</v>
      </c>
      <c r="P492" t="n">
        <v>105.3352914659259</v>
      </c>
      <c r="Q492" t="n">
        <v>103.6691556262602</v>
      </c>
    </row>
    <row r="493">
      <c r="A493" s="117" t="n">
        <v>45128</v>
      </c>
      <c r="B493" s="118" t="n">
        <v>101.4605456899027</v>
      </c>
      <c r="C493" s="118" t="n">
        <v>102.6724364012904</v>
      </c>
      <c r="D493" s="118" t="n">
        <v>101.0002174431902</v>
      </c>
      <c r="E493" s="118" t="n">
        <v>102.4563598632812</v>
      </c>
      <c r="F493" s="119" t="n">
        <v>6631600</v>
      </c>
      <c r="G493" s="120" t="n">
        <v>0.01422863729443979</v>
      </c>
      <c r="H493" s="121" t="n">
        <v>64.40545110423655</v>
      </c>
      <c r="I493" s="118" t="n">
        <v>103.4215438842773</v>
      </c>
      <c r="J493" s="118" t="n">
        <v>105.8378475952148</v>
      </c>
      <c r="K493" s="120" t="n">
        <v>0.2170153822375357</v>
      </c>
      <c r="L493" s="120" t="n">
        <v>-0.1446294112382844</v>
      </c>
      <c r="M493" s="120" t="n">
        <v>-0.1526564934076274</v>
      </c>
      <c r="N493" t="n">
        <v>49.57387891508171</v>
      </c>
      <c r="O493" t="n">
        <v>0.2645097893143968</v>
      </c>
      <c r="P493" t="n">
        <v>105.3352914659259</v>
      </c>
      <c r="Q493" t="n">
        <v>103.3582115375001</v>
      </c>
    </row>
    <row r="494">
      <c r="A494" s="117" t="n">
        <v>45131</v>
      </c>
      <c r="B494" s="118" t="n">
        <v>103.7246178865839</v>
      </c>
      <c r="C494" s="118" t="n">
        <v>103.8561402370412</v>
      </c>
      <c r="D494" s="118" t="n">
        <v>101.9396624865385</v>
      </c>
      <c r="E494" s="118" t="n">
        <v>102.1839141845703</v>
      </c>
      <c r="F494" s="119" t="n">
        <v>6787600</v>
      </c>
      <c r="G494" s="120" t="n">
        <v>-0.002659138769662395</v>
      </c>
      <c r="H494" s="121" t="n">
        <v>64.23418807222767</v>
      </c>
      <c r="I494" s="118" t="n">
        <v>103.1522077941895</v>
      </c>
      <c r="J494" s="118" t="n">
        <v>105.9362155151367</v>
      </c>
      <c r="K494" s="120" t="n">
        <v>0.2151543958227323</v>
      </c>
      <c r="L494" s="120" t="n">
        <v>-0.1469039603332898</v>
      </c>
      <c r="M494" s="120" t="n">
        <v>-0.1549096973772289</v>
      </c>
      <c r="N494" t="n">
        <v>48.69882443574866</v>
      </c>
      <c r="O494" t="n">
        <v>0.2586919009081339</v>
      </c>
      <c r="P494" t="n">
        <v>105.8058601855251</v>
      </c>
      <c r="Q494" t="n">
        <v>103.5233210202524</v>
      </c>
    </row>
    <row r="495">
      <c r="A495" s="117" t="n">
        <v>45132</v>
      </c>
      <c r="B495" s="118" t="n">
        <v>101.7235852321146</v>
      </c>
      <c r="C495" s="118" t="n">
        <v>102.2590711315642</v>
      </c>
      <c r="D495" s="118" t="n">
        <v>100.8874757955605</v>
      </c>
      <c r="E495" s="118" t="n">
        <v>101.7423782348633</v>
      </c>
      <c r="F495" s="119" t="n">
        <v>7692800</v>
      </c>
      <c r="G495" s="120" t="n">
        <v>-0.004320992724055395</v>
      </c>
      <c r="H495" s="121" t="n">
        <v>63.95663261293198</v>
      </c>
      <c r="I495" s="118" t="n">
        <v>102.8981994628906</v>
      </c>
      <c r="J495" s="118" t="n">
        <v>106.02092628479</v>
      </c>
      <c r="K495" s="120" t="n">
        <v>0.2012993830511766</v>
      </c>
      <c r="L495" s="120" t="n">
        <v>-0.15059018211361</v>
      </c>
      <c r="M495" s="120" t="n">
        <v>-0.1585613264260317</v>
      </c>
      <c r="N495" t="n">
        <v>47.24338536168739</v>
      </c>
      <c r="O495" t="n">
        <v>0.2202061540709006</v>
      </c>
      <c r="P495" t="n">
        <v>106.0947024529122</v>
      </c>
      <c r="Q495" t="n">
        <v>104.2249829230228</v>
      </c>
    </row>
    <row r="496">
      <c r="A496" s="117" t="n">
        <v>45133</v>
      </c>
      <c r="B496" s="118" t="n">
        <v>101.742374317262</v>
      </c>
      <c r="C496" s="118" t="n">
        <v>102.9542577529601</v>
      </c>
      <c r="D496" s="118" t="n">
        <v>101.4135612886955</v>
      </c>
      <c r="E496" s="118" t="n">
        <v>102.6818237304688</v>
      </c>
      <c r="F496" s="119" t="n">
        <v>5148900</v>
      </c>
      <c r="G496" s="120" t="n">
        <v>0.009233571220802927</v>
      </c>
      <c r="H496" s="121" t="n">
        <v>64.54718073520621</v>
      </c>
      <c r="I496" s="118" t="n">
        <v>102.7006221008301</v>
      </c>
      <c r="J496" s="118" t="n">
        <v>106.1146627426147</v>
      </c>
      <c r="K496" s="120" t="n">
        <v>0.1939193849889002</v>
      </c>
      <c r="L496" s="120" t="n">
        <v>-0.1427470960645068</v>
      </c>
      <c r="M496" s="120" t="n">
        <v>-0.1507918425056486</v>
      </c>
      <c r="N496" t="n">
        <v>50.62462653270259</v>
      </c>
      <c r="O496" t="n">
        <v>0.25089142814175</v>
      </c>
      <c r="P496" t="n">
        <v>106.1110177647992</v>
      </c>
      <c r="Q496" t="n">
        <v>103.8782743688137</v>
      </c>
    </row>
    <row r="497">
      <c r="A497" s="117" t="n">
        <v>45134</v>
      </c>
      <c r="B497" s="118" t="n">
        <v>103.179734572327</v>
      </c>
      <c r="C497" s="118" t="n">
        <v>103.555515784934</v>
      </c>
      <c r="D497" s="118" t="n">
        <v>100.8968721274698</v>
      </c>
      <c r="E497" s="118" t="n">
        <v>101.150520324707</v>
      </c>
      <c r="F497" s="119" t="n">
        <v>6544600</v>
      </c>
      <c r="G497" s="120" t="n">
        <v>-0.014913091237854</v>
      </c>
      <c r="H497" s="121" t="n">
        <v>63.58458273975582</v>
      </c>
      <c r="I497" s="118" t="n">
        <v>102.4795349121094</v>
      </c>
      <c r="J497" s="118" t="n">
        <v>106.2147518920899</v>
      </c>
      <c r="K497" s="120" t="n">
        <v>0.1991505022703068</v>
      </c>
      <c r="L497" s="120" t="n">
        <v>-0.1511519279791704</v>
      </c>
      <c r="M497" s="120" t="n">
        <v>-0.1634561612382918</v>
      </c>
      <c r="N497" t="n">
        <v>45.50505923239707</v>
      </c>
      <c r="O497" t="n">
        <v>0.1650739302004648</v>
      </c>
      <c r="P497" t="n">
        <v>105.4075112567165</v>
      </c>
      <c r="Q497" t="n">
        <v>103.6306400480844</v>
      </c>
    </row>
    <row r="498">
      <c r="A498" s="117" t="n">
        <v>45135</v>
      </c>
      <c r="B498" s="118" t="n">
        <v>101.5638856468448</v>
      </c>
      <c r="C498" s="118" t="n">
        <v>102.3624162854373</v>
      </c>
      <c r="D498" s="118" t="n">
        <v>101.1129467348249</v>
      </c>
      <c r="E498" s="118" t="n">
        <v>102.0430068969727</v>
      </c>
      <c r="F498" s="119" t="n">
        <v>5988300</v>
      </c>
      <c r="G498" s="120" t="n">
        <v>0.00882335127294076</v>
      </c>
      <c r="H498" s="121" t="n">
        <v>64.14561184881205</v>
      </c>
      <c r="I498" s="118" t="n">
        <v>102.3390342712402</v>
      </c>
      <c r="J498" s="118" t="n">
        <v>106.3214910125732</v>
      </c>
      <c r="K498" s="120" t="n">
        <v>0.2022713111756347</v>
      </c>
      <c r="L498" s="120" t="n">
        <v>-0.1410974933753629</v>
      </c>
      <c r="M498" s="120" t="n">
        <v>-0.1560750410936829</v>
      </c>
      <c r="N498" t="n">
        <v>48.75762298106903</v>
      </c>
      <c r="O498" t="n">
        <v>0.1650378239488995</v>
      </c>
      <c r="P498" t="n">
        <v>106.4394860949783</v>
      </c>
      <c r="Q498" t="n">
        <v>105.5182280441764</v>
      </c>
    </row>
    <row r="499">
      <c r="A499" s="117" t="n">
        <v>45138</v>
      </c>
      <c r="B499" s="118" t="n">
        <v>102.7851769059422</v>
      </c>
      <c r="C499" s="118" t="n">
        <v>104.1379793603993</v>
      </c>
      <c r="D499" s="118" t="n">
        <v>102.4469745004701</v>
      </c>
      <c r="E499" s="118" t="n">
        <v>103.7058334350586</v>
      </c>
      <c r="F499" s="119" t="n">
        <v>6406000</v>
      </c>
      <c r="G499" s="120" t="n">
        <v>0.01629535025133877</v>
      </c>
      <c r="H499" s="121" t="n">
        <v>65.19088706097487</v>
      </c>
      <c r="I499" s="118" t="n">
        <v>102.2224261474609</v>
      </c>
      <c r="J499" s="118" t="n">
        <v>106.4304937362671</v>
      </c>
      <c r="K499" s="120" t="n">
        <v>0.1904532130031925</v>
      </c>
      <c r="L499" s="120" t="n">
        <v>-0.1271013761981616</v>
      </c>
      <c r="M499" s="120" t="n">
        <v>-0.1423229883024578</v>
      </c>
      <c r="N499" t="n">
        <v>54.23793387545165</v>
      </c>
      <c r="O499" t="n">
        <v>0.2675548672756516</v>
      </c>
      <c r="P499" t="n">
        <v>106.642147210159</v>
      </c>
      <c r="Q499" t="n">
        <v>105.5732844740267</v>
      </c>
    </row>
    <row r="500">
      <c r="A500" s="117" t="n">
        <v>45139</v>
      </c>
      <c r="B500" s="118" t="n">
        <v>103.3394480070369</v>
      </c>
      <c r="C500" s="118" t="n">
        <v>103.8373551097364</v>
      </c>
      <c r="D500" s="118" t="n">
        <v>102.5315208401328</v>
      </c>
      <c r="E500" s="118" t="n">
        <v>102.7757797241211</v>
      </c>
      <c r="F500" s="119" t="n">
        <v>4566700</v>
      </c>
      <c r="G500" s="120" t="n">
        <v>-0.008968190892751582</v>
      </c>
      <c r="H500" s="121" t="n">
        <v>64.60624274134425</v>
      </c>
      <c r="I500" s="118" t="n">
        <v>102.0518222045898</v>
      </c>
      <c r="J500" s="118" t="n">
        <v>106.5324259185791</v>
      </c>
      <c r="K500" s="120" t="n">
        <v>0.1886837328591282</v>
      </c>
      <c r="L500" s="120" t="n">
        <v>-0.1349296976864366</v>
      </c>
      <c r="M500" s="120" t="n">
        <v>-0.150014799467686</v>
      </c>
      <c r="N500" t="n">
        <v>50.95538087255117</v>
      </c>
      <c r="O500" t="n">
        <v>0.262894753445905</v>
      </c>
      <c r="P500" t="n">
        <v>106.336989630885</v>
      </c>
      <c r="Q500" t="n">
        <v>105.3283585468825</v>
      </c>
    </row>
    <row r="501">
      <c r="A501" s="117" t="n">
        <v>45140</v>
      </c>
      <c r="B501" s="118" t="n">
        <v>101.7235788707692</v>
      </c>
      <c r="C501" s="118" t="n">
        <v>101.9490447176403</v>
      </c>
      <c r="D501" s="118" t="n">
        <v>100.943834156362</v>
      </c>
      <c r="E501" s="118" t="n">
        <v>101.0002059936523</v>
      </c>
      <c r="F501" s="119" t="n">
        <v>6213200</v>
      </c>
      <c r="G501" s="120" t="n">
        <v>-0.01727618837079015</v>
      </c>
      <c r="H501" s="121" t="n">
        <v>63.49009312181578</v>
      </c>
      <c r="I501" s="118" t="n">
        <v>101.9226760864258</v>
      </c>
      <c r="J501" s="118" t="n">
        <v>106.6205932998657</v>
      </c>
      <c r="K501" s="120" t="n">
        <v>0.1872226661385302</v>
      </c>
      <c r="L501" s="120" t="n">
        <v>-0.1498748151831821</v>
      </c>
      <c r="M501" s="120" t="n">
        <v>-0.1646993039044662</v>
      </c>
      <c r="N501" t="n">
        <v>45.31664532290137</v>
      </c>
      <c r="O501" t="n">
        <v>0.1367440620656787</v>
      </c>
      <c r="P501" t="n">
        <v>104.8577568239289</v>
      </c>
      <c r="Q501" t="n">
        <v>103.0170479278864</v>
      </c>
    </row>
    <row r="502">
      <c r="A502" s="117" t="n">
        <v>45141</v>
      </c>
      <c r="B502" s="118" t="n">
        <v>100.5210788711137</v>
      </c>
      <c r="C502" s="118" t="n">
        <v>102.4845245414075</v>
      </c>
      <c r="D502" s="118" t="n">
        <v>100.1922730372642</v>
      </c>
      <c r="E502" s="118" t="n">
        <v>102.0617752075195</v>
      </c>
      <c r="F502" s="119" t="n">
        <v>5084300</v>
      </c>
      <c r="G502" s="120" t="n">
        <v>0.01051056483918367</v>
      </c>
      <c r="H502" s="121" t="n">
        <v>64.15740986221844</v>
      </c>
      <c r="I502" s="118" t="n">
        <v>101.9005328369141</v>
      </c>
      <c r="J502" s="118" t="n">
        <v>106.723423614502</v>
      </c>
      <c r="K502" s="120" t="n">
        <v>0.1764319450962382</v>
      </c>
      <c r="L502" s="120" t="n">
        <v>-0.1287162264919232</v>
      </c>
      <c r="M502" s="120" t="n">
        <v>-0.1559198217779388</v>
      </c>
      <c r="N502" t="n">
        <v>48.9537031356211</v>
      </c>
      <c r="O502" t="n">
        <v>0.1218066252830721</v>
      </c>
      <c r="P502" t="n">
        <v>104.5572554915118</v>
      </c>
      <c r="Q502" t="n">
        <v>102.851938445134</v>
      </c>
    </row>
    <row r="503">
      <c r="A503" s="117" t="n">
        <v>45142</v>
      </c>
      <c r="B503" s="118" t="n">
        <v>102.1275530666381</v>
      </c>
      <c r="C503" s="118" t="n">
        <v>103.6306708152213</v>
      </c>
      <c r="D503" s="118" t="n">
        <v>101.6860106601162</v>
      </c>
      <c r="E503" s="118" t="n">
        <v>102.2214965820312</v>
      </c>
      <c r="F503" s="119" t="n">
        <v>5621400</v>
      </c>
      <c r="G503" s="120" t="n">
        <v>0.001564948034530778</v>
      </c>
      <c r="H503" s="121" t="n">
        <v>64.25781287468291</v>
      </c>
      <c r="I503" s="118" t="n">
        <v>101.9078024291992</v>
      </c>
      <c r="J503" s="118" t="n">
        <v>106.8157892608643</v>
      </c>
      <c r="K503" s="120" t="n">
        <v>0.1740158173365239</v>
      </c>
      <c r="L503" s="120" t="n">
        <v>-0.1161187951027826</v>
      </c>
      <c r="M503" s="120" t="n">
        <v>-0.1545988801620439</v>
      </c>
      <c r="N503" t="n">
        <v>49.49795934075264</v>
      </c>
      <c r="O503" t="n">
        <v>0.1195271028779425</v>
      </c>
      <c r="P503" t="n">
        <v>104.0843623380616</v>
      </c>
      <c r="Q503" t="n">
        <v>102.3703997358245</v>
      </c>
    </row>
    <row r="504">
      <c r="A504" s="117" t="n">
        <v>45145</v>
      </c>
      <c r="B504" s="118" t="n">
        <v>103.2173100380285</v>
      </c>
      <c r="C504" s="118" t="n">
        <v>104.2225206276378</v>
      </c>
      <c r="D504" s="118" t="n">
        <v>102.5690876466457</v>
      </c>
      <c r="E504" s="118" t="n">
        <v>103.7903747558594</v>
      </c>
      <c r="F504" s="119" t="n">
        <v>4887300</v>
      </c>
      <c r="G504" s="120" t="n">
        <v>0.01534783021464681</v>
      </c>
      <c r="H504" s="121" t="n">
        <v>65.24403087664808</v>
      </c>
      <c r="I504" s="118" t="n">
        <v>101.9556254577637</v>
      </c>
      <c r="J504" s="118" t="n">
        <v>106.9173489379883</v>
      </c>
      <c r="K504" s="120" t="n">
        <v>0.1764427012459359</v>
      </c>
      <c r="L504" s="120" t="n">
        <v>-0.09308074014252732</v>
      </c>
      <c r="M504" s="120" t="n">
        <v>-0.1416238073114986</v>
      </c>
      <c r="N504" t="n">
        <v>54.61651950241995</v>
      </c>
      <c r="O504" t="n">
        <v>0.2149574807510847</v>
      </c>
      <c r="P504" t="n">
        <v>104.992861774331</v>
      </c>
      <c r="Q504" t="n">
        <v>103.2371454898622</v>
      </c>
    </row>
    <row r="505">
      <c r="A505" s="117" t="n">
        <v>45146</v>
      </c>
      <c r="B505" s="118" t="n">
        <v>102.9918383044594</v>
      </c>
      <c r="C505" s="118" t="n">
        <v>103.2360971628407</v>
      </c>
      <c r="D505" s="118" t="n">
        <v>100.8498947534721</v>
      </c>
      <c r="E505" s="118" t="n">
        <v>103.048210144043</v>
      </c>
      <c r="F505" s="119" t="n">
        <v>5851900</v>
      </c>
      <c r="G505" s="120" t="n">
        <v>-0.007150611157943687</v>
      </c>
      <c r="H505" s="121" t="n">
        <v>64.7774961814723</v>
      </c>
      <c r="I505" s="118" t="n">
        <v>102.0037747192383</v>
      </c>
      <c r="J505" s="118" t="n">
        <v>107.020364151001</v>
      </c>
      <c r="K505" s="120" t="n">
        <v>0.1724296606341471</v>
      </c>
      <c r="L505" s="120" t="n">
        <v>-0.08450980119706653</v>
      </c>
      <c r="M505" s="120" t="n">
        <v>-0.1477617216926502</v>
      </c>
      <c r="N505" t="n">
        <v>51.93491917736754</v>
      </c>
      <c r="O505" t="n">
        <v>0.218652629921453</v>
      </c>
      <c r="P505" t="n">
        <v>104.5362913119229</v>
      </c>
      <c r="Q505" t="n">
        <v>102.3593952849172</v>
      </c>
    </row>
    <row r="506">
      <c r="A506" s="117" t="n">
        <v>45147</v>
      </c>
      <c r="B506" s="118" t="n">
        <v>103.1421536534418</v>
      </c>
      <c r="C506" s="118" t="n">
        <v>103.3582230083161</v>
      </c>
      <c r="D506" s="118" t="n">
        <v>101.7423760113371</v>
      </c>
      <c r="E506" s="118" t="n">
        <v>103.048210144043</v>
      </c>
      <c r="F506" s="119" t="n">
        <v>4328600</v>
      </c>
      <c r="G506" s="120" t="n">
        <v>0</v>
      </c>
      <c r="H506" s="121" t="n">
        <v>64.7774961814723</v>
      </c>
      <c r="I506" s="118" t="n">
        <v>102.0513621520996</v>
      </c>
      <c r="J506" s="118" t="n">
        <v>107.1314776229858</v>
      </c>
      <c r="K506" s="120" t="n">
        <v>0.1722460364196371</v>
      </c>
      <c r="L506" s="120" t="n">
        <v>-0.08160669692997446</v>
      </c>
      <c r="M506" s="120" t="n">
        <v>-0.1477617216926502</v>
      </c>
      <c r="N506" t="n">
        <v>51.93491917736755</v>
      </c>
      <c r="O506" t="n">
        <v>0.2115210672439408</v>
      </c>
      <c r="P506" t="n">
        <v>103.837426292387</v>
      </c>
      <c r="Q506" t="n">
        <v>101.2339936715861</v>
      </c>
    </row>
    <row r="507">
      <c r="A507" s="117" t="n">
        <v>45148</v>
      </c>
      <c r="B507" s="118" t="n">
        <v>103.6306633628805</v>
      </c>
      <c r="C507" s="118" t="n">
        <v>105.1713598403119</v>
      </c>
      <c r="D507" s="118" t="n">
        <v>101.9490480387778</v>
      </c>
      <c r="E507" s="118" t="n">
        <v>102.4281692504883</v>
      </c>
      <c r="F507" s="119" t="n">
        <v>7276500</v>
      </c>
      <c r="G507" s="120" t="n">
        <v>-0.006016998186460287</v>
      </c>
      <c r="H507" s="121" t="n">
        <v>64.38773010442495</v>
      </c>
      <c r="I507" s="118" t="n">
        <v>102.1050888061523</v>
      </c>
      <c r="J507" s="118" t="n">
        <v>107.2317183685303</v>
      </c>
      <c r="K507" s="120" t="n">
        <v>0.1740130434458341</v>
      </c>
      <c r="L507" s="120" t="n">
        <v>-0.07976038544400565</v>
      </c>
      <c r="M507" s="120" t="n">
        <v>-0.1528896378676576</v>
      </c>
      <c r="N507" t="n">
        <v>49.57642559874682</v>
      </c>
      <c r="O507" t="n">
        <v>0.1579257190317246</v>
      </c>
      <c r="P507" t="n">
        <v>103.8747057838628</v>
      </c>
      <c r="Q507" t="n">
        <v>101.4211120561532</v>
      </c>
    </row>
    <row r="508">
      <c r="A508" s="117" t="n">
        <v>45149</v>
      </c>
      <c r="B508" s="118" t="n">
        <v>102.3060486658559</v>
      </c>
      <c r="C508" s="118" t="n">
        <v>102.897899251388</v>
      </c>
      <c r="D508" s="118" t="n">
        <v>101.3290203574478</v>
      </c>
      <c r="E508" s="118" t="n">
        <v>101.5450897216797</v>
      </c>
      <c r="F508" s="119" t="n">
        <v>5104300</v>
      </c>
      <c r="G508" s="120" t="n">
        <v>-0.008621451845429617</v>
      </c>
      <c r="H508" s="121" t="n">
        <v>63.83261438989313</v>
      </c>
      <c r="I508" s="118" t="n">
        <v>102.1647503662109</v>
      </c>
      <c r="J508" s="118" t="n">
        <v>107.3298242950439</v>
      </c>
      <c r="K508" s="120" t="n">
        <v>0.1770478420096967</v>
      </c>
      <c r="L508" s="120" t="n">
        <v>-0.08769418696715681</v>
      </c>
      <c r="M508" s="120" t="n">
        <v>-0.160192959062546</v>
      </c>
      <c r="N508" t="n">
        <v>46.34814162209113</v>
      </c>
      <c r="O508" t="n">
        <v>0.06087087106039996</v>
      </c>
      <c r="P508" t="n">
        <v>103.8141376789472</v>
      </c>
      <c r="Q508" t="n">
        <v>100.7744724079197</v>
      </c>
    </row>
    <row r="509">
      <c r="A509" s="117" t="n">
        <v>45152</v>
      </c>
      <c r="B509" s="118" t="n">
        <v>101.3853743889815</v>
      </c>
      <c r="C509" s="118" t="n">
        <v>101.7423697370844</v>
      </c>
      <c r="D509" s="118" t="n">
        <v>100.5868438571896</v>
      </c>
      <c r="E509" s="118" t="n">
        <v>101.1223297119141</v>
      </c>
      <c r="F509" s="119" t="n">
        <v>5305200</v>
      </c>
      <c r="G509" s="120" t="n">
        <v>-0.004163273782359589</v>
      </c>
      <c r="H509" s="121" t="n">
        <v>63.56686173994422</v>
      </c>
      <c r="I509" s="118" t="n">
        <v>102.2464822387695</v>
      </c>
      <c r="J509" s="118" t="n">
        <v>107.4085491943359</v>
      </c>
      <c r="K509" s="120" t="n">
        <v>0.1757044473901426</v>
      </c>
      <c r="L509" s="120" t="n">
        <v>-0.09149236584005083</v>
      </c>
      <c r="M509" s="120" t="n">
        <v>-0.163689305698322</v>
      </c>
      <c r="N509" t="n">
        <v>44.84268953899609</v>
      </c>
      <c r="O509" t="n">
        <v>-0.02909799461638322</v>
      </c>
      <c r="P509" t="n">
        <v>104.3871954834847</v>
      </c>
      <c r="Q509" t="n">
        <v>101.9053677028761</v>
      </c>
    </row>
    <row r="510">
      <c r="A510" s="117" t="n">
        <v>45153</v>
      </c>
      <c r="B510" s="118" t="n">
        <v>99.64738881069428</v>
      </c>
      <c r="C510" s="118" t="n">
        <v>100.3519757987497</v>
      </c>
      <c r="D510" s="118" t="n">
        <v>99.20584648472413</v>
      </c>
      <c r="E510" s="118" t="n">
        <v>100.0983276367188</v>
      </c>
      <c r="F510" s="119" t="n">
        <v>6197600</v>
      </c>
      <c r="G510" s="120" t="n">
        <v>-0.01012636949833512</v>
      </c>
      <c r="H510" s="121" t="n">
        <v>62.92316021011596</v>
      </c>
      <c r="I510" s="118" t="n">
        <v>102.223371887207</v>
      </c>
      <c r="J510" s="118" t="n">
        <v>107.4790357589722</v>
      </c>
      <c r="K510" s="120" t="n">
        <v>0.1749644970086972</v>
      </c>
      <c r="L510" s="120" t="n">
        <v>-0.06848459577081967</v>
      </c>
      <c r="M510" s="120" t="n">
        <v>-0.1721580968042299</v>
      </c>
      <c r="N510" t="n">
        <v>41.34003673401288</v>
      </c>
      <c r="O510" t="n">
        <v>-0.1482127310529144</v>
      </c>
      <c r="P510" t="n">
        <v>103.171191896625</v>
      </c>
      <c r="Q510" t="n">
        <v>100.8239924370029</v>
      </c>
    </row>
    <row r="511">
      <c r="A511" s="117" t="n">
        <v>45154</v>
      </c>
      <c r="B511" s="118" t="n">
        <v>99.64739820074469</v>
      </c>
      <c r="C511" s="118" t="n">
        <v>101.8175240348751</v>
      </c>
      <c r="D511" s="118" t="n">
        <v>99.64739820074469</v>
      </c>
      <c r="E511" s="118" t="n">
        <v>100.0795440673828</v>
      </c>
      <c r="F511" s="119" t="n">
        <v>5953100</v>
      </c>
      <c r="G511" s="120" t="n">
        <v>-0.0001876511803884373</v>
      </c>
      <c r="H511" s="121" t="n">
        <v>62.91135260482876</v>
      </c>
      <c r="I511" s="118" t="n">
        <v>102.248360748291</v>
      </c>
      <c r="J511" s="118" t="n">
        <v>107.5580387496948</v>
      </c>
      <c r="K511" s="120" t="n">
        <v>0.1747043462339635</v>
      </c>
      <c r="L511" s="120" t="n">
        <v>-0.062318496841828</v>
      </c>
      <c r="M511" s="120" t="n">
        <v>-0.1723134423145396</v>
      </c>
      <c r="N511" t="n">
        <v>41.27634711321779</v>
      </c>
      <c r="O511" t="n">
        <v>-0.2148628398559191</v>
      </c>
      <c r="P511" t="n">
        <v>102.4141127226447</v>
      </c>
      <c r="Q511" t="n">
        <v>99.75637273476387</v>
      </c>
    </row>
    <row r="512">
      <c r="A512" s="117" t="n">
        <v>45155</v>
      </c>
      <c r="B512" s="118" t="n">
        <v>100.925050219467</v>
      </c>
      <c r="C512" s="118" t="n">
        <v>101.3008314162697</v>
      </c>
      <c r="D512" s="118" t="n">
        <v>98.43550785400816</v>
      </c>
      <c r="E512" s="118" t="n">
        <v>98.68916320800781</v>
      </c>
      <c r="F512" s="119" t="n">
        <v>5692800</v>
      </c>
      <c r="G512" s="120" t="n">
        <v>-0.01389275772918053</v>
      </c>
      <c r="H512" s="121" t="n">
        <v>62.03734042467482</v>
      </c>
      <c r="I512" s="118" t="n">
        <v>102.2269413757324</v>
      </c>
      <c r="J512" s="118" t="n">
        <v>107.6147774505615</v>
      </c>
      <c r="K512" s="120" t="n">
        <v>0.16514768082986</v>
      </c>
      <c r="L512" s="120" t="n">
        <v>-0.07534547879233844</v>
      </c>
      <c r="M512" s="120" t="n">
        <v>-0.1838122911361632</v>
      </c>
      <c r="N512" t="n">
        <v>36.76160812269793</v>
      </c>
      <c r="O512" t="n">
        <v>-0.3321776465040393</v>
      </c>
      <c r="P512" t="n">
        <v>101.6337301769144</v>
      </c>
      <c r="Q512" t="n">
        <v>98.66674413071009</v>
      </c>
    </row>
    <row r="513">
      <c r="A513" s="117" t="n">
        <v>45156</v>
      </c>
      <c r="B513" s="118" t="n">
        <v>97.54303529083026</v>
      </c>
      <c r="C513" s="118" t="n">
        <v>98.68916473345065</v>
      </c>
      <c r="D513" s="118" t="n">
        <v>97.47727411793058</v>
      </c>
      <c r="E513" s="118" t="n">
        <v>98.46369171142578</v>
      </c>
      <c r="F513" s="119" t="n">
        <v>5836100</v>
      </c>
      <c r="G513" s="120" t="n">
        <v>-0.002284663171242096</v>
      </c>
      <c r="H513" s="121" t="n">
        <v>61.89560599776476</v>
      </c>
      <c r="I513" s="118" t="n">
        <v>102.1841024780273</v>
      </c>
      <c r="J513" s="118" t="n">
        <v>107.6757411575317</v>
      </c>
      <c r="K513" s="120" t="n">
        <v>0.15488293300498</v>
      </c>
      <c r="L513" s="120" t="n">
        <v>-0.07745800292306404</v>
      </c>
      <c r="M513" s="120" t="n">
        <v>-0.1856770051354247</v>
      </c>
      <c r="N513" t="n">
        <v>36.07255789407936</v>
      </c>
      <c r="O513" t="n">
        <v>-0.3999993740633527</v>
      </c>
      <c r="P513" t="n">
        <v>101.6826539751102</v>
      </c>
      <c r="Q513" t="n">
        <v>98.54292697034541</v>
      </c>
    </row>
    <row r="514">
      <c r="A514" s="117" t="n">
        <v>45159</v>
      </c>
      <c r="B514" s="118" t="n">
        <v>99.08373863924741</v>
      </c>
      <c r="C514" s="118" t="n">
        <v>99.09313514100738</v>
      </c>
      <c r="D514" s="118" t="n">
        <v>96.41569836644925</v>
      </c>
      <c r="E514" s="118" t="n">
        <v>96.63177490234375</v>
      </c>
      <c r="F514" s="119" t="n">
        <v>6697600</v>
      </c>
      <c r="G514" s="120" t="n">
        <v>-0.01860499822057204</v>
      </c>
      <c r="H514" s="121" t="n">
        <v>60.74403835831511</v>
      </c>
      <c r="I514" s="118" t="n">
        <v>102.12134765625</v>
      </c>
      <c r="J514" s="118" t="n">
        <v>107.722472114563</v>
      </c>
      <c r="K514" s="120" t="n">
        <v>0.1658209678112989</v>
      </c>
      <c r="L514" s="120" t="n">
        <v>-0.09462189513708352</v>
      </c>
      <c r="M514" s="120" t="n">
        <v>-0.2008274830058511</v>
      </c>
      <c r="N514" t="n">
        <v>30.99005624807671</v>
      </c>
      <c r="O514" t="n">
        <v>-0.5348523788708893</v>
      </c>
      <c r="P514" t="n">
        <v>102.344217365705</v>
      </c>
      <c r="Q514" t="n">
        <v>100.1305924162414</v>
      </c>
    </row>
    <row r="515">
      <c r="A515" s="117" t="n">
        <v>45160</v>
      </c>
      <c r="B515" s="118" t="n">
        <v>94.84681124632739</v>
      </c>
      <c r="C515" s="118" t="n">
        <v>96.17143835022448</v>
      </c>
      <c r="D515" s="118" t="n">
        <v>94.63074189653364</v>
      </c>
      <c r="E515" s="118" t="n">
        <v>95.31653594970703</v>
      </c>
      <c r="F515" s="119" t="n">
        <v>9814700</v>
      </c>
      <c r="G515" s="120" t="n">
        <v>-0.01361083302015198</v>
      </c>
      <c r="H515" s="121" t="n">
        <v>59.91726139525038</v>
      </c>
      <c r="I515" s="118" t="n">
        <v>102.0386761474609</v>
      </c>
      <c r="J515" s="118" t="n">
        <v>107.7787769699097</v>
      </c>
      <c r="K515" s="120" t="n">
        <v>0.1702180372976434</v>
      </c>
      <c r="L515" s="120" t="n">
        <v>-0.1069448453424743</v>
      </c>
      <c r="M515" s="120" t="n">
        <v>-0.211704886688953</v>
      </c>
      <c r="N515" t="n">
        <v>27.94567656115632</v>
      </c>
      <c r="O515" t="n">
        <v>-0.6704578617943142</v>
      </c>
      <c r="P515" t="n">
        <v>102.0670120258827</v>
      </c>
      <c r="Q515" t="n">
        <v>99.98752601061717</v>
      </c>
    </row>
    <row r="516">
      <c r="A516" s="117" t="n">
        <v>45161</v>
      </c>
      <c r="B516" s="118" t="n">
        <v>91.1078075692152</v>
      </c>
      <c r="C516" s="118" t="n">
        <v>93.18398991966549</v>
      </c>
      <c r="D516" s="118" t="n">
        <v>90.70384403340802</v>
      </c>
      <c r="E516" s="118" t="n">
        <v>92.7706298828125</v>
      </c>
      <c r="F516" s="119" t="n">
        <v>20909100</v>
      </c>
      <c r="G516" s="120" t="n">
        <v>-0.02671001460059208</v>
      </c>
      <c r="H516" s="121" t="n">
        <v>58.31687046855575</v>
      </c>
      <c r="I516" s="118" t="n">
        <v>101.8868609619141</v>
      </c>
      <c r="J516" s="118" t="n">
        <v>107.8218869400024</v>
      </c>
      <c r="K516" s="120" t="n">
        <v>0.1827453555809808</v>
      </c>
      <c r="L516" s="120" t="n">
        <v>-0.1307983615625108</v>
      </c>
      <c r="M516" s="120" t="n">
        <v>-0.2327602606750665</v>
      </c>
      <c r="N516" t="n">
        <v>23.19556505670135</v>
      </c>
      <c r="O516" t="n">
        <v>-0.8764365110130108</v>
      </c>
      <c r="P516" t="n">
        <v>103.203815141244</v>
      </c>
      <c r="Q516" t="n">
        <v>101.5641784617775</v>
      </c>
    </row>
    <row r="517">
      <c r="A517" s="117" t="n">
        <v>45162</v>
      </c>
      <c r="B517" s="118" t="n">
        <v>92.72365542272904</v>
      </c>
      <c r="C517" s="118" t="n">
        <v>93.18399080173837</v>
      </c>
      <c r="D517" s="118" t="n">
        <v>91.65268365113603</v>
      </c>
      <c r="E517" s="118" t="n">
        <v>91.71844482421875</v>
      </c>
      <c r="F517" s="119" t="n">
        <v>10310000</v>
      </c>
      <c r="G517" s="120" t="n">
        <v>-0.01134179060682095</v>
      </c>
      <c r="H517" s="121" t="n">
        <v>57.6554527348563</v>
      </c>
      <c r="I517" s="118" t="n">
        <v>101.7149417114258</v>
      </c>
      <c r="J517" s="118" t="n">
        <v>107.8346495819092</v>
      </c>
      <c r="K517" s="120" t="n">
        <v>0.1806028671418559</v>
      </c>
      <c r="L517" s="120" t="n">
        <v>-0.1406566645407744</v>
      </c>
      <c r="M517" s="120" t="n">
        <v>-0.2414621331437218</v>
      </c>
      <c r="N517" t="n">
        <v>21.56417971273437</v>
      </c>
      <c r="O517" t="n">
        <v>-1.018402595116606</v>
      </c>
      <c r="P517" t="n">
        <v>101.7734913741735</v>
      </c>
      <c r="Q517" t="n">
        <v>99.39317459185042</v>
      </c>
    </row>
    <row r="518">
      <c r="A518" s="117" t="n">
        <v>45163</v>
      </c>
      <c r="B518" s="118" t="n">
        <v>92.53576946506858</v>
      </c>
      <c r="C518" s="118" t="n">
        <v>93.09004119205622</v>
      </c>
      <c r="D518" s="118" t="n">
        <v>91.88754706051728</v>
      </c>
      <c r="E518" s="118" t="n">
        <v>92.85517883300781</v>
      </c>
      <c r="F518" s="119" t="n">
        <v>7290600</v>
      </c>
      <c r="G518" s="120" t="n">
        <v>0.01239373400811195</v>
      </c>
      <c r="H518" s="121" t="n">
        <v>58.37001908016938</v>
      </c>
      <c r="I518" s="118" t="n">
        <v>101.4515200805664</v>
      </c>
      <c r="J518" s="118" t="n">
        <v>107.8640334320068</v>
      </c>
      <c r="K518" s="120" t="n">
        <v>0.1845812298541134</v>
      </c>
      <c r="L518" s="120" t="n">
        <v>-0.1300061918194491</v>
      </c>
      <c r="M518" s="120" t="n">
        <v>-0.2320610165868244</v>
      </c>
      <c r="N518" t="n">
        <v>27.49697209263478</v>
      </c>
      <c r="O518" t="n">
        <v>-0.9707919001367094</v>
      </c>
      <c r="P518" t="n">
        <v>102.4909740019821</v>
      </c>
      <c r="Q518" t="n">
        <v>100.1636057689636</v>
      </c>
    </row>
    <row r="519">
      <c r="A519" s="117" t="n">
        <v>45166</v>
      </c>
      <c r="B519" s="118" t="n">
        <v>93.55977223413929</v>
      </c>
      <c r="C519" s="118" t="n">
        <v>94.00131464578432</v>
      </c>
      <c r="D519" s="118" t="n">
        <v>92.88337461500169</v>
      </c>
      <c r="E519" s="118" t="n">
        <v>93.59735107421875</v>
      </c>
      <c r="F519" s="119" t="n">
        <v>6006600</v>
      </c>
      <c r="G519" s="120" t="n">
        <v>0.007992793191919478</v>
      </c>
      <c r="H519" s="121" t="n">
        <v>58.83655857128557</v>
      </c>
      <c r="I519" s="118" t="n">
        <v>101.2113967895508</v>
      </c>
      <c r="J519" s="118" t="n">
        <v>107.8956853103638</v>
      </c>
      <c r="K519" s="120" t="n">
        <v>0.1741481517689076</v>
      </c>
      <c r="L519" s="120" t="n">
        <v>-0.1230525112324113</v>
      </c>
      <c r="M519" s="120" t="n">
        <v>-0.22592303910839</v>
      </c>
      <c r="N519" t="n">
        <v>31.15820558305623</v>
      </c>
      <c r="O519" t="n">
        <v>-0.8298213631707818</v>
      </c>
      <c r="P519" t="n">
        <v>103.1409226024774</v>
      </c>
      <c r="Q519" t="n">
        <v>100.917564445029</v>
      </c>
    </row>
    <row r="520">
      <c r="A520" s="117" t="n">
        <v>45167</v>
      </c>
      <c r="B520" s="118" t="n">
        <v>93.97313269777456</v>
      </c>
      <c r="C520" s="118" t="n">
        <v>95.97416472758675</v>
      </c>
      <c r="D520" s="118" t="n">
        <v>93.68190564523815</v>
      </c>
      <c r="E520" s="118" t="n">
        <v>95.60777282714844</v>
      </c>
      <c r="F520" s="119" t="n">
        <v>8641600</v>
      </c>
      <c r="G520" s="120" t="n">
        <v>0.02147947276131257</v>
      </c>
      <c r="H520" s="121" t="n">
        <v>60.10033682848687</v>
      </c>
      <c r="I520" s="118" t="n">
        <v>100.9893110656738</v>
      </c>
      <c r="J520" s="118" t="n">
        <v>107.9450687789917</v>
      </c>
      <c r="K520" s="120" t="n">
        <v>0.1971036460711355</v>
      </c>
      <c r="L520" s="120" t="n">
        <v>-0.1042161415343266</v>
      </c>
      <c r="M520" s="120" t="n">
        <v>-0.209296274111759</v>
      </c>
      <c r="N520" t="n">
        <v>39.99732578792946</v>
      </c>
      <c r="O520" t="n">
        <v>-0.5548965427011712</v>
      </c>
      <c r="P520" t="n">
        <v>104.6317849578432</v>
      </c>
      <c r="Q520" t="n">
        <v>103.1215816676782</v>
      </c>
    </row>
    <row r="521">
      <c r="A521" s="117" t="n">
        <v>45168</v>
      </c>
      <c r="B521" s="118" t="n">
        <v>95.48563217056261</v>
      </c>
      <c r="C521" s="118" t="n">
        <v>96.58478619920305</v>
      </c>
      <c r="D521" s="118" t="n">
        <v>95.36350633430138</v>
      </c>
      <c r="E521" s="118" t="n">
        <v>95.91777801513672</v>
      </c>
      <c r="F521" s="119" t="n">
        <v>4822100</v>
      </c>
      <c r="G521" s="120" t="n">
        <v>0.003242468460684211</v>
      </c>
      <c r="H521" s="121" t="n">
        <v>60.29521027512973</v>
      </c>
      <c r="I521" s="118" t="n">
        <v>100.8495207214356</v>
      </c>
      <c r="J521" s="118" t="n">
        <v>107.9616075134277</v>
      </c>
      <c r="K521" s="120" t="n">
        <v>0.1915084288905077</v>
      </c>
      <c r="L521" s="120" t="n">
        <v>-0.1013115906256616</v>
      </c>
      <c r="M521" s="120" t="n">
        <v>-0.206732442218821</v>
      </c>
      <c r="N521" t="n">
        <v>41.24998040729886</v>
      </c>
      <c r="O521" t="n">
        <v>-0.3176756770645046</v>
      </c>
      <c r="P521" t="n">
        <v>105.0627645104258</v>
      </c>
      <c r="Q521" t="n">
        <v>103.6966752973571</v>
      </c>
    </row>
    <row r="522">
      <c r="A522" s="117" t="n">
        <v>45169</v>
      </c>
      <c r="B522" s="118" t="n">
        <v>96.40628624448119</v>
      </c>
      <c r="C522" s="118" t="n">
        <v>96.65993439259896</v>
      </c>
      <c r="D522" s="118" t="n">
        <v>95.45744047906618</v>
      </c>
      <c r="E522" s="118" t="n">
        <v>95.55138397216797</v>
      </c>
      <c r="F522" s="119" t="n">
        <v>7046200</v>
      </c>
      <c r="G522" s="120" t="n">
        <v>-0.003819876258089772</v>
      </c>
      <c r="H522" s="121" t="n">
        <v>60.06489003292324</v>
      </c>
      <c r="I522" s="118" t="n">
        <v>100.6941355895996</v>
      </c>
      <c r="J522" s="118" t="n">
        <v>107.9455962753296</v>
      </c>
      <c r="K522" s="120" t="n">
        <v>0.1852400189108811</v>
      </c>
      <c r="L522" s="120" t="n">
        <v>-0.104744469144051</v>
      </c>
      <c r="M522" s="120" t="n">
        <v>-0.2097626261291022</v>
      </c>
      <c r="N522" t="n">
        <v>40.18225597836761</v>
      </c>
      <c r="O522" t="n">
        <v>-0.1589646012362131</v>
      </c>
      <c r="P522" t="n">
        <v>104.9090124351307</v>
      </c>
      <c r="Q522" t="n">
        <v>104.0076022984605</v>
      </c>
    </row>
    <row r="523">
      <c r="A523" s="117" t="n">
        <v>45170</v>
      </c>
      <c r="B523" s="118" t="n">
        <v>96.1169673997325</v>
      </c>
      <c r="C523" s="118" t="n">
        <v>97.05013981572361</v>
      </c>
      <c r="D523" s="118" t="n">
        <v>95.6927928895761</v>
      </c>
      <c r="E523" s="118" t="n">
        <v>96.48458099365234</v>
      </c>
      <c r="F523" s="119" t="n">
        <v>6359400</v>
      </c>
      <c r="G523" s="120" t="n">
        <v>0.009766441705922224</v>
      </c>
      <c r="H523" s="121" t="n">
        <v>60.65151028000241</v>
      </c>
      <c r="I523" s="118" t="n">
        <v>100.548395690918</v>
      </c>
      <c r="J523" s="118" t="n">
        <v>107.9421632766724</v>
      </c>
      <c r="K523" s="120" t="n">
        <v>0.1902723985266665</v>
      </c>
      <c r="L523" s="120" t="n">
        <v>-0.09600100819004198</v>
      </c>
      <c r="M523" s="120" t="n">
        <v>-0.202044818883351</v>
      </c>
      <c r="N523" t="n">
        <v>44.14765135810266</v>
      </c>
      <c r="O523" t="n">
        <v>0.02551734060817301</v>
      </c>
      <c r="P523" t="n">
        <v>105.1046781112934</v>
      </c>
      <c r="Q523" t="n">
        <v>103.8975321579017</v>
      </c>
    </row>
    <row r="524">
      <c r="A524" s="117" t="n">
        <v>45174</v>
      </c>
      <c r="B524" s="118" t="n">
        <v>95.67393711514127</v>
      </c>
      <c r="C524" s="118" t="n">
        <v>96.10753242037141</v>
      </c>
      <c r="D524" s="118" t="n">
        <v>94.47683781499175</v>
      </c>
      <c r="E524" s="118" t="n">
        <v>94.56166839599609</v>
      </c>
      <c r="F524" s="119" t="n">
        <v>6698700</v>
      </c>
      <c r="G524" s="120" t="n">
        <v>-0.01992973983877022</v>
      </c>
      <c r="H524" s="121" t="n">
        <v>59.44274145929346</v>
      </c>
      <c r="I524" s="118" t="n">
        <v>100.3818589782715</v>
      </c>
      <c r="J524" s="118" t="n">
        <v>107.9183177566528</v>
      </c>
      <c r="K524" s="120" t="n">
        <v>0.1867819261946396</v>
      </c>
      <c r="L524" s="120" t="n">
        <v>-0.1140174729113251</v>
      </c>
      <c r="M524" s="120" t="n">
        <v>-0.2179478580460046</v>
      </c>
      <c r="N524" t="n">
        <v>38.48614769625333</v>
      </c>
      <c r="O524" t="n">
        <v>0.03415271109177942</v>
      </c>
      <c r="P524" t="n">
        <v>104.650417324426</v>
      </c>
      <c r="Q524" t="n">
        <v>104.0296112002753</v>
      </c>
    </row>
    <row r="525">
      <c r="A525" s="117" t="n">
        <v>45175</v>
      </c>
      <c r="B525" s="118" t="n">
        <v>94.03381993763202</v>
      </c>
      <c r="C525" s="118" t="n">
        <v>94.55224585388656</v>
      </c>
      <c r="D525" s="118" t="n">
        <v>93.34571846660337</v>
      </c>
      <c r="E525" s="118" t="n">
        <v>94.42971038818359</v>
      </c>
      <c r="F525" s="119" t="n">
        <v>6096000</v>
      </c>
      <c r="G525" s="120" t="n">
        <v>-0.001395470385102571</v>
      </c>
      <c r="H525" s="121" t="n">
        <v>59.3597908739777</v>
      </c>
      <c r="I525" s="118" t="n">
        <v>100.1709715270996</v>
      </c>
      <c r="J525" s="118" t="n">
        <v>107.9007007980347</v>
      </c>
      <c r="K525" s="120" t="n">
        <v>0.1868482762445875</v>
      </c>
      <c r="L525" s="120" t="n">
        <v>-0.1152538352895958</v>
      </c>
      <c r="M525" s="120" t="n">
        <v>-0.2190391886497074</v>
      </c>
      <c r="N525" t="n">
        <v>38.12482690059354</v>
      </c>
      <c r="O525" t="n">
        <v>0.04633487396101943</v>
      </c>
      <c r="P525" t="n">
        <v>103.9469255746535</v>
      </c>
      <c r="Q525" t="n">
        <v>103.1133283294977</v>
      </c>
    </row>
    <row r="526">
      <c r="A526" s="117" t="n">
        <v>45176</v>
      </c>
      <c r="B526" s="118" t="n">
        <v>92.6199129928424</v>
      </c>
      <c r="C526" s="118" t="n">
        <v>93.09121317083563</v>
      </c>
      <c r="D526" s="118" t="n">
        <v>92.03549818320158</v>
      </c>
      <c r="E526" s="118" t="n">
        <v>92.30885314941406</v>
      </c>
      <c r="F526" s="119" t="n">
        <v>9927100</v>
      </c>
      <c r="G526" s="120" t="n">
        <v>-0.02245963934498019</v>
      </c>
      <c r="H526" s="121" t="n">
        <v>58.02659137935472</v>
      </c>
      <c r="I526" s="118" t="n">
        <v>99.88253158569336</v>
      </c>
      <c r="J526" s="118" t="n">
        <v>107.8718744659424</v>
      </c>
      <c r="K526" s="120" t="n">
        <v>0.1967520823246092</v>
      </c>
      <c r="L526" s="120" t="n">
        <v>-0.1351249150608458</v>
      </c>
      <c r="M526" s="120" t="n">
        <v>-0.2365792868151981</v>
      </c>
      <c r="N526" t="n">
        <v>32.79559731920396</v>
      </c>
      <c r="O526" t="n">
        <v>-0.06693102056163647</v>
      </c>
      <c r="P526" t="n">
        <v>103.6277623590331</v>
      </c>
      <c r="Q526" t="n">
        <v>102.3759019612783</v>
      </c>
    </row>
    <row r="527">
      <c r="A527" s="117" t="n">
        <v>45177</v>
      </c>
      <c r="B527" s="118" t="n">
        <v>92.46910020848969</v>
      </c>
      <c r="C527" s="118" t="n">
        <v>92.49737707059043</v>
      </c>
      <c r="D527" s="118" t="n">
        <v>91.69616814803064</v>
      </c>
      <c r="E527" s="118" t="n">
        <v>92.06378173828125</v>
      </c>
      <c r="F527" s="119" t="n">
        <v>6435000</v>
      </c>
      <c r="G527" s="120" t="n">
        <v>-0.002654906899732912</v>
      </c>
      <c r="H527" s="121" t="n">
        <v>57.87253618153368</v>
      </c>
      <c r="I527" s="118" t="n">
        <v>99.60008789062501</v>
      </c>
      <c r="J527" s="118" t="n">
        <v>107.8415435409546</v>
      </c>
      <c r="K527" s="120" t="n">
        <v>0.1969773530287901</v>
      </c>
      <c r="L527" s="120" t="n">
        <v>-0.1374210778912579</v>
      </c>
      <c r="M527" s="120" t="n">
        <v>-0.2386060977340314</v>
      </c>
      <c r="N527" t="n">
        <v>32.23487424419817</v>
      </c>
      <c r="O527" t="n">
        <v>-0.1330269230942436</v>
      </c>
      <c r="P527" t="n">
        <v>103.7838462473343</v>
      </c>
      <c r="Q527" t="n">
        <v>102.5189854545593</v>
      </c>
    </row>
    <row r="528">
      <c r="A528" s="117" t="n">
        <v>45180</v>
      </c>
      <c r="B528" s="118" t="n">
        <v>92.68590426660676</v>
      </c>
      <c r="C528" s="118" t="n">
        <v>92.73302997437287</v>
      </c>
      <c r="D528" s="118" t="n">
        <v>91.03635347390724</v>
      </c>
      <c r="E528" s="118" t="n">
        <v>91.23429870605469</v>
      </c>
      <c r="F528" s="119" t="n">
        <v>7584700</v>
      </c>
      <c r="G528" s="120" t="n">
        <v>-0.009009873552496606</v>
      </c>
      <c r="H528" s="121" t="n">
        <v>57.35111194837577</v>
      </c>
      <c r="I528" s="118" t="n">
        <v>99.29466598510743</v>
      </c>
      <c r="J528" s="118" t="n">
        <v>107.8144654464722</v>
      </c>
      <c r="K528" s="120" t="n">
        <v>0.1970704260248926</v>
      </c>
      <c r="L528" s="120" t="n">
        <v>-0.1451928049085066</v>
      </c>
      <c r="M528" s="120" t="n">
        <v>-0.2454661605170898</v>
      </c>
      <c r="N528" t="n">
        <v>30.34382537478233</v>
      </c>
      <c r="O528" t="n">
        <v>-0.2030853211528052</v>
      </c>
      <c r="P528" t="n">
        <v>104.4663959549832</v>
      </c>
      <c r="Q528" t="n">
        <v>103.7269460811807</v>
      </c>
    </row>
    <row r="529">
      <c r="A529" s="117" t="n">
        <v>45181</v>
      </c>
      <c r="B529" s="118" t="n">
        <v>91.4228045022556</v>
      </c>
      <c r="C529" s="118" t="n">
        <v>91.59247285025934</v>
      </c>
      <c r="D529" s="118" t="n">
        <v>90.65930053197371</v>
      </c>
      <c r="E529" s="118" t="n">
        <v>90.77241516113281</v>
      </c>
      <c r="F529" s="119" t="n">
        <v>6307700</v>
      </c>
      <c r="G529" s="120" t="n">
        <v>-0.005062608596466567</v>
      </c>
      <c r="H529" s="121" t="n">
        <v>57.06076571600901</v>
      </c>
      <c r="I529" s="118" t="n">
        <v>99.03637359619141</v>
      </c>
      <c r="J529" s="118" t="n">
        <v>107.7751178741455</v>
      </c>
      <c r="K529" s="120" t="n">
        <v>0.197029542691718</v>
      </c>
      <c r="L529" s="120" t="n">
        <v>-0.1495203591626983</v>
      </c>
      <c r="M529" s="120" t="n">
        <v>-0.2492860700191809</v>
      </c>
      <c r="N529" t="n">
        <v>29.31262938341187</v>
      </c>
      <c r="O529" t="n">
        <v>-0.2480325446213154</v>
      </c>
      <c r="P529" t="n">
        <v>103.8933307712906</v>
      </c>
      <c r="Q529" t="n">
        <v>102.5767759094797</v>
      </c>
    </row>
    <row r="530">
      <c r="A530" s="117" t="n">
        <v>45182</v>
      </c>
      <c r="B530" s="118" t="n">
        <v>90.77241488041238</v>
      </c>
      <c r="C530" s="118" t="n">
        <v>91.6207494263377</v>
      </c>
      <c r="D530" s="118" t="n">
        <v>90.16915124303581</v>
      </c>
      <c r="E530" s="118" t="n">
        <v>90.61216735839844</v>
      </c>
      <c r="F530" s="119" t="n">
        <v>7140700</v>
      </c>
      <c r="G530" s="120" t="n">
        <v>-0.001765379960970703</v>
      </c>
      <c r="H530" s="121" t="n">
        <v>56.96003178365633</v>
      </c>
      <c r="I530" s="118" t="n">
        <v>98.79855056762695</v>
      </c>
      <c r="J530" s="118" t="n">
        <v>107.7318040466309</v>
      </c>
      <c r="K530" s="120" t="n">
        <v>0.1965538963604202</v>
      </c>
      <c r="L530" s="120" t="n">
        <v>-0.151021778877846</v>
      </c>
      <c r="M530" s="120" t="n">
        <v>-0.2506113653475907</v>
      </c>
      <c r="N530" t="n">
        <v>28.94510154563299</v>
      </c>
      <c r="O530" t="n">
        <v>-0.2550693578837508</v>
      </c>
      <c r="P530" t="n">
        <v>104.0144669811219</v>
      </c>
      <c r="Q530" t="n">
        <v>102.9674851796616</v>
      </c>
    </row>
    <row r="531">
      <c r="A531" s="117" t="n">
        <v>45183</v>
      </c>
      <c r="B531" s="118" t="n">
        <v>91.16830482046883</v>
      </c>
      <c r="C531" s="118" t="n">
        <v>92.07320027183324</v>
      </c>
      <c r="D531" s="118" t="n">
        <v>90.39537283962821</v>
      </c>
      <c r="E531" s="118" t="n">
        <v>91.611328125</v>
      </c>
      <c r="F531" s="119" t="n">
        <v>7075300</v>
      </c>
      <c r="G531" s="120" t="n">
        <v>0.01102678366195109</v>
      </c>
      <c r="H531" s="121" t="n">
        <v>57.58811773151257</v>
      </c>
      <c r="I531" s="118" t="n">
        <v>98.61847610473633</v>
      </c>
      <c r="J531" s="118" t="n">
        <v>107.6966975784302</v>
      </c>
      <c r="K531" s="120" t="n">
        <v>0.2040042179571283</v>
      </c>
      <c r="L531" s="120" t="n">
        <v>-0.1416602796998239</v>
      </c>
      <c r="M531" s="120" t="n">
        <v>-0.2423480189945536</v>
      </c>
      <c r="N531" t="n">
        <v>34.46272213828057</v>
      </c>
      <c r="O531" t="n">
        <v>-0.1634036781296651</v>
      </c>
      <c r="P531" t="n">
        <v>104.9113368689816</v>
      </c>
      <c r="Q531" t="n">
        <v>103.8094880068144</v>
      </c>
    </row>
    <row r="532">
      <c r="A532" s="117" t="n">
        <v>45184</v>
      </c>
      <c r="B532" s="118" t="n">
        <v>92.5162403180715</v>
      </c>
      <c r="C532" s="118" t="n">
        <v>92.5162403180715</v>
      </c>
      <c r="D532" s="118" t="n">
        <v>90.61218328486551</v>
      </c>
      <c r="E532" s="118" t="n">
        <v>90.73472595214844</v>
      </c>
      <c r="F532" s="119" t="n">
        <v>10467300</v>
      </c>
      <c r="G532" s="120" t="n">
        <v>-0.009568709359343397</v>
      </c>
      <c r="H532" s="121" t="n">
        <v>57.03707377038807</v>
      </c>
      <c r="I532" s="118" t="n">
        <v>98.45844787597656</v>
      </c>
      <c r="J532" s="118" t="n">
        <v>107.6618623352051</v>
      </c>
      <c r="K532" s="120" t="n">
        <v>0.2018828468928948</v>
      </c>
      <c r="L532" s="120" t="n">
        <v>-0.1498734830149564</v>
      </c>
      <c r="M532" s="120" t="n">
        <v>-0.2495977705963255</v>
      </c>
      <c r="N532" t="n">
        <v>32.10707413796057</v>
      </c>
      <c r="O532" t="n">
        <v>-0.1340128329769725</v>
      </c>
      <c r="P532" t="n">
        <v>103.6473171200013</v>
      </c>
      <c r="Q532" t="n">
        <v>102.0319530636244</v>
      </c>
    </row>
    <row r="533">
      <c r="A533" s="117" t="n">
        <v>45187</v>
      </c>
      <c r="B533" s="118" t="n">
        <v>90.4896355344614</v>
      </c>
      <c r="C533" s="118" t="n">
        <v>90.83840026034638</v>
      </c>
      <c r="D533" s="118" t="n">
        <v>89.81096211731771</v>
      </c>
      <c r="E533" s="118" t="n">
        <v>90.02776336669922</v>
      </c>
      <c r="F533" s="119" t="n">
        <v>6946300</v>
      </c>
      <c r="G533" s="120" t="n">
        <v>-0.007791532712867366</v>
      </c>
      <c r="H533" s="121" t="n">
        <v>56.59266754425985</v>
      </c>
      <c r="I533" s="118" t="n">
        <v>98.2963053894043</v>
      </c>
      <c r="J533" s="118" t="n">
        <v>107.6174883270264</v>
      </c>
      <c r="K533" s="120" t="n">
        <v>0.202166500103736</v>
      </c>
      <c r="L533" s="120" t="n">
        <v>-0.1564972715821215</v>
      </c>
      <c r="M533" s="120" t="n">
        <v>-0.2554445541145328</v>
      </c>
      <c r="N533" t="n">
        <v>30.30781383394714</v>
      </c>
      <c r="O533" t="n">
        <v>-0.1340639198439884</v>
      </c>
      <c r="P533" t="n">
        <v>103.7080992204143</v>
      </c>
      <c r="Q533" t="n">
        <v>102.1383237265102</v>
      </c>
    </row>
    <row r="534">
      <c r="A534" s="117" t="n">
        <v>45188</v>
      </c>
      <c r="B534" s="118" t="n">
        <v>89.58474083585023</v>
      </c>
      <c r="C534" s="118" t="n">
        <v>90.00890812958826</v>
      </c>
      <c r="D534" s="118" t="n">
        <v>88.99090518632293</v>
      </c>
      <c r="E534" s="118" t="n">
        <v>89.18885040283203</v>
      </c>
      <c r="F534" s="119" t="n">
        <v>9386600</v>
      </c>
      <c r="G534" s="120" t="n">
        <v>-0.009318380602771903</v>
      </c>
      <c r="H534" s="121" t="n">
        <v>56.06531552875631</v>
      </c>
      <c r="I534" s="118" t="n">
        <v>98.09258331298828</v>
      </c>
      <c r="J534" s="118" t="n">
        <v>107.5529091262817</v>
      </c>
      <c r="K534" s="120" t="n">
        <v>0.196103305063084</v>
      </c>
      <c r="L534" s="120" t="n">
        <v>-0.1643573510449957</v>
      </c>
      <c r="M534" s="120" t="n">
        <v>-0.2623826051391601</v>
      </c>
      <c r="N534" t="n">
        <v>28.28239601927648</v>
      </c>
      <c r="O534" t="n">
        <v>-0.1606811673568069</v>
      </c>
      <c r="P534" t="n">
        <v>103.4930337455402</v>
      </c>
      <c r="Q534" t="n">
        <v>101.9206184364707</v>
      </c>
    </row>
    <row r="535">
      <c r="A535" s="117" t="n">
        <v>45189</v>
      </c>
      <c r="B535" s="118" t="n">
        <v>88.57616150859698</v>
      </c>
      <c r="C535" s="118" t="n">
        <v>89.92408037997278</v>
      </c>
      <c r="D535" s="118" t="n">
        <v>88.44419802676749</v>
      </c>
      <c r="E535" s="118" t="n">
        <v>88.64214324951172</v>
      </c>
      <c r="F535" s="119" t="n">
        <v>10274200</v>
      </c>
      <c r="G535" s="120" t="n">
        <v>-0.006129770154577052</v>
      </c>
      <c r="H535" s="121" t="n">
        <v>55.72164803092119</v>
      </c>
      <c r="I535" s="118" t="n">
        <v>97.84767669677734</v>
      </c>
      <c r="J535" s="118" t="n">
        <v>107.4789873123169</v>
      </c>
      <c r="K535" s="120" t="n">
        <v>0.1929765372067283</v>
      </c>
      <c r="L535" s="120" t="n">
        <v>-0.1694796484144518</v>
      </c>
      <c r="M535" s="120" t="n">
        <v>-0.266904030231675</v>
      </c>
      <c r="N535" t="n">
        <v>27.01534788666646</v>
      </c>
      <c r="O535" t="n">
        <v>-0.1835401325269066</v>
      </c>
      <c r="P535" t="n">
        <v>102.5415876266917</v>
      </c>
      <c r="Q535" t="n">
        <v>100.4519001687832</v>
      </c>
    </row>
    <row r="536">
      <c r="A536" s="117" t="n">
        <v>45190</v>
      </c>
      <c r="B536" s="118" t="n">
        <v>88.05772405965246</v>
      </c>
      <c r="C536" s="118" t="n">
        <v>88.12370579730934</v>
      </c>
      <c r="D536" s="118" t="n">
        <v>86.22908424824564</v>
      </c>
      <c r="E536" s="118" t="n">
        <v>86.332763671875</v>
      </c>
      <c r="F536" s="119" t="n">
        <v>7958600</v>
      </c>
      <c r="G536" s="120" t="n">
        <v>-0.02605284002594832</v>
      </c>
      <c r="H536" s="121" t="n">
        <v>54.2699408487894</v>
      </c>
      <c r="I536" s="118" t="n">
        <v>97.54963058471679</v>
      </c>
      <c r="J536" s="118" t="n">
        <v>107.3868426513672</v>
      </c>
      <c r="K536" s="120" t="n">
        <v>0.1919419164273788</v>
      </c>
      <c r="L536" s="120" t="n">
        <v>-0.1894047761888981</v>
      </c>
      <c r="M536" s="120" t="n">
        <v>-0.2860032622557165</v>
      </c>
      <c r="N536" t="n">
        <v>22.44174209620343</v>
      </c>
      <c r="O536" t="n">
        <v>-0.3149164855150435</v>
      </c>
      <c r="P536" t="n">
        <v>100.8467432873855</v>
      </c>
      <c r="Q536" t="n">
        <v>98.61116652733089</v>
      </c>
    </row>
    <row r="537">
      <c r="A537" s="117" t="n">
        <v>45191</v>
      </c>
      <c r="B537" s="118" t="n">
        <v>86.3233554348508</v>
      </c>
      <c r="C537" s="118" t="n">
        <v>87.03030580918661</v>
      </c>
      <c r="D537" s="118" t="n">
        <v>85.35247807139834</v>
      </c>
      <c r="E537" s="118" t="n">
        <v>85.63525390625</v>
      </c>
      <c r="F537" s="119" t="n">
        <v>9289400</v>
      </c>
      <c r="G537" s="120" t="n">
        <v>-0.008079317005025177</v>
      </c>
      <c r="H537" s="121" t="n">
        <v>53.83147679282807</v>
      </c>
      <c r="I537" s="118" t="n">
        <v>97.23613128662109</v>
      </c>
      <c r="J537" s="118" t="n">
        <v>107.3032552719116</v>
      </c>
      <c r="K537" s="120" t="n">
        <v>0.1905226928608706</v>
      </c>
      <c r="L537" s="120" t="n">
        <v>-0.1959538319648272</v>
      </c>
      <c r="M537" s="120" t="n">
        <v>-0.2917718682405064</v>
      </c>
      <c r="N537" t="n">
        <v>21.27045182848173</v>
      </c>
      <c r="O537" t="n">
        <v>-0.4038389451912634</v>
      </c>
      <c r="P537" t="n">
        <v>100.6199818517059</v>
      </c>
      <c r="Q537" t="n">
        <v>98.6249562662785</v>
      </c>
    </row>
    <row r="538">
      <c r="A538" s="117" t="n">
        <v>45194</v>
      </c>
      <c r="B538" s="118" t="n">
        <v>84.83403835059224</v>
      </c>
      <c r="C538" s="118" t="n">
        <v>85.63524727449817</v>
      </c>
      <c r="D538" s="118" t="n">
        <v>84.63609312408398</v>
      </c>
      <c r="E538" s="118" t="n">
        <v>85.39959716796875</v>
      </c>
      <c r="F538" s="119" t="n">
        <v>8291700</v>
      </c>
      <c r="G538" s="120" t="n">
        <v>-0.002751865937587361</v>
      </c>
      <c r="H538" s="121" t="n">
        <v>53.68333978547186</v>
      </c>
      <c r="I538" s="118" t="n">
        <v>96.91585174560547</v>
      </c>
      <c r="J538" s="118" t="n">
        <v>107.2263793945312</v>
      </c>
      <c r="K538" s="120" t="n">
        <v>0.1812768781885118</v>
      </c>
      <c r="L538" s="120" t="n">
        <v>-0.1771915520215657</v>
      </c>
      <c r="M538" s="120" t="n">
        <v>-0.2937208171123364</v>
      </c>
      <c r="N538" t="n">
        <v>20.87405600923634</v>
      </c>
      <c r="O538" t="n">
        <v>-0.4310958528580233</v>
      </c>
      <c r="P538" t="n">
        <v>101.0431099832809</v>
      </c>
      <c r="Q538" t="n">
        <v>99.09338874290792</v>
      </c>
    </row>
    <row r="539">
      <c r="A539" s="117" t="n">
        <v>45195</v>
      </c>
      <c r="B539" s="118" t="n">
        <v>84.83403760901523</v>
      </c>
      <c r="C539" s="118" t="n">
        <v>85.4938550249416</v>
      </c>
      <c r="D539" s="118" t="n">
        <v>84.6266643664468</v>
      </c>
      <c r="E539" s="118" t="n">
        <v>84.99427795410156</v>
      </c>
      <c r="F539" s="119" t="n">
        <v>8060500</v>
      </c>
      <c r="G539" s="120" t="n">
        <v>-0.004746149013677203</v>
      </c>
      <c r="H539" s="121" t="n">
        <v>53.42855065529815</v>
      </c>
      <c r="I539" s="118" t="n">
        <v>96.57318634033203</v>
      </c>
      <c r="J539" s="118" t="n">
        <v>107.1456095504761</v>
      </c>
      <c r="K539" s="120" t="n">
        <v>0.1755417787130054</v>
      </c>
      <c r="L539" s="120" t="n">
        <v>-0.1810967235253838</v>
      </c>
      <c r="M539" s="120" t="n">
        <v>-0.2970729233595795</v>
      </c>
      <c r="N539" t="n">
        <v>20.17755321339092</v>
      </c>
      <c r="O539" t="n">
        <v>-0.4281180432247553</v>
      </c>
      <c r="P539" t="n">
        <v>99.55866011368167</v>
      </c>
      <c r="Q539" t="n">
        <v>97.60537851081909</v>
      </c>
    </row>
    <row r="540">
      <c r="A540" s="117" t="n">
        <v>45196</v>
      </c>
      <c r="B540" s="118" t="n">
        <v>85.36189456658215</v>
      </c>
      <c r="C540" s="118" t="n">
        <v>85.49385805444359</v>
      </c>
      <c r="D540" s="118" t="n">
        <v>84.08938539564924</v>
      </c>
      <c r="E540" s="118" t="n">
        <v>84.28733062744141</v>
      </c>
      <c r="F540" s="119" t="n">
        <v>7631000</v>
      </c>
      <c r="G540" s="120" t="n">
        <v>-0.008317587297369866</v>
      </c>
      <c r="H540" s="121" t="n">
        <v>52.98415402105076</v>
      </c>
      <c r="I540" s="118" t="n">
        <v>96.19740524291993</v>
      </c>
      <c r="J540" s="118" t="n">
        <v>107.0471593093872</v>
      </c>
      <c r="K540" s="120" t="n">
        <v>0.1458398030806451</v>
      </c>
      <c r="L540" s="120" t="n">
        <v>-0.1879080230155635</v>
      </c>
      <c r="M540" s="120" t="n">
        <v>-0.3029195806832211</v>
      </c>
      <c r="N540" t="n">
        <v>18.98752069711024</v>
      </c>
      <c r="O540" t="n">
        <v>-0.4246192341135147</v>
      </c>
      <c r="P540" t="n">
        <v>99.59840424295501</v>
      </c>
      <c r="Q540" t="n">
        <v>97.83411388325098</v>
      </c>
    </row>
    <row r="541">
      <c r="A541" s="117" t="n">
        <v>45197</v>
      </c>
      <c r="B541" s="118" t="n">
        <v>83.98569818350477</v>
      </c>
      <c r="C541" s="118" t="n">
        <v>84.62666677355219</v>
      </c>
      <c r="D541" s="118" t="n">
        <v>83.57095887804162</v>
      </c>
      <c r="E541" s="118" t="n">
        <v>84.48527526855469</v>
      </c>
      <c r="F541" s="119" t="n">
        <v>16315600</v>
      </c>
      <c r="G541" s="120" t="n">
        <v>0.002348450705933702</v>
      </c>
      <c r="H541" s="121" t="n">
        <v>53.10858469496479</v>
      </c>
      <c r="I541" s="118" t="n">
        <v>95.82257675170898</v>
      </c>
      <c r="J541" s="118" t="n">
        <v>106.9587557983398</v>
      </c>
      <c r="K541" s="120" t="n">
        <v>0.1451014160320373</v>
      </c>
      <c r="L541" s="120" t="n">
        <v>-0.1860008650389314</v>
      </c>
      <c r="M541" s="120" t="n">
        <v>-0.3012825216803842</v>
      </c>
      <c r="N541" t="n">
        <v>20.4030796708691</v>
      </c>
      <c r="O541" t="n">
        <v>-0.3622614014611547</v>
      </c>
      <c r="P541" t="n">
        <v>100.1758231281462</v>
      </c>
      <c r="Q541" t="n">
        <v>98.652518656517</v>
      </c>
    </row>
    <row r="542">
      <c r="A542" s="117" t="n">
        <v>45198</v>
      </c>
      <c r="B542" s="118" t="n">
        <v>93.66620603173145</v>
      </c>
      <c r="C542" s="118" t="n">
        <v>93.7604646351429</v>
      </c>
      <c r="D542" s="118" t="n">
        <v>89.18885405071796</v>
      </c>
      <c r="E542" s="118" t="n">
        <v>90.13145446777344</v>
      </c>
      <c r="F542" s="119" t="n">
        <v>34935400</v>
      </c>
      <c r="G542" s="120" t="n">
        <v>0.06683033441355501</v>
      </c>
      <c r="H542" s="121" t="n">
        <v>56.6578491703599</v>
      </c>
      <c r="I542" s="118" t="n">
        <v>95.6048258972168</v>
      </c>
      <c r="J542" s="118" t="n">
        <v>106.8862114334107</v>
      </c>
      <c r="K542" s="120" t="n">
        <v>0.2976032669389908</v>
      </c>
      <c r="L542" s="120" t="n">
        <v>-0.1316010306371387</v>
      </c>
      <c r="M542" s="120" t="n">
        <v>-0.2545869989436884</v>
      </c>
      <c r="N542" t="n">
        <v>48.20436178770373</v>
      </c>
      <c r="O542" t="n">
        <v>0.08223849466972943</v>
      </c>
      <c r="P542" t="n">
        <v>99.93270210564916</v>
      </c>
      <c r="Q542" t="n">
        <v>98.72415011335508</v>
      </c>
    </row>
    <row r="543">
      <c r="A543" s="117" t="n">
        <v>45201</v>
      </c>
      <c r="B543" s="118" t="n">
        <v>90.67815005792124</v>
      </c>
      <c r="C543" s="118" t="n">
        <v>90.84781840720386</v>
      </c>
      <c r="D543" s="118" t="n">
        <v>88.34993325314018</v>
      </c>
      <c r="E543" s="118" t="n">
        <v>89.13228607177734</v>
      </c>
      <c r="F543" s="119" t="n">
        <v>12776300</v>
      </c>
      <c r="G543" s="120" t="n">
        <v>-0.0110856792658699</v>
      </c>
      <c r="H543" s="121" t="n">
        <v>56.02975842656326</v>
      </c>
      <c r="I543" s="118" t="n">
        <v>95.33834442138672</v>
      </c>
      <c r="J543" s="118" t="n">
        <v>106.8050298690796</v>
      </c>
      <c r="K543" s="120" t="n">
        <v>0.2951633372515913</v>
      </c>
      <c r="L543" s="120" t="n">
        <v>-0.1412278230863072</v>
      </c>
      <c r="M543" s="120" t="n">
        <v>-0.2628504083940082</v>
      </c>
      <c r="N543" t="n">
        <v>45.1959531684326</v>
      </c>
      <c r="O543" t="n">
        <v>0.3186782168630815</v>
      </c>
      <c r="P543" t="n">
        <v>99.89294321806564</v>
      </c>
      <c r="Q543" t="n">
        <v>99.54806565590313</v>
      </c>
    </row>
    <row r="544">
      <c r="A544" s="117" t="n">
        <v>45202</v>
      </c>
      <c r="B544" s="118" t="n">
        <v>88.90607489617997</v>
      </c>
      <c r="C544" s="118" t="n">
        <v>90.5367768524971</v>
      </c>
      <c r="D544" s="118" t="n">
        <v>88.77411140739949</v>
      </c>
      <c r="E544" s="118" t="n">
        <v>89.63187408447266</v>
      </c>
      <c r="F544" s="119" t="n">
        <v>10964300</v>
      </c>
      <c r="G544" s="120" t="n">
        <v>0.005605017381614008</v>
      </c>
      <c r="H544" s="121" t="n">
        <v>56.34380619643178</v>
      </c>
      <c r="I544" s="118" t="n">
        <v>95.08730361938477</v>
      </c>
      <c r="J544" s="118" t="n">
        <v>106.732882194519</v>
      </c>
      <c r="K544" s="120" t="n">
        <v>0.290531603023452</v>
      </c>
      <c r="L544" s="120" t="n">
        <v>-0.1364143901078595</v>
      </c>
      <c r="M544" s="120" t="n">
        <v>-0.2587186721202069</v>
      </c>
      <c r="N544" t="n">
        <v>46.97778358735827</v>
      </c>
      <c r="O544" t="n">
        <v>0.5072360924085197</v>
      </c>
      <c r="P544" t="n">
        <v>98.55578866306448</v>
      </c>
      <c r="Q544" t="n">
        <v>97.8010492675588</v>
      </c>
    </row>
    <row r="545">
      <c r="A545" s="117" t="n">
        <v>45203</v>
      </c>
      <c r="B545" s="118" t="n">
        <v>90.09375197478946</v>
      </c>
      <c r="C545" s="118" t="n">
        <v>90.7347205630259</v>
      </c>
      <c r="D545" s="118" t="n">
        <v>89.66015663443402</v>
      </c>
      <c r="E545" s="118" t="n">
        <v>90.38595581054688</v>
      </c>
      <c r="F545" s="119" t="n">
        <v>8045400</v>
      </c>
      <c r="G545" s="120" t="n">
        <v>0.00841309783798061</v>
      </c>
      <c r="H545" s="121" t="n">
        <v>56.81783215052658</v>
      </c>
      <c r="I545" s="118" t="n">
        <v>94.86017517089844</v>
      </c>
      <c r="J545" s="118" t="n">
        <v>106.6782303619385</v>
      </c>
      <c r="K545" s="120" t="n">
        <v>0.2931094465298192</v>
      </c>
      <c r="L545" s="120" t="n">
        <v>-0.1291489598803647</v>
      </c>
      <c r="M545" s="120" t="n">
        <v>-0.2524821997832861</v>
      </c>
      <c r="N545" t="n">
        <v>49.63934330738482</v>
      </c>
      <c r="O545" t="n">
        <v>0.6709831392735519</v>
      </c>
      <c r="P545" t="n">
        <v>99.27345576975016</v>
      </c>
      <c r="Q545" t="n">
        <v>99.13198121553883</v>
      </c>
    </row>
    <row r="546">
      <c r="A546" s="117" t="n">
        <v>45204</v>
      </c>
      <c r="B546" s="118" t="n">
        <v>90.29170227050781</v>
      </c>
      <c r="C546" s="118" t="n">
        <v>90.70644878953942</v>
      </c>
      <c r="D546" s="118" t="n">
        <v>89.81097400449127</v>
      </c>
      <c r="E546" s="118" t="n">
        <v>90.29170227050781</v>
      </c>
      <c r="F546" s="119" t="n">
        <v>7430000</v>
      </c>
      <c r="G546" s="120" t="n">
        <v>-0.001042789659010945</v>
      </c>
      <c r="H546" s="121" t="n">
        <v>56.75858310271259</v>
      </c>
      <c r="I546" s="118" t="n">
        <v>94.61237274169922</v>
      </c>
      <c r="J546" s="118" t="n">
        <v>106.6350587081909</v>
      </c>
      <c r="K546" s="120" t="n">
        <v>0.2829936619835343</v>
      </c>
      <c r="L546" s="120" t="n">
        <v>-0.1300570743395404</v>
      </c>
      <c r="M546" s="120" t="n">
        <v>-0.2532617036152787</v>
      </c>
      <c r="N546" t="n">
        <v>49.30619031184024</v>
      </c>
      <c r="O546" t="n">
        <v>0.7549272674936955</v>
      </c>
      <c r="P546" t="n">
        <v>99.23605821179299</v>
      </c>
      <c r="Q546" t="n">
        <v>98.83989335593445</v>
      </c>
    </row>
    <row r="547">
      <c r="A547" s="117" t="n">
        <v>45205</v>
      </c>
      <c r="B547" s="118" t="n">
        <v>90.29169455948291</v>
      </c>
      <c r="C547" s="118" t="n">
        <v>92.10148562920065</v>
      </c>
      <c r="D547" s="118" t="n">
        <v>89.60359309271529</v>
      </c>
      <c r="E547" s="118" t="n">
        <v>91.53592681884766</v>
      </c>
      <c r="F547" s="119" t="n">
        <v>8532900</v>
      </c>
      <c r="G547" s="120" t="n">
        <v>0.01378005416945438</v>
      </c>
      <c r="H547" s="121" t="n">
        <v>57.54071945244945</v>
      </c>
      <c r="I547" s="118" t="n">
        <v>94.42008087158203</v>
      </c>
      <c r="J547" s="118" t="n">
        <v>106.6116469192505</v>
      </c>
      <c r="K547" s="120" t="n">
        <v>0.2876610051070931</v>
      </c>
      <c r="L547" s="120" t="n">
        <v>-0.1180692136996057</v>
      </c>
      <c r="M547" s="120" t="n">
        <v>-0.2429716094406912</v>
      </c>
      <c r="N547" t="n">
        <v>53.721700264551</v>
      </c>
      <c r="O547" t="n">
        <v>0.8681498951570439</v>
      </c>
      <c r="P547" t="n">
        <v>100.414258387166</v>
      </c>
      <c r="Q547" t="n">
        <v>100.4960119545244</v>
      </c>
    </row>
    <row r="548">
      <c r="A548" s="117" t="n">
        <v>45208</v>
      </c>
      <c r="B548" s="118" t="n">
        <v>91.22487133617487</v>
      </c>
      <c r="C548" s="118" t="n">
        <v>91.56420807697353</v>
      </c>
      <c r="D548" s="118" t="n">
        <v>90.41423436554147</v>
      </c>
      <c r="E548" s="118" t="n">
        <v>91.31912994384766</v>
      </c>
      <c r="F548" s="119" t="n">
        <v>5964200</v>
      </c>
      <c r="G548" s="120" t="n">
        <v>-0.002368434805156361</v>
      </c>
      <c r="H548" s="121" t="n">
        <v>57.40443800978453</v>
      </c>
      <c r="I548" s="118" t="n">
        <v>94.20560333251953</v>
      </c>
      <c r="J548" s="118" t="n">
        <v>106.5864041519165</v>
      </c>
      <c r="K548" s="120" t="n">
        <v>0.2859043135064159</v>
      </c>
      <c r="L548" s="120" t="n">
        <v>-0.1201580092696185</v>
      </c>
      <c r="M548" s="120" t="n">
        <v>-0.2447645818293833</v>
      </c>
      <c r="N548" t="n">
        <v>52.85777974294834</v>
      </c>
      <c r="O548" t="n">
        <v>0.8985707385741177</v>
      </c>
      <c r="P548" t="n">
        <v>101.0571451362475</v>
      </c>
      <c r="Q548" t="n">
        <v>101.0085220415818</v>
      </c>
    </row>
    <row r="549">
      <c r="A549" s="117" t="n">
        <v>45209</v>
      </c>
      <c r="B549" s="118" t="n">
        <v>91.66789022628635</v>
      </c>
      <c r="C549" s="118" t="n">
        <v>93.185477467561</v>
      </c>
      <c r="D549" s="118" t="n">
        <v>91.64904138226058</v>
      </c>
      <c r="E549" s="118" t="n">
        <v>92.01665496826172</v>
      </c>
      <c r="F549" s="119" t="n">
        <v>8499000</v>
      </c>
      <c r="G549" s="120" t="n">
        <v>0.007638323151381021</v>
      </c>
      <c r="H549" s="121" t="n">
        <v>57.84291165762669</v>
      </c>
      <c r="I549" s="118" t="n">
        <v>93.97181976318359</v>
      </c>
      <c r="J549" s="118" t="n">
        <v>106.5059656524658</v>
      </c>
      <c r="K549" s="120" t="n">
        <v>0.2863601074431776</v>
      </c>
      <c r="L549" s="120" t="n">
        <v>-0.1134374918222654</v>
      </c>
      <c r="M549" s="120" t="n">
        <v>-0.2389958496500277</v>
      </c>
      <c r="N549" t="n">
        <v>55.34592970098482</v>
      </c>
      <c r="O549" t="n">
        <v>0.9318001800053559</v>
      </c>
      <c r="P549" t="n">
        <v>101.5831091730497</v>
      </c>
      <c r="Q549" t="n">
        <v>101.5679206585923</v>
      </c>
    </row>
    <row r="550">
      <c r="A550" s="117" t="n">
        <v>45210</v>
      </c>
      <c r="B550" s="118" t="n">
        <v>92.66705328766473</v>
      </c>
      <c r="C550" s="118" t="n">
        <v>93.27031703517197</v>
      </c>
      <c r="D550" s="118" t="n">
        <v>92.38427745122323</v>
      </c>
      <c r="E550" s="118" t="n">
        <v>92.98754119873047</v>
      </c>
      <c r="F550" s="119" t="n">
        <v>7642900</v>
      </c>
      <c r="G550" s="120" t="n">
        <v>0.01055120109292851</v>
      </c>
      <c r="H550" s="121" t="n">
        <v>58.45322385032679</v>
      </c>
      <c r="I550" s="118" t="n">
        <v>93.77605499267578</v>
      </c>
      <c r="J550" s="118" t="n">
        <v>106.4260398864746</v>
      </c>
      <c r="K550" s="120" t="n">
        <v>0.2882102989220831</v>
      </c>
      <c r="L550" s="120" t="n">
        <v>-0.1040831925170311</v>
      </c>
      <c r="M550" s="120" t="n">
        <v>-0.230966341827132</v>
      </c>
      <c r="N550" t="n">
        <v>58.61973619480315</v>
      </c>
      <c r="O550" t="n">
        <v>0.9803695664861398</v>
      </c>
      <c r="P550" t="n">
        <v>101.9992271072965</v>
      </c>
      <c r="Q550" t="n">
        <v>102.2926423540637</v>
      </c>
    </row>
    <row r="551">
      <c r="A551" s="117" t="n">
        <v>45211</v>
      </c>
      <c r="B551" s="118" t="n">
        <v>93.8264326416607</v>
      </c>
      <c r="C551" s="118" t="n">
        <v>94.30716079759813</v>
      </c>
      <c r="D551" s="118" t="n">
        <v>92.86497632978585</v>
      </c>
      <c r="E551" s="118" t="n">
        <v>93.55307769775391</v>
      </c>
      <c r="F551" s="119" t="n">
        <v>10705200</v>
      </c>
      <c r="G551" s="120" t="n">
        <v>0.006081852382942232</v>
      </c>
      <c r="H551" s="121" t="n">
        <v>58.80872772909156</v>
      </c>
      <c r="I551" s="118" t="n">
        <v>93.62711242675782</v>
      </c>
      <c r="J551" s="118" t="n">
        <v>106.3510893249512</v>
      </c>
      <c r="K551" s="120" t="n">
        <v>0.2865600972593467</v>
      </c>
      <c r="L551" s="120" t="n">
        <v>-0.09863435874652293</v>
      </c>
      <c r="M551" s="120" t="n">
        <v>-0.2262891926406105</v>
      </c>
      <c r="N551" t="n">
        <v>60.43916226858615</v>
      </c>
      <c r="O551" t="n">
        <v>1.007904712403087</v>
      </c>
      <c r="P551" t="n">
        <v>101.3774004668199</v>
      </c>
      <c r="Q551" t="n">
        <v>101.9371678319735</v>
      </c>
    </row>
    <row r="552">
      <c r="A552" s="117" t="n">
        <v>45212</v>
      </c>
      <c r="B552" s="118" t="n">
        <v>93.87357001478532</v>
      </c>
      <c r="C552" s="118" t="n">
        <v>95.06124852772456</v>
      </c>
      <c r="D552" s="118" t="n">
        <v>93.74160653462211</v>
      </c>
      <c r="E552" s="118" t="n">
        <v>94.17520904541016</v>
      </c>
      <c r="F552" s="119" t="n">
        <v>8774700</v>
      </c>
      <c r="G552" s="120" t="n">
        <v>0.006650036139550508</v>
      </c>
      <c r="H552" s="121" t="n">
        <v>59.19980789381101</v>
      </c>
      <c r="I552" s="118" t="n">
        <v>93.46938110351563</v>
      </c>
      <c r="J552" s="118" t="n">
        <v>106.2731336212158</v>
      </c>
      <c r="K552" s="120" t="n">
        <v>0.2842503114092291</v>
      </c>
      <c r="L552" s="120" t="n">
        <v>-0.09264024465723808</v>
      </c>
      <c r="M552" s="120" t="n">
        <v>-0.2211439878101097</v>
      </c>
      <c r="N552" t="n">
        <v>62.39782755022072</v>
      </c>
      <c r="O552" t="n">
        <v>1.022127098293059</v>
      </c>
      <c r="P552" t="n">
        <v>100.8724448845371</v>
      </c>
      <c r="Q552" t="n">
        <v>100.655815719875</v>
      </c>
    </row>
    <row r="553">
      <c r="A553" s="117" t="n">
        <v>45215</v>
      </c>
      <c r="B553" s="118" t="n">
        <v>93.99612007677489</v>
      </c>
      <c r="C553" s="118" t="n">
        <v>96.69195799794855</v>
      </c>
      <c r="D553" s="118" t="n">
        <v>93.88300543137589</v>
      </c>
      <c r="E553" s="118" t="n">
        <v>96.18295288085938</v>
      </c>
      <c r="F553" s="119" t="n">
        <v>10845400</v>
      </c>
      <c r="G553" s="120" t="n">
        <v>0.02131923948776282</v>
      </c>
      <c r="H553" s="121" t="n">
        <v>60.46190277592871</v>
      </c>
      <c r="I553" s="118" t="n">
        <v>93.34861022949218</v>
      </c>
      <c r="J553" s="118" t="n">
        <v>106.21726146698</v>
      </c>
      <c r="K553" s="120" t="n">
        <v>0.28966644007523</v>
      </c>
      <c r="L553" s="120" t="n">
        <v>-0.07329602473152796</v>
      </c>
      <c r="M553" s="120" t="n">
        <v>-0.2045393699597496</v>
      </c>
      <c r="N553" t="n">
        <v>67.91815653994396</v>
      </c>
      <c r="O553" t="n">
        <v>1.113356660654896</v>
      </c>
      <c r="P553" t="n">
        <v>101.9337813808715</v>
      </c>
      <c r="Q553" t="n">
        <v>101.7938792868123</v>
      </c>
    </row>
    <row r="554">
      <c r="A554" s="117" t="n">
        <v>45216</v>
      </c>
      <c r="B554" s="118" t="n">
        <v>96.11696944513572</v>
      </c>
      <c r="C554" s="118" t="n">
        <v>97.64397757807636</v>
      </c>
      <c r="D554" s="118" t="n">
        <v>96.11696944513572</v>
      </c>
      <c r="E554" s="118" t="n">
        <v>97.09727478027344</v>
      </c>
      <c r="F554" s="119" t="n">
        <v>9253800</v>
      </c>
      <c r="G554" s="120" t="n">
        <v>0.00950607017177596</v>
      </c>
      <c r="H554" s="121" t="n">
        <v>61.03665786643578</v>
      </c>
      <c r="I554" s="118" t="n">
        <v>93.21474822998047</v>
      </c>
      <c r="J554" s="118" t="n">
        <v>106.1548965072632</v>
      </c>
      <c r="K554" s="120" t="n">
        <v>0.2863348861760779</v>
      </c>
      <c r="L554" s="120" t="n">
        <v>-0.0644867117141622</v>
      </c>
      <c r="M554" s="120" t="n">
        <v>-0.1969776653917019</v>
      </c>
      <c r="N554" t="n">
        <v>70.07288422524456</v>
      </c>
      <c r="O554" t="n">
        <v>1.175753226380375</v>
      </c>
      <c r="P554" t="n">
        <v>101.9291029965493</v>
      </c>
      <c r="Q554" t="n">
        <v>101.4604563856785</v>
      </c>
    </row>
    <row r="555">
      <c r="A555" s="117" t="n">
        <v>45217</v>
      </c>
      <c r="B555" s="118" t="n">
        <v>97.05956080214311</v>
      </c>
      <c r="C555" s="118" t="n">
        <v>97.93617942986117</v>
      </c>
      <c r="D555" s="118" t="n">
        <v>97.02185592454049</v>
      </c>
      <c r="E555" s="118" t="n">
        <v>97.81363677978516</v>
      </c>
      <c r="F555" s="119" t="n">
        <v>8757300</v>
      </c>
      <c r="G555" s="120" t="n">
        <v>0.007377776576457107</v>
      </c>
      <c r="H555" s="121" t="n">
        <v>61.486972691148</v>
      </c>
      <c r="I555" s="118" t="n">
        <v>93.11005676269531</v>
      </c>
      <c r="J555" s="118" t="n">
        <v>106.0977006912231</v>
      </c>
      <c r="K555" s="120" t="n">
        <v>0.2837446693405334</v>
      </c>
      <c r="L555" s="120" t="n">
        <v>-0.05758470368888258</v>
      </c>
      <c r="M555" s="120" t="n">
        <v>-0.1910531460210569</v>
      </c>
      <c r="N555" t="n">
        <v>71.67789064256782</v>
      </c>
      <c r="O555" t="n">
        <v>1.201493779546703</v>
      </c>
      <c r="P555" t="n">
        <v>100.5708883329432</v>
      </c>
      <c r="Q555" t="n">
        <v>100.1294902623851</v>
      </c>
    </row>
    <row r="556">
      <c r="A556" s="117" t="n">
        <v>45218</v>
      </c>
      <c r="B556" s="118" t="n">
        <v>97.8136455312042</v>
      </c>
      <c r="C556" s="118" t="n">
        <v>98.36035551815131</v>
      </c>
      <c r="D556" s="118" t="n">
        <v>96.94645484316646</v>
      </c>
      <c r="E556" s="118" t="n">
        <v>97.13497924804688</v>
      </c>
      <c r="F556" s="119" t="n">
        <v>8391100</v>
      </c>
      <c r="G556" s="120" t="n">
        <v>-0.00693827112538703</v>
      </c>
      <c r="H556" s="121" t="n">
        <v>61.06035940393755</v>
      </c>
      <c r="I556" s="118" t="n">
        <v>92.99179214477539</v>
      </c>
      <c r="J556" s="118" t="n">
        <v>106.0289883041382</v>
      </c>
      <c r="K556" s="120" t="n">
        <v>0.2633014464537898</v>
      </c>
      <c r="L556" s="120" t="n">
        <v>-0.06412343652740105</v>
      </c>
      <c r="M556" s="120" t="n">
        <v>-0.1966658386199918</v>
      </c>
      <c r="N556" t="n">
        <v>67.95941973416924</v>
      </c>
      <c r="O556" t="n">
        <v>1.11114435702952</v>
      </c>
      <c r="P556" t="n">
        <v>99.68722713268083</v>
      </c>
      <c r="Q556" t="n">
        <v>99.19260822146953</v>
      </c>
    </row>
    <row r="557">
      <c r="A557" s="117" t="n">
        <v>45219</v>
      </c>
      <c r="B557" s="118" t="n">
        <v>97.38947853707404</v>
      </c>
      <c r="C557" s="118" t="n">
        <v>97.81364586442622</v>
      </c>
      <c r="D557" s="118" t="n">
        <v>96.68252819717326</v>
      </c>
      <c r="E557" s="118" t="n">
        <v>96.77678680419922</v>
      </c>
      <c r="F557" s="119" t="n">
        <v>7823500</v>
      </c>
      <c r="G557" s="120" t="n">
        <v>-0.003687574204684463</v>
      </c>
      <c r="H557" s="121" t="n">
        <v>60.83519479767082</v>
      </c>
      <c r="I557" s="118" t="n">
        <v>92.87876449584961</v>
      </c>
      <c r="J557" s="118" t="n">
        <v>105.9470003890991</v>
      </c>
      <c r="K557" s="120" t="n">
        <v>0.2606261406666308</v>
      </c>
      <c r="L557" s="120" t="n">
        <v>-0.06757455080163133</v>
      </c>
      <c r="M557" s="120" t="n">
        <v>-0.1996281929512385</v>
      </c>
      <c r="N557" t="n">
        <v>66.01290172819407</v>
      </c>
      <c r="O557" t="n">
        <v>0.9706870633074258</v>
      </c>
      <c r="P557" t="n">
        <v>98.46225787239612</v>
      </c>
      <c r="Q557" t="n">
        <v>97.71285132756124</v>
      </c>
    </row>
    <row r="558">
      <c r="A558" s="117" t="n">
        <v>45222</v>
      </c>
      <c r="B558" s="118" t="n">
        <v>96.26776867349119</v>
      </c>
      <c r="C558" s="118" t="n">
        <v>97.80421180690176</v>
      </c>
      <c r="D558" s="118" t="n">
        <v>95.92843198092626</v>
      </c>
      <c r="E558" s="118" t="n">
        <v>96.90873718261719</v>
      </c>
      <c r="F558" s="119" t="n">
        <v>5966100</v>
      </c>
      <c r="G558" s="120" t="n">
        <v>0.001363450707295488</v>
      </c>
      <c r="H558" s="121" t="n">
        <v>60.91814058704617</v>
      </c>
      <c r="I558" s="118" t="n">
        <v>92.78603744506836</v>
      </c>
      <c r="J558" s="118" t="n">
        <v>105.8684267044067</v>
      </c>
      <c r="K558" s="120" t="n">
        <v>0.2591443710190873</v>
      </c>
      <c r="L558" s="120" t="n">
        <v>-0.06630323466342147</v>
      </c>
      <c r="M558" s="120" t="n">
        <v>-0.1985369254448185</v>
      </c>
      <c r="N558" t="n">
        <v>66.39475344964185</v>
      </c>
      <c r="O558" t="n">
        <v>0.835253507783343</v>
      </c>
      <c r="P558" t="n">
        <v>98.29162966942773</v>
      </c>
      <c r="Q558" t="n">
        <v>98.00770738754917</v>
      </c>
    </row>
    <row r="559">
      <c r="A559" s="117" t="n">
        <v>45223</v>
      </c>
      <c r="B559" s="118" t="n">
        <v>97.70997345586598</v>
      </c>
      <c r="C559" s="118" t="n">
        <v>99.58574647898836</v>
      </c>
      <c r="D559" s="118" t="n">
        <v>97.70997345586598</v>
      </c>
      <c r="E559" s="118" t="n">
        <v>99.14272308349609</v>
      </c>
      <c r="F559" s="119" t="n">
        <v>9252200</v>
      </c>
      <c r="G559" s="120" t="n">
        <v>0.02305247148839773</v>
      </c>
      <c r="H559" s="121" t="n">
        <v>62.32245428605525</v>
      </c>
      <c r="I559" s="118" t="n">
        <v>92.7464453125</v>
      </c>
      <c r="J559" s="118" t="n">
        <v>105.7827689361572</v>
      </c>
      <c r="K559" s="120" t="n">
        <v>0.2619663590159082</v>
      </c>
      <c r="L559" s="120" t="n">
        <v>-0.04477921660169093</v>
      </c>
      <c r="M559" s="120" t="n">
        <v>-0.1800612207696316</v>
      </c>
      <c r="N559" t="n">
        <v>72.10834752016228</v>
      </c>
      <c r="O559" t="n">
        <v>0.842311669416262</v>
      </c>
      <c r="P559" t="n">
        <v>99.03268869772437</v>
      </c>
      <c r="Q559" t="n">
        <v>98.96115591162419</v>
      </c>
    </row>
    <row r="560">
      <c r="A560" s="117" t="n">
        <v>45224</v>
      </c>
      <c r="B560" s="118" t="n">
        <v>98.46405358174991</v>
      </c>
      <c r="C560" s="118" t="n">
        <v>99.0107636322095</v>
      </c>
      <c r="D560" s="118" t="n">
        <v>97.54972988840544</v>
      </c>
      <c r="E560" s="118" t="n">
        <v>97.59686279296875</v>
      </c>
      <c r="F560" s="119" t="n">
        <v>7054700</v>
      </c>
      <c r="G560" s="120" t="n">
        <v>-0.01559227185262457</v>
      </c>
      <c r="H560" s="121" t="n">
        <v>61.35070563630431</v>
      </c>
      <c r="I560" s="118" t="n">
        <v>92.696416015625</v>
      </c>
      <c r="J560" s="118" t="n">
        <v>105.6878879928589</v>
      </c>
      <c r="K560" s="120" t="n">
        <v>0.2690981053680221</v>
      </c>
      <c r="L560" s="120" t="n">
        <v>-0.05967327873571426</v>
      </c>
      <c r="M560" s="120" t="n">
        <v>-0.1928459291179007</v>
      </c>
      <c r="N560" t="n">
        <v>63.99959545161906</v>
      </c>
      <c r="O560" t="n">
        <v>0.6951701261416363</v>
      </c>
      <c r="P560" t="n">
        <v>97.61133798323399</v>
      </c>
      <c r="Q560" t="n">
        <v>96.53899766368997</v>
      </c>
    </row>
    <row r="561">
      <c r="A561" s="117" t="n">
        <v>45225</v>
      </c>
      <c r="B561" s="118" t="n">
        <v>96.31492850063752</v>
      </c>
      <c r="C561" s="118" t="n">
        <v>96.73909588922633</v>
      </c>
      <c r="D561" s="118" t="n">
        <v>94.21292602228793</v>
      </c>
      <c r="E561" s="118" t="n">
        <v>94.27890777587891</v>
      </c>
      <c r="F561" s="119" t="n">
        <v>11222600</v>
      </c>
      <c r="G561" s="120" t="n">
        <v>-0.03399653351694498</v>
      </c>
      <c r="H561" s="121" t="n">
        <v>59.26499431585147</v>
      </c>
      <c r="I561" s="118" t="n">
        <v>92.58040328979492</v>
      </c>
      <c r="J561" s="118" t="n">
        <v>105.571795463562</v>
      </c>
      <c r="K561" s="120" t="n">
        <v>0.3066185467329812</v>
      </c>
      <c r="L561" s="120" t="n">
        <v>-0.09164112763205445</v>
      </c>
      <c r="M561" s="120" t="n">
        <v>-0.2202863695419826</v>
      </c>
      <c r="N561" t="n">
        <v>50.79622393635552</v>
      </c>
      <c r="O561" t="n">
        <v>0.3444172191652934</v>
      </c>
      <c r="P561" t="n">
        <v>96.44247243904012</v>
      </c>
      <c r="Q561" t="n">
        <v>94.69825547840937</v>
      </c>
    </row>
    <row r="562">
      <c r="A562" s="117" t="n">
        <v>45226</v>
      </c>
      <c r="B562" s="118" t="n">
        <v>94.0526639023707</v>
      </c>
      <c r="C562" s="118" t="n">
        <v>94.58051780905458</v>
      </c>
      <c r="D562" s="118" t="n">
        <v>92.19574002018184</v>
      </c>
      <c r="E562" s="118" t="n">
        <v>92.35598754882812</v>
      </c>
      <c r="F562" s="119" t="n">
        <v>9602700</v>
      </c>
      <c r="G562" s="120" t="n">
        <v>-0.02039608086701616</v>
      </c>
      <c r="H562" s="121" t="n">
        <v>58.05622069920211</v>
      </c>
      <c r="I562" s="118" t="n">
        <v>92.45373977661133</v>
      </c>
      <c r="J562" s="118" t="n">
        <v>105.4362843704224</v>
      </c>
      <c r="K562" s="120" t="n">
        <v>0.2199443258841058</v>
      </c>
      <c r="L562" s="120" t="n">
        <v>-0.1101680886491427</v>
      </c>
      <c r="M562" s="120" t="n">
        <v>-0.236189471801919</v>
      </c>
      <c r="N562" t="n">
        <v>45.0017681903869</v>
      </c>
      <c r="O562" t="n">
        <v>-0.02732543426257106</v>
      </c>
      <c r="P562" t="n">
        <v>96.00532391280866</v>
      </c>
      <c r="Q562" t="n">
        <v>95.15291530374787</v>
      </c>
    </row>
    <row r="563">
      <c r="A563" s="117" t="n">
        <v>45229</v>
      </c>
      <c r="B563" s="118" t="n">
        <v>93.31744942903202</v>
      </c>
      <c r="C563" s="118" t="n">
        <v>96.19238382843407</v>
      </c>
      <c r="D563" s="118" t="n">
        <v>93.31744942903202</v>
      </c>
      <c r="E563" s="118" t="n">
        <v>95.95673370361328</v>
      </c>
      <c r="F563" s="119" t="n">
        <v>8206700</v>
      </c>
      <c r="G563" s="120" t="n">
        <v>0.03898768504729011</v>
      </c>
      <c r="H563" s="121" t="n">
        <v>60.31969834685857</v>
      </c>
      <c r="I563" s="118" t="n">
        <v>92.40360061645508</v>
      </c>
      <c r="J563" s="118" t="n">
        <v>105.3190104293823</v>
      </c>
      <c r="K563" s="120" t="n">
        <v>0.2519945422574241</v>
      </c>
      <c r="L563" s="120" t="n">
        <v>-0.07547560234436734</v>
      </c>
      <c r="M563" s="120" t="n">
        <v>-0.2064102674927278</v>
      </c>
      <c r="N563" t="n">
        <v>55.28732477141901</v>
      </c>
      <c r="O563" t="n">
        <v>-0.04016692556997947</v>
      </c>
      <c r="P563" t="n">
        <v>97.15315886501794</v>
      </c>
      <c r="Q563" t="n">
        <v>96.22484963930076</v>
      </c>
    </row>
    <row r="564">
      <c r="A564" s="117" t="n">
        <v>45230</v>
      </c>
      <c r="B564" s="118" t="n">
        <v>95.57968992112997</v>
      </c>
      <c r="C564" s="118" t="n">
        <v>97.02186750204038</v>
      </c>
      <c r="D564" s="118" t="n">
        <v>95.57968992112997</v>
      </c>
      <c r="E564" s="118" t="n">
        <v>96.87104797363281</v>
      </c>
      <c r="F564" s="119" t="n">
        <v>6558500</v>
      </c>
      <c r="G564" s="120" t="n">
        <v>0.009528401340166637</v>
      </c>
      <c r="H564" s="121" t="n">
        <v>60.89444864142521</v>
      </c>
      <c r="I564" s="118" t="n">
        <v>92.40838607788086</v>
      </c>
      <c r="J564" s="118" t="n">
        <v>105.2018262863159</v>
      </c>
      <c r="K564" s="120" t="n">
        <v>0.2527478392670209</v>
      </c>
      <c r="L564" s="120" t="n">
        <v>-0.05994439070582225</v>
      </c>
      <c r="M564" s="120" t="n">
        <v>-0.1988486260219631</v>
      </c>
      <c r="N564" t="n">
        <v>57.46271185389807</v>
      </c>
      <c r="O564" t="n">
        <v>0.001266792319925658</v>
      </c>
      <c r="P564" t="n">
        <v>97.76328216553397</v>
      </c>
      <c r="Q564" t="n">
        <v>96.68503732157799</v>
      </c>
    </row>
    <row r="565">
      <c r="A565" s="117" t="n">
        <v>45231</v>
      </c>
      <c r="B565" s="118" t="n">
        <v>96.66368691981683</v>
      </c>
      <c r="C565" s="118" t="n">
        <v>96.77679438051446</v>
      </c>
      <c r="D565" s="118" t="n">
        <v>94.23177583421935</v>
      </c>
      <c r="E565" s="118" t="n">
        <v>95.08953857421875</v>
      </c>
      <c r="F565" s="119" t="n">
        <v>7272400</v>
      </c>
      <c r="G565" s="120" t="n">
        <v>-0.01839052468905844</v>
      </c>
      <c r="H565" s="121" t="n">
        <v>59.77456778025848</v>
      </c>
      <c r="I565" s="118" t="n">
        <v>92.40384613037109</v>
      </c>
      <c r="J565" s="118" t="n">
        <v>105.0790492630005</v>
      </c>
      <c r="K565" s="120" t="n">
        <v>0.2642046881905775</v>
      </c>
      <c r="L565" s="120" t="n">
        <v>-0.07723250659763481</v>
      </c>
      <c r="M565" s="120" t="n">
        <v>-0.2135822201447792</v>
      </c>
      <c r="N565" t="n">
        <v>52.13976352087614</v>
      </c>
      <c r="O565" t="n">
        <v>-0.09749692003213029</v>
      </c>
      <c r="P565" t="n">
        <v>98.80592726204483</v>
      </c>
      <c r="Q565" t="n">
        <v>98.36315627815439</v>
      </c>
    </row>
    <row r="566">
      <c r="A566" s="117" t="n">
        <v>45232</v>
      </c>
      <c r="B566" s="118" t="n">
        <v>96.1923909692444</v>
      </c>
      <c r="C566" s="118" t="n">
        <v>99.49149296164317</v>
      </c>
      <c r="D566" s="118" t="n">
        <v>96.04157142625694</v>
      </c>
      <c r="E566" s="118" t="n">
        <v>99.04846954345703</v>
      </c>
      <c r="F566" s="119" t="n">
        <v>8135100</v>
      </c>
      <c r="G566" s="120" t="n">
        <v>0.04163371732157772</v>
      </c>
      <c r="H566" s="121" t="n">
        <v>62.26320523824125</v>
      </c>
      <c r="I566" s="118" t="n">
        <v>92.52940292358399</v>
      </c>
      <c r="J566" s="118" t="n">
        <v>104.9840501022339</v>
      </c>
      <c r="K566" s="120" t="n">
        <v>0.2975699419407739</v>
      </c>
      <c r="L566" s="120" t="n">
        <v>-0.03299580312488282</v>
      </c>
      <c r="M566" s="120" t="n">
        <v>-0.1808407246016243</v>
      </c>
      <c r="N566" t="n">
        <v>60.82447594108285</v>
      </c>
      <c r="O566" t="n">
        <v>0.087607400230864</v>
      </c>
      <c r="P566" t="n">
        <v>100.6994627310975</v>
      </c>
      <c r="Q566" t="n">
        <v>100.148773682958</v>
      </c>
    </row>
    <row r="567">
      <c r="A567" s="117" t="n">
        <v>45233</v>
      </c>
      <c r="B567" s="118" t="n">
        <v>100.3209592682246</v>
      </c>
      <c r="C567" s="118" t="n">
        <v>101.4709328886173</v>
      </c>
      <c r="D567" s="118" t="n">
        <v>99.96277371083596</v>
      </c>
      <c r="E567" s="118" t="n">
        <v>100.914794921875</v>
      </c>
      <c r="F567" s="119" t="n">
        <v>7568000</v>
      </c>
      <c r="G567" s="120" t="n">
        <v>0.01884254635150251</v>
      </c>
      <c r="H567" s="121" t="n">
        <v>63.43640256893593</v>
      </c>
      <c r="I567" s="118" t="n">
        <v>92.71332992553711</v>
      </c>
      <c r="J567" s="118" t="n">
        <v>104.9072526931763</v>
      </c>
      <c r="K567" s="120" t="n">
        <v>0.3001267116723235</v>
      </c>
      <c r="L567" s="120" t="n">
        <v>-0.006207043605281792</v>
      </c>
      <c r="M567" s="120" t="n">
        <v>-0.1654056779856672</v>
      </c>
      <c r="N567" t="n">
        <v>64.12906468086732</v>
      </c>
      <c r="O567" t="n">
        <v>0.3071863544765265</v>
      </c>
      <c r="P567" t="n">
        <v>101.6181970554661</v>
      </c>
      <c r="Q567" t="n">
        <v>101.3254126348695</v>
      </c>
    </row>
    <row r="568">
      <c r="A568" s="117" t="n">
        <v>45236</v>
      </c>
      <c r="B568" s="118" t="n">
        <v>100.8205475827184</v>
      </c>
      <c r="C568" s="118" t="n">
        <v>101.4238113212119</v>
      </c>
      <c r="D568" s="118" t="n">
        <v>100.2644167453298</v>
      </c>
      <c r="E568" s="118" t="n">
        <v>101.0939025878906</v>
      </c>
      <c r="F568" s="119" t="n">
        <v>5231900</v>
      </c>
      <c r="G568" s="120" t="n">
        <v>0.001774840509305653</v>
      </c>
      <c r="H568" s="121" t="n">
        <v>63.5489920659799</v>
      </c>
      <c r="I568" s="118" t="n">
        <v>92.87810440063477</v>
      </c>
      <c r="J568" s="118" t="n">
        <v>104.8215936660767</v>
      </c>
      <c r="K568" s="120" t="n">
        <v>0.299125589774812</v>
      </c>
      <c r="L568" s="120" t="n">
        <v>-0.0002811161897126047</v>
      </c>
      <c r="M568" s="120" t="n">
        <v>-0.1639244061741196</v>
      </c>
      <c r="N568" t="n">
        <v>64.43908278369238</v>
      </c>
      <c r="O568" t="n">
        <v>0.42848821720272</v>
      </c>
      <c r="P568" t="n">
        <v>101.8519613093188</v>
      </c>
      <c r="Q568" t="n">
        <v>101.7387545063353</v>
      </c>
    </row>
    <row r="569">
      <c r="A569" s="117" t="n">
        <v>45237</v>
      </c>
      <c r="B569" s="118" t="n">
        <v>101.1598807646674</v>
      </c>
      <c r="C569" s="118" t="n">
        <v>103.0827865600586</v>
      </c>
      <c r="D569" s="118" t="n">
        <v>101.0750501754374</v>
      </c>
      <c r="E569" s="118" t="n">
        <v>103.0827865600586</v>
      </c>
      <c r="F569" s="119" t="n">
        <v>7745800</v>
      </c>
      <c r="G569" s="120" t="n">
        <v>0.01967362938075157</v>
      </c>
      <c r="H569" s="121" t="n">
        <v>64.79923138340629</v>
      </c>
      <c r="I569" s="118" t="n">
        <v>93.06781311035157</v>
      </c>
      <c r="J569" s="118" t="n">
        <v>104.7380826568604</v>
      </c>
      <c r="K569" s="120" t="n">
        <v>0.3034119283617083</v>
      </c>
      <c r="L569" s="120" t="n">
        <v>0</v>
      </c>
      <c r="M569" s="120" t="n">
        <v>-0.1474757648068974</v>
      </c>
      <c r="N569" t="n">
        <v>67.77014442595147</v>
      </c>
      <c r="O569" t="n">
        <v>0.5963521433921815</v>
      </c>
      <c r="P569" t="n">
        <v>102.1418366584174</v>
      </c>
      <c r="Q569" t="n">
        <v>102.7004649124191</v>
      </c>
    </row>
    <row r="570">
      <c r="A570" s="117" t="n">
        <v>45238</v>
      </c>
      <c r="B570" s="118" t="n">
        <v>103.0922198797225</v>
      </c>
      <c r="C570" s="118" t="n">
        <v>104.3458730865712</v>
      </c>
      <c r="D570" s="118" t="n">
        <v>102.6491964914838</v>
      </c>
      <c r="E570" s="118" t="n">
        <v>103.1110687255859</v>
      </c>
      <c r="F570" s="119" t="n">
        <v>8639700</v>
      </c>
      <c r="G570" s="120" t="n">
        <v>0.0002743636107553904</v>
      </c>
      <c r="H570" s="121" t="n">
        <v>64.81700993450282</v>
      </c>
      <c r="I570" s="118" t="n">
        <v>93.21787902832031</v>
      </c>
      <c r="J570" s="118" t="n">
        <v>104.661528968811</v>
      </c>
      <c r="K570" s="120" t="n">
        <v>0.3035005853619492</v>
      </c>
      <c r="L570" s="120" t="n">
        <v>0</v>
      </c>
      <c r="M570" s="120" t="n">
        <v>-0.1472418631794733</v>
      </c>
      <c r="N570" t="n">
        <v>67.81631161419361</v>
      </c>
      <c r="O570" t="n">
        <v>0.6581203303696044</v>
      </c>
      <c r="P570" t="n">
        <v>102.2166391534868</v>
      </c>
      <c r="Q570" t="n">
        <v>102.7666026876319</v>
      </c>
    </row>
    <row r="571">
      <c r="A571" s="117" t="n">
        <v>45239</v>
      </c>
      <c r="B571" s="118" t="n">
        <v>103.5163631093869</v>
      </c>
      <c r="C571" s="118" t="n">
        <v>103.5917728582112</v>
      </c>
      <c r="D571" s="118" t="n">
        <v>100.782820841996</v>
      </c>
      <c r="E571" s="118" t="n">
        <v>100.8582305908203</v>
      </c>
      <c r="F571" s="119" t="n">
        <v>9154200</v>
      </c>
      <c r="G571" s="120" t="n">
        <v>-0.02184865468479624</v>
      </c>
      <c r="H571" s="121" t="n">
        <v>63.40084546674286</v>
      </c>
      <c r="I571" s="118" t="n">
        <v>93.31668807983398</v>
      </c>
      <c r="J571" s="118" t="n">
        <v>104.5737577819824</v>
      </c>
      <c r="K571" s="120" t="n">
        <v>0.3184371346230443</v>
      </c>
      <c r="L571" s="120" t="n">
        <v>-0.02184865468479624</v>
      </c>
      <c r="M571" s="120" t="n">
        <v>-0.1658734812405153</v>
      </c>
      <c r="N571" t="n">
        <v>60.39503962173448</v>
      </c>
      <c r="O571" t="n">
        <v>0.5030760151877689</v>
      </c>
      <c r="P571" t="n">
        <v>101.4194911674095</v>
      </c>
      <c r="Q571" t="n">
        <v>101.975751760776</v>
      </c>
    </row>
    <row r="572">
      <c r="A572" s="117" t="n">
        <v>45240</v>
      </c>
      <c r="B572" s="118" t="n">
        <v>101.1787273953372</v>
      </c>
      <c r="C572" s="118" t="n">
        <v>101.6406067870507</v>
      </c>
      <c r="D572" s="118" t="n">
        <v>99.54803266752324</v>
      </c>
      <c r="E572" s="118" t="n">
        <v>100.0193328857422</v>
      </c>
      <c r="F572" s="119" t="n">
        <v>8897700</v>
      </c>
      <c r="G572" s="120" t="n">
        <v>-0.008317592923888562</v>
      </c>
      <c r="H572" s="121" t="n">
        <v>62.87350304312012</v>
      </c>
      <c r="I572" s="118" t="n">
        <v>93.40604705810547</v>
      </c>
      <c r="J572" s="118" t="n">
        <v>104.4784775161743</v>
      </c>
      <c r="K572" s="120" t="n">
        <v>0.3211785180191053</v>
      </c>
      <c r="L572" s="120" t="n">
        <v>-0.02998451939308211</v>
      </c>
      <c r="M572" s="120" t="n">
        <v>-0.172811406070577</v>
      </c>
      <c r="N572" t="n">
        <v>57.85607386905198</v>
      </c>
      <c r="O572" t="n">
        <v>0.309353266208674</v>
      </c>
      <c r="P572" t="n">
        <v>103.0021059370688</v>
      </c>
      <c r="Q572" t="n">
        <v>104.2683941148399</v>
      </c>
    </row>
    <row r="573">
      <c r="A573" s="117" t="n">
        <v>45243</v>
      </c>
      <c r="B573" s="118" t="n">
        <v>99.32181932574233</v>
      </c>
      <c r="C573" s="118" t="n">
        <v>99.65172806926344</v>
      </c>
      <c r="D573" s="118" t="n">
        <v>98.20012240629931</v>
      </c>
      <c r="E573" s="118" t="n">
        <v>98.21897125244141</v>
      </c>
      <c r="F573" s="119" t="n">
        <v>7055600</v>
      </c>
      <c r="G573" s="120" t="n">
        <v>-0.01800013638720666</v>
      </c>
      <c r="H573" s="121" t="n">
        <v>61.74177141320251</v>
      </c>
      <c r="I573" s="118" t="n">
        <v>93.44073486328125</v>
      </c>
      <c r="J573" s="118" t="n">
        <v>104.3741954421997</v>
      </c>
      <c r="K573" s="120" t="n">
        <v>0.3220958975225377</v>
      </c>
      <c r="L573" s="120" t="n">
        <v>-0.04744493034170838</v>
      </c>
      <c r="M573" s="120" t="n">
        <v>-0.1877009135792482</v>
      </c>
      <c r="N573" t="n">
        <v>52.73253916132426</v>
      </c>
      <c r="O573" t="n">
        <v>0.03947943045085323</v>
      </c>
      <c r="P573" t="n">
        <v>102.9039188995435</v>
      </c>
      <c r="Q573" t="n">
        <v>103.9432245518866</v>
      </c>
    </row>
    <row r="574">
      <c r="A574" s="117" t="n">
        <v>45244</v>
      </c>
      <c r="B574" s="118" t="n">
        <v>99.50090391352227</v>
      </c>
      <c r="C574" s="118" t="n">
        <v>100.9525095090753</v>
      </c>
      <c r="D574" s="118" t="n">
        <v>99.3312355402376</v>
      </c>
      <c r="E574" s="118" t="n">
        <v>99.68000030517578</v>
      </c>
      <c r="F574" s="119" t="n">
        <v>9674800</v>
      </c>
      <c r="G574" s="120" t="n">
        <v>0.01487522251662821</v>
      </c>
      <c r="H574" s="121" t="n">
        <v>62.6601940015447</v>
      </c>
      <c r="I574" s="118" t="n">
        <v>93.54310150146485</v>
      </c>
      <c r="J574" s="118" t="n">
        <v>104.2826340484619</v>
      </c>
      <c r="K574" s="120" t="n">
        <v>0.3244779590361204</v>
      </c>
      <c r="L574" s="120" t="n">
        <v>-0.03327546172119888</v>
      </c>
      <c r="M574" s="120" t="n">
        <v>-0.1756177839186858</v>
      </c>
      <c r="N574" t="n">
        <v>56.12795077698286</v>
      </c>
      <c r="O574" t="n">
        <v>-0.05593284602080129</v>
      </c>
      <c r="P574" t="n">
        <v>104.9003566862191</v>
      </c>
      <c r="Q574" t="n">
        <v>106.1807506693019</v>
      </c>
    </row>
    <row r="575">
      <c r="A575" s="117" t="n">
        <v>45245</v>
      </c>
      <c r="B575" s="118" t="n">
        <v>100.6885944807502</v>
      </c>
      <c r="C575" s="118" t="n">
        <v>102.8000177833826</v>
      </c>
      <c r="D575" s="118" t="n">
        <v>100.5943358602837</v>
      </c>
      <c r="E575" s="118" t="n">
        <v>101.6311950683594</v>
      </c>
      <c r="F575" s="119" t="n">
        <v>11140800</v>
      </c>
      <c r="G575" s="120" t="n">
        <v>0.01957458624809294</v>
      </c>
      <c r="H575" s="121" t="n">
        <v>63.88674137335018</v>
      </c>
      <c r="I575" s="118" t="n">
        <v>93.68713119506836</v>
      </c>
      <c r="J575" s="118" t="n">
        <v>104.1963467407227</v>
      </c>
      <c r="K575" s="120" t="n">
        <v>0.3302400979668651</v>
      </c>
      <c r="L575" s="120" t="n">
        <v>-0.01435222886851273</v>
      </c>
      <c r="M575" s="120" t="n">
        <v>-0.1594808431286081</v>
      </c>
      <c r="N575" t="n">
        <v>60.23609462095637</v>
      </c>
      <c r="O575" t="n">
        <v>-0.00558561502545496</v>
      </c>
      <c r="P575" t="n">
        <v>105.1224176001112</v>
      </c>
      <c r="Q575" t="n">
        <v>106.2606610958055</v>
      </c>
    </row>
    <row r="576">
      <c r="A576" s="117" t="n">
        <v>45246</v>
      </c>
      <c r="B576" s="118" t="n">
        <v>100.952506924546</v>
      </c>
      <c r="C576" s="118" t="n">
        <v>101.8008487692506</v>
      </c>
      <c r="D576" s="118" t="n">
        <v>100.8582483176834</v>
      </c>
      <c r="E576" s="118" t="n">
        <v>101.433235168457</v>
      </c>
      <c r="F576" s="119" t="n">
        <v>5386800</v>
      </c>
      <c r="G576" s="120" t="n">
        <v>-0.001947826154845345</v>
      </c>
      <c r="H576" s="121" t="n">
        <v>63.76230110755532</v>
      </c>
      <c r="I576" s="118" t="n">
        <v>93.86961883544922</v>
      </c>
      <c r="J576" s="118" t="n">
        <v>104.0989389801025</v>
      </c>
      <c r="K576" s="120" t="n">
        <v>0.3288968147697976</v>
      </c>
      <c r="L576" s="120" t="n">
        <v>-0.01627209937658769</v>
      </c>
      <c r="M576" s="120" t="n">
        <v>-0.1611180283260107</v>
      </c>
      <c r="N576" t="n">
        <v>59.62605911241836</v>
      </c>
      <c r="O576" t="n">
        <v>-0.003659732658822579</v>
      </c>
      <c r="P576" t="n">
        <v>105.2509993774206</v>
      </c>
      <c r="Q576" t="n">
        <v>106.3516186923583</v>
      </c>
    </row>
    <row r="577">
      <c r="A577" s="117" t="n">
        <v>45247</v>
      </c>
      <c r="B577" s="118" t="n">
        <v>101.8573967145549</v>
      </c>
      <c r="C577" s="118" t="n">
        <v>101.99878821256</v>
      </c>
      <c r="D577" s="118" t="n">
        <v>99.46319084047168</v>
      </c>
      <c r="E577" s="118" t="n">
        <v>99.87793731689453</v>
      </c>
      <c r="F577" s="119" t="n">
        <v>6352600</v>
      </c>
      <c r="G577" s="120" t="n">
        <v>-0.01533321745066607</v>
      </c>
      <c r="H577" s="121" t="n">
        <v>62.78461987951833</v>
      </c>
      <c r="I577" s="118" t="n">
        <v>94.02590194702148</v>
      </c>
      <c r="J577" s="118" t="n">
        <v>103.9958088684082</v>
      </c>
      <c r="K577" s="120" t="n">
        <v>0.3342951967216745</v>
      </c>
      <c r="L577" s="120" t="n">
        <v>-0.03135581318913361</v>
      </c>
      <c r="M577" s="120" t="n">
        <v>-0.1739807880131315</v>
      </c>
      <c r="N577" t="n">
        <v>54.92007497053591</v>
      </c>
      <c r="O577" t="n">
        <v>-0.118798167286267</v>
      </c>
      <c r="P577" t="n">
        <v>105.381920346891</v>
      </c>
      <c r="Q577" t="n">
        <v>106.3763957945566</v>
      </c>
    </row>
    <row r="578">
      <c r="A578" s="117" t="n">
        <v>45250</v>
      </c>
      <c r="B578" s="118" t="n">
        <v>99.91565328305434</v>
      </c>
      <c r="C578" s="118" t="n">
        <v>100.4340864361115</v>
      </c>
      <c r="D578" s="118" t="n">
        <v>99.06731139235683</v>
      </c>
      <c r="E578" s="118" t="n">
        <v>100.21728515625</v>
      </c>
      <c r="F578" s="119" t="n">
        <v>6197400</v>
      </c>
      <c r="G578" s="120" t="n">
        <v>0.003397625626556433</v>
      </c>
      <c r="H578" s="121" t="n">
        <v>62.99793851297459</v>
      </c>
      <c r="I578" s="118" t="n">
        <v>94.2055616760254</v>
      </c>
      <c r="J578" s="118" t="n">
        <v>103.9011449432373</v>
      </c>
      <c r="K578" s="120" t="n">
        <v>0.3343389186857811</v>
      </c>
      <c r="L578" s="120" t="n">
        <v>-0.02806472287701001</v>
      </c>
      <c r="M578" s="120" t="n">
        <v>-0.1711742839704571</v>
      </c>
      <c r="N578" t="n">
        <v>55.74086760206775</v>
      </c>
      <c r="O578" t="n">
        <v>-0.1800918740822643</v>
      </c>
      <c r="P578" t="n">
        <v>106.1931034859349</v>
      </c>
      <c r="Q578" t="n">
        <v>107.6715205579459</v>
      </c>
    </row>
    <row r="579">
      <c r="A579" s="117" t="n">
        <v>45251</v>
      </c>
      <c r="B579" s="118" t="n">
        <v>100.0758816512188</v>
      </c>
      <c r="C579" s="118" t="n">
        <v>100.5754587071381</v>
      </c>
      <c r="D579" s="118" t="n">
        <v>99.30294961930254</v>
      </c>
      <c r="E579" s="118" t="n">
        <v>100.4340744018555</v>
      </c>
      <c r="F579" s="119" t="n">
        <v>5803500</v>
      </c>
      <c r="G579" s="120" t="n">
        <v>0.002163192160588467</v>
      </c>
      <c r="H579" s="121" t="n">
        <v>63.13421515969909</v>
      </c>
      <c r="I579" s="118" t="n">
        <v>94.39879486083984</v>
      </c>
      <c r="J579" s="118" t="n">
        <v>103.8163416671753</v>
      </c>
      <c r="K579" s="120" t="n">
        <v>0.3248907553734655</v>
      </c>
      <c r="L579" s="120" t="n">
        <v>-0.02596224010493831</v>
      </c>
      <c r="M579" s="120" t="n">
        <v>-0.1693813746790478</v>
      </c>
      <c r="N579" t="n">
        <v>56.28841802333422</v>
      </c>
      <c r="O579" t="n">
        <v>-0.2118345685499656</v>
      </c>
      <c r="P579" t="n">
        <v>105.961656286778</v>
      </c>
      <c r="Q579" t="n">
        <v>107.046018341036</v>
      </c>
    </row>
    <row r="580">
      <c r="A580" s="117" t="n">
        <v>45252</v>
      </c>
      <c r="B580" s="118" t="n">
        <v>101.329542907922</v>
      </c>
      <c r="C580" s="118" t="n">
        <v>101.8291199688328</v>
      </c>
      <c r="D580" s="118" t="n">
        <v>100.6885743488456</v>
      </c>
      <c r="E580" s="118" t="n">
        <v>101.7254333496094</v>
      </c>
      <c r="F580" s="119" t="n">
        <v>6280300</v>
      </c>
      <c r="G580" s="120" t="n">
        <v>0.01285777715824743</v>
      </c>
      <c r="H580" s="121" t="n">
        <v>63.94598082928334</v>
      </c>
      <c r="I580" s="118" t="n">
        <v>94.62106018066406</v>
      </c>
      <c r="J580" s="118" t="n">
        <v>103.7398625946045</v>
      </c>
      <c r="K580" s="120" t="n">
        <v>0.3214772146806288</v>
      </c>
      <c r="L580" s="120" t="n">
        <v>-0.01343827964448907</v>
      </c>
      <c r="M580" s="120" t="n">
        <v>-0.1587014654911811</v>
      </c>
      <c r="N580" t="n">
        <v>59.5024068287706</v>
      </c>
      <c r="O580" t="n">
        <v>-0.1543319146604216</v>
      </c>
      <c r="P580" t="n">
        <v>106.3707566445416</v>
      </c>
      <c r="Q580" t="n">
        <v>107.4841544023568</v>
      </c>
    </row>
    <row r="581">
      <c r="A581" s="117" t="n">
        <v>45254</v>
      </c>
      <c r="B581" s="118" t="n">
        <v>101.3295386002428</v>
      </c>
      <c r="C581" s="118" t="n">
        <v>101.8008387797788</v>
      </c>
      <c r="D581" s="118" t="n">
        <v>101.2352800026296</v>
      </c>
      <c r="E581" s="118" t="n">
        <v>101.4615020751953</v>
      </c>
      <c r="F581" s="119" t="n">
        <v>2443600</v>
      </c>
      <c r="G581" s="120" t="n">
        <v>-0.002594545589272523</v>
      </c>
      <c r="H581" s="121" t="n">
        <v>63.78007006677102</v>
      </c>
      <c r="I581" s="118" t="n">
        <v>94.81806365966797</v>
      </c>
      <c r="J581" s="118" t="n">
        <v>103.6733617019653</v>
      </c>
      <c r="K581" s="120" t="n">
        <v>0.2925148931062486</v>
      </c>
      <c r="L581" s="120" t="n">
        <v>-0.01599795900458256</v>
      </c>
      <c r="M581" s="120" t="n">
        <v>-0.1608842528931523</v>
      </c>
      <c r="N581" t="n">
        <v>58.55477698693101</v>
      </c>
      <c r="O581" t="n">
        <v>-0.1428096244113624</v>
      </c>
      <c r="P581" t="n">
        <v>106.4362171292768</v>
      </c>
      <c r="Q581" t="n">
        <v>107.3325783437017</v>
      </c>
    </row>
    <row r="582">
      <c r="A582" s="117" t="n">
        <v>45257</v>
      </c>
      <c r="B582" s="118" t="n">
        <v>101.4803620136645</v>
      </c>
      <c r="C582" s="118" t="n">
        <v>102.0082159337816</v>
      </c>
      <c r="D582" s="118" t="n">
        <v>100.7639836995983</v>
      </c>
      <c r="E582" s="118" t="n">
        <v>101.7631378173828</v>
      </c>
      <c r="F582" s="119" t="n">
        <v>5785000</v>
      </c>
      <c r="G582" s="120" t="n">
        <v>0.002972908305299393</v>
      </c>
      <c r="H582" s="121" t="n">
        <v>63.96968236678511</v>
      </c>
      <c r="I582" s="118" t="n">
        <v>95.03863189697266</v>
      </c>
      <c r="J582" s="118" t="n">
        <v>103.6117770385742</v>
      </c>
      <c r="K582" s="120" t="n">
        <v>0.2782508893795431</v>
      </c>
      <c r="L582" s="120" t="n">
        <v>-0.01307261116447567</v>
      </c>
      <c r="M582" s="120" t="n">
        <v>-0.158389638719471</v>
      </c>
      <c r="N582" t="n">
        <v>59.35153236609078</v>
      </c>
      <c r="O582" t="n">
        <v>-0.1242922950457277</v>
      </c>
      <c r="P582" t="n">
        <v>106.2445288177035</v>
      </c>
      <c r="Q582" t="n">
        <v>107.2389038097355</v>
      </c>
    </row>
    <row r="583">
      <c r="A583" s="117" t="n">
        <v>45258</v>
      </c>
      <c r="B583" s="118" t="n">
        <v>102.3381288753598</v>
      </c>
      <c r="C583" s="118" t="n">
        <v>103.5917891790673</v>
      </c>
      <c r="D583" s="118" t="n">
        <v>101.9422384188639</v>
      </c>
      <c r="E583" s="118" t="n">
        <v>102.5077972412109</v>
      </c>
      <c r="F583" s="119" t="n">
        <v>7287400</v>
      </c>
      <c r="G583" s="120" t="n">
        <v>0.007317575300836765</v>
      </c>
      <c r="H583" s="121" t="n">
        <v>64.43778533447467</v>
      </c>
      <c r="I583" s="118" t="n">
        <v>95.2882325744629</v>
      </c>
      <c r="J583" s="118" t="n">
        <v>103.5536822891235</v>
      </c>
      <c r="K583" s="120" t="n">
        <v>0.2480196645965024</v>
      </c>
      <c r="L583" s="120" t="n">
        <v>-0.005850695680213569</v>
      </c>
      <c r="M583" s="120" t="n">
        <v>-0.1522310915268362</v>
      </c>
      <c r="N583" t="n">
        <v>61.3280736976812</v>
      </c>
      <c r="O583" t="n">
        <v>-0.07380529602167551</v>
      </c>
      <c r="P583" t="n">
        <v>106.3497186734019</v>
      </c>
      <c r="Q583" t="n">
        <v>107.5199615869475</v>
      </c>
    </row>
    <row r="584">
      <c r="A584" s="117" t="n">
        <v>45259</v>
      </c>
      <c r="B584" s="118" t="n">
        <v>104.4401237441118</v>
      </c>
      <c r="C584" s="118" t="n">
        <v>105.7126328037524</v>
      </c>
      <c r="D584" s="118" t="n">
        <v>103.8274320660714</v>
      </c>
      <c r="E584" s="118" t="n">
        <v>104.0348052978516</v>
      </c>
      <c r="F584" s="119" t="n">
        <v>9601800</v>
      </c>
      <c r="G584" s="120" t="n">
        <v>0.01489650639011808</v>
      </c>
      <c r="H584" s="121" t="n">
        <v>65.39768321547473</v>
      </c>
      <c r="I584" s="118" t="n">
        <v>95.58515167236328</v>
      </c>
      <c r="J584" s="118" t="n">
        <v>103.4895904922485</v>
      </c>
      <c r="K584" s="120" t="n">
        <v>0.2504920580160667</v>
      </c>
      <c r="L584" s="120" t="n">
        <v>0</v>
      </c>
      <c r="M584" s="120" t="n">
        <v>-0.1396022965644224</v>
      </c>
      <c r="N584" t="n">
        <v>65.07805005400485</v>
      </c>
      <c r="O584" t="n">
        <v>0.04416893991014992</v>
      </c>
      <c r="P584" t="n">
        <v>106.2749087991774</v>
      </c>
      <c r="Q584" t="n">
        <v>107.4152398829322</v>
      </c>
    </row>
    <row r="585">
      <c r="A585" s="117" t="n">
        <v>45260</v>
      </c>
      <c r="B585" s="118" t="n">
        <v>104.1856298962066</v>
      </c>
      <c r="C585" s="118" t="n">
        <v>104.251611642143</v>
      </c>
      <c r="D585" s="118" t="n">
        <v>102.7057474303728</v>
      </c>
      <c r="E585" s="118" t="n">
        <v>103.9405517578125</v>
      </c>
      <c r="F585" s="119" t="n">
        <v>8690900</v>
      </c>
      <c r="G585" s="120" t="n">
        <v>-0.0009059808375592171</v>
      </c>
      <c r="H585" s="121" t="n">
        <v>65.33843416766074</v>
      </c>
      <c r="I585" s="118" t="n">
        <v>95.89111984252929</v>
      </c>
      <c r="J585" s="118" t="n">
        <v>103.42012550354</v>
      </c>
      <c r="K585" s="120" t="n">
        <v>0.2373957431584323</v>
      </c>
      <c r="L585" s="120" t="n">
        <v>-0.0009059808375593281</v>
      </c>
      <c r="M585" s="120" t="n">
        <v>-0.140381800396415</v>
      </c>
      <c r="N585" t="n">
        <v>64.66125946018863</v>
      </c>
      <c r="O585" t="n">
        <v>0.09469266661409326</v>
      </c>
      <c r="P585" t="n">
        <v>106.6933733047404</v>
      </c>
      <c r="Q585" t="n">
        <v>107.1452121881127</v>
      </c>
    </row>
    <row r="586">
      <c r="A586" s="117" t="n">
        <v>45261</v>
      </c>
      <c r="B586" s="118" t="n">
        <v>104.347227046508</v>
      </c>
      <c r="C586" s="118" t="n">
        <v>107.3926198942417</v>
      </c>
      <c r="D586" s="118" t="n">
        <v>103.7986765004369</v>
      </c>
      <c r="E586" s="118" t="n">
        <v>107.326416015625</v>
      </c>
      <c r="F586" s="119" t="n">
        <v>8051800</v>
      </c>
      <c r="G586" s="120" t="n">
        <v>0.03257500754567633</v>
      </c>
      <c r="H586" s="121" t="n">
        <v>67.46683415369496</v>
      </c>
      <c r="I586" s="118" t="n">
        <v>96.3109928894043</v>
      </c>
      <c r="J586" s="118" t="n">
        <v>103.361614074707</v>
      </c>
      <c r="K586" s="120" t="n">
        <v>0.2201894152405068</v>
      </c>
      <c r="L586" s="120" t="n">
        <v>0</v>
      </c>
      <c r="M586" s="120" t="n">
        <v>-0.1123797310579275</v>
      </c>
      <c r="N586" t="n">
        <v>71.6783681859377</v>
      </c>
      <c r="O586" t="n">
        <v>0.3221683475547701</v>
      </c>
      <c r="P586" t="n">
        <v>107.3245567138614</v>
      </c>
      <c r="Q586" t="n">
        <v>107.451072699008</v>
      </c>
    </row>
    <row r="587">
      <c r="A587" s="117" t="n">
        <v>45264</v>
      </c>
      <c r="B587" s="118" t="n">
        <v>106.9481018164323</v>
      </c>
      <c r="C587" s="118" t="n">
        <v>109.0666330838878</v>
      </c>
      <c r="D587" s="118" t="n">
        <v>106.8724381815314</v>
      </c>
      <c r="E587" s="118" t="n">
        <v>108.9058532714844</v>
      </c>
      <c r="F587" s="119" t="n">
        <v>10086600</v>
      </c>
      <c r="G587" s="120" t="n">
        <v>0.01471620235254512</v>
      </c>
      <c r="H587" s="121" t="n">
        <v>68.45968973718635</v>
      </c>
      <c r="I587" s="118" t="n">
        <v>96.77640487670898</v>
      </c>
      <c r="J587" s="118" t="n">
        <v>103.3254722595215</v>
      </c>
      <c r="K587" s="120" t="n">
        <v>0.2169921680046499</v>
      </c>
      <c r="L587" s="120" t="n">
        <v>0</v>
      </c>
      <c r="M587" s="120" t="n">
        <v>-0.09931733156795552</v>
      </c>
      <c r="N587" t="n">
        <v>74.2472722911055</v>
      </c>
      <c r="O587" t="n">
        <v>0.5326131962475229</v>
      </c>
      <c r="P587" t="n">
        <v>106.7611729816368</v>
      </c>
      <c r="Q587" t="n">
        <v>106.4535551083334</v>
      </c>
    </row>
    <row r="588">
      <c r="A588" s="117" t="n">
        <v>45265</v>
      </c>
      <c r="B588" s="118" t="n">
        <v>108.4424411055747</v>
      </c>
      <c r="C588" s="118" t="n">
        <v>109.7476065172263</v>
      </c>
      <c r="D588" s="118" t="n">
        <v>108.3856897637238</v>
      </c>
      <c r="E588" s="118" t="n">
        <v>109.1517715454102</v>
      </c>
      <c r="F588" s="119" t="n">
        <v>6960000</v>
      </c>
      <c r="G588" s="120" t="n">
        <v>0.00225808132931804</v>
      </c>
      <c r="H588" s="121" t="n">
        <v>68.61427728439278</v>
      </c>
      <c r="I588" s="118" t="n">
        <v>97.25144836425781</v>
      </c>
      <c r="J588" s="118" t="n">
        <v>103.2884125518799</v>
      </c>
      <c r="K588" s="120" t="n">
        <v>0.2169359903751662</v>
      </c>
      <c r="L588" s="120" t="n">
        <v>0</v>
      </c>
      <c r="M588" s="120" t="n">
        <v>-0.09728351685072878</v>
      </c>
      <c r="N588" t="n">
        <v>74.63307961990955</v>
      </c>
      <c r="O588" t="n">
        <v>0.6350355832228827</v>
      </c>
      <c r="P588" t="n">
        <v>106.7401202521869</v>
      </c>
      <c r="Q588" t="n">
        <v>106.7208658657395</v>
      </c>
    </row>
    <row r="589">
      <c r="A589" s="117" t="n">
        <v>45266</v>
      </c>
      <c r="B589" s="118" t="n">
        <v>109.7097765456735</v>
      </c>
      <c r="C589" s="118" t="n">
        <v>110.7879582551609</v>
      </c>
      <c r="D589" s="118" t="n">
        <v>109.3030934646787</v>
      </c>
      <c r="E589" s="118" t="n">
        <v>109.8138122558594</v>
      </c>
      <c r="F589" s="119" t="n">
        <v>6317000</v>
      </c>
      <c r="G589" s="120" t="n">
        <v>0.006065322633575398</v>
      </c>
      <c r="H589" s="121" t="n">
        <v>69.03044501339224</v>
      </c>
      <c r="I589" s="118" t="n">
        <v>97.74783905029297</v>
      </c>
      <c r="J589" s="118" t="n">
        <v>103.272123298645</v>
      </c>
      <c r="K589" s="120" t="n">
        <v>0.2090730620629516</v>
      </c>
      <c r="L589" s="120" t="n">
        <v>0</v>
      </c>
      <c r="M589" s="120" t="n">
        <v>-0.09180825013378202</v>
      </c>
      <c r="N589" t="n">
        <v>75.68899409538359</v>
      </c>
      <c r="O589" t="n">
        <v>0.6894910203788265</v>
      </c>
      <c r="P589" t="n">
        <v>106.3099893024387</v>
      </c>
      <c r="Q589" t="n">
        <v>106.1035913555251</v>
      </c>
    </row>
    <row r="590">
      <c r="A590" s="117" t="n">
        <v>45267</v>
      </c>
      <c r="B590" s="118" t="n">
        <v>107.9317105241352</v>
      </c>
      <c r="C590" s="118" t="n">
        <v>109.7097627013041</v>
      </c>
      <c r="D590" s="118" t="n">
        <v>107.9317105241352</v>
      </c>
      <c r="E590" s="118" t="n">
        <v>108.5842895507812</v>
      </c>
      <c r="F590" s="119" t="n">
        <v>7294500</v>
      </c>
      <c r="G590" s="120" t="n">
        <v>-0.01119643039268514</v>
      </c>
      <c r="H590" s="121" t="n">
        <v>68.25755044082371</v>
      </c>
      <c r="I590" s="118" t="n">
        <v>98.23377822875976</v>
      </c>
      <c r="J590" s="118" t="n">
        <v>103.2552885818481</v>
      </c>
      <c r="K590" s="120" t="n">
        <v>0.2151158014303122</v>
      </c>
      <c r="L590" s="120" t="n">
        <v>-0.01119643039268525</v>
      </c>
      <c r="M590" s="120" t="n">
        <v>-0.10197675584437</v>
      </c>
      <c r="N590" t="n">
        <v>69.87197415916989</v>
      </c>
      <c r="O590" t="n">
        <v>0.5887404110160692</v>
      </c>
      <c r="P590" t="n">
        <v>107.1211650623275</v>
      </c>
      <c r="Q590" t="n">
        <v>107.5861079059886</v>
      </c>
    </row>
    <row r="591">
      <c r="A591" s="117" t="n">
        <v>45268</v>
      </c>
      <c r="B591" s="118" t="n">
        <v>108.2911120090655</v>
      </c>
      <c r="C591" s="118" t="n">
        <v>109.984048163124</v>
      </c>
      <c r="D591" s="118" t="n">
        <v>108.2627399464544</v>
      </c>
      <c r="E591" s="118" t="n">
        <v>109.6246566772461</v>
      </c>
      <c r="F591" s="119" t="n">
        <v>6122200</v>
      </c>
      <c r="G591" s="120" t="n">
        <v>0.009581193842763902</v>
      </c>
      <c r="H591" s="121" t="n">
        <v>68.91153926282948</v>
      </c>
      <c r="I591" s="118" t="n">
        <v>98.73656585693359</v>
      </c>
      <c r="J591" s="118" t="n">
        <v>103.2433756637573</v>
      </c>
      <c r="K591" s="120" t="n">
        <v>0.1956390840125337</v>
      </c>
      <c r="L591" s="120" t="n">
        <v>-0.001722511719860598</v>
      </c>
      <c r="M591" s="120" t="n">
        <v>-0.09337262106680722</v>
      </c>
      <c r="N591" t="n">
        <v>71.84383418972293</v>
      </c>
      <c r="O591" t="n">
        <v>0.5395083796473674</v>
      </c>
      <c r="P591" t="n">
        <v>107.581712889325</v>
      </c>
      <c r="Q591" t="n">
        <v>108.0655704650104</v>
      </c>
    </row>
    <row r="592">
      <c r="A592" s="117" t="n">
        <v>45271</v>
      </c>
      <c r="B592" s="118" t="n">
        <v>111.4026960631776</v>
      </c>
      <c r="C592" s="118" t="n">
        <v>112.9443047497805</v>
      </c>
      <c r="D592" s="118" t="n">
        <v>111.0622169200769</v>
      </c>
      <c r="E592" s="118" t="n">
        <v>112.1782302856445</v>
      </c>
      <c r="F592" s="119" t="n">
        <v>7972800</v>
      </c>
      <c r="G592" s="120" t="n">
        <v>0.02329378887741096</v>
      </c>
      <c r="H592" s="121" t="n">
        <v>70.51675010963525</v>
      </c>
      <c r="I592" s="118" t="n">
        <v>99.17750137329102</v>
      </c>
      <c r="J592" s="118" t="n">
        <v>103.2531942367554</v>
      </c>
      <c r="K592" s="120" t="n">
        <v>0.2008210438994429</v>
      </c>
      <c r="L592" s="120" t="n">
        <v>0</v>
      </c>
      <c r="M592" s="120" t="n">
        <v>-0.07225383431145693</v>
      </c>
      <c r="N592" t="n">
        <v>75.99649545075235</v>
      </c>
      <c r="O592" t="n">
        <v>0.6204876731432432</v>
      </c>
      <c r="P592" t="n">
        <v>108.0001404991126</v>
      </c>
      <c r="Q592" t="n">
        <v>108.9886713108067</v>
      </c>
    </row>
    <row r="593">
      <c r="A593" s="117" t="n">
        <v>45272</v>
      </c>
      <c r="B593" s="118" t="n">
        <v>113.1902213484857</v>
      </c>
      <c r="C593" s="118" t="n">
        <v>113.4834089503008</v>
      </c>
      <c r="D593" s="118" t="n">
        <v>112.149871495116</v>
      </c>
      <c r="E593" s="118" t="n">
        <v>113.1523895263672</v>
      </c>
      <c r="F593" s="119" t="n">
        <v>7378400</v>
      </c>
      <c r="G593" s="120" t="n">
        <v>0.00868403110159699</v>
      </c>
      <c r="H593" s="121" t="n">
        <v>71.12911976077086</v>
      </c>
      <c r="I593" s="118" t="n">
        <v>99.65790344238282</v>
      </c>
      <c r="J593" s="118" t="n">
        <v>103.2655959701538</v>
      </c>
      <c r="K593" s="120" t="n">
        <v>0.1800951985049492</v>
      </c>
      <c r="L593" s="120" t="n">
        <v>0</v>
      </c>
      <c r="M593" s="120" t="n">
        <v>-0.06419725775423013</v>
      </c>
      <c r="N593" t="n">
        <v>77.36783603794056</v>
      </c>
      <c r="O593" t="n">
        <v>0.676627082010735</v>
      </c>
      <c r="P593" t="n">
        <v>108.4934148789002</v>
      </c>
      <c r="Q593" t="n">
        <v>109.856698639096</v>
      </c>
    </row>
    <row r="594">
      <c r="A594" s="117" t="n">
        <v>45273</v>
      </c>
      <c r="B594" s="118" t="n">
        <v>112.8781029623936</v>
      </c>
      <c r="C594" s="118" t="n">
        <v>114.8547739806356</v>
      </c>
      <c r="D594" s="118" t="n">
        <v>112.7362354475285</v>
      </c>
      <c r="E594" s="118" t="n">
        <v>114.5994110107422</v>
      </c>
      <c r="F594" s="119" t="n">
        <v>8182900</v>
      </c>
      <c r="G594" s="120" t="n">
        <v>0.01278825387985116</v>
      </c>
      <c r="H594" s="121" t="n">
        <v>72.03873700252194</v>
      </c>
      <c r="I594" s="118" t="n">
        <v>100.1572541809082</v>
      </c>
      <c r="J594" s="118" t="n">
        <v>103.2840190124512</v>
      </c>
      <c r="K594" s="120" t="n">
        <v>0.1790591765900675</v>
      </c>
      <c r="L594" s="120" t="n">
        <v>0</v>
      </c>
      <c r="M594" s="120" t="n">
        <v>-0.05222997470493029</v>
      </c>
      <c r="N594" t="n">
        <v>79.26299808996602</v>
      </c>
      <c r="O594" t="n">
        <v>0.7428892055528498</v>
      </c>
      <c r="P594" t="n">
        <v>109.9895533301498</v>
      </c>
      <c r="Q594" t="n">
        <v>111.2537769061172</v>
      </c>
    </row>
    <row r="595">
      <c r="A595" s="117" t="n">
        <v>45274</v>
      </c>
      <c r="B595" s="118" t="n">
        <v>114.8547729004563</v>
      </c>
      <c r="C595" s="118" t="n">
        <v>115.9424070009361</v>
      </c>
      <c r="D595" s="118" t="n">
        <v>113.3226167425497</v>
      </c>
      <c r="E595" s="118" t="n">
        <v>114.4575424194336</v>
      </c>
      <c r="F595" s="119" t="n">
        <v>9590500</v>
      </c>
      <c r="G595" s="120" t="n">
        <v>-0.001237952185419999</v>
      </c>
      <c r="H595" s="121" t="n">
        <v>71.94955649061477</v>
      </c>
      <c r="I595" s="118" t="n">
        <v>100.6386859130859</v>
      </c>
      <c r="J595" s="118" t="n">
        <v>103.3027130889893</v>
      </c>
      <c r="K595" s="120" t="n">
        <v>0.1749570867001158</v>
      </c>
      <c r="L595" s="120" t="n">
        <v>-0.00123795218542011</v>
      </c>
      <c r="M595" s="120" t="n">
        <v>-0.0534032686790199</v>
      </c>
      <c r="N595" t="n">
        <v>78.56835155661123</v>
      </c>
      <c r="O595" t="n">
        <v>0.7089300330707089</v>
      </c>
      <c r="P595" t="n">
        <v>110.3425425926675</v>
      </c>
      <c r="Q595" t="n">
        <v>111.1573512594241</v>
      </c>
    </row>
    <row r="596">
      <c r="A596" s="117" t="n">
        <v>45275</v>
      </c>
      <c r="B596" s="118" t="n">
        <v>114.3724341325829</v>
      </c>
      <c r="C596" s="118" t="n">
        <v>115.4411560056533</v>
      </c>
      <c r="D596" s="118" t="n">
        <v>114.0603270244155</v>
      </c>
      <c r="E596" s="118" t="n">
        <v>114.9588165283203</v>
      </c>
      <c r="F596" s="119" t="n">
        <v>13633300</v>
      </c>
      <c r="G596" s="120" t="n">
        <v>0.004379563795366082</v>
      </c>
      <c r="H596" s="121" t="n">
        <v>72.26466416331371</v>
      </c>
      <c r="I596" s="118" t="n">
        <v>101.1320281982422</v>
      </c>
      <c r="J596" s="118" t="n">
        <v>103.3192449951172</v>
      </c>
      <c r="K596" s="120" t="n">
        <v>0.1725615900218088</v>
      </c>
      <c r="L596" s="120" t="n">
        <v>0</v>
      </c>
      <c r="M596" s="120" t="n">
        <v>-0.04925758790571477</v>
      </c>
      <c r="N596" t="n">
        <v>79.25998524510699</v>
      </c>
      <c r="O596" t="n">
        <v>0.6533623594667981</v>
      </c>
      <c r="P596" t="n">
        <v>110.1608604153858</v>
      </c>
      <c r="Q596" t="n">
        <v>111.6946640801648</v>
      </c>
    </row>
    <row r="597">
      <c r="A597" s="117" t="n">
        <v>45278</v>
      </c>
      <c r="B597" s="118" t="n">
        <v>114.8264002586775</v>
      </c>
      <c r="C597" s="118" t="n">
        <v>115.2330760646924</v>
      </c>
      <c r="D597" s="118" t="n">
        <v>114.3062217835957</v>
      </c>
      <c r="E597" s="118" t="n">
        <v>114.5710372924805</v>
      </c>
      <c r="F597" s="119" t="n">
        <v>6874800</v>
      </c>
      <c r="G597" s="120" t="n">
        <v>-0.003373201356368427</v>
      </c>
      <c r="H597" s="121" t="n">
        <v>72.0209009001405</v>
      </c>
      <c r="I597" s="118" t="n">
        <v>101.5927304077148</v>
      </c>
      <c r="J597" s="118" t="n">
        <v>103.325878944397</v>
      </c>
      <c r="K597" s="120" t="n">
        <v>0.1571808262129105</v>
      </c>
      <c r="L597" s="120" t="n">
        <v>-0.003373201356368538</v>
      </c>
      <c r="M597" s="120" t="n">
        <v>-0.05246463349974817</v>
      </c>
      <c r="N597" t="n">
        <v>77.18484916091744</v>
      </c>
      <c r="O597" t="n">
        <v>0.5289373928089622</v>
      </c>
      <c r="P597" t="n">
        <v>110.7805397217334</v>
      </c>
      <c r="Q597" t="n">
        <v>112.3981970813425</v>
      </c>
    </row>
    <row r="598">
      <c r="A598" s="117" t="n">
        <v>45279</v>
      </c>
      <c r="B598" s="118" t="n">
        <v>115.1385100125155</v>
      </c>
      <c r="C598" s="118" t="n">
        <v>116.6517467758243</v>
      </c>
      <c r="D598" s="118" t="n">
        <v>115.043934067749</v>
      </c>
      <c r="E598" s="118" t="n">
        <v>115.9897079467773</v>
      </c>
      <c r="F598" s="119" t="n">
        <v>7697300</v>
      </c>
      <c r="G598" s="120" t="n">
        <v>0.01238245448258657</v>
      </c>
      <c r="H598" s="121" t="n">
        <v>72.91269642733137</v>
      </c>
      <c r="I598" s="118" t="n">
        <v>102.0861419677734</v>
      </c>
      <c r="J598" s="118" t="n">
        <v>103.3432112121582</v>
      </c>
      <c r="K598" s="120" t="n">
        <v>0.1577359314234435</v>
      </c>
      <c r="L598" s="120" t="n">
        <v>0</v>
      </c>
      <c r="M598" s="120" t="n">
        <v>-0.04073181995341779</v>
      </c>
      <c r="N598" t="n">
        <v>79.31820162269474</v>
      </c>
      <c r="O598" t="n">
        <v>0.4819544276880312</v>
      </c>
      <c r="P598" t="n">
        <v>111.4541680308878</v>
      </c>
      <c r="Q598" t="n">
        <v>112.9725046788137</v>
      </c>
    </row>
    <row r="599">
      <c r="A599" s="117" t="n">
        <v>45280</v>
      </c>
      <c r="B599" s="118" t="n">
        <v>114.5615789966336</v>
      </c>
      <c r="C599" s="118" t="n">
        <v>116.6990298274188</v>
      </c>
      <c r="D599" s="118" t="n">
        <v>114.4386309989908</v>
      </c>
      <c r="E599" s="118" t="n">
        <v>114.8453140258789</v>
      </c>
      <c r="F599" s="119" t="n">
        <v>9176600</v>
      </c>
      <c r="G599" s="120" t="n">
        <v>-0.00986634022238897</v>
      </c>
      <c r="H599" s="121" t="n">
        <v>72.19331495784755</v>
      </c>
      <c r="I599" s="118" t="n">
        <v>102.5427151489258</v>
      </c>
      <c r="J599" s="118" t="n">
        <v>103.3575370407105</v>
      </c>
      <c r="K599" s="120" t="n">
        <v>0.1684310649242101</v>
      </c>
      <c r="L599" s="120" t="n">
        <v>-0.009866340222389081</v>
      </c>
      <c r="M599" s="120" t="n">
        <v>-0.05019628618226923</v>
      </c>
      <c r="N599" t="n">
        <v>73.35921279097295</v>
      </c>
      <c r="O599" t="n">
        <v>0.3213062684640193</v>
      </c>
      <c r="P599" t="n">
        <v>109.9097182513143</v>
      </c>
      <c r="Q599" t="n">
        <v>111.2937620227682</v>
      </c>
    </row>
    <row r="600">
      <c r="A600" s="117" t="n">
        <v>45281</v>
      </c>
      <c r="B600" s="118" t="n">
        <v>115.6681419540781</v>
      </c>
      <c r="C600" s="118" t="n">
        <v>116.6139157812883</v>
      </c>
      <c r="D600" s="118" t="n">
        <v>114.7223681268679</v>
      </c>
      <c r="E600" s="118" t="n">
        <v>115.8856658935547</v>
      </c>
      <c r="F600" s="119" t="n">
        <v>16533300</v>
      </c>
      <c r="G600" s="120" t="n">
        <v>0.009058722826438936</v>
      </c>
      <c r="H600" s="121" t="n">
        <v>72.84729418797249</v>
      </c>
      <c r="I600" s="118" t="n">
        <v>103.0006776428223</v>
      </c>
      <c r="J600" s="118" t="n">
        <v>103.3758005523682</v>
      </c>
      <c r="K600" s="120" t="n">
        <v>0.1671477204977918</v>
      </c>
      <c r="L600" s="120" t="n">
        <v>-0.0008969938373361019</v>
      </c>
      <c r="M600" s="120" t="n">
        <v>-0.04159227759927209</v>
      </c>
      <c r="N600" t="n">
        <v>75.18442532288068</v>
      </c>
      <c r="O600" t="n">
        <v>0.236529459884848</v>
      </c>
      <c r="P600" t="n">
        <v>110.9518689444346</v>
      </c>
      <c r="Q600" t="n">
        <v>112.5886988219339</v>
      </c>
    </row>
    <row r="601">
      <c r="A601" s="117" t="n">
        <v>45282</v>
      </c>
      <c r="B601" s="118" t="n">
        <v>102.3894755081391</v>
      </c>
      <c r="C601" s="118" t="n">
        <v>104.7917418705929</v>
      </c>
      <c r="D601" s="118" t="n">
        <v>101.6233938092618</v>
      </c>
      <c r="E601" s="118" t="n">
        <v>102.1814041137695</v>
      </c>
      <c r="F601" s="119" t="n">
        <v>46666200</v>
      </c>
      <c r="G601" s="120" t="n">
        <v>-0.1182567461999401</v>
      </c>
      <c r="H601" s="121" t="n">
        <v>64.23261020783306</v>
      </c>
      <c r="I601" s="118" t="n">
        <v>103.1732441711426</v>
      </c>
      <c r="J601" s="118" t="n">
        <v>103.3348595428467</v>
      </c>
      <c r="K601" s="120" t="n">
        <v>0.4740002450223324</v>
      </c>
      <c r="L601" s="120" t="n">
        <v>-0.1190476644647114</v>
      </c>
      <c r="M601" s="120" t="n">
        <v>-0.1549304563832776</v>
      </c>
      <c r="N601" t="n">
        <v>38.1276984439712</v>
      </c>
      <c r="O601" t="n">
        <v>-0.737754410948777</v>
      </c>
      <c r="P601" t="n">
        <v>111.1748596318671</v>
      </c>
      <c r="Q601" t="n">
        <v>112.7571403977406</v>
      </c>
    </row>
    <row r="602">
      <c r="A602" s="117" t="n">
        <v>45286</v>
      </c>
      <c r="B602" s="118" t="n">
        <v>102.4273135910087</v>
      </c>
      <c r="C602" s="118" t="n">
        <v>102.7961648251562</v>
      </c>
      <c r="D602" s="118" t="n">
        <v>101.6517793018162</v>
      </c>
      <c r="E602" s="118" t="n">
        <v>102.1624908447266</v>
      </c>
      <c r="F602" s="119" t="n">
        <v>12846700</v>
      </c>
      <c r="G602" s="120" t="n">
        <v>-0.0001850950200479318</v>
      </c>
      <c r="H602" s="121" t="n">
        <v>64.22072107155891</v>
      </c>
      <c r="I602" s="118" t="n">
        <v>103.3329898071289</v>
      </c>
      <c r="J602" s="118" t="n">
        <v>103.2956030654907</v>
      </c>
      <c r="K602" s="120" t="n">
        <v>0.4739413717471122</v>
      </c>
      <c r="L602" s="120" t="n">
        <v>-0.1192107243549185</v>
      </c>
      <c r="M602" s="120" t="n">
        <v>-0.1550868745473953</v>
      </c>
      <c r="N602" t="n">
        <v>38.09978860209618</v>
      </c>
      <c r="O602" t="n">
        <v>-1.343442043330136</v>
      </c>
      <c r="P602" t="n">
        <v>111.6442919615837</v>
      </c>
      <c r="Q602" t="n">
        <v>113.4474133773281</v>
      </c>
    </row>
    <row r="603">
      <c r="A603" s="117" t="n">
        <v>45287</v>
      </c>
      <c r="B603" s="118" t="n">
        <v>102.4651328389959</v>
      </c>
      <c r="C603" s="118" t="n">
        <v>102.7015762954814</v>
      </c>
      <c r="D603" s="118" t="n">
        <v>101.0559318587337</v>
      </c>
      <c r="E603" s="118" t="n">
        <v>101.3207473754883</v>
      </c>
      <c r="F603" s="119" t="n">
        <v>10157900</v>
      </c>
      <c r="G603" s="120" t="n">
        <v>-0.008239261418533927</v>
      </c>
      <c r="H603" s="121" t="n">
        <v>63.69158976216359</v>
      </c>
      <c r="I603" s="118" t="n">
        <v>103.4357456970215</v>
      </c>
      <c r="J603" s="118" t="n">
        <v>103.2550873565674</v>
      </c>
      <c r="K603" s="120" t="n">
        <v>0.4742550153293184</v>
      </c>
      <c r="L603" s="120" t="n">
        <v>-0.1264677774515994</v>
      </c>
      <c r="M603" s="120" t="n">
        <v>-0.1620483346639499</v>
      </c>
      <c r="N603" t="n">
        <v>36.8083867419037</v>
      </c>
      <c r="O603" t="n">
        <v>-1.735798672732569</v>
      </c>
      <c r="P603" t="n">
        <v>111.8461561280155</v>
      </c>
      <c r="Q603" t="n">
        <v>113.6783616013011</v>
      </c>
    </row>
    <row r="604">
      <c r="A604" s="117" t="n">
        <v>45288</v>
      </c>
      <c r="B604" s="118" t="n">
        <v>101.3964166376964</v>
      </c>
      <c r="C604" s="118" t="n">
        <v>103.4676637404171</v>
      </c>
      <c r="D604" s="118" t="n">
        <v>101.0181056431988</v>
      </c>
      <c r="E604" s="118" t="n">
        <v>102.9191131591797</v>
      </c>
      <c r="F604" s="119" t="n">
        <v>9352900</v>
      </c>
      <c r="G604" s="120" t="n">
        <v>0.01577530589828724</v>
      </c>
      <c r="H604" s="121" t="n">
        <v>64.69634407380994</v>
      </c>
      <c r="I604" s="118" t="n">
        <v>103.5521824645996</v>
      </c>
      <c r="J604" s="118" t="n">
        <v>103.2125444030762</v>
      </c>
      <c r="K604" s="120" t="n">
        <v>0.4746344033855507</v>
      </c>
      <c r="L604" s="120" t="n">
        <v>-0.1126875394288878</v>
      </c>
      <c r="M604" s="120" t="n">
        <v>-0.1488293908152944</v>
      </c>
      <c r="N604" t="n">
        <v>40.90452115617143</v>
      </c>
      <c r="O604" t="n">
        <v>-1.814197271251315</v>
      </c>
      <c r="P604" t="n">
        <v>111.8884017908618</v>
      </c>
      <c r="Q604" t="n">
        <v>113.6231001195706</v>
      </c>
    </row>
    <row r="605">
      <c r="A605" s="117" t="n">
        <v>45289</v>
      </c>
      <c r="B605" s="118" t="n">
        <v>103.05151417503</v>
      </c>
      <c r="C605" s="118" t="n">
        <v>103.9972879914848</v>
      </c>
      <c r="D605" s="118" t="n">
        <v>102.228688357069</v>
      </c>
      <c r="E605" s="118" t="n">
        <v>102.6826629638672</v>
      </c>
      <c r="F605" s="119" t="n">
        <v>7667500</v>
      </c>
      <c r="G605" s="120" t="n">
        <v>-0.002297437162588012</v>
      </c>
      <c r="H605" s="121" t="n">
        <v>64.54770828865118</v>
      </c>
      <c r="I605" s="118" t="n">
        <v>103.6495629882812</v>
      </c>
      <c r="J605" s="118" t="n">
        <v>103.172705116272</v>
      </c>
      <c r="K605" s="120" t="n">
        <v>0.4746920151725835</v>
      </c>
      <c r="L605" s="120" t="n">
        <v>-0.1147260840506313</v>
      </c>
      <c r="M605" s="120" t="n">
        <v>-0.1507849018045381</v>
      </c>
      <c r="N605" t="n">
        <v>40.48642862274962</v>
      </c>
      <c r="O605" t="n">
        <v>-1.804662021067849</v>
      </c>
      <c r="P605" t="n">
        <v>111.5644863993684</v>
      </c>
      <c r="Q605" t="n">
        <v>113.1313686230464</v>
      </c>
    </row>
    <row r="606">
      <c r="A606" s="117" t="n">
        <v>45293</v>
      </c>
      <c r="B606" s="118" t="n">
        <v>101.7747194596725</v>
      </c>
      <c r="C606" s="118" t="n">
        <v>102.0017031518714</v>
      </c>
      <c r="D606" s="118" t="n">
        <v>100.677618385295</v>
      </c>
      <c r="E606" s="118" t="n">
        <v>100.7722015380859</v>
      </c>
      <c r="F606" s="119" t="n">
        <v>9326600</v>
      </c>
      <c r="G606" s="120" t="n">
        <v>-0.01860549162474989</v>
      </c>
      <c r="H606" s="121" t="n">
        <v>63.34676644268988</v>
      </c>
      <c r="I606" s="118" t="n">
        <v>103.722307434082</v>
      </c>
      <c r="J606" s="118" t="n">
        <v>103.1117025756836</v>
      </c>
      <c r="K606" s="120" t="n">
        <v>0.4624960814821359</v>
      </c>
      <c r="L606" s="120" t="n">
        <v>-0.1311970404794368</v>
      </c>
      <c r="M606" s="120" t="n">
        <v>-0.166584966201625</v>
      </c>
      <c r="N606" t="n">
        <v>37.17975800100307</v>
      </c>
      <c r="O606" t="n">
        <v>-1.84322968779191</v>
      </c>
      <c r="P606" t="n">
        <v>110.9401360878537</v>
      </c>
      <c r="Q606" t="n">
        <v>111.2169444621252</v>
      </c>
    </row>
    <row r="607">
      <c r="A607" s="117" t="n">
        <v>45294</v>
      </c>
      <c r="B607" s="118" t="n">
        <v>99.98721583814554</v>
      </c>
      <c r="C607" s="118" t="n">
        <v>101.6517798888354</v>
      </c>
      <c r="D607" s="118" t="n">
        <v>98.36048360857158</v>
      </c>
      <c r="E607" s="118" t="n">
        <v>98.3983154296875</v>
      </c>
      <c r="F607" s="119" t="n">
        <v>10573700</v>
      </c>
      <c r="G607" s="120" t="n">
        <v>-0.02355695392346124</v>
      </c>
      <c r="H607" s="121" t="n">
        <v>61.85450958439917</v>
      </c>
      <c r="I607" s="118" t="n">
        <v>103.7547380065918</v>
      </c>
      <c r="J607" s="118" t="n">
        <v>103.0400479125977</v>
      </c>
      <c r="K607" s="120" t="n">
        <v>0.4633183050407843</v>
      </c>
      <c r="L607" s="120" t="n">
        <v>-0.1516633917654295</v>
      </c>
      <c r="M607" s="120" t="n">
        <v>-0.1862176857519332</v>
      </c>
      <c r="N607" t="n">
        <v>33.51666035341221</v>
      </c>
      <c r="O607" t="n">
        <v>-1.935299137400061</v>
      </c>
      <c r="P607" t="n">
        <v>110.034123426847</v>
      </c>
      <c r="Q607" t="n">
        <v>110.0400919145051</v>
      </c>
    </row>
    <row r="608">
      <c r="A608" s="117" t="n">
        <v>45295</v>
      </c>
      <c r="B608" s="118" t="n">
        <v>96.90399799724138</v>
      </c>
      <c r="C608" s="118" t="n">
        <v>98.00109924215906</v>
      </c>
      <c r="D608" s="118" t="n">
        <v>96.75267791748047</v>
      </c>
      <c r="E608" s="118" t="n">
        <v>96.75267791748047</v>
      </c>
      <c r="F608" s="119" t="n">
        <v>10420600</v>
      </c>
      <c r="G608" s="120" t="n">
        <v>-0.01672424477005352</v>
      </c>
      <c r="H608" s="121" t="n">
        <v>60.82003962597806</v>
      </c>
      <c r="I608" s="118" t="n">
        <v>103.7516168212891</v>
      </c>
      <c r="J608" s="118" t="n">
        <v>102.956372756958</v>
      </c>
      <c r="K608" s="120" t="n">
        <v>0.464474901516395</v>
      </c>
      <c r="L608" s="120" t="n">
        <v>-0.1658511808489416</v>
      </c>
      <c r="M608" s="120" t="n">
        <v>-0.1998275803649585</v>
      </c>
      <c r="N608" t="n">
        <v>31.22031008797229</v>
      </c>
      <c r="O608" t="n">
        <v>-2.005189973039862</v>
      </c>
      <c r="P608" t="n">
        <v>109.6796878499332</v>
      </c>
      <c r="Q608" t="n">
        <v>109.4737898841924</v>
      </c>
    </row>
    <row r="609">
      <c r="A609" s="117" t="n">
        <v>45296</v>
      </c>
      <c r="B609" s="118" t="n">
        <v>96.9039776091811</v>
      </c>
      <c r="C609" s="118" t="n">
        <v>98.05782273928618</v>
      </c>
      <c r="D609" s="118" t="n">
        <v>96.37434661792543</v>
      </c>
      <c r="E609" s="118" t="n">
        <v>96.54458618164062</v>
      </c>
      <c r="F609" s="119" t="n">
        <v>8044500</v>
      </c>
      <c r="G609" s="120" t="n">
        <v>-0.002150759444791039</v>
      </c>
      <c r="H609" s="121" t="n">
        <v>60.68923035131992</v>
      </c>
      <c r="I609" s="118" t="n">
        <v>103.699654083252</v>
      </c>
      <c r="J609" s="118" t="n">
        <v>102.8510102462769</v>
      </c>
      <c r="K609" s="120" t="n">
        <v>0.462655630401602</v>
      </c>
      <c r="L609" s="120" t="n">
        <v>-0.167645234300092</v>
      </c>
      <c r="M609" s="120" t="n">
        <v>-0.2015485587539498</v>
      </c>
      <c r="N609" t="n">
        <v>30.93171645051366</v>
      </c>
      <c r="O609" t="n">
        <v>-1.961204843386577</v>
      </c>
      <c r="P609" t="n">
        <v>109.8299200682541</v>
      </c>
      <c r="Q609" t="n">
        <v>109.6036133558831</v>
      </c>
    </row>
    <row r="610">
      <c r="A610" s="117" t="n">
        <v>45299</v>
      </c>
      <c r="B610" s="118" t="n">
        <v>96.54459837779004</v>
      </c>
      <c r="C610" s="118" t="n">
        <v>98.06729488568824</v>
      </c>
      <c r="D610" s="118" t="n">
        <v>96.21357896643869</v>
      </c>
      <c r="E610" s="118" t="n">
        <v>98.00109100341797</v>
      </c>
      <c r="F610" s="119" t="n">
        <v>9414200</v>
      </c>
      <c r="G610" s="120" t="n">
        <v>0.01508634382705876</v>
      </c>
      <c r="H610" s="121" t="n">
        <v>61.6048089469995</v>
      </c>
      <c r="I610" s="118" t="n">
        <v>103.7077386474609</v>
      </c>
      <c r="J610" s="118" t="n">
        <v>102.7815362167358</v>
      </c>
      <c r="K610" s="120" t="n">
        <v>0.4681051227579382</v>
      </c>
      <c r="L610" s="120" t="n">
        <v>-0.1550880441186523</v>
      </c>
      <c r="M610" s="120" t="n">
        <v>-0.1895028457821012</v>
      </c>
      <c r="N610" t="n">
        <v>35.43072895650003</v>
      </c>
      <c r="O610" t="n">
        <v>-1.737449591954971</v>
      </c>
      <c r="P610" t="n">
        <v>111.3978503192996</v>
      </c>
      <c r="Q610" t="n">
        <v>111.8688983715888</v>
      </c>
    </row>
    <row r="611">
      <c r="A611" s="117" t="n">
        <v>45300</v>
      </c>
      <c r="B611" s="118" t="n">
        <v>97.57548338568148</v>
      </c>
      <c r="C611" s="118" t="n">
        <v>97.79301453942226</v>
      </c>
      <c r="D611" s="118" t="n">
        <v>96.94181665734341</v>
      </c>
      <c r="E611" s="118" t="n">
        <v>97.16880035400391</v>
      </c>
      <c r="F611" s="119" t="n">
        <v>7759500</v>
      </c>
      <c r="G611" s="120" t="n">
        <v>-0.008492667182501412</v>
      </c>
      <c r="H611" s="121" t="n">
        <v>61.08161980777105</v>
      </c>
      <c r="I611" s="118" t="n">
        <v>103.7655364990234</v>
      </c>
      <c r="J611" s="118" t="n">
        <v>102.7010184860229</v>
      </c>
      <c r="K611" s="120" t="n">
        <v>0.4651928161863058</v>
      </c>
      <c r="L611" s="120" t="n">
        <v>-0.1622636001584689</v>
      </c>
      <c r="M611" s="120" t="n">
        <v>-0.1963861283652384</v>
      </c>
      <c r="N611" t="n">
        <v>34.06521106927161</v>
      </c>
      <c r="O611" t="n">
        <v>-1.554853111794706</v>
      </c>
      <c r="P611" t="n">
        <v>111.2288455304493</v>
      </c>
      <c r="Q611" t="n">
        <v>112.0899101231974</v>
      </c>
    </row>
    <row r="612">
      <c r="A612" s="117" t="n">
        <v>45301</v>
      </c>
      <c r="B612" s="118" t="n">
        <v>97.12152166288196</v>
      </c>
      <c r="C612" s="118" t="n">
        <v>98.19970330457184</v>
      </c>
      <c r="D612" s="118" t="n">
        <v>96.81887431110378</v>
      </c>
      <c r="E612" s="118" t="n">
        <v>98.14295196533203</v>
      </c>
      <c r="F612" s="119" t="n">
        <v>6784700</v>
      </c>
      <c r="G612" s="120" t="n">
        <v>0.01002535389733228</v>
      </c>
      <c r="H612" s="121" t="n">
        <v>61.69398466296625</v>
      </c>
      <c r="I612" s="118" t="n">
        <v>103.8812757873535</v>
      </c>
      <c r="J612" s="118" t="n">
        <v>102.6265888214111</v>
      </c>
      <c r="K612" s="120" t="n">
        <v>0.4565755178286514</v>
      </c>
      <c r="L612" s="120" t="n">
        <v>-0.1538649962773805</v>
      </c>
      <c r="M612" s="120" t="n">
        <v>-0.1883296149052944</v>
      </c>
      <c r="N612" t="n">
        <v>37.11989838643137</v>
      </c>
      <c r="O612" t="n">
        <v>-1.288799411647477</v>
      </c>
      <c r="P612" t="n">
        <v>111.8578963637515</v>
      </c>
      <c r="Q612" t="n">
        <v>112.8495931642535</v>
      </c>
    </row>
    <row r="613">
      <c r="A613" s="117" t="n">
        <v>45302</v>
      </c>
      <c r="B613" s="118" t="n">
        <v>98.56855503557631</v>
      </c>
      <c r="C613" s="118" t="n">
        <v>100.2614911485039</v>
      </c>
      <c r="D613" s="118" t="n">
        <v>98.10512785426202</v>
      </c>
      <c r="E613" s="118" t="n">
        <v>100.1574554443359</v>
      </c>
      <c r="F613" s="119" t="n">
        <v>9537700</v>
      </c>
      <c r="G613" s="120" t="n">
        <v>0.02052621648995756</v>
      </c>
      <c r="H613" s="121" t="n">
        <v>62.96032874828642</v>
      </c>
      <c r="I613" s="118" t="n">
        <v>103.965290222168</v>
      </c>
      <c r="J613" s="118" t="n">
        <v>102.5758089447021</v>
      </c>
      <c r="K613" s="120" t="n">
        <v>0.4635907348619047</v>
      </c>
      <c r="L613" s="120" t="n">
        <v>-0.1364970460112389</v>
      </c>
      <c r="M613" s="120" t="n">
        <v>-0.1716690928623533</v>
      </c>
      <c r="N613" t="n">
        <v>43.00083854118242</v>
      </c>
      <c r="O613" t="n">
        <v>-0.9150530571422126</v>
      </c>
      <c r="P613" t="n">
        <v>111.8086036078016</v>
      </c>
      <c r="Q613" t="n">
        <v>113.0844202862949</v>
      </c>
    </row>
    <row r="614">
      <c r="A614" s="117" t="n">
        <v>45303</v>
      </c>
      <c r="B614" s="118" t="n">
        <v>100.2520363933601</v>
      </c>
      <c r="C614" s="118" t="n">
        <v>100.5546837617694</v>
      </c>
      <c r="D614" s="118" t="n">
        <v>99.0414469197231</v>
      </c>
      <c r="E614" s="118" t="n">
        <v>99.36300659179688</v>
      </c>
      <c r="F614" s="119" t="n">
        <v>6680900</v>
      </c>
      <c r="G614" s="120" t="n">
        <v>-0.007931999160867176</v>
      </c>
      <c r="H614" s="121" t="n">
        <v>62.4609274734871</v>
      </c>
      <c r="I614" s="118" t="n">
        <v>104.0151293945312</v>
      </c>
      <c r="J614" s="118" t="n">
        <v>102.5207759475708</v>
      </c>
      <c r="K614" s="120" t="n">
        <v>0.4584677203729288</v>
      </c>
      <c r="L614" s="120" t="n">
        <v>-0.1433463507176841</v>
      </c>
      <c r="M614" s="120" t="n">
        <v>-0.1782394129226895</v>
      </c>
      <c r="N614" t="n">
        <v>41.35806994458226</v>
      </c>
      <c r="O614" t="n">
        <v>-0.670574619289297</v>
      </c>
      <c r="P614" t="n">
        <v>111.8860552195456</v>
      </c>
      <c r="Q614" t="n">
        <v>113.1424243369239</v>
      </c>
    </row>
    <row r="615">
      <c r="A615" s="117" t="n">
        <v>45307</v>
      </c>
      <c r="B615" s="118" t="n">
        <v>98.30372811914238</v>
      </c>
      <c r="C615" s="118" t="n">
        <v>98.56854362065449</v>
      </c>
      <c r="D615" s="118" t="n">
        <v>95.8636300568986</v>
      </c>
      <c r="E615" s="118" t="n">
        <v>96.20410919189453</v>
      </c>
      <c r="F615" s="119" t="n">
        <v>10547900</v>
      </c>
      <c r="G615" s="120" t="n">
        <v>-0.03179148365427109</v>
      </c>
      <c r="H615" s="121" t="n">
        <v>60.47520191868312</v>
      </c>
      <c r="I615" s="118" t="n">
        <v>104.0374208068848</v>
      </c>
      <c r="J615" s="118" t="n">
        <v>102.4376820755005</v>
      </c>
      <c r="K615" s="120" t="n">
        <v>0.466412841399505</v>
      </c>
      <c r="L615" s="120" t="n">
        <v>-0.1705806412062145</v>
      </c>
      <c r="M615" s="120" t="n">
        <v>-0.2043644011944821</v>
      </c>
      <c r="N615" t="n">
        <v>35.54354233073791</v>
      </c>
      <c r="O615" t="n">
        <v>-0.6692999782612101</v>
      </c>
      <c r="P615" t="n">
        <v>111.4752945518885</v>
      </c>
      <c r="Q615" t="n">
        <v>113.1313686230464</v>
      </c>
    </row>
    <row r="616">
      <c r="A616" s="117" t="n">
        <v>45308</v>
      </c>
      <c r="B616" s="118" t="n">
        <v>95.57045169550983</v>
      </c>
      <c r="C616" s="118" t="n">
        <v>95.81634770447813</v>
      </c>
      <c r="D616" s="118" t="n">
        <v>94.80436996019216</v>
      </c>
      <c r="E616" s="118" t="n">
        <v>95.35292053222656</v>
      </c>
      <c r="F616" s="119" t="n">
        <v>8226200</v>
      </c>
      <c r="G616" s="120" t="n">
        <v>-0.008847737033458092</v>
      </c>
      <c r="H616" s="121" t="n">
        <v>59.94013323506133</v>
      </c>
      <c r="I616" s="118" t="n">
        <v>103.9635098266602</v>
      </c>
      <c r="J616" s="118" t="n">
        <v>102.352158241272</v>
      </c>
      <c r="K616" s="120" t="n">
        <v>0.4640339122790747</v>
      </c>
      <c r="L616" s="120" t="n">
        <v>-0.1779191255832813</v>
      </c>
      <c r="M616" s="120" t="n">
        <v>-0.2114039757471712</v>
      </c>
      <c r="N616" t="n">
        <v>34.15030916060034</v>
      </c>
      <c r="O616" t="n">
        <v>-0.6717295336220577</v>
      </c>
      <c r="P616" t="n">
        <v>110.8556373830061</v>
      </c>
      <c r="Q616" t="n">
        <v>112.4932300840154</v>
      </c>
    </row>
    <row r="617">
      <c r="A617" s="117" t="n">
        <v>45309</v>
      </c>
      <c r="B617" s="118" t="n">
        <v>95.52316716158715</v>
      </c>
      <c r="C617" s="118" t="n">
        <v>95.92985024110043</v>
      </c>
      <c r="D617" s="118" t="n">
        <v>94.64359711592742</v>
      </c>
      <c r="E617" s="118" t="n">
        <v>95.46642303466797</v>
      </c>
      <c r="F617" s="119" t="n">
        <v>8852400</v>
      </c>
      <c r="G617" s="120" t="n">
        <v>0.001190341122305094</v>
      </c>
      <c r="H617" s="121" t="n">
        <v>60.01148244052747</v>
      </c>
      <c r="I617" s="118" t="n">
        <v>103.854542388916</v>
      </c>
      <c r="J617" s="118" t="n">
        <v>102.2553100204468</v>
      </c>
      <c r="K617" s="120" t="n">
        <v>0.4650329893454431</v>
      </c>
      <c r="L617" s="120" t="n">
        <v>-0.1769405689126026</v>
      </c>
      <c r="M617" s="120" t="n">
        <v>-0.2104652774706167</v>
      </c>
      <c r="N617" t="n">
        <v>34.51889900205445</v>
      </c>
      <c r="O617" t="n">
        <v>-0.613258102455235</v>
      </c>
      <c r="P617" t="n">
        <v>111.841448227073</v>
      </c>
      <c r="Q617" t="n">
        <v>114.089969075613</v>
      </c>
    </row>
    <row r="618">
      <c r="A618" s="117" t="n">
        <v>45310</v>
      </c>
      <c r="B618" s="118" t="n">
        <v>95.54206651689898</v>
      </c>
      <c r="C618" s="118" t="n">
        <v>96.63916759320067</v>
      </c>
      <c r="D618" s="118" t="n">
        <v>94.26527332447868</v>
      </c>
      <c r="E618" s="118" t="n">
        <v>96.26085662841797</v>
      </c>
      <c r="F618" s="119" t="n">
        <v>8517200</v>
      </c>
      <c r="G618" s="120" t="n">
        <v>0.008321602176940335</v>
      </c>
      <c r="H618" s="121" t="n">
        <v>60.51087412344599</v>
      </c>
      <c r="I618" s="118" t="n">
        <v>103.7578814697266</v>
      </c>
      <c r="J618" s="118" t="n">
        <v>102.1669753265381</v>
      </c>
      <c r="K618" s="120" t="n">
        <v>0.462815717043804</v>
      </c>
      <c r="L618" s="120" t="n">
        <v>-0.1700913957591144</v>
      </c>
      <c r="M618" s="120" t="n">
        <v>-0.2038950836048462</v>
      </c>
      <c r="N618" t="n">
        <v>37.16980821209586</v>
      </c>
      <c r="O618" t="n">
        <v>-0.4748271110892581</v>
      </c>
      <c r="P618" t="n">
        <v>113.235695304946</v>
      </c>
      <c r="Q618" t="n">
        <v>116.3524944347635</v>
      </c>
    </row>
    <row r="619">
      <c r="A619" s="117" t="n">
        <v>45313</v>
      </c>
      <c r="B619" s="118" t="n">
        <v>96.232483005326</v>
      </c>
      <c r="C619" s="118" t="n">
        <v>96.28922712363297</v>
      </c>
      <c r="D619" s="118" t="n">
        <v>94.66249505247373</v>
      </c>
      <c r="E619" s="118" t="n">
        <v>95.10700988769531</v>
      </c>
      <c r="F619" s="119" t="n">
        <v>9897400</v>
      </c>
      <c r="G619" s="120" t="n">
        <v>-0.01198666603577703</v>
      </c>
      <c r="H619" s="121" t="n">
        <v>59.7855504837953</v>
      </c>
      <c r="I619" s="118" t="n">
        <v>103.5983659362793</v>
      </c>
      <c r="J619" s="118" t="n">
        <v>102.0634140777588</v>
      </c>
      <c r="K619" s="120" t="n">
        <v>0.4629387693893787</v>
      </c>
      <c r="L619" s="120" t="n">
        <v>-0.1800392330383676</v>
      </c>
      <c r="M619" s="120" t="n">
        <v>-0.2134377273671151</v>
      </c>
      <c r="N619" t="n">
        <v>34.95630761319701</v>
      </c>
      <c r="O619" t="n">
        <v>-0.416788270152463</v>
      </c>
      <c r="P619" t="n">
        <v>113.4751119915917</v>
      </c>
      <c r="Q619" t="n">
        <v>116.5044293342091</v>
      </c>
    </row>
    <row r="620">
      <c r="A620" s="117" t="n">
        <v>45314</v>
      </c>
      <c r="B620" s="118" t="n">
        <v>96.11899614429055</v>
      </c>
      <c r="C620" s="118" t="n">
        <v>96.60134284005677</v>
      </c>
      <c r="D620" s="118" t="n">
        <v>95.74069236752223</v>
      </c>
      <c r="E620" s="118" t="n">
        <v>96.37435913085938</v>
      </c>
      <c r="F620" s="119" t="n">
        <v>8208000</v>
      </c>
      <c r="G620" s="120" t="n">
        <v>0.01332550823183887</v>
      </c>
      <c r="H620" s="121" t="n">
        <v>60.58222332891214</v>
      </c>
      <c r="I620" s="118" t="n">
        <v>103.4636317443848</v>
      </c>
      <c r="J620" s="118" t="n">
        <v>101.9792518615723</v>
      </c>
      <c r="K620" s="120" t="n">
        <v>0.4653820212975062</v>
      </c>
      <c r="L620" s="120" t="n">
        <v>-0.1691128390884354</v>
      </c>
      <c r="M620" s="120" t="n">
        <v>-0.2029563853282917</v>
      </c>
      <c r="N620" t="n">
        <v>39.23651547110205</v>
      </c>
      <c r="O620" t="n">
        <v>-0.2567151474848148</v>
      </c>
      <c r="P620" t="n">
        <v>113.8060597178785</v>
      </c>
      <c r="Q620" t="n">
        <v>116.9878818610676</v>
      </c>
    </row>
    <row r="621">
      <c r="A621" s="117" t="n">
        <v>45315</v>
      </c>
      <c r="B621" s="118" t="n">
        <v>96.2608746402982</v>
      </c>
      <c r="C621" s="118" t="n">
        <v>96.27979416070228</v>
      </c>
      <c r="D621" s="118" t="n">
        <v>95.22998446444358</v>
      </c>
      <c r="E621" s="118" t="n">
        <v>95.29618835449219</v>
      </c>
      <c r="F621" s="119" t="n">
        <v>7879300</v>
      </c>
      <c r="G621" s="120" t="n">
        <v>-0.01118731980259624</v>
      </c>
      <c r="H621" s="121" t="n">
        <v>59.90447062217928</v>
      </c>
      <c r="I621" s="118" t="n">
        <v>103.3523908996582</v>
      </c>
      <c r="J621" s="118" t="n">
        <v>101.8928823852539</v>
      </c>
      <c r="K621" s="120" t="n">
        <v>0.2235677586878798</v>
      </c>
      <c r="L621" s="120" t="n">
        <v>-0.1784082394774245</v>
      </c>
      <c r="M621" s="120" t="n">
        <v>-0.2118731671422414</v>
      </c>
      <c r="N621" t="n">
        <v>37.00550340548934</v>
      </c>
      <c r="O621" t="n">
        <v>-0.1901807136941014</v>
      </c>
      <c r="P621" t="n">
        <v>113.9304575142562</v>
      </c>
      <c r="Q621" t="n">
        <v>117.6370590263194</v>
      </c>
    </row>
    <row r="622">
      <c r="A622" s="117" t="n">
        <v>45316</v>
      </c>
      <c r="B622" s="118" t="n">
        <v>96.02442373547332</v>
      </c>
      <c r="C622" s="118" t="n">
        <v>96.22303539029367</v>
      </c>
      <c r="D622" s="118" t="n">
        <v>94.66250699878263</v>
      </c>
      <c r="E622" s="118" t="n">
        <v>95.30563354492188</v>
      </c>
      <c r="F622" s="119" t="n">
        <v>10063700</v>
      </c>
      <c r="G622" s="120" t="n">
        <v>9.911404215401376e-05</v>
      </c>
      <c r="H622" s="121" t="n">
        <v>59.91040799640574</v>
      </c>
      <c r="I622" s="118" t="n">
        <v>103.2581169128418</v>
      </c>
      <c r="J622" s="118" t="n">
        <v>101.7986479187012</v>
      </c>
      <c r="K622" s="120" t="n">
        <v>0.2236240195952431</v>
      </c>
      <c r="L622" s="120" t="n">
        <v>-0.1783268081970386</v>
      </c>
      <c r="M622" s="120" t="n">
        <v>-0.2117950527061068</v>
      </c>
      <c r="N622" t="n">
        <v>37.03927791365221</v>
      </c>
      <c r="O622" t="n">
        <v>-0.1159197924602808</v>
      </c>
      <c r="P622" t="n">
        <v>114.5501220622937</v>
      </c>
      <c r="Q622" t="n">
        <v>117.7807234999277</v>
      </c>
    </row>
    <row r="623">
      <c r="A623" s="117" t="n">
        <v>45317</v>
      </c>
      <c r="B623" s="118" t="n">
        <v>96.06225493960558</v>
      </c>
      <c r="C623" s="118" t="n">
        <v>97.67006768676771</v>
      </c>
      <c r="D623" s="118" t="n">
        <v>95.73123551703482</v>
      </c>
      <c r="E623" s="118" t="n">
        <v>97.17826843261719</v>
      </c>
      <c r="F623" s="119" t="n">
        <v>9735800</v>
      </c>
      <c r="G623" s="120" t="n">
        <v>0.01964873237858122</v>
      </c>
      <c r="H623" s="121" t="n">
        <v>61.08757156981873</v>
      </c>
      <c r="I623" s="118" t="n">
        <v>103.2373028564453</v>
      </c>
      <c r="J623" s="118" t="n">
        <v>101.7072689056397</v>
      </c>
      <c r="K623" s="120" t="n">
        <v>0.2370810365504071</v>
      </c>
      <c r="L623" s="120" t="n">
        <v>-0.1621819715486476</v>
      </c>
      <c r="M623" s="120" t="n">
        <v>-0.1963078246372553</v>
      </c>
      <c r="N623" t="n">
        <v>43.50642257778319</v>
      </c>
      <c r="O623" t="n">
        <v>0.0784596795983088</v>
      </c>
      <c r="P623" t="n">
        <v>114.4045977449153</v>
      </c>
      <c r="Q623" t="n">
        <v>117.0790359656723</v>
      </c>
    </row>
    <row r="624">
      <c r="A624" s="117" t="n">
        <v>45320</v>
      </c>
      <c r="B624" s="118" t="n">
        <v>97.30122008116346</v>
      </c>
      <c r="C624" s="118" t="n">
        <v>98.36994924845236</v>
      </c>
      <c r="D624" s="118" t="n">
        <v>95.84472735169908</v>
      </c>
      <c r="E624" s="118" t="n">
        <v>98.24699401855469</v>
      </c>
      <c r="F624" s="119" t="n">
        <v>8860800</v>
      </c>
      <c r="G624" s="120" t="n">
        <v>0.01099757798914225</v>
      </c>
      <c r="H624" s="121" t="n">
        <v>61.75938690232512</v>
      </c>
      <c r="I624" s="118" t="n">
        <v>103.2086427307129</v>
      </c>
      <c r="J624" s="118" t="n">
        <v>101.619548034668</v>
      </c>
      <c r="K624" s="120" t="n">
        <v>0.232905494613967</v>
      </c>
      <c r="L624" s="120" t="n">
        <v>-0.1529680024400445</v>
      </c>
      <c r="M624" s="120" t="n">
        <v>-0.1874691572594402</v>
      </c>
      <c r="N624" t="n">
        <v>46.86111780026752</v>
      </c>
      <c r="O624" t="n">
        <v>0.2864550000686323</v>
      </c>
      <c r="P624" t="n">
        <v>115.3106030267669</v>
      </c>
      <c r="Q624" t="n">
        <v>118.2779572219056</v>
      </c>
    </row>
    <row r="625">
      <c r="A625" s="117" t="n">
        <v>45321</v>
      </c>
      <c r="B625" s="118" t="n">
        <v>97.7362621887967</v>
      </c>
      <c r="C625" s="118" t="n">
        <v>98.65366394019712</v>
      </c>
      <c r="D625" s="118" t="n">
        <v>97.53765055432056</v>
      </c>
      <c r="E625" s="118" t="n">
        <v>98.53071594238281</v>
      </c>
      <c r="F625" s="119" t="n">
        <v>7542800</v>
      </c>
      <c r="G625" s="120" t="n">
        <v>0.002887843304137494</v>
      </c>
      <c r="H625" s="121" t="n">
        <v>61.93773833425864</v>
      </c>
      <c r="I625" s="118" t="n">
        <v>103.1466331481934</v>
      </c>
      <c r="J625" s="118" t="n">
        <v>101.5202770614624</v>
      </c>
      <c r="K625" s="120" t="n">
        <v>0.2336081457947103</v>
      </c>
      <c r="L625" s="120" t="n">
        <v>-0.1505219067575008</v>
      </c>
      <c r="M625" s="120" t="n">
        <v>-0.1851226955058266</v>
      </c>
      <c r="N625" t="n">
        <v>47.74820553711765</v>
      </c>
      <c r="O625" t="n">
        <v>0.4413310234524181</v>
      </c>
      <c r="P625" t="n">
        <v>115.2214185584421</v>
      </c>
      <c r="Q625" t="n">
        <v>117.4906605276409</v>
      </c>
    </row>
    <row r="626">
      <c r="A626" s="117" t="n">
        <v>45322</v>
      </c>
      <c r="B626" s="118" t="n">
        <v>98.44560053609986</v>
      </c>
      <c r="C626" s="118" t="n">
        <v>98.64421940237551</v>
      </c>
      <c r="D626" s="118" t="n">
        <v>95.63665814997826</v>
      </c>
      <c r="E626" s="118" t="n">
        <v>96.02442169189453</v>
      </c>
      <c r="F626" s="119" t="n">
        <v>11547600</v>
      </c>
      <c r="G626" s="120" t="n">
        <v>-0.02543667958277973</v>
      </c>
      <c r="H626" s="121" t="n">
        <v>60.36224793016805</v>
      </c>
      <c r="I626" s="118" t="n">
        <v>103.0384568786621</v>
      </c>
      <c r="J626" s="118" t="n">
        <v>101.4107219314575</v>
      </c>
      <c r="K626" s="120" t="n">
        <v>0.2411997415265121</v>
      </c>
      <c r="L626" s="120" t="n">
        <v>-0.1721298088279009</v>
      </c>
      <c r="M626" s="120" t="n">
        <v>-0.2058504683995241</v>
      </c>
      <c r="N626" t="n">
        <v>41.2045142170104</v>
      </c>
      <c r="O626" t="n">
        <v>0.3757358465149521</v>
      </c>
      <c r="P626" t="n">
        <v>113.3413279099494</v>
      </c>
      <c r="Q626" t="n">
        <v>115.1894743452327</v>
      </c>
    </row>
    <row r="627">
      <c r="A627" s="117" t="n">
        <v>45323</v>
      </c>
      <c r="B627" s="118" t="n">
        <v>96.37435875325606</v>
      </c>
      <c r="C627" s="118" t="n">
        <v>96.70537816447238</v>
      </c>
      <c r="D627" s="118" t="n">
        <v>95.15430959561706</v>
      </c>
      <c r="E627" s="118" t="n">
        <v>96.24195098876953</v>
      </c>
      <c r="F627" s="119" t="n">
        <v>7666700</v>
      </c>
      <c r="G627" s="120" t="n">
        <v>0.002265353886462096</v>
      </c>
      <c r="H627" s="121" t="n">
        <v>60.49898978311226</v>
      </c>
      <c r="I627" s="118" t="n">
        <v>102.9657371520996</v>
      </c>
      <c r="J627" s="118" t="n">
        <v>101.3011307907104</v>
      </c>
      <c r="K627" s="120" t="n">
        <v>0.2280754833332286</v>
      </c>
      <c r="L627" s="120" t="n">
        <v>-0.1702543898728428</v>
      </c>
      <c r="M627" s="120" t="n">
        <v>-0.2040514386716811</v>
      </c>
      <c r="N627" t="n">
        <v>41.94813633395526</v>
      </c>
      <c r="O627" t="n">
        <v>0.3483638774655526</v>
      </c>
      <c r="P627" t="n">
        <v>114.8247520769922</v>
      </c>
      <c r="Q627" t="n">
        <v>116.545875445507</v>
      </c>
    </row>
    <row r="628">
      <c r="A628" s="117" t="n">
        <v>45324</v>
      </c>
      <c r="B628" s="118" t="n">
        <v>95.4096582931507</v>
      </c>
      <c r="C628" s="118" t="n">
        <v>95.9109244680436</v>
      </c>
      <c r="D628" s="118" t="n">
        <v>94.03828917018801</v>
      </c>
      <c r="E628" s="118" t="n">
        <v>95.24887847900391</v>
      </c>
      <c r="F628" s="119" t="n">
        <v>8966900</v>
      </c>
      <c r="G628" s="120" t="n">
        <v>-0.01031849936086093</v>
      </c>
      <c r="H628" s="121" t="n">
        <v>59.87473099570249</v>
      </c>
      <c r="I628" s="118" t="n">
        <v>102.8663690185547</v>
      </c>
      <c r="J628" s="118" t="n">
        <v>101.1864805984497</v>
      </c>
      <c r="K628" s="120" t="n">
        <v>0.22330486811594</v>
      </c>
      <c r="L628" s="120" t="n">
        <v>-0.178816119420617</v>
      </c>
      <c r="M628" s="120" t="n">
        <v>-0.2095788491009165</v>
      </c>
      <c r="N628" t="n">
        <v>39.49246391523031</v>
      </c>
      <c r="O628" t="n">
        <v>0.2683325876046361</v>
      </c>
      <c r="P628" t="n">
        <v>116.0335536084916</v>
      </c>
      <c r="Q628" t="n">
        <v>118.5155610881588</v>
      </c>
    </row>
    <row r="629">
      <c r="A629" s="117" t="n">
        <v>45327</v>
      </c>
      <c r="B629" s="118" t="n">
        <v>95.05026873945151</v>
      </c>
      <c r="C629" s="118" t="n">
        <v>95.13538491957162</v>
      </c>
      <c r="D629" s="118" t="n">
        <v>93.67889958918479</v>
      </c>
      <c r="E629" s="118" t="n">
        <v>94.27473449707031</v>
      </c>
      <c r="F629" s="119" t="n">
        <v>10097900</v>
      </c>
      <c r="G629" s="120" t="n">
        <v>-0.01022735382809081</v>
      </c>
      <c r="H629" s="121" t="n">
        <v>59.26237093644768</v>
      </c>
      <c r="I629" s="118" t="n">
        <v>102.743182220459</v>
      </c>
      <c r="J629" s="118" t="n">
        <v>101.069487991333</v>
      </c>
      <c r="K629" s="120" t="n">
        <v>0.2258323696355791</v>
      </c>
      <c r="L629" s="120" t="n">
        <v>-0.187214657525227</v>
      </c>
      <c r="M629" s="120" t="n">
        <v>-0.2129348020979865</v>
      </c>
      <c r="N629" t="n">
        <v>37.19240530505131</v>
      </c>
      <c r="O629" t="n">
        <v>0.1600872182800828</v>
      </c>
      <c r="P629" t="n">
        <v>115.6110527050985</v>
      </c>
      <c r="Q629" t="n">
        <v>118.3608579883297</v>
      </c>
    </row>
    <row r="630">
      <c r="A630" s="117" t="n">
        <v>45328</v>
      </c>
      <c r="B630" s="118" t="n">
        <v>94.10450288929579</v>
      </c>
      <c r="C630" s="118" t="n">
        <v>97.06477259359487</v>
      </c>
      <c r="D630" s="118" t="n">
        <v>93.75456394924778</v>
      </c>
      <c r="E630" s="118" t="n">
        <v>97.04586029052734</v>
      </c>
      <c r="F630" s="119" t="n">
        <v>11368600</v>
      </c>
      <c r="G630" s="120" t="n">
        <v>0.02939415112904031</v>
      </c>
      <c r="H630" s="121" t="n">
        <v>61.00433802401888</v>
      </c>
      <c r="I630" s="118" t="n">
        <v>102.6495907592773</v>
      </c>
      <c r="J630" s="118" t="n">
        <v>100.9720627975464</v>
      </c>
      <c r="K630" s="120" t="n">
        <v>0.2443767404195801</v>
      </c>
      <c r="L630" s="120" t="n">
        <v>-0.1633235223330547</v>
      </c>
      <c r="M630" s="120" t="n">
        <v>-0.1897996887224467</v>
      </c>
      <c r="N630" t="n">
        <v>46.70183927589043</v>
      </c>
      <c r="O630" t="n">
        <v>0.2784817079517894</v>
      </c>
      <c r="P630" t="n">
        <v>115.9467157114829</v>
      </c>
      <c r="Q630" t="n">
        <v>118.1232797535615</v>
      </c>
    </row>
    <row r="631">
      <c r="A631" s="117" t="n">
        <v>45329</v>
      </c>
      <c r="B631" s="118" t="n">
        <v>96.83778797524296</v>
      </c>
      <c r="C631" s="118" t="n">
        <v>98.68204417362065</v>
      </c>
      <c r="D631" s="118" t="n">
        <v>96.79995615377852</v>
      </c>
      <c r="E631" s="118" t="n">
        <v>98.16187286376953</v>
      </c>
      <c r="F631" s="119" t="n">
        <v>9447800</v>
      </c>
      <c r="G631" s="120" t="n">
        <v>0.01149984728767572</v>
      </c>
      <c r="H631" s="121" t="n">
        <v>61.70587859518084</v>
      </c>
      <c r="I631" s="118" t="n">
        <v>102.5835981750488</v>
      </c>
      <c r="J631" s="118" t="n">
        <v>100.8751612854004</v>
      </c>
      <c r="K631" s="120" t="n">
        <v>0.2458703294231482</v>
      </c>
      <c r="L631" s="120" t="n">
        <v>-0.1537018706106944</v>
      </c>
      <c r="M631" s="120" t="n">
        <v>-0.1804825088703275</v>
      </c>
      <c r="N631" t="n">
        <v>49.98605125073177</v>
      </c>
      <c r="O631" t="n">
        <v>0.4264630605011395</v>
      </c>
      <c r="P631" t="n">
        <v>116.9137466058653</v>
      </c>
      <c r="Q631" t="n">
        <v>119.338784580611</v>
      </c>
    </row>
    <row r="632">
      <c r="A632" s="117" t="n">
        <v>45330</v>
      </c>
      <c r="B632" s="118" t="n">
        <v>98.76716618719566</v>
      </c>
      <c r="C632" s="118" t="n">
        <v>99.26842518710808</v>
      </c>
      <c r="D632" s="118" t="n">
        <v>97.46200083559266</v>
      </c>
      <c r="E632" s="118" t="n">
        <v>98.14295196533203</v>
      </c>
      <c r="F632" s="119" t="n">
        <v>6330400</v>
      </c>
      <c r="G632" s="120" t="n">
        <v>-0.0001927520114022307</v>
      </c>
      <c r="H632" s="121" t="n">
        <v>61.69398466296627</v>
      </c>
      <c r="I632" s="118" t="n">
        <v>102.5111944580078</v>
      </c>
      <c r="J632" s="118" t="n">
        <v>100.7708614349365</v>
      </c>
      <c r="K632" s="120" t="n">
        <v>0.243349958910749</v>
      </c>
      <c r="L632" s="120" t="n">
        <v>-0.1538649962773803</v>
      </c>
      <c r="M632" s="120" t="n">
        <v>-0.1806404725151219</v>
      </c>
      <c r="N632" t="n">
        <v>49.92987706248525</v>
      </c>
      <c r="O632" t="n">
        <v>0.5118306601506144</v>
      </c>
      <c r="P632" t="n">
        <v>116.9654006914415</v>
      </c>
      <c r="Q632" t="n">
        <v>119.5598219637047</v>
      </c>
    </row>
    <row r="633">
      <c r="A633" s="117" t="n">
        <v>45331</v>
      </c>
      <c r="B633" s="118" t="n">
        <v>98.17132759155174</v>
      </c>
      <c r="C633" s="118" t="n">
        <v>99.24950919314131</v>
      </c>
      <c r="D633" s="118" t="n">
        <v>97.72681273172975</v>
      </c>
      <c r="E633" s="118" t="n">
        <v>98.83336639404297</v>
      </c>
      <c r="F633" s="119" t="n">
        <v>5449000</v>
      </c>
      <c r="G633" s="120" t="n">
        <v>0.00703478359765275</v>
      </c>
      <c r="H633" s="121" t="n">
        <v>62.12798849434715</v>
      </c>
      <c r="I633" s="118" t="n">
        <v>102.4377058410645</v>
      </c>
      <c r="J633" s="118" t="n">
        <v>100.6813904571533</v>
      </c>
      <c r="K633" s="120" t="n">
        <v>0.2328234621741676</v>
      </c>
      <c r="L633" s="120" t="n">
        <v>-0.1479126196317925</v>
      </c>
      <c r="M633" s="120" t="n">
        <v>-0.1748764555505908</v>
      </c>
      <c r="N633" t="n">
        <v>52.0475158048683</v>
      </c>
      <c r="O633" t="n">
        <v>0.5975796197102965</v>
      </c>
      <c r="P633" t="n">
        <v>117.6413903302222</v>
      </c>
      <c r="Q633" t="n">
        <v>120.7366232483547</v>
      </c>
    </row>
    <row r="634">
      <c r="A634" s="117" t="n">
        <v>45334</v>
      </c>
      <c r="B634" s="118" t="n">
        <v>99.06035893439227</v>
      </c>
      <c r="C634" s="118" t="n">
        <v>101.604493102952</v>
      </c>
      <c r="D634" s="118" t="n">
        <v>98.97524274462663</v>
      </c>
      <c r="E634" s="118" t="n">
        <v>101.368049621582</v>
      </c>
      <c r="F634" s="119" t="n">
        <v>7501900</v>
      </c>
      <c r="G634" s="120" t="n">
        <v>0.02564602745021793</v>
      </c>
      <c r="H634" s="121" t="n">
        <v>63.7213245927</v>
      </c>
      <c r="I634" s="118" t="n">
        <v>102.3843707275391</v>
      </c>
      <c r="J634" s="118" t="n">
        <v>100.6084321212768</v>
      </c>
      <c r="K634" s="120" t="n">
        <v>0.2486951739077544</v>
      </c>
      <c r="L634" s="120" t="n">
        <v>-0.1260599632848851</v>
      </c>
      <c r="M634" s="120" t="n">
        <v>-0.1537153144798203</v>
      </c>
      <c r="N634" t="n">
        <v>58.91713216173279</v>
      </c>
      <c r="O634" t="n">
        <v>0.795407427481764</v>
      </c>
      <c r="P634" t="n">
        <v>117.589736244646</v>
      </c>
      <c r="Q634" t="n">
        <v>120.2642349792019</v>
      </c>
    </row>
    <row r="635">
      <c r="A635" s="117" t="n">
        <v>45335</v>
      </c>
      <c r="B635" s="118" t="n">
        <v>99.29679939591524</v>
      </c>
      <c r="C635" s="118" t="n">
        <v>100.0628811589198</v>
      </c>
      <c r="D635" s="118" t="n">
        <v>98.59692873273576</v>
      </c>
      <c r="E635" s="118" t="n">
        <v>99.30625915527344</v>
      </c>
      <c r="F635" s="119" t="n">
        <v>6180500</v>
      </c>
      <c r="G635" s="120" t="n">
        <v>-0.02033964818308609</v>
      </c>
      <c r="H635" s="121" t="n">
        <v>62.42525526872426</v>
      </c>
      <c r="I635" s="118" t="n">
        <v>102.2916848754883</v>
      </c>
      <c r="J635" s="118" t="n">
        <v>100.5164566040039</v>
      </c>
      <c r="K635" s="120" t="n">
        <v>0.2313119179212098</v>
      </c>
      <c r="L635" s="120" t="n">
        <v>-0.1438355961647838</v>
      </c>
      <c r="M635" s="120" t="n">
        <v>-0.1709284472460344</v>
      </c>
      <c r="N635" t="n">
        <v>52.34774482114409</v>
      </c>
      <c r="O635" t="n">
        <v>0.7579645180435941</v>
      </c>
      <c r="P635" t="n">
        <v>115.9701814246446</v>
      </c>
      <c r="Q635" t="n">
        <v>118.3884801853666</v>
      </c>
    </row>
    <row r="636">
      <c r="A636" s="117" t="n">
        <v>45336</v>
      </c>
      <c r="B636" s="118" t="n">
        <v>99.13601971325836</v>
      </c>
      <c r="C636" s="118" t="n">
        <v>100.6492565071284</v>
      </c>
      <c r="D636" s="118" t="n">
        <v>98.79554053267734</v>
      </c>
      <c r="E636" s="118" t="n">
        <v>100.5641403198242</v>
      </c>
      <c r="F636" s="119" t="n">
        <v>5743300</v>
      </c>
      <c r="G636" s="120" t="n">
        <v>0.0126666856173081</v>
      </c>
      <c r="H636" s="121" t="n">
        <v>63.21597635179339</v>
      </c>
      <c r="I636" s="118" t="n">
        <v>102.1564393615723</v>
      </c>
      <c r="J636" s="118" t="n">
        <v>100.4259950256348</v>
      </c>
      <c r="K636" s="120" t="n">
        <v>0.2309204111424128</v>
      </c>
      <c r="L636" s="120" t="n">
        <v>-0.1329908308246732</v>
      </c>
      <c r="M636" s="120" t="n">
        <v>-0.1604268585330464</v>
      </c>
      <c r="N636" t="n">
        <v>55.60042842162064</v>
      </c>
      <c r="O636" t="n">
        <v>0.7851474338600049</v>
      </c>
      <c r="P636" t="n">
        <v>117.0240723535009</v>
      </c>
      <c r="Q636" t="n">
        <v>119.6785982653462</v>
      </c>
    </row>
    <row r="637">
      <c r="A637" s="117" t="n">
        <v>45337</v>
      </c>
      <c r="B637" s="118" t="n">
        <v>101.2167109496449</v>
      </c>
      <c r="C637" s="118" t="n">
        <v>101.519358283143</v>
      </c>
      <c r="D637" s="118" t="n">
        <v>100.0912450115298</v>
      </c>
      <c r="E637" s="118" t="n">
        <v>100.29931640625</v>
      </c>
      <c r="F637" s="119" t="n">
        <v>7201300</v>
      </c>
      <c r="G637" s="120" t="n">
        <v>-0.002633383159563629</v>
      </c>
      <c r="H637" s="121" t="n">
        <v>63.0495044642532</v>
      </c>
      <c r="I637" s="118" t="n">
        <v>101.9843086242676</v>
      </c>
      <c r="J637" s="118" t="n">
        <v>100.3285911941528</v>
      </c>
      <c r="K637" s="120" t="n">
        <v>0.2316638043001136</v>
      </c>
      <c r="L637" s="120" t="n">
        <v>-0.1352739981699668</v>
      </c>
      <c r="M637" s="120" t="n">
        <v>-0.1626377763050074</v>
      </c>
      <c r="N637" t="n">
        <v>54.75306624410405</v>
      </c>
      <c r="O637" t="n">
        <v>0.7524466009809663</v>
      </c>
      <c r="P637" t="n">
        <v>117.8314995026079</v>
      </c>
      <c r="Q637" t="n">
        <v>120.0349698894127</v>
      </c>
    </row>
    <row r="638">
      <c r="A638" s="117" t="n">
        <v>45338</v>
      </c>
      <c r="B638" s="118" t="n">
        <v>98.95631870975448</v>
      </c>
      <c r="C638" s="118" t="n">
        <v>99.02252259288977</v>
      </c>
      <c r="D638" s="118" t="n">
        <v>96.13791658121549</v>
      </c>
      <c r="E638" s="118" t="n">
        <v>97.89705657958984</v>
      </c>
      <c r="F638" s="119" t="n">
        <v>14590100</v>
      </c>
      <c r="G638" s="120" t="n">
        <v>-0.02395090926572319</v>
      </c>
      <c r="H638" s="121" t="n">
        <v>61.53941150358106</v>
      </c>
      <c r="I638" s="118" t="n">
        <v>101.7592143249512</v>
      </c>
      <c r="J638" s="118" t="n">
        <v>100.2222659683228</v>
      </c>
      <c r="K638" s="120" t="n">
        <v>0.2487372254695602</v>
      </c>
      <c r="L638" s="120" t="n">
        <v>-0.1559849721795095</v>
      </c>
      <c r="M638" s="120" t="n">
        <v>-0.1826933629472703</v>
      </c>
      <c r="N638" t="n">
        <v>47.65774747662892</v>
      </c>
      <c r="O638" t="n">
        <v>0.5458048817146555</v>
      </c>
      <c r="P638" t="n">
        <v>117.2447090904622</v>
      </c>
      <c r="Q638" t="n">
        <v>118.9465288774987</v>
      </c>
    </row>
    <row r="639">
      <c r="A639" s="117" t="n">
        <v>45342</v>
      </c>
      <c r="B639" s="118" t="n">
        <v>97.53766113188887</v>
      </c>
      <c r="C639" s="118" t="n">
        <v>98.20915974480044</v>
      </c>
      <c r="D639" s="118" t="n">
        <v>96.62971904052888</v>
      </c>
      <c r="E639" s="118" t="n">
        <v>97.69844818115234</v>
      </c>
      <c r="F639" s="119" t="n">
        <v>8759500</v>
      </c>
      <c r="G639" s="120" t="n">
        <v>-0.002028747394218433</v>
      </c>
      <c r="H639" s="121" t="n">
        <v>61.41456358285144</v>
      </c>
      <c r="I639" s="118" t="n">
        <v>101.516907043457</v>
      </c>
      <c r="J639" s="118" t="n">
        <v>100.1173822784424</v>
      </c>
      <c r="K639" s="120" t="n">
        <v>0.244335637417617</v>
      </c>
      <c r="L639" s="120" t="n">
        <v>-0.1576972654678814</v>
      </c>
      <c r="M639" s="120" t="n">
        <v>-0.1843514716574686</v>
      </c>
      <c r="N639" t="n">
        <v>47.1141503605857</v>
      </c>
      <c r="O639" t="n">
        <v>0.3803607713261471</v>
      </c>
      <c r="P639" t="n">
        <v>116.5992101204816</v>
      </c>
      <c r="Q639" t="n">
        <v>118.048683588288</v>
      </c>
    </row>
    <row r="640">
      <c r="A640" s="117" t="n">
        <v>45343</v>
      </c>
      <c r="B640" s="118" t="n">
        <v>97.74572334900488</v>
      </c>
      <c r="C640" s="118" t="n">
        <v>99.79805081703758</v>
      </c>
      <c r="D640" s="118" t="n">
        <v>97.34850007435629</v>
      </c>
      <c r="E640" s="118" t="n">
        <v>99.56160736083984</v>
      </c>
      <c r="F640" s="119" t="n">
        <v>8888100</v>
      </c>
      <c r="G640" s="120" t="n">
        <v>0.01907050945407884</v>
      </c>
      <c r="H640" s="121" t="n">
        <v>62.58577059827633</v>
      </c>
      <c r="I640" s="118" t="n">
        <v>101.3364533996582</v>
      </c>
      <c r="J640" s="118" t="n">
        <v>100.0361875915527</v>
      </c>
      <c r="K640" s="120" t="n">
        <v>0.2488460860762583</v>
      </c>
      <c r="L640" s="120" t="n">
        <v>-0.1416341232057903</v>
      </c>
      <c r="M640" s="120" t="n">
        <v>-0.1687966386865069</v>
      </c>
      <c r="N640" t="n">
        <v>52.57869714536105</v>
      </c>
      <c r="O640" t="n">
        <v>0.3801216487359694</v>
      </c>
      <c r="P640" t="n">
        <v>116.7048574837951</v>
      </c>
      <c r="Q640" t="n">
        <v>117.5762867753069</v>
      </c>
    </row>
    <row r="641">
      <c r="A641" s="117" t="n">
        <v>45344</v>
      </c>
      <c r="B641" s="118" t="n">
        <v>100.0628782008546</v>
      </c>
      <c r="C641" s="118" t="n">
        <v>100.2614898474119</v>
      </c>
      <c r="D641" s="118" t="n">
        <v>98.43614599208199</v>
      </c>
      <c r="E641" s="118" t="n">
        <v>99.38191986083984</v>
      </c>
      <c r="F641" s="119" t="n">
        <v>6705500</v>
      </c>
      <c r="G641" s="120" t="n">
        <v>-0.001804787053595436</v>
      </c>
      <c r="H641" s="121" t="n">
        <v>62.47281660976127</v>
      </c>
      <c r="I641" s="118" t="n">
        <v>101.1315986633301</v>
      </c>
      <c r="J641" s="118" t="n">
        <v>99.9404235458374</v>
      </c>
      <c r="K641" s="120" t="n">
        <v>0.2445710264970669</v>
      </c>
      <c r="L641" s="120" t="n">
        <v>-0.1431832908274765</v>
      </c>
      <c r="M641" s="120" t="n">
        <v>-0.1702967837519105</v>
      </c>
      <c r="N641" t="n">
        <v>52.0204311196773</v>
      </c>
      <c r="O641" t="n">
        <v>0.3522062703831157</v>
      </c>
      <c r="P641" t="n">
        <v>119.1201065963225</v>
      </c>
      <c r="Q641" t="n">
        <v>121.0184157948043</v>
      </c>
    </row>
    <row r="642">
      <c r="A642" s="117" t="n">
        <v>45345</v>
      </c>
      <c r="B642" s="118" t="n">
        <v>99.55216026370171</v>
      </c>
      <c r="C642" s="118" t="n">
        <v>100.838413313034</v>
      </c>
      <c r="D642" s="118" t="n">
        <v>99.48595638097204</v>
      </c>
      <c r="E642" s="118" t="n">
        <v>99.90209197998047</v>
      </c>
      <c r="F642" s="119" t="n">
        <v>6947300</v>
      </c>
      <c r="G642" s="120" t="n">
        <v>0.005234071950602326</v>
      </c>
      <c r="H642" s="121" t="n">
        <v>62.79980382685355</v>
      </c>
      <c r="I642" s="118" t="n">
        <v>100.8860758972168</v>
      </c>
      <c r="J642" s="118" t="n">
        <v>99.845902633667</v>
      </c>
      <c r="K642" s="120" t="n">
        <v>0.2446613248991336</v>
      </c>
      <c r="L642" s="120" t="n">
        <v>-0.1386986505231892</v>
      </c>
      <c r="M642" s="120" t="n">
        <v>-0.1659540574204218</v>
      </c>
      <c r="N642" t="n">
        <v>53.55773135037849</v>
      </c>
      <c r="O642" t="n">
        <v>0.3522679779172862</v>
      </c>
      <c r="P642" t="n">
        <v>119.2022513506989</v>
      </c>
      <c r="Q642" t="n">
        <v>120.6620441707378</v>
      </c>
    </row>
    <row r="643">
      <c r="A643" s="117" t="n">
        <v>45348</v>
      </c>
      <c r="B643" s="118" t="n">
        <v>99.59945094714716</v>
      </c>
      <c r="C643" s="118" t="n">
        <v>100.3466132228892</v>
      </c>
      <c r="D643" s="118" t="n">
        <v>98.13350567493235</v>
      </c>
      <c r="E643" s="118" t="n">
        <v>98.87120819091797</v>
      </c>
      <c r="F643" s="119" t="n">
        <v>5831500</v>
      </c>
      <c r="G643" s="120" t="n">
        <v>-0.01031894096140729</v>
      </c>
      <c r="H643" s="121" t="n">
        <v>62.15177635877629</v>
      </c>
      <c r="I643" s="118" t="n">
        <v>100.6004522705078</v>
      </c>
      <c r="J643" s="118" t="n">
        <v>99.75456100463867</v>
      </c>
      <c r="K643" s="120" t="n">
        <v>0.2398318667746029</v>
      </c>
      <c r="L643" s="120" t="n">
        <v>-0.1475863682984209</v>
      </c>
      <c r="M643" s="120" t="n">
        <v>-0.1745605282610018</v>
      </c>
      <c r="N643" t="n">
        <v>50.12970003940057</v>
      </c>
      <c r="O643" t="n">
        <v>0.2700742915780495</v>
      </c>
      <c r="P643" t="n">
        <v>118.7656710194087</v>
      </c>
      <c r="Q643" t="n">
        <v>120.5985122631701</v>
      </c>
    </row>
    <row r="644">
      <c r="A644" s="117" t="n">
        <v>45349</v>
      </c>
      <c r="B644" s="118" t="n">
        <v>99.14548038502289</v>
      </c>
      <c r="C644" s="118" t="n">
        <v>99.54270369412883</v>
      </c>
      <c r="D644" s="118" t="n">
        <v>98.35102655112875</v>
      </c>
      <c r="E644" s="118" t="n">
        <v>99.44812774658203</v>
      </c>
      <c r="F644" s="119" t="n">
        <v>5317400</v>
      </c>
      <c r="G644" s="120" t="n">
        <v>0.005835061250086593</v>
      </c>
      <c r="H644" s="121" t="n">
        <v>62.51443578063143</v>
      </c>
      <c r="I644" s="118" t="n">
        <v>100.2974266052246</v>
      </c>
      <c r="J644" s="118" t="n">
        <v>99.67354804992675</v>
      </c>
      <c r="K644" s="120" t="n">
        <v>0.2376599277912032</v>
      </c>
      <c r="L644" s="120" t="n">
        <v>-0.1426124825470334</v>
      </c>
      <c r="M644" s="120" t="n">
        <v>-0.1697440383851657</v>
      </c>
      <c r="N644" t="n">
        <v>51.98202295967639</v>
      </c>
      <c r="O644" t="n">
        <v>0.242623946165038</v>
      </c>
      <c r="P644" t="n">
        <v>118.986315135525</v>
      </c>
      <c r="Q644" t="n">
        <v>120.8885666916286</v>
      </c>
    </row>
    <row r="645">
      <c r="A645" s="117" t="n">
        <v>45350</v>
      </c>
      <c r="B645" s="118" t="n">
        <v>98.455061956146</v>
      </c>
      <c r="C645" s="118" t="n">
        <v>99.72240273956915</v>
      </c>
      <c r="D645" s="118" t="n">
        <v>98.07675095143689</v>
      </c>
      <c r="E645" s="118" t="n">
        <v>98.69150543212891</v>
      </c>
      <c r="F645" s="119" t="n">
        <v>4219800</v>
      </c>
      <c r="G645" s="120" t="n">
        <v>-0.007608210748634492</v>
      </c>
      <c r="H645" s="121" t="n">
        <v>62.0388127783804</v>
      </c>
      <c r="I645" s="118" t="n">
        <v>99.98210586547852</v>
      </c>
      <c r="J645" s="118" t="n">
        <v>99.59479160308838</v>
      </c>
      <c r="K645" s="120" t="n">
        <v>0.2393013560740361</v>
      </c>
      <c r="L645" s="120" t="n">
        <v>-0.1491356674730642</v>
      </c>
      <c r="M645" s="120" t="n">
        <v>-0.1760608007164416</v>
      </c>
      <c r="N645" t="n">
        <v>49.39100087005075</v>
      </c>
      <c r="O645" t="n">
        <v>0.165268142950923</v>
      </c>
      <c r="P645" t="n">
        <v>118.8290653407209</v>
      </c>
      <c r="Q645" t="n">
        <v>120.2449002956589</v>
      </c>
    </row>
    <row r="646">
      <c r="A646" s="117" t="n">
        <v>45351</v>
      </c>
      <c r="B646" s="118" t="n">
        <v>99.28734647996149</v>
      </c>
      <c r="C646" s="118" t="n">
        <v>99.84534961340476</v>
      </c>
      <c r="D646" s="118" t="n">
        <v>98.05783753256669</v>
      </c>
      <c r="E646" s="118" t="n">
        <v>98.29428100585938</v>
      </c>
      <c r="F646" s="119" t="n">
        <v>10811600</v>
      </c>
      <c r="G646" s="120" t="n">
        <v>-0.004024909991293124</v>
      </c>
      <c r="H646" s="121" t="n">
        <v>61.78911214098074</v>
      </c>
      <c r="I646" s="118" t="n">
        <v>99.6488151550293</v>
      </c>
      <c r="J646" s="118" t="n">
        <v>99.5234595489502</v>
      </c>
      <c r="K646" s="120" t="n">
        <v>0.2201972805719823</v>
      </c>
      <c r="L646" s="120" t="n">
        <v>-0.1525603198262867</v>
      </c>
      <c r="M646" s="120" t="n">
        <v>-0.179377081831856</v>
      </c>
      <c r="N646" t="n">
        <v>48.03725360246873</v>
      </c>
      <c r="O646" t="n">
        <v>0.08324693872213068</v>
      </c>
      <c r="P646" t="n">
        <v>119.2562372492811</v>
      </c>
      <c r="Q646" t="n">
        <v>121.2753287131154</v>
      </c>
    </row>
    <row r="647">
      <c r="A647" s="117" t="n">
        <v>45352</v>
      </c>
      <c r="B647" s="118" t="n">
        <v>98.58851897571495</v>
      </c>
      <c r="C647" s="118" t="n">
        <v>98.65495939218735</v>
      </c>
      <c r="D647" s="118" t="n">
        <v>96.65224609949649</v>
      </c>
      <c r="E647" s="118" t="n">
        <v>96.69969940185547</v>
      </c>
      <c r="F647" s="119" t="n">
        <v>7349300</v>
      </c>
      <c r="G647" s="120" t="n">
        <v>-0.01622252676031932</v>
      </c>
      <c r="H647" s="121" t="n">
        <v>60.7867366157773</v>
      </c>
      <c r="I647" s="118" t="n">
        <v>99.29138839721679</v>
      </c>
      <c r="J647" s="118" t="n">
        <v>99.44593364715575</v>
      </c>
      <c r="K647" s="120" t="n">
        <v>0.2286929441927518</v>
      </c>
      <c r="L647" s="120" t="n">
        <v>-0.1663079327156614</v>
      </c>
      <c r="M647" s="120" t="n">
        <v>-0.1926896590819701</v>
      </c>
      <c r="N647" t="n">
        <v>42.94827130117942</v>
      </c>
      <c r="O647" t="n">
        <v>-0.07400103587032976</v>
      </c>
      <c r="P647" t="n">
        <v>120.3758543124556</v>
      </c>
      <c r="Q647" t="n">
        <v>123.1013669698156</v>
      </c>
    </row>
    <row r="648">
      <c r="A648" s="117" t="n">
        <v>45355</v>
      </c>
      <c r="B648" s="118" t="n">
        <v>96.48139673224748</v>
      </c>
      <c r="C648" s="118" t="n">
        <v>96.59529044925202</v>
      </c>
      <c r="D648" s="118" t="n">
        <v>93.97563357767717</v>
      </c>
      <c r="E648" s="118" t="n">
        <v>94.47868347167969</v>
      </c>
      <c r="F648" s="119" t="n">
        <v>11050900</v>
      </c>
      <c r="G648" s="120" t="n">
        <v>-0.02296817822510377</v>
      </c>
      <c r="H648" s="121" t="n">
        <v>59.39057601546369</v>
      </c>
      <c r="I648" s="118" t="n">
        <v>98.86116790771484</v>
      </c>
      <c r="J648" s="118" t="n">
        <v>99.37298686981201</v>
      </c>
      <c r="K648" s="120" t="n">
        <v>0.2406067217714052</v>
      </c>
      <c r="L648" s="120" t="n">
        <v>-0.1854563207019032</v>
      </c>
      <c r="M648" s="120" t="n">
        <v>-0.2112321068751447</v>
      </c>
      <c r="N648" t="n">
        <v>37.05929822213871</v>
      </c>
      <c r="O648" t="n">
        <v>-0.3099654059757924</v>
      </c>
      <c r="P648" t="n">
        <v>120.2467633734456</v>
      </c>
      <c r="Q648" t="n">
        <v>122.6621287546384</v>
      </c>
    </row>
    <row r="649">
      <c r="A649" s="117" t="n">
        <v>45356</v>
      </c>
      <c r="B649" s="118" t="n">
        <v>93.96615143871247</v>
      </c>
      <c r="C649" s="118" t="n">
        <v>94.12750571838336</v>
      </c>
      <c r="D649" s="118" t="n">
        <v>93.01699839387699</v>
      </c>
      <c r="E649" s="118" t="n">
        <v>93.31123352050781</v>
      </c>
      <c r="F649" s="119" t="n">
        <v>8670600</v>
      </c>
      <c r="G649" s="120" t="n">
        <v>-0.01235675507186573</v>
      </c>
      <c r="H649" s="121" t="n">
        <v>58.65670121406359</v>
      </c>
      <c r="I649" s="118" t="n">
        <v>98.43048629760742</v>
      </c>
      <c r="J649" s="118" t="n">
        <v>99.29186183929443</v>
      </c>
      <c r="K649" s="120" t="n">
        <v>0.2418876750092082</v>
      </c>
      <c r="L649" s="120" t="n">
        <v>-0.1955214374423261</v>
      </c>
      <c r="M649" s="120" t="n">
        <v>-0.2209787185390402</v>
      </c>
      <c r="N649" t="n">
        <v>34.38999862580522</v>
      </c>
      <c r="O649" t="n">
        <v>-0.5149554522876463</v>
      </c>
      <c r="P649" t="n">
        <v>119.0450015558947</v>
      </c>
      <c r="Q649" t="n">
        <v>120.4603841903289</v>
      </c>
    </row>
    <row r="650">
      <c r="A650" s="117" t="n">
        <v>45357</v>
      </c>
      <c r="B650" s="118" t="n">
        <v>94.91528933676624</v>
      </c>
      <c r="C650" s="118" t="n">
        <v>95.01020317781062</v>
      </c>
      <c r="D650" s="118" t="n">
        <v>92.12477751299751</v>
      </c>
      <c r="E650" s="118" t="n">
        <v>92.66579437255859</v>
      </c>
      <c r="F650" s="119" t="n">
        <v>10045300</v>
      </c>
      <c r="G650" s="120" t="n">
        <v>-0.006917057288792217</v>
      </c>
      <c r="H650" s="121" t="n">
        <v>58.25096945139434</v>
      </c>
      <c r="I650" s="118" t="n">
        <v>97.96608886718749</v>
      </c>
      <c r="J650" s="118" t="n">
        <v>99.19866092681885</v>
      </c>
      <c r="K650" s="120" t="n">
        <v>0.2154569291664309</v>
      </c>
      <c r="L650" s="120" t="n">
        <v>-0.2010860617471427</v>
      </c>
      <c r="M650" s="120" t="n">
        <v>-0.2263672533720938</v>
      </c>
      <c r="N650" t="n">
        <v>32.97584129459132</v>
      </c>
      <c r="O650" t="n">
        <v>-0.6552982779705944</v>
      </c>
      <c r="P650" t="n">
        <v>119.6482253464088</v>
      </c>
      <c r="Q650" t="n">
        <v>121.2173246624864</v>
      </c>
    </row>
    <row r="651">
      <c r="A651" s="117" t="n">
        <v>45358</v>
      </c>
      <c r="B651" s="118" t="n">
        <v>93.00749173305501</v>
      </c>
      <c r="C651" s="118" t="n">
        <v>93.39664790251604</v>
      </c>
      <c r="D651" s="118" t="n">
        <v>92.7132566478756</v>
      </c>
      <c r="E651" s="118" t="n">
        <v>93.19732666015625</v>
      </c>
      <c r="F651" s="119" t="n">
        <v>8133900</v>
      </c>
      <c r="G651" s="120" t="n">
        <v>0.005736013932613027</v>
      </c>
      <c r="H651" s="121" t="n">
        <v>58.58509782375575</v>
      </c>
      <c r="I651" s="118" t="n">
        <v>97.78640731811524</v>
      </c>
      <c r="J651" s="118" t="n">
        <v>99.12736000061035</v>
      </c>
      <c r="K651" s="120" t="n">
        <v>0.211524856065321</v>
      </c>
      <c r="L651" s="120" t="n">
        <v>-0.1965034802663657</v>
      </c>
      <c r="M651" s="120" t="n">
        <v>-0.2219296851587105</v>
      </c>
      <c r="N651" t="n">
        <v>35.33414443603122</v>
      </c>
      <c r="O651" t="n">
        <v>-0.6711593506348834</v>
      </c>
      <c r="P651" t="n">
        <v>120.8359003569075</v>
      </c>
      <c r="Q651" t="n">
        <v>123.0571526581342</v>
      </c>
    </row>
    <row r="652">
      <c r="A652" s="117" t="n">
        <v>45359</v>
      </c>
      <c r="B652" s="118" t="n">
        <v>93.48207348462017</v>
      </c>
      <c r="C652" s="118" t="n">
        <v>94.26987218343166</v>
      </c>
      <c r="D652" s="118" t="n">
        <v>93.03597043248686</v>
      </c>
      <c r="E652" s="118" t="n">
        <v>94.11801147460938</v>
      </c>
      <c r="F652" s="119" t="n">
        <v>9043500</v>
      </c>
      <c r="G652" s="120" t="n">
        <v>0.009878875794478548</v>
      </c>
      <c r="H652" s="121" t="n">
        <v>59.163852728564</v>
      </c>
      <c r="I652" s="118" t="n">
        <v>97.62551773071289</v>
      </c>
      <c r="J652" s="118" t="n">
        <v>99.08210536956787</v>
      </c>
      <c r="K652" s="120" t="n">
        <v>0.2159611312994123</v>
      </c>
      <c r="L652" s="120" t="n">
        <v>-0.1885658379466214</v>
      </c>
      <c r="M652" s="120" t="n">
        <v>-0.2142432251590226</v>
      </c>
      <c r="N652" t="n">
        <v>39.31705814848829</v>
      </c>
      <c r="O652" t="n">
        <v>-0.5818016954268068</v>
      </c>
      <c r="P652" t="n">
        <v>120.110632720487</v>
      </c>
      <c r="Q652" t="n">
        <v>121.2808651138825</v>
      </c>
    </row>
    <row r="653">
      <c r="A653" s="117" t="n">
        <v>45362</v>
      </c>
      <c r="B653" s="118" t="n">
        <v>94.82038311727611</v>
      </c>
      <c r="C653" s="118" t="n">
        <v>96.58580822015976</v>
      </c>
      <c r="D653" s="118" t="n">
        <v>94.38377362020823</v>
      </c>
      <c r="E653" s="118" t="n">
        <v>95.94038391113281</v>
      </c>
      <c r="F653" s="119" t="n">
        <v>8537400</v>
      </c>
      <c r="G653" s="120" t="n">
        <v>0.01936263216754286</v>
      </c>
      <c r="H653" s="121" t="n">
        <v>60.30942064656186</v>
      </c>
      <c r="I653" s="118" t="n">
        <v>97.51791046142579</v>
      </c>
      <c r="J653" s="118" t="n">
        <v>99.05251720428467</v>
      </c>
      <c r="K653" s="120" t="n">
        <v>0.226957639013213</v>
      </c>
      <c r="L653" s="120" t="n">
        <v>-0.1728543367386035</v>
      </c>
      <c r="M653" s="120" t="n">
        <v>-0.199028905754622</v>
      </c>
      <c r="N653" t="n">
        <v>46.35958971468016</v>
      </c>
      <c r="O653" t="n">
        <v>-0.3723096146722714</v>
      </c>
      <c r="P653" t="n">
        <v>120.0073540659549</v>
      </c>
      <c r="Q653" t="n">
        <v>120.8305540971712</v>
      </c>
    </row>
    <row r="654">
      <c r="A654" s="117" t="n">
        <v>45363</v>
      </c>
      <c r="B654" s="118" t="n">
        <v>95.66512737656723</v>
      </c>
      <c r="C654" s="118" t="n">
        <v>96.21563782941455</v>
      </c>
      <c r="D654" s="118" t="n">
        <v>94.58309358522587</v>
      </c>
      <c r="E654" s="118" t="n">
        <v>95.08614349365234</v>
      </c>
      <c r="F654" s="119" t="n">
        <v>7040900</v>
      </c>
      <c r="G654" s="120" t="n">
        <v>-0.008903866991732401</v>
      </c>
      <c r="H654" s="121" t="n">
        <v>59.77243358677643</v>
      </c>
      <c r="I654" s="118" t="n">
        <v>97.36125106811524</v>
      </c>
      <c r="J654" s="118" t="n">
        <v>99.02095180511475</v>
      </c>
      <c r="K654" s="120" t="n">
        <v>0.2043890187637707</v>
      </c>
      <c r="L654" s="120" t="n">
        <v>-0.1802191317070713</v>
      </c>
      <c r="M654" s="120" t="n">
        <v>-0.2061606458420051</v>
      </c>
      <c r="N654" t="n">
        <v>43.79390376315897</v>
      </c>
      <c r="O654" t="n">
        <v>-0.2684681347827191</v>
      </c>
      <c r="P654" t="n">
        <v>121.2983151101408</v>
      </c>
      <c r="Q654" t="n">
        <v>122.5626785927115</v>
      </c>
    </row>
    <row r="655">
      <c r="A655" s="117" t="n">
        <v>45364</v>
      </c>
      <c r="B655" s="118" t="n">
        <v>95.49427393519223</v>
      </c>
      <c r="C655" s="118" t="n">
        <v>96.81359588807551</v>
      </c>
      <c r="D655" s="118" t="n">
        <v>95.22851228158437</v>
      </c>
      <c r="E655" s="118" t="n">
        <v>96.20613861083984</v>
      </c>
      <c r="F655" s="119" t="n">
        <v>7326400</v>
      </c>
      <c r="G655" s="120" t="n">
        <v>0.01177874163402448</v>
      </c>
      <c r="H655" s="121" t="n">
        <v>60.47647763883196</v>
      </c>
      <c r="I655" s="118" t="n">
        <v>97.23172058105469</v>
      </c>
      <c r="J655" s="118" t="n">
        <v>98.99877876281738</v>
      </c>
      <c r="K655" s="120" t="n">
        <v>0.2002437636279972</v>
      </c>
      <c r="L655" s="120" t="n">
        <v>-0.1705631446629327</v>
      </c>
      <c r="M655" s="120" t="n">
        <v>-0.1968102171904573</v>
      </c>
      <c r="N655" t="n">
        <v>47.86763207183775</v>
      </c>
      <c r="O655" t="n">
        <v>-0.1096869538557914</v>
      </c>
      <c r="P655" t="n">
        <v>121.1081616628246</v>
      </c>
      <c r="Q655" t="n">
        <v>121.6206531671328</v>
      </c>
    </row>
    <row r="656">
      <c r="A656" s="117" t="n">
        <v>45365</v>
      </c>
      <c r="B656" s="118" t="n">
        <v>97.00343069614217</v>
      </c>
      <c r="C656" s="118" t="n">
        <v>97.27868592658432</v>
      </c>
      <c r="D656" s="118" t="n">
        <v>95.0007173489127</v>
      </c>
      <c r="E656" s="118" t="n">
        <v>95.16207885742188</v>
      </c>
      <c r="F656" s="119" t="n">
        <v>8350900</v>
      </c>
      <c r="G656" s="120" t="n">
        <v>-0.01085231949326293</v>
      </c>
      <c r="H656" s="121" t="n">
        <v>59.82016758166818</v>
      </c>
      <c r="I656" s="118" t="n">
        <v>97.11951812744141</v>
      </c>
      <c r="J656" s="118" t="n">
        <v>98.97124496459961</v>
      </c>
      <c r="K656" s="120" t="n">
        <v>0.1955082804981934</v>
      </c>
      <c r="L656" s="120" t="n">
        <v>-0.1795644584165378</v>
      </c>
      <c r="M656" s="120" t="n">
        <v>-0.2055266893272309</v>
      </c>
      <c r="N656" t="n">
        <v>44.62093887252778</v>
      </c>
      <c r="O656" t="n">
        <v>-0.06264913201519462</v>
      </c>
      <c r="P656" t="n">
        <v>120.868759734489</v>
      </c>
      <c r="Q656" t="n">
        <v>121.3140322555149</v>
      </c>
    </row>
    <row r="657">
      <c r="A657" s="117" t="n">
        <v>45366</v>
      </c>
      <c r="B657" s="118" t="n">
        <v>95.20003752135621</v>
      </c>
      <c r="C657" s="118" t="n">
        <v>96.01630958399622</v>
      </c>
      <c r="D657" s="118" t="n">
        <v>94.28884437678822</v>
      </c>
      <c r="E657" s="118" t="n">
        <v>94.57359313964844</v>
      </c>
      <c r="F657" s="119" t="n">
        <v>15208500</v>
      </c>
      <c r="G657" s="120" t="n">
        <v>-0.00618403596095396</v>
      </c>
      <c r="H657" s="121" t="n">
        <v>59.45023751415286</v>
      </c>
      <c r="I657" s="118" t="n">
        <v>97.04302368164062</v>
      </c>
      <c r="J657" s="118" t="n">
        <v>98.9454037475586</v>
      </c>
      <c r="K657" s="120" t="n">
        <v>0.1959017639079966</v>
      </c>
      <c r="L657" s="120" t="n">
        <v>-0.1846380613093346</v>
      </c>
      <c r="M657" s="120" t="n">
        <v>-0.2104397408504495</v>
      </c>
      <c r="N657" t="n">
        <v>42.85648187109106</v>
      </c>
      <c r="O657" t="n">
        <v>-0.05889922247322288</v>
      </c>
      <c r="P657" t="n">
        <v>120.0388114040708</v>
      </c>
      <c r="Q657" t="n">
        <v>119.871962188433</v>
      </c>
    </row>
    <row r="658">
      <c r="A658" s="117" t="n">
        <v>45369</v>
      </c>
      <c r="B658" s="118" t="n">
        <v>93.94716227364914</v>
      </c>
      <c r="C658" s="118" t="n">
        <v>94.59258656996995</v>
      </c>
      <c r="D658" s="118" t="n">
        <v>93.51054554371426</v>
      </c>
      <c r="E658" s="118" t="n">
        <v>93.7193603515625</v>
      </c>
      <c r="F658" s="119" t="n">
        <v>7207000</v>
      </c>
      <c r="G658" s="120" t="n">
        <v>-0.009032466249057181</v>
      </c>
      <c r="H658" s="121" t="n">
        <v>58.91325525030784</v>
      </c>
      <c r="I658" s="118" t="n">
        <v>96.98235733032226</v>
      </c>
      <c r="J658" s="118" t="n">
        <v>98.92119049072265</v>
      </c>
      <c r="K658" s="120" t="n">
        <v>0.1812079465404696</v>
      </c>
      <c r="L658" s="120" t="n">
        <v>-0.1912773712872542</v>
      </c>
      <c r="M658" s="120" t="n">
        <v>-0.2175714172428146</v>
      </c>
      <c r="N658" t="n">
        <v>40.36151475885457</v>
      </c>
      <c r="O658" t="n">
        <v>-0.09930302814004266</v>
      </c>
      <c r="P658" t="n">
        <v>120.7522281174291</v>
      </c>
      <c r="Q658" t="n">
        <v>121.0152374906603</v>
      </c>
    </row>
    <row r="659">
      <c r="A659" s="117" t="n">
        <v>45370</v>
      </c>
      <c r="B659" s="118" t="n">
        <v>93.49156454260994</v>
      </c>
      <c r="C659" s="118" t="n">
        <v>94.95326093844449</v>
      </c>
      <c r="D659" s="118" t="n">
        <v>93.43461768350672</v>
      </c>
      <c r="E659" s="118" t="n">
        <v>94.87732696533203</v>
      </c>
      <c r="F659" s="119" t="n">
        <v>6168900</v>
      </c>
      <c r="G659" s="120" t="n">
        <v>0.01235568200023707</v>
      </c>
      <c r="H659" s="121" t="n">
        <v>59.64116869777943</v>
      </c>
      <c r="I659" s="118" t="n">
        <v>96.94901214599609</v>
      </c>
      <c r="J659" s="118" t="n">
        <v>98.91039844512939</v>
      </c>
      <c r="K659" s="120" t="n">
        <v>0.1883529475941936</v>
      </c>
      <c r="L659" s="120" t="n">
        <v>-0.1812850516604838</v>
      </c>
      <c r="M659" s="120" t="n">
        <v>-0.2079039784863707</v>
      </c>
      <c r="N659" t="n">
        <v>45.03299848070763</v>
      </c>
      <c r="O659" t="n">
        <v>-0.0366232961931704</v>
      </c>
      <c r="P659" t="n">
        <v>121.4232515848395</v>
      </c>
      <c r="Q659" t="n">
        <v>121.3167406491</v>
      </c>
    </row>
    <row r="660">
      <c r="A660" s="117" t="n">
        <v>45371</v>
      </c>
      <c r="B660" s="118" t="n">
        <v>94.39324950596706</v>
      </c>
      <c r="C660" s="118" t="n">
        <v>95.33291605595348</v>
      </c>
      <c r="D660" s="118" t="n">
        <v>93.99460704070951</v>
      </c>
      <c r="E660" s="118" t="n">
        <v>95.17155456542969</v>
      </c>
      <c r="F660" s="119" t="n">
        <v>7771700</v>
      </c>
      <c r="G660" s="120" t="n">
        <v>0.003101137115774311</v>
      </c>
      <c r="H660" s="121" t="n">
        <v>59.82612413965628</v>
      </c>
      <c r="I660" s="118" t="n">
        <v>96.89242141723633</v>
      </c>
      <c r="J660" s="118" t="n">
        <v>98.87998699188232</v>
      </c>
      <c r="K660" s="120" t="n">
        <v>0.1732623157700159</v>
      </c>
      <c r="L660" s="120" t="n">
        <v>-0.07527813207802569</v>
      </c>
      <c r="M660" s="120" t="n">
        <v>-0.2054475801147976</v>
      </c>
      <c r="N660" t="n">
        <v>46.18643072656767</v>
      </c>
      <c r="O660" t="n">
        <v>0.0323430908474277</v>
      </c>
      <c r="P660" t="n">
        <v>122.5463368509027</v>
      </c>
      <c r="Q660" t="n">
        <v>122.7551454138222</v>
      </c>
    </row>
    <row r="661">
      <c r="A661" s="117" t="n">
        <v>45372</v>
      </c>
      <c r="B661" s="118" t="n">
        <v>95.33291278751064</v>
      </c>
      <c r="C661" s="118" t="n">
        <v>96.73765492400828</v>
      </c>
      <c r="D661" s="118" t="n">
        <v>94.68748857192858</v>
      </c>
      <c r="E661" s="118" t="n">
        <v>95.69358825683594</v>
      </c>
      <c r="F661" s="119" t="n">
        <v>17176000</v>
      </c>
      <c r="G661" s="120" t="n">
        <v>0.005485186133503239</v>
      </c>
      <c r="H661" s="121" t="n">
        <v>60.15428156620837</v>
      </c>
      <c r="I661" s="118" t="n">
        <v>96.86291717529296</v>
      </c>
      <c r="J661" s="118" t="n">
        <v>98.86430442810058</v>
      </c>
      <c r="K661" s="120" t="n">
        <v>0.1753995813523031</v>
      </c>
      <c r="L661" s="120" t="n">
        <v>-0.07020586051075284</v>
      </c>
      <c r="M661" s="120" t="n">
        <v>-0.2010893121989017</v>
      </c>
      <c r="N661" t="n">
        <v>48.26090786251268</v>
      </c>
      <c r="O661" t="n">
        <v>0.1160988356421579</v>
      </c>
      <c r="P661" t="n">
        <v>122.9513122609752</v>
      </c>
      <c r="Q661" t="n">
        <v>123.3360573906035</v>
      </c>
    </row>
    <row r="662">
      <c r="A662" s="117" t="n">
        <v>45373</v>
      </c>
      <c r="B662" s="118" t="n">
        <v>89.07800796823028</v>
      </c>
      <c r="C662" s="118" t="n">
        <v>90.33088964372692</v>
      </c>
      <c r="D662" s="118" t="n">
        <v>87.05631467683834</v>
      </c>
      <c r="E662" s="118" t="n">
        <v>89.08750152587891</v>
      </c>
      <c r="F662" s="119" t="n">
        <v>41837400</v>
      </c>
      <c r="G662" s="120" t="n">
        <v>-0.06903374459349021</v>
      </c>
      <c r="H662" s="121" t="n">
        <v>56.00160625636185</v>
      </c>
      <c r="I662" s="118" t="n">
        <v>96.68180816650391</v>
      </c>
      <c r="J662" s="118" t="n">
        <v>98.8109412765503</v>
      </c>
      <c r="K662" s="120" t="n">
        <v>0.2938438384777742</v>
      </c>
      <c r="L662" s="120" t="n">
        <v>-0.1343930316607775</v>
      </c>
      <c r="M662" s="120" t="n">
        <v>-0.2562411085735724</v>
      </c>
      <c r="N662" t="n">
        <v>31.63927213975074</v>
      </c>
      <c r="O662" t="n">
        <v>-0.2504309566792395</v>
      </c>
      <c r="P662" t="n">
        <v>122.7182342685452</v>
      </c>
      <c r="Q662" t="n">
        <v>123.4771501718802</v>
      </c>
    </row>
    <row r="663">
      <c r="A663" s="117" t="n">
        <v>45376</v>
      </c>
      <c r="B663" s="118" t="n">
        <v>89.28681427495741</v>
      </c>
      <c r="C663" s="118" t="n">
        <v>90.6630831028192</v>
      </c>
      <c r="D663" s="118" t="n">
        <v>88.05291259093769</v>
      </c>
      <c r="E663" s="118" t="n">
        <v>88.98308563232422</v>
      </c>
      <c r="F663" s="119" t="n">
        <v>14548800</v>
      </c>
      <c r="G663" s="120" t="n">
        <v>-0.001172059960895311</v>
      </c>
      <c r="H663" s="121" t="n">
        <v>55.93596901592294</v>
      </c>
      <c r="I663" s="118" t="n">
        <v>96.45832077026367</v>
      </c>
      <c r="J663" s="118" t="n">
        <v>98.75282852172852</v>
      </c>
      <c r="K663" s="120" t="n">
        <v>0.2936663835200084</v>
      </c>
      <c r="L663" s="120" t="n">
        <v>-0.1354075749302399</v>
      </c>
      <c r="M663" s="120" t="n">
        <v>-0.2571128385907732</v>
      </c>
      <c r="N663" t="n">
        <v>31.45486694685094</v>
      </c>
      <c r="O663" t="n">
        <v>-0.4644846762475716</v>
      </c>
      <c r="P663" t="n">
        <v>122.379184229978</v>
      </c>
      <c r="Q663" t="n">
        <v>123.029026375225</v>
      </c>
    </row>
    <row r="664">
      <c r="A664" s="117" t="n">
        <v>45377</v>
      </c>
      <c r="B664" s="118" t="n">
        <v>88.97359513377458</v>
      </c>
      <c r="C664" s="118" t="n">
        <v>89.08749609422529</v>
      </c>
      <c r="D664" s="118" t="n">
        <v>87.71122721905847</v>
      </c>
      <c r="E664" s="118" t="n">
        <v>87.87258148193359</v>
      </c>
      <c r="F664" s="119" t="n">
        <v>10816900</v>
      </c>
      <c r="G664" s="120" t="n">
        <v>-0.01247994652578355</v>
      </c>
      <c r="H664" s="121" t="n">
        <v>55.23789111373634</v>
      </c>
      <c r="I664" s="118" t="n">
        <v>96.22851226806641</v>
      </c>
      <c r="J664" s="118" t="n">
        <v>98.69334384918213</v>
      </c>
      <c r="K664" s="120" t="n">
        <v>0.2918221257275673</v>
      </c>
      <c r="L664" s="120" t="n">
        <v>-0.1442315679633772</v>
      </c>
      <c r="M664" s="120" t="n">
        <v>-0.2663840306398515</v>
      </c>
      <c r="N664" t="n">
        <v>29.48649114302947</v>
      </c>
      <c r="O664" t="n">
        <v>-0.6348958452928224</v>
      </c>
      <c r="P664" t="n">
        <v>122.1531533306516</v>
      </c>
      <c r="Q664" t="n">
        <v>122.6306960101601</v>
      </c>
    </row>
    <row r="665">
      <c r="A665" s="117" t="n">
        <v>45378</v>
      </c>
      <c r="B665" s="118" t="n">
        <v>88.52747801685908</v>
      </c>
      <c r="C665" s="118" t="n">
        <v>89.36273711112113</v>
      </c>
      <c r="D665" s="118" t="n">
        <v>87.62578575805652</v>
      </c>
      <c r="E665" s="118" t="n">
        <v>89.34375</v>
      </c>
      <c r="F665" s="119" t="n">
        <v>11095700</v>
      </c>
      <c r="G665" s="120" t="n">
        <v>0.01674206553689195</v>
      </c>
      <c r="H665" s="121" t="n">
        <v>56.16268750688221</v>
      </c>
      <c r="I665" s="118" t="n">
        <v>96.09130508422851</v>
      </c>
      <c r="J665" s="118" t="n">
        <v>98.64281204223633</v>
      </c>
      <c r="K665" s="120" t="n">
        <v>0.302645390860231</v>
      </c>
      <c r="L665" s="120" t="n">
        <v>-0.118620212842903</v>
      </c>
      <c r="M665" s="120" t="n">
        <v>-0.2541017840019134</v>
      </c>
      <c r="N665" t="n">
        <v>35.26586067009767</v>
      </c>
      <c r="O665" t="n">
        <v>-0.6028160995939784</v>
      </c>
      <c r="P665" t="n">
        <v>123.1797044899279</v>
      </c>
      <c r="Q665" t="n">
        <v>123.0483866902531</v>
      </c>
    </row>
    <row r="666">
      <c r="A666" s="117" t="n">
        <v>45379</v>
      </c>
      <c r="B666" s="118" t="n">
        <v>89.57155451972596</v>
      </c>
      <c r="C666" s="118" t="n">
        <v>89.98917683768157</v>
      </c>
      <c r="D666" s="118" t="n">
        <v>88.67934854877568</v>
      </c>
      <c r="E666" s="118" t="n">
        <v>89.20138549804688</v>
      </c>
      <c r="F666" s="119" t="n">
        <v>11331700</v>
      </c>
      <c r="G666" s="120" t="n">
        <v>-0.001593446681532051</v>
      </c>
      <c r="H666" s="121" t="n">
        <v>56.07319525884845</v>
      </c>
      <c r="I666" s="118" t="n">
        <v>95.96827438354492</v>
      </c>
      <c r="J666" s="118" t="n">
        <v>98.58701202392578</v>
      </c>
      <c r="K666" s="120" t="n">
        <v>0.3028494219596155</v>
      </c>
      <c r="L666" s="120" t="n">
        <v>-0.1200246445399179</v>
      </c>
      <c r="M666" s="120" t="n">
        <v>-0.2552903330389562</v>
      </c>
      <c r="N666" t="n">
        <v>34.96718981717267</v>
      </c>
      <c r="O666" t="n">
        <v>-0.5470986127154094</v>
      </c>
      <c r="P666" t="n">
        <v>123.1561428477501</v>
      </c>
      <c r="Q666" t="n">
        <v>122.8215480477136</v>
      </c>
    </row>
    <row r="667">
      <c r="A667" s="117" t="n">
        <v>45383</v>
      </c>
      <c r="B667" s="118" t="n">
        <v>89.04003306841881</v>
      </c>
      <c r="C667" s="118" t="n">
        <v>89.14444046888944</v>
      </c>
      <c r="D667" s="118" t="n">
        <v>87.0278335134475</v>
      </c>
      <c r="E667" s="118" t="n">
        <v>87.85359191894531</v>
      </c>
      <c r="F667" s="119" t="n">
        <v>10360000</v>
      </c>
      <c r="G667" s="120" t="n">
        <v>-0.01510955879862508</v>
      </c>
      <c r="H667" s="121" t="n">
        <v>55.2259540180581</v>
      </c>
      <c r="I667" s="118" t="n">
        <v>95.81601776123047</v>
      </c>
      <c r="J667" s="118" t="n">
        <v>98.52470794677734</v>
      </c>
      <c r="K667" s="120" t="n">
        <v>0.3023113171591266</v>
      </c>
      <c r="L667" s="120" t="n">
        <v>-0.1333206839145831</v>
      </c>
      <c r="M667" s="120" t="n">
        <v>-0.2665425675398085</v>
      </c>
      <c r="N667" t="n">
        <v>32.18787929163889</v>
      </c>
      <c r="O667" t="n">
        <v>-0.5551669695319277</v>
      </c>
      <c r="P667" t="n">
        <v>122.9418890799351</v>
      </c>
      <c r="Q667" t="n">
        <v>123.0815794633704</v>
      </c>
    </row>
    <row r="668">
      <c r="A668" s="117" t="n">
        <v>45384</v>
      </c>
      <c r="B668" s="118" t="n">
        <v>87.09426579982022</v>
      </c>
      <c r="C668" s="118" t="n">
        <v>87.22714661684277</v>
      </c>
      <c r="D668" s="118" t="n">
        <v>86.03121202217837</v>
      </c>
      <c r="E668" s="118" t="n">
        <v>86.32544708251953</v>
      </c>
      <c r="F668" s="119" t="n">
        <v>11107300</v>
      </c>
      <c r="G668" s="120" t="n">
        <v>-0.01739422148881131</v>
      </c>
      <c r="H668" s="121" t="n">
        <v>54.26534154193708</v>
      </c>
      <c r="I668" s="118" t="n">
        <v>95.6173095703125</v>
      </c>
      <c r="J668" s="118" t="n">
        <v>98.42620388031006</v>
      </c>
      <c r="K668" s="120" t="n">
        <v>0.2984442198614375</v>
      </c>
      <c r="L668" s="120" t="n">
        <v>-0.1483958958983443</v>
      </c>
      <c r="M668" s="120" t="n">
        <v>-0.279300488572636</v>
      </c>
      <c r="N668" t="n">
        <v>29.34035448445611</v>
      </c>
      <c r="O668" t="n">
        <v>-0.6130363589294596</v>
      </c>
      <c r="P668" t="n">
        <v>122.1602151820654</v>
      </c>
      <c r="Q668" t="n">
        <v>122.0193594606449</v>
      </c>
    </row>
    <row r="669">
      <c r="A669" s="117" t="n">
        <v>45385</v>
      </c>
      <c r="B669" s="118" t="n">
        <v>86.38240083572431</v>
      </c>
      <c r="C669" s="118" t="n">
        <v>86.7905368411007</v>
      </c>
      <c r="D669" s="118" t="n">
        <v>85.68951608558805</v>
      </c>
      <c r="E669" s="118" t="n">
        <v>85.73697662353516</v>
      </c>
      <c r="F669" s="119" t="n">
        <v>8876600</v>
      </c>
      <c r="G669" s="120" t="n">
        <v>-0.006816882841299998</v>
      </c>
      <c r="H669" s="121" t="n">
        <v>53.89542106630257</v>
      </c>
      <c r="I669" s="118" t="n">
        <v>95.42990890502929</v>
      </c>
      <c r="J669" s="118" t="n">
        <v>98.32687118530274</v>
      </c>
      <c r="K669" s="120" t="n">
        <v>0.2971128035065353</v>
      </c>
      <c r="L669" s="120" t="n">
        <v>-0.1542011813031755</v>
      </c>
      <c r="M669" s="120" t="n">
        <v>-0.2842134127058185</v>
      </c>
      <c r="N669" t="n">
        <v>28.30201967846169</v>
      </c>
      <c r="O669" t="n">
        <v>-0.6377214043414567</v>
      </c>
      <c r="P669" t="n">
        <v>122.2944051172373</v>
      </c>
      <c r="Q669" t="n">
        <v>122.2932147905627</v>
      </c>
    </row>
    <row r="670">
      <c r="A670" s="117" t="n">
        <v>45386</v>
      </c>
      <c r="B670" s="118" t="n">
        <v>86.32547430889586</v>
      </c>
      <c r="C670" s="118" t="n">
        <v>86.42039541510198</v>
      </c>
      <c r="D670" s="118" t="n">
        <v>84.37022117763988</v>
      </c>
      <c r="E670" s="118" t="n">
        <v>84.54106903076172</v>
      </c>
      <c r="F670" s="119" t="n">
        <v>12110300</v>
      </c>
      <c r="G670" s="120" t="n">
        <v>-0.01394856268403988</v>
      </c>
      <c r="H670" s="121" t="n">
        <v>53.14365740717653</v>
      </c>
      <c r="I670" s="118" t="n">
        <v>95.19324310302734</v>
      </c>
      <c r="J670" s="118" t="n">
        <v>98.21601623535156</v>
      </c>
      <c r="K670" s="120" t="n">
        <v>0.2990539949279787</v>
      </c>
      <c r="L670" s="120" t="n">
        <v>-0.165998859143855</v>
      </c>
      <c r="M670" s="120" t="n">
        <v>-0.2941976067870864</v>
      </c>
      <c r="N670" t="n">
        <v>26.26755851306949</v>
      </c>
      <c r="O670" t="n">
        <v>-0.6776248376765417</v>
      </c>
      <c r="P670" t="n">
        <v>120.8016684564806</v>
      </c>
      <c r="Q670" t="n">
        <v>120.4232698000015</v>
      </c>
    </row>
    <row r="671">
      <c r="A671" s="117" t="n">
        <v>45387</v>
      </c>
      <c r="B671" s="118" t="n">
        <v>84.61698096537675</v>
      </c>
      <c r="C671" s="118" t="n">
        <v>85.6610476883552</v>
      </c>
      <c r="D671" s="118" t="n">
        <v>84.2847789046284</v>
      </c>
      <c r="E671" s="118" t="n">
        <v>84.32273864746094</v>
      </c>
      <c r="F671" s="119" t="n">
        <v>9716700</v>
      </c>
      <c r="G671" s="120" t="n">
        <v>-0.002582536343624153</v>
      </c>
      <c r="H671" s="121" t="n">
        <v>53.00641198048937</v>
      </c>
      <c r="I671" s="118" t="n">
        <v>94.97377410888672</v>
      </c>
      <c r="J671" s="118" t="n">
        <v>98.12309345245362</v>
      </c>
      <c r="K671" s="120" t="n">
        <v>0.2967619941168652</v>
      </c>
      <c r="L671" s="120" t="n">
        <v>-0.1681526974007401</v>
      </c>
      <c r="M671" s="120" t="n">
        <v>-0.2960203671189756</v>
      </c>
      <c r="N671" t="n">
        <v>25.90149366891835</v>
      </c>
      <c r="O671" t="n">
        <v>-0.6610439200355094</v>
      </c>
      <c r="P671" t="n">
        <v>122.0636736961234</v>
      </c>
      <c r="Q671" t="n">
        <v>121.8423057058673</v>
      </c>
    </row>
    <row r="672">
      <c r="A672" s="117" t="n">
        <v>45390</v>
      </c>
      <c r="B672" s="118" t="n">
        <v>84.57902152793895</v>
      </c>
      <c r="C672" s="118" t="n">
        <v>85.67054888904612</v>
      </c>
      <c r="D672" s="118" t="n">
        <v>84.28478642523082</v>
      </c>
      <c r="E672" s="118" t="n">
        <v>85.42376708984375</v>
      </c>
      <c r="F672" s="119" t="n">
        <v>8452500</v>
      </c>
      <c r="G672" s="120" t="n">
        <v>0.01305731360298945</v>
      </c>
      <c r="H672" s="121" t="n">
        <v>53.69853332468788</v>
      </c>
      <c r="I672" s="118" t="n">
        <v>94.77613677978516</v>
      </c>
      <c r="J672" s="118" t="n">
        <v>98.03360908508301</v>
      </c>
      <c r="K672" s="120" t="n">
        <v>0.2990556212828292</v>
      </c>
      <c r="L672" s="120" t="n">
        <v>-0.1572910063009008</v>
      </c>
      <c r="M672" s="120" t="n">
        <v>-0.2868282842823308</v>
      </c>
      <c r="N672" t="n">
        <v>31.11502361193278</v>
      </c>
      <c r="O672" t="n">
        <v>-0.5242238537862356</v>
      </c>
      <c r="P672" t="n">
        <v>122.1319603972552</v>
      </c>
      <c r="Q672" t="n">
        <v>121.8782923108533</v>
      </c>
    </row>
    <row r="673">
      <c r="A673" s="117" t="n">
        <v>45391</v>
      </c>
      <c r="B673" s="118" t="n">
        <v>85.42376423930074</v>
      </c>
      <c r="C673" s="118" t="n">
        <v>86.52478512095358</v>
      </c>
      <c r="D673" s="118" t="n">
        <v>85.30037696454815</v>
      </c>
      <c r="E673" s="118" t="n">
        <v>86.37291717529297</v>
      </c>
      <c r="F673" s="119" t="n">
        <v>7191900</v>
      </c>
      <c r="G673" s="120" t="n">
        <v>0.01111107737090267</v>
      </c>
      <c r="H673" s="121" t="n">
        <v>54.29518188316248</v>
      </c>
      <c r="I673" s="118" t="n">
        <v>94.56002975463868</v>
      </c>
      <c r="J673" s="118" t="n">
        <v>97.9466157913208</v>
      </c>
      <c r="K673" s="120" t="n">
        <v>0.2916055428171689</v>
      </c>
      <c r="L673" s="120" t="n">
        <v>-0.1479276014707547</v>
      </c>
      <c r="M673" s="120" t="n">
        <v>-0.2789041781702524</v>
      </c>
      <c r="N673" t="n">
        <v>35.3386749044388</v>
      </c>
      <c r="O673" t="n">
        <v>-0.3277102622875732</v>
      </c>
      <c r="P673" t="n">
        <v>122.2732121838409</v>
      </c>
      <c r="Q673" t="n">
        <v>122.3291757640636</v>
      </c>
    </row>
    <row r="674">
      <c r="A674" s="117" t="n">
        <v>45392</v>
      </c>
      <c r="B674" s="118" t="n">
        <v>85.32886385927735</v>
      </c>
      <c r="C674" s="118" t="n">
        <v>85.51869157984659</v>
      </c>
      <c r="D674" s="118" t="n">
        <v>84.25631623781742</v>
      </c>
      <c r="E674" s="118" t="n">
        <v>84.47462463378906</v>
      </c>
      <c r="F674" s="119" t="n">
        <v>7932900</v>
      </c>
      <c r="G674" s="120" t="n">
        <v>-0.02197786764167453</v>
      </c>
      <c r="H674" s="121" t="n">
        <v>53.10188956215369</v>
      </c>
      <c r="I674" s="118" t="n">
        <v>94.28458236694335</v>
      </c>
      <c r="J674" s="118" t="n">
        <v>97.85454639434815</v>
      </c>
      <c r="K674" s="120" t="n">
        <v>0.297516138226011</v>
      </c>
      <c r="L674" s="120" t="n">
        <v>-0.1666543358667545</v>
      </c>
      <c r="M674" s="120" t="n">
        <v>-0.294752326699391</v>
      </c>
      <c r="N674" t="n">
        <v>31.21621266929195</v>
      </c>
      <c r="O674" t="n">
        <v>-0.2850537111382594</v>
      </c>
      <c r="P674" t="n">
        <v>121.0488849100483</v>
      </c>
      <c r="Q674" t="n">
        <v>121.2614279043994</v>
      </c>
    </row>
    <row r="675">
      <c r="A675" s="117" t="n">
        <v>45393</v>
      </c>
      <c r="B675" s="118" t="n">
        <v>86.59121514458916</v>
      </c>
      <c r="C675" s="118" t="n">
        <v>87.71121576430185</v>
      </c>
      <c r="D675" s="118" t="n">
        <v>86.21155256746493</v>
      </c>
      <c r="E675" s="118" t="n">
        <v>87.32205963134766</v>
      </c>
      <c r="F675" s="119" t="n">
        <v>15330200</v>
      </c>
      <c r="G675" s="120" t="n">
        <v>0.03370757798454482</v>
      </c>
      <c r="H675" s="121" t="n">
        <v>54.89182564569668</v>
      </c>
      <c r="I675" s="118" t="n">
        <v>94.06040924072266</v>
      </c>
      <c r="J675" s="118" t="n">
        <v>97.766286277771</v>
      </c>
      <c r="K675" s="120" t="n">
        <v>0.3236633856101517</v>
      </c>
      <c r="L675" s="120" t="n">
        <v>-0.1385642719049007</v>
      </c>
      <c r="M675" s="120" t="n">
        <v>-0.270980135753192</v>
      </c>
      <c r="N675" t="n">
        <v>42.12280881408353</v>
      </c>
      <c r="O675" t="n">
        <v>-0.03755695934532799</v>
      </c>
      <c r="P675" t="n">
        <v>121.9624390675492</v>
      </c>
      <c r="Q675" t="n">
        <v>123.1977584411953</v>
      </c>
    </row>
    <row r="676">
      <c r="A676" s="117" t="n">
        <v>45394</v>
      </c>
      <c r="B676" s="118" t="n">
        <v>87.33155318717763</v>
      </c>
      <c r="C676" s="118" t="n">
        <v>88.14782519348323</v>
      </c>
      <c r="D676" s="118" t="n">
        <v>86.48680775484347</v>
      </c>
      <c r="E676" s="118" t="n">
        <v>87.32205963134766</v>
      </c>
      <c r="F676" s="119" t="n">
        <v>10905900</v>
      </c>
      <c r="G676" s="120" t="n">
        <v>0</v>
      </c>
      <c r="H676" s="121" t="n">
        <v>54.89182564569668</v>
      </c>
      <c r="I676" s="118" t="n">
        <v>93.88636199951172</v>
      </c>
      <c r="J676" s="118" t="n">
        <v>97.6692423248291</v>
      </c>
      <c r="K676" s="120" t="n">
        <v>0.3231887165727761</v>
      </c>
      <c r="L676" s="120" t="n">
        <v>-0.1385642719049007</v>
      </c>
      <c r="M676" s="120" t="n">
        <v>-0.270980135753192</v>
      </c>
      <c r="N676" t="n">
        <v>42.12280881408353</v>
      </c>
      <c r="O676" t="n">
        <v>0.1437244235893753</v>
      </c>
      <c r="P676" t="n">
        <v>120.2789733853799</v>
      </c>
      <c r="Q676" t="n">
        <v>121.2337715320491</v>
      </c>
    </row>
    <row r="677">
      <c r="A677" s="117" t="n">
        <v>45397</v>
      </c>
      <c r="B677" s="118" t="n">
        <v>88.83120987319545</v>
      </c>
      <c r="C677" s="118" t="n">
        <v>89.1444320450088</v>
      </c>
      <c r="D677" s="118" t="n">
        <v>87.83460374669124</v>
      </c>
      <c r="E677" s="118" t="n">
        <v>88.36612701416016</v>
      </c>
      <c r="F677" s="119" t="n">
        <v>11597300</v>
      </c>
      <c r="G677" s="120" t="n">
        <v>0.01195651347689575</v>
      </c>
      <c r="H677" s="121" t="n">
        <v>55.54814049880085</v>
      </c>
      <c r="I677" s="118" t="n">
        <v>93.72884552001953</v>
      </c>
      <c r="J677" s="118" t="n">
        <v>97.5801431274414</v>
      </c>
      <c r="K677" s="120" t="n">
        <v>0.3280074074601489</v>
      </c>
      <c r="L677" s="120" t="n">
        <v>-0.1282645040124523</v>
      </c>
      <c r="M677" s="120" t="n">
        <v>-0.2622635999214004</v>
      </c>
      <c r="N677" t="n">
        <v>45.77888839730883</v>
      </c>
      <c r="O677" t="n">
        <v>0.3403025906873833</v>
      </c>
      <c r="P677" t="n">
        <v>118.7721056426405</v>
      </c>
      <c r="Q677" t="n">
        <v>119.2393429625124</v>
      </c>
    </row>
    <row r="678">
      <c r="A678" s="117" t="n">
        <v>45398</v>
      </c>
      <c r="B678" s="118" t="n">
        <v>88.3091934765913</v>
      </c>
      <c r="C678" s="118" t="n">
        <v>89.40072084383004</v>
      </c>
      <c r="D678" s="118" t="n">
        <v>86.98987142344284</v>
      </c>
      <c r="E678" s="118" t="n">
        <v>88.64139556884766</v>
      </c>
      <c r="F678" s="119" t="n">
        <v>10388200</v>
      </c>
      <c r="G678" s="120" t="n">
        <v>0.003115091313704355</v>
      </c>
      <c r="H678" s="121" t="n">
        <v>55.72117802876109</v>
      </c>
      <c r="I678" s="118" t="n">
        <v>93.5966958618164</v>
      </c>
      <c r="J678" s="118" t="n">
        <v>97.49082313537598</v>
      </c>
      <c r="K678" s="120" t="n">
        <v>0.3279675499365332</v>
      </c>
      <c r="L678" s="120" t="n">
        <v>-0.1255489683410538</v>
      </c>
      <c r="M678" s="120" t="n">
        <v>-0.2599654836697121</v>
      </c>
      <c r="N678" t="n">
        <v>46.73425262737918</v>
      </c>
      <c r="O678" t="n">
        <v>0.4863249698046932</v>
      </c>
      <c r="P678" t="n">
        <v>118.5554831660441</v>
      </c>
      <c r="Q678" t="n">
        <v>119.2503986763899</v>
      </c>
    </row>
    <row r="679">
      <c r="A679" s="117" t="n">
        <v>45399</v>
      </c>
      <c r="B679" s="118" t="n">
        <v>89.79934570388905</v>
      </c>
      <c r="C679" s="118" t="n">
        <v>90.23595511667361</v>
      </c>
      <c r="D679" s="118" t="n">
        <v>88.89765345336066</v>
      </c>
      <c r="E679" s="118" t="n">
        <v>90.01764678955078</v>
      </c>
      <c r="F679" s="119" t="n">
        <v>10181200</v>
      </c>
      <c r="G679" s="120" t="n">
        <v>0.01552605542671315</v>
      </c>
      <c r="H679" s="121" t="n">
        <v>56.5863081272774</v>
      </c>
      <c r="I679" s="118" t="n">
        <v>93.51155410766602</v>
      </c>
      <c r="J679" s="118" t="n">
        <v>97.42247619628907</v>
      </c>
      <c r="K679" s="120" t="n">
        <v>0.3300680372482108</v>
      </c>
      <c r="L679" s="120" t="n">
        <v>-0.1119721931555704</v>
      </c>
      <c r="M679" s="120" t="n">
        <v>-0.2484756667514872</v>
      </c>
      <c r="N679" t="n">
        <v>51.34968133593197</v>
      </c>
      <c r="O679" t="n">
        <v>0.6621589347094599</v>
      </c>
      <c r="P679" t="n">
        <v>117.8538435841972</v>
      </c>
      <c r="Q679" t="n">
        <v>117.7953847093665</v>
      </c>
    </row>
    <row r="680">
      <c r="A680" s="117" t="n">
        <v>45400</v>
      </c>
      <c r="B680" s="118" t="n">
        <v>90.32139166873202</v>
      </c>
      <c r="C680" s="118" t="n">
        <v>91.00477566050307</v>
      </c>
      <c r="D680" s="118" t="n">
        <v>89.72342071892237</v>
      </c>
      <c r="E680" s="118" t="n">
        <v>90.87189483642578</v>
      </c>
      <c r="F680" s="119" t="n">
        <v>10062900</v>
      </c>
      <c r="G680" s="120" t="n">
        <v>0.00948978425166036</v>
      </c>
      <c r="H680" s="121" t="n">
        <v>57.12329998300323</v>
      </c>
      <c r="I680" s="118" t="n">
        <v>93.38807479858399</v>
      </c>
      <c r="J680" s="118" t="n">
        <v>97.36431907653808</v>
      </c>
      <c r="K680" s="120" t="n">
        <v>0.3322559830203043</v>
      </c>
      <c r="L680" s="120" t="n">
        <v>-0.1035450008591418</v>
      </c>
      <c r="M680" s="120" t="n">
        <v>-0.2413438629690859</v>
      </c>
      <c r="N680" t="n">
        <v>54.01327205212373</v>
      </c>
      <c r="O680" t="n">
        <v>0.8126384998349354</v>
      </c>
      <c r="P680" t="n">
        <v>117.6113276524169</v>
      </c>
      <c r="Q680" t="n">
        <v>117.1232161020404</v>
      </c>
    </row>
    <row r="681">
      <c r="A681" s="117" t="n">
        <v>45401</v>
      </c>
      <c r="B681" s="118" t="n">
        <v>90.56816466017106</v>
      </c>
      <c r="C681" s="118" t="n">
        <v>91.32748984892193</v>
      </c>
      <c r="D681" s="118" t="n">
        <v>89.68545220586941</v>
      </c>
      <c r="E681" s="118" t="n">
        <v>89.72341918945312</v>
      </c>
      <c r="F681" s="119" t="n">
        <v>11241900</v>
      </c>
      <c r="G681" s="120" t="n">
        <v>-0.01263840320530318</v>
      </c>
      <c r="H681" s="121" t="n">
        <v>56.40135268540054</v>
      </c>
      <c r="I681" s="118" t="n">
        <v>93.21930572509766</v>
      </c>
      <c r="J681" s="118" t="n">
        <v>97.30986091613769</v>
      </c>
      <c r="K681" s="120" t="n">
        <v>0.3329985948883729</v>
      </c>
      <c r="L681" s="120" t="n">
        <v>-0.1148747605936937</v>
      </c>
      <c r="M681" s="120" t="n">
        <v>-0.2509320651230603</v>
      </c>
      <c r="N681" t="n">
        <v>50.0461551309741</v>
      </c>
      <c r="O681" t="n">
        <v>0.809676715980916</v>
      </c>
      <c r="P681" t="n">
        <v>116.5847912514507</v>
      </c>
      <c r="Q681" t="n">
        <v>114.7000325947049</v>
      </c>
    </row>
    <row r="682">
      <c r="A682" s="117" t="n">
        <v>45404</v>
      </c>
      <c r="B682" s="118" t="n">
        <v>89.81834106282277</v>
      </c>
      <c r="C682" s="118" t="n">
        <v>90.22647712103237</v>
      </c>
      <c r="D682" s="118" t="n">
        <v>89.07800292036401</v>
      </c>
      <c r="E682" s="118" t="n">
        <v>89.40071868896484</v>
      </c>
      <c r="F682" s="119" t="n">
        <v>8642000</v>
      </c>
      <c r="G682" s="120" t="n">
        <v>-0.003596613943199101</v>
      </c>
      <c r="H682" s="121" t="n">
        <v>56.19849879391694</v>
      </c>
      <c r="I682" s="118" t="n">
        <v>93.04446105957031</v>
      </c>
      <c r="J682" s="118" t="n">
        <v>97.26318382263183</v>
      </c>
      <c r="K682" s="120" t="n">
        <v>0.2241056580361067</v>
      </c>
      <c r="L682" s="120" t="n">
        <v>-0.1180582143712199</v>
      </c>
      <c r="M682" s="120" t="n">
        <v>-0.2536261733020421</v>
      </c>
      <c r="N682" t="n">
        <v>48.95807377805366</v>
      </c>
      <c r="O682" t="n">
        <v>0.7615497525140449</v>
      </c>
      <c r="P682" t="n">
        <v>117.6584214201522</v>
      </c>
      <c r="Q682" t="n">
        <v>115.8535348594602</v>
      </c>
    </row>
    <row r="683">
      <c r="A683" s="117" t="n">
        <v>45405</v>
      </c>
      <c r="B683" s="118" t="n">
        <v>89.57156631963565</v>
      </c>
      <c r="C683" s="118" t="n">
        <v>89.90376840318009</v>
      </c>
      <c r="D683" s="118" t="n">
        <v>89.13495683248264</v>
      </c>
      <c r="E683" s="118" t="n">
        <v>89.23935699462891</v>
      </c>
      <c r="F683" s="119" t="n">
        <v>6582700</v>
      </c>
      <c r="G683" s="120" t="n">
        <v>-0.001804926142678243</v>
      </c>
      <c r="H683" s="121" t="n">
        <v>56.09706465426453</v>
      </c>
      <c r="I683" s="118" t="n">
        <v>92.85258087158203</v>
      </c>
      <c r="J683" s="118" t="n">
        <v>97.21870616912842</v>
      </c>
      <c r="K683" s="120" t="n">
        <v>0.2241709110690208</v>
      </c>
      <c r="L683" s="120" t="n">
        <v>-0.1196500541564216</v>
      </c>
      <c r="M683" s="120" t="n">
        <v>-0.2549733229340601</v>
      </c>
      <c r="N683" t="n">
        <v>48.39151450259062</v>
      </c>
      <c r="O683" t="n">
        <v>0.6961975641718501</v>
      </c>
      <c r="P683" t="n">
        <v>119.0546313532771</v>
      </c>
      <c r="Q683" t="n">
        <v>117.582395612573</v>
      </c>
    </row>
    <row r="684">
      <c r="A684" s="117" t="n">
        <v>45406</v>
      </c>
      <c r="B684" s="118" t="n">
        <v>89.3152916183259</v>
      </c>
      <c r="C684" s="118" t="n">
        <v>90.3498721048493</v>
      </c>
      <c r="D684" s="118" t="n">
        <v>89.3152916183259</v>
      </c>
      <c r="E684" s="118" t="n">
        <v>89.82783508300781</v>
      </c>
      <c r="F684" s="119" t="n">
        <v>6493200</v>
      </c>
      <c r="G684" s="120" t="n">
        <v>0.006594378402057899</v>
      </c>
      <c r="H684" s="121" t="n">
        <v>56.46698992583945</v>
      </c>
      <c r="I684" s="118" t="n">
        <v>92.62177658081055</v>
      </c>
      <c r="J684" s="118" t="n">
        <v>97.17097057342529</v>
      </c>
      <c r="K684" s="120" t="n">
        <v>0.2200042519054968</v>
      </c>
      <c r="L684" s="120" t="n">
        <v>-0.113844693487298</v>
      </c>
      <c r="M684" s="120" t="n">
        <v>-0.2500603351058596</v>
      </c>
      <c r="N684" t="n">
        <v>50.63515536399483</v>
      </c>
      <c r="O684" t="n">
        <v>0.6697410563834949</v>
      </c>
      <c r="P684" t="n">
        <v>118.9981365419669</v>
      </c>
      <c r="Q684" t="n">
        <v>117.980725977638</v>
      </c>
    </row>
    <row r="685">
      <c r="A685" s="117" t="n">
        <v>45407</v>
      </c>
      <c r="B685" s="118" t="n">
        <v>89.22036848496504</v>
      </c>
      <c r="C685" s="118" t="n">
        <v>89.97020011035663</v>
      </c>
      <c r="D685" s="118" t="n">
        <v>87.73969234652483</v>
      </c>
      <c r="E685" s="118" t="n">
        <v>89.16342163085938</v>
      </c>
      <c r="F685" s="119" t="n">
        <v>5317900</v>
      </c>
      <c r="G685" s="120" t="n">
        <v>-0.00739652081712161</v>
      </c>
      <c r="H685" s="121" t="n">
        <v>56.04933065937279</v>
      </c>
      <c r="I685" s="118" t="n">
        <v>92.41891983032227</v>
      </c>
      <c r="J685" s="118" t="n">
        <v>97.1123503112793</v>
      </c>
      <c r="K685" s="120" t="n">
        <v>0.2139780384441325</v>
      </c>
      <c r="L685" s="120" t="n">
        <v>-0.1203991596591218</v>
      </c>
      <c r="M685" s="120" t="n">
        <v>-0.2556072794488343</v>
      </c>
      <c r="N685" t="n">
        <v>48.09297325962077</v>
      </c>
      <c r="O685" t="n">
        <v>0.5875674150117745</v>
      </c>
      <c r="P685" t="n">
        <v>118.5460747433141</v>
      </c>
      <c r="Q685" t="n">
        <v>117.4108953462192</v>
      </c>
    </row>
    <row r="686">
      <c r="A686" s="117" t="n">
        <v>45408</v>
      </c>
      <c r="B686" s="118" t="n">
        <v>89.78037007584473</v>
      </c>
      <c r="C686" s="118" t="n">
        <v>90.56816872729546</v>
      </c>
      <c r="D686" s="118" t="n">
        <v>89.13495305032309</v>
      </c>
      <c r="E686" s="118" t="n">
        <v>89.33427429199219</v>
      </c>
      <c r="F686" s="119" t="n">
        <v>6115700</v>
      </c>
      <c r="G686" s="120" t="n">
        <v>0.001916174346024535</v>
      </c>
      <c r="H686" s="121" t="n">
        <v>56.15673094889411</v>
      </c>
      <c r="I686" s="118" t="n">
        <v>92.19432250976563</v>
      </c>
      <c r="J686" s="118" t="n">
        <v>97.05284633636475</v>
      </c>
      <c r="K686" s="120" t="n">
        <v>0.21399733565767</v>
      </c>
      <c r="L686" s="120" t="n">
        <v>-0.1187136910941191</v>
      </c>
      <c r="M686" s="120" t="n">
        <v>-0.2541808932143468</v>
      </c>
      <c r="N686" t="n">
        <v>48.80476357930752</v>
      </c>
      <c r="O686" t="n">
        <v>0.5267445788206475</v>
      </c>
      <c r="P686" t="n">
        <v>119.6691600093773</v>
      </c>
      <c r="Q686" t="n">
        <v>119.2227337602112</v>
      </c>
    </row>
    <row r="687">
      <c r="A687" s="117" t="n">
        <v>45411</v>
      </c>
      <c r="B687" s="118" t="n">
        <v>89.63800360402863</v>
      </c>
      <c r="C687" s="118" t="n">
        <v>90.06511951916598</v>
      </c>
      <c r="D687" s="118" t="n">
        <v>88.9356252331217</v>
      </c>
      <c r="E687" s="118" t="n">
        <v>89.27732086181641</v>
      </c>
      <c r="F687" s="119" t="n">
        <v>5030700</v>
      </c>
      <c r="G687" s="120" t="n">
        <v>-0.0006375316822928578</v>
      </c>
      <c r="H687" s="121" t="n">
        <v>56.1209292537402</v>
      </c>
      <c r="I687" s="118" t="n">
        <v>91.97388259887695</v>
      </c>
      <c r="J687" s="118" t="n">
        <v>96.99268184661865</v>
      </c>
      <c r="K687" s="120" t="n">
        <v>0.2063294038717395</v>
      </c>
      <c r="L687" s="120" t="n">
        <v>-0.1192755390372175</v>
      </c>
      <c r="M687" s="120" t="n">
        <v>-0.2546563765241819</v>
      </c>
      <c r="N687" t="n">
        <v>48.56568631574699</v>
      </c>
      <c r="O687" t="n">
        <v>0.4667538372656227</v>
      </c>
      <c r="P687" t="n">
        <v>120.0929670232199</v>
      </c>
      <c r="Q687" t="n">
        <v>119.7068270741956</v>
      </c>
    </row>
    <row r="688">
      <c r="A688" s="117" t="n">
        <v>45412</v>
      </c>
      <c r="B688" s="118" t="n">
        <v>88.18580616616902</v>
      </c>
      <c r="C688" s="118" t="n">
        <v>88.75529650147527</v>
      </c>
      <c r="D688" s="118" t="n">
        <v>87.55936172830839</v>
      </c>
      <c r="E688" s="118" t="n">
        <v>87.56885528564453</v>
      </c>
      <c r="F688" s="119" t="n">
        <v>6493300</v>
      </c>
      <c r="G688" s="120" t="n">
        <v>-0.01913661341625872</v>
      </c>
      <c r="H688" s="121" t="n">
        <v>55.04696472605018</v>
      </c>
      <c r="I688" s="118" t="n">
        <v>91.76731857299805</v>
      </c>
      <c r="J688" s="118" t="n">
        <v>96.92345825195312</v>
      </c>
      <c r="K688" s="120" t="n">
        <v>0.208458343227508</v>
      </c>
      <c r="L688" s="120" t="n">
        <v>-0.1361296225729051</v>
      </c>
      <c r="M688" s="120" t="n">
        <v>-0.2689197293089123</v>
      </c>
      <c r="N688" t="n">
        <v>41.93018325622153</v>
      </c>
      <c r="O688" t="n">
        <v>0.3039699769768006</v>
      </c>
      <c r="P688" t="n">
        <v>118.1905544306032</v>
      </c>
      <c r="Q688" t="n">
        <v>117.4496074324469</v>
      </c>
    </row>
    <row r="689">
      <c r="A689" s="117" t="n">
        <v>45413</v>
      </c>
      <c r="B689" s="118" t="n">
        <v>87.14172348072775</v>
      </c>
      <c r="C689" s="118" t="n">
        <v>87.19867757764673</v>
      </c>
      <c r="D689" s="118" t="n">
        <v>85.50917937064465</v>
      </c>
      <c r="E689" s="118" t="n">
        <v>85.74646759033203</v>
      </c>
      <c r="F689" s="119" t="n">
        <v>9783100</v>
      </c>
      <c r="G689" s="120" t="n">
        <v>-0.02081091147495284</v>
      </c>
      <c r="H689" s="121" t="n">
        <v>53.90138721617149</v>
      </c>
      <c r="I689" s="118" t="n">
        <v>91.52827896118164</v>
      </c>
      <c r="J689" s="118" t="n">
        <v>96.84155284881592</v>
      </c>
      <c r="K689" s="120" t="n">
        <v>0.2207910278338799</v>
      </c>
      <c r="L689" s="120" t="n">
        <v>-0.1541075525233745</v>
      </c>
      <c r="M689" s="120" t="n">
        <v>-0.2804216581091459</v>
      </c>
      <c r="N689" t="n">
        <v>36.24197594475454</v>
      </c>
      <c r="O689" t="n">
        <v>0.07732772767814033</v>
      </c>
      <c r="P689" t="n">
        <v>117.8067719539271</v>
      </c>
      <c r="Q689" t="n">
        <v>116.6003936141716</v>
      </c>
    </row>
    <row r="690">
      <c r="A690" s="117" t="n">
        <v>45414</v>
      </c>
      <c r="B690" s="118" t="n">
        <v>86.68612541455086</v>
      </c>
      <c r="C690" s="118" t="n">
        <v>87.74917189703969</v>
      </c>
      <c r="D690" s="118" t="n">
        <v>86.28748298361755</v>
      </c>
      <c r="E690" s="118" t="n">
        <v>87.71121215820312</v>
      </c>
      <c r="F690" s="119" t="n">
        <v>7333300</v>
      </c>
      <c r="G690" s="120" t="n">
        <v>0.02291341699646443</v>
      </c>
      <c r="H690" s="121" t="n">
        <v>55.13645217814352</v>
      </c>
      <c r="I690" s="118" t="n">
        <v>91.29127105712891</v>
      </c>
      <c r="J690" s="118" t="n">
        <v>96.7647269821167</v>
      </c>
      <c r="K690" s="120" t="n">
        <v>0.2283320626100959</v>
      </c>
      <c r="L690" s="120" t="n">
        <v>-0.1347252661401828</v>
      </c>
      <c r="M690" s="120" t="n">
        <v>-0.2617291250753909</v>
      </c>
      <c r="N690" t="n">
        <v>44.91778624866898</v>
      </c>
      <c r="O690" t="n">
        <v>0.06405092657919487</v>
      </c>
      <c r="P690" t="n">
        <v>118.9086642865938</v>
      </c>
      <c r="Q690" t="n">
        <v>118.0886003543123</v>
      </c>
    </row>
    <row r="691">
      <c r="A691" s="117" t="n">
        <v>45415</v>
      </c>
      <c r="B691" s="118" t="n">
        <v>88.35664588284391</v>
      </c>
      <c r="C691" s="118" t="n">
        <v>88.88817646651734</v>
      </c>
      <c r="D691" s="118" t="n">
        <v>87.19868535037887</v>
      </c>
      <c r="E691" s="118" t="n">
        <v>87.46444702148438</v>
      </c>
      <c r="F691" s="119" t="n">
        <v>5736700</v>
      </c>
      <c r="G691" s="120" t="n">
        <v>-0.002813381900066192</v>
      </c>
      <c r="H691" s="121" t="n">
        <v>54.98133228155167</v>
      </c>
      <c r="I691" s="118" t="n">
        <v>91.05292160034179</v>
      </c>
      <c r="J691" s="118" t="n">
        <v>96.68591571807862</v>
      </c>
      <c r="K691" s="120" t="n">
        <v>0.2283941715704765</v>
      </c>
      <c r="L691" s="120" t="n">
        <v>-0.1371596144150085</v>
      </c>
      <c r="M691" s="120" t="n">
        <v>-0.2638061629922498</v>
      </c>
      <c r="N691" t="n">
        <v>44.10601180180254</v>
      </c>
      <c r="O691" t="n">
        <v>0.04392407881381022</v>
      </c>
      <c r="P691" t="n">
        <v>120.3825767227355</v>
      </c>
      <c r="Q691" t="n">
        <v>120.4619904300576</v>
      </c>
    </row>
    <row r="692">
      <c r="A692" s="117" t="n">
        <v>45418</v>
      </c>
      <c r="B692" s="118" t="n">
        <v>88.09088563360051</v>
      </c>
      <c r="C692" s="118" t="n">
        <v>88.6224162258533</v>
      </c>
      <c r="D692" s="118" t="n">
        <v>87.77767065414915</v>
      </c>
      <c r="E692" s="118" t="n">
        <v>88.61292266845703</v>
      </c>
      <c r="F692" s="119" t="n">
        <v>6696300</v>
      </c>
      <c r="G692" s="120" t="n">
        <v>0.01313077125715489</v>
      </c>
      <c r="H692" s="121" t="n">
        <v>55.70327957915435</v>
      </c>
      <c r="I692" s="118" t="n">
        <v>90.82713821411133</v>
      </c>
      <c r="J692" s="118" t="n">
        <v>96.62388534545899</v>
      </c>
      <c r="K692" s="120" t="n">
        <v>0.2284417875942898</v>
      </c>
      <c r="L692" s="120" t="n">
        <v>-0.1258298546804566</v>
      </c>
      <c r="M692" s="120" t="n">
        <v>-0.2541393701175738</v>
      </c>
      <c r="N692" t="n">
        <v>48.74845566071108</v>
      </c>
      <c r="O692" t="n">
        <v>0.1094997325410368</v>
      </c>
      <c r="P692" t="n">
        <v>121.6257356002981</v>
      </c>
      <c r="Q692" t="n">
        <v>121.781465104228</v>
      </c>
    </row>
    <row r="693">
      <c r="A693" s="117" t="n">
        <v>45419</v>
      </c>
      <c r="B693" s="118" t="n">
        <v>89.29630730163282</v>
      </c>
      <c r="C693" s="118" t="n">
        <v>89.52410197188999</v>
      </c>
      <c r="D693" s="118" t="n">
        <v>88.47054166494031</v>
      </c>
      <c r="E693" s="118" t="n">
        <v>89.01155853271484</v>
      </c>
      <c r="F693" s="119" t="n">
        <v>7113500</v>
      </c>
      <c r="G693" s="120" t="n">
        <v>0.00449861997836698</v>
      </c>
      <c r="H693" s="121" t="n">
        <v>55.9538674655297</v>
      </c>
      <c r="I693" s="118" t="n">
        <v>90.62994522094726</v>
      </c>
      <c r="J693" s="118" t="n">
        <v>96.55666133880615</v>
      </c>
      <c r="K693" s="120" t="n">
        <v>0.226111925518278</v>
      </c>
      <c r="L693" s="120" t="n">
        <v>-0.1218972954002302</v>
      </c>
      <c r="M693" s="120" t="n">
        <v>-0.2507840265869073</v>
      </c>
      <c r="N693" t="n">
        <v>50.29175183905662</v>
      </c>
      <c r="O693" t="n">
        <v>0.1772518745330656</v>
      </c>
      <c r="P693" t="n">
        <v>121.7599476729353</v>
      </c>
      <c r="Q693" t="n">
        <v>121.8008254192561</v>
      </c>
    </row>
    <row r="694">
      <c r="A694" s="117" t="n">
        <v>45420</v>
      </c>
      <c r="B694" s="118" t="n">
        <v>88.38511913229817</v>
      </c>
      <c r="C694" s="118" t="n">
        <v>88.87867544555232</v>
      </c>
      <c r="D694" s="118" t="n">
        <v>88.0149500869921</v>
      </c>
      <c r="E694" s="118" t="n">
        <v>88.83121490478516</v>
      </c>
      <c r="F694" s="119" t="n">
        <v>5372900</v>
      </c>
      <c r="G694" s="120" t="n">
        <v>-0.002026069770067029</v>
      </c>
      <c r="H694" s="121" t="n">
        <v>55.84050102613944</v>
      </c>
      <c r="I694" s="118" t="n">
        <v>90.41760696411133</v>
      </c>
      <c r="J694" s="118" t="n">
        <v>96.48989784240723</v>
      </c>
      <c r="K694" s="120" t="n">
        <v>0.2089566075717293</v>
      </c>
      <c r="L694" s="120" t="n">
        <v>-0.1166710656276165</v>
      </c>
      <c r="M694" s="120" t="n">
        <v>-0.2416632380714685</v>
      </c>
      <c r="N694" t="n">
        <v>49.5646033990126</v>
      </c>
      <c r="O694" t="n">
        <v>0.2054634064993899</v>
      </c>
      <c r="P694" t="n">
        <v>121.7717174252916</v>
      </c>
      <c r="Q694" t="n">
        <v>121.7289034722543</v>
      </c>
    </row>
    <row r="695">
      <c r="A695" s="117" t="n">
        <v>45421</v>
      </c>
      <c r="B695" s="118" t="n">
        <v>88.87868381209684</v>
      </c>
      <c r="C695" s="118" t="n">
        <v>89.20139958847622</v>
      </c>
      <c r="D695" s="118" t="n">
        <v>88.2807200460354</v>
      </c>
      <c r="E695" s="118" t="n">
        <v>88.64139556884766</v>
      </c>
      <c r="F695" s="119" t="n">
        <v>6429800</v>
      </c>
      <c r="G695" s="120" t="n">
        <v>-0.002136853989230691</v>
      </c>
      <c r="H695" s="121" t="n">
        <v>55.72117802876109</v>
      </c>
      <c r="I695" s="118" t="n">
        <v>90.21660476684571</v>
      </c>
      <c r="J695" s="118" t="n">
        <v>96.42439292907714</v>
      </c>
      <c r="K695" s="120" t="n">
        <v>0.1739922677258388</v>
      </c>
      <c r="L695" s="120" t="n">
        <v>-0.1185586105848331</v>
      </c>
      <c r="M695" s="120" t="n">
        <v>-0.2357822332864106</v>
      </c>
      <c r="N695" t="n">
        <v>48.76539074335806</v>
      </c>
      <c r="O695" t="n">
        <v>0.2063397447950246</v>
      </c>
      <c r="P695" t="n">
        <v>122.4733570071385</v>
      </c>
      <c r="Q695" t="n">
        <v>121.9944627448498</v>
      </c>
    </row>
    <row r="696">
      <c r="A696" s="117" t="n">
        <v>45422</v>
      </c>
      <c r="B696" s="118" t="n">
        <v>88.33766454603185</v>
      </c>
      <c r="C696" s="118" t="n">
        <v>88.40410496270727</v>
      </c>
      <c r="D696" s="118" t="n">
        <v>86.2590172734597</v>
      </c>
      <c r="E696" s="118" t="n">
        <v>86.31597137451172</v>
      </c>
      <c r="F696" s="119" t="n">
        <v>10548400</v>
      </c>
      <c r="G696" s="120" t="n">
        <v>-0.02623406569146114</v>
      </c>
      <c r="H696" s="121" t="n">
        <v>54.25938498394898</v>
      </c>
      <c r="I696" s="118" t="n">
        <v>89.97703857421875</v>
      </c>
      <c r="J696" s="118" t="n">
        <v>96.34256366729737</v>
      </c>
      <c r="K696" s="120" t="n">
        <v>0.198762795261178</v>
      </c>
      <c r="L696" s="120" t="n">
        <v>-0.1394161548928257</v>
      </c>
      <c r="M696" s="120" t="n">
        <v>-0.2558307723809565</v>
      </c>
      <c r="N696" t="n">
        <v>40.21111487824319</v>
      </c>
      <c r="O696" t="n">
        <v>0.05327737124978926</v>
      </c>
      <c r="P696" t="n">
        <v>122.631093826178</v>
      </c>
      <c r="Q696" t="n">
        <v>122.2821590766852</v>
      </c>
    </row>
    <row r="697">
      <c r="A697" s="117" t="n">
        <v>45425</v>
      </c>
      <c r="B697" s="118" t="n">
        <v>86.62918652467231</v>
      </c>
      <c r="C697" s="118" t="n">
        <v>88.05291594908749</v>
      </c>
      <c r="D697" s="118" t="n">
        <v>86.51529280525499</v>
      </c>
      <c r="E697" s="118" t="n">
        <v>88.00546264648438</v>
      </c>
      <c r="F697" s="119" t="n">
        <v>8792100</v>
      </c>
      <c r="G697" s="120" t="n">
        <v>0.01957333324376576</v>
      </c>
      <c r="H697" s="121" t="n">
        <v>55.32142200784159</v>
      </c>
      <c r="I697" s="118" t="n">
        <v>89.80315383911133</v>
      </c>
      <c r="J697" s="118" t="n">
        <v>96.27683837890625</v>
      </c>
      <c r="K697" s="120" t="n">
        <v>0.2067736942805955</v>
      </c>
      <c r="L697" s="120" t="n">
        <v>-0.1190828850298759</v>
      </c>
      <c r="M697" s="120" t="n">
        <v>-0.2412649000990134</v>
      </c>
      <c r="N697" t="n">
        <v>47.42675370906616</v>
      </c>
      <c r="O697" t="n">
        <v>0.06785407353515727</v>
      </c>
      <c r="P697" t="n">
        <v>122.6475714794769</v>
      </c>
      <c r="Q697" t="n">
        <v>122.5642933762686</v>
      </c>
    </row>
    <row r="698">
      <c r="A698" s="117" t="n">
        <v>45426</v>
      </c>
      <c r="B698" s="118" t="n">
        <v>88.26172709953413</v>
      </c>
      <c r="C698" s="118" t="n">
        <v>89.54308208012272</v>
      </c>
      <c r="D698" s="118" t="n">
        <v>87.89155804384103</v>
      </c>
      <c r="E698" s="118" t="n">
        <v>88.0718994140625</v>
      </c>
      <c r="F698" s="119" t="n">
        <v>7811000</v>
      </c>
      <c r="G698" s="120" t="n">
        <v>0.0007549164060984825</v>
      </c>
      <c r="H698" s="121" t="n">
        <v>55.36318505692401</v>
      </c>
      <c r="I698" s="118" t="n">
        <v>89.67501815795899</v>
      </c>
      <c r="J698" s="118" t="n">
        <v>96.20698284149169</v>
      </c>
      <c r="K698" s="120" t="n">
        <v>0.2064528444756603</v>
      </c>
      <c r="L698" s="120" t="n">
        <v>-0.1184178662473719</v>
      </c>
      <c r="M698" s="120" t="n">
        <v>-0.2406921185242152</v>
      </c>
      <c r="N698" t="n">
        <v>47.6940804465907</v>
      </c>
      <c r="O698" t="n">
        <v>0.08300536614366238</v>
      </c>
      <c r="P698" t="n">
        <v>123.2103206043644</v>
      </c>
      <c r="Q698" t="n">
        <v>123.3526580490763</v>
      </c>
    </row>
    <row r="699">
      <c r="A699" s="117" t="n">
        <v>45427</v>
      </c>
      <c r="B699" s="118" t="n">
        <v>87.59731985873603</v>
      </c>
      <c r="C699" s="118" t="n">
        <v>87.9105420459947</v>
      </c>
      <c r="D699" s="118" t="n">
        <v>86.23053739903403</v>
      </c>
      <c r="E699" s="118" t="n">
        <v>87.00884246826172</v>
      </c>
      <c r="F699" s="119" t="n">
        <v>15614400</v>
      </c>
      <c r="G699" s="120" t="n">
        <v>-0.01207033063750462</v>
      </c>
      <c r="H699" s="121" t="n">
        <v>54.69493310814158</v>
      </c>
      <c r="I699" s="118" t="n">
        <v>89.54897033691407</v>
      </c>
      <c r="J699" s="118" t="n">
        <v>96.12349788665772</v>
      </c>
      <c r="K699" s="120" t="n">
        <v>0.2016827863300896</v>
      </c>
      <c r="L699" s="120" t="n">
        <v>-0.1290588540858829</v>
      </c>
      <c r="M699" s="120" t="n">
        <v>-0.2498572157092911</v>
      </c>
      <c r="N699" t="n">
        <v>43.8517293407893</v>
      </c>
      <c r="O699" t="n">
        <v>0.02545170893591497</v>
      </c>
      <c r="P699" t="n">
        <v>124.7360273300289</v>
      </c>
      <c r="Q699" t="n">
        <v>125.2807010723783</v>
      </c>
    </row>
    <row r="700">
      <c r="A700" s="117" t="n">
        <v>45428</v>
      </c>
      <c r="B700" s="118" t="n">
        <v>87.02782541324231</v>
      </c>
      <c r="C700" s="118" t="n">
        <v>88.1193453759939</v>
      </c>
      <c r="D700" s="118" t="n">
        <v>86.87595748434316</v>
      </c>
      <c r="E700" s="118" t="n">
        <v>87.10375213623047</v>
      </c>
      <c r="F700" s="119" t="n">
        <v>12711700</v>
      </c>
      <c r="G700" s="120" t="n">
        <v>0.001090804857027949</v>
      </c>
      <c r="H700" s="121" t="n">
        <v>54.75459460683076</v>
      </c>
      <c r="I700" s="118" t="n">
        <v>89.4377294921875</v>
      </c>
      <c r="J700" s="118" t="n">
        <v>96.04513774871826</v>
      </c>
      <c r="K700" s="120" t="n">
        <v>0.1977100144493966</v>
      </c>
      <c r="L700" s="120" t="n">
        <v>-0.1281088272537343</v>
      </c>
      <c r="M700" s="120" t="n">
        <v>-0.2490389563167225</v>
      </c>
      <c r="N700" t="n">
        <v>44.28330458568185</v>
      </c>
      <c r="O700" t="n">
        <v>-0.0008142299973682432</v>
      </c>
      <c r="P700" t="n">
        <v>124.4793950745761</v>
      </c>
      <c r="Q700" t="n">
        <v>125.0262060574886</v>
      </c>
    </row>
    <row r="701">
      <c r="A701" s="117" t="n">
        <v>45429</v>
      </c>
      <c r="B701" s="118" t="n">
        <v>87.33156565703278</v>
      </c>
      <c r="C701" s="118" t="n">
        <v>87.59732732652877</v>
      </c>
      <c r="D701" s="118" t="n">
        <v>86.69562767192465</v>
      </c>
      <c r="E701" s="118" t="n">
        <v>87.492919921875</v>
      </c>
      <c r="F701" s="119" t="n">
        <v>12019600</v>
      </c>
      <c r="G701" s="120" t="n">
        <v>0.004467864771610097</v>
      </c>
      <c r="H701" s="121" t="n">
        <v>54.99923073115841</v>
      </c>
      <c r="I701" s="118" t="n">
        <v>89.32364135742188</v>
      </c>
      <c r="J701" s="118" t="n">
        <v>95.97760131835938</v>
      </c>
      <c r="K701" s="120" t="n">
        <v>0.1948532671738995</v>
      </c>
      <c r="L701" s="120" t="n">
        <v>-0.1242133353983434</v>
      </c>
      <c r="M701" s="120" t="n">
        <v>-0.2456837639247983</v>
      </c>
      <c r="N701" t="n">
        <v>46.11233374476985</v>
      </c>
      <c r="O701" t="n">
        <v>0.01268799208553917</v>
      </c>
      <c r="P701" t="n">
        <v>124.6583395853223</v>
      </c>
      <c r="Q701" t="n">
        <v>124.9653569120209</v>
      </c>
    </row>
    <row r="702">
      <c r="A702" s="117" t="n">
        <v>45432</v>
      </c>
      <c r="B702" s="118" t="n">
        <v>87.55934868146649</v>
      </c>
      <c r="C702" s="118" t="n">
        <v>87.98646455893785</v>
      </c>
      <c r="D702" s="118" t="n">
        <v>86.21155339906295</v>
      </c>
      <c r="E702" s="118" t="n">
        <v>87.10375213623047</v>
      </c>
      <c r="F702" s="119" t="n">
        <v>9701500</v>
      </c>
      <c r="G702" s="120" t="n">
        <v>-0.00444799174598387</v>
      </c>
      <c r="H702" s="121" t="n">
        <v>54.75459460683075</v>
      </c>
      <c r="I702" s="118" t="n">
        <v>89.18335617065429</v>
      </c>
      <c r="J702" s="118" t="n">
        <v>95.90281120300293</v>
      </c>
      <c r="K702" s="120" t="n">
        <v>0.195016322066216</v>
      </c>
      <c r="L702" s="120" t="n">
        <v>-0.1241287884454502</v>
      </c>
      <c r="M702" s="120" t="n">
        <v>-0.2490389563167225</v>
      </c>
      <c r="N702" t="n">
        <v>44.53781137937079</v>
      </c>
      <c r="O702" t="n">
        <v>0.000707841936816056</v>
      </c>
      <c r="P702" t="n">
        <v>124.8019527015343</v>
      </c>
      <c r="Q702" t="n">
        <v>125.8367077895362</v>
      </c>
    </row>
    <row r="703">
      <c r="A703" s="117" t="n">
        <v>45433</v>
      </c>
      <c r="B703" s="118" t="n">
        <v>86.91393118371472</v>
      </c>
      <c r="C703" s="118" t="n">
        <v>88.12884574295694</v>
      </c>
      <c r="D703" s="118" t="n">
        <v>86.80003022823752</v>
      </c>
      <c r="E703" s="118" t="n">
        <v>88.10037231445312</v>
      </c>
      <c r="F703" s="119" t="n">
        <v>7809700</v>
      </c>
      <c r="G703" s="120" t="n">
        <v>0.01144175943952375</v>
      </c>
      <c r="H703" s="121" t="n">
        <v>55.38108350653076</v>
      </c>
      <c r="I703" s="118" t="n">
        <v>89.0265559387207</v>
      </c>
      <c r="J703" s="118" t="n">
        <v>95.83220558166504</v>
      </c>
      <c r="K703" s="120" t="n">
        <v>0.2000996883401691</v>
      </c>
      <c r="L703" s="120" t="n">
        <v>-0.1141072807428387</v>
      </c>
      <c r="M703" s="120" t="n">
        <v>-0.2404466407064446</v>
      </c>
      <c r="N703" t="n">
        <v>49.31114398918938</v>
      </c>
      <c r="O703" t="n">
        <v>0.06181999090163159</v>
      </c>
      <c r="P703" t="n">
        <v>125.1079957794182</v>
      </c>
      <c r="Q703" t="n">
        <v>126.082889659447</v>
      </c>
    </row>
    <row r="704">
      <c r="A704" s="117" t="n">
        <v>45434</v>
      </c>
      <c r="B704" s="118" t="n">
        <v>87.27460910952524</v>
      </c>
      <c r="C704" s="118" t="n">
        <v>88.04342790783534</v>
      </c>
      <c r="D704" s="118" t="n">
        <v>86.98986757510039</v>
      </c>
      <c r="E704" s="118" t="n">
        <v>87.79664611816406</v>
      </c>
      <c r="F704" s="119" t="n">
        <v>7611900</v>
      </c>
      <c r="G704" s="120" t="n">
        <v>-0.003447501847154366</v>
      </c>
      <c r="H704" s="121" t="n">
        <v>55.19015711884458</v>
      </c>
      <c r="I704" s="118" t="n">
        <v>88.88076599121094</v>
      </c>
      <c r="J704" s="118" t="n">
        <v>95.75223693847656</v>
      </c>
      <c r="K704" s="120" t="n">
        <v>0.1985019201617339</v>
      </c>
      <c r="L704" s="120" t="n">
        <v>-0.1103930806026397</v>
      </c>
      <c r="M704" s="120" t="n">
        <v>-0.2430652023156215</v>
      </c>
      <c r="N704" t="n">
        <v>47.95654775266267</v>
      </c>
      <c r="O704" t="n">
        <v>0.08241540904663713</v>
      </c>
      <c r="P704" t="n">
        <v>124.7477897032301</v>
      </c>
      <c r="Q704" t="n">
        <v>126.0579929436519</v>
      </c>
    </row>
    <row r="705">
      <c r="A705" s="117" t="n">
        <v>45435</v>
      </c>
      <c r="B705" s="118" t="n">
        <v>87.74918496105866</v>
      </c>
      <c r="C705" s="118" t="n">
        <v>87.87257947576201</v>
      </c>
      <c r="D705" s="118" t="n">
        <v>86.51529050426004</v>
      </c>
      <c r="E705" s="118" t="n">
        <v>86.75257873535156</v>
      </c>
      <c r="F705" s="119" t="n">
        <v>7729000</v>
      </c>
      <c r="G705" s="120" t="n">
        <v>-0.01189188230957372</v>
      </c>
      <c r="H705" s="121" t="n">
        <v>54.5338422657404</v>
      </c>
      <c r="I705" s="118" t="n">
        <v>88.69169479370117</v>
      </c>
      <c r="J705" s="118" t="n">
        <v>95.67075878143311</v>
      </c>
      <c r="K705" s="120" t="n">
        <v>0.2010279163303459</v>
      </c>
      <c r="L705" s="120" t="n">
        <v>-0.117419875830007</v>
      </c>
      <c r="M705" s="120" t="n">
        <v>-0.2520665818457051</v>
      </c>
      <c r="N705" t="n">
        <v>43.52982180325596</v>
      </c>
      <c r="O705" t="n">
        <v>0.02910139306174353</v>
      </c>
      <c r="P705" t="n">
        <v>123.8366411502861</v>
      </c>
      <c r="Q705" t="n">
        <v>125.4909390564449</v>
      </c>
    </row>
    <row r="706">
      <c r="A706" s="117" t="n">
        <v>45436</v>
      </c>
      <c r="B706" s="118" t="n">
        <v>87.10375007256873</v>
      </c>
      <c r="C706" s="118" t="n">
        <v>87.51188606998886</v>
      </c>
      <c r="D706" s="118" t="n">
        <v>86.83798844475307</v>
      </c>
      <c r="E706" s="118" t="n">
        <v>87.08477020263672</v>
      </c>
      <c r="F706" s="119" t="n">
        <v>6936800</v>
      </c>
      <c r="G706" s="120" t="n">
        <v>0.003829182626357897</v>
      </c>
      <c r="H706" s="121" t="n">
        <v>54.74266230709293</v>
      </c>
      <c r="I706" s="118" t="n">
        <v>88.53014862060547</v>
      </c>
      <c r="J706" s="118" t="n">
        <v>95.59094158172607</v>
      </c>
      <c r="K706" s="120" t="n">
        <v>0.2015470112650447</v>
      </c>
      <c r="L706" s="120" t="n">
        <v>-0.09943080752776623</v>
      </c>
      <c r="M706" s="120" t="n">
        <v>-0.2492026081952362</v>
      </c>
      <c r="N706" t="n">
        <v>45.26113307196469</v>
      </c>
      <c r="O706" t="n">
        <v>0.02002048110329591</v>
      </c>
      <c r="P706" t="n">
        <v>124.6559487390756</v>
      </c>
      <c r="Q706" t="n">
        <v>126.6776255504893</v>
      </c>
    </row>
    <row r="707">
      <c r="A707" s="117" t="n">
        <v>45440</v>
      </c>
      <c r="B707" s="118" t="n">
        <v>87.07527786999772</v>
      </c>
      <c r="C707" s="118" t="n">
        <v>87.8156159125862</v>
      </c>
      <c r="D707" s="118" t="n">
        <v>86.70510884870347</v>
      </c>
      <c r="E707" s="118" t="n">
        <v>87.32205963134766</v>
      </c>
      <c r="F707" s="119" t="n">
        <v>10835000</v>
      </c>
      <c r="G707" s="120" t="n">
        <v>0.00272480972457978</v>
      </c>
      <c r="H707" s="121" t="n">
        <v>54.89182564569668</v>
      </c>
      <c r="I707" s="118" t="n">
        <v>88.38511795043945</v>
      </c>
      <c r="J707" s="118" t="n">
        <v>95.51541103363037</v>
      </c>
      <c r="K707" s="120" t="n">
        <v>0.2020237607159028</v>
      </c>
      <c r="L707" s="120" t="n">
        <v>-0.09234420077318417</v>
      </c>
      <c r="M707" s="120" t="n">
        <v>-0.2471568281608574</v>
      </c>
      <c r="N707" t="n">
        <v>46.52238722991415</v>
      </c>
      <c r="O707" t="n">
        <v>0.03303800110184729</v>
      </c>
      <c r="P707" t="n">
        <v>124.7430818022876</v>
      </c>
      <c r="Q707" t="n">
        <v>127.1561653760499</v>
      </c>
    </row>
    <row r="708">
      <c r="A708" s="117" t="n">
        <v>45441</v>
      </c>
      <c r="B708" s="118" t="n">
        <v>87.01833602463792</v>
      </c>
      <c r="C708" s="118" t="n">
        <v>88.00545588537139</v>
      </c>
      <c r="D708" s="118" t="n">
        <v>86.73358726504608</v>
      </c>
      <c r="E708" s="118" t="n">
        <v>87.00884246826172</v>
      </c>
      <c r="F708" s="119" t="n">
        <v>7237300</v>
      </c>
      <c r="G708" s="120" t="n">
        <v>-0.003586919094765606</v>
      </c>
      <c r="H708" s="121" t="n">
        <v>54.69493310814158</v>
      </c>
      <c r="I708" s="118" t="n">
        <v>88.25090759277344</v>
      </c>
      <c r="J708" s="118" t="n">
        <v>95.44272979736328</v>
      </c>
      <c r="K708" s="120" t="n">
        <v>0.1907654124782766</v>
      </c>
      <c r="L708" s="120" t="n">
        <v>-0.09559988869090563</v>
      </c>
      <c r="M708" s="120" t="n">
        <v>-0.2498572157092911</v>
      </c>
      <c r="N708" t="n">
        <v>45.04693912645858</v>
      </c>
      <c r="O708" t="n">
        <v>0.02401664533241815</v>
      </c>
      <c r="P708" t="n">
        <v>123.8695521819532</v>
      </c>
      <c r="Q708" t="n">
        <v>126.2599263265679</v>
      </c>
    </row>
    <row r="709">
      <c r="A709" s="117" t="n">
        <v>45442</v>
      </c>
      <c r="B709" s="118" t="n">
        <v>87.54038083924405</v>
      </c>
      <c r="C709" s="118" t="n">
        <v>89.10647743279699</v>
      </c>
      <c r="D709" s="118" t="n">
        <v>87.28410548437954</v>
      </c>
      <c r="E709" s="118" t="n">
        <v>88.69834136962891</v>
      </c>
      <c r="F709" s="119" t="n">
        <v>9300100</v>
      </c>
      <c r="G709" s="120" t="n">
        <v>0.01941755404898604</v>
      </c>
      <c r="H709" s="121" t="n">
        <v>55.7569749279746</v>
      </c>
      <c r="I709" s="118" t="n">
        <v>88.12732788085937</v>
      </c>
      <c r="J709" s="118" t="n">
        <v>95.38060985565185</v>
      </c>
      <c r="K709" s="120" t="n">
        <v>0.1866647666971211</v>
      </c>
      <c r="L709" s="120" t="n">
        <v>-0.07803865064765214</v>
      </c>
      <c r="M709" s="120" t="n">
        <v>-0.2352912776508693</v>
      </c>
      <c r="N709" t="n">
        <v>53.59593352122721</v>
      </c>
      <c r="O709" t="n">
        <v>0.1294085853028448</v>
      </c>
      <c r="P709" t="n">
        <v>123.0478389886069</v>
      </c>
      <c r="Q709" t="n">
        <v>124.9072503354518</v>
      </c>
    </row>
    <row r="710">
      <c r="A710" s="117" t="n">
        <v>45443</v>
      </c>
      <c r="B710" s="118" t="n">
        <v>88.74579769270422</v>
      </c>
      <c r="C710" s="118" t="n">
        <v>90.23596748194996</v>
      </c>
      <c r="D710" s="118" t="n">
        <v>88.2427478055934</v>
      </c>
      <c r="E710" s="118" t="n">
        <v>90.21698760986328</v>
      </c>
      <c r="F710" s="119" t="n">
        <v>12565600</v>
      </c>
      <c r="G710" s="120" t="n">
        <v>0.0171214728120539</v>
      </c>
      <c r="H710" s="121" t="n">
        <v>56.71161645828629</v>
      </c>
      <c r="I710" s="118" t="n">
        <v>88.02823654174804</v>
      </c>
      <c r="J710" s="118" t="n">
        <v>95.33120315551758</v>
      </c>
      <c r="K710" s="120" t="n">
        <v>0.178931109724071</v>
      </c>
      <c r="L710" s="120" t="n">
        <v>-0.0622533144709515</v>
      </c>
      <c r="M710" s="120" t="n">
        <v>-0.2221983380520283</v>
      </c>
      <c r="N710" t="n">
        <v>59.66945564251792</v>
      </c>
      <c r="O710" t="n">
        <v>0.2897893768108395</v>
      </c>
      <c r="P710" t="n">
        <v>124.1685850625089</v>
      </c>
      <c r="Q710" t="n">
        <v>124.6749009236303</v>
      </c>
    </row>
    <row r="711">
      <c r="A711" s="117" t="n">
        <v>45446</v>
      </c>
      <c r="B711" s="118" t="n">
        <v>90.06451120934422</v>
      </c>
      <c r="C711" s="118" t="n">
        <v>90.76010365388994</v>
      </c>
      <c r="D711" s="118" t="n">
        <v>89.61667218505201</v>
      </c>
      <c r="E711" s="118" t="n">
        <v>89.95017242431641</v>
      </c>
      <c r="F711" s="119" t="n">
        <v>9668100</v>
      </c>
      <c r="G711" s="120" t="n">
        <v>-0.002957482760349905</v>
      </c>
      <c r="H711" s="121" t="n">
        <v>56.54389283029933</v>
      </c>
      <c r="I711" s="118" t="n">
        <v>87.91336822509766</v>
      </c>
      <c r="J711" s="118" t="n">
        <v>95.28055629730224</v>
      </c>
      <c r="K711" s="120" t="n">
        <v>0.1789775851804281</v>
      </c>
      <c r="L711" s="120" t="n">
        <v>-0.06502668412697898</v>
      </c>
      <c r="M711" s="120" t="n">
        <v>-0.2244986730582109</v>
      </c>
      <c r="N711" t="n">
        <v>58.2275018529236</v>
      </c>
      <c r="O711" t="n">
        <v>0.3616242234059387</v>
      </c>
      <c r="P711" t="n">
        <v>124.2698123119281</v>
      </c>
      <c r="Q711" t="n">
        <v>125.3443184182295</v>
      </c>
    </row>
    <row r="712">
      <c r="A712" s="117" t="n">
        <v>45447</v>
      </c>
      <c r="B712" s="118" t="n">
        <v>89.84536961960362</v>
      </c>
      <c r="C712" s="118" t="n">
        <v>90.62671626245121</v>
      </c>
      <c r="D712" s="118" t="n">
        <v>89.00685357622798</v>
      </c>
      <c r="E712" s="118" t="n">
        <v>90.27415466308594</v>
      </c>
      <c r="F712" s="119" t="n">
        <v>7838400</v>
      </c>
      <c r="G712" s="120" t="n">
        <v>0.003601796750774655</v>
      </c>
      <c r="H712" s="121" t="n">
        <v>56.74755243977165</v>
      </c>
      <c r="I712" s="118" t="n">
        <v>87.9371012878418</v>
      </c>
      <c r="J712" s="118" t="n">
        <v>95.23848125457764</v>
      </c>
      <c r="K712" s="120" t="n">
        <v>0.173861225699304</v>
      </c>
      <c r="L712" s="120" t="n">
        <v>-0.06165910027580657</v>
      </c>
      <c r="M712" s="120" t="n">
        <v>-0.2217054748986105</v>
      </c>
      <c r="N712" t="n">
        <v>59.50709967840382</v>
      </c>
      <c r="O712" t="n">
        <v>0.4110735824448274</v>
      </c>
      <c r="P712" t="n">
        <v>124.408747043818</v>
      </c>
      <c r="Q712" t="n">
        <v>125.6873189509372</v>
      </c>
    </row>
    <row r="713">
      <c r="A713" s="117" t="n">
        <v>45448</v>
      </c>
      <c r="B713" s="118" t="n">
        <v>90.82680918166267</v>
      </c>
      <c r="C713" s="118" t="n">
        <v>90.82680918166267</v>
      </c>
      <c r="D713" s="118" t="n">
        <v>89.28317006281398</v>
      </c>
      <c r="E713" s="118" t="n">
        <v>89.87394714355469</v>
      </c>
      <c r="F713" s="119" t="n">
        <v>7463300</v>
      </c>
      <c r="G713" s="120" t="n">
        <v>-0.004433245827943466</v>
      </c>
      <c r="H713" s="121" t="n">
        <v>56.49597658967203</v>
      </c>
      <c r="I713" s="118" t="n">
        <v>87.95491851806641</v>
      </c>
      <c r="J713" s="118" t="n">
        <v>95.19553253173828</v>
      </c>
      <c r="K713" s="120" t="n">
        <v>0.1743580337330473</v>
      </c>
      <c r="L713" s="120" t="n">
        <v>-0.06581899615469755</v>
      </c>
      <c r="M713" s="120" t="n">
        <v>-0.2251558458549274</v>
      </c>
      <c r="N713" t="n">
        <v>57.17711013557336</v>
      </c>
      <c r="O713" t="n">
        <v>0.3967469160690136</v>
      </c>
      <c r="P713" t="n">
        <v>125.8873378642819</v>
      </c>
      <c r="Q713" t="n">
        <v>128.2211621229873</v>
      </c>
    </row>
    <row r="714">
      <c r="A714" s="117" t="n">
        <v>45449</v>
      </c>
      <c r="B714" s="118" t="n">
        <v>90.38849248176552</v>
      </c>
      <c r="C714" s="118" t="n">
        <v>92.23704714085667</v>
      </c>
      <c r="D714" s="118" t="n">
        <v>89.55949990098786</v>
      </c>
      <c r="E714" s="118" t="n">
        <v>91.20795440673828</v>
      </c>
      <c r="F714" s="119" t="n">
        <v>9760100</v>
      </c>
      <c r="G714" s="120" t="n">
        <v>0.01484309197027689</v>
      </c>
      <c r="H714" s="121" t="n">
        <v>57.33455156614313</v>
      </c>
      <c r="I714" s="118" t="n">
        <v>88.0216259765625</v>
      </c>
      <c r="J714" s="118" t="n">
        <v>95.16841342926026</v>
      </c>
      <c r="K714" s="120" t="n">
        <v>0.1812132170558365</v>
      </c>
      <c r="L714" s="120" t="n">
        <v>-0.05195286159773616</v>
      </c>
      <c r="M714" s="120" t="n">
        <v>-0.2136547628123207</v>
      </c>
      <c r="N714" t="n">
        <v>62.45430327538961</v>
      </c>
      <c r="O714" t="n">
        <v>0.4529669695508181</v>
      </c>
      <c r="P714" t="n">
        <v>125.8850060512758</v>
      </c>
      <c r="Q714" t="n">
        <v>128.1768965483358</v>
      </c>
    </row>
    <row r="715">
      <c r="A715" s="117" t="n">
        <v>45450</v>
      </c>
      <c r="B715" s="118" t="n">
        <v>90.89351678649224</v>
      </c>
      <c r="C715" s="118" t="n">
        <v>93.32331809348027</v>
      </c>
      <c r="D715" s="118" t="n">
        <v>90.80776268542164</v>
      </c>
      <c r="E715" s="118" t="n">
        <v>91.99884033203125</v>
      </c>
      <c r="F715" s="119" t="n">
        <v>9397400</v>
      </c>
      <c r="G715" s="120" t="n">
        <v>0.008671238494901923</v>
      </c>
      <c r="H715" s="121" t="n">
        <v>57.83171313677141</v>
      </c>
      <c r="I715" s="118" t="n">
        <v>88.07472778320313</v>
      </c>
      <c r="J715" s="118" t="n">
        <v>95.15182495117188</v>
      </c>
      <c r="K715" s="120" t="n">
        <v>0.1824854916196874</v>
      </c>
      <c r="L715" s="120" t="n">
        <v>-0.03861019313946323</v>
      </c>
      <c r="M715" s="120" t="n">
        <v>-0.2068361757213361</v>
      </c>
      <c r="N715" t="n">
        <v>65.19294156406606</v>
      </c>
      <c r="O715" t="n">
        <v>0.5147640539164654</v>
      </c>
      <c r="P715" t="n">
        <v>125.7319771331788</v>
      </c>
      <c r="Q715" t="n">
        <v>128.063477227066</v>
      </c>
    </row>
    <row r="716">
      <c r="A716" s="117" t="n">
        <v>45453</v>
      </c>
      <c r="B716" s="118" t="n">
        <v>91.21749239356481</v>
      </c>
      <c r="C716" s="118" t="n">
        <v>92.41809341009989</v>
      </c>
      <c r="D716" s="118" t="n">
        <v>91.09361566742641</v>
      </c>
      <c r="E716" s="118" t="n">
        <v>91.47476196289062</v>
      </c>
      <c r="F716" s="119" t="n">
        <v>7035100</v>
      </c>
      <c r="G716" s="120" t="n">
        <v>-0.005696575818229688</v>
      </c>
      <c r="H716" s="121" t="n">
        <v>57.50227039818968</v>
      </c>
      <c r="I716" s="118" t="n">
        <v>88.1201953125</v>
      </c>
      <c r="J716" s="118" t="n">
        <v>95.14534561157227</v>
      </c>
      <c r="K716" s="120" t="n">
        <v>0.1525638995237004</v>
      </c>
      <c r="L716" s="120" t="n">
        <v>-0.04408682306511746</v>
      </c>
      <c r="M716" s="120" t="n">
        <v>-0.2113544935826165</v>
      </c>
      <c r="N716" t="n">
        <v>61.96738438820166</v>
      </c>
      <c r="O716" t="n">
        <v>0.4917260072384236</v>
      </c>
      <c r="P716" t="n">
        <v>126.1204453733322</v>
      </c>
      <c r="Q716" t="n">
        <v>128.5807547703395</v>
      </c>
    </row>
    <row r="717">
      <c r="A717" s="117" t="n">
        <v>45454</v>
      </c>
      <c r="B717" s="118" t="n">
        <v>91.01738356623594</v>
      </c>
      <c r="C717" s="118" t="n">
        <v>91.47476056776955</v>
      </c>
      <c r="D717" s="118" t="n">
        <v>90.06452147698833</v>
      </c>
      <c r="E717" s="118" t="n">
        <v>91.35089111328125</v>
      </c>
      <c r="F717" s="119" t="n">
        <v>7301500</v>
      </c>
      <c r="G717" s="120" t="n">
        <v>-0.001354153287216331</v>
      </c>
      <c r="H717" s="121" t="n">
        <v>57.42440350970757</v>
      </c>
      <c r="I717" s="118" t="n">
        <v>88.19014129638671</v>
      </c>
      <c r="J717" s="118" t="n">
        <v>95.14350784301757</v>
      </c>
      <c r="K717" s="120" t="n">
        <v>0.139878886524709</v>
      </c>
      <c r="L717" s="120" t="n">
        <v>-0.04538127603595732</v>
      </c>
      <c r="M717" s="120" t="n">
        <v>-0.21242244048758</v>
      </c>
      <c r="N717" t="n">
        <v>61.19667691190642</v>
      </c>
      <c r="O717" t="n">
        <v>0.4411422023295448</v>
      </c>
      <c r="P717" t="n">
        <v>126.4242156714508</v>
      </c>
      <c r="Q717" t="n">
        <v>129.4631699055605</v>
      </c>
    </row>
    <row r="718">
      <c r="A718" s="117" t="n">
        <v>45455</v>
      </c>
      <c r="B718" s="118" t="n">
        <v>91.80826992380575</v>
      </c>
      <c r="C718" s="118" t="n">
        <v>91.95120070527922</v>
      </c>
      <c r="D718" s="118" t="n">
        <v>89.09261415485602</v>
      </c>
      <c r="E718" s="118" t="n">
        <v>89.26412963867188</v>
      </c>
      <c r="F718" s="119" t="n">
        <v>9861300</v>
      </c>
      <c r="G718" s="120" t="n">
        <v>-0.02284336199875325</v>
      </c>
      <c r="H718" s="121" t="n">
        <v>56.11263707277284</v>
      </c>
      <c r="I718" s="118" t="n">
        <v>88.24891494750976</v>
      </c>
      <c r="J718" s="118" t="n">
        <v>95.1255525970459</v>
      </c>
      <c r="K718" s="120" t="n">
        <v>0.1652332390929016</v>
      </c>
      <c r="L718" s="120" t="n">
        <v>-0.06718797711825586</v>
      </c>
      <c r="M718" s="120" t="n">
        <v>-0.2304133597816168</v>
      </c>
      <c r="N718" t="n">
        <v>49.93041253469454</v>
      </c>
      <c r="O718" t="n">
        <v>0.2496723901205999</v>
      </c>
      <c r="P718" t="n">
        <v>127.4624923081529</v>
      </c>
      <c r="Q718" t="n">
        <v>131.1588464293843</v>
      </c>
    </row>
    <row r="719">
      <c r="A719" s="117" t="n">
        <v>45456</v>
      </c>
      <c r="B719" s="118" t="n">
        <v>89.6071546942662</v>
      </c>
      <c r="C719" s="118" t="n">
        <v>90.07405509783061</v>
      </c>
      <c r="D719" s="118" t="n">
        <v>89.30223910646237</v>
      </c>
      <c r="E719" s="118" t="n">
        <v>89.74055480957031</v>
      </c>
      <c r="F719" s="119" t="n">
        <v>8348200</v>
      </c>
      <c r="G719" s="120" t="n">
        <v>0.005337252184353769</v>
      </c>
      <c r="H719" s="121" t="n">
        <v>56.41212436755934</v>
      </c>
      <c r="I719" s="118" t="n">
        <v>88.32898651123047</v>
      </c>
      <c r="J719" s="118" t="n">
        <v>95.10626861572266</v>
      </c>
      <c r="K719" s="120" t="n">
        <v>0.1587835763401926</v>
      </c>
      <c r="L719" s="120" t="n">
        <v>-0.0622093241115389</v>
      </c>
      <c r="M719" s="120" t="n">
        <v>-0.2263058818050618</v>
      </c>
      <c r="N719" t="n">
        <v>52.0986479886283</v>
      </c>
      <c r="O719" t="n">
        <v>0.1429426516606715</v>
      </c>
      <c r="P719" t="n">
        <v>127.7191688385362</v>
      </c>
      <c r="Q719" t="n">
        <v>131.8697527544231</v>
      </c>
    </row>
    <row r="720">
      <c r="A720" s="117" t="n">
        <v>45457</v>
      </c>
      <c r="B720" s="118" t="n">
        <v>89.37846226526391</v>
      </c>
      <c r="C720" s="118" t="n">
        <v>90.31226299345407</v>
      </c>
      <c r="D720" s="118" t="n">
        <v>88.90203124523534</v>
      </c>
      <c r="E720" s="118" t="n">
        <v>88.98778533935547</v>
      </c>
      <c r="F720" s="119" t="n">
        <v>7426800</v>
      </c>
      <c r="G720" s="120" t="n">
        <v>-0.008388286341801887</v>
      </c>
      <c r="H720" s="121" t="n">
        <v>55.93892331521491</v>
      </c>
      <c r="I720" s="118" t="n">
        <v>88.41792083740235</v>
      </c>
      <c r="J720" s="118" t="n">
        <v>95.07316867828369</v>
      </c>
      <c r="K720" s="120" t="n">
        <v>0.1626990999169151</v>
      </c>
      <c r="L720" s="120" t="n">
        <v>-0.07007578082956323</v>
      </c>
      <c r="M720" s="120" t="n">
        <v>-0.2327958496094489</v>
      </c>
      <c r="N720" t="n">
        <v>48.52317408552357</v>
      </c>
      <c r="O720" t="n">
        <v>0.01615117340070049</v>
      </c>
      <c r="P720" t="n">
        <v>127.7968565832428</v>
      </c>
      <c r="Q720" t="n">
        <v>132.5530027071117</v>
      </c>
    </row>
    <row r="721">
      <c r="A721" s="117" t="n">
        <v>45460</v>
      </c>
      <c r="B721" s="118" t="n">
        <v>87.67283342832296</v>
      </c>
      <c r="C721" s="118" t="n">
        <v>90.63623478842324</v>
      </c>
      <c r="D721" s="118" t="n">
        <v>87.67283342832296</v>
      </c>
      <c r="E721" s="118" t="n">
        <v>90.52188873291016</v>
      </c>
      <c r="F721" s="119" t="n">
        <v>6365400</v>
      </c>
      <c r="G721" s="120" t="n">
        <v>0.01723948278636644</v>
      </c>
      <c r="H721" s="121" t="n">
        <v>56.90328142079544</v>
      </c>
      <c r="I721" s="118" t="n">
        <v>88.54190383911133</v>
      </c>
      <c r="J721" s="118" t="n">
        <v>95.04618923187256</v>
      </c>
      <c r="K721" s="120" t="n">
        <v>0.1722216399039342</v>
      </c>
      <c r="L721" s="120" t="n">
        <v>-0.01605402409194145</v>
      </c>
      <c r="M721" s="120" t="n">
        <v>-0.2195696468651621</v>
      </c>
      <c r="N721" t="n">
        <v>55.2616871992705</v>
      </c>
      <c r="O721" t="n">
        <v>0.02933807592047494</v>
      </c>
      <c r="P721" t="n">
        <v>128.813984561479</v>
      </c>
      <c r="Q721" t="n">
        <v>134.1767487401054</v>
      </c>
    </row>
    <row r="722">
      <c r="A722" s="117" t="n">
        <v>45461</v>
      </c>
      <c r="B722" s="118" t="n">
        <v>90.2074557027475</v>
      </c>
      <c r="C722" s="118" t="n">
        <v>90.76964813723283</v>
      </c>
      <c r="D722" s="118" t="n">
        <v>89.76913999726052</v>
      </c>
      <c r="E722" s="118" t="n">
        <v>90.31227111816406</v>
      </c>
      <c r="F722" s="119" t="n">
        <v>6712000</v>
      </c>
      <c r="G722" s="120" t="n">
        <v>-0.002315656662496113</v>
      </c>
      <c r="H722" s="121" t="n">
        <v>56.77151295805548</v>
      </c>
      <c r="I722" s="118" t="n">
        <v>88.63967391967773</v>
      </c>
      <c r="J722" s="118" t="n">
        <v>95.01999366760253</v>
      </c>
      <c r="K722" s="120" t="n">
        <v>0.1713665570758524</v>
      </c>
      <c r="L722" s="120" t="n">
        <v>-0.01833250514658913</v>
      </c>
      <c r="M722" s="120" t="n">
        <v>-0.2213768556120129</v>
      </c>
      <c r="N722" t="n">
        <v>54.21733187165045</v>
      </c>
      <c r="O722" t="n">
        <v>0.01822236795165721</v>
      </c>
      <c r="P722" t="n">
        <v>129.1412500893797</v>
      </c>
      <c r="Q722" t="n">
        <v>134.2182546582017</v>
      </c>
    </row>
    <row r="723">
      <c r="A723" s="117" t="n">
        <v>45463</v>
      </c>
      <c r="B723" s="118" t="n">
        <v>89.45468614757493</v>
      </c>
      <c r="C723" s="118" t="n">
        <v>91.56051039418494</v>
      </c>
      <c r="D723" s="118" t="n">
        <v>89.11165522987045</v>
      </c>
      <c r="E723" s="118" t="n">
        <v>91.06502532958984</v>
      </c>
      <c r="F723" s="119" t="n">
        <v>9393800</v>
      </c>
      <c r="G723" s="120" t="n">
        <v>0.008335015852285244</v>
      </c>
      <c r="H723" s="121" t="n">
        <v>57.24470441851908</v>
      </c>
      <c r="I723" s="118" t="n">
        <v>88.73351608276367</v>
      </c>
      <c r="J723" s="118" t="n">
        <v>94.99289588928222</v>
      </c>
      <c r="K723" s="120" t="n">
        <v>0.1694076058397911</v>
      </c>
      <c r="L723" s="120" t="n">
        <v>-0.01015029101531295</v>
      </c>
      <c r="M723" s="120" t="n">
        <v>-0.2148870193605829</v>
      </c>
      <c r="N723" t="n">
        <v>57.33550923984107</v>
      </c>
      <c r="O723" t="n">
        <v>0.05383174753561015</v>
      </c>
      <c r="P723" t="n">
        <v>128.7904598150766</v>
      </c>
      <c r="Q723" t="n">
        <v>133.1837081154832</v>
      </c>
    </row>
    <row r="724">
      <c r="A724" s="117" t="n">
        <v>45464</v>
      </c>
      <c r="B724" s="118" t="n">
        <v>91.43664346273265</v>
      </c>
      <c r="C724" s="118" t="n">
        <v>92.62772105150796</v>
      </c>
      <c r="D724" s="118" t="n">
        <v>90.92209707201043</v>
      </c>
      <c r="E724" s="118" t="n">
        <v>92.59913635253906</v>
      </c>
      <c r="F724" s="119" t="n">
        <v>15124400</v>
      </c>
      <c r="G724" s="120" t="n">
        <v>0.01684632511106043</v>
      </c>
      <c r="H724" s="121" t="n">
        <v>58.20906732004002</v>
      </c>
      <c r="I724" s="118" t="n">
        <v>88.89600631713867</v>
      </c>
      <c r="J724" s="118" t="n">
        <v>94.98308322906495</v>
      </c>
      <c r="K724" s="120" t="n">
        <v>0.1763847152681484</v>
      </c>
      <c r="L724" s="120" t="n">
        <v>0</v>
      </c>
      <c r="M724" s="120" t="n">
        <v>-0.2016607508398176</v>
      </c>
      <c r="N724" t="n">
        <v>62.88371431057963</v>
      </c>
      <c r="O724" t="n">
        <v>0.1666024771405539</v>
      </c>
      <c r="P724" t="n">
        <v>128.6177875861504</v>
      </c>
      <c r="Q724" t="n">
        <v>132.8268580370295</v>
      </c>
    </row>
    <row r="725">
      <c r="A725" s="117" t="n">
        <v>45467</v>
      </c>
      <c r="B725" s="118" t="n">
        <v>92.71347632311071</v>
      </c>
      <c r="C725" s="118" t="n">
        <v>93.41859217377778</v>
      </c>
      <c r="D725" s="118" t="n">
        <v>92.12269926080251</v>
      </c>
      <c r="E725" s="118" t="n">
        <v>92.589599609375</v>
      </c>
      <c r="F725" s="119" t="n">
        <v>9466900</v>
      </c>
      <c r="G725" s="120" t="n">
        <v>-0.0001029895476319931</v>
      </c>
      <c r="H725" s="121" t="n">
        <v>58.20307239452865</v>
      </c>
      <c r="I725" s="118" t="n">
        <v>89.00135711669923</v>
      </c>
      <c r="J725" s="118" t="n">
        <v>94.9738826751709</v>
      </c>
      <c r="K725" s="120" t="n">
        <v>0.1682015589611523</v>
      </c>
      <c r="L725" s="120" t="n">
        <v>-0.0001029895476319931</v>
      </c>
      <c r="M725" s="120" t="n">
        <v>-0.2017429714379455</v>
      </c>
      <c r="N725" t="n">
        <v>62.82901596684643</v>
      </c>
      <c r="O725" t="n">
        <v>0.2229331031478607</v>
      </c>
      <c r="P725" t="n">
        <v>128.1996846591864</v>
      </c>
      <c r="Q725" t="n">
        <v>131.3146773145548</v>
      </c>
    </row>
    <row r="726">
      <c r="A726" s="117" t="n">
        <v>45468</v>
      </c>
      <c r="B726" s="118" t="n">
        <v>92.72300842117842</v>
      </c>
      <c r="C726" s="118" t="n">
        <v>93.03745465823093</v>
      </c>
      <c r="D726" s="118" t="n">
        <v>90.04546825237829</v>
      </c>
      <c r="E726" s="118" t="n">
        <v>90.28368377685547</v>
      </c>
      <c r="F726" s="119" t="n">
        <v>9006500</v>
      </c>
      <c r="G726" s="120" t="n">
        <v>-0.02490469601605283</v>
      </c>
      <c r="H726" s="121" t="n">
        <v>56.7535425693426</v>
      </c>
      <c r="I726" s="118" t="n">
        <v>89.06058959960937</v>
      </c>
      <c r="J726" s="118" t="n">
        <v>94.96375682830811</v>
      </c>
      <c r="K726" s="120" t="n">
        <v>0.1957100583575001</v>
      </c>
      <c r="L726" s="120" t="n">
        <v>-0.02500512064030813</v>
      </c>
      <c r="M726" s="120" t="n">
        <v>-0.2216233200769611</v>
      </c>
      <c r="N726" t="n">
        <v>51.22635738291892</v>
      </c>
      <c r="O726" t="n">
        <v>0.09387756279024406</v>
      </c>
      <c r="P726" t="n">
        <v>128.6933648925035</v>
      </c>
      <c r="Q726" t="n">
        <v>132.8163320405094</v>
      </c>
    </row>
    <row r="727">
      <c r="A727" s="117" t="n">
        <v>45469</v>
      </c>
      <c r="B727" s="118" t="n">
        <v>89.65478251191414</v>
      </c>
      <c r="C727" s="118" t="n">
        <v>90.02640538184018</v>
      </c>
      <c r="D727" s="118" t="n">
        <v>88.75909717114109</v>
      </c>
      <c r="E727" s="118" t="n">
        <v>89.62619781494141</v>
      </c>
      <c r="F727" s="119" t="n">
        <v>10160400</v>
      </c>
      <c r="G727" s="120" t="n">
        <v>-0.007282445004560323</v>
      </c>
      <c r="H727" s="121" t="n">
        <v>56.34023801676739</v>
      </c>
      <c r="I727" s="118" t="n">
        <v>89.08579101562501</v>
      </c>
      <c r="J727" s="118" t="n">
        <v>94.9515689086914</v>
      </c>
      <c r="K727" s="120" t="n">
        <v>0.198341611121016</v>
      </c>
      <c r="L727" s="120" t="n">
        <v>-0.03210546722897312</v>
      </c>
      <c r="M727" s="120" t="n">
        <v>-0.2272918054413329</v>
      </c>
      <c r="N727" t="n">
        <v>48.47742225842136</v>
      </c>
      <c r="O727" t="n">
        <v>-0.03962415308412492</v>
      </c>
      <c r="P727" t="n">
        <v>128.8539795820251</v>
      </c>
      <c r="Q727" t="n">
        <v>133.0906231056727</v>
      </c>
    </row>
    <row r="728">
      <c r="A728" s="117" t="n">
        <v>45470</v>
      </c>
      <c r="B728" s="118" t="n">
        <v>89.34986871917272</v>
      </c>
      <c r="C728" s="118" t="n">
        <v>90.27414604486322</v>
      </c>
      <c r="D728" s="118" t="n">
        <v>88.98778376746068</v>
      </c>
      <c r="E728" s="118" t="n">
        <v>89.75007629394531</v>
      </c>
      <c r="F728" s="119" t="n">
        <v>25772700</v>
      </c>
      <c r="G728" s="120" t="n">
        <v>0.001382168183232446</v>
      </c>
      <c r="H728" s="121" t="n">
        <v>56.4181097011899</v>
      </c>
      <c r="I728" s="118" t="n">
        <v>89.10796463012696</v>
      </c>
      <c r="J728" s="118" t="n">
        <v>94.94414779663086</v>
      </c>
      <c r="K728" s="120" t="n">
        <v>0.1974744561771587</v>
      </c>
      <c r="L728" s="120" t="n">
        <v>-0.03076767420105242</v>
      </c>
      <c r="M728" s="120" t="n">
        <v>-0.2262237927598909</v>
      </c>
      <c r="N728" t="n">
        <v>49.03237939154035</v>
      </c>
      <c r="O728" t="n">
        <v>-0.1189591004187877</v>
      </c>
      <c r="P728" t="n">
        <v>129.0571277214413</v>
      </c>
      <c r="Q728" t="n">
        <v>133.4341704433944</v>
      </c>
    </row>
    <row r="729">
      <c r="A729" s="117" t="n">
        <v>45471</v>
      </c>
      <c r="B729" s="118" t="n">
        <v>73.49425473874258</v>
      </c>
      <c r="C729" s="118" t="n">
        <v>75.32375558494931</v>
      </c>
      <c r="D729" s="118" t="n">
        <v>71.03587592591451</v>
      </c>
      <c r="E729" s="118" t="n">
        <v>71.81722259521484</v>
      </c>
      <c r="F729" s="119" t="n">
        <v>129967000</v>
      </c>
      <c r="G729" s="120" t="n">
        <v>-0.1998087850086903</v>
      </c>
      <c r="H729" s="121" t="n">
        <v>45.14527574930815</v>
      </c>
      <c r="I729" s="118" t="n">
        <v>88.74395614624024</v>
      </c>
      <c r="J729" s="118" t="n">
        <v>94.84937183380127</v>
      </c>
      <c r="K729" s="120" t="n">
        <v>0.7355887921798185</v>
      </c>
      <c r="L729" s="120" t="n">
        <v>-0.2244288076100871</v>
      </c>
      <c r="M729" s="120" t="n">
        <v>-0.3808310765971696</v>
      </c>
      <c r="N729" t="n">
        <v>18.30118894814838</v>
      </c>
      <c r="O729" t="n">
        <v>-1.31225182949482</v>
      </c>
      <c r="P729" t="n">
        <v>128.5492795103662</v>
      </c>
      <c r="Q729" t="n">
        <v>132.7415222795272</v>
      </c>
    </row>
    <row r="730">
      <c r="A730" s="117" t="n">
        <v>45474</v>
      </c>
      <c r="B730" s="118" t="n">
        <v>71.94108107614281</v>
      </c>
      <c r="C730" s="118" t="n">
        <v>73.42754347139284</v>
      </c>
      <c r="D730" s="118" t="n">
        <v>70.78811892729371</v>
      </c>
      <c r="E730" s="118" t="n">
        <v>73.20838928222656</v>
      </c>
      <c r="F730" s="119" t="n">
        <v>44369000</v>
      </c>
      <c r="G730" s="120" t="n">
        <v>0.0193709341121806</v>
      </c>
      <c r="H730" s="121" t="n">
        <v>46.01978191132422</v>
      </c>
      <c r="I730" s="118" t="n">
        <v>88.39068603515625</v>
      </c>
      <c r="J730" s="118" t="n">
        <v>94.76235294342041</v>
      </c>
      <c r="K730" s="120" t="n">
        <v>0.7367043593718261</v>
      </c>
      <c r="L730" s="120" t="n">
        <v>-0.2094052691429967</v>
      </c>
      <c r="M730" s="120" t="n">
        <v>-0.3688371961776236</v>
      </c>
      <c r="N730" t="n">
        <v>22.36619979024901</v>
      </c>
      <c r="O730" t="n">
        <v>-1.904992614593306</v>
      </c>
      <c r="P730" t="n">
        <v>128.8138369783774</v>
      </c>
      <c r="Q730" t="n">
        <v>133.5200700935674</v>
      </c>
    </row>
    <row r="731">
      <c r="A731" s="117" t="n">
        <v>45475</v>
      </c>
      <c r="B731" s="118" t="n">
        <v>73.19886634681284</v>
      </c>
      <c r="C731" s="118" t="n">
        <v>73.31321241610733</v>
      </c>
      <c r="D731" s="118" t="n">
        <v>71.83627325087045</v>
      </c>
      <c r="E731" s="118" t="n">
        <v>72.45563507080078</v>
      </c>
      <c r="F731" s="119" t="n">
        <v>26183400</v>
      </c>
      <c r="G731" s="120" t="n">
        <v>-0.01028234904231851</v>
      </c>
      <c r="H731" s="121" t="n">
        <v>45.54659045086061</v>
      </c>
      <c r="I731" s="118" t="n">
        <v>88.0453303527832</v>
      </c>
      <c r="J731" s="118" t="n">
        <v>94.66657447814941</v>
      </c>
      <c r="K731" s="120" t="n">
        <v>0.7363368420333316</v>
      </c>
      <c r="L731" s="120" t="n">
        <v>-0.2175344401166864</v>
      </c>
      <c r="M731" s="120" t="n">
        <v>-0.3753270324290536</v>
      </c>
      <c r="N731" t="n">
        <v>21.73599146700998</v>
      </c>
      <c r="O731" t="n">
        <v>-2.222724784057751</v>
      </c>
      <c r="P731" t="n">
        <v>129.6807253591376</v>
      </c>
      <c r="Q731" t="n">
        <v>134.9219841674313</v>
      </c>
    </row>
    <row r="732">
      <c r="A732" s="117" t="n">
        <v>45476</v>
      </c>
      <c r="B732" s="118" t="n">
        <v>71.9410826480246</v>
      </c>
      <c r="C732" s="118" t="n">
        <v>72.34128295244996</v>
      </c>
      <c r="D732" s="118" t="n">
        <v>71.48370567885257</v>
      </c>
      <c r="E732" s="118" t="n">
        <v>71.69333648681641</v>
      </c>
      <c r="F732" s="119" t="n">
        <v>15952000</v>
      </c>
      <c r="G732" s="120" t="n">
        <v>-0.01052090128310224</v>
      </c>
      <c r="H732" s="121" t="n">
        <v>45.06739926894522</v>
      </c>
      <c r="I732" s="118" t="n">
        <v>87.69118270874023</v>
      </c>
      <c r="J732" s="118" t="n">
        <v>94.57136753082276</v>
      </c>
      <c r="K732" s="120" t="n">
        <v>0.7346858829163488</v>
      </c>
      <c r="L732" s="120" t="n">
        <v>-0.2257666830296461</v>
      </c>
      <c r="M732" s="120" t="n">
        <v>-0.3818991550550901</v>
      </c>
      <c r="N732" t="n">
        <v>21.087978802693</v>
      </c>
      <c r="O732" t="n">
        <v>-2.34697389585962</v>
      </c>
      <c r="P732" t="n">
        <v>130.2594429756233</v>
      </c>
      <c r="Q732" t="n">
        <v>136.0468475195768</v>
      </c>
    </row>
    <row r="733">
      <c r="A733" s="117" t="n">
        <v>45478</v>
      </c>
      <c r="B733" s="118" t="n">
        <v>71.80768959115642</v>
      </c>
      <c r="C733" s="118" t="n">
        <v>72.50327486426474</v>
      </c>
      <c r="D733" s="118" t="n">
        <v>71.2550278195354</v>
      </c>
      <c r="E733" s="118" t="n">
        <v>71.8743896484375</v>
      </c>
      <c r="F733" s="119" t="n">
        <v>19603700</v>
      </c>
      <c r="G733" s="120" t="n">
        <v>0.002525383396745573</v>
      </c>
      <c r="H733" s="121" t="n">
        <v>45.18121173079352</v>
      </c>
      <c r="I733" s="118" t="n">
        <v>87.34388336181641</v>
      </c>
      <c r="J733" s="118" t="n">
        <v>94.48060066223144</v>
      </c>
      <c r="K733" s="120" t="n">
        <v>0.7358366299627962</v>
      </c>
      <c r="L733" s="120" t="n">
        <v>-0.2238114470657617</v>
      </c>
      <c r="M733" s="120" t="n">
        <v>-0.3803382134437518</v>
      </c>
      <c r="N733" t="n">
        <v>21.68517045575059</v>
      </c>
      <c r="O733" t="n">
        <v>-2.277886498940211</v>
      </c>
      <c r="P733" t="n">
        <v>131.0105671714522</v>
      </c>
      <c r="Q733" t="n">
        <v>137.4653793395703</v>
      </c>
    </row>
    <row r="734">
      <c r="A734" s="117" t="n">
        <v>45481</v>
      </c>
      <c r="B734" s="118" t="n">
        <v>71.8553300108468</v>
      </c>
      <c r="C734" s="118" t="n">
        <v>71.93155344911899</v>
      </c>
      <c r="D734" s="118" t="n">
        <v>69.55892900224651</v>
      </c>
      <c r="E734" s="118" t="n">
        <v>69.60657501220703</v>
      </c>
      <c r="F734" s="119" t="n">
        <v>29905000</v>
      </c>
      <c r="G734" s="120" t="n">
        <v>-0.03155247157329799</v>
      </c>
      <c r="H734" s="121" t="n">
        <v>43.7556328320105</v>
      </c>
      <c r="I734" s="118" t="n">
        <v>86.93945816040039</v>
      </c>
      <c r="J734" s="118" t="n">
        <v>94.38268928527832</v>
      </c>
      <c r="K734" s="120" t="n">
        <v>0.7335310711167448</v>
      </c>
      <c r="L734" s="120" t="n">
        <v>-0.2483021143177386</v>
      </c>
      <c r="M734" s="120" t="n">
        <v>-0.3998900743491269</v>
      </c>
      <c r="N734" t="n">
        <v>19.67651744166893</v>
      </c>
      <c r="O734" t="n">
        <v>-2.242330457169958</v>
      </c>
      <c r="P734" t="n">
        <v>131.1617365424685</v>
      </c>
      <c r="Q734" t="n">
        <v>137.7922918435058</v>
      </c>
    </row>
    <row r="735">
      <c r="A735" s="117" t="n">
        <v>45482</v>
      </c>
      <c r="B735" s="118" t="n">
        <v>69.84480349020673</v>
      </c>
      <c r="C735" s="118" t="n">
        <v>70.64520426387433</v>
      </c>
      <c r="D735" s="118" t="n">
        <v>68.96816472459135</v>
      </c>
      <c r="E735" s="118" t="n">
        <v>69.04439544677734</v>
      </c>
      <c r="F735" s="119" t="n">
        <v>23445500</v>
      </c>
      <c r="G735" s="120" t="n">
        <v>-0.008076529628574525</v>
      </c>
      <c r="H735" s="121" t="n">
        <v>43.40223916702573</v>
      </c>
      <c r="I735" s="118" t="n">
        <v>86.53707763671875</v>
      </c>
      <c r="J735" s="118" t="n">
        <v>94.28470054626465</v>
      </c>
      <c r="K735" s="120" t="n">
        <v>0.729588869995651</v>
      </c>
      <c r="L735" s="120" t="n">
        <v>-0.2543732245631883</v>
      </c>
      <c r="M735" s="120" t="n">
        <v>-0.4047368799440479</v>
      </c>
      <c r="N735" t="n">
        <v>19.20169223064018</v>
      </c>
      <c r="O735" t="n">
        <v>-2.115694755427377</v>
      </c>
      <c r="P735" t="n">
        <v>131.2893221338418</v>
      </c>
      <c r="Q735" t="n">
        <v>137.9114440735945</v>
      </c>
    </row>
    <row r="736">
      <c r="A736" s="117" t="n">
        <v>45483</v>
      </c>
      <c r="B736" s="118" t="n">
        <v>68.85382049065333</v>
      </c>
      <c r="C736" s="118" t="n">
        <v>69.2159054878895</v>
      </c>
      <c r="D736" s="118" t="n">
        <v>68.29162804599166</v>
      </c>
      <c r="E736" s="118" t="n">
        <v>69.12062072753906</v>
      </c>
      <c r="F736" s="119" t="n">
        <v>21378200</v>
      </c>
      <c r="G736" s="120" t="n">
        <v>0.001104003884290217</v>
      </c>
      <c r="H736" s="121" t="n">
        <v>43.45015540765302</v>
      </c>
      <c r="I736" s="118" t="n">
        <v>86.13280456542969</v>
      </c>
      <c r="J736" s="118" t="n">
        <v>94.19863983154296</v>
      </c>
      <c r="K736" s="120" t="n">
        <v>0.7309028757997944</v>
      </c>
      <c r="L736" s="120" t="n">
        <v>-0.2535500497068753</v>
      </c>
      <c r="M736" s="120" t="n">
        <v>-0.4040797071473313</v>
      </c>
      <c r="N736" t="n">
        <v>19.48539844171245</v>
      </c>
      <c r="O736" t="n">
        <v>-1.893046937898833</v>
      </c>
      <c r="P736" t="n">
        <v>132.5884371443936</v>
      </c>
      <c r="Q736" t="n">
        <v>139.3493789277577</v>
      </c>
    </row>
    <row r="737">
      <c r="A737" s="117" t="n">
        <v>45484</v>
      </c>
      <c r="B737" s="118" t="n">
        <v>69.27307243982614</v>
      </c>
      <c r="C737" s="118" t="n">
        <v>70.27358056251893</v>
      </c>
      <c r="D737" s="118" t="n">
        <v>68.88240275527971</v>
      </c>
      <c r="E737" s="118" t="n">
        <v>69.93054962158203</v>
      </c>
      <c r="F737" s="119" t="n">
        <v>15876700</v>
      </c>
      <c r="G737" s="120" t="n">
        <v>0.01171761603871535</v>
      </c>
      <c r="H737" s="121" t="n">
        <v>43.95928764554241</v>
      </c>
      <c r="I737" s="118" t="n">
        <v>85.745869140625</v>
      </c>
      <c r="J737" s="118" t="n">
        <v>94.12011631011963</v>
      </c>
      <c r="K737" s="120" t="n">
        <v>0.7350704162331231</v>
      </c>
      <c r="L737" s="120" t="n">
        <v>-0.2448034357972223</v>
      </c>
      <c r="M737" s="120" t="n">
        <v>-0.397096941966005</v>
      </c>
      <c r="N737" t="n">
        <v>22.59543639167542</v>
      </c>
      <c r="O737" t="n">
        <v>-1.570754265332654</v>
      </c>
      <c r="P737" t="n">
        <v>131.4451846474904</v>
      </c>
      <c r="Q737" t="n">
        <v>136.2934138617631</v>
      </c>
    </row>
    <row r="738">
      <c r="A738" s="117" t="n">
        <v>45485</v>
      </c>
      <c r="B738" s="118" t="n">
        <v>70.10206009365542</v>
      </c>
      <c r="C738" s="118" t="n">
        <v>70.5594370722132</v>
      </c>
      <c r="D738" s="118" t="n">
        <v>69.72091382315068</v>
      </c>
      <c r="E738" s="118" t="n">
        <v>69.95912933349609</v>
      </c>
      <c r="F738" s="119" t="n">
        <v>14527500</v>
      </c>
      <c r="G738" s="120" t="n">
        <v>0.0004086870769459683</v>
      </c>
      <c r="H738" s="121" t="n">
        <v>43.97725323831489</v>
      </c>
      <c r="I738" s="118" t="n">
        <v>85.39367462158204</v>
      </c>
      <c r="J738" s="118" t="n">
        <v>94.04291397094727</v>
      </c>
      <c r="K738" s="120" t="n">
        <v>0.7352014604782313</v>
      </c>
      <c r="L738" s="120" t="n">
        <v>-0.2444947967208787</v>
      </c>
      <c r="M738" s="120" t="n">
        <v>-0.3968505432775353</v>
      </c>
      <c r="N738" t="n">
        <v>22.70888945465654</v>
      </c>
      <c r="O738" t="n">
        <v>-1.249185055257534</v>
      </c>
      <c r="P738" t="n">
        <v>132.2742769959191</v>
      </c>
      <c r="Q738" t="n">
        <v>137.0941072788715</v>
      </c>
    </row>
    <row r="739">
      <c r="A739" s="117" t="n">
        <v>45488</v>
      </c>
      <c r="B739" s="118" t="n">
        <v>69.55893239399731</v>
      </c>
      <c r="C739" s="118" t="n">
        <v>69.56846305040622</v>
      </c>
      <c r="D739" s="118" t="n">
        <v>67.88189308430763</v>
      </c>
      <c r="E739" s="118" t="n">
        <v>67.94859313964844</v>
      </c>
      <c r="F739" s="119" t="n">
        <v>20775800</v>
      </c>
      <c r="G739" s="120" t="n">
        <v>-0.02873872521002085</v>
      </c>
      <c r="H739" s="121" t="n">
        <v>42.71340304200746</v>
      </c>
      <c r="I739" s="118" t="n">
        <v>85.03771713256836</v>
      </c>
      <c r="J739" s="118" t="n">
        <v>93.957685546875</v>
      </c>
      <c r="K739" s="120" t="n">
        <v>0.7351402455592395</v>
      </c>
      <c r="L739" s="120" t="n">
        <v>-0.2662070531526582</v>
      </c>
      <c r="M739" s="120" t="n">
        <v>-0.4141842897748557</v>
      </c>
      <c r="N739" t="n">
        <v>20.43926658333696</v>
      </c>
      <c r="O739" t="n">
        <v>-1.072210954750124</v>
      </c>
      <c r="P739" t="n">
        <v>132.6380545831671</v>
      </c>
      <c r="Q739" t="n">
        <v>137.4626025953584</v>
      </c>
    </row>
    <row r="740">
      <c r="A740" s="117" t="n">
        <v>45489</v>
      </c>
      <c r="B740" s="118" t="n">
        <v>68.13916760125871</v>
      </c>
      <c r="C740" s="118" t="n">
        <v>69.52081467336151</v>
      </c>
      <c r="D740" s="118" t="n">
        <v>68.13916760125871</v>
      </c>
      <c r="E740" s="118" t="n">
        <v>69.37788391113281</v>
      </c>
      <c r="F740" s="119" t="n">
        <v>20980700</v>
      </c>
      <c r="G740" s="120" t="n">
        <v>0.02103488395332764</v>
      </c>
      <c r="H740" s="121" t="n">
        <v>43.6118745182478</v>
      </c>
      <c r="I740" s="118" t="n">
        <v>84.67105056762695</v>
      </c>
      <c r="J740" s="118" t="n">
        <v>93.88313831329346</v>
      </c>
      <c r="K740" s="120" t="n">
        <v>0.7447598492846439</v>
      </c>
      <c r="L740" s="120" t="n">
        <v>-0.2507718036699541</v>
      </c>
      <c r="M740" s="120" t="n">
        <v>-0.4018617242922335</v>
      </c>
      <c r="N740" t="n">
        <v>26.09422669472335</v>
      </c>
      <c r="O740" t="n">
        <v>-0.7731780359150697</v>
      </c>
      <c r="P740" t="n">
        <v>133.4246134817013</v>
      </c>
      <c r="Q740" t="n">
        <v>137.5152411217873</v>
      </c>
    </row>
    <row r="741">
      <c r="A741" s="117" t="n">
        <v>45490</v>
      </c>
      <c r="B741" s="118" t="n">
        <v>69.11108683423548</v>
      </c>
      <c r="C741" s="118" t="n">
        <v>69.88290280762097</v>
      </c>
      <c r="D741" s="118" t="n">
        <v>69.08250213444504</v>
      </c>
      <c r="E741" s="118" t="n">
        <v>69.62563323974609</v>
      </c>
      <c r="F741" s="119" t="n">
        <v>11161600</v>
      </c>
      <c r="G741" s="120" t="n">
        <v>0.003571013046904437</v>
      </c>
      <c r="H741" s="121" t="n">
        <v>43.76761309115243</v>
      </c>
      <c r="I741" s="118" t="n">
        <v>84.31427429199219</v>
      </c>
      <c r="J741" s="118" t="n">
        <v>93.80884010314941</v>
      </c>
      <c r="K741" s="120" t="n">
        <v>0.7394029367530109</v>
      </c>
      <c r="L741" s="120" t="n">
        <v>-0.2480963000057508</v>
      </c>
      <c r="M741" s="120" t="n">
        <v>-0.3997257647058282</v>
      </c>
      <c r="N741" t="n">
        <v>27.06197264229047</v>
      </c>
      <c r="O741" t="n">
        <v>-0.4869577996044336</v>
      </c>
      <c r="P741" t="n">
        <v>131.5538500852326</v>
      </c>
      <c r="Q741" t="n">
        <v>133.4785043686727</v>
      </c>
    </row>
    <row r="742">
      <c r="A742" s="117" t="n">
        <v>45491</v>
      </c>
      <c r="B742" s="118" t="n">
        <v>69.53034731612001</v>
      </c>
      <c r="C742" s="118" t="n">
        <v>70.44509404285576</v>
      </c>
      <c r="D742" s="118" t="n">
        <v>68.93957020791619</v>
      </c>
      <c r="E742" s="118" t="n">
        <v>68.96815490722656</v>
      </c>
      <c r="F742" s="119" t="n">
        <v>14440100</v>
      </c>
      <c r="G742" s="120" t="n">
        <v>-0.009443049950520366</v>
      </c>
      <c r="H742" s="121" t="n">
        <v>43.35431333451763</v>
      </c>
      <c r="I742" s="118" t="n">
        <v>83.92137893676758</v>
      </c>
      <c r="J742" s="118" t="n">
        <v>93.70302360534669</v>
      </c>
      <c r="K742" s="120" t="n">
        <v>0.7386145452766364</v>
      </c>
      <c r="L742" s="120" t="n">
        <v>-0.2551965642027776</v>
      </c>
      <c r="M742" s="120" t="n">
        <v>-0.4053941842937214</v>
      </c>
      <c r="N742" t="n">
        <v>26.08576930680597</v>
      </c>
      <c r="O742" t="n">
        <v>-0.2804320814509715</v>
      </c>
      <c r="P742" t="n">
        <v>130.5428763223351</v>
      </c>
      <c r="Q742" t="n">
        <v>132.8468078762133</v>
      </c>
    </row>
    <row r="743">
      <c r="A743" s="117" t="n">
        <v>45492</v>
      </c>
      <c r="B743" s="118" t="n">
        <v>68.89194744230936</v>
      </c>
      <c r="C743" s="118" t="n">
        <v>69.38743264137169</v>
      </c>
      <c r="D743" s="118" t="n">
        <v>68.4631550439307</v>
      </c>
      <c r="E743" s="118" t="n">
        <v>69.27308654785156</v>
      </c>
      <c r="F743" s="119" t="n">
        <v>11913300</v>
      </c>
      <c r="G743" s="120" t="n">
        <v>0.004421339689820281</v>
      </c>
      <c r="H743" s="121" t="n">
        <v>43.54599748078844</v>
      </c>
      <c r="I743" s="118" t="n">
        <v>83.52660949707031</v>
      </c>
      <c r="J743" s="118" t="n">
        <v>93.60372760772705</v>
      </c>
      <c r="K743" s="120" t="n">
        <v>0.737299412563202</v>
      </c>
      <c r="L743" s="120" t="n">
        <v>-0.2519035352109728</v>
      </c>
      <c r="M743" s="120" t="n">
        <v>-0.4027652300009412</v>
      </c>
      <c r="N743" t="n">
        <v>27.39392526509944</v>
      </c>
      <c r="O743" t="n">
        <v>-0.07262584519213799</v>
      </c>
      <c r="P743" t="n">
        <v>129.676002699885</v>
      </c>
      <c r="Q743" t="n">
        <v>131.669305997639</v>
      </c>
    </row>
    <row r="744">
      <c r="A744" s="117" t="n">
        <v>45495</v>
      </c>
      <c r="B744" s="118" t="n">
        <v>69.67329003819351</v>
      </c>
      <c r="C744" s="118" t="n">
        <v>71.78863811751788</v>
      </c>
      <c r="D744" s="118" t="n">
        <v>69.62564401799311</v>
      </c>
      <c r="E744" s="118" t="n">
        <v>71.33126831054688</v>
      </c>
      <c r="F744" s="119" t="n">
        <v>19385500</v>
      </c>
      <c r="G744" s="120" t="n">
        <v>0.02971113119484858</v>
      </c>
      <c r="H744" s="121" t="n">
        <v>44.83979832495069</v>
      </c>
      <c r="I744" s="118" t="n">
        <v>83.17661056518554</v>
      </c>
      <c r="J744" s="118" t="n">
        <v>93.51222457885743</v>
      </c>
      <c r="K744" s="120" t="n">
        <v>0.7454407330828718</v>
      </c>
      <c r="L744" s="120" t="n">
        <v>-0.2296767429992236</v>
      </c>
      <c r="M744" s="120" t="n">
        <v>-0.385020709395374</v>
      </c>
      <c r="N744" t="n">
        <v>35.66977255191946</v>
      </c>
      <c r="O744" t="n">
        <v>0.2371433045896518</v>
      </c>
      <c r="P744" t="n">
        <v>131.0129285010786</v>
      </c>
      <c r="Q744" t="n">
        <v>133.6309006348489</v>
      </c>
    </row>
    <row r="745">
      <c r="A745" s="117" t="n">
        <v>45496</v>
      </c>
      <c r="B745" s="118" t="n">
        <v>71.11209503289751</v>
      </c>
      <c r="C745" s="118" t="n">
        <v>71.50277197858671</v>
      </c>
      <c r="D745" s="118" t="n">
        <v>69.78761731173798</v>
      </c>
      <c r="E745" s="118" t="n">
        <v>69.94007873535156</v>
      </c>
      <c r="F745" s="119" t="n">
        <v>11041800</v>
      </c>
      <c r="G745" s="120" t="n">
        <v>-0.01950322219336753</v>
      </c>
      <c r="H745" s="121" t="n">
        <v>43.96527777511338</v>
      </c>
      <c r="I745" s="118" t="n">
        <v>82.80258422851563</v>
      </c>
      <c r="J745" s="118" t="n">
        <v>93.40999519348145</v>
      </c>
      <c r="K745" s="120" t="n">
        <v>0.7445927781469771</v>
      </c>
      <c r="L745" s="120" t="n">
        <v>-0.2447005286412284</v>
      </c>
      <c r="M745" s="120" t="n">
        <v>-0.3970147871443557</v>
      </c>
      <c r="N745" t="n">
        <v>32.93695738105723</v>
      </c>
      <c r="O745" t="n">
        <v>0.3739109045327957</v>
      </c>
      <c r="P745" t="n">
        <v>130.8074337903462</v>
      </c>
      <c r="Q745" t="n">
        <v>133.1598793782312</v>
      </c>
    </row>
    <row r="746">
      <c r="A746" s="117" t="n">
        <v>45497</v>
      </c>
      <c r="B746" s="118" t="n">
        <v>69.79713794126322</v>
      </c>
      <c r="C746" s="118" t="n">
        <v>69.93053803288075</v>
      </c>
      <c r="D746" s="118" t="n">
        <v>67.72942925143161</v>
      </c>
      <c r="E746" s="118" t="n">
        <v>67.73895263671875</v>
      </c>
      <c r="F746" s="119" t="n">
        <v>18563300</v>
      </c>
      <c r="G746" s="120" t="n">
        <v>-0.03147159880905659</v>
      </c>
      <c r="H746" s="121" t="n">
        <v>42.58162019144628</v>
      </c>
      <c r="I746" s="118" t="n">
        <v>82.43104385375976</v>
      </c>
      <c r="J746" s="118" t="n">
        <v>93.29723144531251</v>
      </c>
      <c r="K746" s="120" t="n">
        <v>0.7463780768240968</v>
      </c>
      <c r="L746" s="120" t="n">
        <v>-0.2684710105845242</v>
      </c>
      <c r="M746" s="120" t="n">
        <v>-0.415991695851142</v>
      </c>
      <c r="N746" t="n">
        <v>29.13375314668858</v>
      </c>
      <c r="O746" t="n">
        <v>0.3425344256950922</v>
      </c>
      <c r="P746" t="n">
        <v>127.8430058191276</v>
      </c>
      <c r="Q746" t="n">
        <v>128.3834094232443</v>
      </c>
    </row>
    <row r="747">
      <c r="A747" s="117" t="n">
        <v>45498</v>
      </c>
      <c r="B747" s="118" t="n">
        <v>68.15822307371725</v>
      </c>
      <c r="C747" s="118" t="n">
        <v>69.015800395322</v>
      </c>
      <c r="D747" s="118" t="n">
        <v>67.56745323975898</v>
      </c>
      <c r="E747" s="118" t="n">
        <v>68.04388427734375</v>
      </c>
      <c r="F747" s="119" t="n">
        <v>13855400</v>
      </c>
      <c r="G747" s="120" t="n">
        <v>0.004501570053206061</v>
      </c>
      <c r="H747" s="121" t="n">
        <v>42.77330433771709</v>
      </c>
      <c r="I747" s="118" t="n">
        <v>82.03181228637695</v>
      </c>
      <c r="J747" s="118" t="n">
        <v>93.17977123260498</v>
      </c>
      <c r="K747" s="120" t="n">
        <v>0.7487586617595479</v>
      </c>
      <c r="L747" s="120" t="n">
        <v>-0.2651779815927193</v>
      </c>
      <c r="M747" s="120" t="n">
        <v>-0.4133627415583618</v>
      </c>
      <c r="N747" t="n">
        <v>30.33388785307535</v>
      </c>
      <c r="O747" t="n">
        <v>0.3665633477053802</v>
      </c>
      <c r="P747" t="n">
        <v>127.1769042481572</v>
      </c>
      <c r="Q747" t="n">
        <v>126.9676201721493</v>
      </c>
    </row>
    <row r="748">
      <c r="A748" s="117" t="n">
        <v>45499</v>
      </c>
      <c r="B748" s="118" t="n">
        <v>68.60607844902059</v>
      </c>
      <c r="C748" s="118" t="n">
        <v>69.34930980238978</v>
      </c>
      <c r="D748" s="118" t="n">
        <v>68.48220898004628</v>
      </c>
      <c r="E748" s="118" t="n">
        <v>69.13967895507812</v>
      </c>
      <c r="F748" s="119" t="n">
        <v>8892000</v>
      </c>
      <c r="G748" s="120" t="n">
        <v>0.01610423463287258</v>
      </c>
      <c r="H748" s="121" t="n">
        <v>43.46213566679495</v>
      </c>
      <c r="I748" s="118" t="n">
        <v>81.65316787719726</v>
      </c>
      <c r="J748" s="118" t="n">
        <v>93.06887397766113</v>
      </c>
      <c r="K748" s="120" t="n">
        <v>0.7541782859827957</v>
      </c>
      <c r="L748" s="120" t="n">
        <v>-0.2533442353948875</v>
      </c>
      <c r="M748" s="120" t="n">
        <v>-0.4039153975040326</v>
      </c>
      <c r="N748" t="n">
        <v>34.61891951832632</v>
      </c>
      <c r="O748" t="n">
        <v>0.4736952251990143</v>
      </c>
      <c r="P748" t="n">
        <v>128.601258278766</v>
      </c>
      <c r="Q748" t="n">
        <v>128.269802137751</v>
      </c>
    </row>
    <row r="749">
      <c r="A749" s="117" t="n">
        <v>45502</v>
      </c>
      <c r="B749" s="118" t="n">
        <v>69.08249973600532</v>
      </c>
      <c r="C749" s="118" t="n">
        <v>70.38792338261332</v>
      </c>
      <c r="D749" s="118" t="n">
        <v>68.79663820850381</v>
      </c>
      <c r="E749" s="118" t="n">
        <v>70.0830078125</v>
      </c>
      <c r="F749" s="119" t="n">
        <v>10471800</v>
      </c>
      <c r="G749" s="120" t="n">
        <v>0.0136438130994907</v>
      </c>
      <c r="H749" s="121" t="n">
        <v>44.05512492273741</v>
      </c>
      <c r="I749" s="118" t="n">
        <v>81.31465118408204</v>
      </c>
      <c r="J749" s="118" t="n">
        <v>92.95920574188233</v>
      </c>
      <c r="K749" s="120" t="n">
        <v>0.2793488872264998</v>
      </c>
      <c r="L749" s="120" t="n">
        <v>-0.2431570036929579</v>
      </c>
      <c r="M749" s="120" t="n">
        <v>-0.3957825305960934</v>
      </c>
      <c r="N749" t="n">
        <v>38.14602687801194</v>
      </c>
      <c r="O749" t="n">
        <v>0.6164887354712549</v>
      </c>
      <c r="P749" t="n">
        <v>128.6768355851191</v>
      </c>
      <c r="Q749" t="n">
        <v>128.5274583691282</v>
      </c>
    </row>
    <row r="750">
      <c r="A750" s="117" t="n">
        <v>45503</v>
      </c>
      <c r="B750" s="118" t="n">
        <v>70.21641848084815</v>
      </c>
      <c r="C750" s="118" t="n">
        <v>70.9787038859014</v>
      </c>
      <c r="D750" s="118" t="n">
        <v>69.99725697416628</v>
      </c>
      <c r="E750" s="118" t="n">
        <v>70.81671905517578</v>
      </c>
      <c r="F750" s="119" t="n">
        <v>8515700</v>
      </c>
      <c r="G750" s="120" t="n">
        <v>0.01046917456280916</v>
      </c>
      <c r="H750" s="121" t="n">
        <v>44.51634571593991</v>
      </c>
      <c r="I750" s="118" t="n">
        <v>80.98891052246094</v>
      </c>
      <c r="J750" s="118" t="n">
        <v>92.84835163116455</v>
      </c>
      <c r="K750" s="120" t="n">
        <v>0.2724089372930167</v>
      </c>
      <c r="L750" s="120" t="n">
        <v>-0.23523348224798</v>
      </c>
      <c r="M750" s="120" t="n">
        <v>-0.3894568724350052</v>
      </c>
      <c r="N750" t="n">
        <v>40.82018407257741</v>
      </c>
      <c r="O750" t="n">
        <v>0.7593663855258379</v>
      </c>
      <c r="P750" t="n">
        <v>128.0248724752864</v>
      </c>
      <c r="Q750" t="n">
        <v>126.7626024672011</v>
      </c>
    </row>
    <row r="751">
      <c r="A751" s="117" t="n">
        <v>45504</v>
      </c>
      <c r="B751" s="118" t="n">
        <v>70.98823732043763</v>
      </c>
      <c r="C751" s="118" t="n">
        <v>71.87439949992618</v>
      </c>
      <c r="D751" s="118" t="n">
        <v>70.43557547306584</v>
      </c>
      <c r="E751" s="118" t="n">
        <v>71.33126831054688</v>
      </c>
      <c r="F751" s="119" t="n">
        <v>14632900</v>
      </c>
      <c r="G751" s="120" t="n">
        <v>0.007265929038172247</v>
      </c>
      <c r="H751" s="121" t="n">
        <v>44.83979832495068</v>
      </c>
      <c r="I751" s="118" t="n">
        <v>80.66567749023437</v>
      </c>
      <c r="J751" s="118" t="n">
        <v>92.73724258422851</v>
      </c>
      <c r="K751" s="120" t="n">
        <v>0.2720429090944677</v>
      </c>
      <c r="L751" s="120" t="n">
        <v>-0.2296767429992237</v>
      </c>
      <c r="M751" s="120" t="n">
        <v>-0.385020709395374</v>
      </c>
      <c r="N751" t="n">
        <v>42.69140704610727</v>
      </c>
      <c r="O751" t="n">
        <v>0.8790897346318736</v>
      </c>
      <c r="P751" t="n">
        <v>130.1058827583603</v>
      </c>
      <c r="Q751" t="n">
        <v>130.5139753536181</v>
      </c>
    </row>
    <row r="752">
      <c r="A752" s="117" t="n">
        <v>45505</v>
      </c>
      <c r="B752" s="118" t="n">
        <v>71.17878959601158</v>
      </c>
      <c r="C752" s="118" t="n">
        <v>71.26455095761693</v>
      </c>
      <c r="D752" s="118" t="n">
        <v>69.80667323816824</v>
      </c>
      <c r="E752" s="118" t="n">
        <v>70.36885833740234</v>
      </c>
      <c r="F752" s="119" t="n">
        <v>9563500</v>
      </c>
      <c r="G752" s="120" t="n">
        <v>-0.01349211917772997</v>
      </c>
      <c r="H752" s="121" t="n">
        <v>44.23481442204506</v>
      </c>
      <c r="I752" s="118" t="n">
        <v>80.33097961425781</v>
      </c>
      <c r="J752" s="118" t="n">
        <v>92.61821083068848</v>
      </c>
      <c r="K752" s="120" t="n">
        <v>0.273673596618367</v>
      </c>
      <c r="L752" s="120" t="n">
        <v>-0.2400700361880553</v>
      </c>
      <c r="M752" s="120" t="n">
        <v>-0.3933180832760474</v>
      </c>
      <c r="N752" t="n">
        <v>40.13520454426722</v>
      </c>
      <c r="O752" t="n">
        <v>0.8817646098385112</v>
      </c>
      <c r="P752" t="n">
        <v>128.2634553174078</v>
      </c>
      <c r="Q752" t="n">
        <v>127.3527332347658</v>
      </c>
    </row>
    <row r="753">
      <c r="A753" s="117" t="n">
        <v>45506</v>
      </c>
      <c r="B753" s="118" t="n">
        <v>69.3969541269518</v>
      </c>
      <c r="C753" s="118" t="n">
        <v>70.6356705957536</v>
      </c>
      <c r="D753" s="118" t="n">
        <v>68.52984605600521</v>
      </c>
      <c r="E753" s="118" t="n">
        <v>70.52133178710938</v>
      </c>
      <c r="F753" s="119" t="n">
        <v>11526600</v>
      </c>
      <c r="G753" s="120" t="n">
        <v>0.002166774526537907</v>
      </c>
      <c r="H753" s="121" t="n">
        <v>44.33066129112088</v>
      </c>
      <c r="I753" s="118" t="n">
        <v>79.97939880371094</v>
      </c>
      <c r="J753" s="118" t="n">
        <v>92.48990272521972</v>
      </c>
      <c r="K753" s="120" t="n">
        <v>0.2736189330657146</v>
      </c>
      <c r="L753" s="120" t="n">
        <v>-0.2384234393005147</v>
      </c>
      <c r="M753" s="120" t="n">
        <v>-0.3920035403531789</v>
      </c>
      <c r="N753" t="n">
        <v>40.74058851254296</v>
      </c>
      <c r="O753" t="n">
        <v>0.8800750833994009</v>
      </c>
      <c r="P753" t="n">
        <v>125.8754131496688</v>
      </c>
      <c r="Q753" t="n">
        <v>124.3300378363436</v>
      </c>
    </row>
    <row r="754">
      <c r="A754" s="117" t="n">
        <v>45509</v>
      </c>
      <c r="B754" s="118" t="n">
        <v>67.71038243360255</v>
      </c>
      <c r="C754" s="118" t="n">
        <v>69.19685233940282</v>
      </c>
      <c r="D754" s="118" t="n">
        <v>67.41499749176438</v>
      </c>
      <c r="E754" s="118" t="n">
        <v>68.05341339111328</v>
      </c>
      <c r="F754" s="119" t="n">
        <v>13191500</v>
      </c>
      <c r="G754" s="120" t="n">
        <v>-0.03499534585430508</v>
      </c>
      <c r="H754" s="121" t="n">
        <v>42.77929446728805</v>
      </c>
      <c r="I754" s="118" t="n">
        <v>79.58453414916993</v>
      </c>
      <c r="J754" s="118" t="n">
        <v>92.34468341827393</v>
      </c>
      <c r="K754" s="120" t="n">
        <v>0.2789703885096698</v>
      </c>
      <c r="L754" s="120" t="n">
        <v>-0.2650750744367254</v>
      </c>
      <c r="M754" s="120" t="n">
        <v>-0.4132805867367125</v>
      </c>
      <c r="N754" t="n">
        <v>34.63537855480826</v>
      </c>
      <c r="O754" t="n">
        <v>0.7065054473133929</v>
      </c>
      <c r="P754" t="n">
        <v>122.2094489047744</v>
      </c>
      <c r="Q754" t="n">
        <v>120.6229903313764</v>
      </c>
    </row>
    <row r="755">
      <c r="A755" s="117" t="n">
        <v>45510</v>
      </c>
      <c r="B755" s="118" t="n">
        <v>68.28209603351445</v>
      </c>
      <c r="C755" s="118" t="n">
        <v>69.78761250430414</v>
      </c>
      <c r="D755" s="118" t="n">
        <v>68.13916527616294</v>
      </c>
      <c r="E755" s="118" t="n">
        <v>69.08249664306641</v>
      </c>
      <c r="F755" s="119" t="n">
        <v>13469700</v>
      </c>
      <c r="G755" s="120" t="n">
        <v>0.015121699275227</v>
      </c>
      <c r="H755" s="121" t="n">
        <v>43.42619009342877</v>
      </c>
      <c r="I755" s="118" t="n">
        <v>79.23113250732422</v>
      </c>
      <c r="J755" s="118" t="n">
        <v>92.20102771759034</v>
      </c>
      <c r="K755" s="120" t="n">
        <v>0.2832637173031332</v>
      </c>
      <c r="L755" s="120" t="n">
        <v>-0.253961760722489</v>
      </c>
      <c r="M755" s="120" t="n">
        <v>-0.4044083922104074</v>
      </c>
      <c r="N755" t="n">
        <v>38.75669821291515</v>
      </c>
      <c r="O755" t="n">
        <v>0.6558637022184852</v>
      </c>
      <c r="P755" t="n">
        <v>123.3361647151382</v>
      </c>
      <c r="Q755" t="n">
        <v>121.7755527750139</v>
      </c>
    </row>
    <row r="756">
      <c r="A756" s="117" t="n">
        <v>45511</v>
      </c>
      <c r="B756" s="118" t="n">
        <v>69.44458491179975</v>
      </c>
      <c r="C756" s="118" t="n">
        <v>70.7118932072209</v>
      </c>
      <c r="D756" s="118" t="n">
        <v>69.11108464188909</v>
      </c>
      <c r="E756" s="118" t="n">
        <v>69.19684600830078</v>
      </c>
      <c r="F756" s="119" t="n">
        <v>9571200</v>
      </c>
      <c r="G756" s="120" t="n">
        <v>0.001655258144840799</v>
      </c>
      <c r="H756" s="121" t="n">
        <v>43.49807164828032</v>
      </c>
      <c r="I756" s="118" t="n">
        <v>78.87337402343751</v>
      </c>
      <c r="J756" s="118" t="n">
        <v>92.0613370513916</v>
      </c>
      <c r="K756" s="120" t="n">
        <v>0.2832943266623577</v>
      </c>
      <c r="L756" s="120" t="n">
        <v>-0.2527268748505621</v>
      </c>
      <c r="M756" s="120" t="n">
        <v>-0.4034225343506148</v>
      </c>
      <c r="N756" t="n">
        <v>39.21532097889535</v>
      </c>
      <c r="O756" t="n">
        <v>0.6250544759370222</v>
      </c>
      <c r="P756" t="n">
        <v>122.5117950259622</v>
      </c>
      <c r="Q756" t="n">
        <v>120.4567530632826</v>
      </c>
    </row>
    <row r="757">
      <c r="A757" s="117" t="n">
        <v>45512</v>
      </c>
      <c r="B757" s="118" t="n">
        <v>69.77810137549713</v>
      </c>
      <c r="C757" s="118" t="n">
        <v>70.71190225067215</v>
      </c>
      <c r="D757" s="118" t="n">
        <v>69.60658589049905</v>
      </c>
      <c r="E757" s="118" t="n">
        <v>70.69284820556641</v>
      </c>
      <c r="F757" s="119" t="n">
        <v>8828000</v>
      </c>
      <c r="G757" s="120" t="n">
        <v>0.02161951423459629</v>
      </c>
      <c r="H757" s="121" t="n">
        <v>44.43847882745781</v>
      </c>
      <c r="I757" s="118" t="n">
        <v>78.54078979492188</v>
      </c>
      <c r="J757" s="118" t="n">
        <v>91.93091735839843</v>
      </c>
      <c r="K757" s="120" t="n">
        <v>0.2907135095246227</v>
      </c>
      <c r="L757" s="120" t="n">
        <v>-0.2365711928842624</v>
      </c>
      <c r="M757" s="120" t="n">
        <v>-0.3905248193399685</v>
      </c>
      <c r="N757" t="n">
        <v>45.01645508968106</v>
      </c>
      <c r="O757" t="n">
        <v>0.6950401891406974</v>
      </c>
      <c r="P757" t="n">
        <v>125.34392212571</v>
      </c>
      <c r="Q757" t="n">
        <v>124.1416464213532</v>
      </c>
    </row>
    <row r="758">
      <c r="A758" s="117" t="n">
        <v>45513</v>
      </c>
      <c r="B758" s="118" t="n">
        <v>70.6261308705876</v>
      </c>
      <c r="C758" s="118" t="n">
        <v>71.06444649844036</v>
      </c>
      <c r="D758" s="118" t="n">
        <v>69.91148440283119</v>
      </c>
      <c r="E758" s="118" t="n">
        <v>70.83575439453125</v>
      </c>
      <c r="F758" s="119" t="n">
        <v>7186600</v>
      </c>
      <c r="G758" s="120" t="n">
        <v>0.002021508435327002</v>
      </c>
      <c r="H758" s="121" t="n">
        <v>44.52831158726062</v>
      </c>
      <c r="I758" s="118" t="n">
        <v>78.21732803344726</v>
      </c>
      <c r="J758" s="118" t="n">
        <v>91.80055244445801</v>
      </c>
      <c r="K758" s="120" t="n">
        <v>0.2907482547262986</v>
      </c>
      <c r="L758" s="120" t="n">
        <v>-0.2350279151109064</v>
      </c>
      <c r="M758" s="120" t="n">
        <v>-0.3892927601211419</v>
      </c>
      <c r="N758" t="n">
        <v>45.55103410099575</v>
      </c>
      <c r="O758" t="n">
        <v>0.7365978876051482</v>
      </c>
      <c r="P758" t="n">
        <v>125.8966503579958</v>
      </c>
      <c r="Q758" t="n">
        <v>124.7899606599422</v>
      </c>
    </row>
    <row r="759">
      <c r="A759" s="117" t="n">
        <v>45516</v>
      </c>
      <c r="B759" s="118" t="n">
        <v>71.18833550154415</v>
      </c>
      <c r="C759" s="118" t="n">
        <v>71.46466641739616</v>
      </c>
      <c r="D759" s="118" t="n">
        <v>70.55945021734721</v>
      </c>
      <c r="E759" s="118" t="n">
        <v>71.12163543701172</v>
      </c>
      <c r="F759" s="119" t="n">
        <v>7067300</v>
      </c>
      <c r="G759" s="120" t="n">
        <v>0.004035829715149264</v>
      </c>
      <c r="H759" s="121" t="n">
        <v>44.7080202703299</v>
      </c>
      <c r="I759" s="118" t="n">
        <v>77.86579391479492</v>
      </c>
      <c r="J759" s="118" t="n">
        <v>91.66044700622558</v>
      </c>
      <c r="K759" s="120" t="n">
        <v>0.2690782490530705</v>
      </c>
      <c r="L759" s="120" t="n">
        <v>-0.2319406180394514</v>
      </c>
      <c r="M759" s="120" t="n">
        <v>-0.3868280496951819</v>
      </c>
      <c r="N759" t="n">
        <v>46.66811620459764</v>
      </c>
      <c r="O759" t="n">
        <v>0.7656043995006301</v>
      </c>
      <c r="P759" t="n">
        <v>125.9627971041536</v>
      </c>
      <c r="Q759" t="n">
        <v>125.0586982366818</v>
      </c>
    </row>
    <row r="760">
      <c r="A760" s="117" t="n">
        <v>45517</v>
      </c>
      <c r="B760" s="118" t="n">
        <v>71.70288047061605</v>
      </c>
      <c r="C760" s="118" t="n">
        <v>75.32375973451195</v>
      </c>
      <c r="D760" s="118" t="n">
        <v>71.53136498401547</v>
      </c>
      <c r="E760" s="118" t="n">
        <v>74.7996826171875</v>
      </c>
      <c r="F760" s="119" t="n">
        <v>22114800</v>
      </c>
      <c r="G760" s="120" t="n">
        <v>0.05171488475448816</v>
      </c>
      <c r="H760" s="121" t="n">
        <v>47.02009038621134</v>
      </c>
      <c r="I760" s="118" t="n">
        <v>77.55744781494141</v>
      </c>
      <c r="J760" s="118" t="n">
        <v>91.54646110534668</v>
      </c>
      <c r="K760" s="120" t="n">
        <v>0.3152947087717892</v>
      </c>
      <c r="L760" s="120" t="n">
        <v>-0.1922205156167582</v>
      </c>
      <c r="M760" s="120" t="n">
        <v>-0.3551179329504836</v>
      </c>
      <c r="N760" t="n">
        <v>58.47259621292168</v>
      </c>
      <c r="O760" t="n">
        <v>0.9999586524238215</v>
      </c>
      <c r="P760" t="n">
        <v>128.0343473104121</v>
      </c>
      <c r="Q760" t="n">
        <v>128.1617397968532</v>
      </c>
    </row>
    <row r="761">
      <c r="A761" s="117" t="n">
        <v>45518</v>
      </c>
      <c r="B761" s="118" t="n">
        <v>74.32323293566618</v>
      </c>
      <c r="C761" s="118" t="n">
        <v>75.36184898335937</v>
      </c>
      <c r="D761" s="118" t="n">
        <v>73.77057125370989</v>
      </c>
      <c r="E761" s="118" t="n">
        <v>74.81871795654297</v>
      </c>
      <c r="F761" s="119" t="n">
        <v>13613000</v>
      </c>
      <c r="G761" s="120" t="n">
        <v>0.0002544842262619529</v>
      </c>
      <c r="H761" s="121" t="n">
        <v>47.03205625753204</v>
      </c>
      <c r="I761" s="118" t="n">
        <v>77.25481872558593</v>
      </c>
      <c r="J761" s="118" t="n">
        <v>91.44916015625</v>
      </c>
      <c r="K761" s="120" t="n">
        <v>0.3155680709273593</v>
      </c>
      <c r="L761" s="120" t="n">
        <v>-0.1920149484796846</v>
      </c>
      <c r="M761" s="120" t="n">
        <v>-0.3549538206366203</v>
      </c>
      <c r="N761" t="n">
        <v>58.52376289978366</v>
      </c>
      <c r="O761" t="n">
        <v>1.114946958384025</v>
      </c>
      <c r="P761" t="n">
        <v>128.4382527429977</v>
      </c>
      <c r="Q761" t="n">
        <v>128.2033140655762</v>
      </c>
    </row>
    <row r="762">
      <c r="A762" s="117" t="n">
        <v>45519</v>
      </c>
      <c r="B762" s="118" t="n">
        <v>78.22996825041588</v>
      </c>
      <c r="C762" s="118" t="n">
        <v>79.14471489224921</v>
      </c>
      <c r="D762" s="118" t="n">
        <v>76.86737530825829</v>
      </c>
      <c r="E762" s="118" t="n">
        <v>78.61111450195312</v>
      </c>
      <c r="F762" s="119" t="n">
        <v>23583600</v>
      </c>
      <c r="G762" s="120" t="n">
        <v>0.05068780445573662</v>
      </c>
      <c r="H762" s="121" t="n">
        <v>49.41600792826502</v>
      </c>
      <c r="I762" s="118" t="n">
        <v>77.02155792236329</v>
      </c>
      <c r="J762" s="118" t="n">
        <v>91.38043579101563</v>
      </c>
      <c r="K762" s="120" t="n">
        <v>0.352184261322635</v>
      </c>
      <c r="L762" s="120" t="n">
        <v>-0.1510599601850647</v>
      </c>
      <c r="M762" s="120" t="n">
        <v>-0.3222578460321293</v>
      </c>
      <c r="N762" t="n">
        <v>67.19577854752092</v>
      </c>
      <c r="O762" t="n">
        <v>1.387357031544787</v>
      </c>
      <c r="P762" t="n">
        <v>130.6397351119456</v>
      </c>
      <c r="Q762" t="n">
        <v>131.4421256019659</v>
      </c>
    </row>
    <row r="763">
      <c r="A763" s="117" t="n">
        <v>45520</v>
      </c>
      <c r="B763" s="118" t="n">
        <v>78.97320936335413</v>
      </c>
      <c r="C763" s="118" t="n">
        <v>79.9832481472754</v>
      </c>
      <c r="D763" s="118" t="n">
        <v>78.55395497677948</v>
      </c>
      <c r="E763" s="118" t="n">
        <v>79.30671691894531</v>
      </c>
      <c r="F763" s="119" t="n">
        <v>13794200</v>
      </c>
      <c r="G763" s="120" t="n">
        <v>0.008848652272636315</v>
      </c>
      <c r="H763" s="121" t="n">
        <v>49.85327299912408</v>
      </c>
      <c r="I763" s="118" t="n">
        <v>76.81021331787109</v>
      </c>
      <c r="J763" s="118" t="n">
        <v>91.29718570709228</v>
      </c>
      <c r="K763" s="120" t="n">
        <v>0.3521388541175167</v>
      </c>
      <c r="L763" s="120" t="n">
        <v>-0.1435479849724243</v>
      </c>
      <c r="M763" s="120" t="n">
        <v>-0.31626074138116</v>
      </c>
      <c r="N763" t="n">
        <v>68.49686599911234</v>
      </c>
      <c r="O763" t="n">
        <v>1.543363598540775</v>
      </c>
      <c r="P763" t="n">
        <v>130.9326285354728</v>
      </c>
      <c r="Q763" t="n">
        <v>131.6111225266149</v>
      </c>
    </row>
    <row r="764">
      <c r="A764" s="117" t="n">
        <v>45523</v>
      </c>
      <c r="B764" s="118" t="n">
        <v>79.30671611505473</v>
      </c>
      <c r="C764" s="118" t="n">
        <v>80.03088607987088</v>
      </c>
      <c r="D764" s="118" t="n">
        <v>79.01132391937566</v>
      </c>
      <c r="E764" s="118" t="n">
        <v>79.35435485839844</v>
      </c>
      <c r="F764" s="119" t="n">
        <v>9627300</v>
      </c>
      <c r="G764" s="120" t="n">
        <v>0.0006006797570730082</v>
      </c>
      <c r="H764" s="121" t="n">
        <v>49.88321885103849</v>
      </c>
      <c r="I764" s="118" t="n">
        <v>76.57314132690429</v>
      </c>
      <c r="J764" s="118" t="n">
        <v>91.20960224151611</v>
      </c>
      <c r="K764" s="120" t="n">
        <v>0.3422802442686093</v>
      </c>
      <c r="L764" s="120" t="n">
        <v>-0.1430335315840928</v>
      </c>
      <c r="M764" s="120" t="n">
        <v>-0.3158500330493916</v>
      </c>
      <c r="N764" t="n">
        <v>68.58874971402906</v>
      </c>
      <c r="O764" t="n">
        <v>1.573363363927976</v>
      </c>
      <c r="P764" t="n">
        <v>132.1845021951877</v>
      </c>
      <c r="Q764" t="n">
        <v>133.3399576482427</v>
      </c>
    </row>
    <row r="765">
      <c r="A765" s="117" t="n">
        <v>45524</v>
      </c>
      <c r="B765" s="118" t="n">
        <v>79.55445472891697</v>
      </c>
      <c r="C765" s="118" t="n">
        <v>79.94513167957628</v>
      </c>
      <c r="D765" s="118" t="n">
        <v>78.86839285344951</v>
      </c>
      <c r="E765" s="118" t="n">
        <v>79.62115478515625</v>
      </c>
      <c r="F765" s="119" t="n">
        <v>7863100</v>
      </c>
      <c r="G765" s="120" t="n">
        <v>0.003362133398146838</v>
      </c>
      <c r="H765" s="121" t="n">
        <v>50.05093288714464</v>
      </c>
      <c r="I765" s="118" t="n">
        <v>76.3255876159668</v>
      </c>
      <c r="J765" s="118" t="n">
        <v>91.1322603225708</v>
      </c>
      <c r="K765" s="120" t="n">
        <v>0.3294543439493043</v>
      </c>
      <c r="L765" s="120" t="n">
        <v>-0.1401522959995397</v>
      </c>
      <c r="M765" s="120" t="n">
        <v>-0.313549829596166</v>
      </c>
      <c r="N765" t="n">
        <v>69.13176739492974</v>
      </c>
      <c r="O765" t="n">
        <v>1.533212262612694</v>
      </c>
      <c r="P765" t="n">
        <v>131.9695769242602</v>
      </c>
      <c r="Q765" t="n">
        <v>133.0601387261406</v>
      </c>
    </row>
    <row r="766">
      <c r="A766" s="117" t="n">
        <v>45525</v>
      </c>
      <c r="B766" s="118" t="n">
        <v>79.72595907940662</v>
      </c>
      <c r="C766" s="118" t="n">
        <v>80.26909011011456</v>
      </c>
      <c r="D766" s="118" t="n">
        <v>79.29717410191716</v>
      </c>
      <c r="E766" s="118" t="n">
        <v>80.0404052734375</v>
      </c>
      <c r="F766" s="119" t="n">
        <v>6915900</v>
      </c>
      <c r="G766" s="120" t="n">
        <v>0.005265566537090871</v>
      </c>
      <c r="H766" s="121" t="n">
        <v>50.31447940450536</v>
      </c>
      <c r="I766" s="118" t="n">
        <v>76.09690048217773</v>
      </c>
      <c r="J766" s="118" t="n">
        <v>91.0372200012207</v>
      </c>
      <c r="K766" s="120" t="n">
        <v>0.297222954336924</v>
      </c>
      <c r="L766" s="120" t="n">
        <v>-0.1356247107023606</v>
      </c>
      <c r="M766" s="120" t="n">
        <v>-0.3099352805495073</v>
      </c>
      <c r="N766" t="n">
        <v>70.00915207395245</v>
      </c>
      <c r="O766" t="n">
        <v>1.457431281974585</v>
      </c>
      <c r="P766" t="n">
        <v>132.4230997956193</v>
      </c>
      <c r="Q766" t="n">
        <v>133.6807538732376</v>
      </c>
    </row>
    <row r="767">
      <c r="A767" s="117" t="n">
        <v>45526</v>
      </c>
      <c r="B767" s="118" t="n">
        <v>80.46919582551213</v>
      </c>
      <c r="C767" s="118" t="n">
        <v>80.68835729192352</v>
      </c>
      <c r="D767" s="118" t="n">
        <v>79.2876489394413</v>
      </c>
      <c r="E767" s="118" t="n">
        <v>79.47822570800781</v>
      </c>
      <c r="F767" s="119" t="n">
        <v>8485500</v>
      </c>
      <c r="G767" s="120" t="n">
        <v>-0.007023697137828688</v>
      </c>
      <c r="H767" s="121" t="n">
        <v>49.9610857395206</v>
      </c>
      <c r="I767" s="118" t="n">
        <v>75.85944717407227</v>
      </c>
      <c r="J767" s="118" t="n">
        <v>90.93003715515137</v>
      </c>
      <c r="K767" s="120" t="n">
        <v>0.3020771442315897</v>
      </c>
      <c r="L767" s="120" t="n">
        <v>-0.1416958209478102</v>
      </c>
      <c r="M767" s="120" t="n">
        <v>-0.3147820861444282</v>
      </c>
      <c r="N767" t="n">
        <v>67.24889460267759</v>
      </c>
      <c r="O767" t="n">
        <v>1.297336393541644</v>
      </c>
      <c r="P767" t="n">
        <v>131.3838048355158</v>
      </c>
      <c r="Q767" t="n">
        <v>131.5612607443979</v>
      </c>
    </row>
    <row r="768">
      <c r="A768" s="117" t="n">
        <v>45527</v>
      </c>
      <c r="B768" s="118" t="n">
        <v>79.41152758152907</v>
      </c>
      <c r="C768" s="118" t="n">
        <v>80.26910496497391</v>
      </c>
      <c r="D768" s="118" t="n">
        <v>79.29718877691057</v>
      </c>
      <c r="E768" s="118" t="n">
        <v>80.08806610107422</v>
      </c>
      <c r="F768" s="119" t="n">
        <v>9219700</v>
      </c>
      <c r="G768" s="120" t="n">
        <v>0.007673049915669639</v>
      </c>
      <c r="H768" s="121" t="n">
        <v>50.34443964424099</v>
      </c>
      <c r="I768" s="118" t="n">
        <v>75.67592590332032</v>
      </c>
      <c r="J768" s="118" t="n">
        <v>90.82500797271729</v>
      </c>
      <c r="K768" s="120" t="n">
        <v>0.3005432485071702</v>
      </c>
      <c r="L768" s="120" t="n">
        <v>-0.1351100101391148</v>
      </c>
      <c r="M768" s="120" t="n">
        <v>-0.3095243748883033</v>
      </c>
      <c r="N768" t="n">
        <v>68.69097709823825</v>
      </c>
      <c r="O768" t="n">
        <v>1.164626303364493</v>
      </c>
      <c r="P768" t="n">
        <v>132.7797638773679</v>
      </c>
      <c r="Q768" t="n">
        <v>132.9881142531987</v>
      </c>
    </row>
    <row r="769">
      <c r="A769" s="117" t="n">
        <v>45530</v>
      </c>
      <c r="B769" s="118" t="n">
        <v>79.53539689138867</v>
      </c>
      <c r="C769" s="118" t="n">
        <v>80.52637430092726</v>
      </c>
      <c r="D769" s="118" t="n">
        <v>79.44963552616602</v>
      </c>
      <c r="E769" s="118" t="n">
        <v>80.30721282958984</v>
      </c>
      <c r="F769" s="119" t="n">
        <v>7853300</v>
      </c>
      <c r="G769" s="120" t="n">
        <v>0.002736321891442017</v>
      </c>
      <c r="H769" s="121" t="n">
        <v>50.48219823655191</v>
      </c>
      <c r="I769" s="118" t="n">
        <v>75.4872590637207</v>
      </c>
      <c r="J769" s="118" t="n">
        <v>90.71113010406494</v>
      </c>
      <c r="K769" s="120" t="n">
        <v>0.3001010519753152</v>
      </c>
      <c r="L769" s="120" t="n">
        <v>-0.1327433927261695</v>
      </c>
      <c r="M769" s="120" t="n">
        <v>-0.3076350113198031</v>
      </c>
      <c r="N769" t="n">
        <v>69.21554189770066</v>
      </c>
      <c r="O769" t="n">
        <v>1.028449780557452</v>
      </c>
      <c r="P769" t="n">
        <v>132.4632423992671</v>
      </c>
      <c r="Q769" t="n">
        <v>131.6970136329595</v>
      </c>
    </row>
    <row r="770">
      <c r="A770" s="117" t="n">
        <v>45531</v>
      </c>
      <c r="B770" s="118" t="n">
        <v>80.10711464506639</v>
      </c>
      <c r="C770" s="118" t="n">
        <v>81.36489229783884</v>
      </c>
      <c r="D770" s="118" t="n">
        <v>79.66879896134759</v>
      </c>
      <c r="E770" s="118" t="n">
        <v>81.26960754394531</v>
      </c>
      <c r="F770" s="119" t="n">
        <v>14954000</v>
      </c>
      <c r="G770" s="120" t="n">
        <v>0.01198391377867458</v>
      </c>
      <c r="H770" s="121" t="n">
        <v>51.08717254757671</v>
      </c>
      <c r="I770" s="118" t="n">
        <v>75.33289550781249</v>
      </c>
      <c r="J770" s="118" t="n">
        <v>90.60192279815674</v>
      </c>
      <c r="K770" s="120" t="n">
        <v>0.3003813712191447</v>
      </c>
      <c r="L770" s="120" t="n">
        <v>-0.122350264320614</v>
      </c>
      <c r="M770" s="120" t="n">
        <v>-0.2993377689920866</v>
      </c>
      <c r="N770" t="n">
        <v>71.47574207894998</v>
      </c>
      <c r="O770" t="n">
        <v>0.9423274682901139</v>
      </c>
      <c r="P770" t="n">
        <v>132.6451385720462</v>
      </c>
      <c r="Q770" t="n">
        <v>132.0904398405549</v>
      </c>
    </row>
    <row r="771">
      <c r="A771" s="117" t="n">
        <v>45532</v>
      </c>
      <c r="B771" s="118" t="n">
        <v>81.04092931028151</v>
      </c>
      <c r="C771" s="118" t="n">
        <v>81.40301431260191</v>
      </c>
      <c r="D771" s="118" t="n">
        <v>78.02035074945414</v>
      </c>
      <c r="E771" s="118" t="n">
        <v>78.88745880126953</v>
      </c>
      <c r="F771" s="119" t="n">
        <v>11088600</v>
      </c>
      <c r="G771" s="120" t="n">
        <v>-0.02931168015531105</v>
      </c>
      <c r="H771" s="121" t="n">
        <v>49.58972168582295</v>
      </c>
      <c r="I771" s="118" t="n">
        <v>75.10020690917969</v>
      </c>
      <c r="J771" s="118" t="n">
        <v>90.49206893920899</v>
      </c>
      <c r="K771" s="120" t="n">
        <v>0.3269581996535353</v>
      </c>
      <c r="L771" s="120" t="n">
        <v>-0.1480756526612415</v>
      </c>
      <c r="M771" s="120" t="n">
        <v>-0.3198753562042973</v>
      </c>
      <c r="N771" t="n">
        <v>59.77675958817125</v>
      </c>
      <c r="O771" t="n">
        <v>0.676504134519414</v>
      </c>
      <c r="P771" t="n">
        <v>131.8750942225862</v>
      </c>
      <c r="Q771" t="n">
        <v>130.5915447711555</v>
      </c>
    </row>
    <row r="772">
      <c r="A772" s="117" t="n">
        <v>45533</v>
      </c>
      <c r="B772" s="118" t="n">
        <v>79.51632783083055</v>
      </c>
      <c r="C772" s="118" t="n">
        <v>79.93558942048554</v>
      </c>
      <c r="D772" s="118" t="n">
        <v>78.95414276266574</v>
      </c>
      <c r="E772" s="118" t="n">
        <v>79.33528900146484</v>
      </c>
      <c r="F772" s="119" t="n">
        <v>7477200</v>
      </c>
      <c r="G772" s="120" t="n">
        <v>0.005676823756276317</v>
      </c>
      <c r="H772" s="121" t="n">
        <v>49.87123379595616</v>
      </c>
      <c r="I772" s="118" t="n">
        <v>74.88066726684571</v>
      </c>
      <c r="J772" s="118" t="n">
        <v>90.3886487197876</v>
      </c>
      <c r="K772" s="120" t="n">
        <v>0.3193797036073047</v>
      </c>
      <c r="L772" s="120" t="n">
        <v>-0.1432394282877187</v>
      </c>
      <c r="M772" s="120" t="n">
        <v>-0.3160144084691688</v>
      </c>
      <c r="N772" t="n">
        <v>61.06690175266941</v>
      </c>
      <c r="O772" t="n">
        <v>0.4910433352881527</v>
      </c>
      <c r="P772" t="n">
        <v>131.8868861124078</v>
      </c>
      <c r="Q772" t="n">
        <v>130.4003851557815</v>
      </c>
    </row>
    <row r="773">
      <c r="A773" s="117" t="n">
        <v>45534</v>
      </c>
      <c r="B773" s="118" t="n">
        <v>79.65927154312799</v>
      </c>
      <c r="C773" s="118" t="n">
        <v>79.92607177277941</v>
      </c>
      <c r="D773" s="118" t="n">
        <v>78.18233962334017</v>
      </c>
      <c r="E773" s="118" t="n">
        <v>79.39247131347656</v>
      </c>
      <c r="F773" s="119" t="n">
        <v>13755300</v>
      </c>
      <c r="G773" s="120" t="n">
        <v>0.0007207676776808114</v>
      </c>
      <c r="H773" s="121" t="n">
        <v>49.90717936932235</v>
      </c>
      <c r="I773" s="118" t="n">
        <v>74.64721618652344</v>
      </c>
      <c r="J773" s="118" t="n">
        <v>90.29451622009277</v>
      </c>
      <c r="K773" s="120" t="n">
        <v>0.3196632992045852</v>
      </c>
      <c r="L773" s="120" t="n">
        <v>-0.1426219029601171</v>
      </c>
      <c r="M773" s="120" t="n">
        <v>-0.3155214137627941</v>
      </c>
      <c r="N773" t="n">
        <v>61.23786439738141</v>
      </c>
      <c r="O773" t="n">
        <v>0.3396249546921797</v>
      </c>
      <c r="P773" t="n">
        <v>133.1459027942423</v>
      </c>
      <c r="Q773" t="n">
        <v>131.9546869519933</v>
      </c>
    </row>
    <row r="774">
      <c r="A774" s="117" t="n">
        <v>45538</v>
      </c>
      <c r="B774" s="118" t="n">
        <v>79.16276789031704</v>
      </c>
      <c r="C774" s="118" t="n">
        <v>79.38290696129361</v>
      </c>
      <c r="D774" s="118" t="n">
        <v>77.53567968674326</v>
      </c>
      <c r="E774" s="118" t="n">
        <v>77.83238220214844</v>
      </c>
      <c r="F774" s="119" t="n">
        <v>10133700</v>
      </c>
      <c r="G774" s="120" t="n">
        <v>-0.0196503407126376</v>
      </c>
      <c r="H774" s="121" t="n">
        <v>48.92648629070845</v>
      </c>
      <c r="I774" s="118" t="n">
        <v>74.35188110351562</v>
      </c>
      <c r="J774" s="118" t="n">
        <v>90.18527812957764</v>
      </c>
      <c r="K774" s="120" t="n">
        <v>0.2973392508303462</v>
      </c>
      <c r="L774" s="120" t="n">
        <v>-0.1594696746865036</v>
      </c>
      <c r="M774" s="120" t="n">
        <v>-0.3289716511928598</v>
      </c>
      <c r="N774" t="n">
        <v>54.23987443125854</v>
      </c>
      <c r="O774" t="n">
        <v>0.1134967463359853</v>
      </c>
      <c r="P774" t="n">
        <v>130.405889687387</v>
      </c>
      <c r="Q774" t="n">
        <v>127.9484260345826</v>
      </c>
    </row>
    <row r="775">
      <c r="A775" s="117" t="n">
        <v>45539</v>
      </c>
      <c r="B775" s="118" t="n">
        <v>76.66468558135287</v>
      </c>
      <c r="C775" s="118" t="n">
        <v>77.61222461253804</v>
      </c>
      <c r="D775" s="118" t="n">
        <v>76.2531270442221</v>
      </c>
      <c r="E775" s="118" t="n">
        <v>77.54522705078125</v>
      </c>
      <c r="F775" s="119" t="n">
        <v>12837400</v>
      </c>
      <c r="G775" s="120" t="n">
        <v>-0.003689404631370241</v>
      </c>
      <c r="H775" s="121" t="n">
        <v>48.74597668559083</v>
      </c>
      <c r="I775" s="118" t="n">
        <v>74.05099365234375</v>
      </c>
      <c r="J775" s="118" t="n">
        <v>90.06484828948975</v>
      </c>
      <c r="K775" s="120" t="n">
        <v>0.297937117698093</v>
      </c>
      <c r="L775" s="120" t="n">
        <v>-0.1625707311615224</v>
      </c>
      <c r="M775" s="120" t="n">
        <v>-0.3314473462907296</v>
      </c>
      <c r="N775" t="n">
        <v>53.03845126452172</v>
      </c>
      <c r="O775" t="n">
        <v>-0.06662713087331262</v>
      </c>
      <c r="P775" t="n">
        <v>130.1389561314394</v>
      </c>
      <c r="Q775" t="n">
        <v>127.6159429545667</v>
      </c>
    </row>
    <row r="776">
      <c r="A776" s="117" t="n">
        <v>45540</v>
      </c>
      <c r="B776" s="118" t="n">
        <v>77.65052502458127</v>
      </c>
      <c r="C776" s="118" t="n">
        <v>77.75580797091422</v>
      </c>
      <c r="D776" s="118" t="n">
        <v>76.76998338451303</v>
      </c>
      <c r="E776" s="118" t="n">
        <v>77.36339569091797</v>
      </c>
      <c r="F776" s="119" t="n">
        <v>7596300</v>
      </c>
      <c r="G776" s="120" t="n">
        <v>-0.002344842703783767</v>
      </c>
      <c r="H776" s="121" t="n">
        <v>48.63167503782081</v>
      </c>
      <c r="I776" s="118" t="n">
        <v>73.792587890625</v>
      </c>
      <c r="J776" s="118" t="n">
        <v>89.94449909210205</v>
      </c>
      <c r="K776" s="120" t="n">
        <v>0.2990398107727162</v>
      </c>
      <c r="L776" s="120" t="n">
        <v>-0.1645343710724932</v>
      </c>
      <c r="M776" s="120" t="n">
        <v>-0.333014997102875</v>
      </c>
      <c r="N776" t="n">
        <v>52.24923841131876</v>
      </c>
      <c r="O776" t="n">
        <v>-0.2016006182610783</v>
      </c>
      <c r="P776" t="n">
        <v>129.8224346533385</v>
      </c>
      <c r="Q776" t="n">
        <v>127.7350866408271</v>
      </c>
    </row>
    <row r="777">
      <c r="A777" s="117" t="n">
        <v>45541</v>
      </c>
      <c r="B777" s="118" t="n">
        <v>77.41124464147778</v>
      </c>
      <c r="C777" s="118" t="n">
        <v>78.36835699645138</v>
      </c>
      <c r="D777" s="118" t="n">
        <v>76.90397626169181</v>
      </c>
      <c r="E777" s="118" t="n">
        <v>77.17196655273438</v>
      </c>
      <c r="F777" s="119" t="n">
        <v>8512200</v>
      </c>
      <c r="G777" s="120" t="n">
        <v>-0.002474414889289345</v>
      </c>
      <c r="H777" s="121" t="n">
        <v>48.51134009701615</v>
      </c>
      <c r="I777" s="118" t="n">
        <v>73.54350326538086</v>
      </c>
      <c r="J777" s="118" t="n">
        <v>89.83096923828126</v>
      </c>
      <c r="K777" s="120" t="n">
        <v>0.2942831437366845</v>
      </c>
      <c r="L777" s="120" t="n">
        <v>-0.166601659664201</v>
      </c>
      <c r="M777" s="120" t="n">
        <v>-0.3346653947249764</v>
      </c>
      <c r="N777" t="n">
        <v>51.38239314075057</v>
      </c>
      <c r="O777" t="n">
        <v>-0.3013522019767576</v>
      </c>
      <c r="P777" t="n">
        <v>127.6375111083954</v>
      </c>
      <c r="Q777" t="n">
        <v>124.3134030025574</v>
      </c>
    </row>
    <row r="778">
      <c r="A778" s="117" t="n">
        <v>45544</v>
      </c>
      <c r="B778" s="118" t="n">
        <v>77.28682764219262</v>
      </c>
      <c r="C778" s="118" t="n">
        <v>78.08123270051371</v>
      </c>
      <c r="D778" s="118" t="n">
        <v>75.63101994847446</v>
      </c>
      <c r="E778" s="118" t="n">
        <v>76.08086395263672</v>
      </c>
      <c r="F778" s="119" t="n">
        <v>8003300</v>
      </c>
      <c r="G778" s="120" t="n">
        <v>-0.01413858747984698</v>
      </c>
      <c r="H778" s="121" t="n">
        <v>47.82545827128988</v>
      </c>
      <c r="I778" s="118" t="n">
        <v>73.27011901855468</v>
      </c>
      <c r="J778" s="118" t="n">
        <v>89.71028713226319</v>
      </c>
      <c r="K778" s="120" t="n">
        <v>0.3016269421745022</v>
      </c>
      <c r="L778" s="120" t="n">
        <v>-0.1783847350045981</v>
      </c>
      <c r="M778" s="120" t="n">
        <v>-0.3440722862450267</v>
      </c>
      <c r="N778" t="n">
        <v>46.63340607576821</v>
      </c>
      <c r="O778" t="n">
        <v>-0.430526451894891</v>
      </c>
      <c r="P778" t="n">
        <v>129.0665582816366</v>
      </c>
      <c r="Q778" t="n">
        <v>125.9120216363907</v>
      </c>
    </row>
    <row r="779">
      <c r="A779" s="117" t="n">
        <v>45545</v>
      </c>
      <c r="B779" s="118" t="n">
        <v>76.147862194791</v>
      </c>
      <c r="C779" s="118" t="n">
        <v>76.147862194791</v>
      </c>
      <c r="D779" s="118" t="n">
        <v>74.2240714781547</v>
      </c>
      <c r="E779" s="118" t="n">
        <v>74.74090576171875</v>
      </c>
      <c r="F779" s="119" t="n">
        <v>9748400</v>
      </c>
      <c r="G779" s="120" t="n">
        <v>-0.01761228936296177</v>
      </c>
      <c r="H779" s="121" t="n">
        <v>46.98314246129966</v>
      </c>
      <c r="I779" s="118" t="n">
        <v>73.32859268188477</v>
      </c>
      <c r="J779" s="118" t="n">
        <v>89.5818212890625</v>
      </c>
      <c r="K779" s="120" t="n">
        <v>0.3109943479868986</v>
      </c>
      <c r="L779" s="120" t="n">
        <v>-0.1928552607967237</v>
      </c>
      <c r="M779" s="120" t="n">
        <v>-0.3556246749408652</v>
      </c>
      <c r="N779" t="n">
        <v>41.55403229950871</v>
      </c>
      <c r="O779" t="n">
        <v>-0.5862708569096293</v>
      </c>
      <c r="P779" t="n">
        <v>129.6287613490481</v>
      </c>
      <c r="Q779" t="n">
        <v>127.0756910568756</v>
      </c>
    </row>
    <row r="780">
      <c r="A780" s="117" t="n">
        <v>45546</v>
      </c>
      <c r="B780" s="118" t="n">
        <v>74.65475890773153</v>
      </c>
      <c r="C780" s="118" t="n">
        <v>75.21945165595805</v>
      </c>
      <c r="D780" s="118" t="n">
        <v>73.44879537307111</v>
      </c>
      <c r="E780" s="118" t="n">
        <v>75.03760528564453</v>
      </c>
      <c r="F780" s="119" t="n">
        <v>8265500</v>
      </c>
      <c r="G780" s="120" t="n">
        <v>0.003969707363082886</v>
      </c>
      <c r="H780" s="121" t="n">
        <v>47.16965178786906</v>
      </c>
      <c r="I780" s="118" t="n">
        <v>73.36517700195313</v>
      </c>
      <c r="J780" s="118" t="n">
        <v>89.44838214874268</v>
      </c>
      <c r="K780" s="120" t="n">
        <v>0.2516293572858468</v>
      </c>
      <c r="L780" s="120" t="n">
        <v>-0.1896511323824347</v>
      </c>
      <c r="M780" s="120" t="n">
        <v>-0.3530666934683891</v>
      </c>
      <c r="N780" t="n">
        <v>43.03362408555672</v>
      </c>
      <c r="O780" t="n">
        <v>-0.6447206396193971</v>
      </c>
      <c r="P780" t="n">
        <v>130.9586031613626</v>
      </c>
      <c r="Q780" t="n">
        <v>129.835176735497</v>
      </c>
    </row>
    <row r="781">
      <c r="A781" s="117" t="n">
        <v>45547</v>
      </c>
      <c r="B781" s="118" t="n">
        <v>74.87489794824238</v>
      </c>
      <c r="C781" s="118" t="n">
        <v>75.67886876989112</v>
      </c>
      <c r="D781" s="118" t="n">
        <v>74.2049149613478</v>
      </c>
      <c r="E781" s="118" t="n">
        <v>75.03760528564453</v>
      </c>
      <c r="F781" s="119" t="n">
        <v>7176900</v>
      </c>
      <c r="G781" s="120" t="n">
        <v>0</v>
      </c>
      <c r="H781" s="121" t="n">
        <v>47.16965178786906</v>
      </c>
      <c r="I781" s="118" t="n">
        <v>73.41681640625001</v>
      </c>
      <c r="J781" s="118" t="n">
        <v>89.31626266479492</v>
      </c>
      <c r="K781" s="120" t="n">
        <v>0.2516312771477434</v>
      </c>
      <c r="L781" s="120" t="n">
        <v>-0.1896511323824347</v>
      </c>
      <c r="M781" s="120" t="n">
        <v>-0.3530666934683891</v>
      </c>
      <c r="N781" t="n">
        <v>43.03362408555672</v>
      </c>
      <c r="O781" t="n">
        <v>-0.6565892255066303</v>
      </c>
      <c r="P781" t="n">
        <v>132.061713054618</v>
      </c>
      <c r="Q781" t="n">
        <v>131.1096596096066</v>
      </c>
    </row>
    <row r="782">
      <c r="A782" s="117" t="n">
        <v>45548</v>
      </c>
      <c r="B782" s="118" t="n">
        <v>74.94190340773314</v>
      </c>
      <c r="C782" s="118" t="n">
        <v>76.08086219166238</v>
      </c>
      <c r="D782" s="118" t="n">
        <v>74.760049716084</v>
      </c>
      <c r="E782" s="118" t="n">
        <v>75.62145233154297</v>
      </c>
      <c r="F782" s="119" t="n">
        <v>5814200</v>
      </c>
      <c r="G782" s="120" t="n">
        <v>0.007780725992999393</v>
      </c>
      <c r="H782" s="121" t="n">
        <v>47.53666592361566</v>
      </c>
      <c r="I782" s="118" t="n">
        <v>73.49537872314453</v>
      </c>
      <c r="J782" s="118" t="n">
        <v>89.18555423736572</v>
      </c>
      <c r="K782" s="120" t="n">
        <v>0.1706588181221015</v>
      </c>
      <c r="L782" s="120" t="n">
        <v>-0.1833460298847651</v>
      </c>
      <c r="M782" s="120" t="n">
        <v>-0.3480330826745216</v>
      </c>
      <c r="N782" t="n">
        <v>46.14508471082731</v>
      </c>
      <c r="O782" t="n">
        <v>-0.5998831946137513</v>
      </c>
      <c r="P782" t="n">
        <v>132.7514279218518</v>
      </c>
      <c r="Q782" t="n">
        <v>131.6970136329595</v>
      </c>
    </row>
    <row r="783">
      <c r="A783" s="117" t="n">
        <v>45551</v>
      </c>
      <c r="B783" s="118" t="n">
        <v>75.92771953300986</v>
      </c>
      <c r="C783" s="118" t="n">
        <v>76.55940984573157</v>
      </c>
      <c r="D783" s="118" t="n">
        <v>75.31516825307908</v>
      </c>
      <c r="E783" s="118" t="n">
        <v>76.3775634765625</v>
      </c>
      <c r="F783" s="119" t="n">
        <v>9547700</v>
      </c>
      <c r="G783" s="120" t="n">
        <v>0.009998632950138919</v>
      </c>
      <c r="H783" s="121" t="n">
        <v>48.01196759785927</v>
      </c>
      <c r="I783" s="118" t="n">
        <v>73.58544219970703</v>
      </c>
      <c r="J783" s="118" t="n">
        <v>89.05490306854249</v>
      </c>
      <c r="K783" s="120" t="n">
        <v>0.1716636567713636</v>
      </c>
      <c r="L783" s="120" t="n">
        <v>-0.1751806065903092</v>
      </c>
      <c r="M783" s="120" t="n">
        <v>-0.3415143047725505</v>
      </c>
      <c r="N783" t="n">
        <v>49.95713906249412</v>
      </c>
      <c r="O783" t="n">
        <v>-0.49080779876591</v>
      </c>
      <c r="P783" t="n">
        <v>132.947492072389</v>
      </c>
      <c r="Q783" t="n">
        <v>131.1151960103737</v>
      </c>
    </row>
    <row r="784">
      <c r="A784" s="117" t="n">
        <v>45552</v>
      </c>
      <c r="B784" s="118" t="n">
        <v>76.5785557047823</v>
      </c>
      <c r="C784" s="118" t="n">
        <v>77.50695578639765</v>
      </c>
      <c r="D784" s="118" t="n">
        <v>76.43498740208733</v>
      </c>
      <c r="E784" s="118" t="n">
        <v>77.18153381347656</v>
      </c>
      <c r="F784" s="119" t="n">
        <v>7580600</v>
      </c>
      <c r="G784" s="120" t="n">
        <v>0.01052626321551586</v>
      </c>
      <c r="H784" s="121" t="n">
        <v>48.51735420628916</v>
      </c>
      <c r="I784" s="118" t="n">
        <v>73.73694137573243</v>
      </c>
      <c r="J784" s="118" t="n">
        <v>88.92063671112061</v>
      </c>
      <c r="K784" s="120" t="n">
        <v>0.1770538884129358</v>
      </c>
      <c r="L784" s="120" t="n">
        <v>-0.1664124897494241</v>
      </c>
      <c r="M784" s="120" t="n">
        <v>-0.3345829110209345</v>
      </c>
      <c r="N784" t="n">
        <v>53.70918089513354</v>
      </c>
      <c r="O784" t="n">
        <v>-0.3504532999438619</v>
      </c>
      <c r="P784" t="n">
        <v>133.001817412105</v>
      </c>
      <c r="Q784" t="n">
        <v>131.1844693705888</v>
      </c>
    </row>
    <row r="785">
      <c r="A785" s="117" t="n">
        <v>45553</v>
      </c>
      <c r="B785" s="118" t="n">
        <v>77.20068448838374</v>
      </c>
      <c r="C785" s="118" t="n">
        <v>78.25350659702218</v>
      </c>
      <c r="D785" s="118" t="n">
        <v>76.78912589202109</v>
      </c>
      <c r="E785" s="118" t="n">
        <v>77.43038940429688</v>
      </c>
      <c r="F785" s="119" t="n">
        <v>7637000</v>
      </c>
      <c r="G785" s="120" t="n">
        <v>0.003224289263565439</v>
      </c>
      <c r="H785" s="121" t="n">
        <v>48.67378819055309</v>
      </c>
      <c r="I785" s="118" t="n">
        <v>73.90466125488281</v>
      </c>
      <c r="J785" s="118" t="n">
        <v>88.78808589935302</v>
      </c>
      <c r="K785" s="120" t="n">
        <v>0.1770061324848104</v>
      </c>
      <c r="L785" s="120" t="n">
        <v>-0.1423656394473967</v>
      </c>
      <c r="M785" s="120" t="n">
        <v>-0.3324374138451462</v>
      </c>
      <c r="N785" t="n">
        <v>54.83791484259292</v>
      </c>
      <c r="O785" t="n">
        <v>-0.2324786523940335</v>
      </c>
      <c r="P785" t="n">
        <v>132.6073425397145</v>
      </c>
      <c r="Q785" t="n">
        <v>130.6164927499206</v>
      </c>
    </row>
    <row r="786">
      <c r="A786" s="117" t="n">
        <v>45554</v>
      </c>
      <c r="B786" s="118" t="n">
        <v>79.05747527523322</v>
      </c>
      <c r="C786" s="118" t="n">
        <v>79.55517776521542</v>
      </c>
      <c r="D786" s="118" t="n">
        <v>77.01882868553426</v>
      </c>
      <c r="E786" s="118" t="n">
        <v>77.5069580078125</v>
      </c>
      <c r="F786" s="119" t="n">
        <v>15067100</v>
      </c>
      <c r="G786" s="120" t="n">
        <v>0.0009888701852682757</v>
      </c>
      <c r="H786" s="121" t="n">
        <v>48.72192024849879</v>
      </c>
      <c r="I786" s="118" t="n">
        <v>74.07238800048827</v>
      </c>
      <c r="J786" s="118" t="n">
        <v>88.63898860931397</v>
      </c>
      <c r="K786" s="120" t="n">
        <v>0.1755359981009427</v>
      </c>
      <c r="L786" s="120" t="n">
        <v>-0.1364134582575139</v>
      </c>
      <c r="M786" s="120" t="n">
        <v>-0.3317772811068971</v>
      </c>
      <c r="N786" t="n">
        <v>55.19987763435964</v>
      </c>
      <c r="O786" t="n">
        <v>-0.1451807751818344</v>
      </c>
      <c r="P786" t="n">
        <v>134.8701899623269</v>
      </c>
      <c r="Q786" t="n">
        <v>133.9190156142733</v>
      </c>
    </row>
    <row r="787">
      <c r="A787" s="117" t="n">
        <v>45555</v>
      </c>
      <c r="B787" s="118" t="n">
        <v>84.10146419403569</v>
      </c>
      <c r="C787" s="118" t="n">
        <v>84.22588616981717</v>
      </c>
      <c r="D787" s="118" t="n">
        <v>81.17269545946124</v>
      </c>
      <c r="E787" s="118" t="n">
        <v>82.80935668945312</v>
      </c>
      <c r="F787" s="119" t="n">
        <v>52039300</v>
      </c>
      <c r="G787" s="120" t="n">
        <v>0.06841190543313735</v>
      </c>
      <c r="H787" s="121" t="n">
        <v>52.05507964905996</v>
      </c>
      <c r="I787" s="118" t="n">
        <v>74.32996414184571</v>
      </c>
      <c r="J787" s="118" t="n">
        <v>88.5085061264038</v>
      </c>
      <c r="K787" s="120" t="n">
        <v>0.3025840859689429</v>
      </c>
      <c r="L787" s="120" t="n">
        <v>-0.0773338574304967</v>
      </c>
      <c r="M787" s="120" t="n">
        <v>-0.2860628916537081</v>
      </c>
      <c r="N787" t="n">
        <v>71.95993004633542</v>
      </c>
      <c r="O787" t="n">
        <v>0.2521443611618627</v>
      </c>
      <c r="P787" t="n">
        <v>134.6370676949664</v>
      </c>
      <c r="Q787" t="n">
        <v>133.6641275832797</v>
      </c>
    </row>
    <row r="788">
      <c r="A788" s="117" t="n">
        <v>45558</v>
      </c>
      <c r="B788" s="118" t="n">
        <v>81.73739677089108</v>
      </c>
      <c r="C788" s="118" t="n">
        <v>82.81893110581323</v>
      </c>
      <c r="D788" s="118" t="n">
        <v>81.4024089062858</v>
      </c>
      <c r="E788" s="118" t="n">
        <v>82.50308227539062</v>
      </c>
      <c r="F788" s="119" t="n">
        <v>17712400</v>
      </c>
      <c r="G788" s="120" t="n">
        <v>-0.003698548404512669</v>
      </c>
      <c r="H788" s="121" t="n">
        <v>51.86255141727715</v>
      </c>
      <c r="I788" s="118" t="n">
        <v>74.58084320068359</v>
      </c>
      <c r="J788" s="118" t="n">
        <v>88.37526268005371</v>
      </c>
      <c r="K788" s="120" t="n">
        <v>0.3025601318943548</v>
      </c>
      <c r="L788" s="120" t="n">
        <v>-0.003698548404512669</v>
      </c>
      <c r="M788" s="120" t="n">
        <v>-0.2887034226067048</v>
      </c>
      <c r="N788" t="n">
        <v>70.32341815083599</v>
      </c>
      <c r="O788" t="n">
        <v>0.4644530350198878</v>
      </c>
      <c r="P788" t="n">
        <v>134.9735424084099</v>
      </c>
      <c r="Q788" t="n">
        <v>134.0184316008868</v>
      </c>
    </row>
    <row r="789">
      <c r="A789" s="117" t="n">
        <v>45559</v>
      </c>
      <c r="B789" s="118" t="n">
        <v>83.68991400373349</v>
      </c>
      <c r="C789" s="118" t="n">
        <v>84.49388494745143</v>
      </c>
      <c r="D789" s="118" t="n">
        <v>82.94336746965584</v>
      </c>
      <c r="E789" s="118" t="n">
        <v>83.70905303955078</v>
      </c>
      <c r="F789" s="119" t="n">
        <v>21123300</v>
      </c>
      <c r="G789" s="120" t="n">
        <v>0.01461728132937745</v>
      </c>
      <c r="H789" s="121" t="n">
        <v>52.62064092180279</v>
      </c>
      <c r="I789" s="118" t="n">
        <v>74.89605239868165</v>
      </c>
      <c r="J789" s="118" t="n">
        <v>88.24473888397216</v>
      </c>
      <c r="K789" s="120" t="n">
        <v>0.3060425316226399</v>
      </c>
      <c r="L789" s="120" t="n">
        <v>0</v>
      </c>
      <c r="M789" s="120" t="n">
        <v>-0.2783062004263237</v>
      </c>
      <c r="N789" t="n">
        <v>72.93359402288034</v>
      </c>
      <c r="O789" t="n">
        <v>0.6451167750270099</v>
      </c>
      <c r="P789" t="n">
        <v>135.3597083521776</v>
      </c>
      <c r="Q789" t="n">
        <v>134.664891828725</v>
      </c>
    </row>
    <row r="790">
      <c r="A790" s="117" t="n">
        <v>45560</v>
      </c>
      <c r="B790" s="118" t="n">
        <v>84.08233040938119</v>
      </c>
      <c r="C790" s="118" t="n">
        <v>84.32160853080924</v>
      </c>
      <c r="D790" s="118" t="n">
        <v>83.49849120892164</v>
      </c>
      <c r="E790" s="118" t="n">
        <v>84.22589874267578</v>
      </c>
      <c r="F790" s="119" t="n">
        <v>12392800</v>
      </c>
      <c r="G790" s="120" t="n">
        <v>0.006174310715004738</v>
      </c>
      <c r="H790" s="121" t="n">
        <v>52.94553710887669</v>
      </c>
      <c r="I790" s="118" t="n">
        <v>75.1930126953125</v>
      </c>
      <c r="J790" s="118" t="n">
        <v>88.12294692993164</v>
      </c>
      <c r="K790" s="120" t="n">
        <v>0.3042812364347079</v>
      </c>
      <c r="L790" s="120" t="n">
        <v>0</v>
      </c>
      <c r="M790" s="120" t="n">
        <v>-0.2738502386666635</v>
      </c>
      <c r="N790" t="n">
        <v>73.98947233604365</v>
      </c>
      <c r="O790" t="n">
        <v>0.7510266886793292</v>
      </c>
      <c r="P790" t="n">
        <v>135.0611772541674</v>
      </c>
      <c r="Q790" t="n">
        <v>134.7897257046627</v>
      </c>
    </row>
    <row r="791">
      <c r="A791" s="117" t="n">
        <v>45561</v>
      </c>
      <c r="B791" s="118" t="n">
        <v>86.06353512862908</v>
      </c>
      <c r="C791" s="118" t="n">
        <v>86.733518111107</v>
      </c>
      <c r="D791" s="118" t="n">
        <v>85.23085211200886</v>
      </c>
      <c r="E791" s="118" t="n">
        <v>85.55626678466797</v>
      </c>
      <c r="F791" s="119" t="n">
        <v>13592800</v>
      </c>
      <c r="G791" s="120" t="n">
        <v>0.01579523711651554</v>
      </c>
      <c r="H791" s="121" t="n">
        <v>53.78182442177268</v>
      </c>
      <c r="I791" s="118" t="n">
        <v>75.51162536621094</v>
      </c>
      <c r="J791" s="118" t="n">
        <v>88.00260498046875</v>
      </c>
      <c r="K791" s="120" t="n">
        <v>0.2842676282411997</v>
      </c>
      <c r="L791" s="120" t="n">
        <v>0</v>
      </c>
      <c r="M791" s="120" t="n">
        <v>-0.2623805310043023</v>
      </c>
      <c r="N791" t="n">
        <v>76.52772072472794</v>
      </c>
      <c r="O791" t="n">
        <v>0.8547357329026548</v>
      </c>
      <c r="P791" t="n">
        <v>135.5966382635606</v>
      </c>
      <c r="Q791" t="n">
        <v>135.8024256783049</v>
      </c>
    </row>
    <row r="792">
      <c r="A792" s="117" t="n">
        <v>45562</v>
      </c>
      <c r="B792" s="118" t="n">
        <v>85.613707102429</v>
      </c>
      <c r="C792" s="118" t="n">
        <v>86.38897316483036</v>
      </c>
      <c r="D792" s="118" t="n">
        <v>85.38400215536386</v>
      </c>
      <c r="E792" s="118" t="n">
        <v>85.60414123535156</v>
      </c>
      <c r="F792" s="119" t="n">
        <v>9181000</v>
      </c>
      <c r="G792" s="120" t="n">
        <v>0.0005595668497795359</v>
      </c>
      <c r="H792" s="121" t="n">
        <v>53.81191894783976</v>
      </c>
      <c r="I792" s="118" t="n">
        <v>75.84434509277344</v>
      </c>
      <c r="J792" s="118" t="n">
        <v>87.86973453521729</v>
      </c>
      <c r="K792" s="120" t="n">
        <v>0.2844985781517808</v>
      </c>
      <c r="L792" s="120" t="n">
        <v>0</v>
      </c>
      <c r="M792" s="120" t="n">
        <v>-0.2619677836017003</v>
      </c>
      <c r="N792" t="n">
        <v>76.61615437977335</v>
      </c>
      <c r="O792" t="n">
        <v>0.8678348548475703</v>
      </c>
      <c r="P792" t="n">
        <v>135.399998538927</v>
      </c>
      <c r="Q792" t="n">
        <v>135.0477664083153</v>
      </c>
    </row>
    <row r="793">
      <c r="A793" s="117" t="n">
        <v>45565</v>
      </c>
      <c r="B793" s="118" t="n">
        <v>85.85298355982047</v>
      </c>
      <c r="C793" s="118" t="n">
        <v>85.90084210303739</v>
      </c>
      <c r="D793" s="118" t="n">
        <v>83.9674781734027</v>
      </c>
      <c r="E793" s="118" t="n">
        <v>84.60874176025391</v>
      </c>
      <c r="F793" s="119" t="n">
        <v>12027100</v>
      </c>
      <c r="G793" s="120" t="n">
        <v>-0.01162793599390244</v>
      </c>
      <c r="H793" s="121" t="n">
        <v>53.18619739860522</v>
      </c>
      <c r="I793" s="118" t="n">
        <v>76.15105819702148</v>
      </c>
      <c r="J793" s="118" t="n">
        <v>87.72701629638672</v>
      </c>
      <c r="K793" s="120" t="n">
        <v>0.2896915821840341</v>
      </c>
      <c r="L793" s="120" t="n">
        <v>-0.01162793599390244</v>
      </c>
      <c r="M793" s="120" t="n">
        <v>-0.2705495749754177</v>
      </c>
      <c r="N793" t="n">
        <v>70.65559326036286</v>
      </c>
      <c r="O793" t="n">
        <v>0.7548974794522771</v>
      </c>
      <c r="P793" t="n">
        <v>135.9425582955093</v>
      </c>
      <c r="Q793" t="n">
        <v>135.4139976102909</v>
      </c>
    </row>
    <row r="794">
      <c r="A794" s="117" t="n">
        <v>45566</v>
      </c>
      <c r="B794" s="118" t="n">
        <v>84.22588452573335</v>
      </c>
      <c r="C794" s="118" t="n">
        <v>85.79554815317429</v>
      </c>
      <c r="D794" s="118" t="n">
        <v>83.9483210754656</v>
      </c>
      <c r="E794" s="118" t="n">
        <v>85.30741882324219</v>
      </c>
      <c r="F794" s="119" t="n">
        <v>20623400</v>
      </c>
      <c r="G794" s="120" t="n">
        <v>0.008257740848670814</v>
      </c>
      <c r="H794" s="121" t="n">
        <v>53.62539523344915</v>
      </c>
      <c r="I794" s="118" t="n">
        <v>76.4305812072754</v>
      </c>
      <c r="J794" s="118" t="n">
        <v>87.58055633544922</v>
      </c>
      <c r="K794" s="120" t="n">
        <v>0.2769742929957903</v>
      </c>
      <c r="L794" s="120" t="n">
        <v>-0.003466215627274227</v>
      </c>
      <c r="M794" s="120" t="n">
        <v>-0.2645259624036119</v>
      </c>
      <c r="N794" t="n">
        <v>72.28541085808362</v>
      </c>
      <c r="O794" t="n">
        <v>0.6752746760284443</v>
      </c>
      <c r="P794" t="n">
        <v>134.7247320573443</v>
      </c>
      <c r="Q794" t="n">
        <v>133.5273494353167</v>
      </c>
    </row>
    <row r="795">
      <c r="A795" s="117" t="n">
        <v>45567</v>
      </c>
      <c r="B795" s="118" t="n">
        <v>79.33504091615143</v>
      </c>
      <c r="C795" s="118" t="n">
        <v>81.57468757866194</v>
      </c>
      <c r="D795" s="118" t="n">
        <v>78.26307247145888</v>
      </c>
      <c r="E795" s="118" t="n">
        <v>79.53603363037109</v>
      </c>
      <c r="F795" s="119" t="n">
        <v>33208800</v>
      </c>
      <c r="G795" s="120" t="n">
        <v>-0.06765396576855132</v>
      </c>
      <c r="H795" s="121" t="n">
        <v>49.99742458000034</v>
      </c>
      <c r="I795" s="118" t="n">
        <v>76.62250030517578</v>
      </c>
      <c r="J795" s="118" t="n">
        <v>87.4059487915039</v>
      </c>
      <c r="K795" s="120" t="n">
        <v>0.37757495734765</v>
      </c>
      <c r="L795" s="120" t="n">
        <v>-0.07088567816243152</v>
      </c>
      <c r="M795" s="120" t="n">
        <v>-0.3142836977668162</v>
      </c>
      <c r="N795" t="n">
        <v>48.3810470329093</v>
      </c>
      <c r="O795" t="n">
        <v>0.2062634143272648</v>
      </c>
      <c r="P795" t="n">
        <v>134.781625343029</v>
      </c>
      <c r="Q795" t="n">
        <v>133.7160142528141</v>
      </c>
    </row>
    <row r="796">
      <c r="A796" s="117" t="n">
        <v>45568</v>
      </c>
      <c r="B796" s="118" t="n">
        <v>78.86606272549905</v>
      </c>
      <c r="C796" s="118" t="n">
        <v>80.18687520042232</v>
      </c>
      <c r="D796" s="118" t="n">
        <v>78.46407727254693</v>
      </c>
      <c r="E796" s="118" t="n">
        <v>78.57892608642578</v>
      </c>
      <c r="F796" s="119" t="n">
        <v>18143800</v>
      </c>
      <c r="G796" s="120" t="n">
        <v>-0.01203363431967563</v>
      </c>
      <c r="H796" s="121" t="n">
        <v>49.39577385567906</v>
      </c>
      <c r="I796" s="118" t="n">
        <v>76.83929977416992</v>
      </c>
      <c r="J796" s="118" t="n">
        <v>87.22404933929444</v>
      </c>
      <c r="K796" s="120" t="n">
        <v>0.3804516892613075</v>
      </c>
      <c r="L796" s="120" t="n">
        <v>-0.08206630015259819</v>
      </c>
      <c r="M796" s="120" t="n">
        <v>-0.3225353569949305</v>
      </c>
      <c r="N796" t="n">
        <v>45.6830176077739</v>
      </c>
      <c r="O796" t="n">
        <v>-0.1754568074914027</v>
      </c>
      <c r="P796" t="n">
        <v>134.5351910799</v>
      </c>
      <c r="Q796" t="n">
        <v>133.6161283556417</v>
      </c>
    </row>
    <row r="797">
      <c r="A797" s="117" t="n">
        <v>45569</v>
      </c>
      <c r="B797" s="118" t="n">
        <v>79.08618845651776</v>
      </c>
      <c r="C797" s="118" t="n">
        <v>79.95716417368961</v>
      </c>
      <c r="D797" s="118" t="n">
        <v>78.57892009473086</v>
      </c>
      <c r="E797" s="118" t="n">
        <v>78.72248840332031</v>
      </c>
      <c r="F797" s="119" t="n">
        <v>10322600</v>
      </c>
      <c r="G797" s="120" t="n">
        <v>0.001826982424481427</v>
      </c>
      <c r="H797" s="121" t="n">
        <v>49.48601906635704</v>
      </c>
      <c r="I797" s="118" t="n">
        <v>77.05287185668945</v>
      </c>
      <c r="J797" s="118" t="n">
        <v>87.04480659484864</v>
      </c>
      <c r="K797" s="120" t="n">
        <v>0.3802290165972873</v>
      </c>
      <c r="L797" s="120" t="n">
        <v>-0.08038925141613773</v>
      </c>
      <c r="M797" s="120" t="n">
        <v>-0.3212976409989526</v>
      </c>
      <c r="N797" t="n">
        <v>46.1679450704988</v>
      </c>
      <c r="O797" t="n">
        <v>-0.4118122111208342</v>
      </c>
      <c r="P797" t="n">
        <v>135.7577547356278</v>
      </c>
      <c r="Q797" t="n">
        <v>135.2059126709671</v>
      </c>
    </row>
    <row r="798">
      <c r="A798" s="117" t="n">
        <v>45572</v>
      </c>
      <c r="B798" s="118" t="n">
        <v>78.6172105762801</v>
      </c>
      <c r="C798" s="118" t="n">
        <v>78.93305941527892</v>
      </c>
      <c r="D798" s="118" t="n">
        <v>76.65512726973492</v>
      </c>
      <c r="E798" s="118" t="n">
        <v>77.36339569091797</v>
      </c>
      <c r="F798" s="119" t="n">
        <v>12767400</v>
      </c>
      <c r="G798" s="120" t="n">
        <v>-0.01726435152099459</v>
      </c>
      <c r="H798" s="121" t="n">
        <v>48.63167503782081</v>
      </c>
      <c r="I798" s="118" t="n">
        <v>77.21734619140625</v>
      </c>
      <c r="J798" s="118" t="n">
        <v>86.85167503356934</v>
      </c>
      <c r="K798" s="120" t="n">
        <v>0.3820663247928196</v>
      </c>
      <c r="L798" s="120" t="n">
        <v>-0.09626573464217458</v>
      </c>
      <c r="M798" s="120" t="n">
        <v>-0.333014997102875</v>
      </c>
      <c r="N798" t="n">
        <v>42.31633347906156</v>
      </c>
      <c r="O798" t="n">
        <v>-0.6396229522401218</v>
      </c>
      <c r="P798" t="n">
        <v>134.5304536623371</v>
      </c>
      <c r="Q798" t="n">
        <v>133.7576312406789</v>
      </c>
    </row>
    <row r="799">
      <c r="A799" s="117" t="n">
        <v>45573</v>
      </c>
      <c r="B799" s="118" t="n">
        <v>77.28682257477199</v>
      </c>
      <c r="C799" s="118" t="n">
        <v>77.9280860993379</v>
      </c>
      <c r="D799" s="118" t="n">
        <v>76.50199073668844</v>
      </c>
      <c r="E799" s="118" t="n">
        <v>77.30596160888672</v>
      </c>
      <c r="F799" s="119" t="n">
        <v>10569600</v>
      </c>
      <c r="G799" s="120" t="n">
        <v>-0.0007423934991259706</v>
      </c>
      <c r="H799" s="121" t="n">
        <v>48.59557119842113</v>
      </c>
      <c r="I799" s="118" t="n">
        <v>77.36180526733398</v>
      </c>
      <c r="J799" s="118" t="n">
        <v>86.66397827148438</v>
      </c>
      <c r="K799" s="120" t="n">
        <v>0.3757412507490705</v>
      </c>
      <c r="L799" s="120" t="n">
        <v>-0.09693666108571364</v>
      </c>
      <c r="M799" s="120" t="n">
        <v>-0.3335101624330403</v>
      </c>
      <c r="N799" t="n">
        <v>42.15627838976122</v>
      </c>
      <c r="O799" t="n">
        <v>-0.7656092059778341</v>
      </c>
      <c r="P799" t="n">
        <v>135.80276758163</v>
      </c>
      <c r="Q799" t="n">
        <v>135.7552637458448</v>
      </c>
    </row>
    <row r="800">
      <c r="A800" s="117" t="n">
        <v>45574</v>
      </c>
      <c r="B800" s="118" t="n">
        <v>77.66010258523006</v>
      </c>
      <c r="C800" s="118" t="n">
        <v>79.37333472441152</v>
      </c>
      <c r="D800" s="118" t="n">
        <v>77.59310500670067</v>
      </c>
      <c r="E800" s="118" t="n">
        <v>78.91391754150391</v>
      </c>
      <c r="F800" s="119" t="n">
        <v>11750600</v>
      </c>
      <c r="G800" s="120" t="n">
        <v>0.02079989562450968</v>
      </c>
      <c r="H800" s="121" t="n">
        <v>49.60635400716172</v>
      </c>
      <c r="I800" s="118" t="n">
        <v>77.52374923706054</v>
      </c>
      <c r="J800" s="118" t="n">
        <v>86.47911952972412</v>
      </c>
      <c r="K800" s="120" t="n">
        <v>0.3816408216905993</v>
      </c>
      <c r="L800" s="120" t="n">
        <v>-0.07815303789397521</v>
      </c>
      <c r="M800" s="120" t="n">
        <v>-0.3196472433768512</v>
      </c>
      <c r="N800" t="n">
        <v>48.07743731724577</v>
      </c>
      <c r="O800" t="n">
        <v>-0.7131431577622116</v>
      </c>
      <c r="P800" t="n">
        <v>136.7434032382829</v>
      </c>
      <c r="Q800" t="n">
        <v>136.8234131654411</v>
      </c>
    </row>
    <row r="801">
      <c r="A801" s="117" t="n">
        <v>45575</v>
      </c>
      <c r="B801" s="118" t="n">
        <v>79.82317511949252</v>
      </c>
      <c r="C801" s="118" t="n">
        <v>79.87102635787934</v>
      </c>
      <c r="D801" s="118" t="n">
        <v>78.51192851093377</v>
      </c>
      <c r="E801" s="118" t="n">
        <v>78.57892608642578</v>
      </c>
      <c r="F801" s="119" t="n">
        <v>8370200</v>
      </c>
      <c r="G801" s="120" t="n">
        <v>-0.004245023761517586</v>
      </c>
      <c r="H801" s="121" t="n">
        <v>49.39577385567907</v>
      </c>
      <c r="I801" s="118" t="n">
        <v>77.66870239257813</v>
      </c>
      <c r="J801" s="118" t="n">
        <v>86.3611071395874</v>
      </c>
      <c r="K801" s="120" t="n">
        <v>0.382350274342016</v>
      </c>
      <c r="L801" s="120" t="n">
        <v>-0.08206630015259808</v>
      </c>
      <c r="M801" s="120" t="n">
        <v>-0.3225353569949305</v>
      </c>
      <c r="N801" t="n">
        <v>46.99805658639519</v>
      </c>
      <c r="O801" t="n">
        <v>-0.6739459865140879</v>
      </c>
      <c r="P801" t="n">
        <v>136.5040972389634</v>
      </c>
      <c r="Q801" t="n">
        <v>136.6680692784862</v>
      </c>
    </row>
    <row r="802">
      <c r="A802" s="117" t="n">
        <v>45576</v>
      </c>
      <c r="B802" s="118" t="n">
        <v>78.52150232993385</v>
      </c>
      <c r="C802" s="118" t="n">
        <v>78.74163409315054</v>
      </c>
      <c r="D802" s="118" t="n">
        <v>77.69838508010598</v>
      </c>
      <c r="E802" s="118" t="n">
        <v>78.62678527832031</v>
      </c>
      <c r="F802" s="119" t="n">
        <v>10171100</v>
      </c>
      <c r="G802" s="120" t="n">
        <v>0.000609058869573964</v>
      </c>
      <c r="H802" s="121" t="n">
        <v>49.42585878986534</v>
      </c>
      <c r="I802" s="118" t="n">
        <v>77.83386093139649</v>
      </c>
      <c r="J802" s="118" t="n">
        <v>86.24342861175538</v>
      </c>
      <c r="K802" s="120" t="n">
        <v>0.381904860092875</v>
      </c>
      <c r="L802" s="120" t="n">
        <v>-0.08150722449102521</v>
      </c>
      <c r="M802" s="120" t="n">
        <v>-0.3221227411452856</v>
      </c>
      <c r="N802" t="n">
        <v>47.18050659884337</v>
      </c>
      <c r="O802" t="n">
        <v>-0.6191515776660281</v>
      </c>
      <c r="P802" t="n">
        <v>137.3215157640518</v>
      </c>
      <c r="Q802" t="n">
        <v>136.8816820747488</v>
      </c>
    </row>
    <row r="803">
      <c r="A803" s="117" t="n">
        <v>45579</v>
      </c>
      <c r="B803" s="118" t="n">
        <v>78.48320341078821</v>
      </c>
      <c r="C803" s="118" t="n">
        <v>78.52148877651931</v>
      </c>
      <c r="D803" s="118" t="n">
        <v>77.33467164760263</v>
      </c>
      <c r="E803" s="118" t="n">
        <v>78.10035705566406</v>
      </c>
      <c r="F803" s="119" t="n">
        <v>8177700</v>
      </c>
      <c r="G803" s="120" t="n">
        <v>-0.006695278470216226</v>
      </c>
      <c r="H803" s="121" t="n">
        <v>49.0949389016376</v>
      </c>
      <c r="I803" s="118" t="n">
        <v>77.98544143676757</v>
      </c>
      <c r="J803" s="118" t="n">
        <v>86.12732666015626</v>
      </c>
      <c r="K803" s="120" t="n">
        <v>0.3819959785871869</v>
      </c>
      <c r="L803" s="120" t="n">
        <v>-0.08765678939593957</v>
      </c>
      <c r="M803" s="120" t="n">
        <v>-0.3266613181619448</v>
      </c>
      <c r="N803" t="n">
        <v>45.33202263720221</v>
      </c>
      <c r="O803" t="n">
        <v>-0.5926920453838284</v>
      </c>
      <c r="P803" t="n">
        <v>138.4445788926497</v>
      </c>
      <c r="Q803" t="n">
        <v>138.0303229011762</v>
      </c>
    </row>
    <row r="804">
      <c r="A804" s="117" t="n">
        <v>45580</v>
      </c>
      <c r="B804" s="118" t="n">
        <v>77.57396585235026</v>
      </c>
      <c r="C804" s="118" t="n">
        <v>79.17234186781472</v>
      </c>
      <c r="D804" s="118" t="n">
        <v>77.57396585235026</v>
      </c>
      <c r="E804" s="118" t="n">
        <v>78.59807586669922</v>
      </c>
      <c r="F804" s="119" t="n">
        <v>11804400</v>
      </c>
      <c r="G804" s="120" t="n">
        <v>0.006372810955018071</v>
      </c>
      <c r="H804" s="121" t="n">
        <v>49.4078116661059</v>
      </c>
      <c r="I804" s="118" t="n">
        <v>78.1963346862793</v>
      </c>
      <c r="J804" s="118" t="n">
        <v>86.00572147369385</v>
      </c>
      <c r="K804" s="120" t="n">
        <v>0.380961762008661</v>
      </c>
      <c r="L804" s="120" t="n">
        <v>-0.08184259858866572</v>
      </c>
      <c r="M804" s="120" t="n">
        <v>-0.3223702580338897</v>
      </c>
      <c r="N804" t="n">
        <v>47.4291632485331</v>
      </c>
      <c r="O804" t="n">
        <v>-0.5186697810431843</v>
      </c>
      <c r="P804" t="n">
        <v>137.3689342146108</v>
      </c>
      <c r="Q804" t="n">
        <v>136.1853088017235</v>
      </c>
    </row>
    <row r="805">
      <c r="A805" s="117" t="n">
        <v>45581</v>
      </c>
      <c r="B805" s="118" t="n">
        <v>78.61719901001472</v>
      </c>
      <c r="C805" s="118" t="n">
        <v>80.48356496190193</v>
      </c>
      <c r="D805" s="118" t="n">
        <v>78.53106241324464</v>
      </c>
      <c r="E805" s="118" t="n">
        <v>80.34000396728516</v>
      </c>
      <c r="F805" s="119" t="n">
        <v>11220600</v>
      </c>
      <c r="G805" s="120" t="n">
        <v>0.02216247766090618</v>
      </c>
      <c r="H805" s="121" t="n">
        <v>50.50281118843023</v>
      </c>
      <c r="I805" s="118" t="n">
        <v>78.42148483276367</v>
      </c>
      <c r="J805" s="118" t="n">
        <v>85.89400817871093</v>
      </c>
      <c r="K805" s="120" t="n">
        <v>0.3881700107524124</v>
      </c>
      <c r="L805" s="120" t="n">
        <v>-0.06149395569069138</v>
      </c>
      <c r="M805" s="120" t="n">
        <v>-0.3073523040152002</v>
      </c>
      <c r="N805" t="n">
        <v>54.069987164897</v>
      </c>
      <c r="O805" t="n">
        <v>-0.3381318035978192</v>
      </c>
      <c r="P805" t="n">
        <v>137.9659668940108</v>
      </c>
      <c r="Q805" t="n">
        <v>136.2019521793381</v>
      </c>
    </row>
    <row r="806">
      <c r="A806" s="117" t="n">
        <v>45582</v>
      </c>
      <c r="B806" s="118" t="n">
        <v>80.50271473848542</v>
      </c>
      <c r="C806" s="118" t="n">
        <v>81.12483918311382</v>
      </c>
      <c r="D806" s="118" t="n">
        <v>79.80401955866243</v>
      </c>
      <c r="E806" s="118" t="n">
        <v>79.82316589355469</v>
      </c>
      <c r="F806" s="119" t="n">
        <v>9204500</v>
      </c>
      <c r="G806" s="120" t="n">
        <v>-0.006433134779790795</v>
      </c>
      <c r="H806" s="121" t="n">
        <v>50.17791979729673</v>
      </c>
      <c r="I806" s="118" t="n">
        <v>78.63401123046874</v>
      </c>
      <c r="J806" s="118" t="n">
        <v>85.78926300048828</v>
      </c>
      <c r="K806" s="120" t="n">
        <v>0.3893518388571868</v>
      </c>
      <c r="L806" s="120" t="n">
        <v>-0.06753149156538152</v>
      </c>
      <c r="M806" s="120" t="n">
        <v>-0.3118081999983819</v>
      </c>
      <c r="N806" t="n">
        <v>51.97221991881888</v>
      </c>
      <c r="O806" t="n">
        <v>-0.2436744494110379</v>
      </c>
      <c r="P806" t="n">
        <v>137.977817817073</v>
      </c>
      <c r="Q806" t="n">
        <v>136.2962845880868</v>
      </c>
    </row>
    <row r="807">
      <c r="A807" s="117" t="n">
        <v>45583</v>
      </c>
      <c r="B807" s="118" t="n">
        <v>80.18686376872965</v>
      </c>
      <c r="C807" s="118" t="n">
        <v>80.34957109998734</v>
      </c>
      <c r="D807" s="118" t="n">
        <v>79.08618321211605</v>
      </c>
      <c r="E807" s="118" t="n">
        <v>79.36374664306641</v>
      </c>
      <c r="F807" s="119" t="n">
        <v>7214800</v>
      </c>
      <c r="G807" s="120" t="n">
        <v>-0.005755462657305865</v>
      </c>
      <c r="H807" s="121" t="n">
        <v>49.88912265368211</v>
      </c>
      <c r="I807" s="118" t="n">
        <v>78.80742919921875</v>
      </c>
      <c r="J807" s="118" t="n">
        <v>85.69409015655518</v>
      </c>
      <c r="K807" s="120" t="n">
        <v>0.2996233182546408</v>
      </c>
      <c r="L807" s="120" t="n">
        <v>-0.07289827924479053</v>
      </c>
      <c r="M807" s="120" t="n">
        <v>-0.3157690622043553</v>
      </c>
      <c r="N807" t="n">
        <v>50.11110005885643</v>
      </c>
      <c r="O807" t="n">
        <v>-0.2039026542948302</v>
      </c>
      <c r="P807" t="n">
        <v>138.5085414089033</v>
      </c>
      <c r="Q807" t="n">
        <v>137.1896614550735</v>
      </c>
    </row>
    <row r="808">
      <c r="A808" s="117" t="n">
        <v>45586</v>
      </c>
      <c r="B808" s="118" t="n">
        <v>79.29675092985795</v>
      </c>
      <c r="C808" s="118" t="n">
        <v>79.52645583242322</v>
      </c>
      <c r="D808" s="118" t="n">
        <v>77.94722641232642</v>
      </c>
      <c r="E808" s="118" t="n">
        <v>77.98551177978516</v>
      </c>
      <c r="F808" s="119" t="n">
        <v>7550200</v>
      </c>
      <c r="G808" s="120" t="n">
        <v>-0.0173660508932344</v>
      </c>
      <c r="H808" s="121" t="n">
        <v>49.02274561065945</v>
      </c>
      <c r="I808" s="118" t="n">
        <v>78.95042434692382</v>
      </c>
      <c r="J808" s="118" t="n">
        <v>85.6002543258667</v>
      </c>
      <c r="K808" s="120" t="n">
        <v>0.3045689067365346</v>
      </c>
      <c r="L808" s="120" t="n">
        <v>-0.08899837491063067</v>
      </c>
      <c r="M808" s="120" t="n">
        <v>-0.3276514514928399</v>
      </c>
      <c r="N808" t="n">
        <v>44.91483162874324</v>
      </c>
      <c r="O808" t="n">
        <v>-0.2586635418817373</v>
      </c>
      <c r="P808" t="n">
        <v>138.2810863326459</v>
      </c>
      <c r="Q808" t="n">
        <v>137.4532471033215</v>
      </c>
    </row>
    <row r="809">
      <c r="A809" s="117" t="n">
        <v>45587</v>
      </c>
      <c r="B809" s="118" t="n">
        <v>77.86108013229386</v>
      </c>
      <c r="C809" s="118" t="n">
        <v>78.88518994843284</v>
      </c>
      <c r="D809" s="118" t="n">
        <v>77.74623133561205</v>
      </c>
      <c r="E809" s="118" t="n">
        <v>77.92807769775391</v>
      </c>
      <c r="F809" s="119" t="n">
        <v>7308800</v>
      </c>
      <c r="G809" s="120" t="n">
        <v>-0.0007364711818963476</v>
      </c>
      <c r="H809" s="121" t="n">
        <v>48.98664177125976</v>
      </c>
      <c r="I809" s="118" t="n">
        <v>79.08655319213867</v>
      </c>
      <c r="J809" s="118" t="n">
        <v>85.50717178344726</v>
      </c>
      <c r="K809" s="120" t="n">
        <v>0.297837564614777</v>
      </c>
      <c r="L809" s="120" t="n">
        <v>-0.08966930135416973</v>
      </c>
      <c r="M809" s="120" t="n">
        <v>-0.3281466168230053</v>
      </c>
      <c r="N809" t="n">
        <v>44.70678426850346</v>
      </c>
      <c r="O809" t="n">
        <v>-0.2849250606070593</v>
      </c>
      <c r="P809" t="n">
        <v>138.2076489812667</v>
      </c>
      <c r="Q809" t="n">
        <v>137.6030545895094</v>
      </c>
    </row>
    <row r="810">
      <c r="A810" s="117" t="n">
        <v>45588</v>
      </c>
      <c r="B810" s="118" t="n">
        <v>77.52609796085021</v>
      </c>
      <c r="C810" s="118" t="n">
        <v>77.56438332993288</v>
      </c>
      <c r="D810" s="118" t="n">
        <v>76.36799292930247</v>
      </c>
      <c r="E810" s="118" t="n">
        <v>76.61684417724609</v>
      </c>
      <c r="F810" s="119" t="n">
        <v>7253100</v>
      </c>
      <c r="G810" s="120" t="n">
        <v>-0.01682620127745826</v>
      </c>
      <c r="H810" s="121" t="n">
        <v>48.1623826769098</v>
      </c>
      <c r="I810" s="118" t="n">
        <v>79.12289642333984</v>
      </c>
      <c r="J810" s="118" t="n">
        <v>85.40025054931641</v>
      </c>
      <c r="K810" s="120" t="n">
        <v>0.2992182778872317</v>
      </c>
      <c r="L810" s="120" t="n">
        <v>-0.1049867089186337</v>
      </c>
      <c r="M810" s="120" t="n">
        <v>-0.3394513570772827</v>
      </c>
      <c r="N810" t="n">
        <v>40.13589757564161</v>
      </c>
      <c r="O810" t="n">
        <v>-0.3713122040596837</v>
      </c>
      <c r="P810" t="n">
        <v>136.9447803804792</v>
      </c>
      <c r="Q810" t="n">
        <v>135.4944462979802</v>
      </c>
    </row>
    <row r="811">
      <c r="A811" s="117" t="n">
        <v>45589</v>
      </c>
      <c r="B811" s="118" t="n">
        <v>77.04754491125472</v>
      </c>
      <c r="C811" s="118" t="n">
        <v>77.33468153987364</v>
      </c>
      <c r="D811" s="118" t="n">
        <v>75.64058857496002</v>
      </c>
      <c r="E811" s="118" t="n">
        <v>75.65016174316406</v>
      </c>
      <c r="F811" s="119" t="n">
        <v>7424500</v>
      </c>
      <c r="G811" s="120" t="n">
        <v>-0.01261710064494037</v>
      </c>
      <c r="H811" s="121" t="n">
        <v>47.5547130473751</v>
      </c>
      <c r="I811" s="118" t="n">
        <v>79.13952529907226</v>
      </c>
      <c r="J811" s="118" t="n">
        <v>85.29265735626221</v>
      </c>
      <c r="K811" s="120" t="n">
        <v>0.290464321365556</v>
      </c>
      <c r="L811" s="120" t="n">
        <v>-0.1162791816907667</v>
      </c>
      <c r="M811" s="120" t="n">
        <v>-0.3477855657859175</v>
      </c>
      <c r="N811" t="n">
        <v>37.12252392524057</v>
      </c>
      <c r="O811" t="n">
        <v>-0.4680216264333973</v>
      </c>
      <c r="P811" t="n">
        <v>137.2409796654834</v>
      </c>
      <c r="Q811" t="n">
        <v>136.5931569915639</v>
      </c>
    </row>
    <row r="812">
      <c r="A812" s="117" t="n">
        <v>45590</v>
      </c>
      <c r="B812" s="118" t="n">
        <v>75.82244169414643</v>
      </c>
      <c r="C812" s="118" t="n">
        <v>76.16700272504308</v>
      </c>
      <c r="D812" s="118" t="n">
        <v>75.15245866643065</v>
      </c>
      <c r="E812" s="118" t="n">
        <v>75.46830749511719</v>
      </c>
      <c r="F812" s="119" t="n">
        <v>9385400</v>
      </c>
      <c r="G812" s="120" t="n">
        <v>-0.002403884457832128</v>
      </c>
      <c r="H812" s="121" t="n">
        <v>47.44039701178384</v>
      </c>
      <c r="I812" s="118" t="n">
        <v>79.07666915893554</v>
      </c>
      <c r="J812" s="118" t="n">
        <v>85.17928413391114</v>
      </c>
      <c r="K812" s="120" t="n">
        <v>0.2897703518507387</v>
      </c>
      <c r="L812" s="120" t="n">
        <v>-0.1184035444309629</v>
      </c>
      <c r="M812" s="120" t="n">
        <v>-0.3493534139274984</v>
      </c>
      <c r="N812" t="n">
        <v>36.5663306980118</v>
      </c>
      <c r="O812" t="n">
        <v>-0.5149785682448051</v>
      </c>
      <c r="P812" t="n">
        <v>137.1935612149244</v>
      </c>
      <c r="Q812" t="n">
        <v>137.4254796612028</v>
      </c>
    </row>
    <row r="813">
      <c r="A813" s="117" t="n">
        <v>45593</v>
      </c>
      <c r="B813" s="118" t="n">
        <v>75.91815385667475</v>
      </c>
      <c r="C813" s="118" t="n">
        <v>76.22442952686161</v>
      </c>
      <c r="D813" s="118" t="n">
        <v>75.43959766562102</v>
      </c>
      <c r="E813" s="118" t="n">
        <v>75.52574157714844</v>
      </c>
      <c r="F813" s="119" t="n">
        <v>6617200</v>
      </c>
      <c r="G813" s="120" t="n">
        <v>0.0007610357769711751</v>
      </c>
      <c r="H813" s="121" t="n">
        <v>47.47650085118353</v>
      </c>
      <c r="I813" s="118" t="n">
        <v>79.00104965209961</v>
      </c>
      <c r="J813" s="118" t="n">
        <v>85.0561255645752</v>
      </c>
      <c r="K813" s="120" t="n">
        <v>0.2899831599870667</v>
      </c>
      <c r="L813" s="120" t="n">
        <v>-0.1177326179874238</v>
      </c>
      <c r="M813" s="120" t="n">
        <v>-0.3488582485973331</v>
      </c>
      <c r="N813" t="n">
        <v>36.88794211591003</v>
      </c>
      <c r="O813" t="n">
        <v>-0.5118454960921368</v>
      </c>
      <c r="P813" t="n">
        <v>137.6176855324356</v>
      </c>
      <c r="Q813" t="n">
        <v>137.4476850710694</v>
      </c>
    </row>
    <row r="814">
      <c r="A814" s="117" t="n">
        <v>45594</v>
      </c>
      <c r="B814" s="118" t="n">
        <v>75.4970150973903</v>
      </c>
      <c r="C814" s="118" t="n">
        <v>76.06171514780412</v>
      </c>
      <c r="D814" s="118" t="n">
        <v>74.84617844559438</v>
      </c>
      <c r="E814" s="118" t="n">
        <v>75.03760528564453</v>
      </c>
      <c r="F814" s="119" t="n">
        <v>7241100</v>
      </c>
      <c r="G814" s="120" t="n">
        <v>-0.006463177736630077</v>
      </c>
      <c r="H814" s="121" t="n">
        <v>47.16965178786906</v>
      </c>
      <c r="I814" s="118" t="n">
        <v>78.91471466064453</v>
      </c>
      <c r="J814" s="118" t="n">
        <v>84.93449855804444</v>
      </c>
      <c r="K814" s="120" t="n">
        <v>0.2853923097221933</v>
      </c>
      <c r="L814" s="120" t="n">
        <v>-0.1234348688886026</v>
      </c>
      <c r="M814" s="120" t="n">
        <v>-0.3530666934683891</v>
      </c>
      <c r="N814" t="n">
        <v>35.252059216443</v>
      </c>
      <c r="O814" t="n">
        <v>-0.5111316416768783</v>
      </c>
      <c r="P814" t="n">
        <v>137.8404179494402</v>
      </c>
      <c r="Q814" t="n">
        <v>138.768355881208</v>
      </c>
    </row>
    <row r="815">
      <c r="A815" s="117" t="n">
        <v>45595</v>
      </c>
      <c r="B815" s="118" t="n">
        <v>74.65476893561909</v>
      </c>
      <c r="C815" s="118" t="n">
        <v>74.76005188624181</v>
      </c>
      <c r="D815" s="118" t="n">
        <v>73.14252955593648</v>
      </c>
      <c r="E815" s="118" t="n">
        <v>73.17124176025391</v>
      </c>
      <c r="F815" s="119" t="n">
        <v>15691300</v>
      </c>
      <c r="G815" s="120" t="n">
        <v>-0.02487237590120273</v>
      </c>
      <c r="H815" s="121" t="n">
        <v>45.99643047747234</v>
      </c>
      <c r="I815" s="118" t="n">
        <v>78.78571640014648</v>
      </c>
      <c r="J815" s="118" t="n">
        <v>84.81933422088623</v>
      </c>
      <c r="K815" s="120" t="n">
        <v>0.186573706261872</v>
      </c>
      <c r="L815" s="120" t="n">
        <v>-0.1452371263314921</v>
      </c>
      <c r="M815" s="120" t="n">
        <v>-0.3691574618514514</v>
      </c>
      <c r="N815" t="n">
        <v>29.80887327780189</v>
      </c>
      <c r="O815" t="n">
        <v>-0.5987617973732844</v>
      </c>
      <c r="P815" t="n">
        <v>137.4233923791182</v>
      </c>
      <c r="Q815" t="n">
        <v>137.7195924081247</v>
      </c>
    </row>
    <row r="816">
      <c r="A816" s="117" t="n">
        <v>45596</v>
      </c>
      <c r="B816" s="118" t="n">
        <v>72.93196008887509</v>
      </c>
      <c r="C816" s="118" t="n">
        <v>74.02306761271994</v>
      </c>
      <c r="D816" s="118" t="n">
        <v>71.97484771341905</v>
      </c>
      <c r="E816" s="118" t="n">
        <v>73.82207489013672</v>
      </c>
      <c r="F816" s="119" t="n">
        <v>13990100</v>
      </c>
      <c r="G816" s="120" t="n">
        <v>0.008894657439534326</v>
      </c>
      <c r="H816" s="121" t="n">
        <v>46.40555297001082</v>
      </c>
      <c r="I816" s="118" t="n">
        <v>78.66134979248046</v>
      </c>
      <c r="J816" s="118" t="n">
        <v>84.71167999267578</v>
      </c>
      <c r="K816" s="120" t="n">
        <v>0.1895308588771747</v>
      </c>
      <c r="L816" s="120" t="n">
        <v>-0.1376343033781788</v>
      </c>
      <c r="M816" s="120" t="n">
        <v>-0.3635463335763336</v>
      </c>
      <c r="N816" t="n">
        <v>33.65593248642894</v>
      </c>
      <c r="O816" t="n">
        <v>-0.5751642403737485</v>
      </c>
      <c r="P816" t="n">
        <v>134.7294694749071</v>
      </c>
      <c r="Q816" t="n">
        <v>134.2431599178252</v>
      </c>
    </row>
    <row r="817">
      <c r="A817" s="117" t="n">
        <v>45597</v>
      </c>
      <c r="B817" s="118" t="n">
        <v>73.74550296094723</v>
      </c>
      <c r="C817" s="118" t="n">
        <v>74.77917865779094</v>
      </c>
      <c r="D817" s="118" t="n">
        <v>73.65935905993446</v>
      </c>
      <c r="E817" s="118" t="n">
        <v>74.71218109130859</v>
      </c>
      <c r="F817" s="119" t="n">
        <v>9623700</v>
      </c>
      <c r="G817" s="120" t="n">
        <v>0.01205745303822114</v>
      </c>
      <c r="H817" s="121" t="n">
        <v>46.96508574565941</v>
      </c>
      <c r="I817" s="118" t="n">
        <v>78.56602890014648</v>
      </c>
      <c r="J817" s="118" t="n">
        <v>84.60790878295899</v>
      </c>
      <c r="K817" s="120" t="n">
        <v>0.1963774735664544</v>
      </c>
      <c r="L817" s="120" t="n">
        <v>-0.1272363694893883</v>
      </c>
      <c r="M817" s="120" t="n">
        <v>-0.3558723233824265</v>
      </c>
      <c r="N817" t="n">
        <v>38.61146979306322</v>
      </c>
      <c r="O817" t="n">
        <v>-0.4665075667546006</v>
      </c>
      <c r="P817" t="n">
        <v>135.2981071655504</v>
      </c>
      <c r="Q817" t="n">
        <v>135.2364226819843</v>
      </c>
    </row>
    <row r="818">
      <c r="A818" s="117" t="n">
        <v>45600</v>
      </c>
      <c r="B818" s="118" t="n">
        <v>74.6451868073589</v>
      </c>
      <c r="C818" s="118" t="n">
        <v>75.18117466497486</v>
      </c>
      <c r="D818" s="118" t="n">
        <v>73.80293060565867</v>
      </c>
      <c r="E818" s="118" t="n">
        <v>73.87950134277344</v>
      </c>
      <c r="F818" s="119" t="n">
        <v>6593800</v>
      </c>
      <c r="G818" s="120" t="n">
        <v>-0.01114516717852887</v>
      </c>
      <c r="H818" s="121" t="n">
        <v>46.44165201347009</v>
      </c>
      <c r="I818" s="118" t="n">
        <v>78.44185760498047</v>
      </c>
      <c r="J818" s="118" t="n">
        <v>84.49600200653076</v>
      </c>
      <c r="K818" s="120" t="n">
        <v>0.1914303203354936</v>
      </c>
      <c r="L818" s="120" t="n">
        <v>-0.1369634660587689</v>
      </c>
      <c r="M818" s="120" t="n">
        <v>-0.3630512340226467</v>
      </c>
      <c r="N818" t="n">
        <v>35.90927790000941</v>
      </c>
      <c r="O818" t="n">
        <v>-0.4191143585437203</v>
      </c>
      <c r="P818" t="n">
        <v>135.0066748147294</v>
      </c>
      <c r="Q818" t="n">
        <v>134.8424582132032</v>
      </c>
    </row>
    <row r="819">
      <c r="A819" s="117" t="n">
        <v>45601</v>
      </c>
      <c r="B819" s="118" t="n">
        <v>73.93692492756331</v>
      </c>
      <c r="C819" s="118" t="n">
        <v>74.65475915016101</v>
      </c>
      <c r="D819" s="118" t="n">
        <v>73.69764685336408</v>
      </c>
      <c r="E819" s="118" t="n">
        <v>74.6356201171875</v>
      </c>
      <c r="F819" s="119" t="n">
        <v>5629200</v>
      </c>
      <c r="G819" s="120" t="n">
        <v>0.01023448670702254</v>
      </c>
      <c r="H819" s="121" t="n">
        <v>46.91695848365412</v>
      </c>
      <c r="I819" s="118" t="n">
        <v>78.32842575073242</v>
      </c>
      <c r="J819" s="118" t="n">
        <v>84.39364505767823</v>
      </c>
      <c r="K819" s="120" t="n">
        <v>0.1964626338593007</v>
      </c>
      <c r="L819" s="120" t="n">
        <v>-0.1281307301244725</v>
      </c>
      <c r="M819" s="120" t="n">
        <v>-0.3565323903441971</v>
      </c>
      <c r="N819" t="n">
        <v>40.01455468022028</v>
      </c>
      <c r="O819" t="n">
        <v>-0.310255677455368</v>
      </c>
      <c r="P819" t="n">
        <v>136.6391800519003</v>
      </c>
      <c r="Q819" t="n">
        <v>136.56262989289</v>
      </c>
    </row>
    <row r="820">
      <c r="A820" s="117" t="n">
        <v>45602</v>
      </c>
      <c r="B820" s="118" t="n">
        <v>73.57321800430645</v>
      </c>
      <c r="C820" s="118" t="n">
        <v>73.64978143122899</v>
      </c>
      <c r="D820" s="118" t="n">
        <v>71.89827164152307</v>
      </c>
      <c r="E820" s="118" t="n">
        <v>72.08969116210938</v>
      </c>
      <c r="F820" s="119" t="n">
        <v>16193700</v>
      </c>
      <c r="G820" s="120" t="n">
        <v>-0.03411144639892705</v>
      </c>
      <c r="H820" s="121" t="n">
        <v>45.31655316913827</v>
      </c>
      <c r="I820" s="118" t="n">
        <v>78.14482742309571</v>
      </c>
      <c r="J820" s="118" t="n">
        <v>84.27222171783447</v>
      </c>
      <c r="K820" s="120" t="n">
        <v>0.2093818425212053</v>
      </c>
      <c r="L820" s="120" t="n">
        <v>-0.1578714519907032</v>
      </c>
      <c r="M820" s="120" t="n">
        <v>-0.3784820012204168</v>
      </c>
      <c r="N820" t="n">
        <v>32.47229890714137</v>
      </c>
      <c r="O820" t="n">
        <v>-0.3786000171580168</v>
      </c>
      <c r="P820" t="n">
        <v>140.0367644264508</v>
      </c>
      <c r="Q820" t="n">
        <v>140.2721209327636</v>
      </c>
    </row>
    <row r="821">
      <c r="A821" s="117" t="n">
        <v>45603</v>
      </c>
      <c r="B821" s="118" t="n">
        <v>72.45340505296778</v>
      </c>
      <c r="C821" s="118" t="n">
        <v>73.09467590438069</v>
      </c>
      <c r="D821" s="118" t="n">
        <v>71.98442202615134</v>
      </c>
      <c r="E821" s="118" t="n">
        <v>72.66397094726562</v>
      </c>
      <c r="F821" s="119" t="n">
        <v>11831100</v>
      </c>
      <c r="G821" s="120" t="n">
        <v>0.00796618456673448</v>
      </c>
      <c r="H821" s="121" t="n">
        <v>45.67755319561186</v>
      </c>
      <c r="I821" s="118" t="n">
        <v>78.02035766601563</v>
      </c>
      <c r="J821" s="118" t="n">
        <v>84.15906063079834</v>
      </c>
      <c r="K821" s="120" t="n">
        <v>0.2139606534250016</v>
      </c>
      <c r="L821" s="120" t="n">
        <v>-0.151162900548345</v>
      </c>
      <c r="M821" s="120" t="n">
        <v>-0.3735308741305912</v>
      </c>
      <c r="N821" t="n">
        <v>35.4288391482705</v>
      </c>
      <c r="O821" t="n">
        <v>-0.3544417156313635</v>
      </c>
      <c r="P821" t="n">
        <v>141.1195373682993</v>
      </c>
      <c r="Q821" t="n">
        <v>142.4805809461518</v>
      </c>
    </row>
    <row r="822">
      <c r="A822" s="117" t="n">
        <v>45604</v>
      </c>
      <c r="B822" s="118" t="n">
        <v>72.26197896929369</v>
      </c>
      <c r="C822" s="118" t="n">
        <v>73.27651567507654</v>
      </c>
      <c r="D822" s="118" t="n">
        <v>72.02270089323643</v>
      </c>
      <c r="E822" s="118" t="n">
        <v>72.62567901611328</v>
      </c>
      <c r="F822" s="119" t="n">
        <v>8140800</v>
      </c>
      <c r="G822" s="120" t="n">
        <v>-0.0005269727301324689</v>
      </c>
      <c r="H822" s="121" t="n">
        <v>45.6534823706986</v>
      </c>
      <c r="I822" s="118" t="n">
        <v>77.8861654663086</v>
      </c>
      <c r="J822" s="118" t="n">
        <v>84.04566085815429</v>
      </c>
      <c r="K822" s="120" t="n">
        <v>0.2136866928484031</v>
      </c>
      <c r="L822" s="120" t="n">
        <v>-0.1516102145520808</v>
      </c>
      <c r="M822" s="120" t="n">
        <v>-0.3738610062761942</v>
      </c>
      <c r="N822" t="n">
        <v>35.31780311602341</v>
      </c>
      <c r="O822" t="n">
        <v>-0.3118560202313545</v>
      </c>
      <c r="P822" t="n">
        <v>141.7308265753183</v>
      </c>
      <c r="Q822" t="n">
        <v>142.6470659852675</v>
      </c>
    </row>
    <row r="823">
      <c r="A823" s="117" t="n">
        <v>45607</v>
      </c>
      <c r="B823" s="118" t="n">
        <v>72.88411402787342</v>
      </c>
      <c r="C823" s="118" t="n">
        <v>74.08050458216488</v>
      </c>
      <c r="D823" s="118" t="n">
        <v>72.83625548482638</v>
      </c>
      <c r="E823" s="118" t="n">
        <v>73.31481170654297</v>
      </c>
      <c r="F823" s="119" t="n">
        <v>9877200</v>
      </c>
      <c r="G823" s="120" t="n">
        <v>0.009488829567800616</v>
      </c>
      <c r="H823" s="121" t="n">
        <v>46.08668048409074</v>
      </c>
      <c r="I823" s="118" t="n">
        <v>77.76461227416992</v>
      </c>
      <c r="J823" s="118" t="n">
        <v>83.92634357452393</v>
      </c>
      <c r="K823" s="120" t="n">
        <v>0.2185213509921003</v>
      </c>
      <c r="L823" s="120" t="n">
        <v>-0.1435599884709026</v>
      </c>
      <c r="M823" s="120" t="n">
        <v>-0.3679196800789949</v>
      </c>
      <c r="N823" t="n">
        <v>39.02172977216172</v>
      </c>
      <c r="O823" t="n">
        <v>-0.2128194809669661</v>
      </c>
      <c r="P823" t="n">
        <v>141.8659093882552</v>
      </c>
      <c r="Q823" t="n">
        <v>142.5638234657097</v>
      </c>
    </row>
    <row r="824">
      <c r="A824" s="117" t="n">
        <v>45608</v>
      </c>
      <c r="B824" s="118" t="n">
        <v>73.18081891239139</v>
      </c>
      <c r="C824" s="118" t="n">
        <v>74.10921918085921</v>
      </c>
      <c r="D824" s="118" t="n">
        <v>72.87454321268756</v>
      </c>
      <c r="E824" s="118" t="n">
        <v>73.37224578857422</v>
      </c>
      <c r="F824" s="119" t="n">
        <v>9013900</v>
      </c>
      <c r="G824" s="120" t="n">
        <v>0.0007833898866322908</v>
      </c>
      <c r="H824" s="121" t="n">
        <v>46.12278432349044</v>
      </c>
      <c r="I824" s="118" t="n">
        <v>77.67540954589843</v>
      </c>
      <c r="J824" s="118" t="n">
        <v>83.80196983337402</v>
      </c>
      <c r="K824" s="120" t="n">
        <v>0.2162076945295914</v>
      </c>
      <c r="L824" s="120" t="n">
        <v>-0.1428890620273634</v>
      </c>
      <c r="M824" s="120" t="n">
        <v>-0.3674245147488295</v>
      </c>
      <c r="N824" t="n">
        <v>39.33353102069842</v>
      </c>
      <c r="O824" t="n">
        <v>-0.1234207762200943</v>
      </c>
      <c r="P824" t="n">
        <v>141.425196730119</v>
      </c>
      <c r="Q824" t="n">
        <v>142.3057913058854</v>
      </c>
    </row>
    <row r="825">
      <c r="A825" s="117" t="n">
        <v>45609</v>
      </c>
      <c r="B825" s="118" t="n">
        <v>73.61152368490964</v>
      </c>
      <c r="C825" s="118" t="n">
        <v>73.97522379527589</v>
      </c>
      <c r="D825" s="118" t="n">
        <v>73.19039186076762</v>
      </c>
      <c r="E825" s="118" t="n">
        <v>73.23824310302734</v>
      </c>
      <c r="F825" s="119" t="n">
        <v>6835300</v>
      </c>
      <c r="G825" s="120" t="n">
        <v>-0.001826340247687241</v>
      </c>
      <c r="H825" s="121" t="n">
        <v>46.03854842614505</v>
      </c>
      <c r="I825" s="118" t="n">
        <v>77.58926986694335</v>
      </c>
      <c r="J825" s="118" t="n">
        <v>83.67550746917725</v>
      </c>
      <c r="K825" s="120" t="n">
        <v>0.1943322461679881</v>
      </c>
      <c r="L825" s="120" t="n">
        <v>-0.1444544382301157</v>
      </c>
      <c r="M825" s="120" t="n">
        <v>-0.3685798128172441</v>
      </c>
      <c r="N825" t="n">
        <v>38.83458913344919</v>
      </c>
      <c r="O825" t="n">
        <v>-0.05668505362129417</v>
      </c>
      <c r="P825" t="n">
        <v>141.4939114222455</v>
      </c>
      <c r="Q825" t="n">
        <v>142.1226885206401</v>
      </c>
    </row>
    <row r="826">
      <c r="A826" s="117" t="n">
        <v>45610</v>
      </c>
      <c r="B826" s="118" t="n">
        <v>73.39138524594978</v>
      </c>
      <c r="C826" s="118" t="n">
        <v>73.67852191077621</v>
      </c>
      <c r="D826" s="118" t="n">
        <v>72.42469959670208</v>
      </c>
      <c r="E826" s="118" t="n">
        <v>72.43427276611328</v>
      </c>
      <c r="F826" s="119" t="n">
        <v>6991600</v>
      </c>
      <c r="G826" s="120" t="n">
        <v>-0.01097746618229334</v>
      </c>
      <c r="H826" s="121" t="n">
        <v>45.53316181771517</v>
      </c>
      <c r="I826" s="118" t="n">
        <v>77.49068740844727</v>
      </c>
      <c r="J826" s="118" t="n">
        <v>83.55755672454833</v>
      </c>
      <c r="K826" s="120" t="n">
        <v>0.1955833362738897</v>
      </c>
      <c r="L826" s="120" t="n">
        <v>-0.1538461607018559</v>
      </c>
      <c r="M826" s="120" t="n">
        <v>-0.3755112065688602</v>
      </c>
      <c r="N826" t="n">
        <v>35.89283733582083</v>
      </c>
      <c r="O826" t="n">
        <v>-0.050279019672405</v>
      </c>
      <c r="P826" t="n">
        <v>140.5840911172163</v>
      </c>
      <c r="Q826" t="n">
        <v>141.1349792449047</v>
      </c>
    </row>
    <row r="827">
      <c r="A827" s="117" t="n">
        <v>45611</v>
      </c>
      <c r="B827" s="118" t="n">
        <v>72.74054805045392</v>
      </c>
      <c r="C827" s="118" t="n">
        <v>74.31978509356598</v>
      </c>
      <c r="D827" s="118" t="n">
        <v>72.36727476963327</v>
      </c>
      <c r="E827" s="118" t="n">
        <v>73.37224578857422</v>
      </c>
      <c r="F827" s="119" t="n">
        <v>13584900</v>
      </c>
      <c r="G827" s="120" t="n">
        <v>0.01294929853840876</v>
      </c>
      <c r="H827" s="121" t="n">
        <v>46.12278432349044</v>
      </c>
      <c r="I827" s="118" t="n">
        <v>77.41469299316407</v>
      </c>
      <c r="J827" s="118" t="n">
        <v>83.44320819854737</v>
      </c>
      <c r="K827" s="120" t="n">
        <v>0.2053613106167439</v>
      </c>
      <c r="L827" s="120" t="n">
        <v>-0.1428890620273634</v>
      </c>
      <c r="M827" s="120" t="n">
        <v>-0.3674245147488295</v>
      </c>
      <c r="N827" t="n">
        <v>41.463994393818</v>
      </c>
      <c r="O827" t="n">
        <v>0.02925907108018233</v>
      </c>
      <c r="P827" t="n">
        <v>138.7834001774093</v>
      </c>
      <c r="Q827" t="n">
        <v>137.7723078290086</v>
      </c>
    </row>
    <row r="828">
      <c r="A828" s="117" t="n">
        <v>45614</v>
      </c>
      <c r="B828" s="118" t="n">
        <v>72.89368318783697</v>
      </c>
      <c r="C828" s="118" t="n">
        <v>72.93196125754321</v>
      </c>
      <c r="D828" s="118" t="n">
        <v>71.06559501637228</v>
      </c>
      <c r="E828" s="118" t="n">
        <v>71.67814636230469</v>
      </c>
      <c r="F828" s="119" t="n">
        <v>12595100</v>
      </c>
      <c r="G828" s="120" t="n">
        <v>-0.02308910417095811</v>
      </c>
      <c r="H828" s="121" t="n">
        <v>45.05785055159073</v>
      </c>
      <c r="I828" s="118" t="n">
        <v>77.32663864135742</v>
      </c>
      <c r="J828" s="118" t="n">
        <v>83.32535453796386</v>
      </c>
      <c r="K828" s="120" t="n">
        <v>0.2112814380764247</v>
      </c>
      <c r="L828" s="120" t="n">
        <v>-0.1626789857602814</v>
      </c>
      <c r="M828" s="120" t="n">
        <v>-0.3820301160237882</v>
      </c>
      <c r="N828" t="n">
        <v>35.46861929068962</v>
      </c>
      <c r="O828" t="n">
        <v>-0.01757400193207048</v>
      </c>
      <c r="P828" t="n">
        <v>139.3520378680525</v>
      </c>
      <c r="Q828" t="n">
        <v>138.7294900060701</v>
      </c>
    </row>
    <row r="829">
      <c r="A829" s="117" t="n">
        <v>45615</v>
      </c>
      <c r="B829" s="118" t="n">
        <v>71.30486608973266</v>
      </c>
      <c r="C829" s="118" t="n">
        <v>71.52500513089157</v>
      </c>
      <c r="D829" s="118" t="n">
        <v>70.44346356243936</v>
      </c>
      <c r="E829" s="118" t="n">
        <v>70.74017333984375</v>
      </c>
      <c r="F829" s="119" t="n">
        <v>12028400</v>
      </c>
      <c r="G829" s="120" t="n">
        <v>-0.01308589953930805</v>
      </c>
      <c r="H829" s="121" t="n">
        <v>44.46822804581546</v>
      </c>
      <c r="I829" s="118" t="n">
        <v>77.24662399291992</v>
      </c>
      <c r="J829" s="118" t="n">
        <v>83.20768173217773</v>
      </c>
      <c r="K829" s="120" t="n">
        <v>0.2131949110122474</v>
      </c>
      <c r="L829" s="120" t="n">
        <v>-0.1736360844347737</v>
      </c>
      <c r="M829" s="120" t="n">
        <v>-0.3901168078438187</v>
      </c>
      <c r="N829" t="n">
        <v>32.65341469721868</v>
      </c>
      <c r="O829" t="n">
        <v>-0.09286472975339444</v>
      </c>
      <c r="P829" t="n">
        <v>139.861435701695</v>
      </c>
      <c r="Q829" t="n">
        <v>139.6839210704047</v>
      </c>
    </row>
    <row r="830">
      <c r="A830" s="117" t="n">
        <v>45616</v>
      </c>
      <c r="B830" s="118" t="n">
        <v>70.50090465343233</v>
      </c>
      <c r="C830" s="118" t="n">
        <v>70.67317787964312</v>
      </c>
      <c r="D830" s="118" t="n">
        <v>69.59164346936394</v>
      </c>
      <c r="E830" s="118" t="n">
        <v>70.21376800537109</v>
      </c>
      <c r="F830" s="119" t="n">
        <v>12290300</v>
      </c>
      <c r="G830" s="120" t="n">
        <v>-0.007441391639567363</v>
      </c>
      <c r="H830" s="121" t="n">
        <v>44.13732254540895</v>
      </c>
      <c r="I830" s="118" t="n">
        <v>77.15014724731445</v>
      </c>
      <c r="J830" s="118" t="n">
        <v>83.07352127075195</v>
      </c>
      <c r="K830" s="120" t="n">
        <v>0.2086938913197151</v>
      </c>
      <c r="L830" s="120" t="n">
        <v>-0.179785381967301</v>
      </c>
      <c r="M830" s="120" t="n">
        <v>-0.3946551875310423</v>
      </c>
      <c r="N830" t="n">
        <v>31.1586956580595</v>
      </c>
      <c r="O830" t="n">
        <v>-0.1555683540742792</v>
      </c>
      <c r="P830" t="n">
        <v>139.9088098773234</v>
      </c>
      <c r="Q830" t="n">
        <v>139.603463838887</v>
      </c>
    </row>
    <row r="831">
      <c r="A831" s="117" t="n">
        <v>45617</v>
      </c>
      <c r="B831" s="118" t="n">
        <v>70.21377661338911</v>
      </c>
      <c r="C831" s="118" t="n">
        <v>72.31942128335683</v>
      </c>
      <c r="D831" s="118" t="n">
        <v>70.06063510173152</v>
      </c>
      <c r="E831" s="118" t="n">
        <v>71.879150390625</v>
      </c>
      <c r="F831" s="119" t="n">
        <v>12818600</v>
      </c>
      <c r="G831" s="120" t="n">
        <v>0.02371874395241846</v>
      </c>
      <c r="H831" s="121" t="n">
        <v>45.18420439760881</v>
      </c>
      <c r="I831" s="118" t="n">
        <v>77.08697814941407</v>
      </c>
      <c r="J831" s="118" t="n">
        <v>82.94210765838623</v>
      </c>
      <c r="K831" s="120" t="n">
        <v>0.2283520096082399</v>
      </c>
      <c r="L831" s="120" t="n">
        <v>-0.1603309214561528</v>
      </c>
      <c r="M831" s="120" t="n">
        <v>-0.3802971689211664</v>
      </c>
      <c r="N831" t="n">
        <v>40.44656592713378</v>
      </c>
      <c r="O831" t="n">
        <v>-0.06686625456968831</v>
      </c>
      <c r="P831" t="n">
        <v>140.659904556532</v>
      </c>
      <c r="Q831" t="n">
        <v>140.1056444374761</v>
      </c>
    </row>
    <row r="832">
      <c r="A832" s="117" t="n">
        <v>45618</v>
      </c>
      <c r="B832" s="118" t="n">
        <v>72.86495345734518</v>
      </c>
      <c r="C832" s="118" t="n">
        <v>74.17619987751569</v>
      </c>
      <c r="D832" s="118" t="n">
        <v>72.57782416171217</v>
      </c>
      <c r="E832" s="118" t="n">
        <v>74.08049011230469</v>
      </c>
      <c r="F832" s="119" t="n">
        <v>12248600</v>
      </c>
      <c r="G832" s="120" t="n">
        <v>0.03062556679811279</v>
      </c>
      <c r="H832" s="121" t="n">
        <v>46.56799626760736</v>
      </c>
      <c r="I832" s="118" t="n">
        <v>77.05615890502929</v>
      </c>
      <c r="J832" s="118" t="n">
        <v>82.82179534912109</v>
      </c>
      <c r="K832" s="120" t="n">
        <v>0.2567778267194591</v>
      </c>
      <c r="L832" s="120" t="n">
        <v>-0.1346155800028984</v>
      </c>
      <c r="M832" s="120" t="n">
        <v>-0.361318418472982</v>
      </c>
      <c r="N832" t="n">
        <v>50.04135603673677</v>
      </c>
      <c r="O832" t="n">
        <v>0.1464400556195535</v>
      </c>
      <c r="P832" t="n">
        <v>141.0958650387952</v>
      </c>
      <c r="Q832" t="n">
        <v>140.3303727544146</v>
      </c>
    </row>
    <row r="833">
      <c r="A833" s="117" t="n">
        <v>45621</v>
      </c>
      <c r="B833" s="118" t="n">
        <v>75.1333255428676</v>
      </c>
      <c r="C833" s="118" t="n">
        <v>76.43499902816751</v>
      </c>
      <c r="D833" s="118" t="n">
        <v>75.0471889294612</v>
      </c>
      <c r="E833" s="118" t="n">
        <v>75.86073303222656</v>
      </c>
      <c r="F833" s="119" t="n">
        <v>18328900</v>
      </c>
      <c r="G833" s="120" t="n">
        <v>0.02403119792030339</v>
      </c>
      <c r="H833" s="121" t="n">
        <v>47.68708100266618</v>
      </c>
      <c r="I833" s="118" t="n">
        <v>77.04582229614257</v>
      </c>
      <c r="J833" s="118" t="n">
        <v>82.70693218231202</v>
      </c>
      <c r="K833" s="120" t="n">
        <v>0.2715201345984964</v>
      </c>
      <c r="L833" s="120" t="n">
        <v>-0.113819355728801</v>
      </c>
      <c r="M833" s="120" t="n">
        <v>-0.3459701349792538</v>
      </c>
      <c r="N833" t="n">
        <v>56.18875183380089</v>
      </c>
      <c r="O833" t="n">
        <v>0.3994568211913276</v>
      </c>
      <c r="P833" t="n">
        <v>141.574462279124</v>
      </c>
      <c r="Q833" t="n">
        <v>140.5523243271411</v>
      </c>
    </row>
    <row r="834">
      <c r="A834" s="117" t="n">
        <v>45622</v>
      </c>
      <c r="B834" s="118" t="n">
        <v>75.51617001608639</v>
      </c>
      <c r="C834" s="118" t="n">
        <v>75.51617001608639</v>
      </c>
      <c r="D834" s="118" t="n">
        <v>74.24320876826323</v>
      </c>
      <c r="E834" s="118" t="n">
        <v>74.281494140625</v>
      </c>
      <c r="F834" s="119" t="n">
        <v>9495600</v>
      </c>
      <c r="G834" s="120" t="n">
        <v>-0.02081760653341802</v>
      </c>
      <c r="H834" s="121" t="n">
        <v>46.69435011362545</v>
      </c>
      <c r="I834" s="118" t="n">
        <v>76.98782150268555</v>
      </c>
      <c r="J834" s="118" t="n">
        <v>82.57149940490723</v>
      </c>
      <c r="K834" s="120" t="n">
        <v>0.2809228901263636</v>
      </c>
      <c r="L834" s="120" t="n">
        <v>-0.1322675156987697</v>
      </c>
      <c r="M834" s="120" t="n">
        <v>-0.3595854713703602</v>
      </c>
      <c r="N834" t="n">
        <v>50.27837692032062</v>
      </c>
      <c r="O834" t="n">
        <v>0.4487950501891806</v>
      </c>
      <c r="P834" t="n">
        <v>142.3136912769602</v>
      </c>
      <c r="Q834" t="n">
        <v>141.3069835971308</v>
      </c>
    </row>
    <row r="835">
      <c r="A835" s="117" t="n">
        <v>45623</v>
      </c>
      <c r="B835" s="118" t="n">
        <v>74.28149845721587</v>
      </c>
      <c r="C835" s="118" t="n">
        <v>75.65974273357836</v>
      </c>
      <c r="D835" s="118" t="n">
        <v>74.26235211882832</v>
      </c>
      <c r="E835" s="118" t="n">
        <v>74.98018646240234</v>
      </c>
      <c r="F835" s="119" t="n">
        <v>8713500</v>
      </c>
      <c r="G835" s="120" t="n">
        <v>0.009406007914361858</v>
      </c>
      <c r="H835" s="121" t="n">
        <v>47.13355754035019</v>
      </c>
      <c r="I835" s="118" t="n">
        <v>76.93881744384765</v>
      </c>
      <c r="J835" s="118" t="n">
        <v>82.44986904144287</v>
      </c>
      <c r="K835" s="120" t="n">
        <v>0.2672669523818053</v>
      </c>
      <c r="L835" s="120" t="n">
        <v>-0.1241056170838835</v>
      </c>
      <c r="M835" s="120" t="n">
        <v>-0.3535617272455974</v>
      </c>
      <c r="N835" t="n">
        <v>52.6513669541348</v>
      </c>
      <c r="O835" t="n">
        <v>0.5122344805537449</v>
      </c>
      <c r="P835" t="n">
        <v>141.8824977288802</v>
      </c>
      <c r="Q835" t="n">
        <v>140.1944148139727</v>
      </c>
    </row>
    <row r="836">
      <c r="A836" s="117" t="n">
        <v>45625</v>
      </c>
      <c r="B836" s="118" t="n">
        <v>74.84618512758141</v>
      </c>
      <c r="C836" s="118" t="n">
        <v>75.78415847209764</v>
      </c>
      <c r="D836" s="118" t="n">
        <v>74.68347777565334</v>
      </c>
      <c r="E836" s="118" t="n">
        <v>75.39173889160156</v>
      </c>
      <c r="F836" s="119" t="n">
        <v>7123500</v>
      </c>
      <c r="G836" s="120" t="n">
        <v>0.00548881576075555</v>
      </c>
      <c r="H836" s="121" t="n">
        <v>47.39226495383814</v>
      </c>
      <c r="I836" s="118" t="n">
        <v>76.89651306152344</v>
      </c>
      <c r="J836" s="118" t="n">
        <v>82.32400703430176</v>
      </c>
      <c r="K836" s="120" t="n">
        <v>0.2662644741659361</v>
      </c>
      <c r="L836" s="120" t="n">
        <v>-0.1192979941901762</v>
      </c>
      <c r="M836" s="120" t="n">
        <v>-0.3500135466657476</v>
      </c>
      <c r="N836" t="n">
        <v>54.0426934856778</v>
      </c>
      <c r="O836" t="n">
        <v>0.5616945878521515</v>
      </c>
      <c r="P836" t="n">
        <v>142.763864011912</v>
      </c>
      <c r="Q836" t="n">
        <v>141.4262810723014</v>
      </c>
    </row>
    <row r="837">
      <c r="A837" s="117" t="n">
        <v>45628</v>
      </c>
      <c r="B837" s="118" t="n">
        <v>74.95884575519999</v>
      </c>
      <c r="C837" s="118" t="n">
        <v>76.09400313386138</v>
      </c>
      <c r="D837" s="118" t="n">
        <v>74.26620635947999</v>
      </c>
      <c r="E837" s="118" t="n">
        <v>76.08438110351562</v>
      </c>
      <c r="F837" s="119" t="n">
        <v>11221000</v>
      </c>
      <c r="G837" s="120" t="n">
        <v>0.00918724282125849</v>
      </c>
      <c r="H837" s="121" t="n">
        <v>47.82766919981847</v>
      </c>
      <c r="I837" s="118" t="n">
        <v>76.76201354980469</v>
      </c>
      <c r="J837" s="118" t="n">
        <v>82.20293235778809</v>
      </c>
      <c r="K837" s="120" t="n">
        <v>0.2649016665590326</v>
      </c>
      <c r="L837" s="120" t="n">
        <v>-0.1112067710096319</v>
      </c>
      <c r="M837" s="120" t="n">
        <v>-0.3440419632884372</v>
      </c>
      <c r="N837" t="n">
        <v>56.36655169963608</v>
      </c>
      <c r="O837" t="n">
        <v>0.6164582233946643</v>
      </c>
      <c r="P837" t="n">
        <v>143.0197731101667</v>
      </c>
      <c r="Q837" t="n">
        <v>142.9661267109547</v>
      </c>
    </row>
    <row r="838">
      <c r="A838" s="117" t="n">
        <v>45629</v>
      </c>
      <c r="B838" s="118" t="n">
        <v>75.99780009128959</v>
      </c>
      <c r="C838" s="118" t="n">
        <v>76.38260054698523</v>
      </c>
      <c r="D838" s="118" t="n">
        <v>74.66062419582735</v>
      </c>
      <c r="E838" s="118" t="n">
        <v>75.86312103271484</v>
      </c>
      <c r="F838" s="119" t="n">
        <v>9414500</v>
      </c>
      <c r="G838" s="120" t="n">
        <v>-0.002908087935942438</v>
      </c>
      <c r="H838" s="121" t="n">
        <v>47.68858213201423</v>
      </c>
      <c r="I838" s="118" t="n">
        <v>76.62921432495118</v>
      </c>
      <c r="J838" s="118" t="n">
        <v>82.09276268005371</v>
      </c>
      <c r="K838" s="120" t="n">
        <v>0.2614664554822115</v>
      </c>
      <c r="L838" s="120" t="n">
        <v>-0.1137914598764063</v>
      </c>
      <c r="M838" s="120" t="n">
        <v>-0.3459495469414825</v>
      </c>
      <c r="N838" t="n">
        <v>55.4027991460153</v>
      </c>
      <c r="O838" t="n">
        <v>0.611947065798124</v>
      </c>
      <c r="P838" t="n">
        <v>143.0860821977364</v>
      </c>
      <c r="Q838" t="n">
        <v>143.4044849118124</v>
      </c>
    </row>
    <row r="839">
      <c r="A839" s="117" t="n">
        <v>45630</v>
      </c>
      <c r="B839" s="118" t="n">
        <v>74.86264496158971</v>
      </c>
      <c r="C839" s="118" t="n">
        <v>75.52642558348892</v>
      </c>
      <c r="D839" s="118" t="n">
        <v>74.17000558907897</v>
      </c>
      <c r="E839" s="118" t="n">
        <v>75.39174652099609</v>
      </c>
      <c r="F839" s="119" t="n">
        <v>15042600</v>
      </c>
      <c r="G839" s="120" t="n">
        <v>-0.00621348693939805</v>
      </c>
      <c r="H839" s="121" t="n">
        <v>47.39226974977856</v>
      </c>
      <c r="I839" s="118" t="n">
        <v>76.46286819458008</v>
      </c>
      <c r="J839" s="118" t="n">
        <v>81.98122917175293</v>
      </c>
      <c r="K839" s="120" t="n">
        <v>0.2606584607982348</v>
      </c>
      <c r="L839" s="120" t="n">
        <v>-0.1192979050660471</v>
      </c>
      <c r="M839" s="120" t="n">
        <v>-0.3500134808892691</v>
      </c>
      <c r="N839" t="n">
        <v>53.31151599185497</v>
      </c>
      <c r="O839" t="n">
        <v>0.5531636280875922</v>
      </c>
      <c r="P839" t="n">
        <v>143.9745915028879</v>
      </c>
      <c r="Q839" t="n">
        <v>145.1773805562115</v>
      </c>
    </row>
    <row r="840">
      <c r="A840" s="117" t="n">
        <v>45631</v>
      </c>
      <c r="B840" s="118" t="n">
        <v>75.28591875425643</v>
      </c>
      <c r="C840" s="118" t="n">
        <v>75.90159650453263</v>
      </c>
      <c r="D840" s="118" t="n">
        <v>75.13199564695852</v>
      </c>
      <c r="E840" s="118" t="n">
        <v>75.59375762939453</v>
      </c>
      <c r="F840" s="119" t="n">
        <v>8316500</v>
      </c>
      <c r="G840" s="120" t="n">
        <v>0.00267948572251453</v>
      </c>
      <c r="H840" s="121" t="n">
        <v>47.51925665993064</v>
      </c>
      <c r="I840" s="118" t="n">
        <v>76.29022537231445</v>
      </c>
      <c r="J840" s="118" t="n">
        <v>81.8613899230957</v>
      </c>
      <c r="K840" s="120" t="n">
        <v>0.2260318255165329</v>
      </c>
      <c r="L840" s="120" t="n">
        <v>-0.116938076376883</v>
      </c>
      <c r="M840" s="120" t="n">
        <v>-0.348271851291485</v>
      </c>
      <c r="N840" t="n">
        <v>54.11095256688258</v>
      </c>
      <c r="O840" t="n">
        <v>0.5051580268925847</v>
      </c>
      <c r="P840" t="n">
        <v>143.7376468331947</v>
      </c>
      <c r="Q840" t="n">
        <v>144.7751029424515</v>
      </c>
    </row>
    <row r="841">
      <c r="A841" s="117" t="n">
        <v>45632</v>
      </c>
      <c r="B841" s="118" t="n">
        <v>76.20942864961117</v>
      </c>
      <c r="C841" s="118" t="n">
        <v>78.09494251075444</v>
      </c>
      <c r="D841" s="118" t="n">
        <v>75.84386497179044</v>
      </c>
      <c r="E841" s="118" t="n">
        <v>75.8919677734375</v>
      </c>
      <c r="F841" s="119" t="n">
        <v>13931100</v>
      </c>
      <c r="G841" s="120" t="n">
        <v>0.003944904359761692</v>
      </c>
      <c r="H841" s="121" t="n">
        <v>47.70671558270104</v>
      </c>
      <c r="I841" s="118" t="n">
        <v>76.09693939208984</v>
      </c>
      <c r="J841" s="118" t="n">
        <v>81.74394016265869</v>
      </c>
      <c r="K841" s="120" t="n">
        <v>0.2251845134925991</v>
      </c>
      <c r="L841" s="120" t="n">
        <v>-0.1134544815444426</v>
      </c>
      <c r="M841" s="120" t="n">
        <v>-0.3457008460762653</v>
      </c>
      <c r="N841" t="n">
        <v>55.32700187721174</v>
      </c>
      <c r="O841" t="n">
        <v>0.4714121381543556</v>
      </c>
      <c r="P841" t="n">
        <v>144.0101147554541</v>
      </c>
      <c r="Q841" t="n">
        <v>146.0707745108548</v>
      </c>
    </row>
    <row r="842">
      <c r="A842" s="117" t="n">
        <v>45635</v>
      </c>
      <c r="B842" s="118" t="n">
        <v>76.42106642708984</v>
      </c>
      <c r="C842" s="118" t="n">
        <v>76.43068111550049</v>
      </c>
      <c r="D842" s="118" t="n">
        <v>74.57402606775008</v>
      </c>
      <c r="E842" s="118" t="n">
        <v>74.68946838378906</v>
      </c>
      <c r="F842" s="119" t="n">
        <v>12043400</v>
      </c>
      <c r="G842" s="120" t="n">
        <v>-0.01584488352230229</v>
      </c>
      <c r="H842" s="121" t="n">
        <v>46.95080823106154</v>
      </c>
      <c r="I842" s="118" t="n">
        <v>75.8786459350586</v>
      </c>
      <c r="J842" s="118" t="n">
        <v>81.61787704467774</v>
      </c>
      <c r="K842" s="120" t="n">
        <v>0.2340968697238806</v>
      </c>
      <c r="L842" s="120" t="n">
        <v>-0.12750169202159</v>
      </c>
      <c r="M842" s="120" t="n">
        <v>-0.3560681399589278</v>
      </c>
      <c r="N842" t="n">
        <v>49.617194198987</v>
      </c>
      <c r="O842" t="n">
        <v>0.3515267560487638</v>
      </c>
      <c r="P842" t="n">
        <v>143.2685244279916</v>
      </c>
      <c r="Q842" t="n">
        <v>144.9332150297899</v>
      </c>
    </row>
    <row r="843">
      <c r="A843" s="117" t="n">
        <v>45636</v>
      </c>
      <c r="B843" s="118" t="n">
        <v>74.5548048335407</v>
      </c>
      <c r="C843" s="118" t="n">
        <v>75.1127651344101</v>
      </c>
      <c r="D843" s="118" t="n">
        <v>73.70824969182937</v>
      </c>
      <c r="E843" s="118" t="n">
        <v>73.82368469238281</v>
      </c>
      <c r="F843" s="119" t="n">
        <v>12193100</v>
      </c>
      <c r="G843" s="120" t="n">
        <v>-0.01159177739701467</v>
      </c>
      <c r="H843" s="121" t="n">
        <v>46.40656491343715</v>
      </c>
      <c r="I843" s="118" t="n">
        <v>75.66294479370117</v>
      </c>
      <c r="J843" s="118" t="n">
        <v>81.49263942718505</v>
      </c>
      <c r="K843" s="120" t="n">
        <v>0.2365083026906746</v>
      </c>
      <c r="L843" s="120" t="n">
        <v>-0.1376154981869476</v>
      </c>
      <c r="M843" s="120" t="n">
        <v>-0.3635324547393696</v>
      </c>
      <c r="N843" t="n">
        <v>45.94103478354758</v>
      </c>
      <c r="O843" t="n">
        <v>0.2046226067799644</v>
      </c>
      <c r="P843" t="n">
        <v>142.8231038689129</v>
      </c>
      <c r="Q843" t="n">
        <v>144.439381751493</v>
      </c>
    </row>
    <row r="844">
      <c r="A844" s="117" t="n">
        <v>45637</v>
      </c>
      <c r="B844" s="118" t="n">
        <v>73.87178046195903</v>
      </c>
      <c r="C844" s="118" t="n">
        <v>75.97855709477457</v>
      </c>
      <c r="D844" s="118" t="n">
        <v>73.41001848537815</v>
      </c>
      <c r="E844" s="118" t="n">
        <v>75.85349273681641</v>
      </c>
      <c r="F844" s="119" t="n">
        <v>12033200</v>
      </c>
      <c r="G844" s="120" t="n">
        <v>0.02749534993940816</v>
      </c>
      <c r="H844" s="121" t="n">
        <v>47.68252965521796</v>
      </c>
      <c r="I844" s="118" t="n">
        <v>75.47386627197265</v>
      </c>
      <c r="J844" s="118" t="n">
        <v>81.37466625213624</v>
      </c>
      <c r="K844" s="120" t="n">
        <v>0.2552688993424052</v>
      </c>
      <c r="L844" s="120" t="n">
        <v>-0.1139039345272757</v>
      </c>
      <c r="M844" s="120" t="n">
        <v>-0.3460325568573525</v>
      </c>
      <c r="N844" t="n">
        <v>54.459976330421</v>
      </c>
      <c r="O844" t="n">
        <v>0.2328080995853276</v>
      </c>
      <c r="P844" t="n">
        <v>143.9272320855696</v>
      </c>
      <c r="Q844" t="n">
        <v>147.0251884875327</v>
      </c>
    </row>
    <row r="845">
      <c r="A845" s="117" t="n">
        <v>45638</v>
      </c>
      <c r="B845" s="118" t="n">
        <v>75.71882018696336</v>
      </c>
      <c r="C845" s="118" t="n">
        <v>76.35374204181389</v>
      </c>
      <c r="D845" s="118" t="n">
        <v>74.901123803152</v>
      </c>
      <c r="E845" s="118" t="n">
        <v>74.99732208251953</v>
      </c>
      <c r="F845" s="119" t="n">
        <v>6983200</v>
      </c>
      <c r="G845" s="120" t="n">
        <v>-0.01128716191444834</v>
      </c>
      <c r="H845" s="121" t="n">
        <v>47.14432922250904</v>
      </c>
      <c r="I845" s="118" t="n">
        <v>75.38309204101563</v>
      </c>
      <c r="J845" s="118" t="n">
        <v>81.25619533538818</v>
      </c>
      <c r="K845" s="120" t="n">
        <v>0.2592232420903982</v>
      </c>
      <c r="L845" s="120" t="n">
        <v>-0.1239054442900218</v>
      </c>
      <c r="M845" s="120" t="n">
        <v>-0.3534139932748813</v>
      </c>
      <c r="N845" t="n">
        <v>50.82200121252685</v>
      </c>
      <c r="O845" t="n">
        <v>0.1845518227538268</v>
      </c>
      <c r="P845" t="n">
        <v>143.1856122414867</v>
      </c>
      <c r="Q845" t="n">
        <v>146.0763279992786</v>
      </c>
    </row>
    <row r="846">
      <c r="A846" s="117" t="n">
        <v>45639</v>
      </c>
      <c r="B846" s="118" t="n">
        <v>74.41050645028405</v>
      </c>
      <c r="C846" s="118" t="n">
        <v>74.87226848767069</v>
      </c>
      <c r="D846" s="118" t="n">
        <v>73.85254612911724</v>
      </c>
      <c r="E846" s="118" t="n">
        <v>74.31430816650391</v>
      </c>
      <c r="F846" s="119" t="n">
        <v>8037300</v>
      </c>
      <c r="G846" s="120" t="n">
        <v>-0.009107177390468735</v>
      </c>
      <c r="H846" s="121" t="n">
        <v>46.71497745332498</v>
      </c>
      <c r="I846" s="118" t="n">
        <v>75.29779968261718</v>
      </c>
      <c r="J846" s="118" t="n">
        <v>81.1362954711914</v>
      </c>
      <c r="K846" s="120" t="n">
        <v>0.2581297863190423</v>
      </c>
      <c r="L846" s="120" t="n">
        <v>-0.1318841928196965</v>
      </c>
      <c r="M846" s="120" t="n">
        <v>-0.3593025667363218</v>
      </c>
      <c r="N846" t="n">
        <v>48.06362982145912</v>
      </c>
      <c r="O846" t="n">
        <v>0.1015428269846851</v>
      </c>
      <c r="P846" t="n">
        <v>143.1571729777994</v>
      </c>
      <c r="Q846" t="n">
        <v>147.1944417270321</v>
      </c>
    </row>
    <row r="847">
      <c r="A847" s="117" t="n">
        <v>45642</v>
      </c>
      <c r="B847" s="118" t="n">
        <v>73.84292333451747</v>
      </c>
      <c r="C847" s="118" t="n">
        <v>76.01703219929495</v>
      </c>
      <c r="D847" s="118" t="n">
        <v>73.74672506129454</v>
      </c>
      <c r="E847" s="118" t="n">
        <v>74.26619720458984</v>
      </c>
      <c r="F847" s="119" t="n">
        <v>13034000</v>
      </c>
      <c r="G847" s="120" t="n">
        <v>-0.000647398369184371</v>
      </c>
      <c r="H847" s="121" t="n">
        <v>46.68473425310522</v>
      </c>
      <c r="I847" s="118" t="n">
        <v>75.20867385864258</v>
      </c>
      <c r="J847" s="118" t="n">
        <v>81.02412796020508</v>
      </c>
      <c r="K847" s="120" t="n">
        <v>0.2545533094489814</v>
      </c>
      <c r="L847" s="120" t="n">
        <v>-0.1324462095775282</v>
      </c>
      <c r="M847" s="120" t="n">
        <v>-0.3597173532097573</v>
      </c>
      <c r="N847" t="n">
        <v>47.86655446715692</v>
      </c>
      <c r="O847" t="n">
        <v>0.04138955562056145</v>
      </c>
      <c r="P847" t="n">
        <v>143.7684474265083</v>
      </c>
      <c r="Q847" t="n">
        <v>149.3141313639237</v>
      </c>
    </row>
    <row r="848">
      <c r="A848" s="117" t="n">
        <v>45643</v>
      </c>
      <c r="B848" s="118" t="n">
        <v>74.42011937096071</v>
      </c>
      <c r="C848" s="118" t="n">
        <v>75.77653188698102</v>
      </c>
      <c r="D848" s="118" t="n">
        <v>74.31429906991812</v>
      </c>
      <c r="E848" s="118" t="n">
        <v>75.03579711914062</v>
      </c>
      <c r="F848" s="119" t="n">
        <v>12452400</v>
      </c>
      <c r="G848" s="120" t="n">
        <v>0.01036272144688755</v>
      </c>
      <c r="H848" s="121" t="n">
        <v>47.16851514999212</v>
      </c>
      <c r="I848" s="118" t="n">
        <v>75.16212188720704</v>
      </c>
      <c r="J848" s="118" t="n">
        <v>80.92691352844238</v>
      </c>
      <c r="K848" s="120" t="n">
        <v>0.240340678370577</v>
      </c>
      <c r="L848" s="120" t="n">
        <v>-0.1234559913071887</v>
      </c>
      <c r="M848" s="120" t="n">
        <v>-0.3530822824937941</v>
      </c>
      <c r="N848" t="n">
        <v>51.30606227698683</v>
      </c>
      <c r="O848" t="n">
        <v>0.05080520605278575</v>
      </c>
      <c r="P848" t="n">
        <v>143.1761226480508</v>
      </c>
      <c r="Q848" t="n">
        <v>148.6565983345512</v>
      </c>
    </row>
    <row r="849">
      <c r="A849" s="117" t="n">
        <v>45644</v>
      </c>
      <c r="B849" s="118" t="n">
        <v>75.01656676758309</v>
      </c>
      <c r="C849" s="118" t="n">
        <v>75.99780096844695</v>
      </c>
      <c r="D849" s="118" t="n">
        <v>73.91988288738233</v>
      </c>
      <c r="E849" s="118" t="n">
        <v>73.97760772705078</v>
      </c>
      <c r="F849" s="119" t="n">
        <v>14376900</v>
      </c>
      <c r="G849" s="120" t="n">
        <v>-0.01410246086157607</v>
      </c>
      <c r="H849" s="121" t="n">
        <v>46.50332301119069</v>
      </c>
      <c r="I849" s="118" t="n">
        <v>75.09555480957032</v>
      </c>
      <c r="J849" s="118" t="n">
        <v>80.8302453994751</v>
      </c>
      <c r="K849" s="120" t="n">
        <v>0.2412348294668377</v>
      </c>
      <c r="L849" s="120" t="n">
        <v>-0.1358174188832281</v>
      </c>
      <c r="M849" s="120" t="n">
        <v>-0.3622054142855855</v>
      </c>
      <c r="N849" t="n">
        <v>46.73990589600575</v>
      </c>
      <c r="O849" t="n">
        <v>-0.01342931390345271</v>
      </c>
      <c r="P849" t="n">
        <v>138.9089933969104</v>
      </c>
      <c r="Q849" t="n">
        <v>143.2935091254492</v>
      </c>
    </row>
    <row r="850">
      <c r="A850" s="117" t="n">
        <v>45645</v>
      </c>
      <c r="B850" s="118" t="n">
        <v>74.01608240126237</v>
      </c>
      <c r="C850" s="118" t="n">
        <v>74.97807980251835</v>
      </c>
      <c r="D850" s="118" t="n">
        <v>73.52546167157365</v>
      </c>
      <c r="E850" s="118" t="n">
        <v>74.16999816894531</v>
      </c>
      <c r="F850" s="119" t="n">
        <v>27067600</v>
      </c>
      <c r="G850" s="120" t="n">
        <v>0.002600657790995164</v>
      </c>
      <c r="H850" s="121" t="n">
        <v>46.62426224048691</v>
      </c>
      <c r="I850" s="118" t="n">
        <v>75.00067642211914</v>
      </c>
      <c r="J850" s="118" t="n">
        <v>80.73776641845703</v>
      </c>
      <c r="K850" s="120" t="n">
        <v>0.2384469117165204</v>
      </c>
      <c r="L850" s="120" t="n">
        <v>-0.1335699757208044</v>
      </c>
      <c r="M850" s="120" t="n">
        <v>-0.359972628218979</v>
      </c>
      <c r="N850" t="n">
        <v>47.65209767190892</v>
      </c>
      <c r="O850" t="n">
        <v>-0.04061936259441393</v>
      </c>
      <c r="P850" t="n">
        <v>138.8663123639143</v>
      </c>
      <c r="Q850" t="n">
        <v>142.6554047617315</v>
      </c>
    </row>
    <row r="851">
      <c r="A851" s="117" t="n">
        <v>45646</v>
      </c>
      <c r="B851" s="118" t="n">
        <v>73.07332960868061</v>
      </c>
      <c r="C851" s="118" t="n">
        <v>75.03580539987387</v>
      </c>
      <c r="D851" s="118" t="n">
        <v>72.01513382093306</v>
      </c>
      <c r="E851" s="118" t="n">
        <v>74.01609039306641</v>
      </c>
      <c r="F851" s="119" t="n">
        <v>49883400</v>
      </c>
      <c r="G851" s="120" t="n">
        <v>-0.002075067812841724</v>
      </c>
      <c r="H851" s="121" t="n">
        <v>46.52751373461419</v>
      </c>
      <c r="I851" s="118" t="n">
        <v>74.90941970825196</v>
      </c>
      <c r="J851" s="118" t="n">
        <v>80.64186023712158</v>
      </c>
      <c r="K851" s="120" t="n">
        <v>0.2257475891968616</v>
      </c>
      <c r="L851" s="120" t="n">
        <v>-0.1353678767762658</v>
      </c>
      <c r="M851" s="120" t="n">
        <v>-0.3613007284174995</v>
      </c>
      <c r="N851" t="n">
        <v>46.95920383010956</v>
      </c>
      <c r="O851" t="n">
        <v>-0.06517267058390061</v>
      </c>
      <c r="P851" t="n">
        <v>140.5342227871701</v>
      </c>
      <c r="Q851" t="n">
        <v>143.9011205658062</v>
      </c>
    </row>
    <row r="852">
      <c r="A852" s="117" t="n">
        <v>45649</v>
      </c>
      <c r="B852" s="118" t="n">
        <v>73.42926682994613</v>
      </c>
      <c r="C852" s="118" t="n">
        <v>75.43022327951289</v>
      </c>
      <c r="D852" s="118" t="n">
        <v>72.8616845201697</v>
      </c>
      <c r="E852" s="118" t="n">
        <v>73.84292602539062</v>
      </c>
      <c r="F852" s="119" t="n">
        <v>14203800</v>
      </c>
      <c r="G852" s="120" t="n">
        <v>-0.002339550316102668</v>
      </c>
      <c r="H852" s="121" t="n">
        <v>46.4186602751489</v>
      </c>
      <c r="I852" s="118" t="n">
        <v>74.81374252319335</v>
      </c>
      <c r="J852" s="118" t="n">
        <v>80.54048480987549</v>
      </c>
      <c r="K852" s="120" t="n">
        <v>0.1980892975585063</v>
      </c>
      <c r="L852" s="120" t="n">
        <v>-0.1343903373938212</v>
      </c>
      <c r="M852" s="120" t="n">
        <v>-0.2825149405321674</v>
      </c>
      <c r="N852" t="n">
        <v>46.14618034708719</v>
      </c>
      <c r="O852" t="n">
        <v>-0.08786656460884694</v>
      </c>
      <c r="P852" t="n">
        <v>141.3757859076878</v>
      </c>
      <c r="Q852" t="n">
        <v>145.3031286217819</v>
      </c>
    </row>
    <row r="853">
      <c r="A853" s="117" t="n">
        <v>45650</v>
      </c>
      <c r="B853" s="118" t="n">
        <v>73.83329961920589</v>
      </c>
      <c r="C853" s="118" t="n">
        <v>74.17961926646561</v>
      </c>
      <c r="D853" s="118" t="n">
        <v>73.45812122458412</v>
      </c>
      <c r="E853" s="118" t="n">
        <v>73.87178039550781</v>
      </c>
      <c r="F853" s="119" t="n">
        <v>4919100</v>
      </c>
      <c r="G853" s="120" t="n">
        <v>0.0003907533418605613</v>
      </c>
      <c r="H853" s="121" t="n">
        <v>46.4367985217761</v>
      </c>
      <c r="I853" s="118" t="n">
        <v>74.72917098999024</v>
      </c>
      <c r="J853" s="118" t="n">
        <v>80.43014179229736</v>
      </c>
      <c r="K853" s="120" t="n">
        <v>0.1765129427007016</v>
      </c>
      <c r="L853" s="120" t="n">
        <v>-0.1340520975254111</v>
      </c>
      <c r="M853" s="120" t="n">
        <v>-0.2822345808474453</v>
      </c>
      <c r="N853" t="n">
        <v>46.31297780634436</v>
      </c>
      <c r="O853" t="n">
        <v>-0.09511273299134626</v>
      </c>
      <c r="P853" t="n">
        <v>142.9472064990872</v>
      </c>
      <c r="Q853" t="n">
        <v>147.2733867009328</v>
      </c>
    </row>
    <row r="854">
      <c r="A854" s="117" t="n">
        <v>45652</v>
      </c>
      <c r="B854" s="118" t="n">
        <v>73.68900742480494</v>
      </c>
      <c r="C854" s="118" t="n">
        <v>74.51632586637049</v>
      </c>
      <c r="D854" s="118" t="n">
        <v>73.63128992312407</v>
      </c>
      <c r="E854" s="118" t="n">
        <v>74.01609039306641</v>
      </c>
      <c r="F854" s="119" t="n">
        <v>6363500</v>
      </c>
      <c r="G854" s="120" t="n">
        <v>0.001953519961018335</v>
      </c>
      <c r="H854" s="121" t="n">
        <v>46.52751373461418</v>
      </c>
      <c r="I854" s="118" t="n">
        <v>74.63753128051758</v>
      </c>
      <c r="J854" s="118" t="n">
        <v>80.32479152679443</v>
      </c>
      <c r="K854" s="120" t="n">
        <v>0.160879334968427</v>
      </c>
      <c r="L854" s="120" t="n">
        <v>-0.07871437966064654</v>
      </c>
      <c r="M854" s="120" t="n">
        <v>-0.280832411773802</v>
      </c>
      <c r="N854" t="n">
        <v>47.19387798623636</v>
      </c>
      <c r="O854" t="n">
        <v>-0.08471182051724221</v>
      </c>
      <c r="P854" t="n">
        <v>142.9567108508332</v>
      </c>
      <c r="Q854" t="n">
        <v>147.1733555586785</v>
      </c>
    </row>
    <row r="855">
      <c r="A855" s="117" t="n">
        <v>45653</v>
      </c>
      <c r="B855" s="118" t="n">
        <v>73.61205217270269</v>
      </c>
      <c r="C855" s="118" t="n">
        <v>74.00647470655325</v>
      </c>
      <c r="D855" s="118" t="n">
        <v>72.9194200747866</v>
      </c>
      <c r="E855" s="118" t="n">
        <v>73.51585388183594</v>
      </c>
      <c r="F855" s="119" t="n">
        <v>6334400</v>
      </c>
      <c r="G855" s="120" t="n">
        <v>-0.006758483305102092</v>
      </c>
      <c r="H855" s="121" t="n">
        <v>46.21305830981088</v>
      </c>
      <c r="I855" s="118" t="n">
        <v>74.5010482788086</v>
      </c>
      <c r="J855" s="118" t="n">
        <v>80.21134010314941</v>
      </c>
      <c r="K855" s="120" t="n">
        <v>0.158383616534442</v>
      </c>
      <c r="L855" s="120" t="n">
        <v>-0.0849408731449407</v>
      </c>
      <c r="M855" s="120" t="n">
        <v>-0.2856928939123994</v>
      </c>
      <c r="N855" t="n">
        <v>44.4699969676192</v>
      </c>
      <c r="O855" t="n">
        <v>-0.1047356696999373</v>
      </c>
      <c r="P855" t="n">
        <v>141.4518797548966</v>
      </c>
      <c r="Q855" t="n">
        <v>145.2169555691019</v>
      </c>
    </row>
    <row r="856">
      <c r="A856" s="117" t="n">
        <v>45656</v>
      </c>
      <c r="B856" s="118" t="n">
        <v>72.72700498362239</v>
      </c>
      <c r="C856" s="118" t="n">
        <v>72.8905427869244</v>
      </c>
      <c r="D856" s="118" t="n">
        <v>71.71691207547062</v>
      </c>
      <c r="E856" s="118" t="n">
        <v>71.8131103515625</v>
      </c>
      <c r="F856" s="119" t="n">
        <v>9042900</v>
      </c>
      <c r="G856" s="120" t="n">
        <v>-0.02316158271126534</v>
      </c>
      <c r="H856" s="121" t="n">
        <v>45.14269073742767</v>
      </c>
      <c r="I856" s="118" t="n">
        <v>74.34084716796875</v>
      </c>
      <c r="J856" s="118" t="n">
        <v>80.09459526062011</v>
      </c>
      <c r="K856" s="120" t="n">
        <v>0.1747662706586667</v>
      </c>
      <c r="L856" s="120" t="n">
        <v>-0.1061350907972924</v>
      </c>
      <c r="M856" s="120" t="n">
        <v>-0.3006306198269061</v>
      </c>
      <c r="N856" t="n">
        <v>36.70433675368451</v>
      </c>
      <c r="O856" t="n">
        <v>-0.2192819617041118</v>
      </c>
      <c r="P856" t="n">
        <v>139.8376748223299</v>
      </c>
      <c r="Q856" t="n">
        <v>143.2855804527457</v>
      </c>
    </row>
    <row r="857">
      <c r="A857" s="117" t="n">
        <v>45657</v>
      </c>
      <c r="B857" s="118" t="n">
        <v>72.05360726683648</v>
      </c>
      <c r="C857" s="118" t="n">
        <v>73.48698134850964</v>
      </c>
      <c r="D857" s="118" t="n">
        <v>71.93816493576823</v>
      </c>
      <c r="E857" s="118" t="n">
        <v>72.79434204101562</v>
      </c>
      <c r="F857" s="119" t="n">
        <v>9425600</v>
      </c>
      <c r="G857" s="120" t="n">
        <v>0.01366368459254153</v>
      </c>
      <c r="H857" s="121" t="n">
        <v>45.75950622532253</v>
      </c>
      <c r="I857" s="118" t="n">
        <v>74.20945907592774</v>
      </c>
      <c r="J857" s="118" t="n">
        <v>79.98569900512695</v>
      </c>
      <c r="K857" s="120" t="n">
        <v>0.1793549996280675</v>
      </c>
      <c r="L857" s="120" t="n">
        <v>-0.09392160260960591</v>
      </c>
      <c r="M857" s="120" t="n">
        <v>-0.2818808064990416</v>
      </c>
      <c r="N857" t="n">
        <v>42.89313871161564</v>
      </c>
      <c r="O857" t="n">
        <v>-0.21528356754477</v>
      </c>
      <c r="P857" t="n">
        <v>139.3289263543348</v>
      </c>
      <c r="Q857" t="n">
        <v>142.0684095791692</v>
      </c>
    </row>
    <row r="858">
      <c r="A858" s="117" t="n">
        <v>45659</v>
      </c>
      <c r="B858" s="118" t="n">
        <v>73.35230110084078</v>
      </c>
      <c r="C858" s="118" t="n">
        <v>73.77558230172124</v>
      </c>
      <c r="D858" s="118" t="n">
        <v>70.45668689741846</v>
      </c>
      <c r="E858" s="118" t="n">
        <v>70.87034606933594</v>
      </c>
      <c r="F858" s="119" t="n">
        <v>10883400</v>
      </c>
      <c r="G858" s="120" t="n">
        <v>-0.02643057025772166</v>
      </c>
      <c r="H858" s="121" t="n">
        <v>44.55005638107549</v>
      </c>
      <c r="I858" s="118" t="n">
        <v>74.06715576171875</v>
      </c>
      <c r="J858" s="118" t="n">
        <v>79.87145393371583</v>
      </c>
      <c r="K858" s="120" t="n">
        <v>0.1990341425234262</v>
      </c>
      <c r="L858" s="120" t="n">
        <v>-0.1178697713508366</v>
      </c>
      <c r="M858" s="120" t="n">
        <v>-0.300861106296287</v>
      </c>
      <c r="N858" t="n">
        <v>35.55269330369259</v>
      </c>
      <c r="O858" t="n">
        <v>-0.3221074305133557</v>
      </c>
      <c r="P858" t="n">
        <v>138.9866221083763</v>
      </c>
      <c r="Q858" t="n">
        <v>141.7905044746162</v>
      </c>
    </row>
    <row r="859">
      <c r="A859" s="117" t="n">
        <v>45660</v>
      </c>
      <c r="B859" s="118" t="n">
        <v>71.11085933296656</v>
      </c>
      <c r="C859" s="118" t="n">
        <v>71.37060278959365</v>
      </c>
      <c r="D859" s="118" t="n">
        <v>70.23544535192119</v>
      </c>
      <c r="E859" s="118" t="n">
        <v>70.52404022216797</v>
      </c>
      <c r="F859" s="119" t="n">
        <v>10083500</v>
      </c>
      <c r="G859" s="120" t="n">
        <v>-0.004886470383948183</v>
      </c>
      <c r="H859" s="121" t="n">
        <v>44.33236384996614</v>
      </c>
      <c r="I859" s="118" t="n">
        <v>73.91907501220703</v>
      </c>
      <c r="J859" s="118" t="n">
        <v>79.74968749999999</v>
      </c>
      <c r="K859" s="120" t="n">
        <v>0.1988342161810969</v>
      </c>
      <c r="L859" s="120" t="n">
        <v>-0.1221802745879162</v>
      </c>
      <c r="M859" s="120" t="n">
        <v>-0.3042774277946365</v>
      </c>
      <c r="N859" t="n">
        <v>34.41119647624127</v>
      </c>
      <c r="O859" t="n">
        <v>-0.3913740078866341</v>
      </c>
      <c r="P859" t="n">
        <v>140.7244131302616</v>
      </c>
      <c r="Q859" t="n">
        <v>144.1109569899406</v>
      </c>
    </row>
    <row r="860">
      <c r="A860" s="117" t="n">
        <v>45663</v>
      </c>
      <c r="B860" s="118" t="n">
        <v>70.94731238153246</v>
      </c>
      <c r="C860" s="118" t="n">
        <v>71.49565063788597</v>
      </c>
      <c r="D860" s="118" t="n">
        <v>69.23495808412878</v>
      </c>
      <c r="E860" s="118" t="n">
        <v>69.26381683349609</v>
      </c>
      <c r="F860" s="119" t="n">
        <v>14947300</v>
      </c>
      <c r="G860" s="120" t="n">
        <v>-0.01786941565885714</v>
      </c>
      <c r="H860" s="121" t="n">
        <v>43.5401704131914</v>
      </c>
      <c r="I860" s="118" t="n">
        <v>73.77201446533203</v>
      </c>
      <c r="J860" s="118" t="n">
        <v>79.62014881134033</v>
      </c>
      <c r="K860" s="120" t="n">
        <v>0.2040086957357803</v>
      </c>
      <c r="L860" s="120" t="n">
        <v>-0.1378664001348485</v>
      </c>
      <c r="M860" s="120" t="n">
        <v>-0.3167095836206234</v>
      </c>
      <c r="N860" t="n">
        <v>30.56525540172393</v>
      </c>
      <c r="O860" t="n">
        <v>-0.4909013997007561</v>
      </c>
      <c r="P860" t="n">
        <v>141.5350723492947</v>
      </c>
      <c r="Q860" t="n">
        <v>145.7671952021275</v>
      </c>
    </row>
    <row r="861">
      <c r="A861" s="117" t="n">
        <v>45664</v>
      </c>
      <c r="B861" s="118" t="n">
        <v>69.64861175175284</v>
      </c>
      <c r="C861" s="118" t="n">
        <v>70.64908990728354</v>
      </c>
      <c r="D861" s="118" t="n">
        <v>69.24457461378587</v>
      </c>
      <c r="E861" s="118" t="n">
        <v>69.35038757324219</v>
      </c>
      <c r="F861" s="119" t="n">
        <v>10463500</v>
      </c>
      <c r="G861" s="120" t="n">
        <v>0.001249869610192134</v>
      </c>
      <c r="H861" s="121" t="n">
        <v>43.59458994901344</v>
      </c>
      <c r="I861" s="118" t="n">
        <v>73.64601898193359</v>
      </c>
      <c r="J861" s="118" t="n">
        <v>79.48843280792236</v>
      </c>
      <c r="K861" s="120" t="n">
        <v>0.2027874459654432</v>
      </c>
      <c r="L861" s="120" t="n">
        <v>-0.1367888455484515</v>
      </c>
      <c r="M861" s="120" t="n">
        <v>-0.3158555596942554</v>
      </c>
      <c r="N861" t="n">
        <v>31.13464810854018</v>
      </c>
      <c r="O861" t="n">
        <v>-0.5171101749088585</v>
      </c>
      <c r="P861" t="n">
        <v>139.9351387026572</v>
      </c>
      <c r="Q861" t="n">
        <v>143.1660864695232</v>
      </c>
    </row>
    <row r="862">
      <c r="A862" s="117" t="n">
        <v>45665</v>
      </c>
      <c r="B862" s="118" t="n">
        <v>68.84053135582072</v>
      </c>
      <c r="C862" s="118" t="n">
        <v>69.0906527339985</v>
      </c>
      <c r="D862" s="118" t="n">
        <v>68.31143719133648</v>
      </c>
      <c r="E862" s="118" t="n">
        <v>68.58079528808594</v>
      </c>
      <c r="F862" s="119" t="n">
        <v>11855000</v>
      </c>
      <c r="G862" s="120" t="n">
        <v>-0.01109715910878606</v>
      </c>
      <c r="H862" s="121" t="n">
        <v>43.11081384806695</v>
      </c>
      <c r="I862" s="118" t="n">
        <v>73.50826873779297</v>
      </c>
      <c r="J862" s="118" t="n">
        <v>79.3858992767334</v>
      </c>
      <c r="K862" s="120" t="n">
        <v>0.1999195489954002</v>
      </c>
      <c r="L862" s="120" t="n">
        <v>-0.1463680370738791</v>
      </c>
      <c r="M862" s="120" t="n">
        <v>-0.3234476194017196</v>
      </c>
      <c r="N862" t="n">
        <v>28.86828108104032</v>
      </c>
      <c r="O862" t="n">
        <v>-0.549450079748687</v>
      </c>
      <c r="P862" t="n">
        <v>140.139600331678</v>
      </c>
      <c r="Q862" t="n">
        <v>143.1910857112584</v>
      </c>
    </row>
    <row r="863">
      <c r="A863" s="117" t="n">
        <v>45667</v>
      </c>
      <c r="B863" s="118" t="n">
        <v>69.11951674225232</v>
      </c>
      <c r="C863" s="118" t="n">
        <v>69.63899625671699</v>
      </c>
      <c r="D863" s="118" t="n">
        <v>68.38839661010299</v>
      </c>
      <c r="E863" s="118" t="n">
        <v>68.49421691894531</v>
      </c>
      <c r="F863" s="119" t="n">
        <v>15677400</v>
      </c>
      <c r="G863" s="120" t="n">
        <v>-0.00126242877145033</v>
      </c>
      <c r="H863" s="121" t="n">
        <v>43.05638951630451</v>
      </c>
      <c r="I863" s="118" t="n">
        <v>73.36763824462891</v>
      </c>
      <c r="J863" s="118" t="n">
        <v>79.28345493316651</v>
      </c>
      <c r="K863" s="120" t="n">
        <v>0.1981965731985112</v>
      </c>
      <c r="L863" s="120" t="n">
        <v>-0.1474456866241067</v>
      </c>
      <c r="M863" s="120" t="n">
        <v>-0.3243017185923801</v>
      </c>
      <c r="N863" t="n">
        <v>28.61591712327827</v>
      </c>
      <c r="O863" t="n">
        <v>-0.5390968862619437</v>
      </c>
      <c r="P863" t="n">
        <v>138.0000143155606</v>
      </c>
      <c r="Q863" t="n">
        <v>140.9457078155948</v>
      </c>
    </row>
    <row r="864">
      <c r="A864" s="117" t="n">
        <v>45670</v>
      </c>
      <c r="B864" s="118" t="n">
        <v>68.46536090996111</v>
      </c>
      <c r="C864" s="118" t="n">
        <v>69.84101764052339</v>
      </c>
      <c r="D864" s="118" t="n">
        <v>68.09018246884945</v>
      </c>
      <c r="E864" s="118" t="n">
        <v>69.34078216552734</v>
      </c>
      <c r="F864" s="119" t="n">
        <v>14584300</v>
      </c>
      <c r="G864" s="120" t="n">
        <v>0.01235966019706214</v>
      </c>
      <c r="H864" s="121" t="n">
        <v>43.58855186003839</v>
      </c>
      <c r="I864" s="118" t="n">
        <v>73.25370178222656</v>
      </c>
      <c r="J864" s="118" t="n">
        <v>79.19079593658448</v>
      </c>
      <c r="K864" s="120" t="n">
        <v>0.1722136466626147</v>
      </c>
      <c r="L864" s="120" t="n">
        <v>-0.1369084050112411</v>
      </c>
      <c r="M864" s="120" t="n">
        <v>-0.315950317438443</v>
      </c>
      <c r="N864" t="n">
        <v>34.63318628632589</v>
      </c>
      <c r="O864" t="n">
        <v>-0.4417474609436221</v>
      </c>
      <c r="P864" t="n">
        <v>138.2139950546375</v>
      </c>
      <c r="Q864" t="n">
        <v>140.4927396682685</v>
      </c>
    </row>
    <row r="865">
      <c r="A865" s="117" t="n">
        <v>45671</v>
      </c>
      <c r="B865" s="118" t="n">
        <v>69.33115406911263</v>
      </c>
      <c r="C865" s="118" t="n">
        <v>69.46583312134516</v>
      </c>
      <c r="D865" s="118" t="n">
        <v>67.84967715509693</v>
      </c>
      <c r="E865" s="118" t="n">
        <v>68.46535491943359</v>
      </c>
      <c r="F865" s="119" t="n">
        <v>16732900</v>
      </c>
      <c r="G865" s="120" t="n">
        <v>-0.01262499814328555</v>
      </c>
      <c r="H865" s="121" t="n">
        <v>43.0382464737369</v>
      </c>
      <c r="I865" s="118" t="n">
        <v>73.15958404541016</v>
      </c>
      <c r="J865" s="118" t="n">
        <v>79.08640396118165</v>
      </c>
      <c r="K865" s="120" t="n">
        <v>0.1729847230067493</v>
      </c>
      <c r="L865" s="120" t="n">
        <v>-0.1422871524447786</v>
      </c>
      <c r="M865" s="120" t="n">
        <v>-0.3245864434106978</v>
      </c>
      <c r="N865" t="n">
        <v>31.6610565385496</v>
      </c>
      <c r="O865" t="n">
        <v>-0.4038604068221316</v>
      </c>
      <c r="P865" t="n">
        <v>138.404170639419</v>
      </c>
      <c r="Q865" t="n">
        <v>140.3593363325016</v>
      </c>
    </row>
    <row r="866">
      <c r="A866" s="117" t="n">
        <v>45672</v>
      </c>
      <c r="B866" s="118" t="n">
        <v>69.2541994708949</v>
      </c>
      <c r="C866" s="118" t="n">
        <v>69.50432088136415</v>
      </c>
      <c r="D866" s="118" t="n">
        <v>68.14790085402645</v>
      </c>
      <c r="E866" s="118" t="n">
        <v>68.36916351318359</v>
      </c>
      <c r="F866" s="119" t="n">
        <v>13468100</v>
      </c>
      <c r="G866" s="120" t="n">
        <v>-0.001404964691458788</v>
      </c>
      <c r="H866" s="121" t="n">
        <v>42.977779257059</v>
      </c>
      <c r="I866" s="118" t="n">
        <v>73.05052581787109</v>
      </c>
      <c r="J866" s="118" t="n">
        <v>78.98224285125733</v>
      </c>
      <c r="K866" s="120" t="n">
        <v>0.1724171430858681</v>
      </c>
      <c r="L866" s="120" t="n">
        <v>-0.1385340737418843</v>
      </c>
      <c r="M866" s="120" t="n">
        <v>-0.3255353756098384</v>
      </c>
      <c r="N866" t="n">
        <v>31.34277339659783</v>
      </c>
      <c r="O866" t="n">
        <v>-0.3545798265501716</v>
      </c>
      <c r="P866" t="n">
        <v>140.9217317371627</v>
      </c>
      <c r="Q866" t="n">
        <v>143.5884847990339</v>
      </c>
    </row>
    <row r="867">
      <c r="A867" s="117" t="n">
        <v>45673</v>
      </c>
      <c r="B867" s="118" t="n">
        <v>68.20561236126338</v>
      </c>
      <c r="C867" s="118" t="n">
        <v>68.52307324254711</v>
      </c>
      <c r="D867" s="118" t="n">
        <v>67.64765214678722</v>
      </c>
      <c r="E867" s="118" t="n">
        <v>68.40763092041016</v>
      </c>
      <c r="F867" s="119" t="n">
        <v>13694600</v>
      </c>
      <c r="G867" s="120" t="n">
        <v>0.0005626426483797964</v>
      </c>
      <c r="H867" s="121" t="n">
        <v>43.00196038860167</v>
      </c>
      <c r="I867" s="118" t="n">
        <v>72.92443481445312</v>
      </c>
      <c r="J867" s="118" t="n">
        <v>78.88501304626465</v>
      </c>
      <c r="K867" s="120" t="n">
        <v>0.1727919830035406</v>
      </c>
      <c r="L867" s="120" t="n">
        <v>-0.1228161570115859</v>
      </c>
      <c r="M867" s="120" t="n">
        <v>-0.3251558930473331</v>
      </c>
      <c r="N867" t="n">
        <v>31.63873790208078</v>
      </c>
      <c r="O867" t="n">
        <v>-0.2913396042291709</v>
      </c>
      <c r="P867" t="n">
        <v>140.6507396459198</v>
      </c>
      <c r="Q867" t="n">
        <v>142.5825259059552</v>
      </c>
    </row>
    <row r="868">
      <c r="A868" s="117" t="n">
        <v>45674</v>
      </c>
      <c r="B868" s="118" t="n">
        <v>68.71547812482265</v>
      </c>
      <c r="C868" s="118" t="n">
        <v>68.80205437235473</v>
      </c>
      <c r="D868" s="118" t="n">
        <v>68.14789581298828</v>
      </c>
      <c r="E868" s="118" t="n">
        <v>68.14789581298828</v>
      </c>
      <c r="F868" s="119" t="n">
        <v>9711300</v>
      </c>
      <c r="G868" s="120" t="n">
        <v>-0.003796873300934367</v>
      </c>
      <c r="H868" s="121" t="n">
        <v>42.83868739331435</v>
      </c>
      <c r="I868" s="118" t="n">
        <v>72.80980270385743</v>
      </c>
      <c r="J868" s="118" t="n">
        <v>78.79412528991699</v>
      </c>
      <c r="K868" s="120" t="n">
        <v>0.1642324516545337</v>
      </c>
      <c r="L868" s="120" t="n">
        <v>-0.1255026708434703</v>
      </c>
      <c r="M868" s="120" t="n">
        <v>-0.3277181906193145</v>
      </c>
      <c r="N868" t="n">
        <v>30.67714609961587</v>
      </c>
      <c r="O868" t="n">
        <v>-0.2410314716080326</v>
      </c>
      <c r="P868" t="n">
        <v>142.062844279092</v>
      </c>
      <c r="Q868" t="n">
        <v>144.9890916671612</v>
      </c>
    </row>
    <row r="869">
      <c r="A869" s="117" t="n">
        <v>45678</v>
      </c>
      <c r="B869" s="118" t="n">
        <v>68.59040550756738</v>
      </c>
      <c r="C869" s="118" t="n">
        <v>70.48553388753501</v>
      </c>
      <c r="D869" s="118" t="n">
        <v>68.43648242766497</v>
      </c>
      <c r="E869" s="118" t="n">
        <v>70.38933563232422</v>
      </c>
      <c r="F869" s="119" t="n">
        <v>14199900</v>
      </c>
      <c r="G869" s="120" t="n">
        <v>0.03289081478739875</v>
      </c>
      <c r="H869" s="121" t="n">
        <v>44.24768672610313</v>
      </c>
      <c r="I869" s="118" t="n">
        <v>72.72487701416016</v>
      </c>
      <c r="J869" s="118" t="n">
        <v>78.71738708496093</v>
      </c>
      <c r="K869" s="120" t="n">
        <v>0.2077045194903807</v>
      </c>
      <c r="L869" s="120" t="n">
        <v>-0.08128119360430797</v>
      </c>
      <c r="M869" s="120" t="n">
        <v>-0.3056062941420371</v>
      </c>
      <c r="N869" t="n">
        <v>45.94529026241558</v>
      </c>
      <c r="O869" t="n">
        <v>-0.04129765761238713</v>
      </c>
      <c r="P869" t="n">
        <v>143.3631989876977</v>
      </c>
      <c r="Q869" t="n">
        <v>145.8394247269496</v>
      </c>
    </row>
    <row r="870">
      <c r="A870" s="117" t="n">
        <v>45679</v>
      </c>
      <c r="B870" s="118" t="n">
        <v>70.5913660396257</v>
      </c>
      <c r="C870" s="118" t="n">
        <v>71.86120230451041</v>
      </c>
      <c r="D870" s="118" t="n">
        <v>70.23543170155183</v>
      </c>
      <c r="E870" s="118" t="n">
        <v>71.22628784179688</v>
      </c>
      <c r="F870" s="119" t="n">
        <v>13029300</v>
      </c>
      <c r="G870" s="120" t="n">
        <v>0.01189032687912328</v>
      </c>
      <c r="H870" s="121" t="n">
        <v>44.77380618492153</v>
      </c>
      <c r="I870" s="118" t="n">
        <v>72.70760894775391</v>
      </c>
      <c r="J870" s="118" t="n">
        <v>78.65081317901611</v>
      </c>
      <c r="K870" s="120" t="n">
        <v>0.2132163930486011</v>
      </c>
      <c r="L870" s="120" t="n">
        <v>-0.0638513869897831</v>
      </c>
      <c r="M870" s="120" t="n">
        <v>-0.2973497259965802</v>
      </c>
      <c r="N870" t="n">
        <v>50.34320461875583</v>
      </c>
      <c r="O870" t="n">
        <v>0.1520859096312071</v>
      </c>
      <c r="P870" t="n">
        <v>144.1691207891678</v>
      </c>
      <c r="Q870" t="n">
        <v>147.7041323507358</v>
      </c>
    </row>
    <row r="871">
      <c r="A871" s="117" t="n">
        <v>45680</v>
      </c>
      <c r="B871" s="118" t="n">
        <v>70.55289482433933</v>
      </c>
      <c r="C871" s="118" t="n">
        <v>71.66881547412491</v>
      </c>
      <c r="D871" s="118" t="n">
        <v>69.61976339203626</v>
      </c>
      <c r="E871" s="118" t="n">
        <v>71.466796875</v>
      </c>
      <c r="F871" s="119" t="n">
        <v>10677400</v>
      </c>
      <c r="G871" s="120" t="n">
        <v>0.00337668914793543</v>
      </c>
      <c r="H871" s="121" t="n">
        <v>44.92499341037792</v>
      </c>
      <c r="I871" s="118" t="n">
        <v>72.6836654663086</v>
      </c>
      <c r="J871" s="118" t="n">
        <v>78.58653347015381</v>
      </c>
      <c r="K871" s="120" t="n">
        <v>0.2140462611754656</v>
      </c>
      <c r="L871" s="120" t="n">
        <v>-0.06069030412737675</v>
      </c>
      <c r="M871" s="120" t="n">
        <v>-0.2949770944415588</v>
      </c>
      <c r="N871" t="n">
        <v>51.56277782030274</v>
      </c>
      <c r="O871" t="n">
        <v>0.2929415344278681</v>
      </c>
      <c r="P871" t="n">
        <v>144.9560043705256</v>
      </c>
      <c r="Q871" t="n">
        <v>148.0181522176998</v>
      </c>
    </row>
    <row r="872">
      <c r="A872" s="117" t="n">
        <v>45681</v>
      </c>
      <c r="B872" s="118" t="n">
        <v>71.25514572423965</v>
      </c>
      <c r="C872" s="118" t="n">
        <v>71.42830554641533</v>
      </c>
      <c r="D872" s="118" t="n">
        <v>70.46630816531884</v>
      </c>
      <c r="E872" s="118" t="n">
        <v>70.77414703369141</v>
      </c>
      <c r="F872" s="119" t="n">
        <v>8106700</v>
      </c>
      <c r="G872" s="120" t="n">
        <v>-0.009691911091525229</v>
      </c>
      <c r="H872" s="121" t="n">
        <v>44.48958436845718</v>
      </c>
      <c r="I872" s="118" t="n">
        <v>72.64663482666016</v>
      </c>
      <c r="J872" s="118" t="n">
        <v>78.51328536987305</v>
      </c>
      <c r="K872" s="120" t="n">
        <v>0.215936412621765</v>
      </c>
      <c r="L872" s="120" t="n">
        <v>-0.06979401018718179</v>
      </c>
      <c r="M872" s="120" t="n">
        <v>-0.3018101137597201</v>
      </c>
      <c r="N872" t="n">
        <v>47.91313157566736</v>
      </c>
      <c r="O872" t="n">
        <v>0.3332700855743953</v>
      </c>
      <c r="P872" t="n">
        <v>144.5328541014853</v>
      </c>
      <c r="Q872" t="n">
        <v>147.181660159829</v>
      </c>
    </row>
    <row r="873">
      <c r="A873" s="117" t="n">
        <v>45684</v>
      </c>
      <c r="B873" s="118" t="n">
        <v>70.64909728118657</v>
      </c>
      <c r="C873" s="118" t="n">
        <v>72.96750739151287</v>
      </c>
      <c r="D873" s="118" t="n">
        <v>70.62985322148954</v>
      </c>
      <c r="E873" s="118" t="n">
        <v>72.70777130126953</v>
      </c>
      <c r="F873" s="119" t="n">
        <v>11665400</v>
      </c>
      <c r="G873" s="120" t="n">
        <v>0.02732105364205428</v>
      </c>
      <c r="H873" s="121" t="n">
        <v>45.7050866895005</v>
      </c>
      <c r="I873" s="118" t="n">
        <v>72.63449401855469</v>
      </c>
      <c r="J873" s="118" t="n">
        <v>78.44495964050293</v>
      </c>
      <c r="K873" s="120" t="n">
        <v>0.239786447131103</v>
      </c>
      <c r="L873" s="120" t="n">
        <v>-0.04437980244134565</v>
      </c>
      <c r="M873" s="120" t="n">
        <v>-0.2827348304254096</v>
      </c>
      <c r="N873" t="n">
        <v>57.0521391044967</v>
      </c>
      <c r="O873" t="n">
        <v>0.4753192134345661</v>
      </c>
      <c r="P873" t="n">
        <v>142.488385394379</v>
      </c>
      <c r="Q873" t="n">
        <v>142.8965372290909</v>
      </c>
    </row>
    <row r="874">
      <c r="A874" s="117" t="n">
        <v>45685</v>
      </c>
      <c r="B874" s="118" t="n">
        <v>72.46726821471728</v>
      </c>
      <c r="C874" s="118" t="n">
        <v>72.72700429163983</v>
      </c>
      <c r="D874" s="118" t="n">
        <v>71.34173298228967</v>
      </c>
      <c r="E874" s="118" t="n">
        <v>71.56298828125</v>
      </c>
      <c r="F874" s="119" t="n">
        <v>8694400</v>
      </c>
      <c r="G874" s="120" t="n">
        <v>-0.01574498845901973</v>
      </c>
      <c r="H874" s="121" t="n">
        <v>44.98546062705582</v>
      </c>
      <c r="I874" s="118" t="n">
        <v>72.5983088684082</v>
      </c>
      <c r="J874" s="118" t="n">
        <v>78.38040145874024</v>
      </c>
      <c r="K874" s="120" t="n">
        <v>0.2453675141385374</v>
      </c>
      <c r="L874" s="120" t="n">
        <v>-0.05942603142311287</v>
      </c>
      <c r="M874" s="120" t="n">
        <v>-0.2940281622424183</v>
      </c>
      <c r="N874" t="n">
        <v>51.31196329562046</v>
      </c>
      <c r="O874" t="n">
        <v>0.4761382681079391</v>
      </c>
      <c r="P874" t="n">
        <v>143.7126905307063</v>
      </c>
      <c r="Q874" t="n">
        <v>145.0085374204726</v>
      </c>
    </row>
    <row r="875">
      <c r="A875" s="117" t="n">
        <v>45686</v>
      </c>
      <c r="B875" s="118" t="n">
        <v>71.62071736053733</v>
      </c>
      <c r="C875" s="118" t="n">
        <v>74.17963446290301</v>
      </c>
      <c r="D875" s="118" t="n">
        <v>71.49566031653009</v>
      </c>
      <c r="E875" s="118" t="n">
        <v>73.66977691650391</v>
      </c>
      <c r="F875" s="119" t="n">
        <v>11764800</v>
      </c>
      <c r="G875" s="120" t="n">
        <v>0.02943964032041269</v>
      </c>
      <c r="H875" s="121" t="n">
        <v>46.30981640756442</v>
      </c>
      <c r="I875" s="118" t="n">
        <v>72.60693954467773</v>
      </c>
      <c r="J875" s="118" t="n">
        <v>78.31214004516602</v>
      </c>
      <c r="K875" s="120" t="n">
        <v>0.2678316224771165</v>
      </c>
      <c r="L875" s="120" t="n">
        <v>-0.03173587209346629</v>
      </c>
      <c r="M875" s="120" t="n">
        <v>-0.2732446052624944</v>
      </c>
      <c r="N875" t="n">
        <v>59.40650364020569</v>
      </c>
      <c r="O875" t="n">
        <v>0.5948166041390046</v>
      </c>
      <c r="P875" t="n">
        <v>143.0684165004693</v>
      </c>
      <c r="Q875" t="n">
        <v>144.7362114358284</v>
      </c>
    </row>
    <row r="876">
      <c r="A876" s="117" t="n">
        <v>45687</v>
      </c>
      <c r="B876" s="118" t="n">
        <v>73.92949687970616</v>
      </c>
      <c r="C876" s="118" t="n">
        <v>75.77653008020627</v>
      </c>
      <c r="D876" s="118" t="n">
        <v>73.92949687970616</v>
      </c>
      <c r="E876" s="118" t="n">
        <v>75.35325622558594</v>
      </c>
      <c r="F876" s="119" t="n">
        <v>10902100</v>
      </c>
      <c r="G876" s="120" t="n">
        <v>0.0228516954923057</v>
      </c>
      <c r="H876" s="121" t="n">
        <v>47.36807423041466</v>
      </c>
      <c r="I876" s="118" t="n">
        <v>72.66531921386719</v>
      </c>
      <c r="J876" s="118" t="n">
        <v>78.25229602813721</v>
      </c>
      <c r="K876" s="120" t="n">
        <v>0.2642890624160262</v>
      </c>
      <c r="L876" s="120" t="n">
        <v>-0.009609395086423222</v>
      </c>
      <c r="M876" s="120" t="n">
        <v>-0.2566370122845626</v>
      </c>
      <c r="N876" t="n">
        <v>64.48723176624615</v>
      </c>
      <c r="O876" t="n">
        <v>0.7527752203015832</v>
      </c>
      <c r="P876" t="n">
        <v>143.8362913783351</v>
      </c>
      <c r="Q876" t="n">
        <v>145.3531100175956</v>
      </c>
    </row>
    <row r="877">
      <c r="A877" s="117" t="n">
        <v>45688</v>
      </c>
      <c r="B877" s="118" t="n">
        <v>75.14162379785782</v>
      </c>
      <c r="C877" s="118" t="n">
        <v>75.86312190831777</v>
      </c>
      <c r="D877" s="118" t="n">
        <v>73.84292866692159</v>
      </c>
      <c r="E877" s="118" t="n">
        <v>73.97760772705078</v>
      </c>
      <c r="F877" s="119" t="n">
        <v>13098000</v>
      </c>
      <c r="G877" s="120" t="n">
        <v>-0.01825599273927669</v>
      </c>
      <c r="H877" s="121" t="n">
        <v>46.50332301119069</v>
      </c>
      <c r="I877" s="118" t="n">
        <v>72.67742645263672</v>
      </c>
      <c r="J877" s="118" t="n">
        <v>78.18035343170166</v>
      </c>
      <c r="K877" s="120" t="n">
        <v>0.2706800876440671</v>
      </c>
      <c r="L877" s="120" t="n">
        <v>-0.02768995877877334</v>
      </c>
      <c r="M877" s="120" t="n">
        <v>-0.2702078415909427</v>
      </c>
      <c r="N877" t="n">
        <v>58.08916179228501</v>
      </c>
      <c r="O877" t="n">
        <v>0.7301313863920174</v>
      </c>
      <c r="P877" t="n">
        <v>143.070807346716</v>
      </c>
      <c r="Q877" t="n">
        <v>145.1419236685828</v>
      </c>
    </row>
    <row r="878">
      <c r="A878" s="117" t="n">
        <v>45691</v>
      </c>
      <c r="B878" s="118" t="n">
        <v>72.05360413809005</v>
      </c>
      <c r="C878" s="118" t="n">
        <v>73.7755803029325</v>
      </c>
      <c r="D878" s="118" t="n">
        <v>70.43744827060075</v>
      </c>
      <c r="E878" s="118" t="n">
        <v>73.67937469482422</v>
      </c>
      <c r="F878" s="119" t="n">
        <v>18539200</v>
      </c>
      <c r="G878" s="120" t="n">
        <v>-0.004031396004679277</v>
      </c>
      <c r="H878" s="121" t="n">
        <v>46.31584970059907</v>
      </c>
      <c r="I878" s="118" t="n">
        <v>72.71745101928711</v>
      </c>
      <c r="J878" s="118" t="n">
        <v>78.10554332733155</v>
      </c>
      <c r="K878" s="120" t="n">
        <v>0.2516434745194809</v>
      </c>
      <c r="L878" s="120" t="n">
        <v>-0.03160972559426201</v>
      </c>
      <c r="M878" s="120" t="n">
        <v>-0.2731499227825992</v>
      </c>
      <c r="N878" t="n">
        <v>56.77406360216838</v>
      </c>
      <c r="O878" t="n">
        <v>0.6625704837196624</v>
      </c>
      <c r="P878" t="n">
        <v>142.1080194665059</v>
      </c>
      <c r="Q878" t="n">
        <v>143.9803389422139</v>
      </c>
    </row>
    <row r="879">
      <c r="A879" s="117" t="n">
        <v>45692</v>
      </c>
      <c r="B879" s="118" t="n">
        <v>74.60291069270569</v>
      </c>
      <c r="C879" s="118" t="n">
        <v>75.18972976769891</v>
      </c>
      <c r="D879" s="118" t="n">
        <v>73.15029238088162</v>
      </c>
      <c r="E879" s="118" t="n">
        <v>73.80445098876953</v>
      </c>
      <c r="F879" s="119" t="n">
        <v>11943700</v>
      </c>
      <c r="G879" s="120" t="n">
        <v>0.001697575399674189</v>
      </c>
      <c r="H879" s="121" t="n">
        <v>46.39447434766581</v>
      </c>
      <c r="I879" s="118" t="n">
        <v>72.77873657226563</v>
      </c>
      <c r="J879" s="118" t="n">
        <v>78.02447734832764</v>
      </c>
      <c r="K879" s="120" t="n">
        <v>0.2503133590593686</v>
      </c>
      <c r="L879" s="120" t="n">
        <v>-0.02996581008714716</v>
      </c>
      <c r="M879" s="120" t="n">
        <v>-0.2719160399722637</v>
      </c>
      <c r="N879" t="n">
        <v>57.211578932283</v>
      </c>
      <c r="O879" t="n">
        <v>0.5959025668041024</v>
      </c>
      <c r="P879" t="n">
        <v>143.0613177532801</v>
      </c>
      <c r="Q879" t="n">
        <v>145.7477152735025</v>
      </c>
    </row>
    <row r="880">
      <c r="A880" s="117" t="n">
        <v>45693</v>
      </c>
      <c r="B880" s="118" t="n">
        <v>73.40041153861378</v>
      </c>
      <c r="C880" s="118" t="n">
        <v>73.8717882544093</v>
      </c>
      <c r="D880" s="118" t="n">
        <v>71.57261483683773</v>
      </c>
      <c r="E880" s="118" t="n">
        <v>71.73615264892578</v>
      </c>
      <c r="F880" s="119" t="n">
        <v>9807400</v>
      </c>
      <c r="G880" s="120" t="n">
        <v>-0.02802403259064246</v>
      </c>
      <c r="H880" s="121" t="n">
        <v>45.0943140865211</v>
      </c>
      <c r="I880" s="118" t="n">
        <v>72.80918426513672</v>
      </c>
      <c r="J880" s="118" t="n">
        <v>77.92879863739013</v>
      </c>
      <c r="K880" s="120" t="n">
        <v>0.2634654004793937</v>
      </c>
      <c r="L880" s="120" t="n">
        <v>-0.05715007983930243</v>
      </c>
      <c r="M880" s="120" t="n">
        <v>-0.2923198885968049</v>
      </c>
      <c r="N880" t="n">
        <v>48.4741794367587</v>
      </c>
      <c r="O880" t="n">
        <v>0.3919549709353215</v>
      </c>
      <c r="P880" t="n">
        <v>143.6413341010603</v>
      </c>
      <c r="Q880" t="n">
        <v>146.4091442885999</v>
      </c>
    </row>
    <row r="881">
      <c r="A881" s="117" t="n">
        <v>45694</v>
      </c>
      <c r="B881" s="118" t="n">
        <v>72.38068582624201</v>
      </c>
      <c r="C881" s="118" t="n">
        <v>72.53460894063599</v>
      </c>
      <c r="D881" s="118" t="n">
        <v>68.90787445690226</v>
      </c>
      <c r="E881" s="118" t="n">
        <v>69.01369476318359</v>
      </c>
      <c r="F881" s="119" t="n">
        <v>16059400</v>
      </c>
      <c r="G881" s="120" t="n">
        <v>-0.03795098824250864</v>
      </c>
      <c r="H881" s="121" t="n">
        <v>43.38294030281955</v>
      </c>
      <c r="I881" s="118" t="n">
        <v>72.75187515258789</v>
      </c>
      <c r="J881" s="118" t="n">
        <v>77.82525001525879</v>
      </c>
      <c r="K881" s="120" t="n">
        <v>0.2990606014484698</v>
      </c>
      <c r="L881" s="120" t="n">
        <v>-0.09293216607377131</v>
      </c>
      <c r="M881" s="120" t="n">
        <v>-0.3191770481841247</v>
      </c>
      <c r="N881" t="n">
        <v>39.84769024367291</v>
      </c>
      <c r="O881" t="n">
        <v>0.07001412318449374</v>
      </c>
      <c r="P881" t="n">
        <v>144.1405929756196</v>
      </c>
      <c r="Q881" t="n">
        <v>147.1733555586784</v>
      </c>
    </row>
    <row r="882">
      <c r="A882" s="117" t="n">
        <v>45695</v>
      </c>
      <c r="B882" s="118" t="n">
        <v>67.87854481826062</v>
      </c>
      <c r="C882" s="118" t="n">
        <v>68.1190442058984</v>
      </c>
      <c r="D882" s="118" t="n">
        <v>66.01227456102346</v>
      </c>
      <c r="E882" s="118" t="n">
        <v>66.06999206542969</v>
      </c>
      <c r="F882" s="119" t="n">
        <v>27428700</v>
      </c>
      <c r="G882" s="120" t="n">
        <v>-0.04265389221450966</v>
      </c>
      <c r="H882" s="121" t="n">
        <v>41.53248904319457</v>
      </c>
      <c r="I882" s="118" t="n">
        <v>72.59166519165039</v>
      </c>
      <c r="J882" s="118" t="n">
        <v>77.70859638214111</v>
      </c>
      <c r="K882" s="120" t="n">
        <v>0.3334836171667893</v>
      </c>
      <c r="L882" s="120" t="n">
        <v>-0.1316221396933094</v>
      </c>
      <c r="M882" s="120" t="n">
        <v>-0.3482167969880434</v>
      </c>
      <c r="N882" t="n">
        <v>33.00768882502092</v>
      </c>
      <c r="O882" t="n">
        <v>-0.3232848410992109</v>
      </c>
      <c r="P882" t="n">
        <v>142.8212148052117</v>
      </c>
      <c r="Q882" t="n">
        <v>145.3170208866696</v>
      </c>
    </row>
    <row r="883">
      <c r="A883" s="117" t="n">
        <v>45698</v>
      </c>
      <c r="B883" s="118" t="n">
        <v>66.72414472269703</v>
      </c>
      <c r="C883" s="118" t="n">
        <v>68.25371716826213</v>
      </c>
      <c r="D883" s="118" t="n">
        <v>66.49326738627286</v>
      </c>
      <c r="E883" s="118" t="n">
        <v>68.24410247802734</v>
      </c>
      <c r="F883" s="119" t="n">
        <v>16201300</v>
      </c>
      <c r="G883" s="120" t="n">
        <v>0.03290617032986187</v>
      </c>
      <c r="H883" s="121" t="n">
        <v>42.89916420187306</v>
      </c>
      <c r="I883" s="118" t="n">
        <v>72.4393325805664</v>
      </c>
      <c r="J883" s="118" t="n">
        <v>77.60362010955811</v>
      </c>
      <c r="K883" s="120" t="n">
        <v>0.3553524895120684</v>
      </c>
      <c r="L883" s="120" t="n">
        <v>-0.1030471499113764</v>
      </c>
      <c r="M883" s="120" t="n">
        <v>-0.326769107891589</v>
      </c>
      <c r="N883" t="n">
        <v>41.05535134653441</v>
      </c>
      <c r="O883" t="n">
        <v>-0.4133486006810941</v>
      </c>
      <c r="P883" t="n">
        <v>143.7911161909211</v>
      </c>
      <c r="Q883" t="n">
        <v>147.0760584414943</v>
      </c>
    </row>
    <row r="884">
      <c r="A884" s="117" t="n">
        <v>45699</v>
      </c>
      <c r="B884" s="118" t="n">
        <v>67.88816376964019</v>
      </c>
      <c r="C884" s="118" t="n">
        <v>69.25419846799402</v>
      </c>
      <c r="D884" s="118" t="n">
        <v>67.83044626785183</v>
      </c>
      <c r="E884" s="118" t="n">
        <v>68.62889862060547</v>
      </c>
      <c r="F884" s="119" t="n">
        <v>9636600</v>
      </c>
      <c r="G884" s="120" t="n">
        <v>0.005638525947381678</v>
      </c>
      <c r="H884" s="121" t="n">
        <v>43.14105225234631</v>
      </c>
      <c r="I884" s="118" t="n">
        <v>72.32628067016601</v>
      </c>
      <c r="J884" s="118" t="n">
        <v>77.49762542724609</v>
      </c>
      <c r="K884" s="120" t="n">
        <v>0.3530594345759566</v>
      </c>
      <c r="L884" s="120" t="n">
        <v>-0.09798965799257375</v>
      </c>
      <c r="M884" s="120" t="n">
        <v>-0.3229730780378569</v>
      </c>
      <c r="N884" t="n">
        <v>42.37479567460553</v>
      </c>
      <c r="O884" t="n">
        <v>-0.4218768689729052</v>
      </c>
      <c r="P884" t="n">
        <v>143.9004900275512</v>
      </c>
      <c r="Q884" t="n">
        <v>146.7259323559475</v>
      </c>
    </row>
    <row r="885">
      <c r="A885" s="117" t="n">
        <v>45700</v>
      </c>
      <c r="B885" s="118" t="n">
        <v>67.91701958832863</v>
      </c>
      <c r="C885" s="118" t="n">
        <v>69.69671343140027</v>
      </c>
      <c r="D885" s="118" t="n">
        <v>67.65728350203614</v>
      </c>
      <c r="E885" s="118" t="n">
        <v>69.51393890380859</v>
      </c>
      <c r="F885" s="119" t="n">
        <v>10810900</v>
      </c>
      <c r="G885" s="120" t="n">
        <v>0.01289602923829225</v>
      </c>
      <c r="H885" s="121" t="n">
        <v>43.69740052356326</v>
      </c>
      <c r="I885" s="118" t="n">
        <v>72.21695571899414</v>
      </c>
      <c r="J885" s="118" t="n">
        <v>77.39937801361084</v>
      </c>
      <c r="K885" s="120" t="n">
        <v>0.3528462776449769</v>
      </c>
      <c r="L885" s="120" t="n">
        <v>-0.086357306248804</v>
      </c>
      <c r="M885" s="120" t="n">
        <v>-0.3142421190571221</v>
      </c>
      <c r="N885" t="n">
        <v>45.40199140173445</v>
      </c>
      <c r="O885" t="n">
        <v>-0.345967249898436</v>
      </c>
      <c r="P885" t="n">
        <v>143.4369167469699</v>
      </c>
      <c r="Q885" t="n">
        <v>146.8120883209708</v>
      </c>
    </row>
    <row r="886">
      <c r="A886" s="117" t="n">
        <v>45701</v>
      </c>
      <c r="B886" s="118" t="n">
        <v>69.69670587822603</v>
      </c>
      <c r="C886" s="118" t="n">
        <v>70.80300431141924</v>
      </c>
      <c r="D886" s="118" t="n">
        <v>68.90786833567613</v>
      </c>
      <c r="E886" s="118" t="n">
        <v>70.42782592773438</v>
      </c>
      <c r="F886" s="119" t="n">
        <v>9739600</v>
      </c>
      <c r="G886" s="120" t="n">
        <v>0.01314681685913954</v>
      </c>
      <c r="H886" s="121" t="n">
        <v>44.27188224546701</v>
      </c>
      <c r="I886" s="118" t="n">
        <v>72.1176774597168</v>
      </c>
      <c r="J886" s="118" t="n">
        <v>77.30484577178954</v>
      </c>
      <c r="K886" s="120" t="n">
        <v>0.3553053482105956</v>
      </c>
      <c r="L886" s="120" t="n">
        <v>-0.07434581307936616</v>
      </c>
      <c r="M886" s="120" t="n">
        <v>-0.2996725701253677</v>
      </c>
      <c r="N886" t="n">
        <v>48.41542768791636</v>
      </c>
      <c r="O886" t="n">
        <v>-0.2184834455769077</v>
      </c>
      <c r="P886" t="n">
        <v>144.9512521946525</v>
      </c>
      <c r="Q886" t="n">
        <v>148.9240543370391</v>
      </c>
    </row>
    <row r="887">
      <c r="A887" s="117" t="n">
        <v>45702</v>
      </c>
      <c r="B887" s="118" t="n">
        <v>70.38935451673089</v>
      </c>
      <c r="C887" s="118" t="n">
        <v>70.70681544960729</v>
      </c>
      <c r="D887" s="118" t="n">
        <v>69.59089483929932</v>
      </c>
      <c r="E887" s="118" t="n">
        <v>70.26429748535156</v>
      </c>
      <c r="F887" s="119" t="n">
        <v>9254400</v>
      </c>
      <c r="G887" s="120" t="n">
        <v>-0.002321929439517367</v>
      </c>
      <c r="H887" s="121" t="n">
        <v>44.16908605873841</v>
      </c>
      <c r="I887" s="118" t="n">
        <v>72.00127578735352</v>
      </c>
      <c r="J887" s="118" t="n">
        <v>77.20978065490722</v>
      </c>
      <c r="K887" s="120" t="n">
        <v>0.35557776840871</v>
      </c>
      <c r="L887" s="120" t="n">
        <v>-0.07649511678678989</v>
      </c>
      <c r="M887" s="120" t="n">
        <v>-0.3012986810020952</v>
      </c>
      <c r="N887" t="n">
        <v>47.90590940498155</v>
      </c>
      <c r="O887" t="n">
        <v>-0.1336170228337777</v>
      </c>
      <c r="P887" t="n">
        <v>144.9441091725329</v>
      </c>
      <c r="Q887" t="n">
        <v>149.5493600458971</v>
      </c>
    </row>
    <row r="888">
      <c r="A888" s="117" t="n">
        <v>45706</v>
      </c>
      <c r="B888" s="118" t="n">
        <v>71.6688116452944</v>
      </c>
      <c r="C888" s="118" t="n">
        <v>74.72796389903428</v>
      </c>
      <c r="D888" s="118" t="n">
        <v>71.6688116452944</v>
      </c>
      <c r="E888" s="118" t="n">
        <v>74.64138031005859</v>
      </c>
      <c r="F888" s="119" t="n">
        <v>28252400</v>
      </c>
      <c r="G888" s="120" t="n">
        <v>0.06229455045244769</v>
      </c>
      <c r="H888" s="121" t="n">
        <v>46.920579418663</v>
      </c>
      <c r="I888" s="118" t="n">
        <v>71.97684097290039</v>
      </c>
      <c r="J888" s="118" t="n">
        <v>77.1451432800293</v>
      </c>
      <c r="K888" s="120" t="n">
        <v>0.4147869836099567</v>
      </c>
      <c r="L888" s="120" t="n">
        <v>-0.01896579524638264</v>
      </c>
      <c r="M888" s="120" t="n">
        <v>-0.2558136686821184</v>
      </c>
      <c r="N888" t="n">
        <v>60.03079517421658</v>
      </c>
      <c r="O888" t="n">
        <v>0.2101645562494106</v>
      </c>
      <c r="P888" t="n">
        <v>145.36966504613</v>
      </c>
      <c r="Q888" t="n">
        <v>149.8883791545964</v>
      </c>
    </row>
    <row r="889">
      <c r="A889" s="117" t="n">
        <v>45707</v>
      </c>
      <c r="B889" s="118" t="n">
        <v>73.90064050601563</v>
      </c>
      <c r="C889" s="118" t="n">
        <v>74.72795886312346</v>
      </c>
      <c r="D889" s="118" t="n">
        <v>73.19837916960263</v>
      </c>
      <c r="E889" s="118" t="n">
        <v>73.86215972900391</v>
      </c>
      <c r="F889" s="119" t="n">
        <v>14184100</v>
      </c>
      <c r="G889" s="120" t="n">
        <v>-0.01043952533859671</v>
      </c>
      <c r="H889" s="121" t="n">
        <v>46.43075084092022</v>
      </c>
      <c r="I889" s="118" t="n">
        <v>71.94624923706054</v>
      </c>
      <c r="J889" s="118" t="n">
        <v>77.08572174072266</v>
      </c>
      <c r="K889" s="120" t="n">
        <v>0.4043683953523576</v>
      </c>
      <c r="L889" s="120" t="n">
        <v>-0.0292073266849382</v>
      </c>
      <c r="M889" s="120" t="n">
        <v>-0.2606545241934948</v>
      </c>
      <c r="N889" t="n">
        <v>57.46652113673169</v>
      </c>
      <c r="O889" t="n">
        <v>0.3686652960323846</v>
      </c>
      <c r="P889" t="n">
        <v>145.7119988087088</v>
      </c>
      <c r="Q889" t="n">
        <v>149.9300559492596</v>
      </c>
    </row>
    <row r="890">
      <c r="A890" s="117" t="n">
        <v>45708</v>
      </c>
      <c r="B890" s="118" t="n">
        <v>73.98722794083432</v>
      </c>
      <c r="C890" s="118" t="n">
        <v>74.33354027305295</v>
      </c>
      <c r="D890" s="118" t="n">
        <v>73.43888234446432</v>
      </c>
      <c r="E890" s="118" t="n">
        <v>74.29506683349609</v>
      </c>
      <c r="F890" s="119" t="n">
        <v>10689600</v>
      </c>
      <c r="G890" s="120" t="n">
        <v>0.005861013353529065</v>
      </c>
      <c r="H890" s="121" t="n">
        <v>46.70288209161323</v>
      </c>
      <c r="I890" s="118" t="n">
        <v>71.92027542114258</v>
      </c>
      <c r="J890" s="118" t="n">
        <v>77.01864101409912</v>
      </c>
      <c r="K890" s="120" t="n">
        <v>0.4031187630593447</v>
      </c>
      <c r="L890" s="120" t="n">
        <v>-0.0235174978631304</v>
      </c>
      <c r="M890" s="120" t="n">
        <v>-0.2563212104869216</v>
      </c>
      <c r="N890" t="n">
        <v>58.52645907482741</v>
      </c>
      <c r="O890" t="n">
        <v>0.4792416188961583</v>
      </c>
      <c r="P890" t="n">
        <v>145.1057864603864</v>
      </c>
      <c r="Q890" t="n">
        <v>149.2936945265241</v>
      </c>
    </row>
    <row r="891">
      <c r="A891" s="117" t="n">
        <v>45709</v>
      </c>
      <c r="B891" s="118" t="n">
        <v>74.45861083571114</v>
      </c>
      <c r="C891" s="118" t="n">
        <v>75.02618585963158</v>
      </c>
      <c r="D891" s="118" t="n">
        <v>72.97713374791611</v>
      </c>
      <c r="E891" s="118" t="n">
        <v>73.59281158447266</v>
      </c>
      <c r="F891" s="119" t="n">
        <v>12823400</v>
      </c>
      <c r="G891" s="120" t="n">
        <v>-0.00945224600978245</v>
      </c>
      <c r="H891" s="121" t="n">
        <v>46.26143496071744</v>
      </c>
      <c r="I891" s="118" t="n">
        <v>71.87429229736328</v>
      </c>
      <c r="J891" s="118" t="n">
        <v>76.94928283691407</v>
      </c>
      <c r="K891" s="120" t="n">
        <v>0.4052794776063782</v>
      </c>
      <c r="L891" s="120" t="n">
        <v>-0.03274745069757601</v>
      </c>
      <c r="M891" s="120" t="n">
        <v>-0.2633506453576565</v>
      </c>
      <c r="N891" t="n">
        <v>56.08482883835768</v>
      </c>
      <c r="O891" t="n">
        <v>0.4804475540767988</v>
      </c>
      <c r="P891" t="n">
        <v>142.6238814400004</v>
      </c>
      <c r="Q891" t="n">
        <v>146.1951726515468</v>
      </c>
    </row>
    <row r="892">
      <c r="A892" s="117" t="n">
        <v>45712</v>
      </c>
      <c r="B892" s="118" t="n">
        <v>75.88235855470144</v>
      </c>
      <c r="C892" s="118" t="n">
        <v>78.00837210405217</v>
      </c>
      <c r="D892" s="118" t="n">
        <v>75.75730152454844</v>
      </c>
      <c r="E892" s="118" t="n">
        <v>77.22915649414062</v>
      </c>
      <c r="F892" s="119" t="n">
        <v>24553500</v>
      </c>
      <c r="G892" s="120" t="n">
        <v>0.04941168616032598</v>
      </c>
      <c r="H892" s="121" t="n">
        <v>48.54729046632275</v>
      </c>
      <c r="I892" s="118" t="n">
        <v>71.92508605957032</v>
      </c>
      <c r="J892" s="118" t="n">
        <v>76.89236400604248</v>
      </c>
      <c r="K892" s="120" t="n">
        <v>0.4362218148453757</v>
      </c>
      <c r="L892" s="120" t="n">
        <v>0</v>
      </c>
      <c r="M892" s="120" t="n">
        <v>-0.2269515586358622</v>
      </c>
      <c r="N892" t="n">
        <v>64.37304561810203</v>
      </c>
      <c r="O892" t="n">
        <v>0.6888233212056281</v>
      </c>
      <c r="P892" t="n">
        <v>141.9748699922006</v>
      </c>
      <c r="Q892" t="n">
        <v>144.4694047642946</v>
      </c>
    </row>
    <row r="893">
      <c r="A893" s="117" t="n">
        <v>45713</v>
      </c>
      <c r="B893" s="118" t="n">
        <v>77.2580133525028</v>
      </c>
      <c r="C893" s="118" t="n">
        <v>78.84531062299514</v>
      </c>
      <c r="D893" s="118" t="n">
        <v>77.00789929832102</v>
      </c>
      <c r="E893" s="118" t="n">
        <v>78.61443328857422</v>
      </c>
      <c r="F893" s="119" t="n">
        <v>15522500</v>
      </c>
      <c r="G893" s="120" t="n">
        <v>0.01793722548994436</v>
      </c>
      <c r="H893" s="121" t="n">
        <v>49.41809416234301</v>
      </c>
      <c r="I893" s="118" t="n">
        <v>72.02090103149413</v>
      </c>
      <c r="J893" s="118" t="n">
        <v>76.84037837982177</v>
      </c>
      <c r="K893" s="120" t="n">
        <v>0.4310168491018939</v>
      </c>
      <c r="L893" s="120" t="n">
        <v>0</v>
      </c>
      <c r="M893" s="120" t="n">
        <v>-0.2130852144284637</v>
      </c>
      <c r="N893" t="n">
        <v>66.93335707911486</v>
      </c>
      <c r="O893" t="n">
        <v>0.8708978475231188</v>
      </c>
      <c r="P893" t="n">
        <v>141.2688176756145</v>
      </c>
      <c r="Q893" t="n">
        <v>142.6492190300103</v>
      </c>
    </row>
    <row r="894">
      <c r="A894" s="117" t="n">
        <v>45714</v>
      </c>
      <c r="B894" s="118" t="n">
        <v>78.97998502346479</v>
      </c>
      <c r="C894" s="118" t="n">
        <v>79.30706795578135</v>
      </c>
      <c r="D894" s="118" t="n">
        <v>77.76786624516318</v>
      </c>
      <c r="E894" s="118" t="n">
        <v>78.0853271484375</v>
      </c>
      <c r="F894" s="119" t="n">
        <v>16058100</v>
      </c>
      <c r="G894" s="120" t="n">
        <v>-0.006730394381836979</v>
      </c>
      <c r="H894" s="121" t="n">
        <v>49.08549089903168</v>
      </c>
      <c r="I894" s="118" t="n">
        <v>72.06553771972656</v>
      </c>
      <c r="J894" s="118" t="n">
        <v>76.78664894104004</v>
      </c>
      <c r="K894" s="120" t="n">
        <v>0.4266329729285784</v>
      </c>
      <c r="L894" s="120" t="n">
        <v>-0.00673039438183709</v>
      </c>
      <c r="M894" s="120" t="n">
        <v>-0.2148135020961092</v>
      </c>
      <c r="N894" t="n">
        <v>65.01161120346791</v>
      </c>
      <c r="O894" t="n">
        <v>0.9027862192105837</v>
      </c>
      <c r="P894" t="n">
        <v>141.3401445886401</v>
      </c>
      <c r="Q894" t="n">
        <v>142.9937916271333</v>
      </c>
    </row>
    <row r="895">
      <c r="A895" s="117" t="n">
        <v>45715</v>
      </c>
      <c r="B895" s="118" t="n">
        <v>78.3931718809481</v>
      </c>
      <c r="C895" s="118" t="n">
        <v>78.3931718809481</v>
      </c>
      <c r="D895" s="118" t="n">
        <v>76.44031818852841</v>
      </c>
      <c r="E895" s="118" t="n">
        <v>76.97903442382812</v>
      </c>
      <c r="F895" s="119" t="n">
        <v>11651900</v>
      </c>
      <c r="G895" s="120" t="n">
        <v>-0.01416774143119548</v>
      </c>
      <c r="H895" s="121" t="n">
        <v>48.3900603559509</v>
      </c>
      <c r="I895" s="118" t="n">
        <v>72.10517196655273</v>
      </c>
      <c r="J895" s="118" t="n">
        <v>76.72833713531494</v>
      </c>
      <c r="K895" s="120" t="n">
        <v>0.4211546574712814</v>
      </c>
      <c r="L895" s="120" t="n">
        <v>-0.02080278132570068</v>
      </c>
      <c r="M895" s="120" t="n">
        <v>-0.2259378213736775</v>
      </c>
      <c r="N895" t="n">
        <v>61.06386198780022</v>
      </c>
      <c r="O895" t="n">
        <v>0.7999768458119894</v>
      </c>
      <c r="P895" t="n">
        <v>139.0840712303933</v>
      </c>
      <c r="Q895" t="n">
        <v>139.0226714757025</v>
      </c>
    </row>
    <row r="896">
      <c r="A896" s="117" t="n">
        <v>45716</v>
      </c>
      <c r="B896" s="118" t="n">
        <v>76.23829342268968</v>
      </c>
      <c r="C896" s="118" t="n">
        <v>76.97902818620491</v>
      </c>
      <c r="D896" s="118" t="n">
        <v>75.2089565053875</v>
      </c>
      <c r="E896" s="118" t="n">
        <v>76.41145324707031</v>
      </c>
      <c r="F896" s="119" t="n">
        <v>14113800</v>
      </c>
      <c r="G896" s="120" t="n">
        <v>-0.007373191687919167</v>
      </c>
      <c r="H896" s="121" t="n">
        <v>48.0332711651565</v>
      </c>
      <c r="I896" s="118" t="n">
        <v>72.14711486816407</v>
      </c>
      <c r="J896" s="118" t="n">
        <v>76.67881454467773</v>
      </c>
      <c r="K896" s="120" t="n">
        <v>0.4154388109478546</v>
      </c>
      <c r="L896" s="120" t="n">
        <v>-0.02802259011926356</v>
      </c>
      <c r="M896" s="120" t="n">
        <v>-0.2257545073155338</v>
      </c>
      <c r="N896" t="n">
        <v>59.0816334180836</v>
      </c>
      <c r="O896" t="n">
        <v>0.6506869759656233</v>
      </c>
      <c r="P896" t="n">
        <v>141.2545759063056</v>
      </c>
      <c r="Q896" t="n">
        <v>141.2180508878957</v>
      </c>
    </row>
    <row r="897">
      <c r="A897" s="117" t="n">
        <v>45719</v>
      </c>
      <c r="B897" s="118" t="n">
        <v>77.33964751854843</v>
      </c>
      <c r="C897" s="118" t="n">
        <v>78.27750918257181</v>
      </c>
      <c r="D897" s="118" t="n">
        <v>75.30922938983915</v>
      </c>
      <c r="E897" s="118" t="n">
        <v>75.81200408935547</v>
      </c>
      <c r="F897" s="119" t="n">
        <v>8628800</v>
      </c>
      <c r="G897" s="120" t="n">
        <v>-0.007845017104655461</v>
      </c>
      <c r="H897" s="121" t="n">
        <v>47.65644933127329</v>
      </c>
      <c r="I897" s="118" t="n">
        <v>72.17803100585938</v>
      </c>
      <c r="J897" s="118" t="n">
        <v>76.61784725189209</v>
      </c>
      <c r="K897" s="120" t="n">
        <v>0.4106481590268655</v>
      </c>
      <c r="L897" s="120" t="n">
        <v>-0.03564776952511661</v>
      </c>
      <c r="M897" s="120" t="n">
        <v>-0.2287241606168697</v>
      </c>
      <c r="N897" t="n">
        <v>56.97792686162722</v>
      </c>
      <c r="O897" t="n">
        <v>0.4765732657558572</v>
      </c>
      <c r="P897" t="n">
        <v>138.7797843914189</v>
      </c>
      <c r="Q897" t="n">
        <v>138.1278507017256</v>
      </c>
    </row>
    <row r="898">
      <c r="A898" s="117" t="n">
        <v>45720</v>
      </c>
      <c r="B898" s="118" t="n">
        <v>75.12552429114103</v>
      </c>
      <c r="C898" s="118" t="n">
        <v>76.04405189444948</v>
      </c>
      <c r="D898" s="118" t="n">
        <v>74.23600887925568</v>
      </c>
      <c r="E898" s="118" t="n">
        <v>74.75811767578125</v>
      </c>
      <c r="F898" s="119" t="n">
        <v>10034100</v>
      </c>
      <c r="G898" s="120" t="n">
        <v>-0.01390131320538712</v>
      </c>
      <c r="H898" s="121" t="n">
        <v>46.9939621028626</v>
      </c>
      <c r="I898" s="118" t="n">
        <v>72.17247741699219</v>
      </c>
      <c r="J898" s="118" t="n">
        <v>76.55127834320068</v>
      </c>
      <c r="K898" s="120" t="n">
        <v>0.4139057794176111</v>
      </c>
      <c r="L898" s="120" t="n">
        <v>-0.04905353192126161</v>
      </c>
      <c r="M898" s="120" t="n">
        <v>-0.2269043426380414</v>
      </c>
      <c r="N898" t="n">
        <v>53.37933991207652</v>
      </c>
      <c r="O898" t="n">
        <v>0.2659404508283136</v>
      </c>
      <c r="P898" t="n">
        <v>137.1370664036141</v>
      </c>
      <c r="Q898" t="n">
        <v>137.7110144044671</v>
      </c>
    </row>
    <row r="899">
      <c r="A899" s="117" t="n">
        <v>45721</v>
      </c>
      <c r="B899" s="118" t="n">
        <v>74.76778839775565</v>
      </c>
      <c r="C899" s="118" t="n">
        <v>75.71531343916745</v>
      </c>
      <c r="D899" s="118" t="n">
        <v>73.92661188512572</v>
      </c>
      <c r="E899" s="118" t="n">
        <v>75.23188018798828</v>
      </c>
      <c r="F899" s="119" t="n">
        <v>9853600</v>
      </c>
      <c r="G899" s="120" t="n">
        <v>0.006337271816576395</v>
      </c>
      <c r="H899" s="121" t="n">
        <v>47.29177561444633</v>
      </c>
      <c r="I899" s="118" t="n">
        <v>72.19756286621094</v>
      </c>
      <c r="J899" s="118" t="n">
        <v>76.49239353179932</v>
      </c>
      <c r="K899" s="120" t="n">
        <v>0.4143300210721788</v>
      </c>
      <c r="L899" s="120" t="n">
        <v>-0.04302712567003353</v>
      </c>
      <c r="M899" s="120" t="n">
        <v>-0.2180137226761987</v>
      </c>
      <c r="N899" t="n">
        <v>54.76250950402945</v>
      </c>
      <c r="O899" t="n">
        <v>0.1403447422642812</v>
      </c>
      <c r="P899" t="n">
        <v>138.610993598066</v>
      </c>
      <c r="Q899" t="n">
        <v>139.5062094408445</v>
      </c>
    </row>
    <row r="900">
      <c r="A900" s="117" t="n">
        <v>45722</v>
      </c>
      <c r="B900" s="118" t="n">
        <v>74.19733121028609</v>
      </c>
      <c r="C900" s="118" t="n">
        <v>75.73465274104447</v>
      </c>
      <c r="D900" s="118" t="n">
        <v>74.19733121028609</v>
      </c>
      <c r="E900" s="118" t="n">
        <v>75.13519287109375</v>
      </c>
      <c r="F900" s="119" t="n">
        <v>9623700</v>
      </c>
      <c r="G900" s="120" t="n">
        <v>-0.001285190754942378</v>
      </c>
      <c r="H900" s="121" t="n">
        <v>47.23099666164183</v>
      </c>
      <c r="I900" s="118" t="n">
        <v>72.21686676025391</v>
      </c>
      <c r="J900" s="118" t="n">
        <v>76.43255073547363</v>
      </c>
      <c r="K900" s="120" t="n">
        <v>0.3998677048931937</v>
      </c>
      <c r="L900" s="120" t="n">
        <v>-0.04425701836085305</v>
      </c>
      <c r="M900" s="120" t="n">
        <v>-0.219018724210307</v>
      </c>
      <c r="N900" t="n">
        <v>54.40773600770635</v>
      </c>
      <c r="O900" t="n">
        <v>0.03790792963147149</v>
      </c>
      <c r="P900" t="n">
        <v>136.1504881274187</v>
      </c>
      <c r="Q900" t="n">
        <v>135.6684840813523</v>
      </c>
    </row>
    <row r="901">
      <c r="A901" s="117" t="n">
        <v>45723</v>
      </c>
      <c r="B901" s="118" t="n">
        <v>74.91281560821911</v>
      </c>
      <c r="C901" s="118" t="n">
        <v>76.38244936291301</v>
      </c>
      <c r="D901" s="118" t="n">
        <v>74.41971165447733</v>
      </c>
      <c r="E901" s="118" t="n">
        <v>75.98603057861328</v>
      </c>
      <c r="F901" s="119" t="n">
        <v>9294300</v>
      </c>
      <c r="G901" s="120" t="n">
        <v>0.01132409028322168</v>
      </c>
      <c r="H901" s="121" t="n">
        <v>47.76584473200481</v>
      </c>
      <c r="I901" s="118" t="n">
        <v>72.25626556396485</v>
      </c>
      <c r="J901" s="118" t="n">
        <v>76.37501628875732</v>
      </c>
      <c r="K901" s="120" t="n">
        <v>0.3707608945264871</v>
      </c>
      <c r="L901" s="120" t="n">
        <v>-0.03343409854921575</v>
      </c>
      <c r="M901" s="120" t="n">
        <v>-0.2101748217337589</v>
      </c>
      <c r="N901" t="n">
        <v>57.04494191934211</v>
      </c>
      <c r="O901" t="n">
        <v>0.01573900492028213</v>
      </c>
      <c r="P901" t="n">
        <v>136.9135960711013</v>
      </c>
      <c r="Q901" t="n">
        <v>136.666129829452</v>
      </c>
    </row>
    <row r="902">
      <c r="A902" s="117" t="n">
        <v>45726</v>
      </c>
      <c r="B902" s="118" t="n">
        <v>74.94182129753507</v>
      </c>
      <c r="C902" s="118" t="n">
        <v>77.53302370254626</v>
      </c>
      <c r="D902" s="118" t="n">
        <v>73.53986050611529</v>
      </c>
      <c r="E902" s="118" t="n">
        <v>73.86859893798828</v>
      </c>
      <c r="F902" s="119" t="n">
        <v>15822600</v>
      </c>
      <c r="G902" s="120" t="n">
        <v>-0.02786606465032226</v>
      </c>
      <c r="H902" s="121" t="n">
        <v>46.43479861462551</v>
      </c>
      <c r="I902" s="118" t="n">
        <v>72.25677902221679</v>
      </c>
      <c r="J902" s="118" t="n">
        <v>76.30884052276612</v>
      </c>
      <c r="K902" s="120" t="n">
        <v>0.3485612295566068</v>
      </c>
      <c r="L902" s="120" t="n">
        <v>-0.06036848644784032</v>
      </c>
      <c r="M902" s="120" t="n">
        <v>-0.2321841412137783</v>
      </c>
      <c r="N902" t="n">
        <v>49.38851406064101</v>
      </c>
      <c r="O902" t="n">
        <v>-0.1444213187793215</v>
      </c>
      <c r="P902" t="n">
        <v>133.2668028711108</v>
      </c>
      <c r="Q902" t="n">
        <v>131.3694432542413</v>
      </c>
    </row>
    <row r="903">
      <c r="A903" s="117" t="n">
        <v>45727</v>
      </c>
      <c r="B903" s="118" t="n">
        <v>73.3948314735923</v>
      </c>
      <c r="C903" s="118" t="n">
        <v>73.55919699010708</v>
      </c>
      <c r="D903" s="118" t="n">
        <v>71.18070654721721</v>
      </c>
      <c r="E903" s="118" t="n">
        <v>71.71247863769531</v>
      </c>
      <c r="F903" s="119" t="n">
        <v>12837000</v>
      </c>
      <c r="G903" s="120" t="n">
        <v>-0.02918859070419089</v>
      </c>
      <c r="H903" s="121" t="n">
        <v>45.07943228343167</v>
      </c>
      <c r="I903" s="118" t="n">
        <v>72.21359298706055</v>
      </c>
      <c r="J903" s="118" t="n">
        <v>76.22690105438232</v>
      </c>
      <c r="K903" s="120" t="n">
        <v>0.3542036622688828</v>
      </c>
      <c r="L903" s="120" t="n">
        <v>-0.08779500610967372</v>
      </c>
      <c r="M903" s="120" t="n">
        <v>-0.2545956040520762</v>
      </c>
      <c r="N903" t="n">
        <v>43.05199676006679</v>
      </c>
      <c r="O903" t="n">
        <v>-0.3848159636838198</v>
      </c>
      <c r="P903" t="n">
        <v>132.1589850769129</v>
      </c>
      <c r="Q903" t="n">
        <v>131.0554062996206</v>
      </c>
    </row>
    <row r="904">
      <c r="A904" s="117" t="n">
        <v>45728</v>
      </c>
      <c r="B904" s="118" t="n">
        <v>71.89619110226425</v>
      </c>
      <c r="C904" s="118" t="n">
        <v>72.03155181756478</v>
      </c>
      <c r="D904" s="118" t="n">
        <v>70.80363464973698</v>
      </c>
      <c r="E904" s="118" t="n">
        <v>71.14203643798828</v>
      </c>
      <c r="F904" s="119" t="n">
        <v>12304900</v>
      </c>
      <c r="G904" s="120" t="n">
        <v>-0.007954573744257454</v>
      </c>
      <c r="H904" s="121" t="n">
        <v>44.72084461498385</v>
      </c>
      <c r="I904" s="118" t="n">
        <v>72.15611190795899</v>
      </c>
      <c r="J904" s="118" t="n">
        <v>76.14362800598144</v>
      </c>
      <c r="K904" s="120" t="n">
        <v>0.3559968869875474</v>
      </c>
      <c r="L904" s="120" t="n">
        <v>-0.09505120800345435</v>
      </c>
      <c r="M904" s="120" t="n">
        <v>-0.2605249782889375</v>
      </c>
      <c r="N904" t="n">
        <v>41.53372710897792</v>
      </c>
      <c r="O904" t="n">
        <v>-0.5608266968354878</v>
      </c>
      <c r="P904" t="n">
        <v>132.8602999759362</v>
      </c>
      <c r="Q904" t="n">
        <v>132.5338218124788</v>
      </c>
    </row>
    <row r="905">
      <c r="A905" s="117" t="n">
        <v>45729</v>
      </c>
      <c r="B905" s="118" t="n">
        <v>70.75529363079227</v>
      </c>
      <c r="C905" s="118" t="n">
        <v>71.49011426600362</v>
      </c>
      <c r="D905" s="118" t="n">
        <v>69.29532309121093</v>
      </c>
      <c r="E905" s="118" t="n">
        <v>70.23318481445312</v>
      </c>
      <c r="F905" s="119" t="n">
        <v>10195900</v>
      </c>
      <c r="G905" s="120" t="n">
        <v>-0.01277517019529473</v>
      </c>
      <c r="H905" s="121" t="n">
        <v>44.1495282137501</v>
      </c>
      <c r="I905" s="118" t="n">
        <v>72.09045852661133</v>
      </c>
      <c r="J905" s="118" t="n">
        <v>76.06103103637696</v>
      </c>
      <c r="K905" s="120" t="n">
        <v>0.357268500760337</v>
      </c>
      <c r="L905" s="120" t="n">
        <v>-0.1066120828392366</v>
      </c>
      <c r="M905" s="120" t="n">
        <v>-0.2699718975464656</v>
      </c>
      <c r="N905" t="n">
        <v>39.16394678826114</v>
      </c>
      <c r="O905" t="n">
        <v>-0.7075743293053138</v>
      </c>
      <c r="P905" t="n">
        <v>131.0892289646296</v>
      </c>
      <c r="Q905" t="n">
        <v>130.1494700049679</v>
      </c>
    </row>
    <row r="906">
      <c r="A906" s="117" t="n">
        <v>45730</v>
      </c>
      <c r="B906" s="118" t="n">
        <v>70.8519788636498</v>
      </c>
      <c r="C906" s="118" t="n">
        <v>71.10336622947369</v>
      </c>
      <c r="D906" s="118" t="n">
        <v>68.95692133063763</v>
      </c>
      <c r="E906" s="118" t="n">
        <v>69.28565979003906</v>
      </c>
      <c r="F906" s="119" t="n">
        <v>12183000</v>
      </c>
      <c r="G906" s="120" t="n">
        <v>-0.01349112996822366</v>
      </c>
      <c r="H906" s="121" t="n">
        <v>43.55390119058264</v>
      </c>
      <c r="I906" s="118" t="n">
        <v>72.03990951538086</v>
      </c>
      <c r="J906" s="118" t="n">
        <v>75.97203548431396</v>
      </c>
      <c r="K906" s="120" t="n">
        <v>0.3575223536832018</v>
      </c>
      <c r="L906" s="120" t="n">
        <v>-0.1186648953416931</v>
      </c>
      <c r="M906" s="120" t="n">
        <v>-0.279820801557122</v>
      </c>
      <c r="N906" t="n">
        <v>36.80613169261196</v>
      </c>
      <c r="O906" t="n">
        <v>-0.8291430048771282</v>
      </c>
      <c r="P906" t="n">
        <v>133.7969656471548</v>
      </c>
      <c r="Q906" t="n">
        <v>133.2952477945171</v>
      </c>
    </row>
    <row r="907">
      <c r="A907" s="117" t="n">
        <v>45733</v>
      </c>
      <c r="B907" s="118" t="n">
        <v>69.74975475991991</v>
      </c>
      <c r="C907" s="118" t="n">
        <v>71.49978091595122</v>
      </c>
      <c r="D907" s="118" t="n">
        <v>69.64339884558143</v>
      </c>
      <c r="E907" s="118" t="n">
        <v>71.25806427001953</v>
      </c>
      <c r="F907" s="119" t="n">
        <v>15996900</v>
      </c>
      <c r="G907" s="120" t="n">
        <v>0.0284677159163611</v>
      </c>
      <c r="H907" s="121" t="n">
        <v>44.79378127672541</v>
      </c>
      <c r="I907" s="118" t="n">
        <v>72.00918395996094</v>
      </c>
      <c r="J907" s="118" t="n">
        <v>75.89171550750733</v>
      </c>
      <c r="K907" s="120" t="n">
        <v>0.3719481647257214</v>
      </c>
      <c r="L907" s="120" t="n">
        <v>-0.09357529795516406</v>
      </c>
      <c r="M907" s="120" t="n">
        <v>-0.2553517370592573</v>
      </c>
      <c r="N907" t="n">
        <v>44.3207456942205</v>
      </c>
      <c r="O907" t="n">
        <v>-0.7403243030972846</v>
      </c>
      <c r="P907" t="n">
        <v>134.8287191107642</v>
      </c>
      <c r="Q907" t="n">
        <v>134.1594987506783</v>
      </c>
    </row>
    <row r="908">
      <c r="A908" s="117" t="n">
        <v>45734</v>
      </c>
      <c r="B908" s="118" t="n">
        <v>71.4417657911635</v>
      </c>
      <c r="C908" s="118" t="n">
        <v>71.70282387960719</v>
      </c>
      <c r="D908" s="118" t="n">
        <v>70.31053374552363</v>
      </c>
      <c r="E908" s="118" t="n">
        <v>70.8809814453125</v>
      </c>
      <c r="F908" s="119" t="n">
        <v>8972300</v>
      </c>
      <c r="G908" s="120" t="n">
        <v>-0.005291791582748395</v>
      </c>
      <c r="H908" s="121" t="n">
        <v>44.55674192200576</v>
      </c>
      <c r="I908" s="118" t="n">
        <v>72.00939666748047</v>
      </c>
      <c r="J908" s="118" t="n">
        <v>75.81107620239258</v>
      </c>
      <c r="K908" s="120" t="n">
        <v>0.2931488787644546</v>
      </c>
      <c r="L908" s="120" t="n">
        <v>-0.09837190856384015</v>
      </c>
      <c r="M908" s="120" t="n">
        <v>-0.2592922604691954</v>
      </c>
      <c r="N908" t="n">
        <v>43.26159032602563</v>
      </c>
      <c r="O908" t="n">
        <v>-0.672546334302947</v>
      </c>
      <c r="P908" t="n">
        <v>133.3714245318678</v>
      </c>
      <c r="Q908" t="n">
        <v>131.8724355165232</v>
      </c>
    </row>
    <row r="909">
      <c r="A909" s="117" t="n">
        <v>45735</v>
      </c>
      <c r="B909" s="118" t="n">
        <v>70.23318479559285</v>
      </c>
      <c r="C909" s="118" t="n">
        <v>70.99701024651688</v>
      </c>
      <c r="D909" s="118" t="n">
        <v>69.89478298229898</v>
      </c>
      <c r="E909" s="118" t="n">
        <v>70.57158660888672</v>
      </c>
      <c r="F909" s="119" t="n">
        <v>10830500</v>
      </c>
      <c r="G909" s="120" t="n">
        <v>-0.00436499086379738</v>
      </c>
      <c r="H909" s="121" t="n">
        <v>44.36225215059563</v>
      </c>
      <c r="I909" s="118" t="n">
        <v>72.01034759521484</v>
      </c>
      <c r="J909" s="118" t="n">
        <v>75.72044242858887</v>
      </c>
      <c r="K909" s="120" t="n">
        <v>0.2917347479494825</v>
      </c>
      <c r="L909" s="120" t="n">
        <v>-0.1023075069455021</v>
      </c>
      <c r="M909" s="120" t="n">
        <v>-0.2625254429849914</v>
      </c>
      <c r="N909" t="n">
        <v>42.36696546096082</v>
      </c>
      <c r="O909" t="n">
        <v>-0.6156567640205113</v>
      </c>
      <c r="P909" t="n">
        <v>134.823952176581</v>
      </c>
      <c r="Q909" t="n">
        <v>133.6370778227417</v>
      </c>
    </row>
    <row r="910">
      <c r="A910" s="117" t="n">
        <v>45736</v>
      </c>
      <c r="B910" s="118" t="n">
        <v>70.50391065869</v>
      </c>
      <c r="C910" s="118" t="n">
        <v>71.20972652196726</v>
      </c>
      <c r="D910" s="118" t="n">
        <v>69.15029594419276</v>
      </c>
      <c r="E910" s="118" t="n">
        <v>69.47903442382812</v>
      </c>
      <c r="F910" s="119" t="n">
        <v>25202300</v>
      </c>
      <c r="G910" s="120" t="n">
        <v>-0.01548147402599298</v>
      </c>
      <c r="H910" s="121" t="n">
        <v>43.67545909619163</v>
      </c>
      <c r="I910" s="118" t="n">
        <v>72.01465194702149</v>
      </c>
      <c r="J910" s="118" t="n">
        <v>75.6167526626587</v>
      </c>
      <c r="K910" s="120" t="n">
        <v>0.2938223860578333</v>
      </c>
      <c r="L910" s="120" t="n">
        <v>-0.1162051099600542</v>
      </c>
      <c r="M910" s="120" t="n">
        <v>-0.2739426361842499</v>
      </c>
      <c r="N910" t="n">
        <v>39.27807510645304</v>
      </c>
      <c r="O910" t="n">
        <v>-0.6171501423534074</v>
      </c>
      <c r="P910" t="n">
        <v>134.4340818969619</v>
      </c>
      <c r="Q910" t="n">
        <v>133.184101131587</v>
      </c>
    </row>
    <row r="911">
      <c r="A911" s="117" t="n">
        <v>45737</v>
      </c>
      <c r="B911" s="118" t="n">
        <v>64.38362830243913</v>
      </c>
      <c r="C911" s="118" t="n">
        <v>66.45272912922914</v>
      </c>
      <c r="D911" s="118" t="n">
        <v>63.01067982177527</v>
      </c>
      <c r="E911" s="118" t="n">
        <v>65.68890380859375</v>
      </c>
      <c r="F911" s="119" t="n">
        <v>77287000</v>
      </c>
      <c r="G911" s="120" t="n">
        <v>-0.05455070938542772</v>
      </c>
      <c r="H911" s="121" t="n">
        <v>41.29293181976015</v>
      </c>
      <c r="I911" s="118" t="n">
        <v>71.94142227172851</v>
      </c>
      <c r="J911" s="118" t="n">
        <v>75.49544631958008</v>
      </c>
      <c r="K911" s="120" t="n">
        <v>0.3456246531852551</v>
      </c>
      <c r="L911" s="120" t="n">
        <v>-0.1644167481629492</v>
      </c>
      <c r="M911" s="120" t="n">
        <v>-0.3135495804349125</v>
      </c>
      <c r="N911" t="n">
        <v>30.86981967220103</v>
      </c>
      <c r="O911" t="n">
        <v>-0.8259050798204935</v>
      </c>
      <c r="P911" t="n">
        <v>134.4784306190066</v>
      </c>
      <c r="Q911" t="n">
        <v>133.6231684701973</v>
      </c>
    </row>
    <row r="912">
      <c r="A912" s="117" t="n">
        <v>45740</v>
      </c>
      <c r="B912" s="118" t="n">
        <v>66.28835932011319</v>
      </c>
      <c r="C912" s="118" t="n">
        <v>66.60742700873953</v>
      </c>
      <c r="D912" s="118" t="n">
        <v>64.48032383777463</v>
      </c>
      <c r="E912" s="118" t="n">
        <v>65.15712738037109</v>
      </c>
      <c r="F912" s="119" t="n">
        <v>26552500</v>
      </c>
      <c r="G912" s="120" t="n">
        <v>-0.008095376804766907</v>
      </c>
      <c r="H912" s="121" t="n">
        <v>40.95864997730564</v>
      </c>
      <c r="I912" s="118" t="n">
        <v>71.87294891357422</v>
      </c>
      <c r="J912" s="118" t="n">
        <v>75.36986118316651</v>
      </c>
      <c r="K912" s="120" t="n">
        <v>0.2783031889762966</v>
      </c>
      <c r="L912" s="120" t="n">
        <v>-0.1711811094383225</v>
      </c>
      <c r="M912" s="120" t="n">
        <v>-0.3191066552390823</v>
      </c>
      <c r="N912" t="n">
        <v>29.90260189846161</v>
      </c>
      <c r="O912" t="n">
        <v>-0.9438013116100987</v>
      </c>
      <c r="P912" t="n">
        <v>136.8867359466016</v>
      </c>
      <c r="Q912" t="n">
        <v>136.5554359894241</v>
      </c>
    </row>
    <row r="913">
      <c r="A913" s="117" t="n">
        <v>45741</v>
      </c>
      <c r="B913" s="118" t="n">
        <v>65.3214894509585</v>
      </c>
      <c r="C913" s="118" t="n">
        <v>65.79525928235715</v>
      </c>
      <c r="D913" s="118" t="n">
        <v>64.04522614046996</v>
      </c>
      <c r="E913" s="118" t="n">
        <v>64.33528900146484</v>
      </c>
      <c r="F913" s="119" t="n">
        <v>17394100</v>
      </c>
      <c r="G913" s="120" t="n">
        <v>-0.01261317697615127</v>
      </c>
      <c r="H913" s="121" t="n">
        <v>40.44203127643765</v>
      </c>
      <c r="I913" s="118" t="n">
        <v>71.7897703552246</v>
      </c>
      <c r="J913" s="118" t="n">
        <v>75.24216789245605</v>
      </c>
      <c r="K913" s="120" t="n">
        <v>0.2606495739398099</v>
      </c>
      <c r="L913" s="120" t="n">
        <v>-0.1816351487861543</v>
      </c>
      <c r="M913" s="120" t="n">
        <v>-0.3052279801343873</v>
      </c>
      <c r="N913" t="n">
        <v>28.4205459087524</v>
      </c>
      <c r="O913" t="n">
        <v>-1.014928713576487</v>
      </c>
      <c r="P913" t="n">
        <v>137.2158019883424</v>
      </c>
      <c r="Q913" t="n">
        <v>137.3347100288735</v>
      </c>
    </row>
    <row r="914">
      <c r="A914" s="117" t="n">
        <v>45742</v>
      </c>
      <c r="B914" s="118" t="n">
        <v>64.18058432735644</v>
      </c>
      <c r="C914" s="118" t="n">
        <v>64.38362537145608</v>
      </c>
      <c r="D914" s="118" t="n">
        <v>62.79796518044538</v>
      </c>
      <c r="E914" s="118" t="n">
        <v>63.56179046630859</v>
      </c>
      <c r="F914" s="119" t="n">
        <v>18688300</v>
      </c>
      <c r="G914" s="120" t="n">
        <v>-0.01202292780776404</v>
      </c>
      <c r="H914" s="121" t="n">
        <v>39.95579965400171</v>
      </c>
      <c r="I914" s="118" t="n">
        <v>71.67419052124023</v>
      </c>
      <c r="J914" s="118" t="n">
        <v>75.10393707275391</v>
      </c>
      <c r="K914" s="120" t="n">
        <v>0.2604884782151063</v>
      </c>
      <c r="L914" s="120" t="n">
        <v>-0.1914742903127099</v>
      </c>
      <c r="M914" s="120" t="n">
        <v>-0.3135811739720861</v>
      </c>
      <c r="N914" t="n">
        <v>27.06110922014044</v>
      </c>
      <c r="O914" t="n">
        <v>-1.047615539394308</v>
      </c>
      <c r="P914" t="n">
        <v>135.5776738349988</v>
      </c>
      <c r="Q914" t="n">
        <v>134.8076506565287</v>
      </c>
    </row>
    <row r="915">
      <c r="A915" s="117" t="n">
        <v>45743</v>
      </c>
      <c r="B915" s="118" t="n">
        <v>63.32975673595502</v>
      </c>
      <c r="C915" s="118" t="n">
        <v>64.8767416847182</v>
      </c>
      <c r="D915" s="118" t="n">
        <v>63.12671565298667</v>
      </c>
      <c r="E915" s="118" t="n">
        <v>63.61981964111328</v>
      </c>
      <c r="F915" s="119" t="n">
        <v>16435800</v>
      </c>
      <c r="G915" s="120" t="n">
        <v>0.000912956894054906</v>
      </c>
      <c r="H915" s="121" t="n">
        <v>39.9922775767533</v>
      </c>
      <c r="I915" s="118" t="n">
        <v>71.57727981567383</v>
      </c>
      <c r="J915" s="118" t="n">
        <v>74.96204196929932</v>
      </c>
      <c r="K915" s="120" t="n">
        <v>0.2628600010938459</v>
      </c>
      <c r="L915" s="120" t="n">
        <v>-0.1907361411920303</v>
      </c>
      <c r="M915" s="120" t="n">
        <v>-0.3129545031726548</v>
      </c>
      <c r="N915" t="n">
        <v>27.34189957961543</v>
      </c>
      <c r="O915" t="n">
        <v>-0.9990411758036604</v>
      </c>
      <c r="P915" t="n">
        <v>135.2176301002225</v>
      </c>
      <c r="Q915" t="n">
        <v>134.0395177692402</v>
      </c>
    </row>
    <row r="916">
      <c r="A916" s="117" t="n">
        <v>45744</v>
      </c>
      <c r="B916" s="118" t="n">
        <v>63.67782833192778</v>
      </c>
      <c r="C916" s="118" t="n">
        <v>63.67782833192778</v>
      </c>
      <c r="D916" s="118" t="n">
        <v>61.04795026953153</v>
      </c>
      <c r="E916" s="118" t="n">
        <v>61.1929817199707</v>
      </c>
      <c r="F916" s="119" t="n">
        <v>19600300</v>
      </c>
      <c r="G916" s="120" t="n">
        <v>-0.03814594154514506</v>
      </c>
      <c r="H916" s="121" t="n">
        <v>38.46673449405326</v>
      </c>
      <c r="I916" s="118" t="n">
        <v>71.43375617980956</v>
      </c>
      <c r="J916" s="118" t="n">
        <v>74.81063306808471</v>
      </c>
      <c r="K916" s="120" t="n">
        <v>0.2817996892111879</v>
      </c>
      <c r="L916" s="120" t="n">
        <v>-0.2216062730447177</v>
      </c>
      <c r="M916" s="120" t="n">
        <v>-0.3391625005334858</v>
      </c>
      <c r="N916" t="n">
        <v>23.30180396266078</v>
      </c>
      <c r="O916" t="n">
        <v>-1.058381617423202</v>
      </c>
      <c r="P916" t="n">
        <v>132.494530016816</v>
      </c>
      <c r="Q916" t="n">
        <v>130.5105578222803</v>
      </c>
    </row>
    <row r="917">
      <c r="A917" s="117" t="n">
        <v>45747</v>
      </c>
      <c r="B917" s="118" t="n">
        <v>60.75788833880252</v>
      </c>
      <c r="C917" s="118" t="n">
        <v>61.86978624028472</v>
      </c>
      <c r="D917" s="118" t="n">
        <v>60.57418503966059</v>
      </c>
      <c r="E917" s="118" t="n">
        <v>61.37668228149414</v>
      </c>
      <c r="F917" s="119" t="n">
        <v>17400000</v>
      </c>
      <c r="G917" s="120" t="n">
        <v>0.003001987423395747</v>
      </c>
      <c r="H917" s="121" t="n">
        <v>38.5822111472235</v>
      </c>
      <c r="I917" s="118" t="n">
        <v>71.29313720703125</v>
      </c>
      <c r="J917" s="118" t="n">
        <v>74.66076202392578</v>
      </c>
      <c r="K917" s="120" t="n">
        <v>0.28595478210861</v>
      </c>
      <c r="L917" s="120" t="n">
        <v>-0.2192695448659479</v>
      </c>
      <c r="M917" s="120" t="n">
        <v>-0.3371786746711791</v>
      </c>
      <c r="N917" t="n">
        <v>24.21466055170616</v>
      </c>
      <c r="O917" t="n">
        <v>-1.013239511221633</v>
      </c>
      <c r="P917" t="n">
        <v>133.3839690955078</v>
      </c>
      <c r="Q917" t="n">
        <v>130.5049957900282</v>
      </c>
    </row>
    <row r="918">
      <c r="A918" s="117" t="n">
        <v>45748</v>
      </c>
      <c r="B918" s="118" t="n">
        <v>61.71509074189338</v>
      </c>
      <c r="C918" s="118" t="n">
        <v>63.00102496304031</v>
      </c>
      <c r="D918" s="118" t="n">
        <v>61.2026489865514</v>
      </c>
      <c r="E918" s="118" t="n">
        <v>62.61427688598633</v>
      </c>
      <c r="F918" s="119" t="n">
        <v>13489500</v>
      </c>
      <c r="G918" s="120" t="n">
        <v>0.02016392151690716</v>
      </c>
      <c r="H918" s="121" t="n">
        <v>39.36017982474486</v>
      </c>
      <c r="I918" s="118" t="n">
        <v>71.18246482849121</v>
      </c>
      <c r="J918" s="118" t="n">
        <v>74.52751276016235</v>
      </c>
      <c r="K918" s="120" t="n">
        <v>0.3052571429073543</v>
      </c>
      <c r="L918" s="120" t="n">
        <v>-0.2035269572427656</v>
      </c>
      <c r="M918" s="120" t="n">
        <v>-0.3238135974875165</v>
      </c>
      <c r="N918" t="n">
        <v>30.23865875948826</v>
      </c>
      <c r="O918" t="n">
        <v>-0.8354097584730016</v>
      </c>
      <c r="P918" t="n">
        <v>133.7607044790803</v>
      </c>
      <c r="Q918" t="n">
        <v>131.556997374054</v>
      </c>
    </row>
    <row r="919">
      <c r="A919" s="117" t="n">
        <v>45749</v>
      </c>
      <c r="B919" s="118" t="n">
        <v>62.16951586735066</v>
      </c>
      <c r="C919" s="118" t="n">
        <v>63.23306749013808</v>
      </c>
      <c r="D919" s="118" t="n">
        <v>62.03415515408348</v>
      </c>
      <c r="E919" s="118" t="n">
        <v>62.80764389038086</v>
      </c>
      <c r="F919" s="119" t="n">
        <v>11161400</v>
      </c>
      <c r="G919" s="120" t="n">
        <v>0.003088225465681438</v>
      </c>
      <c r="H919" s="121" t="n">
        <v>39.48173293441344</v>
      </c>
      <c r="I919" s="118" t="n">
        <v>71.03083099365234</v>
      </c>
      <c r="J919" s="118" t="n">
        <v>74.39284820556641</v>
      </c>
      <c r="K919" s="120" t="n">
        <v>0.3033539180242431</v>
      </c>
      <c r="L919" s="120" t="n">
        <v>-0.201067268909394</v>
      </c>
      <c r="M919" s="120" t="n">
        <v>-0.3217253814197298</v>
      </c>
      <c r="N919" t="n">
        <v>31.15939023021355</v>
      </c>
      <c r="O919" t="n">
        <v>-0.6484721870509556</v>
      </c>
      <c r="P919" t="n">
        <v>134.6071821168829</v>
      </c>
      <c r="Q919" t="n">
        <v>132.5171698910359</v>
      </c>
    </row>
    <row r="920">
      <c r="A920" s="117" t="n">
        <v>45750</v>
      </c>
      <c r="B920" s="118" t="n">
        <v>54.50226319387175</v>
      </c>
      <c r="C920" s="118" t="n">
        <v>56.73572612115413</v>
      </c>
      <c r="D920" s="118" t="n">
        <v>53.56440520342923</v>
      </c>
      <c r="E920" s="118" t="n">
        <v>53.73844146728516</v>
      </c>
      <c r="F920" s="119" t="n">
        <v>71499500</v>
      </c>
      <c r="G920" s="120" t="n">
        <v>-0.1443964756729981</v>
      </c>
      <c r="H920" s="121" t="n">
        <v>33.7807098452216</v>
      </c>
      <c r="I920" s="118" t="n">
        <v>70.68107406616211</v>
      </c>
      <c r="J920" s="118" t="n">
        <v>74.21660148620606</v>
      </c>
      <c r="K920" s="120" t="n">
        <v>0.5670294710101027</v>
      </c>
      <c r="L920" s="120" t="n">
        <v>-0.3164303395786805</v>
      </c>
      <c r="M920" s="120" t="n">
        <v>-0.4196658458811678</v>
      </c>
      <c r="N920" t="n">
        <v>18.69596415545016</v>
      </c>
      <c r="O920" t="n">
        <v>-1.055263130250443</v>
      </c>
      <c r="P920" t="n">
        <v>127.9736463807048</v>
      </c>
      <c r="Q920" t="n">
        <v>125.4230497964216</v>
      </c>
    </row>
    <row r="921">
      <c r="A921" s="117" t="n">
        <v>45751</v>
      </c>
      <c r="B921" s="118" t="n">
        <v>51.45663306843408</v>
      </c>
      <c r="C921" s="118" t="n">
        <v>57.25783170295237</v>
      </c>
      <c r="D921" s="118" t="n">
        <v>50.760488052035</v>
      </c>
      <c r="E921" s="118" t="n">
        <v>55.35310363769531</v>
      </c>
      <c r="F921" s="119" t="n">
        <v>67775700</v>
      </c>
      <c r="G921" s="120" t="n">
        <v>0.03004668774015573</v>
      </c>
      <c r="H921" s="121" t="n">
        <v>34.79570828558177</v>
      </c>
      <c r="I921" s="118" t="n">
        <v>70.35880020141602</v>
      </c>
      <c r="J921" s="118" t="n">
        <v>74.04075756072999</v>
      </c>
      <c r="K921" s="120" t="n">
        <v>0.5826590398572543</v>
      </c>
      <c r="L921" s="120" t="n">
        <v>-0.295891335443357</v>
      </c>
      <c r="M921" s="120" t="n">
        <v>-0.4022287267674118</v>
      </c>
      <c r="N921" t="n">
        <v>24.48713897565388</v>
      </c>
      <c r="O921" t="n">
        <v>-1.128642513515841</v>
      </c>
      <c r="P921" t="n">
        <v>120.4816861546459</v>
      </c>
      <c r="Q921" t="n">
        <v>117.6331630405944</v>
      </c>
    </row>
    <row r="922">
      <c r="A922" s="117" t="n">
        <v>45754</v>
      </c>
      <c r="B922" s="118" t="n">
        <v>53.56440353850915</v>
      </c>
      <c r="C922" s="118" t="n">
        <v>55.28542466280955</v>
      </c>
      <c r="D922" s="118" t="n">
        <v>51.63067061204028</v>
      </c>
      <c r="E922" s="118" t="n">
        <v>53.7674446105957</v>
      </c>
      <c r="F922" s="119" t="n">
        <v>45374400</v>
      </c>
      <c r="G922" s="120" t="n">
        <v>-0.02864625328831205</v>
      </c>
      <c r="H922" s="121" t="n">
        <v>33.79894161268678</v>
      </c>
      <c r="I922" s="118" t="n">
        <v>70.0186661529541</v>
      </c>
      <c r="J922" s="118" t="n">
        <v>73.85803342819214</v>
      </c>
      <c r="K922" s="120" t="n">
        <v>0.582893575225423</v>
      </c>
      <c r="L922" s="120" t="n">
        <v>-0.3160614105907417</v>
      </c>
      <c r="M922" s="120" t="n">
        <v>-0.4193526340689094</v>
      </c>
      <c r="N922" t="n">
        <v>22.77174566137215</v>
      </c>
      <c r="O922" t="n">
        <v>-1.190863939447397</v>
      </c>
      <c r="P922" t="n">
        <v>120.267085566542</v>
      </c>
      <c r="Q922" t="n">
        <v>117.91704028116</v>
      </c>
    </row>
    <row r="923">
      <c r="A923" s="117" t="n">
        <v>45755</v>
      </c>
      <c r="B923" s="118" t="n">
        <v>56.82274385583447</v>
      </c>
      <c r="C923" s="118" t="n">
        <v>56.82274385583447</v>
      </c>
      <c r="D923" s="118" t="n">
        <v>50.63479686673546</v>
      </c>
      <c r="E923" s="118" t="n">
        <v>51.50497817993164</v>
      </c>
      <c r="F923" s="119" t="n">
        <v>30404300</v>
      </c>
      <c r="G923" s="120" t="n">
        <v>-0.0420787420166554</v>
      </c>
      <c r="H923" s="121" t="n">
        <v>32.37672466813054</v>
      </c>
      <c r="I923" s="118" t="n">
        <v>69.59461029052734</v>
      </c>
      <c r="J923" s="118" t="n">
        <v>73.66023319244385</v>
      </c>
      <c r="K923" s="120" t="n">
        <v>0.588801414633954</v>
      </c>
      <c r="L923" s="120" t="n">
        <v>-0.3448406860497291</v>
      </c>
      <c r="M923" s="120" t="n">
        <v>-0.4437855447825743</v>
      </c>
      <c r="N923" t="n">
        <v>20.55875536814153</v>
      </c>
      <c r="O923" t="n">
        <v>-1.28330807146927</v>
      </c>
      <c r="P923" t="n">
        <v>118.3833643737489</v>
      </c>
      <c r="Q923" t="n">
        <v>115.7935315529985</v>
      </c>
    </row>
    <row r="924">
      <c r="A924" s="117" t="n">
        <v>45756</v>
      </c>
      <c r="B924" s="118" t="n">
        <v>51.51464450754676</v>
      </c>
      <c r="C924" s="118" t="n">
        <v>57.57689773660199</v>
      </c>
      <c r="D924" s="118" t="n">
        <v>50.74115206671178</v>
      </c>
      <c r="E924" s="118" t="n">
        <v>57.35451889038086</v>
      </c>
      <c r="F924" s="119" t="n">
        <v>44732500</v>
      </c>
      <c r="G924" s="120" t="n">
        <v>0.1135723364451096</v>
      </c>
      <c r="H924" s="121" t="n">
        <v>36.05382493513014</v>
      </c>
      <c r="I924" s="118" t="n">
        <v>69.31044090270996</v>
      </c>
      <c r="J924" s="118" t="n">
        <v>73.48401010513305</v>
      </c>
      <c r="K924" s="120" t="n">
        <v>0.7468461124980972</v>
      </c>
      <c r="L924" s="120" t="n">
        <v>-0.2704327120206217</v>
      </c>
      <c r="M924" s="120" t="n">
        <v>-0.3806149695389874</v>
      </c>
      <c r="N924" t="n">
        <v>37.47675471044099</v>
      </c>
      <c r="O924" t="n">
        <v>-0.8692348727006949</v>
      </c>
      <c r="P924" t="n">
        <v>130.8159198186908</v>
      </c>
      <c r="Q924" t="n">
        <v>129.6923153817528</v>
      </c>
    </row>
    <row r="925">
      <c r="A925" s="117" t="n">
        <v>45757</v>
      </c>
      <c r="B925" s="118" t="n">
        <v>55.33376821523471</v>
      </c>
      <c r="C925" s="118" t="n">
        <v>55.35310598743366</v>
      </c>
      <c r="D925" s="118" t="n">
        <v>50.54777840093139</v>
      </c>
      <c r="E925" s="118" t="n">
        <v>52.59753799438477</v>
      </c>
      <c r="F925" s="119" t="n">
        <v>53919800</v>
      </c>
      <c r="G925" s="120" t="n">
        <v>-0.08293994942382654</v>
      </c>
      <c r="H925" s="121" t="n">
        <v>33.06352251847495</v>
      </c>
      <c r="I925" s="118" t="n">
        <v>68.88899612426758</v>
      </c>
      <c r="J925" s="118" t="n">
        <v>73.2840497970581</v>
      </c>
      <c r="K925" s="120" t="n">
        <v>0.7909833270772076</v>
      </c>
      <c r="L925" s="120" t="n">
        <v>-0.3309429859869096</v>
      </c>
      <c r="M925" s="120" t="n">
        <v>-0.4319867326392991</v>
      </c>
      <c r="N925" t="n">
        <v>31.58576016983342</v>
      </c>
      <c r="O925" t="n">
        <v>-0.8342950932188899</v>
      </c>
      <c r="P925" t="n">
        <v>125.0836888425769</v>
      </c>
      <c r="Q925" t="n">
        <v>124.1762232946622</v>
      </c>
    </row>
    <row r="926">
      <c r="A926" s="117" t="n">
        <v>45758</v>
      </c>
      <c r="B926" s="118" t="n">
        <v>52.59753465175549</v>
      </c>
      <c r="C926" s="118" t="n">
        <v>53.20665783994876</v>
      </c>
      <c r="D926" s="118" t="n">
        <v>51.10855948178878</v>
      </c>
      <c r="E926" s="118" t="n">
        <v>52.58786392211914</v>
      </c>
      <c r="F926" s="119" t="n">
        <v>22617100</v>
      </c>
      <c r="G926" s="120" t="n">
        <v>-0.0001839263325720264</v>
      </c>
      <c r="H926" s="121" t="n">
        <v>33.05744126603621</v>
      </c>
      <c r="I926" s="118" t="n">
        <v>68.43368827819825</v>
      </c>
      <c r="J926" s="118" t="n">
        <v>73.09557069778442</v>
      </c>
      <c r="K926" s="120" t="n">
        <v>0.7923149980381509</v>
      </c>
      <c r="L926" s="120" t="n">
        <v>-0.3310660431897786</v>
      </c>
      <c r="M926" s="120" t="n">
        <v>-0.4320912052364171</v>
      </c>
      <c r="N926" t="n">
        <v>31.57489013100522</v>
      </c>
      <c r="O926" t="n">
        <v>-0.7339568386927038</v>
      </c>
      <c r="P926" t="n">
        <v>127.3155290555334</v>
      </c>
      <c r="Q926" t="n">
        <v>126.4639102282864</v>
      </c>
    </row>
    <row r="927">
      <c r="A927" s="117" t="n">
        <v>45761</v>
      </c>
      <c r="B927" s="118" t="n">
        <v>53.79644881824925</v>
      </c>
      <c r="C927" s="118" t="n">
        <v>54.81165785554909</v>
      </c>
      <c r="D927" s="118" t="n">
        <v>52.85858717921941</v>
      </c>
      <c r="E927" s="118" t="n">
        <v>53.57406997680664</v>
      </c>
      <c r="F927" s="119" t="n">
        <v>28346600</v>
      </c>
      <c r="G927" s="120" t="n">
        <v>0.01875349141672755</v>
      </c>
      <c r="H927" s="121" t="n">
        <v>33.6773837070778</v>
      </c>
      <c r="I927" s="118" t="n">
        <v>68.02561752319336</v>
      </c>
      <c r="J927" s="118" t="n">
        <v>72.91531005859375</v>
      </c>
      <c r="K927" s="120" t="n">
        <v>0.7863848286370716</v>
      </c>
      <c r="L927" s="120" t="n">
        <v>-0.3185211959723805</v>
      </c>
      <c r="M927" s="120" t="n">
        <v>-0.421440932528334</v>
      </c>
      <c r="N927" t="n">
        <v>34.06599626395348</v>
      </c>
      <c r="O927" t="n">
        <v>-0.5326604048468919</v>
      </c>
      <c r="P927" t="n">
        <v>128.5506667915216</v>
      </c>
      <c r="Q927" t="n">
        <v>127.3211296137203</v>
      </c>
    </row>
    <row r="928">
      <c r="A928" s="117" t="n">
        <v>45762</v>
      </c>
      <c r="B928" s="118" t="n">
        <v>52.86825895922033</v>
      </c>
      <c r="C928" s="118" t="n">
        <v>53.55473326882557</v>
      </c>
      <c r="D928" s="118" t="n">
        <v>52.37515499328206</v>
      </c>
      <c r="E928" s="118" t="n">
        <v>53.01329040527344</v>
      </c>
      <c r="F928" s="119" t="n">
        <v>15977100</v>
      </c>
      <c r="G928" s="120" t="n">
        <v>-0.01046736922873281</v>
      </c>
      <c r="H928" s="121" t="n">
        <v>33.32487009715811</v>
      </c>
      <c r="I928" s="118" t="n">
        <v>67.61229583740234</v>
      </c>
      <c r="J928" s="118" t="n">
        <v>72.73162612915038</v>
      </c>
      <c r="K928" s="120" t="n">
        <v>0.7859296114007509</v>
      </c>
      <c r="L928" s="120" t="n">
        <v>-0.3256544862356927</v>
      </c>
      <c r="M928" s="120" t="n">
        <v>-0.4274969239081913</v>
      </c>
      <c r="N928" t="n">
        <v>33.32309472416271</v>
      </c>
      <c r="O928" t="n">
        <v>-0.3761485995934137</v>
      </c>
      <c r="P928" t="n">
        <v>128.1906230567453</v>
      </c>
      <c r="Q928" t="n">
        <v>127.4630596901747</v>
      </c>
    </row>
    <row r="929">
      <c r="A929" s="117" t="n">
        <v>45763</v>
      </c>
      <c r="B929" s="118" t="n">
        <v>52.90693532262429</v>
      </c>
      <c r="C929" s="118" t="n">
        <v>53.32268820689207</v>
      </c>
      <c r="D929" s="118" t="n">
        <v>51.57265853850205</v>
      </c>
      <c r="E929" s="118" t="n">
        <v>51.77569961547852</v>
      </c>
      <c r="F929" s="119" t="n">
        <v>19094900</v>
      </c>
      <c r="G929" s="120" t="n">
        <v>-0.02334491559255891</v>
      </c>
      <c r="H929" s="121" t="n">
        <v>32.54690381760697</v>
      </c>
      <c r="I929" s="118" t="n">
        <v>67.17172080993652</v>
      </c>
      <c r="J929" s="118" t="n">
        <v>72.63141851425171</v>
      </c>
      <c r="K929" s="120" t="n">
        <v>0.7859802396200006</v>
      </c>
      <c r="L929" s="120" t="n">
        <v>-0.3413970253347411</v>
      </c>
      <c r="M929" s="120" t="n">
        <v>-0.4408619598960349</v>
      </c>
      <c r="N929" t="n">
        <v>31.6810704290685</v>
      </c>
      <c r="O929" t="n">
        <v>-0.2982467314236033</v>
      </c>
      <c r="P929" t="n">
        <v>125.3412065966396</v>
      </c>
      <c r="Q929" t="n">
        <v>123.6195928780352</v>
      </c>
    </row>
    <row r="930">
      <c r="A930" s="117" t="n">
        <v>45764</v>
      </c>
      <c r="B930" s="118" t="n">
        <v>52.03675218108553</v>
      </c>
      <c r="C930" s="118" t="n">
        <v>54.16385911435237</v>
      </c>
      <c r="D930" s="118" t="n">
        <v>51.87238665453767</v>
      </c>
      <c r="E930" s="118" t="n">
        <v>53.91247177124023</v>
      </c>
      <c r="F930" s="119" t="n">
        <v>18935100</v>
      </c>
      <c r="G930" s="120" t="n">
        <v>0.0412697881753572</v>
      </c>
      <c r="H930" s="121" t="n">
        <v>33.89010764392333</v>
      </c>
      <c r="I930" s="118" t="n">
        <v>66.81524719238281</v>
      </c>
      <c r="J930" s="118" t="n">
        <v>72.53493892669678</v>
      </c>
      <c r="K930" s="120" t="n">
        <v>0.8101688799110713</v>
      </c>
      <c r="L930" s="120" t="n">
        <v>-0.3142166200786458</v>
      </c>
      <c r="M930" s="120" t="n">
        <v>-0.4177864514201599</v>
      </c>
      <c r="N930" t="n">
        <v>37.41521751234836</v>
      </c>
      <c r="O930" t="n">
        <v>-0.05767606885813681</v>
      </c>
      <c r="P930" t="n">
        <v>125.5200182825943</v>
      </c>
      <c r="Q930" t="n">
        <v>123.5973447490268</v>
      </c>
    </row>
    <row r="931">
      <c r="A931" s="117" t="n">
        <v>45768</v>
      </c>
      <c r="B931" s="118" t="n">
        <v>53.40003703211478</v>
      </c>
      <c r="C931" s="118" t="n">
        <v>54.49259722374645</v>
      </c>
      <c r="D931" s="118" t="n">
        <v>51.72735840842018</v>
      </c>
      <c r="E931" s="118" t="n">
        <v>54.26054763793945</v>
      </c>
      <c r="F931" s="119" t="n">
        <v>17280900</v>
      </c>
      <c r="G931" s="120" t="n">
        <v>0.006456314378909589</v>
      </c>
      <c r="H931" s="121" t="n">
        <v>34.10891283320758</v>
      </c>
      <c r="I931" s="118" t="n">
        <v>66.52018424987793</v>
      </c>
      <c r="J931" s="118" t="n">
        <v>72.44396348953246</v>
      </c>
      <c r="K931" s="120" t="n">
        <v>0.7958212619118752</v>
      </c>
      <c r="L931" s="120" t="n">
        <v>-0.3097889869820425</v>
      </c>
      <c r="M931" s="120" t="n">
        <v>-0.4140274977148679</v>
      </c>
      <c r="N931" t="n">
        <v>38.32334942406398</v>
      </c>
      <c r="O931" t="n">
        <v>0.1582221679407372</v>
      </c>
      <c r="P931" t="n">
        <v>122.532309077091</v>
      </c>
      <c r="Q931" t="n">
        <v>120.5387054647604</v>
      </c>
    </row>
    <row r="932">
      <c r="A932" s="117" t="n">
        <v>45769</v>
      </c>
      <c r="B932" s="118" t="n">
        <v>54.77298796403282</v>
      </c>
      <c r="C932" s="118" t="n">
        <v>56.16527437752787</v>
      </c>
      <c r="D932" s="118" t="n">
        <v>54.37657285189377</v>
      </c>
      <c r="E932" s="118" t="n">
        <v>55.16940307617188</v>
      </c>
      <c r="F932" s="119" t="n">
        <v>16852200</v>
      </c>
      <c r="G932" s="120" t="n">
        <v>0.0167498390229468</v>
      </c>
      <c r="H932" s="121" t="n">
        <v>34.68023163241153</v>
      </c>
      <c r="I932" s="118" t="n">
        <v>66.30217247009277</v>
      </c>
      <c r="J932" s="118" t="n">
        <v>72.36134382247924</v>
      </c>
      <c r="K932" s="120" t="n">
        <v>0.8007703979009978</v>
      </c>
      <c r="L932" s="120" t="n">
        <v>-0.2982280636221266</v>
      </c>
      <c r="M932" s="120" t="n">
        <v>-0.4042125526297187</v>
      </c>
      <c r="N932" t="n">
        <v>40.74124902532775</v>
      </c>
      <c r="O932" t="n">
        <v>0.3827654857716443</v>
      </c>
      <c r="P932" t="n">
        <v>125.7203328264588</v>
      </c>
      <c r="Q932" t="n">
        <v>123.7031088001001</v>
      </c>
    </row>
    <row r="933">
      <c r="A933" s="117" t="n">
        <v>45770</v>
      </c>
      <c r="B933" s="118" t="n">
        <v>57.0451238344202</v>
      </c>
      <c r="C933" s="118" t="n">
        <v>57.23849787321443</v>
      </c>
      <c r="D933" s="118" t="n">
        <v>54.82133160904409</v>
      </c>
      <c r="E933" s="118" t="n">
        <v>55.48846817016602</v>
      </c>
      <c r="F933" s="119" t="n">
        <v>21660300</v>
      </c>
      <c r="G933" s="120" t="n">
        <v>0.005783370422797862</v>
      </c>
      <c r="H933" s="121" t="n">
        <v>34.8808002582902</v>
      </c>
      <c r="I933" s="118" t="n">
        <v>66.04705978393555</v>
      </c>
      <c r="J933" s="118" t="n">
        <v>72.2794142150879</v>
      </c>
      <c r="K933" s="120" t="n">
        <v>0.8017346224811254</v>
      </c>
      <c r="L933" s="120" t="n">
        <v>-0.2941694565617293</v>
      </c>
      <c r="M933" s="120" t="n">
        <v>-0.4007668931283231</v>
      </c>
      <c r="N933" t="n">
        <v>41.6067141357845</v>
      </c>
      <c r="O933" t="n">
        <v>0.5624449992703733</v>
      </c>
      <c r="P933" t="n">
        <v>127.6684297681902</v>
      </c>
      <c r="Q933" t="n">
        <v>126.5084577492733</v>
      </c>
    </row>
    <row r="934">
      <c r="A934" s="117" t="n">
        <v>45771</v>
      </c>
      <c r="B934" s="118" t="n">
        <v>55.89455200400089</v>
      </c>
      <c r="C934" s="118" t="n">
        <v>56.75506257287309</v>
      </c>
      <c r="D934" s="118" t="n">
        <v>55.23708250880131</v>
      </c>
      <c r="E934" s="118" t="n">
        <v>56.54235076904297</v>
      </c>
      <c r="F934" s="119" t="n">
        <v>14508500</v>
      </c>
      <c r="G934" s="120" t="n">
        <v>0.01899282199762697</v>
      </c>
      <c r="H934" s="121" t="n">
        <v>35.54328508873068</v>
      </c>
      <c r="I934" s="118" t="n">
        <v>65.8053288269043</v>
      </c>
      <c r="J934" s="118" t="n">
        <v>72.21409309387207</v>
      </c>
      <c r="K934" s="120" t="n">
        <v>0.8062530058855576</v>
      </c>
      <c r="L934" s="120" t="n">
        <v>-0.2807637426897179</v>
      </c>
      <c r="M934" s="120" t="n">
        <v>-0.3893857653944244</v>
      </c>
      <c r="N934" t="n">
        <v>44.49049369240482</v>
      </c>
      <c r="O934" t="n">
        <v>0.7501980629357696</v>
      </c>
      <c r="P934" t="n">
        <v>130.3557114328271</v>
      </c>
      <c r="Q934" t="n">
        <v>130.0680387770189</v>
      </c>
    </row>
    <row r="935">
      <c r="A935" s="117" t="n">
        <v>45772</v>
      </c>
      <c r="B935" s="118" t="n">
        <v>56.28130117587589</v>
      </c>
      <c r="C935" s="118" t="n">
        <v>56.31997672319617</v>
      </c>
      <c r="D935" s="118" t="n">
        <v>54.7343161660965</v>
      </c>
      <c r="E935" s="118" t="n">
        <v>55.71084976196289</v>
      </c>
      <c r="F935" s="119" t="n">
        <v>17156000</v>
      </c>
      <c r="G935" s="120" t="n">
        <v>-0.01470580893384654</v>
      </c>
      <c r="H935" s="121" t="n">
        <v>35.02059232933458</v>
      </c>
      <c r="I935" s="118" t="n">
        <v>65.52926704406738</v>
      </c>
      <c r="J935" s="118" t="n">
        <v>72.147425365448</v>
      </c>
      <c r="K935" s="120" t="n">
        <v>0.806750114608114</v>
      </c>
      <c r="L935" s="120" t="n">
        <v>-0.2913406936680178</v>
      </c>
      <c r="M935" s="120" t="n">
        <v>-0.3983653416608209</v>
      </c>
      <c r="N935" t="n">
        <v>42.69877513972491</v>
      </c>
      <c r="O935" t="n">
        <v>0.8111385153232136</v>
      </c>
      <c r="P935" t="n">
        <v>131.2975720292238</v>
      </c>
      <c r="Q935" t="n">
        <v>131.5180375168042</v>
      </c>
    </row>
    <row r="936">
      <c r="A936" s="117" t="n">
        <v>45775</v>
      </c>
      <c r="B936" s="118" t="n">
        <v>55.8171996921528</v>
      </c>
      <c r="C936" s="118" t="n">
        <v>56.15560516249049</v>
      </c>
      <c r="D936" s="118" t="n">
        <v>54.91801359897119</v>
      </c>
      <c r="E936" s="118" t="n">
        <v>55.41111755371094</v>
      </c>
      <c r="F936" s="119" t="n">
        <v>13321200</v>
      </c>
      <c r="G936" s="120" t="n">
        <v>-0.005380140664388078</v>
      </c>
      <c r="H936" s="121" t="n">
        <v>34.83217661645256</v>
      </c>
      <c r="I936" s="118" t="n">
        <v>65.22893287658691</v>
      </c>
      <c r="J936" s="118" t="n">
        <v>72.07887784957886</v>
      </c>
      <c r="K936" s="120" t="n">
        <v>0.7974143336440322</v>
      </c>
      <c r="L936" s="120" t="n">
        <v>-0.2951533804192116</v>
      </c>
      <c r="M936" s="120" t="n">
        <v>-0.4016022207512568</v>
      </c>
      <c r="N936" t="n">
        <v>42.04151657075988</v>
      </c>
      <c r="O936" t="n">
        <v>0.821488174196161</v>
      </c>
      <c r="P936" t="n">
        <v>131.3476469756124</v>
      </c>
      <c r="Q936" t="n">
        <v>131.4762752838576</v>
      </c>
    </row>
    <row r="937">
      <c r="A937" s="117" t="n">
        <v>45776</v>
      </c>
      <c r="B937" s="118" t="n">
        <v>55.11139035171986</v>
      </c>
      <c r="C937" s="118" t="n">
        <v>55.82687318264813</v>
      </c>
      <c r="D937" s="118" t="n">
        <v>54.86000668524954</v>
      </c>
      <c r="E937" s="118" t="n">
        <v>55.63349914550781</v>
      </c>
      <c r="F937" s="119" t="n">
        <v>12968000</v>
      </c>
      <c r="G937" s="120" t="n">
        <v>0.004013302774146688</v>
      </c>
      <c r="H937" s="121" t="n">
        <v>34.97196868749694</v>
      </c>
      <c r="I937" s="118" t="n">
        <v>64.93631690979004</v>
      </c>
      <c r="J937" s="118" t="n">
        <v>72.00739259719849</v>
      </c>
      <c r="K937" s="120" t="n">
        <v>0.7975353610383998</v>
      </c>
      <c r="L937" s="120" t="n">
        <v>-0.2923246175255001</v>
      </c>
      <c r="M937" s="120" t="n">
        <v>-0.3992006692837546</v>
      </c>
      <c r="N937" t="n">
        <v>42.74568919265241</v>
      </c>
      <c r="O937" t="n">
        <v>0.831033702827761</v>
      </c>
      <c r="P937" t="n">
        <v>132.1750568766822</v>
      </c>
      <c r="Q937" t="n">
        <v>132.3446101899673</v>
      </c>
    </row>
    <row r="938">
      <c r="A938" s="117" t="n">
        <v>45777</v>
      </c>
      <c r="B938" s="118" t="n">
        <v>54.00916030703463</v>
      </c>
      <c r="C938" s="118" t="n">
        <v>54.71497237058475</v>
      </c>
      <c r="D938" s="118" t="n">
        <v>52.93593796098484</v>
      </c>
      <c r="E938" s="118" t="n">
        <v>54.53126907348633</v>
      </c>
      <c r="F938" s="119" t="n">
        <v>17205900</v>
      </c>
      <c r="G938" s="120" t="n">
        <v>-0.01981234488124917</v>
      </c>
      <c r="H938" s="121" t="n">
        <v>34.27909198268401</v>
      </c>
      <c r="I938" s="118" t="n">
        <v>64.5341146850586</v>
      </c>
      <c r="J938" s="118" t="n">
        <v>71.93025329589844</v>
      </c>
      <c r="K938" s="120" t="n">
        <v>0.7943125733326271</v>
      </c>
      <c r="L938" s="120" t="n">
        <v>-0.3063453262670547</v>
      </c>
      <c r="M938" s="120" t="n">
        <v>-0.4111039128283286</v>
      </c>
      <c r="N938" t="n">
        <v>40.14239354902158</v>
      </c>
      <c r="O938" t="n">
        <v>0.7531471100584617</v>
      </c>
      <c r="P938" t="n">
        <v>132.2274931526972</v>
      </c>
      <c r="Q938" t="n">
        <v>132.3279155493827</v>
      </c>
    </row>
    <row r="939">
      <c r="A939" s="117" t="n">
        <v>45778</v>
      </c>
      <c r="B939" s="118" t="n">
        <v>54.8019899137914</v>
      </c>
      <c r="C939" s="118" t="n">
        <v>55.31442794485995</v>
      </c>
      <c r="D939" s="118" t="n">
        <v>54.39590409255948</v>
      </c>
      <c r="E939" s="118" t="n">
        <v>54.87933731079102</v>
      </c>
      <c r="F939" s="119" t="n">
        <v>10527000</v>
      </c>
      <c r="G939" s="120" t="n">
        <v>0.006382911001679314</v>
      </c>
      <c r="H939" s="121" t="n">
        <v>34.49789237602786</v>
      </c>
      <c r="I939" s="118" t="n">
        <v>64.15445823669434</v>
      </c>
      <c r="J939" s="118" t="n">
        <v>71.86490701675415</v>
      </c>
      <c r="K939" s="120" t="n">
        <v>0.7948798181607074</v>
      </c>
      <c r="L939" s="120" t="n">
        <v>-0.3019177902187185</v>
      </c>
      <c r="M939" s="120" t="n">
        <v>-0.4073450415146747</v>
      </c>
      <c r="N939" t="n">
        <v>41.35696872506377</v>
      </c>
      <c r="O939" t="n">
        <v>0.7153807766612985</v>
      </c>
      <c r="P939" t="n">
        <v>133.1645868149106</v>
      </c>
      <c r="Q939" t="n">
        <v>134.0562124098248</v>
      </c>
    </row>
    <row r="940">
      <c r="A940" s="117" t="n">
        <v>45779</v>
      </c>
      <c r="B940" s="118" t="n">
        <v>55.95256328372849</v>
      </c>
      <c r="C940" s="118" t="n">
        <v>56.75506424856107</v>
      </c>
      <c r="D940" s="118" t="n">
        <v>55.41112040461542</v>
      </c>
      <c r="E940" s="118" t="n">
        <v>56.64870834350586</v>
      </c>
      <c r="F940" s="119" t="n">
        <v>14723900</v>
      </c>
      <c r="G940" s="120" t="n">
        <v>0.03224111513400008</v>
      </c>
      <c r="H940" s="121" t="n">
        <v>35.61014289600371</v>
      </c>
      <c r="I940" s="118" t="n">
        <v>63.80153106689453</v>
      </c>
      <c r="J940" s="118" t="n">
        <v>71.80126113891602</v>
      </c>
      <c r="K940" s="120" t="n">
        <v>0.6116728351784685</v>
      </c>
      <c r="L940" s="120" t="n">
        <v>-0.2794108413201631</v>
      </c>
      <c r="M940" s="120" t="n">
        <v>-0.3882371847634133</v>
      </c>
      <c r="N940" t="n">
        <v>47.21989589026215</v>
      </c>
      <c r="O940" t="n">
        <v>0.7938145446665201</v>
      </c>
      <c r="P940" t="n">
        <v>135.1413148783613</v>
      </c>
      <c r="Q940" t="n">
        <v>136.0461298379958</v>
      </c>
    </row>
    <row r="941">
      <c r="A941" s="117" t="n">
        <v>45782</v>
      </c>
      <c r="B941" s="118" t="n">
        <v>56.19427858412659</v>
      </c>
      <c r="C941" s="118" t="n">
        <v>56.40699038922362</v>
      </c>
      <c r="D941" s="118" t="n">
        <v>55.39178132651094</v>
      </c>
      <c r="E941" s="118" t="n">
        <v>55.44979095458984</v>
      </c>
      <c r="F941" s="119" t="n">
        <v>15971000</v>
      </c>
      <c r="G941" s="120" t="n">
        <v>-0.0211640728266218</v>
      </c>
      <c r="H941" s="121" t="n">
        <v>34.85648723838628</v>
      </c>
      <c r="I941" s="118" t="n">
        <v>63.43867065429688</v>
      </c>
      <c r="J941" s="118" t="n">
        <v>71.73038192749023</v>
      </c>
      <c r="K941" s="120" t="n">
        <v>0.6090170976561879</v>
      </c>
      <c r="L941" s="120" t="n">
        <v>-0.2946614427525373</v>
      </c>
      <c r="M941" s="120" t="n">
        <v>-0.4011845775376995</v>
      </c>
      <c r="N941" t="n">
        <v>44.00921778025482</v>
      </c>
      <c r="O941" t="n">
        <v>0.749730160811239</v>
      </c>
      <c r="P941" t="n">
        <v>134.3663707699267</v>
      </c>
      <c r="Q941" t="n">
        <v>135.2390200058008</v>
      </c>
    </row>
    <row r="942">
      <c r="A942" s="117" t="n">
        <v>45783</v>
      </c>
      <c r="B942" s="118" t="n">
        <v>55.25642228149835</v>
      </c>
      <c r="C942" s="118" t="n">
        <v>55.80753589473718</v>
      </c>
      <c r="D942" s="118" t="n">
        <v>54.90834974928371</v>
      </c>
      <c r="E942" s="118" t="n">
        <v>55.15006637573242</v>
      </c>
      <c r="F942" s="119" t="n">
        <v>11440300</v>
      </c>
      <c r="G942" s="120" t="n">
        <v>-0.005405332891207482</v>
      </c>
      <c r="H942" s="121" t="n">
        <v>34.66807632144467</v>
      </c>
      <c r="I942" s="118" t="n">
        <v>62.99708885192871</v>
      </c>
      <c r="J942" s="118" t="n">
        <v>71.66129148483276</v>
      </c>
      <c r="K942" s="120" t="n">
        <v>0.5996413619973311</v>
      </c>
      <c r="L942" s="120" t="n">
        <v>-0.2984740324554639</v>
      </c>
      <c r="M942" s="120" t="n">
        <v>-0.4044213742364973</v>
      </c>
      <c r="N942" t="n">
        <v>43.21807486700818</v>
      </c>
      <c r="O942" t="n">
        <v>0.6868403469567794</v>
      </c>
      <c r="P942" t="n">
        <v>133.2432781247084</v>
      </c>
      <c r="Q942" t="n">
        <v>133.9810694395372</v>
      </c>
    </row>
    <row r="943">
      <c r="A943" s="117" t="n">
        <v>45784</v>
      </c>
      <c r="B943" s="118" t="n">
        <v>55.95256163370048</v>
      </c>
      <c r="C943" s="118" t="n">
        <v>56.86141847678628</v>
      </c>
      <c r="D943" s="118" t="n">
        <v>55.65283538825973</v>
      </c>
      <c r="E943" s="118" t="n">
        <v>56.67771148681641</v>
      </c>
      <c r="F943" s="119" t="n">
        <v>11883500</v>
      </c>
      <c r="G943" s="120" t="n">
        <v>0.02769978735249889</v>
      </c>
      <c r="H943" s="121" t="n">
        <v>35.62837466346889</v>
      </c>
      <c r="I943" s="118" t="n">
        <v>62.55835441589355</v>
      </c>
      <c r="J943" s="118" t="n">
        <v>71.59831460952759</v>
      </c>
      <c r="K943" s="120" t="n">
        <v>0.5826222482594204</v>
      </c>
      <c r="L943" s="120" t="n">
        <v>-0.2790419123322242</v>
      </c>
      <c r="M943" s="120" t="n">
        <v>-0.3879239729511548</v>
      </c>
      <c r="N943" t="n">
        <v>48.31769649243545</v>
      </c>
      <c r="O943" t="n">
        <v>0.7305134583223332</v>
      </c>
      <c r="P943" t="n">
        <v>133.8036364033493</v>
      </c>
      <c r="Q943" t="n">
        <v>134.5070787753785</v>
      </c>
    </row>
    <row r="944">
      <c r="A944" s="117" t="n">
        <v>45785</v>
      </c>
      <c r="B944" s="118" t="n">
        <v>57.7122617059164</v>
      </c>
      <c r="C944" s="118" t="n">
        <v>58.38906901291181</v>
      </c>
      <c r="D944" s="118" t="n">
        <v>56.85175108646209</v>
      </c>
      <c r="E944" s="118" t="n">
        <v>56.95810699462891</v>
      </c>
      <c r="F944" s="119" t="n">
        <v>19009000</v>
      </c>
      <c r="G944" s="120" t="n">
        <v>0.004947191770043879</v>
      </c>
      <c r="H944" s="121" t="n">
        <v>35.80463506538404</v>
      </c>
      <c r="I944" s="118" t="n">
        <v>62.13581001281738</v>
      </c>
      <c r="J944" s="118" t="n">
        <v>71.526448802948</v>
      </c>
      <c r="K944" s="120" t="n">
        <v>0.4201244947749516</v>
      </c>
      <c r="L944" s="120" t="n">
        <v>-0.2754751944143676</v>
      </c>
      <c r="M944" s="120" t="n">
        <v>-0.3848959154674976</v>
      </c>
      <c r="N944" t="n">
        <v>49.21918617058105</v>
      </c>
      <c r="O944" t="n">
        <v>0.7574271862672037</v>
      </c>
      <c r="P944" t="n">
        <v>134.7359483730694</v>
      </c>
      <c r="Q944" t="n">
        <v>135.895852441249</v>
      </c>
    </row>
    <row r="945">
      <c r="A945" s="117" t="n">
        <v>45786</v>
      </c>
      <c r="B945" s="118" t="n">
        <v>57.18048466423429</v>
      </c>
      <c r="C945" s="118" t="n">
        <v>57.41253424889092</v>
      </c>
      <c r="D945" s="118" t="n">
        <v>56.2909692477071</v>
      </c>
      <c r="E945" s="118" t="n">
        <v>56.36831665039062</v>
      </c>
      <c r="F945" s="119" t="n">
        <v>13954400</v>
      </c>
      <c r="G945" s="120" t="n">
        <v>-0.01035480944431488</v>
      </c>
      <c r="H945" s="121" t="n">
        <v>35.43388489205876</v>
      </c>
      <c r="I945" s="118" t="n">
        <v>61.72359565734863</v>
      </c>
      <c r="J945" s="118" t="n">
        <v>71.45858999252319</v>
      </c>
      <c r="K945" s="120" t="n">
        <v>0.2884545316227464</v>
      </c>
      <c r="L945" s="120" t="n">
        <v>-0.2829775107138861</v>
      </c>
      <c r="M945" s="120" t="n">
        <v>-0.3912652010512514</v>
      </c>
      <c r="N945" t="n">
        <v>47.34835299314032</v>
      </c>
      <c r="O945" t="n">
        <v>0.7151660373411712</v>
      </c>
      <c r="P945" t="n">
        <v>134.5642649509243</v>
      </c>
      <c r="Q945" t="n">
        <v>135.806774486932</v>
      </c>
    </row>
    <row r="946">
      <c r="A946" s="117" t="n">
        <v>45789</v>
      </c>
      <c r="B946" s="118" t="n">
        <v>60.31313003166486</v>
      </c>
      <c r="C946" s="118" t="n">
        <v>61.36701460703994</v>
      </c>
      <c r="D946" s="118" t="n">
        <v>59.76201645161854</v>
      </c>
      <c r="E946" s="118" t="n">
        <v>60.50650405883789</v>
      </c>
      <c r="F946" s="119" t="n">
        <v>29776600</v>
      </c>
      <c r="G946" s="120" t="n">
        <v>0.07341335797045812</v>
      </c>
      <c r="H946" s="121" t="n">
        <v>38.03520536792347</v>
      </c>
      <c r="I946" s="118" t="n">
        <v>61.40549667358398</v>
      </c>
      <c r="J946" s="118" t="n">
        <v>71.42242774963378</v>
      </c>
      <c r="K946" s="120" t="n">
        <v>0.379501585310086</v>
      </c>
      <c r="L946" s="120" t="n">
        <v>-0.2303384820350557</v>
      </c>
      <c r="M946" s="120" t="n">
        <v>-0.346575935346952</v>
      </c>
      <c r="N946" t="n">
        <v>59.09626701465634</v>
      </c>
      <c r="O946" t="n">
        <v>0.9318613016884181</v>
      </c>
      <c r="P946" t="n">
        <v>139.0112832446614</v>
      </c>
      <c r="Q946" t="n">
        <v>141.3395868460923</v>
      </c>
    </row>
    <row r="947">
      <c r="A947" s="117" t="n">
        <v>45790</v>
      </c>
      <c r="B947" s="118" t="n">
        <v>60.53551531868764</v>
      </c>
      <c r="C947" s="118" t="n">
        <v>60.69988086189187</v>
      </c>
      <c r="D947" s="118" t="n">
        <v>59.91672131647822</v>
      </c>
      <c r="E947" s="118" t="n">
        <v>60.32280349731445</v>
      </c>
      <c r="F947" s="119" t="n">
        <v>17003100</v>
      </c>
      <c r="G947" s="120" t="n">
        <v>-0.003036046527242764</v>
      </c>
      <c r="H947" s="121" t="n">
        <v>37.91972871475323</v>
      </c>
      <c r="I947" s="118" t="n">
        <v>61.09571266174316</v>
      </c>
      <c r="J947" s="118" t="n">
        <v>71.38382234573365</v>
      </c>
      <c r="K947" s="120" t="n">
        <v>0.3786629591573282</v>
      </c>
      <c r="L947" s="120" t="n">
        <v>-0.2326752102138255</v>
      </c>
      <c r="M947" s="120" t="n">
        <v>-0.3485597612092588</v>
      </c>
      <c r="N947" t="n">
        <v>58.47255248231831</v>
      </c>
      <c r="O947" t="n">
        <v>1.021569211299024</v>
      </c>
      <c r="P947" t="n">
        <v>139.9293239284523</v>
      </c>
      <c r="Q947" t="n">
        <v>143.4937166550395</v>
      </c>
    </row>
    <row r="948">
      <c r="A948" s="117" t="n">
        <v>45791</v>
      </c>
      <c r="B948" s="118" t="n">
        <v>59.99406264971772</v>
      </c>
      <c r="C948" s="118" t="n">
        <v>60.78689284583238</v>
      </c>
      <c r="D948" s="118" t="n">
        <v>59.48162461006631</v>
      </c>
      <c r="E948" s="118" t="n">
        <v>59.68466567993164</v>
      </c>
      <c r="F948" s="119" t="n">
        <v>13736300</v>
      </c>
      <c r="G948" s="120" t="n">
        <v>-0.01057871618004658</v>
      </c>
      <c r="H948" s="121" t="n">
        <v>37.51858666705549</v>
      </c>
      <c r="I948" s="118" t="n">
        <v>60.79424362182617</v>
      </c>
      <c r="J948" s="118" t="n">
        <v>71.33654727935792</v>
      </c>
      <c r="K948" s="120" t="n">
        <v>0.3787282181191641</v>
      </c>
      <c r="L948" s="120" t="n">
        <v>-0.2407925213828874</v>
      </c>
      <c r="M948" s="120" t="n">
        <v>-0.3554511626036878</v>
      </c>
      <c r="N948" t="n">
        <v>56.25155026161594</v>
      </c>
      <c r="O948" t="n">
        <v>0.9956517833620981</v>
      </c>
      <c r="P948" t="n">
        <v>140.1081208560968</v>
      </c>
      <c r="Q948" t="n">
        <v>144.3536871532002</v>
      </c>
    </row>
    <row r="949">
      <c r="A949" s="117" t="n">
        <v>45792</v>
      </c>
      <c r="B949" s="118" t="n">
        <v>58.63078657385567</v>
      </c>
      <c r="C949" s="118" t="n">
        <v>60.60319520664947</v>
      </c>
      <c r="D949" s="118" t="n">
        <v>58.41807475415148</v>
      </c>
      <c r="E949" s="118" t="n">
        <v>60.33247375488281</v>
      </c>
      <c r="F949" s="119" t="n">
        <v>14371100</v>
      </c>
      <c r="G949" s="120" t="n">
        <v>0.01085384440997195</v>
      </c>
      <c r="H949" s="121" t="n">
        <v>37.92580756922175</v>
      </c>
      <c r="I949" s="118" t="n">
        <v>60.49625549316406</v>
      </c>
      <c r="J949" s="118" t="n">
        <v>71.28779460906982</v>
      </c>
      <c r="K949" s="120" t="n">
        <v>0.3624385193585341</v>
      </c>
      <c r="L949" s="120" t="n">
        <v>-0.2325522015350903</v>
      </c>
      <c r="M949" s="120" t="n">
        <v>-0.3484553298079599</v>
      </c>
      <c r="N949" t="n">
        <v>57.9957905508198</v>
      </c>
      <c r="O949" t="n">
        <v>0.9784180391151202</v>
      </c>
      <c r="P949" t="n">
        <v>140.7924489401206</v>
      </c>
      <c r="Q949" t="n">
        <v>144.5123118702393</v>
      </c>
    </row>
    <row r="950">
      <c r="A950" s="117" t="n">
        <v>45793</v>
      </c>
      <c r="B950" s="118" t="n">
        <v>60.42915464713658</v>
      </c>
      <c r="C950" s="118" t="n">
        <v>61.63773774007931</v>
      </c>
      <c r="D950" s="118" t="n">
        <v>60.42915464713658</v>
      </c>
      <c r="E950" s="118" t="n">
        <v>61.01894378662109</v>
      </c>
      <c r="F950" s="119" t="n">
        <v>12950600</v>
      </c>
      <c r="G950" s="120" t="n">
        <v>0.0113781184329893</v>
      </c>
      <c r="H950" s="121" t="n">
        <v>38.35733189941111</v>
      </c>
      <c r="I950" s="118" t="n">
        <v>60.21393051147461</v>
      </c>
      <c r="J950" s="118" t="n">
        <v>71.23880573272704</v>
      </c>
      <c r="K950" s="120" t="n">
        <v>0.3408445700896231</v>
      </c>
      <c r="L950" s="120" t="n">
        <v>-0.2238200895930197</v>
      </c>
      <c r="M950" s="120" t="n">
        <v>-0.3410419773861318</v>
      </c>
      <c r="N950" t="n">
        <v>59.82377574573427</v>
      </c>
      <c r="O950" t="n">
        <v>0.9677677840609367</v>
      </c>
      <c r="P950" t="n">
        <v>141.6842493484388</v>
      </c>
      <c r="Q950" t="n">
        <v>145.1412914252853</v>
      </c>
    </row>
    <row r="951">
      <c r="A951" s="117" t="n">
        <v>45796</v>
      </c>
      <c r="B951" s="118" t="n">
        <v>60.09075546483817</v>
      </c>
      <c r="C951" s="118" t="n">
        <v>60.36147690915183</v>
      </c>
      <c r="D951" s="118" t="n">
        <v>59.71367442529738</v>
      </c>
      <c r="E951" s="118" t="n">
        <v>60.02307510375977</v>
      </c>
      <c r="F951" s="119" t="n">
        <v>15105300</v>
      </c>
      <c r="G951" s="120" t="n">
        <v>-0.01632064767203789</v>
      </c>
      <c r="H951" s="121" t="n">
        <v>37.73131539984141</v>
      </c>
      <c r="I951" s="118" t="n">
        <v>59.89467140197754</v>
      </c>
      <c r="J951" s="118" t="n">
        <v>71.18226476669311</v>
      </c>
      <c r="K951" s="120" t="n">
        <v>0.3502743081276846</v>
      </c>
      <c r="L951" s="120" t="n">
        <v>-0.2364878484408859</v>
      </c>
      <c r="M951" s="120" t="n">
        <v>-0.3517965991038756</v>
      </c>
      <c r="N951" t="n">
        <v>56.01529583839585</v>
      </c>
      <c r="O951" t="n">
        <v>0.8522335714031537</v>
      </c>
      <c r="P951" t="n">
        <v>141.8392263634775</v>
      </c>
      <c r="Q951" t="n">
        <v>145.2804533013562</v>
      </c>
    </row>
    <row r="952">
      <c r="A952" s="117" t="n">
        <v>45797</v>
      </c>
      <c r="B952" s="118" t="n">
        <v>60.42915404272839</v>
      </c>
      <c r="C952" s="118" t="n">
        <v>61.09629057557108</v>
      </c>
      <c r="D952" s="118" t="n">
        <v>60.21644224024107</v>
      </c>
      <c r="E952" s="118" t="n">
        <v>60.48716735839844</v>
      </c>
      <c r="F952" s="119" t="n">
        <v>10771800</v>
      </c>
      <c r="G952" s="120" t="n">
        <v>0.007731897338422167</v>
      </c>
      <c r="H952" s="121" t="n">
        <v>38.02305005695661</v>
      </c>
      <c r="I952" s="118" t="n">
        <v>59.62704277038574</v>
      </c>
      <c r="J952" s="118" t="n">
        <v>71.13285631179809</v>
      </c>
      <c r="K952" s="120" t="n">
        <v>0.3478134575443028</v>
      </c>
      <c r="L952" s="120" t="n">
        <v>-0.2305844508683931</v>
      </c>
      <c r="M952" s="120" t="n">
        <v>-0.3467847569537307</v>
      </c>
      <c r="N952" t="n">
        <v>57.37707908095443</v>
      </c>
      <c r="O952" t="n">
        <v>0.7682455039960355</v>
      </c>
      <c r="P952" t="n">
        <v>141.3623410871278</v>
      </c>
      <c r="Q952" t="n">
        <v>144.7961720231482</v>
      </c>
    </row>
    <row r="953">
      <c r="A953" s="117" t="n">
        <v>45798</v>
      </c>
      <c r="B953" s="118" t="n">
        <v>59.14321882310345</v>
      </c>
      <c r="C953" s="118" t="n">
        <v>59.71367017465973</v>
      </c>
      <c r="D953" s="118" t="n">
        <v>57.8959639089404</v>
      </c>
      <c r="E953" s="118" t="n">
        <v>57.99264907836914</v>
      </c>
      <c r="F953" s="119" t="n">
        <v>17354700</v>
      </c>
      <c r="G953" s="120" t="n">
        <v>-0.04124045461161674</v>
      </c>
      <c r="H953" s="121" t="n">
        <v>36.45496218688746</v>
      </c>
      <c r="I953" s="118" t="n">
        <v>59.35264617919922</v>
      </c>
      <c r="J953" s="118" t="n">
        <v>71.0702128982544</v>
      </c>
      <c r="K953" s="120" t="n">
        <v>0.3842546019684606</v>
      </c>
      <c r="L953" s="120" t="n">
        <v>-0.2573169480595617</v>
      </c>
      <c r="M953" s="120" t="n">
        <v>-0.3737236505361965</v>
      </c>
      <c r="N953" t="n">
        <v>48.65702947078658</v>
      </c>
      <c r="O953" t="n">
        <v>0.5178701431862984</v>
      </c>
      <c r="P953" t="n">
        <v>138.9802612766954</v>
      </c>
      <c r="Q953" t="n">
        <v>142.7839893783122</v>
      </c>
    </row>
    <row r="954">
      <c r="A954" s="117" t="n">
        <v>45799</v>
      </c>
      <c r="B954" s="118" t="n">
        <v>58.57277086735591</v>
      </c>
      <c r="C954" s="118" t="n">
        <v>59.57830916462297</v>
      </c>
      <c r="D954" s="118" t="n">
        <v>58.16668504351691</v>
      </c>
      <c r="E954" s="118" t="n">
        <v>59.28824996948242</v>
      </c>
      <c r="F954" s="119" t="n">
        <v>16764500</v>
      </c>
      <c r="G954" s="120" t="n">
        <v>0.02234077786932009</v>
      </c>
      <c r="H954" s="121" t="n">
        <v>37.26939439933917</v>
      </c>
      <c r="I954" s="118" t="n">
        <v>59.1155704498291</v>
      </c>
      <c r="J954" s="118" t="n">
        <v>71.02638708114624</v>
      </c>
      <c r="K954" s="120" t="n">
        <v>0.3863406109953261</v>
      </c>
      <c r="L954" s="120" t="n">
        <v>-0.2298130209966588</v>
      </c>
      <c r="M954" s="120" t="n">
        <v>-0.3597321497280169</v>
      </c>
      <c r="N954" t="n">
        <v>52.67955296544014</v>
      </c>
      <c r="O954" t="n">
        <v>0.4170277607508223</v>
      </c>
      <c r="P954" t="n">
        <v>139.0351326738875</v>
      </c>
      <c r="Q954" t="n">
        <v>143.0511890659498</v>
      </c>
    </row>
    <row r="955">
      <c r="A955" s="117" t="n">
        <v>45800</v>
      </c>
      <c r="B955" s="118" t="n">
        <v>57.87662780541918</v>
      </c>
      <c r="C955" s="118" t="n">
        <v>58.37939881520482</v>
      </c>
      <c r="D955" s="118" t="n">
        <v>57.5188882422593</v>
      </c>
      <c r="E955" s="118" t="n">
        <v>58.03132629394531</v>
      </c>
      <c r="F955" s="119" t="n">
        <v>14282400</v>
      </c>
      <c r="G955" s="120" t="n">
        <v>-0.02120021549268347</v>
      </c>
      <c r="H955" s="121" t="n">
        <v>36.47927520679137</v>
      </c>
      <c r="I955" s="118" t="n">
        <v>58.87153327941895</v>
      </c>
      <c r="J955" s="118" t="n">
        <v>70.97113122940064</v>
      </c>
      <c r="K955" s="120" t="n">
        <v>0.3908714206038619</v>
      </c>
      <c r="L955" s="120" t="n">
        <v>-0.2405415179540475</v>
      </c>
      <c r="M955" s="120" t="n">
        <v>-0.3733059661268202</v>
      </c>
      <c r="N955" t="n">
        <v>48.69377252013746</v>
      </c>
      <c r="O955" t="n">
        <v>0.2513494312429337</v>
      </c>
      <c r="P955" t="n">
        <v>138.086114297061</v>
      </c>
      <c r="Q955" t="n">
        <v>141.7264343058626</v>
      </c>
    </row>
    <row r="956">
      <c r="A956" s="117" t="n">
        <v>45804</v>
      </c>
      <c r="B956" s="118" t="n">
        <v>59.10454489560985</v>
      </c>
      <c r="C956" s="118" t="n">
        <v>60.7578855776597</v>
      </c>
      <c r="D956" s="118" t="n">
        <v>58.8241527504755</v>
      </c>
      <c r="E956" s="118" t="n">
        <v>60.74821853637695</v>
      </c>
      <c r="F956" s="119" t="n">
        <v>16642100</v>
      </c>
      <c r="G956" s="120" t="n">
        <v>0.04681768306775891</v>
      </c>
      <c r="H956" s="121" t="n">
        <v>38.18715035196449</v>
      </c>
      <c r="I956" s="118" t="n">
        <v>58.7007844543457</v>
      </c>
      <c r="J956" s="118" t="n">
        <v>70.92888809204102</v>
      </c>
      <c r="K956" s="120" t="n">
        <v>0.4200491266191486</v>
      </c>
      <c r="L956" s="120" t="n">
        <v>-0.2005343867314097</v>
      </c>
      <c r="M956" s="120" t="n">
        <v>-0.3439656034684903</v>
      </c>
      <c r="N956" t="n">
        <v>56.37686942285653</v>
      </c>
      <c r="O956" t="n">
        <v>0.3067450901239948</v>
      </c>
      <c r="P956" t="n">
        <v>140.9569745818359</v>
      </c>
      <c r="Q956" t="n">
        <v>145.0605693350889</v>
      </c>
    </row>
    <row r="957">
      <c r="A957" s="117" t="n">
        <v>45805</v>
      </c>
      <c r="B957" s="118" t="n">
        <v>60.66120007874667</v>
      </c>
      <c r="C957" s="118" t="n">
        <v>61.01893961708792</v>
      </c>
      <c r="D957" s="118" t="n">
        <v>59.52029742190441</v>
      </c>
      <c r="E957" s="118" t="n">
        <v>59.73300552368164</v>
      </c>
      <c r="F957" s="119" t="n">
        <v>10015600</v>
      </c>
      <c r="G957" s="120" t="n">
        <v>-0.01671181537755528</v>
      </c>
      <c r="H957" s="121" t="n">
        <v>37.54897374548752</v>
      </c>
      <c r="I957" s="118" t="n">
        <v>58.47028327941894</v>
      </c>
      <c r="J957" s="118" t="n">
        <v>70.8740888786316</v>
      </c>
      <c r="K957" s="120" t="n">
        <v>0.4270366126159726</v>
      </c>
      <c r="L957" s="120" t="n">
        <v>-0.2138949084610583</v>
      </c>
      <c r="M957" s="120" t="n">
        <v>-0.3549291291846507</v>
      </c>
      <c r="N957" t="n">
        <v>53.17263796007806</v>
      </c>
      <c r="O957" t="n">
        <v>0.258928337424463</v>
      </c>
      <c r="P957" t="n">
        <v>140.1415041536892</v>
      </c>
      <c r="Q957" t="n">
        <v>144.4176804274985</v>
      </c>
    </row>
    <row r="958">
      <c r="A958" s="117" t="n">
        <v>45806</v>
      </c>
      <c r="B958" s="118" t="n">
        <v>60.41948672066727</v>
      </c>
      <c r="C958" s="118" t="n">
        <v>60.8159018218166</v>
      </c>
      <c r="D958" s="118" t="n">
        <v>59.10454774466864</v>
      </c>
      <c r="E958" s="118" t="n">
        <v>59.40427398681641</v>
      </c>
      <c r="F958" s="119" t="n">
        <v>12218000</v>
      </c>
      <c r="G958" s="120" t="n">
        <v>-0.005503348341226677</v>
      </c>
      <c r="H958" s="121" t="n">
        <v>37.34232866311052</v>
      </c>
      <c r="I958" s="118" t="n">
        <v>58.24074913024902</v>
      </c>
      <c r="J958" s="118" t="n">
        <v>70.81693147659301</v>
      </c>
      <c r="K958" s="120" t="n">
        <v>0.4194520801521762</v>
      </c>
      <c r="L958" s="120" t="n">
        <v>-0.2182211186126091</v>
      </c>
      <c r="M958" s="120" t="n">
        <v>-0.3584791788915259</v>
      </c>
      <c r="N958" t="n">
        <v>52.13926590172795</v>
      </c>
      <c r="O958" t="n">
        <v>0.1921461718776175</v>
      </c>
      <c r="P958" t="n">
        <v>140.6947046519003</v>
      </c>
      <c r="Q958" t="n">
        <v>144.7015576680641</v>
      </c>
    </row>
    <row r="959">
      <c r="A959" s="117" t="n">
        <v>45807</v>
      </c>
      <c r="B959" s="118" t="n">
        <v>58.9788545268129</v>
      </c>
      <c r="C959" s="118" t="n">
        <v>59.09487747020641</v>
      </c>
      <c r="D959" s="118" t="n">
        <v>58.10867323060435</v>
      </c>
      <c r="E959" s="118" t="n">
        <v>58.58243942260742</v>
      </c>
      <c r="F959" s="119" t="n">
        <v>18155100</v>
      </c>
      <c r="G959" s="120" t="n">
        <v>-0.01383460328782693</v>
      </c>
      <c r="H959" s="121" t="n">
        <v>36.82571236021273</v>
      </c>
      <c r="I959" s="118" t="n">
        <v>58.00096618652343</v>
      </c>
      <c r="J959" s="118" t="n">
        <v>70.75423549652099</v>
      </c>
      <c r="K959" s="120" t="n">
        <v>0.4244312802870135</v>
      </c>
      <c r="L959" s="120" t="n">
        <v>-0.2290367192954048</v>
      </c>
      <c r="M959" s="120" t="n">
        <v>-0.3673543649524427</v>
      </c>
      <c r="N959" t="n">
        <v>49.54680691366389</v>
      </c>
      <c r="O959" t="n">
        <v>0.08507106123008179</v>
      </c>
      <c r="P959" t="n">
        <v>140.5373367906148</v>
      </c>
      <c r="Q959" t="n">
        <v>144.4733520129896</v>
      </c>
    </row>
    <row r="960">
      <c r="A960" s="117" t="n">
        <v>45810</v>
      </c>
      <c r="B960" s="118" t="n">
        <v>58.44617500946916</v>
      </c>
      <c r="C960" s="118" t="n">
        <v>59.95477663852422</v>
      </c>
      <c r="D960" s="118" t="n">
        <v>58.00819293321091</v>
      </c>
      <c r="E960" s="118" t="n">
        <v>59.92557907104492</v>
      </c>
      <c r="F960" s="119" t="n">
        <v>14065300</v>
      </c>
      <c r="G960" s="120" t="n">
        <v>0.02292734241993988</v>
      </c>
      <c r="H960" s="121" t="n">
        <v>37.67002807735354</v>
      </c>
      <c r="I960" s="118" t="n">
        <v>57.80989707946777</v>
      </c>
      <c r="J960" s="118" t="n">
        <v>70.67986497879028</v>
      </c>
      <c r="K960" s="120" t="n">
        <v>0.4173245143893279</v>
      </c>
      <c r="L960" s="120" t="n">
        <v>-0.2113605801654903</v>
      </c>
      <c r="M960" s="120" t="n">
        <v>-0.3528494818472271</v>
      </c>
      <c r="N960" t="n">
        <v>53.60677823331321</v>
      </c>
      <c r="O960" t="n">
        <v>0.09632386975079055</v>
      </c>
      <c r="P960" t="n">
        <v>141.3289873061558</v>
      </c>
      <c r="Q960" t="n">
        <v>145.6144144636757</v>
      </c>
    </row>
    <row r="961">
      <c r="A961" s="117" t="n">
        <v>45811</v>
      </c>
      <c r="B961" s="118" t="n">
        <v>59.60439880717803</v>
      </c>
      <c r="C961" s="118" t="n">
        <v>60.78208113915922</v>
      </c>
      <c r="D961" s="118" t="n">
        <v>58.84522858495696</v>
      </c>
      <c r="E961" s="118" t="n">
        <v>60.70421600341797</v>
      </c>
      <c r="F961" s="119" t="n">
        <v>10286100</v>
      </c>
      <c r="G961" s="120" t="n">
        <v>0.01299339855272708</v>
      </c>
      <c r="H961" s="121" t="n">
        <v>38.15948976565502</v>
      </c>
      <c r="I961" s="118" t="n">
        <v>57.71020332336425</v>
      </c>
      <c r="J961" s="118" t="n">
        <v>70.60929246902465</v>
      </c>
      <c r="K961" s="120" t="n">
        <v>0.4084619473272342</v>
      </c>
      <c r="L961" s="120" t="n">
        <v>-0.1782135186511614</v>
      </c>
      <c r="M961" s="120" t="n">
        <v>-0.3444407972412643</v>
      </c>
      <c r="N961" t="n">
        <v>55.82599438214391</v>
      </c>
      <c r="O961" t="n">
        <v>0.1449076486549473</v>
      </c>
      <c r="P961" t="n">
        <v>142.134909107626</v>
      </c>
      <c r="Q961" t="n">
        <v>146.7526916263216</v>
      </c>
    </row>
    <row r="962">
      <c r="A962" s="117" t="n">
        <v>45812</v>
      </c>
      <c r="B962" s="118" t="n">
        <v>60.71395310907489</v>
      </c>
      <c r="C962" s="118" t="n">
        <v>61.35632564997979</v>
      </c>
      <c r="D962" s="118" t="n">
        <v>60.60689040012171</v>
      </c>
      <c r="E962" s="118" t="n">
        <v>61.09353637695312</v>
      </c>
      <c r="F962" s="119" t="n">
        <v>10242300</v>
      </c>
      <c r="G962" s="120" t="n">
        <v>0.00641339925242157</v>
      </c>
      <c r="H962" s="121" t="n">
        <v>38.40422180879087</v>
      </c>
      <c r="I962" s="118" t="n">
        <v>57.6289315032959</v>
      </c>
      <c r="J962" s="118" t="n">
        <v>70.52170457839966</v>
      </c>
      <c r="K962" s="120" t="n">
        <v>0.4066784143495012</v>
      </c>
      <c r="L962" s="120" t="n">
        <v>-0.1480766313264816</v>
      </c>
      <c r="M962" s="120" t="n">
        <v>-0.3402364343403733</v>
      </c>
      <c r="N962" t="n">
        <v>56.93523052790222</v>
      </c>
      <c r="O962" t="n">
        <v>0.1891673674896629</v>
      </c>
      <c r="P962" t="n">
        <v>142.0967588758504</v>
      </c>
      <c r="Q962" t="n">
        <v>147.1618213904136</v>
      </c>
    </row>
    <row r="963">
      <c r="A963" s="117" t="n">
        <v>45813</v>
      </c>
      <c r="B963" s="118" t="n">
        <v>61.25898981562648</v>
      </c>
      <c r="C963" s="118" t="n">
        <v>61.95976115990126</v>
      </c>
      <c r="D963" s="118" t="n">
        <v>60.56795346936323</v>
      </c>
      <c r="E963" s="118" t="n">
        <v>60.99620056152344</v>
      </c>
      <c r="F963" s="119" t="n">
        <v>12336300</v>
      </c>
      <c r="G963" s="120" t="n">
        <v>-0.001593226079255161</v>
      </c>
      <c r="H963" s="121" t="n">
        <v>38.34303520105159</v>
      </c>
      <c r="I963" s="118" t="n">
        <v>57.56214973449707</v>
      </c>
      <c r="J963" s="118" t="n">
        <v>70.43015199661255</v>
      </c>
      <c r="K963" s="120" t="n">
        <v>0.3986226507565027</v>
      </c>
      <c r="L963" s="120" t="n">
        <v>-0.1440098578823393</v>
      </c>
      <c r="M963" s="120" t="n">
        <v>-0.3412875868593247</v>
      </c>
      <c r="N963" t="n">
        <v>56.55287957409539</v>
      </c>
      <c r="O963" t="n">
        <v>0.1969082698895276</v>
      </c>
      <c r="P963" t="n">
        <v>141.4100104289596</v>
      </c>
      <c r="Q963" t="n">
        <v>146.0541311332402</v>
      </c>
    </row>
    <row r="964">
      <c r="A964" s="117" t="n">
        <v>45814</v>
      </c>
      <c r="B964" s="118" t="n">
        <v>60.99620126920625</v>
      </c>
      <c r="C964" s="118" t="n">
        <v>61.40498579571392</v>
      </c>
      <c r="D964" s="118" t="n">
        <v>60.46089146959182</v>
      </c>
      <c r="E964" s="118" t="n">
        <v>61.12273025512695</v>
      </c>
      <c r="F964" s="119" t="n">
        <v>13299600</v>
      </c>
      <c r="G964" s="120" t="n">
        <v>0.002074386477169066</v>
      </c>
      <c r="H964" s="121" t="n">
        <v>38.42257347476627</v>
      </c>
      <c r="I964" s="118" t="n">
        <v>57.51336853027344</v>
      </c>
      <c r="J964" s="118" t="n">
        <v>70.33899387359619</v>
      </c>
      <c r="K964" s="120" t="n">
        <v>0.3986598840030253</v>
      </c>
      <c r="L964" s="120" t="n">
        <v>-0.1422342035069404</v>
      </c>
      <c r="M964" s="120" t="n">
        <v>-0.3399211627371622</v>
      </c>
      <c r="N964" t="n">
        <v>56.95753253503418</v>
      </c>
      <c r="O964" t="n">
        <v>0.1951918747583488</v>
      </c>
      <c r="P964" t="n">
        <v>142.8621838742288</v>
      </c>
      <c r="Q964" t="n">
        <v>147.4818732001887</v>
      </c>
    </row>
    <row r="965">
      <c r="A965" s="117" t="n">
        <v>45817</v>
      </c>
      <c r="B965" s="118" t="n">
        <v>61.60937536557721</v>
      </c>
      <c r="C965" s="118" t="n">
        <v>61.79430319929067</v>
      </c>
      <c r="D965" s="118" t="n">
        <v>60.22730267579171</v>
      </c>
      <c r="E965" s="118" t="n">
        <v>60.25650024414062</v>
      </c>
      <c r="F965" s="119" t="n">
        <v>11640000</v>
      </c>
      <c r="G965" s="120" t="n">
        <v>-0.01417197836828743</v>
      </c>
      <c r="H965" s="121" t="n">
        <v>37.87804959462795</v>
      </c>
      <c r="I965" s="118" t="n">
        <v>57.44610214233398</v>
      </c>
      <c r="J965" s="118" t="n">
        <v>70.24217060089111</v>
      </c>
      <c r="K965" s="120" t="n">
        <v>0.4006862034438196</v>
      </c>
      <c r="L965" s="120" t="n">
        <v>-0.1543904418198968</v>
      </c>
      <c r="M965" s="120" t="n">
        <v>-0.3492757857402156</v>
      </c>
      <c r="N965" t="n">
        <v>53.29774390493531</v>
      </c>
      <c r="O965" t="n">
        <v>0.1238373181769233</v>
      </c>
      <c r="P965" t="n">
        <v>142.9909206137949</v>
      </c>
      <c r="Q965" t="n">
        <v>147.6989718784158</v>
      </c>
    </row>
    <row r="966">
      <c r="A966" s="117" t="n">
        <v>45818</v>
      </c>
      <c r="B966" s="118" t="n">
        <v>60.7139474416271</v>
      </c>
      <c r="C966" s="118" t="n">
        <v>62.4464094821409</v>
      </c>
      <c r="D966" s="118" t="n">
        <v>60.58741845987403</v>
      </c>
      <c r="E966" s="118" t="n">
        <v>62.16415023803711</v>
      </c>
      <c r="F966" s="119" t="n">
        <v>15287000</v>
      </c>
      <c r="G966" s="120" t="n">
        <v>0.03165882495941985</v>
      </c>
      <c r="H966" s="121" t="n">
        <v>39.07722413654851</v>
      </c>
      <c r="I966" s="118" t="n">
        <v>57.46552551269532</v>
      </c>
      <c r="J966" s="118" t="n">
        <v>70.15278932571411</v>
      </c>
      <c r="K966" s="120" t="n">
        <v>0.3243973621964054</v>
      </c>
      <c r="L966" s="120" t="n">
        <v>-0.1276194368334604</v>
      </c>
      <c r="M966" s="120" t="n">
        <v>-0.328674621744109</v>
      </c>
      <c r="N966" t="n">
        <v>59.47354876869537</v>
      </c>
      <c r="O966" t="n">
        <v>0.1893157262019871</v>
      </c>
      <c r="P966" t="n">
        <v>143.8016388660686</v>
      </c>
      <c r="Q966" t="n">
        <v>148.6758219483256</v>
      </c>
    </row>
    <row r="967">
      <c r="A967" s="117" t="n">
        <v>45819</v>
      </c>
      <c r="B967" s="118" t="n">
        <v>62.68000120465984</v>
      </c>
      <c r="C967" s="118" t="n">
        <v>63.11797959890846</v>
      </c>
      <c r="D967" s="118" t="n">
        <v>60.90861020526334</v>
      </c>
      <c r="E967" s="118" t="n">
        <v>61.42445373535156</v>
      </c>
      <c r="F967" s="119" t="n">
        <v>10238700</v>
      </c>
      <c r="G967" s="120" t="n">
        <v>-0.01189908492037817</v>
      </c>
      <c r="H967" s="121" t="n">
        <v>38.61224092809506</v>
      </c>
      <c r="I967" s="118" t="n">
        <v>57.46648094177246</v>
      </c>
      <c r="J967" s="118" t="n">
        <v>70.06252046585082</v>
      </c>
      <c r="K967" s="120" t="n">
        <v>0.3275692333119249</v>
      </c>
      <c r="L967" s="120" t="n">
        <v>-0.1334141756665296</v>
      </c>
      <c r="M967" s="120" t="n">
        <v>-0.3366627794291809</v>
      </c>
      <c r="N967" t="n">
        <v>56.36128672052198</v>
      </c>
      <c r="O967" t="n">
        <v>0.1677469416383622</v>
      </c>
      <c r="P967" t="n">
        <v>143.3915054265935</v>
      </c>
      <c r="Q967" t="n">
        <v>148.174846029533</v>
      </c>
    </row>
    <row r="968">
      <c r="A968" s="117" t="n">
        <v>45820</v>
      </c>
      <c r="B968" s="118" t="n">
        <v>61.06433511763581</v>
      </c>
      <c r="C968" s="118" t="n">
        <v>61.24925924104765</v>
      </c>
      <c r="D968" s="118" t="n">
        <v>60.11050579338923</v>
      </c>
      <c r="E968" s="118" t="n">
        <v>61.12273025512695</v>
      </c>
      <c r="F968" s="119" t="n">
        <v>9830500</v>
      </c>
      <c r="G968" s="120" t="n">
        <v>-0.004912106854455534</v>
      </c>
      <c r="H968" s="121" t="n">
        <v>38.42257347476628</v>
      </c>
      <c r="I968" s="118" t="n">
        <v>57.43665000915527</v>
      </c>
      <c r="J968" s="118" t="n">
        <v>69.9676937866211</v>
      </c>
      <c r="K968" s="120" t="n">
        <v>0.3254991516835394</v>
      </c>
      <c r="L968" s="120" t="n">
        <v>-0.1338903772438343</v>
      </c>
      <c r="M968" s="120" t="n">
        <v>-0.3399211627371622</v>
      </c>
      <c r="N968" t="n">
        <v>55.09479287262684</v>
      </c>
      <c r="O968" t="n">
        <v>0.1203174203689564</v>
      </c>
      <c r="P968" t="n">
        <v>143.9613975736007</v>
      </c>
      <c r="Q968" t="n">
        <v>148.5227507197103</v>
      </c>
    </row>
    <row r="969">
      <c r="A969" s="117" t="n">
        <v>45821</v>
      </c>
      <c r="B969" s="118" t="n">
        <v>60.10077407223385</v>
      </c>
      <c r="C969" s="118" t="n">
        <v>61.10326352857713</v>
      </c>
      <c r="D969" s="118" t="n">
        <v>58.50457597027656</v>
      </c>
      <c r="E969" s="118" t="n">
        <v>58.91335678100586</v>
      </c>
      <c r="F969" s="119" t="n">
        <v>16509700</v>
      </c>
      <c r="G969" s="120" t="n">
        <v>-0.03614651153342041</v>
      </c>
      <c r="H969" s="121" t="n">
        <v>37.03373147951694</v>
      </c>
      <c r="I969" s="118" t="n">
        <v>57.35876426696777</v>
      </c>
      <c r="J969" s="118" t="n">
        <v>69.86072450637818</v>
      </c>
      <c r="K969" s="120" t="n">
        <v>0.3492629999109365</v>
      </c>
      <c r="L969" s="120" t="n">
        <v>-0.1520700126367721</v>
      </c>
      <c r="M969" s="120" t="n">
        <v>-0.3637807100412502</v>
      </c>
      <c r="N969" t="n">
        <v>46.80150542461401</v>
      </c>
      <c r="O969" t="n">
        <v>-0.06285076951438606</v>
      </c>
      <c r="P969" t="n">
        <v>142.3518857836664</v>
      </c>
      <c r="Q969" t="n">
        <v>146.6580772712375</v>
      </c>
    </row>
    <row r="970">
      <c r="A970" s="117" t="n">
        <v>45824</v>
      </c>
      <c r="B970" s="118" t="n">
        <v>59.74065672748625</v>
      </c>
      <c r="C970" s="118" t="n">
        <v>60.51928949014209</v>
      </c>
      <c r="D970" s="118" t="n">
        <v>59.60439645812321</v>
      </c>
      <c r="E970" s="118" t="n">
        <v>60.24676895141602</v>
      </c>
      <c r="F970" s="119" t="n">
        <v>13681600</v>
      </c>
      <c r="G970" s="120" t="n">
        <v>0.02263344415030955</v>
      </c>
      <c r="H970" s="121" t="n">
        <v>37.87193237263615</v>
      </c>
      <c r="I970" s="118" t="n">
        <v>57.48893081665039</v>
      </c>
      <c r="J970" s="118" t="n">
        <v>69.75561031341553</v>
      </c>
      <c r="K970" s="120" t="n">
        <v>0.3567415180719096</v>
      </c>
      <c r="L970" s="120" t="n">
        <v>-0.08284709504416743</v>
      </c>
      <c r="M970" s="120" t="n">
        <v>-0.3493808762746192</v>
      </c>
      <c r="N970" t="n">
        <v>51.5423774191976</v>
      </c>
      <c r="O970" t="n">
        <v>-0.09525979514729854</v>
      </c>
      <c r="P970" t="n">
        <v>143.7062706657847</v>
      </c>
      <c r="Q970" t="n">
        <v>148.6980871649907</v>
      </c>
    </row>
    <row r="971">
      <c r="A971" s="117" t="n">
        <v>45825</v>
      </c>
      <c r="B971" s="118" t="n">
        <v>59.66279697548525</v>
      </c>
      <c r="C971" s="118" t="n">
        <v>59.66279697548525</v>
      </c>
      <c r="D971" s="118" t="n">
        <v>58.08606502480834</v>
      </c>
      <c r="E971" s="118" t="n">
        <v>58.39751815795898</v>
      </c>
      <c r="F971" s="119" t="n">
        <v>13649700</v>
      </c>
      <c r="G971" s="120" t="n">
        <v>-0.03069460529822432</v>
      </c>
      <c r="H971" s="121" t="n">
        <v>36.70946835657704</v>
      </c>
      <c r="I971" s="118" t="n">
        <v>57.54981910705566</v>
      </c>
      <c r="J971" s="118" t="n">
        <v>69.65316061019898</v>
      </c>
      <c r="K971" s="120" t="n">
        <v>0.3686994017906424</v>
      </c>
      <c r="L971" s="120" t="n">
        <v>-0.1037432049904717</v>
      </c>
      <c r="M971" s="120" t="n">
        <v>-0.3693513734768464</v>
      </c>
      <c r="N971" t="n">
        <v>45.48797144731001</v>
      </c>
      <c r="O971" t="n">
        <v>-0.2343699613721404</v>
      </c>
      <c r="P971" t="n">
        <v>142.4782907102264</v>
      </c>
      <c r="Q971" t="n">
        <v>147.2481140566904</v>
      </c>
    </row>
    <row r="972">
      <c r="A972" s="117" t="n">
        <v>45826</v>
      </c>
      <c r="B972" s="118" t="n">
        <v>58.39751172245413</v>
      </c>
      <c r="C972" s="118" t="n">
        <v>58.8354938029353</v>
      </c>
      <c r="D972" s="118" t="n">
        <v>57.7843368097805</v>
      </c>
      <c r="E972" s="118" t="n">
        <v>57.92059707641602</v>
      </c>
      <c r="F972" s="119" t="n">
        <v>14194300</v>
      </c>
      <c r="G972" s="120" t="n">
        <v>-0.008166803942813994</v>
      </c>
      <c r="H972" s="121" t="n">
        <v>36.40966932566394</v>
      </c>
      <c r="I972" s="118" t="n">
        <v>57.63288215637207</v>
      </c>
      <c r="J972" s="118" t="n">
        <v>69.54608715057373</v>
      </c>
      <c r="K972" s="120" t="n">
        <v>0.3679575290893339</v>
      </c>
      <c r="L972" s="120" t="n">
        <v>-0.09970720617891038</v>
      </c>
      <c r="M972" s="120" t="n">
        <v>-0.3745017571664658</v>
      </c>
      <c r="N972" t="n">
        <v>44.05083941211491</v>
      </c>
      <c r="O972" t="n">
        <v>-0.3449528978411893</v>
      </c>
      <c r="P972" t="n">
        <v>142.4568026106267</v>
      </c>
      <c r="Q972" t="n">
        <v>147.2230464643284</v>
      </c>
    </row>
    <row r="973">
      <c r="A973" s="117" t="n">
        <v>45828</v>
      </c>
      <c r="B973" s="118" t="n">
        <v>58.15419029718144</v>
      </c>
      <c r="C973" s="118" t="n">
        <v>58.43644583572426</v>
      </c>
      <c r="D973" s="118" t="n">
        <v>57.60914550338983</v>
      </c>
      <c r="E973" s="118" t="n">
        <v>58.19312286376953</v>
      </c>
      <c r="F973" s="119" t="n">
        <v>19084000</v>
      </c>
      <c r="G973" s="120" t="n">
        <v>0.004705161913195921</v>
      </c>
      <c r="H973" s="121" t="n">
        <v>36.58098271504711</v>
      </c>
      <c r="I973" s="118" t="n">
        <v>57.76664505004883</v>
      </c>
      <c r="J973" s="118" t="n">
        <v>69.44009040832519</v>
      </c>
      <c r="K973" s="120" t="n">
        <v>0.3377241280461021</v>
      </c>
      <c r="L973" s="120" t="n">
        <v>-0.08529883938615956</v>
      </c>
      <c r="M973" s="120" t="n">
        <v>-0.3715586866575146</v>
      </c>
      <c r="N973" t="n">
        <v>45.1178698935399</v>
      </c>
      <c r="O973" t="n">
        <v>-0.3832444133448236</v>
      </c>
      <c r="P973" t="n">
        <v>142.1222464775047</v>
      </c>
      <c r="Q973" t="n">
        <v>146.621902702028</v>
      </c>
    </row>
    <row r="974">
      <c r="A974" s="117" t="n">
        <v>45831</v>
      </c>
      <c r="B974" s="118" t="n">
        <v>57.98873000046727</v>
      </c>
      <c r="C974" s="118" t="n">
        <v>59.66278945184497</v>
      </c>
      <c r="D974" s="118" t="n">
        <v>57.85246602318468</v>
      </c>
      <c r="E974" s="118" t="n">
        <v>59.15667724609375</v>
      </c>
      <c r="F974" s="119" t="n">
        <v>15921300</v>
      </c>
      <c r="G974" s="120" t="n">
        <v>0.01655787376422313</v>
      </c>
      <c r="H974" s="121" t="n">
        <v>37.18668600901409</v>
      </c>
      <c r="I974" s="118" t="n">
        <v>57.80268821716309</v>
      </c>
      <c r="J974" s="118" t="n">
        <v>69.34671188354493</v>
      </c>
      <c r="K974" s="120" t="n">
        <v>0.3333334504220348</v>
      </c>
      <c r="L974" s="120" t="n">
        <v>-0.07015333303672722</v>
      </c>
      <c r="M974" s="120" t="n">
        <v>-0.3611530347229672</v>
      </c>
      <c r="N974" t="n">
        <v>48.833418637179</v>
      </c>
      <c r="O974" t="n">
        <v>-0.3292444400858394</v>
      </c>
      <c r="P974" t="n">
        <v>143.5260569403644</v>
      </c>
      <c r="Q974" t="n">
        <v>148.1295295639952</v>
      </c>
    </row>
    <row r="975">
      <c r="A975" s="117" t="n">
        <v>45832</v>
      </c>
      <c r="B975" s="118" t="n">
        <v>59.69199408518201</v>
      </c>
      <c r="C975" s="118" t="n">
        <v>60.32463159329945</v>
      </c>
      <c r="D975" s="118" t="n">
        <v>58.86469374143989</v>
      </c>
      <c r="E975" s="118" t="n">
        <v>59.77958679199219</v>
      </c>
      <c r="F975" s="119" t="n">
        <v>12564000</v>
      </c>
      <c r="G975" s="120" t="n">
        <v>0.01052982646924394</v>
      </c>
      <c r="H975" s="121" t="n">
        <v>37.57825535965527</v>
      </c>
      <c r="I975" s="118" t="n">
        <v>57.94632919311523</v>
      </c>
      <c r="J975" s="118" t="n">
        <v>69.25788368225098</v>
      </c>
      <c r="K975" s="120" t="n">
        <v>0.3253783114808473</v>
      </c>
      <c r="L975" s="120" t="n">
        <v>-0.04821160149986825</v>
      </c>
      <c r="M975" s="120" t="n">
        <v>-0.3544260870381969</v>
      </c>
      <c r="N975" t="n">
        <v>51.13650371413304</v>
      </c>
      <c r="O975" t="n">
        <v>-0.2412174604566605</v>
      </c>
      <c r="P975" t="n">
        <v>145.1116159929015</v>
      </c>
      <c r="Q975" t="n">
        <v>150.3947376852458</v>
      </c>
    </row>
    <row r="976">
      <c r="A976" s="117" t="n">
        <v>45833</v>
      </c>
      <c r="B976" s="118" t="n">
        <v>59.80878891618639</v>
      </c>
      <c r="C976" s="118" t="n">
        <v>59.88665033871904</v>
      </c>
      <c r="D976" s="118" t="n">
        <v>58.74790058037929</v>
      </c>
      <c r="E976" s="118" t="n">
        <v>59.20534896850586</v>
      </c>
      <c r="F976" s="119" t="n">
        <v>12186200</v>
      </c>
      <c r="G976" s="120" t="n">
        <v>-0.009605918245712108</v>
      </c>
      <c r="H976" s="121" t="n">
        <v>37.21728171085392</v>
      </c>
      <c r="I976" s="118" t="n">
        <v>58.07867889404297</v>
      </c>
      <c r="J976" s="118" t="n">
        <v>69.16709344863892</v>
      </c>
      <c r="K976" s="120" t="n">
        <v>0.2800579236415862</v>
      </c>
      <c r="L976" s="120" t="n">
        <v>-0.05735440304307793</v>
      </c>
      <c r="M976" s="120" t="n">
        <v>-0.3605615617921829</v>
      </c>
      <c r="N976" t="n">
        <v>48.94914417153778</v>
      </c>
      <c r="O976" t="n">
        <v>-0.2123268971510757</v>
      </c>
      <c r="P976" t="n">
        <v>145.1929342819087</v>
      </c>
      <c r="Q976" t="n">
        <v>150.7792099607364</v>
      </c>
    </row>
    <row r="977">
      <c r="A977" s="117" t="n">
        <v>45834</v>
      </c>
      <c r="B977" s="118" t="n">
        <v>59.91584909176676</v>
      </c>
      <c r="C977" s="118" t="n">
        <v>61.05459880203863</v>
      </c>
      <c r="D977" s="118" t="n">
        <v>59.19561147146828</v>
      </c>
      <c r="E977" s="118" t="n">
        <v>60.86967468261719</v>
      </c>
      <c r="F977" s="119" t="n">
        <v>39659800</v>
      </c>
      <c r="G977" s="120" t="n">
        <v>0.02811107008247959</v>
      </c>
      <c r="H977" s="121" t="n">
        <v>38.26349932530712</v>
      </c>
      <c r="I977" s="118" t="n">
        <v>58.22459098815918</v>
      </c>
      <c r="J977" s="118" t="n">
        <v>69.08558198928833</v>
      </c>
      <c r="K977" s="120" t="n">
        <v>0.291940280651476</v>
      </c>
      <c r="L977" s="120" t="n">
        <v>-0.03085562660408114</v>
      </c>
      <c r="M977" s="120" t="n">
        <v>-0.3257954024886461</v>
      </c>
      <c r="N977" t="n">
        <v>54.96222794010252</v>
      </c>
      <c r="O977" t="n">
        <v>-0.07867255377742277</v>
      </c>
      <c r="P977" t="n">
        <v>146.3288961735905</v>
      </c>
      <c r="Q977" t="n">
        <v>152.1890441634754</v>
      </c>
    </row>
    <row r="978">
      <c r="A978" s="117" t="n">
        <v>45835</v>
      </c>
      <c r="B978" s="118" t="n">
        <v>67.92605208638787</v>
      </c>
      <c r="C978" s="118" t="n">
        <v>72.20853853009474</v>
      </c>
      <c r="D978" s="118" t="n">
        <v>67.82872436790954</v>
      </c>
      <c r="E978" s="118" t="n">
        <v>70.11595916748047</v>
      </c>
      <c r="F978" s="119" t="n">
        <v>117530300</v>
      </c>
      <c r="G978" s="120" t="n">
        <v>0.1519029719326523</v>
      </c>
      <c r="H978" s="121" t="n">
        <v>44.07583858936432</v>
      </c>
      <c r="I978" s="118" t="n">
        <v>58.56664436340332</v>
      </c>
      <c r="J978" s="118" t="n">
        <v>69.05575746536255</v>
      </c>
      <c r="K978" s="120" t="n">
        <v>0.6081352716031212</v>
      </c>
      <c r="L978" s="120" t="n">
        <v>0</v>
      </c>
      <c r="M978" s="120" t="n">
        <v>-0.2187643502626124</v>
      </c>
      <c r="N978" t="n">
        <v>73.58032548945407</v>
      </c>
      <c r="O978" t="n">
        <v>0.5976815223733299</v>
      </c>
      <c r="P978" t="n">
        <v>147.0559052906104</v>
      </c>
      <c r="Q978" t="n">
        <v>152.7100809912203</v>
      </c>
    </row>
    <row r="979">
      <c r="A979" s="117" t="n">
        <v>45838</v>
      </c>
      <c r="B979" s="118" t="n">
        <v>69.54170789245337</v>
      </c>
      <c r="C979" s="118" t="n">
        <v>69.79476588239633</v>
      </c>
      <c r="D979" s="118" t="n">
        <v>68.1888326558646</v>
      </c>
      <c r="E979" s="118" t="n">
        <v>69.14266204833984</v>
      </c>
      <c r="F979" s="119" t="n">
        <v>31090400</v>
      </c>
      <c r="G979" s="120" t="n">
        <v>-0.01388124944302316</v>
      </c>
      <c r="H979" s="121" t="n">
        <v>43.46401087949492</v>
      </c>
      <c r="I979" s="118" t="n">
        <v>58.91398361206055</v>
      </c>
      <c r="J979" s="118" t="n">
        <v>69.02776624679565</v>
      </c>
      <c r="K979" s="120" t="n">
        <v>0.6081584977624359</v>
      </c>
      <c r="L979" s="120" t="n">
        <v>-0.01388124944302327</v>
      </c>
      <c r="M979" s="120" t="n">
        <v>-0.2296088771903995</v>
      </c>
      <c r="N979" t="n">
        <v>70.28655357991575</v>
      </c>
      <c r="O979" t="n">
        <v>0.9251816186443262</v>
      </c>
      <c r="P979" t="n">
        <v>147.7590059451636</v>
      </c>
      <c r="Q979" t="n">
        <v>153.6991999986325</v>
      </c>
    </row>
    <row r="980">
      <c r="A980" s="117" t="n">
        <v>45839</v>
      </c>
      <c r="B980" s="118" t="n">
        <v>70.06727605105846</v>
      </c>
      <c r="C980" s="118" t="n">
        <v>71.96519955566329</v>
      </c>
      <c r="D980" s="118" t="n">
        <v>69.9115532211659</v>
      </c>
      <c r="E980" s="118" t="n">
        <v>71.44935607910156</v>
      </c>
      <c r="F980" s="119" t="n">
        <v>27512900</v>
      </c>
      <c r="G980" s="120" t="n">
        <v>0.03336137143734841</v>
      </c>
      <c r="H980" s="121" t="n">
        <v>44.91402989060271</v>
      </c>
      <c r="I980" s="118" t="n">
        <v>59.26472129821777</v>
      </c>
      <c r="J980" s="118" t="n">
        <v>69.00982500076294</v>
      </c>
      <c r="K980" s="120" t="n">
        <v>0.612446788228509</v>
      </c>
      <c r="L980" s="120" t="n">
        <v>0</v>
      </c>
      <c r="M980" s="120" t="n">
        <v>-0.1653516401424346</v>
      </c>
      <c r="N980" t="n">
        <v>73.33326234744133</v>
      </c>
      <c r="O980" t="n">
        <v>1.224071399012083</v>
      </c>
      <c r="P980" t="n">
        <v>147.7111890202302</v>
      </c>
      <c r="Q980" t="n">
        <v>152.4035796931992</v>
      </c>
    </row>
    <row r="981">
      <c r="A981" s="117" t="n">
        <v>45840</v>
      </c>
      <c r="B981" s="118" t="n">
        <v>71.21576840418466</v>
      </c>
      <c r="C981" s="118" t="n">
        <v>74.78774798849355</v>
      </c>
      <c r="D981" s="118" t="n">
        <v>71.05031055900621</v>
      </c>
      <c r="E981" s="118" t="n">
        <v>74.34976959228516</v>
      </c>
      <c r="F981" s="119" t="n">
        <v>36882300</v>
      </c>
      <c r="G981" s="120" t="n">
        <v>0.04059397694182931</v>
      </c>
      <c r="H981" s="121" t="n">
        <v>46.73726898434647</v>
      </c>
      <c r="I981" s="118" t="n">
        <v>59.66650573730469</v>
      </c>
      <c r="J981" s="118" t="n">
        <v>69.00638582229614</v>
      </c>
      <c r="K981" s="120" t="n">
        <v>0.6222957972571035</v>
      </c>
      <c r="L981" s="120" t="n">
        <v>0</v>
      </c>
      <c r="M981" s="120" t="n">
        <v>-0.1314699438678411</v>
      </c>
      <c r="N981" t="n">
        <v>76.58441616163933</v>
      </c>
      <c r="O981" t="n">
        <v>1.524460375475457</v>
      </c>
      <c r="P981" t="n">
        <v>148.38081782733</v>
      </c>
      <c r="Q981" t="n">
        <v>153.4651503649705</v>
      </c>
    </row>
    <row r="982">
      <c r="A982" s="117" t="n">
        <v>45841</v>
      </c>
      <c r="B982" s="118" t="n">
        <v>74.23297188800315</v>
      </c>
      <c r="C982" s="118" t="n">
        <v>74.97267583053305</v>
      </c>
      <c r="D982" s="118" t="n">
        <v>73.56140550885883</v>
      </c>
      <c r="E982" s="118" t="n">
        <v>74.34976959228516</v>
      </c>
      <c r="F982" s="119" t="n">
        <v>12022600</v>
      </c>
      <c r="G982" s="120" t="n">
        <v>0</v>
      </c>
      <c r="H982" s="121" t="n">
        <v>46.73726898434647</v>
      </c>
      <c r="I982" s="118" t="n">
        <v>60.05011306762695</v>
      </c>
      <c r="J982" s="118" t="n">
        <v>69.00002740859985</v>
      </c>
      <c r="K982" s="120" t="n">
        <v>0.6233210209059549</v>
      </c>
      <c r="L982" s="120" t="n">
        <v>0</v>
      </c>
      <c r="M982" s="120" t="n">
        <v>-0.1314699438678411</v>
      </c>
      <c r="N982" t="n">
        <v>76.58441616163933</v>
      </c>
      <c r="O982" t="n">
        <v>1.621469964412956</v>
      </c>
      <c r="P982" t="n">
        <v>149.5502515664652</v>
      </c>
      <c r="Q982" t="n">
        <v>154.9752549371575</v>
      </c>
    </row>
    <row r="983">
      <c r="A983" s="117" t="n">
        <v>45845</v>
      </c>
      <c r="B983" s="118" t="n">
        <v>74.00911960975978</v>
      </c>
      <c r="C983" s="118" t="n">
        <v>75.43012494342504</v>
      </c>
      <c r="D983" s="118" t="n">
        <v>73.82419176595552</v>
      </c>
      <c r="E983" s="118" t="n">
        <v>74.48603057861328</v>
      </c>
      <c r="F983" s="119" t="n">
        <v>17296900</v>
      </c>
      <c r="G983" s="120" t="n">
        <v>0.001832702200361247</v>
      </c>
      <c r="H983" s="121" t="n">
        <v>46.82292448005295</v>
      </c>
      <c r="I983" s="118" t="n">
        <v>60.4300643157959</v>
      </c>
      <c r="J983" s="118" t="n">
        <v>68.9905697441101</v>
      </c>
      <c r="K983" s="120" t="n">
        <v>0.6225537544073428</v>
      </c>
      <c r="L983" s="120" t="n">
        <v>0</v>
      </c>
      <c r="M983" s="120" t="n">
        <v>-0.1298781869228879</v>
      </c>
      <c r="N983" t="n">
        <v>76.73893385620461</v>
      </c>
      <c r="O983" t="n">
        <v>1.590920090188277</v>
      </c>
      <c r="P983" t="n">
        <v>148.4358220493136</v>
      </c>
      <c r="Q983" t="n">
        <v>153.8078774951711</v>
      </c>
    </row>
    <row r="984">
      <c r="A984" s="117" t="n">
        <v>45846</v>
      </c>
      <c r="B984" s="118" t="n">
        <v>74.09670622449374</v>
      </c>
      <c r="C984" s="118" t="n">
        <v>74.26217148326836</v>
      </c>
      <c r="D984" s="118" t="n">
        <v>71.68294658320843</v>
      </c>
      <c r="E984" s="118" t="n">
        <v>71.94573211669922</v>
      </c>
      <c r="F984" s="119" t="n">
        <v>19572400</v>
      </c>
      <c r="G984" s="120" t="n">
        <v>-0.03410436080672885</v>
      </c>
      <c r="H984" s="121" t="n">
        <v>45.22605856955902</v>
      </c>
      <c r="I984" s="118" t="n">
        <v>60.73813194274902</v>
      </c>
      <c r="J984" s="118" t="n">
        <v>68.96439073562622</v>
      </c>
      <c r="K984" s="120" t="n">
        <v>0.6421576425958624</v>
      </c>
      <c r="L984" s="120" t="n">
        <v>-0.03410436080672874</v>
      </c>
      <c r="M984" s="120" t="n">
        <v>-0.1595531351818748</v>
      </c>
      <c r="N984" t="n">
        <v>67.76146483663766</v>
      </c>
      <c r="O984" t="n">
        <v>1.307582090827645</v>
      </c>
      <c r="P984" t="n">
        <v>148.3545037603064</v>
      </c>
      <c r="Q984" t="n">
        <v>153.894221424418</v>
      </c>
    </row>
    <row r="985">
      <c r="A985" s="117" t="n">
        <v>45847</v>
      </c>
      <c r="B985" s="118" t="n">
        <v>72.15012827730767</v>
      </c>
      <c r="C985" s="118" t="n">
        <v>72.9190297949974</v>
      </c>
      <c r="D985" s="118" t="n">
        <v>71.45909189636257</v>
      </c>
      <c r="E985" s="118" t="n">
        <v>71.59535217285156</v>
      </c>
      <c r="F985" s="119" t="n">
        <v>12076700</v>
      </c>
      <c r="G985" s="120" t="n">
        <v>-0.004870058772622143</v>
      </c>
      <c r="H985" s="121" t="n">
        <v>45.00580500627121</v>
      </c>
      <c r="I985" s="118" t="n">
        <v>61.0558219909668</v>
      </c>
      <c r="J985" s="118" t="n">
        <v>68.93521554946899</v>
      </c>
      <c r="K985" s="120" t="n">
        <v>0.6385608768343913</v>
      </c>
      <c r="L985" s="120" t="n">
        <v>-0.03880832933781941</v>
      </c>
      <c r="M985" s="120" t="n">
        <v>-0.163646160808805</v>
      </c>
      <c r="N985" t="n">
        <v>66.60407901435144</v>
      </c>
      <c r="O985" t="n">
        <v>1.017429677764307</v>
      </c>
      <c r="P985" t="n">
        <v>149.2441494553406</v>
      </c>
      <c r="Q985" t="n">
        <v>154.9836449765915</v>
      </c>
    </row>
    <row r="986">
      <c r="A986" s="117" t="n">
        <v>45848</v>
      </c>
      <c r="B986" s="118" t="n">
        <v>71.16710681916078</v>
      </c>
      <c r="C986" s="118" t="n">
        <v>73.48353888153817</v>
      </c>
      <c r="D986" s="118" t="n">
        <v>71.00164155171186</v>
      </c>
      <c r="E986" s="118" t="n">
        <v>72.62704467773438</v>
      </c>
      <c r="F986" s="119" t="n">
        <v>13033000</v>
      </c>
      <c r="G986" s="120" t="n">
        <v>0.01441004860751316</v>
      </c>
      <c r="H986" s="121" t="n">
        <v>45.65434084403184</v>
      </c>
      <c r="I986" s="118" t="n">
        <v>61.40014053344726</v>
      </c>
      <c r="J986" s="118" t="n">
        <v>68.9108159828186</v>
      </c>
      <c r="K986" s="120" t="n">
        <v>0.6334945146937392</v>
      </c>
      <c r="L986" s="120" t="n">
        <v>-0.02495751064244067</v>
      </c>
      <c r="M986" s="120" t="n">
        <v>-0.1515942613329797</v>
      </c>
      <c r="N986" t="n">
        <v>68.31992121641633</v>
      </c>
      <c r="O986" t="n">
        <v>0.824098098020404</v>
      </c>
      <c r="P986" t="n">
        <v>149.6650564612358</v>
      </c>
      <c r="Q986" t="n">
        <v>154.7607364950904</v>
      </c>
    </row>
    <row r="987">
      <c r="A987" s="117" t="n">
        <v>45849</v>
      </c>
      <c r="B987" s="118" t="n">
        <v>71.72187997415264</v>
      </c>
      <c r="C987" s="118" t="n">
        <v>71.86786781353509</v>
      </c>
      <c r="D987" s="118" t="n">
        <v>70.46633257607016</v>
      </c>
      <c r="E987" s="118" t="n">
        <v>70.690185546875</v>
      </c>
      <c r="F987" s="119" t="n">
        <v>12771400</v>
      </c>
      <c r="G987" s="120" t="n">
        <v>-0.02666856595161948</v>
      </c>
      <c r="H987" s="121" t="n">
        <v>44.43680504425506</v>
      </c>
      <c r="I987" s="118" t="n">
        <v>61.70127426147461</v>
      </c>
      <c r="J987" s="118" t="n">
        <v>68.85022012710571</v>
      </c>
      <c r="K987" s="120" t="n">
        <v>0.6419211737129659</v>
      </c>
      <c r="L987" s="120" t="n">
        <v>-0.05096049557550397</v>
      </c>
      <c r="M987" s="120" t="n">
        <v>-0.1742200257283536</v>
      </c>
      <c r="N987" t="n">
        <v>61.8909227591506</v>
      </c>
      <c r="O987" t="n">
        <v>0.5102623851668828</v>
      </c>
      <c r="P987" t="n">
        <v>149.1389079455566</v>
      </c>
      <c r="Q987" t="n">
        <v>154.4124729641227</v>
      </c>
    </row>
    <row r="988">
      <c r="A988" s="117" t="n">
        <v>45852</v>
      </c>
      <c r="B988" s="118" t="n">
        <v>70.40792808941788</v>
      </c>
      <c r="C988" s="118" t="n">
        <v>70.64152347729751</v>
      </c>
      <c r="D988" s="118" t="n">
        <v>69.13291815615817</v>
      </c>
      <c r="E988" s="118" t="n">
        <v>70.32033538818359</v>
      </c>
      <c r="F988" s="119" t="n">
        <v>11385400</v>
      </c>
      <c r="G988" s="120" t="n">
        <v>-0.005231987380287184</v>
      </c>
      <c r="H988" s="121" t="n">
        <v>44.20431224104323</v>
      </c>
      <c r="I988" s="118" t="n">
        <v>62.01705558776855</v>
      </c>
      <c r="J988" s="118" t="n">
        <v>68.78930639266967</v>
      </c>
      <c r="K988" s="120" t="n">
        <v>0.6420060539300471</v>
      </c>
      <c r="L988" s="120" t="n">
        <v>-0.05592585828604701</v>
      </c>
      <c r="M988" s="120" t="n">
        <v>-0.1785404961326367</v>
      </c>
      <c r="N988" t="n">
        <v>60.71599400751244</v>
      </c>
      <c r="O988" t="n">
        <v>0.2361886634837678</v>
      </c>
      <c r="P988" t="n">
        <v>149.4235071987713</v>
      </c>
      <c r="Q988" t="n">
        <v>154.972486736774</v>
      </c>
    </row>
    <row r="989">
      <c r="A989" s="117" t="n">
        <v>45853</v>
      </c>
      <c r="B989" s="118" t="n">
        <v>70.33007660858082</v>
      </c>
      <c r="C989" s="118" t="n">
        <v>70.93351284992686</v>
      </c>
      <c r="D989" s="118" t="n">
        <v>69.6682378022837</v>
      </c>
      <c r="E989" s="118" t="n">
        <v>70.06728363037109</v>
      </c>
      <c r="F989" s="119" t="n">
        <v>9708300</v>
      </c>
      <c r="G989" s="120" t="n">
        <v>-0.003598557322225471</v>
      </c>
      <c r="H989" s="121" t="n">
        <v>44.04524048955429</v>
      </c>
      <c r="I989" s="118" t="n">
        <v>62.32081451416015</v>
      </c>
      <c r="J989" s="118" t="n">
        <v>68.72109754562378</v>
      </c>
      <c r="K989" s="120" t="n">
        <v>0.6225825155842684</v>
      </c>
      <c r="L989" s="120" t="n">
        <v>-0.05932316320143538</v>
      </c>
      <c r="M989" s="120" t="n">
        <v>-0.1814965652451903</v>
      </c>
      <c r="N989" t="n">
        <v>59.87842010090344</v>
      </c>
      <c r="O989" t="n">
        <v>0.008319864266077115</v>
      </c>
      <c r="P989" t="n">
        <v>148.7849889094986</v>
      </c>
      <c r="Q989" t="n">
        <v>155.1145706021386</v>
      </c>
    </row>
    <row r="990">
      <c r="A990" s="117" t="n">
        <v>45854</v>
      </c>
      <c r="B990" s="118" t="n">
        <v>69.97968389913791</v>
      </c>
      <c r="C990" s="118" t="n">
        <v>70.768047903401</v>
      </c>
      <c r="D990" s="118" t="n">
        <v>69.24971502833806</v>
      </c>
      <c r="E990" s="118" t="n">
        <v>70.17433929443359</v>
      </c>
      <c r="F990" s="119" t="n">
        <v>9008600</v>
      </c>
      <c r="G990" s="120" t="n">
        <v>0.001527898021953522</v>
      </c>
      <c r="H990" s="121" t="n">
        <v>44.11253712537474</v>
      </c>
      <c r="I990" s="118" t="n">
        <v>62.59132713317871</v>
      </c>
      <c r="J990" s="118" t="n">
        <v>68.65083974838257</v>
      </c>
      <c r="K990" s="120" t="n">
        <v>0.6211341785379608</v>
      </c>
      <c r="L990" s="120" t="n">
        <v>-0.05788590492319345</v>
      </c>
      <c r="M990" s="120" t="n">
        <v>-0.1802459754662662</v>
      </c>
      <c r="N990" t="n">
        <v>60.12900911833878</v>
      </c>
      <c r="O990" t="n">
        <v>-0.1556810739641898</v>
      </c>
      <c r="P990" t="n">
        <v>149.2824029952873</v>
      </c>
      <c r="Q990" t="n">
        <v>155.2733832834012</v>
      </c>
    </row>
    <row r="991">
      <c r="A991" s="117" t="n">
        <v>45855</v>
      </c>
      <c r="B991" s="118" t="n">
        <v>70.19380648029134</v>
      </c>
      <c r="C991" s="118" t="n">
        <v>71.25469096576437</v>
      </c>
      <c r="D991" s="118" t="n">
        <v>70.11594135503817</v>
      </c>
      <c r="E991" s="118" t="n">
        <v>71.03083801269531</v>
      </c>
      <c r="F991" s="119" t="n">
        <v>9180400</v>
      </c>
      <c r="G991" s="120" t="n">
        <v>0.01220529793188452</v>
      </c>
      <c r="H991" s="121" t="n">
        <v>44.65094378352126</v>
      </c>
      <c r="I991" s="118" t="n">
        <v>62.90294807434082</v>
      </c>
      <c r="J991" s="118" t="n">
        <v>68.5782126045227</v>
      </c>
      <c r="K991" s="120" t="n">
        <v>0.6038057187440393</v>
      </c>
      <c r="L991" s="120" t="n">
        <v>-0.04638712170695314</v>
      </c>
      <c r="M991" s="120" t="n">
        <v>-0.1702406333659706</v>
      </c>
      <c r="N991" t="n">
        <v>62.16501631632398</v>
      </c>
      <c r="O991" t="n">
        <v>-0.2228711405309136</v>
      </c>
      <c r="P991" t="n">
        <v>150.195942394478</v>
      </c>
      <c r="Q991" t="n">
        <v>156.5299924686148</v>
      </c>
    </row>
    <row r="992">
      <c r="A992" s="117" t="n">
        <v>45856</v>
      </c>
      <c r="B992" s="118" t="n">
        <v>71.32283371673154</v>
      </c>
      <c r="C992" s="118" t="n">
        <v>71.32283371673154</v>
      </c>
      <c r="D992" s="118" t="n">
        <v>70.19381890325472</v>
      </c>
      <c r="E992" s="118" t="n">
        <v>70.53446960449219</v>
      </c>
      <c r="F992" s="119" t="n">
        <v>8801000</v>
      </c>
      <c r="G992" s="120" t="n">
        <v>-0.006988069155461907</v>
      </c>
      <c r="H992" s="121" t="n">
        <v>44.33891990050537</v>
      </c>
      <c r="I992" s="118" t="n">
        <v>63.21063613891602</v>
      </c>
      <c r="J992" s="118" t="n">
        <v>68.5028642463684</v>
      </c>
      <c r="K992" s="120" t="n">
        <v>0.6033372167565129</v>
      </c>
      <c r="L992" s="120" t="n">
        <v>-0.05305103444800408</v>
      </c>
      <c r="M992" s="120" t="n">
        <v>-0.1760390492024014</v>
      </c>
      <c r="N992" t="n">
        <v>60.24499799453586</v>
      </c>
      <c r="O992" t="n">
        <v>-0.3116886650166872</v>
      </c>
      <c r="P992" t="n">
        <v>150.0859634671311</v>
      </c>
      <c r="Q992" t="n">
        <v>156.3795356514728</v>
      </c>
    </row>
    <row r="993">
      <c r="A993" s="117" t="n">
        <v>45859</v>
      </c>
      <c r="B993" s="118" t="n">
        <v>70.98217573826892</v>
      </c>
      <c r="C993" s="118" t="n">
        <v>72.81196176420023</v>
      </c>
      <c r="D993" s="118" t="n">
        <v>70.96271316831999</v>
      </c>
      <c r="E993" s="118" t="n">
        <v>72.04306030273438</v>
      </c>
      <c r="F993" s="119" t="n">
        <v>12743900</v>
      </c>
      <c r="G993" s="120" t="n">
        <v>0.02138799237736255</v>
      </c>
      <c r="H993" s="121" t="n">
        <v>45.28724038135788</v>
      </c>
      <c r="I993" s="118" t="n">
        <v>63.51794311523437</v>
      </c>
      <c r="J993" s="118" t="n">
        <v>68.44003583908081</v>
      </c>
      <c r="K993" s="120" t="n">
        <v>0.604103226801852</v>
      </c>
      <c r="L993" s="120" t="n">
        <v>-0.03279769719102654</v>
      </c>
      <c r="M993" s="120" t="n">
        <v>-0.158416178667498</v>
      </c>
      <c r="N993" t="n">
        <v>63.89488965830168</v>
      </c>
      <c r="O993" t="n">
        <v>-0.2807436919960749</v>
      </c>
      <c r="P993" t="n">
        <v>150.3705184454154</v>
      </c>
      <c r="Q993" t="n">
        <v>157.1903107860274</v>
      </c>
    </row>
    <row r="994">
      <c r="A994" s="117" t="n">
        <v>45860</v>
      </c>
      <c r="B994" s="118" t="n">
        <v>72.09173501530238</v>
      </c>
      <c r="C994" s="118" t="n">
        <v>73.52247538133085</v>
      </c>
      <c r="D994" s="118" t="n">
        <v>72.0625374446697</v>
      </c>
      <c r="E994" s="118" t="n">
        <v>73.37648010253906</v>
      </c>
      <c r="F994" s="119" t="n">
        <v>11297500</v>
      </c>
      <c r="G994" s="120" t="n">
        <v>0.01850865016285375</v>
      </c>
      <c r="H994" s="121" t="n">
        <v>46.12544607041749</v>
      </c>
      <c r="I994" s="118" t="n">
        <v>63.84631057739258</v>
      </c>
      <c r="J994" s="118" t="n">
        <v>68.3803811454773</v>
      </c>
      <c r="K994" s="120" t="n">
        <v>0.6043648962047077</v>
      </c>
      <c r="L994" s="120" t="n">
        <v>-0.01489608813162868</v>
      </c>
      <c r="M994" s="120" t="n">
        <v>-0.1428395981357371</v>
      </c>
      <c r="N994" t="n">
        <v>66.79658065374113</v>
      </c>
      <c r="O994" t="n">
        <v>-0.1868952181879386</v>
      </c>
      <c r="P994" t="n">
        <v>150.3920508199456</v>
      </c>
      <c r="Q994" t="n">
        <v>156.3767503634326</v>
      </c>
    </row>
    <row r="995">
      <c r="A995" s="117" t="n">
        <v>45861</v>
      </c>
      <c r="B995" s="118" t="n">
        <v>74.11618348062933</v>
      </c>
      <c r="C995" s="118" t="n">
        <v>75.14787057147009</v>
      </c>
      <c r="D995" s="118" t="n">
        <v>73.79499535496554</v>
      </c>
      <c r="E995" s="118" t="n">
        <v>74.70015716552734</v>
      </c>
      <c r="F995" s="119" t="n">
        <v>16428100</v>
      </c>
      <c r="G995" s="120" t="n">
        <v>0.01803952794054076</v>
      </c>
      <c r="H995" s="121" t="n">
        <v>46.9575273435747</v>
      </c>
      <c r="I995" s="118" t="n">
        <v>64.21294738769531</v>
      </c>
      <c r="J995" s="118" t="n">
        <v>68.35620176315308</v>
      </c>
      <c r="K995" s="120" t="n">
        <v>0.6047974835063871</v>
      </c>
      <c r="L995" s="120" t="n">
        <v>0</v>
      </c>
      <c r="M995" s="120" t="n">
        <v>-0.1273768291167816</v>
      </c>
      <c r="N995" t="n">
        <v>69.42363003897955</v>
      </c>
      <c r="O995" t="n">
        <v>-0.05873552749930866</v>
      </c>
      <c r="P995" t="n">
        <v>151.6715077613581</v>
      </c>
      <c r="Q995" t="n">
        <v>157.0900233289228</v>
      </c>
    </row>
    <row r="996">
      <c r="A996" s="117" t="n">
        <v>45862</v>
      </c>
      <c r="B996" s="118" t="n">
        <v>74.46656989247731</v>
      </c>
      <c r="C996" s="118" t="n">
        <v>75.46905942255349</v>
      </c>
      <c r="D996" s="118" t="n">
        <v>73.39595022226862</v>
      </c>
      <c r="E996" s="118" t="n">
        <v>73.40567779541016</v>
      </c>
      <c r="F996" s="119" t="n">
        <v>10037800</v>
      </c>
      <c r="G996" s="120" t="n">
        <v>-0.01732900463982645</v>
      </c>
      <c r="H996" s="121" t="n">
        <v>46.14380013436311</v>
      </c>
      <c r="I996" s="118" t="n">
        <v>64.47093086242675</v>
      </c>
      <c r="J996" s="118" t="n">
        <v>68.330335521698</v>
      </c>
      <c r="K996" s="120" t="n">
        <v>0.60903728523298</v>
      </c>
      <c r="L996" s="120" t="n">
        <v>-0.01732900463982645</v>
      </c>
      <c r="M996" s="120" t="n">
        <v>-0.142498520093837</v>
      </c>
      <c r="N996" t="n">
        <v>64.08375434639153</v>
      </c>
      <c r="O996" t="n">
        <v>-0.08273933047031523</v>
      </c>
      <c r="P996" t="n">
        <v>151.7217302908484</v>
      </c>
      <c r="Q996" t="n">
        <v>157.4243604196894</v>
      </c>
    </row>
    <row r="997">
      <c r="A997" s="117" t="n">
        <v>45863</v>
      </c>
      <c r="B997" s="118" t="n">
        <v>73.88259293310432</v>
      </c>
      <c r="C997" s="118" t="n">
        <v>74.52496173655722</v>
      </c>
      <c r="D997" s="118" t="n">
        <v>73.51273725249602</v>
      </c>
      <c r="E997" s="118" t="n">
        <v>74.23297119140625</v>
      </c>
      <c r="F997" s="119" t="n">
        <v>7208400</v>
      </c>
      <c r="G997" s="120" t="n">
        <v>0.01127015539999299</v>
      </c>
      <c r="H997" s="121" t="n">
        <v>46.6638479326236</v>
      </c>
      <c r="I997" s="118" t="n">
        <v>64.74913421630859</v>
      </c>
      <c r="J997" s="118" t="n">
        <v>68.30788793563843</v>
      </c>
      <c r="K997" s="120" t="n">
        <v>0.605856177305967</v>
      </c>
      <c r="L997" s="120" t="n">
        <v>-0.006254149815051457</v>
      </c>
      <c r="M997" s="120" t="n">
        <v>-0.1328343451595705</v>
      </c>
      <c r="N997" t="n">
        <v>65.88951754608775</v>
      </c>
      <c r="O997" t="n">
        <v>-0.06526278359840276</v>
      </c>
      <c r="P997" t="n">
        <v>152.362654184678</v>
      </c>
      <c r="Q997" t="n">
        <v>157.8032962944129</v>
      </c>
    </row>
    <row r="998">
      <c r="A998" s="117" t="n">
        <v>45866</v>
      </c>
      <c r="B998" s="118" t="n">
        <v>76.89005400945202</v>
      </c>
      <c r="C998" s="118" t="n">
        <v>77.85361083495178</v>
      </c>
      <c r="D998" s="118" t="n">
        <v>75.48851140826886</v>
      </c>
      <c r="E998" s="118" t="n">
        <v>77.12364196777344</v>
      </c>
      <c r="F998" s="119" t="n">
        <v>22631100</v>
      </c>
      <c r="G998" s="120" t="n">
        <v>0.03894052373188361</v>
      </c>
      <c r="H998" s="121" t="n">
        <v>48.48096261046494</v>
      </c>
      <c r="I998" s="118" t="n">
        <v>65.09791374206543</v>
      </c>
      <c r="J998" s="118" t="n">
        <v>68.30668916702271</v>
      </c>
      <c r="K998" s="120" t="n">
        <v>0.3232464267135377</v>
      </c>
      <c r="L998" s="120" t="n">
        <v>0</v>
      </c>
      <c r="M998" s="120" t="n">
        <v>-0.09906646039778233</v>
      </c>
      <c r="N998" t="n">
        <v>71.31615690898293</v>
      </c>
      <c r="O998" t="n">
        <v>0.1091253645560837</v>
      </c>
      <c r="P998" t="n">
        <v>152.3243858864211</v>
      </c>
      <c r="Q998" t="n">
        <v>158.2964802417556</v>
      </c>
    </row>
    <row r="999">
      <c r="A999" s="117" t="n">
        <v>45867</v>
      </c>
      <c r="B999" s="118" t="n">
        <v>76.65647665419247</v>
      </c>
      <c r="C999" s="118" t="n">
        <v>77.25018534233567</v>
      </c>
      <c r="D999" s="118" t="n">
        <v>75.68318469666305</v>
      </c>
      <c r="E999" s="118" t="n">
        <v>76.23796081542969</v>
      </c>
      <c r="F999" s="119" t="n">
        <v>12885500</v>
      </c>
      <c r="G999" s="120" t="n">
        <v>-0.01148391245208358</v>
      </c>
      <c r="H999" s="121" t="n">
        <v>47.92421148025362</v>
      </c>
      <c r="I999" s="118" t="n">
        <v>65.41602348327636</v>
      </c>
      <c r="J999" s="118" t="n">
        <v>68.30134916305542</v>
      </c>
      <c r="K999" s="120" t="n">
        <v>0.3214993763427299</v>
      </c>
      <c r="L999" s="120" t="n">
        <v>-0.01148391245208369</v>
      </c>
      <c r="M999" s="120" t="n">
        <v>-0.1094127022917201</v>
      </c>
      <c r="N999" t="n">
        <v>67.75922942363272</v>
      </c>
      <c r="O999" t="n">
        <v>0.1314742729993599</v>
      </c>
      <c r="P999" t="n">
        <v>151.9226351671195</v>
      </c>
      <c r="Q999" t="n">
        <v>158.0512723682761</v>
      </c>
    </row>
    <row r="1000">
      <c r="A1000" s="117" t="n">
        <v>45868</v>
      </c>
      <c r="B1000" s="118" t="n">
        <v>75.7026385883667</v>
      </c>
      <c r="C1000" s="118" t="n">
        <v>76.20875450660191</v>
      </c>
      <c r="D1000" s="118" t="n">
        <v>73.93124772579846</v>
      </c>
      <c r="E1000" s="118" t="n">
        <v>74.63201904296875</v>
      </c>
      <c r="F1000" s="119" t="n">
        <v>14601700</v>
      </c>
      <c r="G1000" s="120" t="n">
        <v>-0.02106485739235453</v>
      </c>
      <c r="H1000" s="121" t="n">
        <v>46.91469479978104</v>
      </c>
      <c r="I1000" s="118" t="n">
        <v>65.68828498840332</v>
      </c>
      <c r="J1000" s="118" t="n">
        <v>68.27993967056274</v>
      </c>
      <c r="K1000" s="120" t="n">
        <v>0.3160219303412739</v>
      </c>
      <c r="L1000" s="120" t="n">
        <v>-0.03230686286632878</v>
      </c>
      <c r="M1000" s="120" t="n">
        <v>-0.1281727967133873</v>
      </c>
      <c r="N1000" t="n">
        <v>61.74568191749889</v>
      </c>
      <c r="O1000" t="n">
        <v>0.01109135819233753</v>
      </c>
      <c r="P1000" t="n">
        <v>151.7312936758351</v>
      </c>
      <c r="Q1000" t="n">
        <v>158.2630226099596</v>
      </c>
    </row>
    <row r="1001">
      <c r="A1001" s="117" t="n">
        <v>45869</v>
      </c>
      <c r="B1001" s="118" t="n">
        <v>74.31084367994863</v>
      </c>
      <c r="C1001" s="118" t="n">
        <v>74.35951125083216</v>
      </c>
      <c r="D1001" s="118" t="n">
        <v>72.32532708308732</v>
      </c>
      <c r="E1001" s="118" t="n">
        <v>72.69518280029297</v>
      </c>
      <c r="F1001" s="119" t="n">
        <v>16700000</v>
      </c>
      <c r="G1001" s="120" t="n">
        <v>-0.02595181354480924</v>
      </c>
      <c r="H1001" s="121" t="n">
        <v>45.69717338782549</v>
      </c>
      <c r="I1001" s="118" t="n">
        <v>65.94172714233399</v>
      </c>
      <c r="J1001" s="118" t="n">
        <v>68.25052095413209</v>
      </c>
      <c r="K1001" s="120" t="n">
        <v>0.2969704592068622</v>
      </c>
      <c r="L1001" s="120" t="n">
        <v>-0.05742025472981327</v>
      </c>
      <c r="M1001" s="120" t="n">
        <v>-0.150798293736374</v>
      </c>
      <c r="N1001" t="n">
        <v>55.36396856745285</v>
      </c>
      <c r="O1001" t="n">
        <v>-0.2135846184436851</v>
      </c>
      <c r="P1001" t="n">
        <v>151.1621099277158</v>
      </c>
      <c r="Q1001" t="n">
        <v>157.4243604196894</v>
      </c>
    </row>
    <row r="1002">
      <c r="A1002" s="117" t="n">
        <v>45870</v>
      </c>
      <c r="B1002" s="118" t="n">
        <v>71.4785599319647</v>
      </c>
      <c r="C1002" s="118" t="n">
        <v>72.70490238671439</v>
      </c>
      <c r="D1002" s="118" t="n">
        <v>70.59286073346196</v>
      </c>
      <c r="E1002" s="118" t="n">
        <v>72.62704467773438</v>
      </c>
      <c r="F1002" s="119" t="n">
        <v>11911600</v>
      </c>
      <c r="G1002" s="120" t="n">
        <v>-0.0009373127617793298</v>
      </c>
      <c r="H1002" s="121" t="n">
        <v>45.65434084403184</v>
      </c>
      <c r="I1002" s="118" t="n">
        <v>66.1845246887207</v>
      </c>
      <c r="J1002" s="118" t="n">
        <v>68.22052225112915</v>
      </c>
      <c r="K1002" s="120" t="n">
        <v>0.2969489751059523</v>
      </c>
      <c r="L1002" s="120" t="n">
        <v>-0.05830374675404981</v>
      </c>
      <c r="M1002" s="120" t="n">
        <v>-0.1515942613329797</v>
      </c>
      <c r="N1002" t="n">
        <v>55.14802384255403</v>
      </c>
      <c r="O1002" t="n">
        <v>-0.3721088288315588</v>
      </c>
      <c r="P1002" t="n">
        <v>148.6845143338978</v>
      </c>
      <c r="Q1002" t="n">
        <v>154.3232924838655</v>
      </c>
    </row>
    <row r="1003">
      <c r="A1003" s="117" t="n">
        <v>45873</v>
      </c>
      <c r="B1003" s="118" t="n">
        <v>73.02608381081927</v>
      </c>
      <c r="C1003" s="118" t="n">
        <v>73.2499441959115</v>
      </c>
      <c r="D1003" s="118" t="n">
        <v>72.17932468278542</v>
      </c>
      <c r="E1003" s="118" t="n">
        <v>72.82169342041016</v>
      </c>
      <c r="F1003" s="119" t="n">
        <v>8839000</v>
      </c>
      <c r="G1003" s="120" t="n">
        <v>0.002680113772211001</v>
      </c>
      <c r="H1003" s="121" t="n">
        <v>45.77669967168914</v>
      </c>
      <c r="I1003" s="118" t="n">
        <v>66.48110557556153</v>
      </c>
      <c r="J1003" s="118" t="n">
        <v>68.19412893295288</v>
      </c>
      <c r="K1003" s="120" t="n">
        <v>0.2970716012069651</v>
      </c>
      <c r="L1003" s="120" t="n">
        <v>-0.05577989365648583</v>
      </c>
      <c r="M1003" s="120" t="n">
        <v>-0.1493204374283553</v>
      </c>
      <c r="N1003" t="n">
        <v>55.67984157425402</v>
      </c>
      <c r="O1003" t="n">
        <v>-0.4632417375383979</v>
      </c>
      <c r="P1003" t="n">
        <v>150.9444838860281</v>
      </c>
      <c r="Q1003" t="n">
        <v>157.1707966820892</v>
      </c>
    </row>
    <row r="1004">
      <c r="A1004" s="117" t="n">
        <v>45874</v>
      </c>
      <c r="B1004" s="118" t="n">
        <v>72.90929881357218</v>
      </c>
      <c r="C1004" s="118" t="n">
        <v>73.6879278677325</v>
      </c>
      <c r="D1004" s="118" t="n">
        <v>72.25718760585781</v>
      </c>
      <c r="E1004" s="118" t="n">
        <v>72.39344787597656</v>
      </c>
      <c r="F1004" s="119" t="n">
        <v>6533800</v>
      </c>
      <c r="G1004" s="120" t="n">
        <v>-0.005880741360424935</v>
      </c>
      <c r="H1004" s="121" t="n">
        <v>45.50749874058609</v>
      </c>
      <c r="I1004" s="118" t="n">
        <v>66.74320953369141</v>
      </c>
      <c r="J1004" s="118" t="n">
        <v>68.16310579299926</v>
      </c>
      <c r="K1004" s="120" t="n">
        <v>0.2710652885826049</v>
      </c>
      <c r="L1004" s="120" t="n">
        <v>-0.06133260788920503</v>
      </c>
      <c r="M1004" s="120" t="n">
        <v>-0.1543230639164387</v>
      </c>
      <c r="N1004" t="n">
        <v>54.15833964957057</v>
      </c>
      <c r="O1004" t="n">
        <v>-0.5460535828582933</v>
      </c>
      <c r="P1004" t="n">
        <v>150.1792064707513</v>
      </c>
      <c r="Q1004" t="n">
        <v>156.1037066972075</v>
      </c>
    </row>
    <row r="1005">
      <c r="A1005" s="117" t="n">
        <v>45875</v>
      </c>
      <c r="B1005" s="118" t="n">
        <v>72.48105384638546</v>
      </c>
      <c r="C1005" s="118" t="n">
        <v>73.95072679321295</v>
      </c>
      <c r="D1005" s="118" t="n">
        <v>72.26692842591184</v>
      </c>
      <c r="E1005" s="118" t="n">
        <v>73.46408081054688</v>
      </c>
      <c r="F1005" s="119" t="n">
        <v>7579800</v>
      </c>
      <c r="G1005" s="120" t="n">
        <v>0.01478908611183294</v>
      </c>
      <c r="H1005" s="121" t="n">
        <v>46.18051305819474</v>
      </c>
      <c r="I1005" s="118" t="n">
        <v>67.05186462402344</v>
      </c>
      <c r="J1005" s="118" t="n">
        <v>68.12872617721558</v>
      </c>
      <c r="K1005" s="120" t="n">
        <v>0.274904780757341</v>
      </c>
      <c r="L1005" s="120" t="n">
        <v>-0.04745057499690886</v>
      </c>
      <c r="M1005" s="120" t="n">
        <v>-0.1418162748859078</v>
      </c>
      <c r="N1005" t="n">
        <v>57.29983551364716</v>
      </c>
      <c r="O1005" t="n">
        <v>-0.5224093236340548</v>
      </c>
      <c r="P1005" t="n">
        <v>151.3295429565335</v>
      </c>
      <c r="Q1005" t="n">
        <v>158.0679840965174</v>
      </c>
    </row>
    <row r="1006">
      <c r="A1006" s="117" t="n">
        <v>45876</v>
      </c>
      <c r="B1006" s="118" t="n">
        <v>74.28163638514559</v>
      </c>
      <c r="C1006" s="118" t="n">
        <v>74.3108339536026</v>
      </c>
      <c r="D1006" s="118" t="n">
        <v>72.02359950839403</v>
      </c>
      <c r="E1006" s="118" t="n">
        <v>72.36425018310547</v>
      </c>
      <c r="F1006" s="119" t="n">
        <v>8717600</v>
      </c>
      <c r="G1006" s="120" t="n">
        <v>-0.01497099827979487</v>
      </c>
      <c r="H1006" s="121" t="n">
        <v>45.48914467664046</v>
      </c>
      <c r="I1006" s="118" t="n">
        <v>67.28418525695801</v>
      </c>
      <c r="J1006" s="118" t="n">
        <v>68.09143159866333</v>
      </c>
      <c r="K1006" s="120" t="n">
        <v>0.2762864783900286</v>
      </c>
      <c r="L1006" s="120" t="n">
        <v>-0.06171119080004972</v>
      </c>
      <c r="M1006" s="120" t="n">
        <v>-0.1546641419583388</v>
      </c>
      <c r="N1006" t="n">
        <v>53.26187128000176</v>
      </c>
      <c r="O1006" t="n">
        <v>-0.5706031490257066</v>
      </c>
      <c r="P1006" t="n">
        <v>151.2027838305295</v>
      </c>
      <c r="Q1006" t="n">
        <v>158.6029302768067</v>
      </c>
    </row>
    <row r="1007">
      <c r="A1007" s="117" t="n">
        <v>45877</v>
      </c>
      <c r="B1007" s="118" t="n">
        <v>72.2182618140524</v>
      </c>
      <c r="C1007" s="118" t="n">
        <v>72.95796579667946</v>
      </c>
      <c r="D1007" s="118" t="n">
        <v>71.42989768789117</v>
      </c>
      <c r="E1007" s="118" t="n">
        <v>72.20853424072266</v>
      </c>
      <c r="F1007" s="119" t="n">
        <v>6739000</v>
      </c>
      <c r="G1007" s="120" t="n">
        <v>-0.002151835222348075</v>
      </c>
      <c r="H1007" s="121" t="n">
        <v>45.39125953289079</v>
      </c>
      <c r="I1007" s="118" t="n">
        <v>67.53369583129883</v>
      </c>
      <c r="J1007" s="118" t="n">
        <v>68.05565553665161</v>
      </c>
      <c r="K1007" s="120" t="n">
        <v>0.2580478762247557</v>
      </c>
      <c r="L1007" s="120" t="n">
        <v>-0.06373023370842112</v>
      </c>
      <c r="M1007" s="120" t="n">
        <v>-0.1564831654323866</v>
      </c>
      <c r="N1007" t="n">
        <v>52.69566338451495</v>
      </c>
      <c r="O1007" t="n">
        <v>-0.5997455805819123</v>
      </c>
      <c r="P1007" t="n">
        <v>152.3817809546514</v>
      </c>
      <c r="Q1007" t="n">
        <v>160.082413768208</v>
      </c>
    </row>
    <row r="1008">
      <c r="A1008" s="117" t="n">
        <v>45880</v>
      </c>
      <c r="B1008" s="118" t="n">
        <v>72.33505083136157</v>
      </c>
      <c r="C1008" s="118" t="n">
        <v>72.79249919425131</v>
      </c>
      <c r="D1008" s="118" t="n">
        <v>71.09897343484532</v>
      </c>
      <c r="E1008" s="118" t="n">
        <v>72.04306030273438</v>
      </c>
      <c r="F1008" s="119" t="n">
        <v>6985700</v>
      </c>
      <c r="G1008" s="120" t="n">
        <v>-0.002291611922721426</v>
      </c>
      <c r="H1008" s="121" t="n">
        <v>45.28724038135787</v>
      </c>
      <c r="I1008" s="118" t="n">
        <v>67.78647155761719</v>
      </c>
      <c r="J1008" s="118" t="n">
        <v>68.02594327926636</v>
      </c>
      <c r="K1008" s="120" t="n">
        <v>0.257287584491856</v>
      </c>
      <c r="L1008" s="120" t="n">
        <v>-0.06587580066773857</v>
      </c>
      <c r="M1008" s="120" t="n">
        <v>-0.158416178667498</v>
      </c>
      <c r="N1008" t="n">
        <v>52.06228399847704</v>
      </c>
      <c r="O1008" t="n">
        <v>-0.6146750641399894</v>
      </c>
      <c r="P1008" t="n">
        <v>152.0804457777099</v>
      </c>
      <c r="Q1008" t="n">
        <v>159.6087610124602</v>
      </c>
    </row>
    <row r="1009">
      <c r="A1009" s="117" t="n">
        <v>45881</v>
      </c>
      <c r="B1009" s="118" t="n">
        <v>72.72437380690691</v>
      </c>
      <c r="C1009" s="118" t="n">
        <v>73.69766573167681</v>
      </c>
      <c r="D1009" s="118" t="n">
        <v>72.35451812309238</v>
      </c>
      <c r="E1009" s="118" t="n">
        <v>72.89956665039062</v>
      </c>
      <c r="F1009" s="119" t="n">
        <v>6397700</v>
      </c>
      <c r="G1009" s="120" t="n">
        <v>0.01188881127560504</v>
      </c>
      <c r="H1009" s="121" t="n">
        <v>45.82565183544479</v>
      </c>
      <c r="I1009" s="118" t="n">
        <v>68.07281410217286</v>
      </c>
      <c r="J1009" s="118" t="n">
        <v>68.00080072402955</v>
      </c>
      <c r="K1009" s="120" t="n">
        <v>0.2592147573362458</v>
      </c>
      <c r="L1009" s="120" t="n">
        <v>-0.05477017435390152</v>
      </c>
      <c r="M1009" s="120" t="n">
        <v>-0.1484107474430733</v>
      </c>
      <c r="N1009" t="n">
        <v>55.07243054631693</v>
      </c>
      <c r="O1009" t="n">
        <v>-0.5532921559408024</v>
      </c>
      <c r="P1009" t="n">
        <v>153.6995061943208</v>
      </c>
      <c r="Q1009" t="n">
        <v>161.6148348200301</v>
      </c>
    </row>
    <row r="1010">
      <c r="A1010" s="117" t="n">
        <v>45882</v>
      </c>
      <c r="B1010" s="118" t="n">
        <v>73.46408185083392</v>
      </c>
      <c r="C1010" s="118" t="n">
        <v>75.61505623360141</v>
      </c>
      <c r="D1010" s="118" t="n">
        <v>73.18182628581532</v>
      </c>
      <c r="E1010" s="118" t="n">
        <v>75.13813781738281</v>
      </c>
      <c r="F1010" s="119" t="n">
        <v>13472600</v>
      </c>
      <c r="G1010" s="120" t="n">
        <v>0.03070760595502375</v>
      </c>
      <c r="H1010" s="121" t="n">
        <v>47.23284789463974</v>
      </c>
      <c r="I1010" s="118" t="n">
        <v>68.3770652770996</v>
      </c>
      <c r="J1010" s="118" t="n">
        <v>67.99340719223022</v>
      </c>
      <c r="K1010" s="120" t="n">
        <v>0.2783352864860821</v>
      </c>
      <c r="L1010" s="120" t="n">
        <v>-0.0257444293310255</v>
      </c>
      <c r="M1010" s="120" t="n">
        <v>-0.122260480240022</v>
      </c>
      <c r="N1010" t="n">
        <v>61.8203151068483</v>
      </c>
      <c r="O1010" t="n">
        <v>-0.3578346997256234</v>
      </c>
      <c r="P1010" t="n">
        <v>154.2256399516899</v>
      </c>
      <c r="Q1010" t="n">
        <v>161.6956423485099</v>
      </c>
    </row>
    <row r="1011">
      <c r="A1011" s="117" t="n">
        <v>45883</v>
      </c>
      <c r="B1011" s="118" t="n">
        <v>73.88259362641328</v>
      </c>
      <c r="C1011" s="118" t="n">
        <v>74.55416000555762</v>
      </c>
      <c r="D1011" s="118" t="n">
        <v>73.33754509872531</v>
      </c>
      <c r="E1011" s="118" t="n">
        <v>74.34976959228516</v>
      </c>
      <c r="F1011" s="119" t="n">
        <v>7990500</v>
      </c>
      <c r="G1011" s="120" t="n">
        <v>-0.01049225131202647</v>
      </c>
      <c r="H1011" s="121" t="n">
        <v>46.73726898434646</v>
      </c>
      <c r="I1011" s="118" t="n">
        <v>68.64997634887695</v>
      </c>
      <c r="J1011" s="118" t="n">
        <v>67.98690523147583</v>
      </c>
      <c r="K1011" s="120" t="n">
        <v>0.2806450572611772</v>
      </c>
      <c r="L1011" s="120" t="n">
        <v>-0.03596656362062611</v>
      </c>
      <c r="M1011" s="120" t="n">
        <v>-0.1314699438678411</v>
      </c>
      <c r="N1011" t="n">
        <v>58.48859290416777</v>
      </c>
      <c r="O1011" t="n">
        <v>-0.2809447399602234</v>
      </c>
      <c r="P1011" t="n">
        <v>154.2399850291699</v>
      </c>
      <c r="Q1011" t="n">
        <v>161.5702531237299</v>
      </c>
    </row>
    <row r="1012">
      <c r="A1012" s="117" t="n">
        <v>45884</v>
      </c>
      <c r="B1012" s="118" t="n">
        <v>74.69041572656404</v>
      </c>
      <c r="C1012" s="118" t="n">
        <v>75.43011962398792</v>
      </c>
      <c r="D1012" s="118" t="n">
        <v>74.12591208769379</v>
      </c>
      <c r="E1012" s="118" t="n">
        <v>74.91427612304688</v>
      </c>
      <c r="F1012" s="119" t="n">
        <v>9767700</v>
      </c>
      <c r="G1012" s="120" t="n">
        <v>0.007592579423679746</v>
      </c>
      <c r="H1012" s="121" t="n">
        <v>47.09212541115599</v>
      </c>
      <c r="I1012" s="118" t="n">
        <v>68.92639114379882</v>
      </c>
      <c r="J1012" s="118" t="n">
        <v>67.98413507461548</v>
      </c>
      <c r="K1012" s="120" t="n">
        <v>0.2789199872712974</v>
      </c>
      <c r="L1012" s="120" t="n">
        <v>-0.02864706318783283</v>
      </c>
      <c r="M1012" s="120" t="n">
        <v>-0.1248755604348045</v>
      </c>
      <c r="N1012" t="n">
        <v>60.14491886270114</v>
      </c>
      <c r="O1012" t="n">
        <v>-0.1954236524324791</v>
      </c>
      <c r="P1012" t="n">
        <v>153.8788786960617</v>
      </c>
      <c r="Q1012" t="n">
        <v>160.8597825339366</v>
      </c>
    </row>
    <row r="1013">
      <c r="A1013" s="117" t="n">
        <v>45887</v>
      </c>
      <c r="B1013" s="118" t="n">
        <v>75.05053877230689</v>
      </c>
      <c r="C1013" s="118" t="n">
        <v>76.16982593899122</v>
      </c>
      <c r="D1013" s="118" t="n">
        <v>74.79748079990911</v>
      </c>
      <c r="E1013" s="118" t="n">
        <v>75.36199188232422</v>
      </c>
      <c r="F1013" s="119" t="n">
        <v>9069100</v>
      </c>
      <c r="G1013" s="120" t="n">
        <v>0.005976374363438675</v>
      </c>
      <c r="H1013" s="121" t="n">
        <v>47.37356558218306</v>
      </c>
      <c r="I1013" s="118" t="n">
        <v>69.21370697021484</v>
      </c>
      <c r="J1013" s="118" t="n">
        <v>67.98331632614136</v>
      </c>
      <c r="K1013" s="120" t="n">
        <v>0.2708104019923686</v>
      </c>
      <c r="L1013" s="120" t="n">
        <v>-0.02284189439841777</v>
      </c>
      <c r="M1013" s="120" t="n">
        <v>-0.1196454891693685</v>
      </c>
      <c r="N1013" t="n">
        <v>61.45840686531673</v>
      </c>
      <c r="O1013" t="n">
        <v>-0.1159838021186812</v>
      </c>
      <c r="P1013" t="n">
        <v>153.8453920902982</v>
      </c>
      <c r="Q1013" t="n">
        <v>160.7956867336982</v>
      </c>
    </row>
    <row r="1014">
      <c r="A1014" s="117" t="n">
        <v>45888</v>
      </c>
      <c r="B1014" s="118" t="n">
        <v>76.11142813173873</v>
      </c>
      <c r="C1014" s="118" t="n">
        <v>76.68567424818278</v>
      </c>
      <c r="D1014" s="118" t="n">
        <v>74.63202762311974</v>
      </c>
      <c r="E1014" s="118" t="n">
        <v>74.82668304443359</v>
      </c>
      <c r="F1014" s="119" t="n">
        <v>7684800</v>
      </c>
      <c r="G1014" s="120" t="n">
        <v>-0.007103167319761128</v>
      </c>
      <c r="H1014" s="121" t="n">
        <v>47.03706321931914</v>
      </c>
      <c r="I1014" s="118" t="n">
        <v>69.48778602600098</v>
      </c>
      <c r="J1014" s="118" t="n">
        <v>67.98226171493531</v>
      </c>
      <c r="K1014" s="120" t="n">
        <v>0.2658081247539124</v>
      </c>
      <c r="L1014" s="120" t="n">
        <v>-0.02978281192036647</v>
      </c>
      <c r="M1014" s="120" t="n">
        <v>-0.1258987945605049</v>
      </c>
      <c r="N1014" t="n">
        <v>58.9565570163024</v>
      </c>
      <c r="O1014" t="n">
        <v>-0.1069899044194618</v>
      </c>
      <c r="P1014" t="n">
        <v>153.0107506172476</v>
      </c>
      <c r="Q1014" t="n">
        <v>158.6140885166243</v>
      </c>
    </row>
    <row r="1015">
      <c r="A1015" s="117" t="n">
        <v>45889</v>
      </c>
      <c r="B1015" s="118" t="n">
        <v>74.6417672073746</v>
      </c>
      <c r="C1015" s="118" t="n">
        <v>75.48852651030039</v>
      </c>
      <c r="D1015" s="118" t="n">
        <v>74.12592362613734</v>
      </c>
      <c r="E1015" s="118" t="n">
        <v>74.22325134277344</v>
      </c>
      <c r="F1015" s="119" t="n">
        <v>6282600</v>
      </c>
      <c r="G1015" s="120" t="n">
        <v>-0.008064391966991602</v>
      </c>
      <c r="H1015" s="121" t="n">
        <v>46.65773790454239</v>
      </c>
      <c r="I1015" s="118" t="n">
        <v>69.76712104797363</v>
      </c>
      <c r="J1015" s="118" t="n">
        <v>67.9875217628479</v>
      </c>
      <c r="K1015" s="120" t="n">
        <v>0.2598423205092979</v>
      </c>
      <c r="L1015" s="120" t="n">
        <v>-0.03760702361815316</v>
      </c>
      <c r="M1015" s="120" t="n">
        <v>-0.1329478892999888</v>
      </c>
      <c r="N1015" t="n">
        <v>56.18022251266375</v>
      </c>
      <c r="O1015" t="n">
        <v>-0.1467252304175966</v>
      </c>
      <c r="P1015" t="n">
        <v>152.6041886888324</v>
      </c>
      <c r="Q1015" t="n">
        <v>157.6723535812092</v>
      </c>
    </row>
    <row r="1016">
      <c r="A1016" s="117" t="n">
        <v>45890</v>
      </c>
      <c r="B1016" s="118" t="n">
        <v>73.67820230933356</v>
      </c>
      <c r="C1016" s="118" t="n">
        <v>74.19405331301996</v>
      </c>
      <c r="D1016" s="118" t="n">
        <v>73.12342615973569</v>
      </c>
      <c r="E1016" s="118" t="n">
        <v>74.1453857421875</v>
      </c>
      <c r="F1016" s="119" t="n">
        <v>6354900</v>
      </c>
      <c r="G1016" s="120" t="n">
        <v>-0.001049072887232327</v>
      </c>
      <c r="H1016" s="121" t="n">
        <v>46.60879053672714</v>
      </c>
      <c r="I1016" s="118" t="n">
        <v>70.00674575805664</v>
      </c>
      <c r="J1016" s="118" t="n">
        <v>67.98913831710816</v>
      </c>
      <c r="K1016" s="120" t="n">
        <v>0.2519081604798089</v>
      </c>
      <c r="L1016" s="120" t="n">
        <v>-0.03861664399653808</v>
      </c>
      <c r="M1016" s="120" t="n">
        <v>-0.1338574901611418</v>
      </c>
      <c r="N1016" t="n">
        <v>55.81497053544392</v>
      </c>
      <c r="O1016" t="n">
        <v>-0.181045281107068</v>
      </c>
      <c r="P1016" t="n">
        <v>151.9919844665831</v>
      </c>
      <c r="Q1016" t="n">
        <v>156.9423688874777</v>
      </c>
    </row>
    <row r="1017">
      <c r="A1017" s="117" t="n">
        <v>45891</v>
      </c>
      <c r="B1017" s="118" t="n">
        <v>74.49576000271706</v>
      </c>
      <c r="C1017" s="118" t="n">
        <v>77.02631735859323</v>
      </c>
      <c r="D1017" s="118" t="n">
        <v>74.21350447168388</v>
      </c>
      <c r="E1017" s="118" t="n">
        <v>76.28661346435547</v>
      </c>
      <c r="F1017" s="119" t="n">
        <v>10985900</v>
      </c>
      <c r="G1017" s="120" t="n">
        <v>0.02887877243788672</v>
      </c>
      <c r="H1017" s="121" t="n">
        <v>47.95479519224241</v>
      </c>
      <c r="I1017" s="118" t="n">
        <v>70.30398895263671</v>
      </c>
      <c r="J1017" s="118" t="n">
        <v>67.99701047897339</v>
      </c>
      <c r="K1017" s="120" t="n">
        <v>0.2689591845789303</v>
      </c>
      <c r="L1017" s="120" t="n">
        <v>-0.01085307283294246</v>
      </c>
      <c r="M1017" s="120" t="n">
        <v>-0.1088443577207253</v>
      </c>
      <c r="N1017" t="n">
        <v>62.94867023209734</v>
      </c>
      <c r="O1017" t="n">
        <v>-0.06814203790715423</v>
      </c>
      <c r="P1017" t="n">
        <v>154.3260702523602</v>
      </c>
      <c r="Q1017" t="n">
        <v>159.3635702266374</v>
      </c>
    </row>
    <row r="1018">
      <c r="A1018" s="117" t="n">
        <v>45894</v>
      </c>
      <c r="B1018" s="118" t="n">
        <v>76.37422529590856</v>
      </c>
      <c r="C1018" s="118" t="n">
        <v>78.02881874445754</v>
      </c>
      <c r="D1018" s="118" t="n">
        <v>76.29636015287294</v>
      </c>
      <c r="E1018" s="118" t="n">
        <v>77.05552673339844</v>
      </c>
      <c r="F1018" s="119" t="n">
        <v>12488900</v>
      </c>
      <c r="G1018" s="120" t="n">
        <v>0.01007926861771424</v>
      </c>
      <c r="H1018" s="121" t="n">
        <v>48.43814445449249</v>
      </c>
      <c r="I1018" s="118" t="n">
        <v>70.62264488220215</v>
      </c>
      <c r="J1018" s="118" t="n">
        <v>68.01289060592651</v>
      </c>
      <c r="K1018" s="120" t="n">
        <v>0.2327469152097814</v>
      </c>
      <c r="L1018" s="120" t="n">
        <v>-0.0008831952516389352</v>
      </c>
      <c r="M1018" s="120" t="n">
        <v>-0.09986216062200082</v>
      </c>
      <c r="N1018" t="n">
        <v>65.12607743154024</v>
      </c>
      <c r="O1018" t="n">
        <v>0.04369674620759012</v>
      </c>
      <c r="P1018" t="n">
        <v>153.646907576894</v>
      </c>
      <c r="Q1018" t="n">
        <v>158.9038780864041</v>
      </c>
    </row>
    <row r="1019">
      <c r="A1019" s="117" t="n">
        <v>45895</v>
      </c>
      <c r="B1019" s="118" t="n">
        <v>76.89005096901069</v>
      </c>
      <c r="C1019" s="118" t="n">
        <v>77.35723429280715</v>
      </c>
      <c r="D1019" s="118" t="n">
        <v>76.28660738944589</v>
      </c>
      <c r="E1019" s="118" t="n">
        <v>76.54940032958984</v>
      </c>
      <c r="F1019" s="119" t="n">
        <v>6874800</v>
      </c>
      <c r="G1019" s="120" t="n">
        <v>-0.006568333580532437</v>
      </c>
      <c r="H1019" s="121" t="n">
        <v>48.11998656369337</v>
      </c>
      <c r="I1019" s="118" t="n">
        <v>70.97536575317383</v>
      </c>
      <c r="J1019" s="118" t="n">
        <v>68.02245950698853</v>
      </c>
      <c r="K1019" s="120" t="n">
        <v>0.2301535681604746</v>
      </c>
      <c r="L1019" s="120" t="n">
        <v>-0.007445727711141936</v>
      </c>
      <c r="M1019" s="120" t="n">
        <v>-0.1057745662194952</v>
      </c>
      <c r="N1019" t="n">
        <v>62.52153285615899</v>
      </c>
      <c r="O1019" t="n">
        <v>0.06753592720187074</v>
      </c>
      <c r="P1019" t="n">
        <v>154.29019280035</v>
      </c>
      <c r="Q1019" t="n">
        <v>159.5418799241816</v>
      </c>
    </row>
    <row r="1020">
      <c r="A1020" s="117" t="n">
        <v>45896</v>
      </c>
      <c r="B1020" s="118" t="n">
        <v>76.85113055031921</v>
      </c>
      <c r="C1020" s="118" t="n">
        <v>77.38644408658831</v>
      </c>
      <c r="D1020" s="118" t="n">
        <v>75.57612048745962</v>
      </c>
      <c r="E1020" s="118" t="n">
        <v>75.97516632080078</v>
      </c>
      <c r="F1020" s="119" t="n">
        <v>12636700</v>
      </c>
      <c r="G1020" s="120" t="n">
        <v>-0.007501482785190361</v>
      </c>
      <c r="H1020" s="121" t="n">
        <v>47.75901531286223</v>
      </c>
      <c r="I1020" s="118" t="n">
        <v>71.28993370056152</v>
      </c>
      <c r="J1020" s="118" t="n">
        <v>68.04188688278198</v>
      </c>
      <c r="K1020" s="120" t="n">
        <v>0.21817573197299</v>
      </c>
      <c r="L1020" s="120" t="n">
        <v>-0.01489135649808393</v>
      </c>
      <c r="M1020" s="120" t="n">
        <v>-0.1124825829170791</v>
      </c>
      <c r="N1020" t="n">
        <v>59.60879234949623</v>
      </c>
      <c r="O1020" t="n">
        <v>0.03046857625846289</v>
      </c>
      <c r="P1020" t="n">
        <v>154.6417652650918</v>
      </c>
      <c r="Q1020" t="n">
        <v>159.7870877976611</v>
      </c>
    </row>
    <row r="1021">
      <c r="A1021" s="117" t="n">
        <v>45897</v>
      </c>
      <c r="B1021" s="118" t="n">
        <v>76.48128157198991</v>
      </c>
      <c r="C1021" s="118" t="n">
        <v>76.55914670846984</v>
      </c>
      <c r="D1021" s="118" t="n">
        <v>75.64424991890095</v>
      </c>
      <c r="E1021" s="118" t="n">
        <v>75.83890533447266</v>
      </c>
      <c r="F1021" s="119" t="n">
        <v>7478600</v>
      </c>
      <c r="G1021" s="120" t="n">
        <v>-0.001793493754956299</v>
      </c>
      <c r="H1021" s="121" t="n">
        <v>47.67335981715575</v>
      </c>
      <c r="I1021" s="118" t="n">
        <v>71.6387614440918</v>
      </c>
      <c r="J1021" s="118" t="n">
        <v>68.05776155471801</v>
      </c>
      <c r="K1021" s="120" t="n">
        <v>0.1941510296930257</v>
      </c>
      <c r="L1021" s="120" t="n">
        <v>-0.01665814269815813</v>
      </c>
      <c r="M1021" s="120" t="n">
        <v>-0.1140743398620323</v>
      </c>
      <c r="N1021" t="n">
        <v>58.9074824926439</v>
      </c>
      <c r="O1021" t="n">
        <v>-0.0149497061003625</v>
      </c>
      <c r="P1021" t="n">
        <v>155.189416638681</v>
      </c>
      <c r="Q1021" t="n">
        <v>160.7873479572342</v>
      </c>
    </row>
    <row r="1022">
      <c r="A1022" s="117" t="n">
        <v>45898</v>
      </c>
      <c r="B1022" s="118" t="n">
        <v>75.67344474300025</v>
      </c>
      <c r="C1022" s="118" t="n">
        <v>77.01658488321911</v>
      </c>
      <c r="D1022" s="118" t="n">
        <v>75.06027352313187</v>
      </c>
      <c r="E1022" s="118" t="n">
        <v>75.30359649658203</v>
      </c>
      <c r="F1022" s="119" t="n">
        <v>14208800</v>
      </c>
      <c r="G1022" s="120" t="n">
        <v>-0.007058499005619168</v>
      </c>
      <c r="H1022" s="121" t="n">
        <v>47.33685745429183</v>
      </c>
      <c r="I1022" s="118" t="n">
        <v>71.98642143249512</v>
      </c>
      <c r="J1022" s="118" t="n">
        <v>68.07115114212036</v>
      </c>
      <c r="K1022" s="120" t="n">
        <v>0.1966581356185126</v>
      </c>
      <c r="L1022" s="120" t="n">
        <v>-0.02359906022010683</v>
      </c>
      <c r="M1022" s="120" t="n">
        <v>-0.1203276452531686</v>
      </c>
      <c r="N1022" t="n">
        <v>56.11435252435047</v>
      </c>
      <c r="O1022" t="n">
        <v>-0.08865351730850834</v>
      </c>
      <c r="P1022" t="n">
        <v>154.2639082499468</v>
      </c>
      <c r="Q1022" t="n">
        <v>158.9261433030692</v>
      </c>
    </row>
    <row r="1023">
      <c r="A1023" s="117" t="n">
        <v>45902</v>
      </c>
      <c r="B1023" s="118" t="n">
        <v>74.00238865931139</v>
      </c>
      <c r="C1023" s="118" t="n">
        <v>74.40351571642387</v>
      </c>
      <c r="D1023" s="118" t="n">
        <v>72.39789535929683</v>
      </c>
      <c r="E1023" s="118" t="n">
        <v>72.68161773681641</v>
      </c>
      <c r="F1023" s="119" t="n">
        <v>15078700</v>
      </c>
      <c r="G1023" s="120" t="n">
        <v>-0.03481877203414363</v>
      </c>
      <c r="H1023" s="121" t="n">
        <v>45.68864620577809</v>
      </c>
      <c r="I1023" s="118" t="n">
        <v>72.27619132995605</v>
      </c>
      <c r="J1023" s="118" t="n">
        <v>68.06798517227173</v>
      </c>
      <c r="K1023" s="120" t="n">
        <v>0.2357955881190338</v>
      </c>
      <c r="L1023" s="120" t="n">
        <v>-0.05759614195622653</v>
      </c>
      <c r="M1023" s="120" t="n">
        <v>-0.1509567564378369</v>
      </c>
      <c r="N1023" t="n">
        <v>44.88755126299097</v>
      </c>
      <c r="O1023" t="n">
        <v>-0.3091868147182883</v>
      </c>
      <c r="P1023" t="n">
        <v>153.1207590612148</v>
      </c>
      <c r="Q1023" t="n">
        <v>157.594314253113</v>
      </c>
    </row>
    <row r="1024">
      <c r="A1024" s="117" t="n">
        <v>45903</v>
      </c>
      <c r="B1024" s="118" t="n">
        <v>72.78922895895029</v>
      </c>
      <c r="C1024" s="118" t="n">
        <v>73.55234063327188</v>
      </c>
      <c r="D1024" s="118" t="n">
        <v>72.30983963147951</v>
      </c>
      <c r="E1024" s="118" t="n">
        <v>73.12186431884766</v>
      </c>
      <c r="F1024" s="119" t="n">
        <v>8300100</v>
      </c>
      <c r="G1024" s="120" t="n">
        <v>0.006057192942862111</v>
      </c>
      <c r="H1024" s="121" t="n">
        <v>45.96539115114465</v>
      </c>
      <c r="I1024" s="118" t="n">
        <v>72.55549507141113</v>
      </c>
      <c r="J1024" s="118" t="n">
        <v>68.0667332649231</v>
      </c>
      <c r="K1024" s="120" t="n">
        <v>0.235648744368786</v>
      </c>
      <c r="L1024" s="120" t="n">
        <v>-0.05188781995795788</v>
      </c>
      <c r="M1024" s="120" t="n">
        <v>-0.1458139376947474</v>
      </c>
      <c r="N1024" t="n">
        <v>46.81174727101394</v>
      </c>
      <c r="O1024" t="n">
        <v>-0.4140605029656403</v>
      </c>
      <c r="P1024" t="n">
        <v>153.950618841772</v>
      </c>
      <c r="Q1024" t="n">
        <v>158.8341946224285</v>
      </c>
    </row>
    <row r="1025">
      <c r="A1025" s="117" t="n">
        <v>45904</v>
      </c>
      <c r="B1025" s="118" t="n">
        <v>73.13165760876444</v>
      </c>
      <c r="C1025" s="118" t="n">
        <v>74.12957125776539</v>
      </c>
      <c r="D1025" s="118" t="n">
        <v>72.89685571444967</v>
      </c>
      <c r="E1025" s="118" t="n">
        <v>73.71866607666016</v>
      </c>
      <c r="F1025" s="119" t="n">
        <v>11096200</v>
      </c>
      <c r="G1025" s="120" t="n">
        <v>0.008161741544364221</v>
      </c>
      <c r="H1025" s="121" t="n">
        <v>46.3405487937059</v>
      </c>
      <c r="I1025" s="118" t="n">
        <v>72.8342766571045</v>
      </c>
      <c r="J1025" s="118" t="n">
        <v>68.06913537979126</v>
      </c>
      <c r="K1025" s="120" t="n">
        <v>0.2314956722252393</v>
      </c>
      <c r="L1025" s="120" t="n">
        <v>-0.04414957338939096</v>
      </c>
      <c r="M1025" s="120" t="n">
        <v>-0.1388422918234137</v>
      </c>
      <c r="N1025" t="n">
        <v>49.39129523790694</v>
      </c>
      <c r="O1025" t="n">
        <v>-0.4300086236365023</v>
      </c>
      <c r="P1025" t="n">
        <v>155.2372483219245</v>
      </c>
      <c r="Q1025" t="n">
        <v>160.2718817055697</v>
      </c>
    </row>
    <row r="1026">
      <c r="A1026" s="117" t="n">
        <v>45905</v>
      </c>
      <c r="B1026" s="118" t="n">
        <v>73.1805757879239</v>
      </c>
      <c r="C1026" s="118" t="n">
        <v>73.77736982636296</v>
      </c>
      <c r="D1026" s="118" t="n">
        <v>72.035900727704</v>
      </c>
      <c r="E1026" s="118" t="n">
        <v>72.30984497070312</v>
      </c>
      <c r="F1026" s="119" t="n">
        <v>13758400</v>
      </c>
      <c r="G1026" s="120" t="n">
        <v>-0.01911077859835386</v>
      </c>
      <c r="H1026" s="121" t="n">
        <v>45.45494482558317</v>
      </c>
      <c r="I1026" s="118" t="n">
        <v>73.09636657714844</v>
      </c>
      <c r="J1026" s="118" t="n">
        <v>68.06851324081421</v>
      </c>
      <c r="K1026" s="120" t="n">
        <v>0.2355425111141123</v>
      </c>
      <c r="L1026" s="120" t="n">
        <v>-0.06241661926548847</v>
      </c>
      <c r="M1026" s="120" t="n">
        <v>-0.1552996861226423</v>
      </c>
      <c r="N1026" t="n">
        <v>43.9700919039216</v>
      </c>
      <c r="O1026" t="n">
        <v>-0.5163979835163381</v>
      </c>
      <c r="P1026" t="n">
        <v>154.787636402759</v>
      </c>
      <c r="Q1026" t="n">
        <v>160.5031289635348</v>
      </c>
    </row>
    <row r="1027">
      <c r="A1027" s="117" t="n">
        <v>45908</v>
      </c>
      <c r="B1027" s="118" t="n">
        <v>72.65227394459478</v>
      </c>
      <c r="C1027" s="118" t="n">
        <v>72.96534564970874</v>
      </c>
      <c r="D1027" s="118" t="n">
        <v>72.11417845257787</v>
      </c>
      <c r="E1027" s="118" t="n">
        <v>72.54465484619141</v>
      </c>
      <c r="F1027" s="119" t="n">
        <v>13793300</v>
      </c>
      <c r="G1027" s="120" t="n">
        <v>0.003247273944279927</v>
      </c>
      <c r="H1027" s="121" t="n">
        <v>45.60254948355396</v>
      </c>
      <c r="I1027" s="118" t="n">
        <v>73.32986618041993</v>
      </c>
      <c r="J1027" s="118" t="n">
        <v>68.06437528610229</v>
      </c>
      <c r="K1027" s="120" t="n">
        <v>0.2356476198779864</v>
      </c>
      <c r="L1027" s="120" t="n">
        <v>-0.05937202918263951</v>
      </c>
      <c r="M1027" s="120" t="n">
        <v>-0.1525567128026634</v>
      </c>
      <c r="N1027" t="n">
        <v>45.05261581053245</v>
      </c>
      <c r="O1027" t="n">
        <v>-0.5363402095870555</v>
      </c>
      <c r="P1027" t="n">
        <v>155.1678990224609</v>
      </c>
      <c r="Q1027" t="n">
        <v>161.2860683053439</v>
      </c>
    </row>
    <row r="1028">
      <c r="A1028" s="117" t="n">
        <v>45909</v>
      </c>
      <c r="B1028" s="118" t="n">
        <v>72.38811719684874</v>
      </c>
      <c r="C1028" s="118" t="n">
        <v>72.93599829360964</v>
      </c>
      <c r="D1028" s="118" t="n">
        <v>71.46847323711221</v>
      </c>
      <c r="E1028" s="118" t="n">
        <v>72.00656127929688</v>
      </c>
      <c r="F1028" s="119" t="n">
        <v>8740200</v>
      </c>
      <c r="G1028" s="120" t="n">
        <v>-0.007417411634742632</v>
      </c>
      <c r="H1028" s="121" t="n">
        <v>45.26429660244073</v>
      </c>
      <c r="I1028" s="118" t="n">
        <v>73.36767822265625</v>
      </c>
      <c r="J1028" s="118" t="n">
        <v>68.06601736068725</v>
      </c>
      <c r="K1028" s="120" t="n">
        <v>0.2371038683007008</v>
      </c>
      <c r="L1028" s="120" t="n">
        <v>-0.06634905403734437</v>
      </c>
      <c r="M1028" s="120" t="n">
        <v>-0.1588425485009054</v>
      </c>
      <c r="N1028" t="n">
        <v>43.00223405071473</v>
      </c>
      <c r="O1028" t="n">
        <v>-0.5616917192589108</v>
      </c>
      <c r="P1028" t="n">
        <v>155.5266292676326</v>
      </c>
      <c r="Q1028" t="n">
        <v>161.7430264205071</v>
      </c>
    </row>
    <row r="1029">
      <c r="A1029" s="117" t="n">
        <v>45910</v>
      </c>
      <c r="B1029" s="118" t="n">
        <v>73.62082882762357</v>
      </c>
      <c r="C1029" s="118" t="n">
        <v>73.82628140771551</v>
      </c>
      <c r="D1029" s="118" t="n">
        <v>71.74239884031095</v>
      </c>
      <c r="E1029" s="118" t="n">
        <v>72.64247894287109</v>
      </c>
      <c r="F1029" s="119" t="n">
        <v>11359300</v>
      </c>
      <c r="G1029" s="120" t="n">
        <v>0.008831384977650014</v>
      </c>
      <c r="H1029" s="121" t="n">
        <v>45.66404303147942</v>
      </c>
      <c r="I1029" s="118" t="n">
        <v>73.43767456054688</v>
      </c>
      <c r="J1029" s="118" t="n">
        <v>68.07552888870239</v>
      </c>
      <c r="K1029" s="120" t="n">
        <v>0.2353260602573497</v>
      </c>
      <c r="L1029" s="120" t="n">
        <v>-0.05810362309880113</v>
      </c>
      <c r="M1029" s="120" t="n">
        <v>-0.151413963219898</v>
      </c>
      <c r="N1029" t="n">
        <v>46.12289605232112</v>
      </c>
      <c r="O1029" t="n">
        <v>-0.5129018319973689</v>
      </c>
      <c r="P1029" t="n">
        <v>155.9762264284879</v>
      </c>
      <c r="Q1029" t="n">
        <v>161.7959639809279</v>
      </c>
    </row>
    <row r="1030">
      <c r="A1030" s="117" t="n">
        <v>45911</v>
      </c>
      <c r="B1030" s="118" t="n">
        <v>72.79901868374928</v>
      </c>
      <c r="C1030" s="118" t="n">
        <v>73.89476578022953</v>
      </c>
      <c r="D1030" s="118" t="n">
        <v>72.40767723605607</v>
      </c>
      <c r="E1030" s="118" t="n">
        <v>72.72074890136719</v>
      </c>
      <c r="F1030" s="119" t="n">
        <v>9803400</v>
      </c>
      <c r="G1030" s="120" t="n">
        <v>0.001077468165116668</v>
      </c>
      <c r="H1030" s="121" t="n">
        <v>45.71324458413635</v>
      </c>
      <c r="I1030" s="118" t="n">
        <v>73.46310241699219</v>
      </c>
      <c r="J1030" s="118" t="n">
        <v>68.08806379318237</v>
      </c>
      <c r="K1030" s="120" t="n">
        <v>0.2055435298677623</v>
      </c>
      <c r="L1030" s="120" t="n">
        <v>-0.05708875973785132</v>
      </c>
      <c r="M1030" s="120" t="n">
        <v>-0.1504996387799049</v>
      </c>
      <c r="N1030" t="n">
        <v>46.51107472410747</v>
      </c>
      <c r="O1030" t="n">
        <v>-0.4546179667541203</v>
      </c>
      <c r="P1030" t="n">
        <v>157.2724192936271</v>
      </c>
      <c r="Q1030" t="n">
        <v>162.737698916343</v>
      </c>
    </row>
    <row r="1031">
      <c r="A1031" s="117" t="n">
        <v>45912</v>
      </c>
      <c r="B1031" s="118" t="n">
        <v>72.63269215231372</v>
      </c>
      <c r="C1031" s="118" t="n">
        <v>72.67182704276239</v>
      </c>
      <c r="D1031" s="118" t="n">
        <v>70.37270634447715</v>
      </c>
      <c r="E1031" s="118" t="n">
        <v>71.41954040527344</v>
      </c>
      <c r="F1031" s="119" t="n">
        <v>11806000</v>
      </c>
      <c r="G1031" s="120" t="n">
        <v>-0.01789322188992593</v>
      </c>
      <c r="H1031" s="121" t="n">
        <v>44.89528735548395</v>
      </c>
      <c r="I1031" s="118" t="n">
        <v>73.40449783325195</v>
      </c>
      <c r="J1031" s="118" t="n">
        <v>68.08576574325562</v>
      </c>
      <c r="K1031" s="120" t="n">
        <v>0.2114074376491668</v>
      </c>
      <c r="L1031" s="120" t="n">
        <v>-0.07396047978236719</v>
      </c>
      <c r="M1031" s="120" t="n">
        <v>-0.1656999372387883</v>
      </c>
      <c r="N1031" t="n">
        <v>41.19698015236916</v>
      </c>
      <c r="O1031" t="n">
        <v>-0.4804377225191552</v>
      </c>
      <c r="P1031" t="n">
        <v>157.21979115958</v>
      </c>
      <c r="Q1031" t="n">
        <v>163.4565253702569</v>
      </c>
    </row>
    <row r="1032">
      <c r="A1032" s="117" t="n">
        <v>45915</v>
      </c>
      <c r="B1032" s="118" t="n">
        <v>71.59565230623927</v>
      </c>
      <c r="C1032" s="118" t="n">
        <v>71.62500161155759</v>
      </c>
      <c r="D1032" s="118" t="n">
        <v>71.00864380721896</v>
      </c>
      <c r="E1032" s="118" t="n">
        <v>71.44889831542969</v>
      </c>
      <c r="F1032" s="119" t="n">
        <v>10323800</v>
      </c>
      <c r="G1032" s="120" t="n">
        <v>0.0004110627146247658</v>
      </c>
      <c r="H1032" s="121" t="n">
        <v>44.91374213417815</v>
      </c>
      <c r="I1032" s="118" t="n">
        <v>73.34648040771485</v>
      </c>
      <c r="J1032" s="118" t="n">
        <v>68.07260778427124</v>
      </c>
      <c r="K1032" s="120" t="n">
        <v>0.2086386145757566</v>
      </c>
      <c r="L1032" s="120" t="n">
        <v>-0.0735798194633368</v>
      </c>
      <c r="M1032" s="120" t="n">
        <v>-0.165356987590178</v>
      </c>
      <c r="N1032" t="n">
        <v>41.35977156351211</v>
      </c>
      <c r="O1032" t="n">
        <v>-0.4716098299586401</v>
      </c>
      <c r="P1032" t="n">
        <v>158.0568087205671</v>
      </c>
      <c r="Q1032" t="n">
        <v>164.8552013331784</v>
      </c>
    </row>
    <row r="1033">
      <c r="A1033" s="117" t="n">
        <v>45916</v>
      </c>
      <c r="B1033" s="118" t="n">
        <v>71.22387775748686</v>
      </c>
      <c r="C1033" s="118" t="n">
        <v>71.79131504302825</v>
      </c>
      <c r="D1033" s="118" t="n">
        <v>70.5292427399647</v>
      </c>
      <c r="E1033" s="118" t="n">
        <v>71.17495727539062</v>
      </c>
      <c r="F1033" s="119" t="n">
        <v>8813600</v>
      </c>
      <c r="G1033" s="120" t="n">
        <v>-0.003834083470814043</v>
      </c>
      <c r="H1033" s="121" t="n">
        <v>44.7415390978491</v>
      </c>
      <c r="I1033" s="118" t="n">
        <v>73.28025894165039</v>
      </c>
      <c r="J1033" s="118" t="n">
        <v>68.04917890548705</v>
      </c>
      <c r="K1033" s="120" t="n">
        <v>0.2063816940968415</v>
      </c>
      <c r="L1033" s="120" t="n">
        <v>-0.07713179176456086</v>
      </c>
      <c r="M1033" s="120" t="n">
        <v>-0.168557078568089</v>
      </c>
      <c r="N1033" t="n">
        <v>40.24030840651199</v>
      </c>
      <c r="O1033" t="n">
        <v>-0.4598091716200561</v>
      </c>
      <c r="P1033" t="n">
        <v>157.8391974371896</v>
      </c>
      <c r="Q1033" t="n">
        <v>164.715902755854</v>
      </c>
    </row>
    <row r="1034">
      <c r="A1034" s="117" t="n">
        <v>45917</v>
      </c>
      <c r="B1034" s="118" t="n">
        <v>71.48803201499382</v>
      </c>
      <c r="C1034" s="118" t="n">
        <v>71.73261950751319</v>
      </c>
      <c r="D1034" s="118" t="n">
        <v>70.05964195438683</v>
      </c>
      <c r="E1034" s="118" t="n">
        <v>70.74448394775391</v>
      </c>
      <c r="F1034" s="119" t="n">
        <v>11108700</v>
      </c>
      <c r="G1034" s="120" t="n">
        <v>-0.006048100962971148</v>
      </c>
      <c r="H1034" s="121" t="n">
        <v>44.47093775214658</v>
      </c>
      <c r="I1034" s="118" t="n">
        <v>73.25623397827148</v>
      </c>
      <c r="J1034" s="118" t="n">
        <v>68.03149385452271</v>
      </c>
      <c r="K1034" s="120" t="n">
        <v>0.2061219372096199</v>
      </c>
      <c r="L1034" s="120" t="n">
        <v>-0.08271339186348514</v>
      </c>
      <c r="M1034" s="120" t="n">
        <v>-0.1735857293018568</v>
      </c>
      <c r="N1034" t="n">
        <v>38.47785999275649</v>
      </c>
      <c r="O1034" t="n">
        <v>-0.4557053780881612</v>
      </c>
      <c r="P1034" t="n">
        <v>157.643089011722</v>
      </c>
      <c r="Q1034" t="n">
        <v>164.3871362411678</v>
      </c>
    </row>
    <row r="1035">
      <c r="A1035" s="117" t="n">
        <v>45918</v>
      </c>
      <c r="B1035" s="118" t="n">
        <v>71.85001706428805</v>
      </c>
      <c r="C1035" s="118" t="n">
        <v>72.00654916258082</v>
      </c>
      <c r="D1035" s="118" t="n">
        <v>70.07919871842583</v>
      </c>
      <c r="E1035" s="118" t="n">
        <v>70.53902435302734</v>
      </c>
      <c r="F1035" s="119" t="n">
        <v>14918400</v>
      </c>
      <c r="G1035" s="120" t="n">
        <v>-0.002904248971245527</v>
      </c>
      <c r="H1035" s="121" t="n">
        <v>44.34178307692959</v>
      </c>
      <c r="I1035" s="118" t="n">
        <v>73.235107421875</v>
      </c>
      <c r="J1035" s="118" t="n">
        <v>68.00928804397583</v>
      </c>
      <c r="K1035" s="120" t="n">
        <v>0.2051592265762529</v>
      </c>
      <c r="L1035" s="120" t="n">
        <v>-0.08537742055150288</v>
      </c>
      <c r="M1035" s="120" t="n">
        <v>-0.1759858420973546</v>
      </c>
      <c r="N1035" t="n">
        <v>37.63070603644635</v>
      </c>
      <c r="O1035" t="n">
        <v>-0.4412424624445914</v>
      </c>
      <c r="P1035" t="n">
        <v>158.3796762720387</v>
      </c>
      <c r="Q1035" t="n">
        <v>165.8694050206093</v>
      </c>
    </row>
    <row r="1036">
      <c r="A1036" s="117" t="n">
        <v>45919</v>
      </c>
      <c r="B1036" s="118" t="n">
        <v>70.45097919706168</v>
      </c>
      <c r="C1036" s="118" t="n">
        <v>70.68578108577402</v>
      </c>
      <c r="D1036" s="118" t="n">
        <v>69.20847062984824</v>
      </c>
      <c r="E1036" s="118" t="n">
        <v>69.355224609375</v>
      </c>
      <c r="F1036" s="119" t="n">
        <v>33415600</v>
      </c>
      <c r="G1036" s="120" t="n">
        <v>-0.01678219616035193</v>
      </c>
      <c r="H1036" s="121" t="n">
        <v>43.59763057523278</v>
      </c>
      <c r="I1036" s="118" t="n">
        <v>73.16967102050781</v>
      </c>
      <c r="J1036" s="118" t="n">
        <v>67.9791054725647</v>
      </c>
      <c r="K1036" s="120" t="n">
        <v>0.2112326896561424</v>
      </c>
      <c r="L1036" s="120" t="n">
        <v>-0.1007267960924946</v>
      </c>
      <c r="M1036" s="120" t="n">
        <v>-0.1898146093341839</v>
      </c>
      <c r="N1036" t="n">
        <v>33.10779368849448</v>
      </c>
      <c r="O1036" t="n">
        <v>-0.48247452158522</v>
      </c>
      <c r="P1036" t="n">
        <v>159.1641099739092</v>
      </c>
      <c r="Q1036" t="n">
        <v>166.9922349416088</v>
      </c>
    </row>
    <row r="1037">
      <c r="A1037" s="117" t="n">
        <v>45922</v>
      </c>
      <c r="B1037" s="118" t="n">
        <v>69.25738890800901</v>
      </c>
      <c r="C1037" s="118" t="n">
        <v>70.92058071849269</v>
      </c>
      <c r="D1037" s="118" t="n">
        <v>68.9051823540355</v>
      </c>
      <c r="E1037" s="118" t="n">
        <v>69.73677825927734</v>
      </c>
      <c r="F1037" s="119" t="n">
        <v>12336300</v>
      </c>
      <c r="G1037" s="120" t="n">
        <v>0.005501440620390818</v>
      </c>
      <c r="H1037" s="121" t="n">
        <v>43.83748035103216</v>
      </c>
      <c r="I1037" s="118" t="n">
        <v>73.15060287475586</v>
      </c>
      <c r="J1037" s="118" t="n">
        <v>67.94736745834351</v>
      </c>
      <c r="K1037" s="120" t="n">
        <v>0.1777133854421726</v>
      </c>
      <c r="L1037" s="120" t="n">
        <v>-0.09577949795968888</v>
      </c>
      <c r="M1037" s="120" t="n">
        <v>-0.1853574225159278</v>
      </c>
      <c r="N1037" t="n">
        <v>35.78673151812413</v>
      </c>
      <c r="O1037" t="n">
        <v>-0.4554568056017521</v>
      </c>
      <c r="P1037" t="n">
        <v>159.9171232334392</v>
      </c>
      <c r="Q1037" t="n">
        <v>167.9808413193203</v>
      </c>
    </row>
    <row r="1038">
      <c r="A1038" s="117" t="n">
        <v>45923</v>
      </c>
      <c r="B1038" s="118" t="n">
        <v>70.02049908633626</v>
      </c>
      <c r="C1038" s="118" t="n">
        <v>70.85209497336108</v>
      </c>
      <c r="D1038" s="118" t="n">
        <v>69.19868878787891</v>
      </c>
      <c r="E1038" s="118" t="n">
        <v>69.39435577392578</v>
      </c>
      <c r="F1038" s="119" t="n">
        <v>10432400</v>
      </c>
      <c r="G1038" s="120" t="n">
        <v>-0.004910213719344081</v>
      </c>
      <c r="H1038" s="121" t="n">
        <v>43.62222895359105</v>
      </c>
      <c r="I1038" s="118" t="n">
        <v>73.1320832824707</v>
      </c>
      <c r="J1038" s="118" t="n">
        <v>67.91502363204955</v>
      </c>
      <c r="K1038" s="120" t="n">
        <v>0.16925913721138</v>
      </c>
      <c r="L1038" s="120" t="n">
        <v>-0.1002194138741194</v>
      </c>
      <c r="M1038" s="120" t="n">
        <v>-0.1893574916762519</v>
      </c>
      <c r="N1038" t="n">
        <v>34.45318598452485</v>
      </c>
      <c r="O1038" t="n">
        <v>-0.4322421535271217</v>
      </c>
      <c r="P1038" t="n">
        <v>159.0466043083784</v>
      </c>
      <c r="Q1038" t="n">
        <v>166.8650515128765</v>
      </c>
    </row>
    <row r="1039">
      <c r="A1039" s="117" t="n">
        <v>45924</v>
      </c>
      <c r="B1039" s="118" t="n">
        <v>69.13998229312701</v>
      </c>
      <c r="C1039" s="118" t="n">
        <v>69.98136376351616</v>
      </c>
      <c r="D1039" s="118" t="n">
        <v>68.92474413127624</v>
      </c>
      <c r="E1039" s="118" t="n">
        <v>69.67807769775391</v>
      </c>
      <c r="F1039" s="119" t="n">
        <v>10024500</v>
      </c>
      <c r="G1039" s="120" t="n">
        <v>0.004088544675772132</v>
      </c>
      <c r="H1039" s="121" t="n">
        <v>43.80058038552456</v>
      </c>
      <c r="I1039" s="118" t="n">
        <v>73.12429916381836</v>
      </c>
      <c r="J1039" s="118" t="n">
        <v>67.88645528793334</v>
      </c>
      <c r="K1039" s="120" t="n">
        <v>0.1722895046334818</v>
      </c>
      <c r="L1039" s="120" t="n">
        <v>-0.09654062074935144</v>
      </c>
      <c r="M1039" s="120" t="n">
        <v>-0.1860431435648903</v>
      </c>
      <c r="N1039" t="n">
        <v>36.56252791940442</v>
      </c>
      <c r="O1039" t="n">
        <v>-0.3716838979472707</v>
      </c>
      <c r="P1039" t="n">
        <v>158.5405861277637</v>
      </c>
      <c r="Q1039" t="n">
        <v>166.279269553939</v>
      </c>
    </row>
    <row r="1040">
      <c r="A1040" s="117" t="n">
        <v>45925</v>
      </c>
      <c r="B1040" s="118" t="n">
        <v>69.61938920057813</v>
      </c>
      <c r="C1040" s="118" t="n">
        <v>69.61938920057813</v>
      </c>
      <c r="D1040" s="118" t="n">
        <v>67.55507011477485</v>
      </c>
      <c r="E1040" s="118" t="n">
        <v>67.74095153808594</v>
      </c>
      <c r="F1040" s="119" t="n">
        <v>13075300</v>
      </c>
      <c r="G1040" s="120" t="n">
        <v>-0.02780108498501832</v>
      </c>
      <c r="H1040" s="121" t="n">
        <v>42.58287672783347</v>
      </c>
      <c r="I1040" s="118" t="n">
        <v>73.07563140869141</v>
      </c>
      <c r="J1040" s="118" t="n">
        <v>67.84719125747681</v>
      </c>
      <c r="K1040" s="120" t="n">
        <v>0.1908387447166366</v>
      </c>
      <c r="L1040" s="120" t="n">
        <v>-0.1216577717324107</v>
      </c>
      <c r="M1040" s="120" t="n">
        <v>-0.2086720273047812</v>
      </c>
      <c r="N1040" t="n">
        <v>29.56658498413405</v>
      </c>
      <c r="O1040" t="n">
        <v>-0.4317761525767591</v>
      </c>
      <c r="P1040" t="n">
        <v>157.8091642760046</v>
      </c>
      <c r="Q1040" t="n">
        <v>165.5623910928875</v>
      </c>
    </row>
    <row r="1041">
      <c r="A1041" s="117" t="n">
        <v>45926</v>
      </c>
      <c r="B1041" s="118" t="n">
        <v>67.87790954457068</v>
      </c>
      <c r="C1041" s="118" t="n">
        <v>67.93661561092576</v>
      </c>
      <c r="D1041" s="118" t="n">
        <v>66.55713874694449</v>
      </c>
      <c r="E1041" s="118" t="n">
        <v>67.80942535400391</v>
      </c>
      <c r="F1041" s="119" t="n">
        <v>15627600</v>
      </c>
      <c r="G1041" s="120" t="n">
        <v>0.00101081863131891</v>
      </c>
      <c r="H1041" s="121" t="n">
        <v>42.62592029300512</v>
      </c>
      <c r="I1041" s="118" t="n">
        <v>73.01120315551758</v>
      </c>
      <c r="J1041" s="118" t="n">
        <v>67.80677854537964</v>
      </c>
      <c r="K1041" s="120" t="n">
        <v>0.1918472782885573</v>
      </c>
      <c r="L1041" s="120" t="n">
        <v>-0.1207699270434034</v>
      </c>
      <c r="M1041" s="120" t="n">
        <v>-0.207872138246497</v>
      </c>
      <c r="N1041" t="n">
        <v>30.07590204489483</v>
      </c>
      <c r="O1041" t="n">
        <v>-0.4353628641455198</v>
      </c>
      <c r="P1041" t="n">
        <v>158.7132435983797</v>
      </c>
      <c r="Q1041" t="n">
        <v>166.2429924587894</v>
      </c>
    </row>
    <row r="1042">
      <c r="A1042" s="117" t="n">
        <v>45929</v>
      </c>
      <c r="B1042" s="118" t="n">
        <v>68.25947358063465</v>
      </c>
      <c r="C1042" s="118" t="n">
        <v>68.44536246200835</v>
      </c>
      <c r="D1042" s="118" t="n">
        <v>67.25177431381108</v>
      </c>
      <c r="E1042" s="118" t="n">
        <v>68.04424285888672</v>
      </c>
      <c r="F1042" s="119" t="n">
        <v>18479300</v>
      </c>
      <c r="G1042" s="120" t="n">
        <v>0.003462903625225167</v>
      </c>
      <c r="H1042" s="121" t="n">
        <v>42.77352974691632</v>
      </c>
      <c r="I1042" s="118" t="n">
        <v>72.96139862060546</v>
      </c>
      <c r="J1042" s="118" t="n">
        <v>67.77355241775513</v>
      </c>
      <c r="K1042" s="120" t="n">
        <v>0.1943396618793518</v>
      </c>
      <c r="L1042" s="120" t="n">
        <v>-0.1177252380363552</v>
      </c>
      <c r="M1042" s="120" t="n">
        <v>-0.205129075802389</v>
      </c>
      <c r="N1042" t="n">
        <v>31.8946859382303</v>
      </c>
      <c r="O1042" t="n">
        <v>-0.3917370290181243</v>
      </c>
      <c r="P1042" t="n">
        <v>159.1593135231057</v>
      </c>
      <c r="Q1042" t="n">
        <v>167.0128939185452</v>
      </c>
    </row>
    <row r="1043">
      <c r="A1043" s="117" t="n">
        <v>45930</v>
      </c>
      <c r="B1043" s="118" t="n">
        <v>68.55297993995462</v>
      </c>
      <c r="C1043" s="118" t="n">
        <v>68.68994833430277</v>
      </c>
      <c r="D1043" s="118" t="n">
        <v>67.3300425159764</v>
      </c>
      <c r="E1043" s="118" t="n">
        <v>68.22034454345703</v>
      </c>
      <c r="F1043" s="119" t="n">
        <v>40567700</v>
      </c>
      <c r="G1043" s="120" t="n">
        <v>0.002588046793841503</v>
      </c>
      <c r="H1043" s="121" t="n">
        <v>42.88422964343912</v>
      </c>
      <c r="I1043" s="118" t="n">
        <v>72.88494430541992</v>
      </c>
      <c r="J1043" s="118" t="n">
        <v>67.7455357170105</v>
      </c>
      <c r="K1043" s="120" t="n">
        <v>0.1606057982681475</v>
      </c>
      <c r="L1043" s="120" t="n">
        <v>-0.1154418696673677</v>
      </c>
      <c r="M1043" s="120" t="n">
        <v>-0.2030719126555015</v>
      </c>
      <c r="N1043" t="n">
        <v>33.29596318195259</v>
      </c>
      <c r="O1043" t="n">
        <v>-0.3236604811983457</v>
      </c>
      <c r="P1043" t="n">
        <v>159.7588255986133</v>
      </c>
      <c r="Q1043" t="n">
        <v>167.4703646634089</v>
      </c>
    </row>
    <row r="1044">
      <c r="A1044" s="117" t="n">
        <v>45931</v>
      </c>
      <c r="B1044" s="118" t="n">
        <v>72.74031324231474</v>
      </c>
      <c r="C1044" s="118" t="n">
        <v>73.0729560881994</v>
      </c>
      <c r="D1044" s="118" t="n">
        <v>70.05963661845117</v>
      </c>
      <c r="E1044" s="118" t="n">
        <v>72.59355926513672</v>
      </c>
      <c r="F1044" s="119" t="n">
        <v>57921900</v>
      </c>
      <c r="G1044" s="120" t="n">
        <v>0.06410426026057237</v>
      </c>
      <c r="H1044" s="121" t="n">
        <v>45.63329146157629</v>
      </c>
      <c r="I1044" s="118" t="n">
        <v>72.86928588867187</v>
      </c>
      <c r="J1044" s="118" t="n">
        <v>67.7292360496521</v>
      </c>
      <c r="K1044" s="120" t="n">
        <v>0.2870012940988669</v>
      </c>
      <c r="L1044" s="120" t="n">
        <v>-0.05873792506491948</v>
      </c>
      <c r="M1044" s="120" t="n">
        <v>-0.149035801733126</v>
      </c>
      <c r="N1044" t="n">
        <v>56.97225308920019</v>
      </c>
      <c r="O1044" t="n">
        <v>0.02476025103354673</v>
      </c>
      <c r="P1044" t="n">
        <v>160.3032153856561</v>
      </c>
      <c r="Q1044" t="n">
        <v>168.2737237549607</v>
      </c>
    </row>
    <row r="1045">
      <c r="A1045" s="117" t="n">
        <v>45932</v>
      </c>
      <c r="B1045" s="118" t="n">
        <v>73.37624957297592</v>
      </c>
      <c r="C1045" s="118" t="n">
        <v>75.30360025603431</v>
      </c>
      <c r="D1045" s="118" t="n">
        <v>72.2804948922343</v>
      </c>
      <c r="E1045" s="118" t="n">
        <v>72.95555877685547</v>
      </c>
      <c r="F1045" s="119" t="n">
        <v>26254400</v>
      </c>
      <c r="G1045" s="120" t="n">
        <v>0.004986661563136874</v>
      </c>
      <c r="H1045" s="121" t="n">
        <v>45.86084924210716</v>
      </c>
      <c r="I1045" s="118" t="n">
        <v>72.83439392089844</v>
      </c>
      <c r="J1045" s="118" t="n">
        <v>67.71902723312378</v>
      </c>
      <c r="K1045" s="120" t="n">
        <v>0.2859923100407455</v>
      </c>
      <c r="L1045" s="120" t="n">
        <v>-0.05404416965500214</v>
      </c>
      <c r="M1045" s="120" t="n">
        <v>-0.1447923312740231</v>
      </c>
      <c r="N1045" t="n">
        <v>58.29194730110501</v>
      </c>
      <c r="O1045" t="n">
        <v>0.2745876789738235</v>
      </c>
      <c r="P1045" t="n">
        <v>160.4878566041258</v>
      </c>
      <c r="Q1045" t="n">
        <v>168.9655175359935</v>
      </c>
    </row>
    <row r="1046">
      <c r="A1046" s="117" t="n">
        <v>45933</v>
      </c>
      <c r="B1046" s="118" t="n">
        <v>73.16100700586584</v>
      </c>
      <c r="C1046" s="118" t="n">
        <v>73.16100700586584</v>
      </c>
      <c r="D1046" s="118" t="n">
        <v>70.36292559230155</v>
      </c>
      <c r="E1046" s="118" t="n">
        <v>70.37271118164062</v>
      </c>
      <c r="F1046" s="119" t="n">
        <v>18794900</v>
      </c>
      <c r="G1046" s="120" t="n">
        <v>-0.03540302669896389</v>
      </c>
      <c r="H1046" s="121" t="n">
        <v>44.23723637195167</v>
      </c>
      <c r="I1046" s="118" t="n">
        <v>72.77373458862304</v>
      </c>
      <c r="J1046" s="118" t="n">
        <v>67.69931924819946</v>
      </c>
      <c r="K1046" s="120" t="n">
        <v>0.3053449863437264</v>
      </c>
      <c r="L1046" s="120" t="n">
        <v>-0.08753386917274686</v>
      </c>
      <c r="M1046" s="120" t="n">
        <v>-0.124063882168879</v>
      </c>
      <c r="N1046" t="n">
        <v>47.17445002818821</v>
      </c>
      <c r="O1046" t="n">
        <v>0.2609632637324867</v>
      </c>
      <c r="P1046" t="n">
        <v>160.4854952744994</v>
      </c>
      <c r="Q1046" t="n">
        <v>168.2542096510225</v>
      </c>
    </row>
    <row r="1047">
      <c r="A1047" s="117" t="n">
        <v>45936</v>
      </c>
      <c r="B1047" s="118" t="n">
        <v>70.46076163197728</v>
      </c>
      <c r="C1047" s="118" t="n">
        <v>70.82275380839046</v>
      </c>
      <c r="D1047" s="118" t="n">
        <v>69.47263353543669</v>
      </c>
      <c r="E1047" s="118" t="n">
        <v>69.62916564941406</v>
      </c>
      <c r="F1047" s="119" t="n">
        <v>14039600</v>
      </c>
      <c r="G1047" s="120" t="n">
        <v>-0.01056582188950173</v>
      </c>
      <c r="H1047" s="121" t="n">
        <v>43.76983361156185</v>
      </c>
      <c r="I1047" s="118" t="n">
        <v>72.6816584777832</v>
      </c>
      <c r="J1047" s="118" t="n">
        <v>67.67613409042359</v>
      </c>
      <c r="K1047" s="120" t="n">
        <v>0.3066201679057803</v>
      </c>
      <c r="L1047" s="120" t="n">
        <v>-0.09717482379127029</v>
      </c>
      <c r="M1047" s="120" t="n">
        <v>-0.1333188671764641</v>
      </c>
      <c r="N1047" t="n">
        <v>44.5408464414082</v>
      </c>
      <c r="O1047" t="n">
        <v>0.1997117241049366</v>
      </c>
      <c r="P1047" t="n">
        <v>161.0610250959895</v>
      </c>
      <c r="Q1047" t="n">
        <v>169.5178247754783</v>
      </c>
    </row>
    <row r="1048">
      <c r="A1048" s="117" t="n">
        <v>45937</v>
      </c>
      <c r="B1048" s="118" t="n">
        <v>69.68787002882179</v>
      </c>
      <c r="C1048" s="118" t="n">
        <v>70.03029101752531</v>
      </c>
      <c r="D1048" s="118" t="n">
        <v>67.40831286025329</v>
      </c>
      <c r="E1048" s="118" t="n">
        <v>67.41809844970703</v>
      </c>
      <c r="F1048" s="119" t="n">
        <v>17368000</v>
      </c>
      <c r="G1048" s="120" t="n">
        <v>-0.03175490010665716</v>
      </c>
      <c r="H1048" s="121" t="n">
        <v>42.3799269175417</v>
      </c>
      <c r="I1048" s="118" t="n">
        <v>72.48754760742187</v>
      </c>
      <c r="J1048" s="118" t="n">
        <v>67.63804559707641</v>
      </c>
      <c r="K1048" s="120" t="n">
        <v>0.3241253923419016</v>
      </c>
      <c r="L1048" s="120" t="n">
        <v>-0.1258439470755536</v>
      </c>
      <c r="M1048" s="120" t="n">
        <v>-0.1608402399736001</v>
      </c>
      <c r="N1048" t="n">
        <v>37.78549784381175</v>
      </c>
      <c r="O1048" t="n">
        <v>0.01771034468629873</v>
      </c>
      <c r="P1048" t="n">
        <v>160.4639038667286</v>
      </c>
      <c r="Q1048" t="n">
        <v>168.6252168530426</v>
      </c>
    </row>
    <row r="1049">
      <c r="A1049" s="117" t="n">
        <v>45938</v>
      </c>
      <c r="B1049" s="118" t="n">
        <v>67.41809668463229</v>
      </c>
      <c r="C1049" s="118" t="n">
        <v>67.92683535964142</v>
      </c>
      <c r="D1049" s="118" t="n">
        <v>67.1832873291965</v>
      </c>
      <c r="E1049" s="118" t="n">
        <v>67.59419250488281</v>
      </c>
      <c r="F1049" s="119" t="n">
        <v>13051800</v>
      </c>
      <c r="G1049" s="120" t="n">
        <v>0.002611970067757818</v>
      </c>
      <c r="H1049" s="121" t="n">
        <v>42.49062201812408</v>
      </c>
      <c r="I1049" s="118" t="n">
        <v>72.31467224121094</v>
      </c>
      <c r="J1049" s="118" t="n">
        <v>67.60612852096557</v>
      </c>
      <c r="K1049" s="120" t="n">
        <v>0.3218347415938979</v>
      </c>
      <c r="L1049" s="120" t="n">
        <v>-0.1235606776307657</v>
      </c>
      <c r="M1049" s="120" t="n">
        <v>-0.1586483797983443</v>
      </c>
      <c r="N1049" t="n">
        <v>38.58440334261053</v>
      </c>
      <c r="O1049" t="n">
        <v>-0.07813119296341242</v>
      </c>
      <c r="P1049" t="n">
        <v>161.4207441479423</v>
      </c>
      <c r="Q1049" t="n">
        <v>170.5582921912394</v>
      </c>
    </row>
    <row r="1050">
      <c r="A1050" s="117" t="n">
        <v>45939</v>
      </c>
      <c r="B1050" s="118" t="n">
        <v>68.04424902526252</v>
      </c>
      <c r="C1050" s="118" t="n">
        <v>68.15186812799817</v>
      </c>
      <c r="D1050" s="118" t="n">
        <v>66.42018435795603</v>
      </c>
      <c r="E1050" s="118" t="n">
        <v>66.58650207519531</v>
      </c>
      <c r="F1050" s="119" t="n">
        <v>13410900</v>
      </c>
      <c r="G1050" s="120" t="n">
        <v>-0.01490794389791261</v>
      </c>
      <c r="H1050" s="121" t="n">
        <v>41.85717420889048</v>
      </c>
      <c r="I1050" s="118" t="n">
        <v>72.15376190185548</v>
      </c>
      <c r="J1050" s="118" t="n">
        <v>67.56821104049682</v>
      </c>
      <c r="K1050" s="120" t="n">
        <v>0.3238789644262805</v>
      </c>
      <c r="L1050" s="120" t="n">
        <v>-0.1366265858785707</v>
      </c>
      <c r="M1050" s="120" t="n">
        <v>-0.1711912025507285</v>
      </c>
      <c r="N1050" t="n">
        <v>35.7549225846104</v>
      </c>
      <c r="O1050" t="n">
        <v>-0.1903135227061405</v>
      </c>
      <c r="P1050" t="n">
        <v>160.9531123320658</v>
      </c>
      <c r="Q1050" t="n">
        <v>170.3518732984427</v>
      </c>
    </row>
    <row r="1051">
      <c r="A1051" s="117" t="n">
        <v>45940</v>
      </c>
      <c r="B1051" s="118" t="n">
        <v>66.70390227289971</v>
      </c>
      <c r="C1051" s="118" t="n">
        <v>67.00718837968644</v>
      </c>
      <c r="D1051" s="118" t="n">
        <v>63.4753443368562</v>
      </c>
      <c r="E1051" s="118" t="n">
        <v>63.80798721313477</v>
      </c>
      <c r="F1051" s="119" t="n">
        <v>18806100</v>
      </c>
      <c r="G1051" s="120" t="n">
        <v>-0.04172789943107091</v>
      </c>
      <c r="H1051" s="121" t="n">
        <v>40.11056225303308</v>
      </c>
      <c r="I1051" s="118" t="n">
        <v>71.97601799011231</v>
      </c>
      <c r="J1051" s="118" t="n">
        <v>67.51717052459716</v>
      </c>
      <c r="K1051" s="120" t="n">
        <v>0.347436024496026</v>
      </c>
      <c r="L1051" s="120" t="n">
        <v>-0.17265334487449</v>
      </c>
      <c r="M1051" s="120" t="n">
        <v>-0.2057756526982786</v>
      </c>
      <c r="N1051" t="n">
        <v>29.3613784143641</v>
      </c>
      <c r="O1051" t="n">
        <v>-0.4194332765519726</v>
      </c>
      <c r="P1051" t="n">
        <v>156.6028937946984</v>
      </c>
      <c r="Q1051" t="n">
        <v>164.4382283346664</v>
      </c>
    </row>
    <row r="1052">
      <c r="A1052" s="117" t="n">
        <v>45943</v>
      </c>
      <c r="B1052" s="118" t="n">
        <v>64.27759060942564</v>
      </c>
      <c r="C1052" s="118" t="n">
        <v>66.0581872719392</v>
      </c>
      <c r="D1052" s="118" t="n">
        <v>64.13084408400753</v>
      </c>
      <c r="E1052" s="118" t="n">
        <v>65.92121887207031</v>
      </c>
      <c r="F1052" s="119" t="n">
        <v>13191200</v>
      </c>
      <c r="G1052" s="120" t="n">
        <v>0.03311860710911985</v>
      </c>
      <c r="H1052" s="121" t="n">
        <v>41.43896820521717</v>
      </c>
      <c r="I1052" s="118" t="n">
        <v>71.84190147399903</v>
      </c>
      <c r="J1052" s="118" t="n">
        <v>67.47756198883057</v>
      </c>
      <c r="K1052" s="120" t="n">
        <v>0.3731317843510593</v>
      </c>
      <c r="L1052" s="120" t="n">
        <v>-0.1452527760603439</v>
      </c>
      <c r="M1052" s="120" t="n">
        <v>-0.1794720485834957</v>
      </c>
      <c r="N1052" t="n">
        <v>38.38555230415844</v>
      </c>
      <c r="O1052" t="n">
        <v>-0.3967004980341715</v>
      </c>
      <c r="P1052" t="n">
        <v>159.0058270973935</v>
      </c>
      <c r="Q1052" t="n">
        <v>167.9278354082727</v>
      </c>
    </row>
    <row r="1053">
      <c r="A1053" s="117" t="n">
        <v>45944</v>
      </c>
      <c r="B1053" s="118" t="n">
        <v>65.03093035392492</v>
      </c>
      <c r="C1053" s="118" t="n">
        <v>66.52780476690531</v>
      </c>
      <c r="D1053" s="118" t="n">
        <v>64.62980324235832</v>
      </c>
      <c r="E1053" s="118" t="n">
        <v>66.17559814453125</v>
      </c>
      <c r="F1053" s="119" t="n">
        <v>9483700</v>
      </c>
      <c r="G1053" s="120" t="n">
        <v>0.003858837515650304</v>
      </c>
      <c r="H1053" s="121" t="n">
        <v>41.59887445033731</v>
      </c>
      <c r="I1053" s="118" t="n">
        <v>71.70897956848144</v>
      </c>
      <c r="J1053" s="118" t="n">
        <v>67.43908107757568</v>
      </c>
      <c r="K1053" s="120" t="n">
        <v>0.3741090048283323</v>
      </c>
      <c r="L1053" s="120" t="n">
        <v>-0.1419544454062076</v>
      </c>
      <c r="M1053" s="120" t="n">
        <v>-0.1763057645419301</v>
      </c>
      <c r="N1053" t="n">
        <v>39.38932108432515</v>
      </c>
      <c r="O1053" t="n">
        <v>-0.3350265772466572</v>
      </c>
      <c r="P1053" t="n">
        <v>158.8115782190066</v>
      </c>
      <c r="Q1053" t="n">
        <v>166.8092774014453</v>
      </c>
    </row>
    <row r="1054">
      <c r="A1054" s="117" t="n">
        <v>45945</v>
      </c>
      <c r="B1054" s="118" t="n">
        <v>67.0952489326462</v>
      </c>
      <c r="C1054" s="118" t="n">
        <v>68.02467850432494</v>
      </c>
      <c r="D1054" s="118" t="n">
        <v>66.65498692694159</v>
      </c>
      <c r="E1054" s="118" t="n">
        <v>66.97784423828125</v>
      </c>
      <c r="F1054" s="119" t="n">
        <v>13001500</v>
      </c>
      <c r="G1054" s="120" t="n">
        <v>0.01212298968568226</v>
      </c>
      <c r="H1054" s="121" t="n">
        <v>42.10317717623474</v>
      </c>
      <c r="I1054" s="118" t="n">
        <v>71.60066749572754</v>
      </c>
      <c r="J1054" s="118" t="n">
        <v>67.40388984680176</v>
      </c>
      <c r="K1054" s="120" t="n">
        <v>0.3779269951750425</v>
      </c>
      <c r="L1054" s="120" t="n">
        <v>-0.1315523679980215</v>
      </c>
      <c r="M1054" s="120" t="n">
        <v>-0.1663201278213161</v>
      </c>
      <c r="N1054" t="n">
        <v>42.56709143288061</v>
      </c>
      <c r="O1054" t="n">
        <v>-0.2164509777824537</v>
      </c>
      <c r="P1054" t="n">
        <v>159.5166269705015</v>
      </c>
      <c r="Q1054" t="n">
        <v>167.9864118954008</v>
      </c>
    </row>
    <row r="1055">
      <c r="A1055" s="117" t="n">
        <v>45946</v>
      </c>
      <c r="B1055" s="118" t="n">
        <v>67.11481199789897</v>
      </c>
      <c r="C1055" s="118" t="n">
        <v>67.5452884088385</v>
      </c>
      <c r="D1055" s="118" t="n">
        <v>65.1385481793665</v>
      </c>
      <c r="E1055" s="118" t="n">
        <v>65.39291381835938</v>
      </c>
      <c r="F1055" s="119" t="n">
        <v>15349700</v>
      </c>
      <c r="G1055" s="120" t="n">
        <v>-0.02366350302770726</v>
      </c>
      <c r="H1055" s="121" t="n">
        <v>41.10686851564881</v>
      </c>
      <c r="I1055" s="118" t="n">
        <v>71.43924415588378</v>
      </c>
      <c r="J1055" s="118" t="n">
        <v>67.36327514648437</v>
      </c>
      <c r="K1055" s="120" t="n">
        <v>0.3853577024235724</v>
      </c>
      <c r="L1055" s="120" t="n">
        <v>-0.1521028811673055</v>
      </c>
      <c r="M1055" s="120" t="n">
        <v>-0.1860479140007549</v>
      </c>
      <c r="N1055" t="n">
        <v>38.295334789317</v>
      </c>
      <c r="O1055" t="n">
        <v>-0.2202771300142412</v>
      </c>
      <c r="P1055" t="n">
        <v>158.4302825175932</v>
      </c>
      <c r="Q1055" t="n">
        <v>167.3643699289703</v>
      </c>
    </row>
    <row r="1056">
      <c r="A1056" s="117" t="n">
        <v>45947</v>
      </c>
      <c r="B1056" s="118" t="n">
        <v>65.18745366016505</v>
      </c>
      <c r="C1056" s="118" t="n">
        <v>66.30277199197711</v>
      </c>
      <c r="D1056" s="118" t="n">
        <v>64.88416756803547</v>
      </c>
      <c r="E1056" s="118" t="n">
        <v>65.91143798828125</v>
      </c>
      <c r="F1056" s="119" t="n">
        <v>10054000</v>
      </c>
      <c r="G1056" s="120" t="n">
        <v>0.007929363284868485</v>
      </c>
      <c r="H1056" s="121" t="n">
        <v>41.43281980961272</v>
      </c>
      <c r="I1056" s="118" t="n">
        <v>71.3101879119873</v>
      </c>
      <c r="J1056" s="118" t="n">
        <v>67.33376678466797</v>
      </c>
      <c r="K1056" s="120" t="n">
        <v>0.3840447082234728</v>
      </c>
      <c r="L1056" s="120" t="n">
        <v>-0.1453795968838877</v>
      </c>
      <c r="M1056" s="120" t="n">
        <v>-0.1795937922143903</v>
      </c>
      <c r="N1056" t="n">
        <v>40.40252563101472</v>
      </c>
      <c r="O1056" t="n">
        <v>-0.1658821416635325</v>
      </c>
      <c r="P1056" t="n">
        <v>159.329580147475</v>
      </c>
      <c r="Q1056" t="n">
        <v>168.4634138318595</v>
      </c>
    </row>
    <row r="1057">
      <c r="A1057" s="117" t="n">
        <v>45950</v>
      </c>
      <c r="B1057" s="118" t="n">
        <v>66.09732267272402</v>
      </c>
      <c r="C1057" s="118" t="n">
        <v>66.70390235122778</v>
      </c>
      <c r="D1057" s="118" t="n">
        <v>66.00927475679919</v>
      </c>
      <c r="E1057" s="118" t="n">
        <v>66.15602874755859</v>
      </c>
      <c r="F1057" s="119" t="n">
        <v>9670000</v>
      </c>
      <c r="G1057" s="120" t="n">
        <v>0.003710900061395073</v>
      </c>
      <c r="H1057" s="121" t="n">
        <v>41.58657286318797</v>
      </c>
      <c r="I1057" s="118" t="n">
        <v>71.18913780212402</v>
      </c>
      <c r="J1057" s="118" t="n">
        <v>67.30057521820068</v>
      </c>
      <c r="K1057" s="120" t="n">
        <v>0.3836166537379906</v>
      </c>
      <c r="L1057" s="120" t="n">
        <v>-0.1422081859774947</v>
      </c>
      <c r="M1057" s="120" t="n">
        <v>-0.1712176783895218</v>
      </c>
      <c r="N1057" t="n">
        <v>41.41877443307715</v>
      </c>
      <c r="O1057" t="n">
        <v>-0.09495045685303172</v>
      </c>
      <c r="P1057" t="n">
        <v>160.9866874876903</v>
      </c>
      <c r="Q1057" t="n">
        <v>170.586179246955</v>
      </c>
    </row>
    <row r="1058">
      <c r="A1058" s="117" t="n">
        <v>45951</v>
      </c>
      <c r="B1058" s="118" t="n">
        <v>66.28321080097258</v>
      </c>
      <c r="C1058" s="118" t="n">
        <v>67.78987065805877</v>
      </c>
      <c r="D1058" s="118" t="n">
        <v>65.95057539232369</v>
      </c>
      <c r="E1058" s="118" t="n">
        <v>66.8800048828125</v>
      </c>
      <c r="F1058" s="119" t="n">
        <v>9659200</v>
      </c>
      <c r="G1058" s="120" t="n">
        <v>0.01094346424596448</v>
      </c>
      <c r="H1058" s="121" t="n">
        <v>42.04167403642847</v>
      </c>
      <c r="I1058" s="118" t="n">
        <v>71.08587669372558</v>
      </c>
      <c r="J1058" s="118" t="n">
        <v>67.28062351226806</v>
      </c>
      <c r="K1058" s="120" t="n">
        <v>0.3863352073156572</v>
      </c>
      <c r="L1058" s="120" t="n">
        <v>-0.1320544065034012</v>
      </c>
      <c r="M1058" s="120" t="n">
        <v>-0.1572977875704227</v>
      </c>
      <c r="N1058" t="n">
        <v>44.43881370015372</v>
      </c>
      <c r="O1058" t="n">
        <v>0.0134374188634605</v>
      </c>
      <c r="P1058" t="n">
        <v>160.9842818831334</v>
      </c>
      <c r="Q1058" t="n">
        <v>170.5415462876847</v>
      </c>
    </row>
    <row r="1059">
      <c r="A1059" s="117" t="n">
        <v>45952</v>
      </c>
      <c r="B1059" s="118" t="n">
        <v>66.74303766008498</v>
      </c>
      <c r="C1059" s="118" t="n">
        <v>67.85835605402087</v>
      </c>
      <c r="D1059" s="118" t="n">
        <v>66.48866457213983</v>
      </c>
      <c r="E1059" s="118" t="n">
        <v>67.58441925048828</v>
      </c>
      <c r="F1059" s="119" t="n">
        <v>8096100</v>
      </c>
      <c r="G1059" s="120" t="n">
        <v>0.01053251070944228</v>
      </c>
      <c r="H1059" s="121" t="n">
        <v>42.48447841846004</v>
      </c>
      <c r="I1059" s="118" t="n">
        <v>70.97957374572754</v>
      </c>
      <c r="J1059" s="118" t="n">
        <v>67.26592540740967</v>
      </c>
      <c r="K1059" s="120" t="n">
        <v>0.3882581328677971</v>
      </c>
      <c r="L1059" s="120" t="n">
        <v>-0.1229127602446851</v>
      </c>
      <c r="M1059" s="120" t="n">
        <v>-0.140305203213734</v>
      </c>
      <c r="N1059" t="n">
        <v>47.28632881521601</v>
      </c>
      <c r="O1059" t="n">
        <v>0.138341224942621</v>
      </c>
      <c r="P1059" t="n">
        <v>160.147323355387</v>
      </c>
      <c r="Q1059" t="n">
        <v>168.8985680970882</v>
      </c>
    </row>
    <row r="1060">
      <c r="A1060" s="117" t="n">
        <v>45953</v>
      </c>
      <c r="B1060" s="118" t="n">
        <v>67.5941869486024</v>
      </c>
      <c r="C1060" s="118" t="n">
        <v>68.37686980728296</v>
      </c>
      <c r="D1060" s="118" t="n">
        <v>67.25176599701099</v>
      </c>
      <c r="E1060" s="118" t="n">
        <v>68.17141723632812</v>
      </c>
      <c r="F1060" s="119" t="n">
        <v>9124900</v>
      </c>
      <c r="G1060" s="120" t="n">
        <v>0.008685404008048847</v>
      </c>
      <c r="H1060" s="121" t="n">
        <v>42.8534732775956</v>
      </c>
      <c r="I1060" s="118" t="n">
        <v>70.84023933410644</v>
      </c>
      <c r="J1060" s="118" t="n">
        <v>67.26046340942383</v>
      </c>
      <c r="K1060" s="120" t="n">
        <v>0.37658089889622</v>
      </c>
      <c r="L1060" s="120" t="n">
        <v>-0.1152949032171057</v>
      </c>
      <c r="M1060" s="120" t="n">
        <v>-0.1328384065800278</v>
      </c>
      <c r="N1060" t="n">
        <v>49.60416257066809</v>
      </c>
      <c r="O1060" t="n">
        <v>0.2592406854800284</v>
      </c>
      <c r="P1060" t="n">
        <v>161.0970058561709</v>
      </c>
      <c r="Q1060" t="n">
        <v>170.3184156666467</v>
      </c>
    </row>
    <row r="1061">
      <c r="A1061" s="117" t="n">
        <v>45954</v>
      </c>
      <c r="B1061" s="118" t="n">
        <v>68.20077034654392</v>
      </c>
      <c r="C1061" s="118" t="n">
        <v>68.56276249514018</v>
      </c>
      <c r="D1061" s="118" t="n">
        <v>67.41809490836511</v>
      </c>
      <c r="E1061" s="118" t="n">
        <v>67.61376190185547</v>
      </c>
      <c r="F1061" s="119" t="n">
        <v>7102900</v>
      </c>
      <c r="G1061" s="120" t="n">
        <v>-0.008180192771105932</v>
      </c>
      <c r="H1061" s="121" t="n">
        <v>42.50292360527342</v>
      </c>
      <c r="I1061" s="118" t="n">
        <v>70.70551918029786</v>
      </c>
      <c r="J1061" s="118" t="n">
        <v>67.2517802810669</v>
      </c>
      <c r="K1061" s="120" t="n">
        <v>0.3778532140414413</v>
      </c>
      <c r="L1061" s="120" t="n">
        <v>-0.1225319614543698</v>
      </c>
      <c r="M1061" s="120" t="n">
        <v>-0.1399319555779025</v>
      </c>
      <c r="N1061" t="n">
        <v>47.46875492182048</v>
      </c>
      <c r="O1061" t="n">
        <v>0.2976525875659988</v>
      </c>
      <c r="P1061" t="n">
        <v>162.4135799476474</v>
      </c>
      <c r="Q1061" t="n">
        <v>172.1371062309708</v>
      </c>
    </row>
    <row r="1062">
      <c r="A1062" s="117" t="n">
        <v>45957</v>
      </c>
      <c r="B1062" s="118" t="n">
        <v>68.52363050332008</v>
      </c>
      <c r="C1062" s="118" t="n">
        <v>68.91497197107859</v>
      </c>
      <c r="D1062" s="118" t="n">
        <v>66.78216880922321</v>
      </c>
      <c r="E1062" s="118" t="n">
        <v>67.10501861572266</v>
      </c>
      <c r="F1062" s="119" t="n">
        <v>9838100</v>
      </c>
      <c r="G1062" s="120" t="n">
        <v>-0.007524256480082814</v>
      </c>
      <c r="H1062" s="121" t="n">
        <v>42.18312070691398</v>
      </c>
      <c r="I1062" s="118" t="n">
        <v>70.54933403015137</v>
      </c>
      <c r="J1062" s="118" t="n">
        <v>67.24440139770508</v>
      </c>
      <c r="K1062" s="120" t="n">
        <v>0.3785770406020361</v>
      </c>
      <c r="L1062" s="120" t="n">
        <v>-0.1291342560294623</v>
      </c>
      <c r="M1062" s="120" t="n">
        <v>-0.1464033281344577</v>
      </c>
      <c r="N1062" t="n">
        <v>45.54257110307967</v>
      </c>
      <c r="O1062" t="n">
        <v>0.2847923128857646</v>
      </c>
      <c r="P1062" t="n">
        <v>164.3296808729419</v>
      </c>
      <c r="Q1062" t="n">
        <v>175.2027514544795</v>
      </c>
    </row>
    <row r="1063">
      <c r="A1063" s="117" t="n">
        <v>45958</v>
      </c>
      <c r="B1063" s="118" t="n">
        <v>66.63541682569567</v>
      </c>
      <c r="C1063" s="118" t="n">
        <v>67.12459180902086</v>
      </c>
      <c r="D1063" s="118" t="n">
        <v>65.59836824959598</v>
      </c>
      <c r="E1063" s="118" t="n">
        <v>65.97013854980469</v>
      </c>
      <c r="F1063" s="119" t="n">
        <v>11262400</v>
      </c>
      <c r="G1063" s="120" t="n">
        <v>-0.01691199986720615</v>
      </c>
      <c r="H1063" s="121" t="n">
        <v>41.4697197751203</v>
      </c>
      <c r="I1063" s="118" t="n">
        <v>70.36149696350098</v>
      </c>
      <c r="J1063" s="118" t="n">
        <v>67.23178100585938</v>
      </c>
      <c r="K1063" s="120" t="n">
        <v>0.3828215168199893</v>
      </c>
      <c r="L1063" s="120" t="n">
        <v>-0.1438623373758465</v>
      </c>
      <c r="M1063" s="120" t="n">
        <v>-0.1608393549356953</v>
      </c>
      <c r="N1063" t="n">
        <v>41.49731648109726</v>
      </c>
      <c r="O1063" t="n">
        <v>0.1998621021600981</v>
      </c>
      <c r="P1063" t="n">
        <v>164.7661431377506</v>
      </c>
      <c r="Q1063" t="n">
        <v>176.550027746082</v>
      </c>
    </row>
    <row r="1064">
      <c r="A1064" s="117" t="n">
        <v>45959</v>
      </c>
      <c r="B1064" s="118" t="n">
        <v>65.559237668995</v>
      </c>
      <c r="C1064" s="118" t="n">
        <v>65.73534097314831</v>
      </c>
      <c r="D1064" s="118" t="n">
        <v>63.54383152941412</v>
      </c>
      <c r="E1064" s="118" t="n">
        <v>63.93517303466797</v>
      </c>
      <c r="F1064" s="119" t="n">
        <v>15143100</v>
      </c>
      <c r="G1064" s="120" t="n">
        <v>-0.03084676733853464</v>
      </c>
      <c r="H1064" s="121" t="n">
        <v>40.19051297762294</v>
      </c>
      <c r="I1064" s="118" t="n">
        <v>70.14366676330566</v>
      </c>
      <c r="J1064" s="118" t="n">
        <v>67.20475296020508</v>
      </c>
      <c r="K1064" s="120" t="n">
        <v>0.3084803197603421</v>
      </c>
      <c r="L1064" s="120" t="n">
        <v>-0.1702714166645707</v>
      </c>
      <c r="M1064" s="120" t="n">
        <v>-0.1867247481136486</v>
      </c>
      <c r="N1064" t="n">
        <v>35.42171031300531</v>
      </c>
      <c r="O1064" t="n">
        <v>0.0163151569704052</v>
      </c>
      <c r="P1064" t="n">
        <v>164.8452771968534</v>
      </c>
      <c r="Q1064" t="n">
        <v>177.3450309735132</v>
      </c>
    </row>
    <row r="1065">
      <c r="A1065" s="117" t="n">
        <v>45960</v>
      </c>
      <c r="B1065" s="118" t="n">
        <v>63.76885180786629</v>
      </c>
      <c r="C1065" s="118" t="n">
        <v>64.57109849054372</v>
      </c>
      <c r="D1065" s="118" t="n">
        <v>63.1720577246799</v>
      </c>
      <c r="E1065" s="118" t="n">
        <v>63.49491500854492</v>
      </c>
      <c r="F1065" s="119" t="n">
        <v>13895200</v>
      </c>
      <c r="G1065" s="120" t="n">
        <v>-0.006886006641200759</v>
      </c>
      <c r="H1065" s="121" t="n">
        <v>39.91376083834577</v>
      </c>
      <c r="I1065" s="118" t="n">
        <v>69.92910003662109</v>
      </c>
      <c r="J1065" s="118" t="n">
        <v>67.17990076065064</v>
      </c>
      <c r="K1065" s="120" t="n">
        <v>0.305661698600537</v>
      </c>
      <c r="L1065" s="120" t="n">
        <v>-0.1759849331998125</v>
      </c>
      <c r="M1065" s="120" t="n">
        <v>-0.1923249668992623</v>
      </c>
      <c r="N1065" t="n">
        <v>34.25326995228606</v>
      </c>
      <c r="O1065" t="n">
        <v>-0.1176876918154803</v>
      </c>
      <c r="P1065" t="n">
        <v>163.0323073429895</v>
      </c>
      <c r="Q1065" t="n">
        <v>174.6336812237833</v>
      </c>
    </row>
    <row r="1066">
      <c r="A1066" s="117" t="n">
        <v>45961</v>
      </c>
      <c r="B1066" s="118" t="n">
        <v>63.59274309763594</v>
      </c>
      <c r="C1066" s="118" t="n">
        <v>63.83733057108839</v>
      </c>
      <c r="D1066" s="118" t="n">
        <v>62.8589806772786</v>
      </c>
      <c r="E1066" s="118" t="n">
        <v>63.19161605834961</v>
      </c>
      <c r="F1066" s="119" t="n">
        <v>17822500</v>
      </c>
      <c r="G1066" s="120" t="n">
        <v>-0.004776743935392291</v>
      </c>
      <c r="H1066" s="121" t="n">
        <v>39.7231030233225</v>
      </c>
      <c r="I1066" s="118" t="n">
        <v>69.71002464294433</v>
      </c>
      <c r="J1066" s="118" t="n">
        <v>67.15401302337646</v>
      </c>
      <c r="K1066" s="120" t="n">
        <v>0.2862934504930381</v>
      </c>
      <c r="L1066" s="120" t="n">
        <v>-0.1799210421728221</v>
      </c>
      <c r="M1066" s="120" t="n">
        <v>-0.1961830237153939</v>
      </c>
      <c r="N1066" t="n">
        <v>33.43501828933422</v>
      </c>
      <c r="O1066" t="n">
        <v>-0.204603967721781</v>
      </c>
      <c r="P1066" t="n">
        <v>163.567089470115</v>
      </c>
      <c r="Q1066" t="n">
        <v>175.4761026985249</v>
      </c>
    </row>
    <row r="1067">
      <c r="A1067" s="117" t="n">
        <v>45964</v>
      </c>
      <c r="B1067" s="118" t="n">
        <v>63.31881288413886</v>
      </c>
      <c r="C1067" s="118" t="n">
        <v>63.44599569639738</v>
      </c>
      <c r="D1067" s="118" t="n">
        <v>60.9903388505532</v>
      </c>
      <c r="E1067" s="118" t="n">
        <v>61.29362869262695</v>
      </c>
      <c r="F1067" s="119" t="n">
        <v>22633300</v>
      </c>
      <c r="G1067" s="120" t="n">
        <v>-0.03003543007936527</v>
      </c>
      <c r="H1067" s="121" t="n">
        <v>38.53000253993007</v>
      </c>
      <c r="I1067" s="118" t="n">
        <v>69.41016494750977</v>
      </c>
      <c r="J1067" s="118" t="n">
        <v>67.11844301223755</v>
      </c>
      <c r="K1067" s="120" t="n">
        <v>0.2991745183517122</v>
      </c>
      <c r="L1067" s="120" t="n">
        <v>-0.2045524663701992</v>
      </c>
      <c r="M1067" s="120" t="n">
        <v>-0.220326012303197</v>
      </c>
      <c r="N1067" t="n">
        <v>28.79877730056083</v>
      </c>
      <c r="O1067" t="n">
        <v>-0.3587539525268089</v>
      </c>
      <c r="P1067" t="n">
        <v>163.8740475632292</v>
      </c>
      <c r="Q1067" t="n">
        <v>176.3157388852264</v>
      </c>
    </row>
    <row r="1068">
      <c r="A1068" s="117" t="n">
        <v>45965</v>
      </c>
      <c r="B1068" s="118" t="n">
        <v>61.06860449712519</v>
      </c>
      <c r="C1068" s="118" t="n">
        <v>61.23492593588423</v>
      </c>
      <c r="D1068" s="118" t="n">
        <v>59.79675025836438</v>
      </c>
      <c r="E1068" s="118" t="n">
        <v>59.90436935424805</v>
      </c>
      <c r="F1068" s="119" t="n">
        <v>13725400</v>
      </c>
      <c r="G1068" s="120" t="n">
        <v>-0.02266564026329254</v>
      </c>
      <c r="H1068" s="121" t="n">
        <v>37.65669536301627</v>
      </c>
      <c r="I1068" s="118" t="n">
        <v>69.06714179992676</v>
      </c>
      <c r="J1068" s="118" t="n">
        <v>67.07722537994385</v>
      </c>
      <c r="K1068" s="120" t="n">
        <v>0.2904846575225689</v>
      </c>
      <c r="L1068" s="120" t="n">
        <v>-0.2225817940157755</v>
      </c>
      <c r="M1068" s="120" t="n">
        <v>-0.2379978224309796</v>
      </c>
      <c r="N1068" t="n">
        <v>25.96110464161838</v>
      </c>
      <c r="O1068" t="n">
        <v>-0.5136804195619882</v>
      </c>
      <c r="P1068" t="n">
        <v>161.9315440210503</v>
      </c>
      <c r="Q1068" t="n">
        <v>172.7368658930794</v>
      </c>
    </row>
    <row r="1069">
      <c r="A1069" s="117" t="n">
        <v>45966</v>
      </c>
      <c r="B1069" s="118" t="n">
        <v>59.95328375937023</v>
      </c>
      <c r="C1069" s="118" t="n">
        <v>61.48929288275359</v>
      </c>
      <c r="D1069" s="118" t="n">
        <v>59.54237857166156</v>
      </c>
      <c r="E1069" s="118" t="n">
        <v>60.76531600952148</v>
      </c>
      <c r="F1069" s="119" t="n">
        <v>20979800</v>
      </c>
      <c r="G1069" s="120" t="n">
        <v>0.01437201767674368</v>
      </c>
      <c r="H1069" s="121" t="n">
        <v>38.19789805442129</v>
      </c>
      <c r="I1069" s="118" t="n">
        <v>68.7514601135254</v>
      </c>
      <c r="J1069" s="118" t="n">
        <v>67.02910528182983</v>
      </c>
      <c r="K1069" s="120" t="n">
        <v>0.2978697303515231</v>
      </c>
      <c r="L1069" s="120" t="n">
        <v>-0.2114087258171478</v>
      </c>
      <c r="M1069" s="120" t="n">
        <v>-0.2270463136652403</v>
      </c>
      <c r="N1069" t="n">
        <v>30.52952557476723</v>
      </c>
      <c r="O1069" t="n">
        <v>-0.5161983980037934</v>
      </c>
      <c r="P1069" t="n">
        <v>162.4927140067502</v>
      </c>
      <c r="Q1069" t="n">
        <v>173.8610115636439</v>
      </c>
    </row>
    <row r="1070">
      <c r="A1070" s="117" t="n">
        <v>45967</v>
      </c>
      <c r="B1070" s="118" t="n">
        <v>60.54029748808268</v>
      </c>
      <c r="C1070" s="118" t="n">
        <v>61.12730598014302</v>
      </c>
      <c r="D1070" s="118" t="n">
        <v>60.33484115696348</v>
      </c>
      <c r="E1070" s="118" t="n">
        <v>60.55007934570312</v>
      </c>
      <c r="F1070" s="119" t="n">
        <v>15164600</v>
      </c>
      <c r="G1070" s="120" t="n">
        <v>-0.003542097333693373</v>
      </c>
      <c r="H1070" s="121" t="n">
        <v>38.06259738157004</v>
      </c>
      <c r="I1070" s="118" t="n">
        <v>68.44295837402343</v>
      </c>
      <c r="J1070" s="118" t="n">
        <v>66.97572423934936</v>
      </c>
      <c r="K1070" s="120" t="n">
        <v>0.2956516307827585</v>
      </c>
      <c r="L1070" s="120" t="n">
        <v>-0.2142019928668047</v>
      </c>
      <c r="M1070" s="120" t="n">
        <v>-0.2297841908566751</v>
      </c>
      <c r="N1070" t="n">
        <v>30.03064619708405</v>
      </c>
      <c r="O1070" t="n">
        <v>-0.4905606765464019</v>
      </c>
      <c r="P1070" t="n">
        <v>160.749285310382</v>
      </c>
      <c r="Q1070" t="n">
        <v>170.6224392544479</v>
      </c>
    </row>
    <row r="1071">
      <c r="A1071" s="117" t="n">
        <v>45968</v>
      </c>
      <c r="B1071" s="118" t="n">
        <v>60.40332394183388</v>
      </c>
      <c r="C1071" s="118" t="n">
        <v>60.83379655052404</v>
      </c>
      <c r="D1071" s="118" t="n">
        <v>58.98471585277247</v>
      </c>
      <c r="E1071" s="118" t="n">
        <v>59.76739501953125</v>
      </c>
      <c r="F1071" s="119" t="n">
        <v>15504800</v>
      </c>
      <c r="G1071" s="120" t="n">
        <v>-0.01292623122264192</v>
      </c>
      <c r="H1071" s="121" t="n">
        <v>37.57059144688154</v>
      </c>
      <c r="I1071" s="118" t="n">
        <v>68.12152816772461</v>
      </c>
      <c r="J1071" s="118" t="n">
        <v>66.91722723007202</v>
      </c>
      <c r="K1071" s="120" t="n">
        <v>0.2635841967063721</v>
      </c>
      <c r="L1071" s="120" t="n">
        <v>-0.2243593996012997</v>
      </c>
      <c r="M1071" s="120" t="n">
        <v>-0.239740178496996</v>
      </c>
      <c r="N1071" t="n">
        <v>28.22448467503672</v>
      </c>
      <c r="O1071" t="n">
        <v>-0.483714576719996</v>
      </c>
      <c r="P1071" t="n">
        <v>160.9075386702773</v>
      </c>
      <c r="Q1071" t="n">
        <v>170.0840926304776</v>
      </c>
    </row>
    <row r="1072">
      <c r="A1072" s="117" t="n">
        <v>45971</v>
      </c>
      <c r="B1072" s="118" t="n">
        <v>60.41311012021002</v>
      </c>
      <c r="C1072" s="118" t="n">
        <v>60.74574925639108</v>
      </c>
      <c r="D1072" s="118" t="n">
        <v>59.18039081089722</v>
      </c>
      <c r="E1072" s="118" t="n">
        <v>59.48367691040039</v>
      </c>
      <c r="F1072" s="119" t="n">
        <v>13063100</v>
      </c>
      <c r="G1072" s="120" t="n">
        <v>-0.004747038231098122</v>
      </c>
      <c r="H1072" s="121" t="n">
        <v>37.39224241291822</v>
      </c>
      <c r="I1072" s="118" t="n">
        <v>67.80512977600098</v>
      </c>
      <c r="J1072" s="118" t="n">
        <v>66.86077487945556</v>
      </c>
      <c r="K1072" s="120" t="n">
        <v>0.2261170765812135</v>
      </c>
      <c r="L1072" s="120" t="n">
        <v>-0.2280413951849842</v>
      </c>
      <c r="M1072" s="120" t="n">
        <v>-0.2433491609352386</v>
      </c>
      <c r="N1072" t="n">
        <v>27.57700795757474</v>
      </c>
      <c r="O1072" t="n">
        <v>-0.4560602434819818</v>
      </c>
      <c r="P1072" t="n">
        <v>163.4183847368962</v>
      </c>
      <c r="Q1072" t="n">
        <v>173.8470509481294</v>
      </c>
    </row>
    <row r="1073">
      <c r="A1073" s="117" t="n">
        <v>45972</v>
      </c>
      <c r="B1073" s="118" t="n">
        <v>60.39354367281965</v>
      </c>
      <c r="C1073" s="118" t="n">
        <v>62.22305708604489</v>
      </c>
      <c r="D1073" s="118" t="n">
        <v>59.9141542737495</v>
      </c>
      <c r="E1073" s="118" t="n">
        <v>61.78280258178711</v>
      </c>
      <c r="F1073" s="119" t="n">
        <v>17646400</v>
      </c>
      <c r="G1073" s="120" t="n">
        <v>0.03865137111227779</v>
      </c>
      <c r="H1073" s="121" t="n">
        <v>38.83750385114018</v>
      </c>
      <c r="I1073" s="118" t="n">
        <v>67.5871534729004</v>
      </c>
      <c r="J1073" s="118" t="n">
        <v>66.80615003585815</v>
      </c>
      <c r="K1073" s="120" t="n">
        <v>0.2730986399557223</v>
      </c>
      <c r="L1073" s="120" t="n">
        <v>-0.1982041366669628</v>
      </c>
      <c r="M1073" s="120" t="n">
        <v>-0.2141035685521301</v>
      </c>
      <c r="N1073" t="n">
        <v>39.65743389558455</v>
      </c>
      <c r="O1073" t="n">
        <v>-0.2509428888839775</v>
      </c>
      <c r="P1073" t="n">
        <v>163.7925078995696</v>
      </c>
      <c r="Q1073" t="n">
        <v>173.3840096271852</v>
      </c>
    </row>
    <row r="1074">
      <c r="A1074" s="117" t="n">
        <v>45973</v>
      </c>
      <c r="B1074" s="118" t="n">
        <v>62.71222890846503</v>
      </c>
      <c r="C1074" s="118" t="n">
        <v>63.7786342116589</v>
      </c>
      <c r="D1074" s="118" t="n">
        <v>62.3600260692637</v>
      </c>
      <c r="E1074" s="118" t="n">
        <v>62.81006240844727</v>
      </c>
      <c r="F1074" s="119" t="n">
        <v>14812200</v>
      </c>
      <c r="G1074" s="120" t="n">
        <v>0.01662695416415083</v>
      </c>
      <c r="H1074" s="121" t="n">
        <v>39.48325324752312</v>
      </c>
      <c r="I1074" s="118" t="n">
        <v>67.38091743469238</v>
      </c>
      <c r="J1074" s="118" t="n">
        <v>66.76238540649415</v>
      </c>
      <c r="K1074" s="120" t="n">
        <v>0.2769109251389307</v>
      </c>
      <c r="L1074" s="120" t="n">
        <v>-0.1848727135983187</v>
      </c>
      <c r="M1074" s="120" t="n">
        <v>-0.2010365046086766</v>
      </c>
      <c r="N1074" t="n">
        <v>44.14078632129765</v>
      </c>
      <c r="O1074" t="n">
        <v>-0.02594329849160948</v>
      </c>
      <c r="P1074" t="n">
        <v>163.883625706526</v>
      </c>
      <c r="Q1074" t="n">
        <v>173.2473254613342</v>
      </c>
    </row>
    <row r="1075">
      <c r="A1075" s="117" t="n">
        <v>45974</v>
      </c>
      <c r="B1075" s="118" t="n">
        <v>64.28736931792623</v>
      </c>
      <c r="C1075" s="118" t="n">
        <v>64.82546473425529</v>
      </c>
      <c r="D1075" s="118" t="n">
        <v>63.47533713118137</v>
      </c>
      <c r="E1075" s="118" t="n">
        <v>64.60044097900391</v>
      </c>
      <c r="F1075" s="119" t="n">
        <v>21923600</v>
      </c>
      <c r="G1075" s="120" t="n">
        <v>0.0285046456237219</v>
      </c>
      <c r="H1075" s="121" t="n">
        <v>40.60870938941542</v>
      </c>
      <c r="I1075" s="118" t="n">
        <v>67.19855293273926</v>
      </c>
      <c r="J1075" s="118" t="n">
        <v>66.71703872680663</v>
      </c>
      <c r="K1075" s="120" t="n">
        <v>0.2871633142910686</v>
      </c>
      <c r="L1075" s="120" t="n">
        <v>-0.1616377991612128</v>
      </c>
      <c r="M1075" s="120" t="n">
        <v>-0.1782623333062568</v>
      </c>
      <c r="N1075" t="n">
        <v>50.97717420337278</v>
      </c>
      <c r="O1075" t="n">
        <v>0.2484828272671868</v>
      </c>
      <c r="P1075" t="n">
        <v>161.1641561674199</v>
      </c>
      <c r="Q1075" t="n">
        <v>169.710317228074</v>
      </c>
    </row>
    <row r="1076">
      <c r="A1076" s="117" t="n">
        <v>45975</v>
      </c>
      <c r="B1076" s="118" t="n">
        <v>63.53404960115149</v>
      </c>
      <c r="C1076" s="118" t="n">
        <v>63.65144682074916</v>
      </c>
      <c r="D1076" s="118" t="n">
        <v>62.36981074535512</v>
      </c>
      <c r="E1076" s="118" t="n">
        <v>62.78071594238281</v>
      </c>
      <c r="F1076" s="119" t="n">
        <v>17760100</v>
      </c>
      <c r="G1076" s="120" t="n">
        <v>-0.02816892592439935</v>
      </c>
      <c r="H1076" s="121" t="n">
        <v>39.46480566273952</v>
      </c>
      <c r="I1076" s="118" t="n">
        <v>67.00797035217285</v>
      </c>
      <c r="J1076" s="118" t="n">
        <v>66.65417602539063</v>
      </c>
      <c r="K1076" s="120" t="n">
        <v>0.3014197308126533</v>
      </c>
      <c r="L1076" s="120" t="n">
        <v>-0.185253561894457</v>
      </c>
      <c r="M1076" s="120" t="n">
        <v>-0.2014098007686417</v>
      </c>
      <c r="N1076" t="n">
        <v>44.95497373006597</v>
      </c>
      <c r="O1076" t="n">
        <v>0.3085479558865512</v>
      </c>
      <c r="P1076" t="n">
        <v>161.1377535505354</v>
      </c>
      <c r="Q1076" t="n">
        <v>169.8385942668343</v>
      </c>
    </row>
    <row r="1077">
      <c r="A1077" s="117" t="n">
        <v>45978</v>
      </c>
      <c r="B1077" s="118" t="n">
        <v>61.70452951847503</v>
      </c>
      <c r="C1077" s="118" t="n">
        <v>62.16435517785227</v>
      </c>
      <c r="D1077" s="118" t="n">
        <v>60.91206473505847</v>
      </c>
      <c r="E1077" s="118" t="n">
        <v>61.53821182250977</v>
      </c>
      <c r="F1077" s="119" t="n">
        <v>17064700</v>
      </c>
      <c r="G1077" s="120" t="n">
        <v>-0.01979117474565528</v>
      </c>
      <c r="H1077" s="121" t="n">
        <v>38.68375079756492</v>
      </c>
      <c r="I1077" s="118" t="n">
        <v>66.78784149169923</v>
      </c>
      <c r="J1077" s="118" t="n">
        <v>66.59197904586792</v>
      </c>
      <c r="K1077" s="120" t="n">
        <v>0.3067434278110298</v>
      </c>
      <c r="L1077" s="120" t="n">
        <v>-0.2013783510244039</v>
      </c>
      <c r="M1077" s="120" t="n">
        <v>-0.2172148389517972</v>
      </c>
      <c r="N1077" t="n">
        <v>41.3619719136013</v>
      </c>
      <c r="O1077" t="n">
        <v>0.267240698275633</v>
      </c>
      <c r="P1077" t="n">
        <v>159.6365382405891</v>
      </c>
      <c r="Q1077" t="n">
        <v>168.3880914411767</v>
      </c>
    </row>
    <row r="1078">
      <c r="A1078" s="117" t="n">
        <v>45979</v>
      </c>
      <c r="B1078" s="118" t="n">
        <v>61.04904094184239</v>
      </c>
      <c r="C1078" s="118" t="n">
        <v>61.40124380369194</v>
      </c>
      <c r="D1078" s="118" t="n">
        <v>60.3446277539252</v>
      </c>
      <c r="E1078" s="118" t="n">
        <v>61.13709259033203</v>
      </c>
      <c r="F1078" s="119" t="n">
        <v>14614600</v>
      </c>
      <c r="G1078" s="120" t="n">
        <v>-0.00651821397304575</v>
      </c>
      <c r="H1078" s="121" t="n">
        <v>38.43160183258642</v>
      </c>
      <c r="I1078" s="118" t="n">
        <v>66.57045211791993</v>
      </c>
      <c r="J1078" s="118" t="n">
        <v>66.52926763534546</v>
      </c>
      <c r="K1078" s="120" t="n">
        <v>0.3021153785001309</v>
      </c>
      <c r="L1078" s="120" t="n">
        <v>-0.2013380597744567</v>
      </c>
      <c r="M1078" s="120" t="n">
        <v>-0.2223172001264345</v>
      </c>
      <c r="N1078" t="n">
        <v>40.2437237868549</v>
      </c>
      <c r="O1078" t="n">
        <v>0.2176467098816239</v>
      </c>
      <c r="P1078" t="n">
        <v>158.2959818950951</v>
      </c>
      <c r="Q1078" t="n">
        <v>166.3378460410671</v>
      </c>
    </row>
    <row r="1079">
      <c r="A1079" s="117" t="n">
        <v>45980</v>
      </c>
      <c r="B1079" s="118" t="n">
        <v>61.07839138786456</v>
      </c>
      <c r="C1079" s="118" t="n">
        <v>61.85128879102779</v>
      </c>
      <c r="D1079" s="118" t="n">
        <v>60.66748244320331</v>
      </c>
      <c r="E1079" s="118" t="n">
        <v>61.28384399414062</v>
      </c>
      <c r="F1079" s="119" t="n">
        <v>11732100</v>
      </c>
      <c r="G1079" s="120" t="n">
        <v>0.002400366088586292</v>
      </c>
      <c r="H1079" s="121" t="n">
        <v>38.52385174635541</v>
      </c>
      <c r="I1079" s="118" t="n">
        <v>66.34327941894531</v>
      </c>
      <c r="J1079" s="118" t="n">
        <v>66.46666460037231</v>
      </c>
      <c r="K1079" s="120" t="n">
        <v>0.2981706902878435</v>
      </c>
      <c r="L1079" s="120" t="n">
        <v>-0.1933700581138165</v>
      </c>
      <c r="M1079" s="120" t="n">
        <v>-0.2204504767059411</v>
      </c>
      <c r="N1079" t="n">
        <v>40.87353777285256</v>
      </c>
      <c r="O1079" t="n">
        <v>0.1999263211809563</v>
      </c>
      <c r="P1079" t="n">
        <v>158.9075072350767</v>
      </c>
      <c r="Q1079" t="n">
        <v>167.3308952095176</v>
      </c>
    </row>
    <row r="1080">
      <c r="A1080" s="117" t="n">
        <v>45981</v>
      </c>
      <c r="B1080" s="118" t="n">
        <v>61.58713287466767</v>
      </c>
      <c r="C1080" s="118" t="n">
        <v>62.44808191446132</v>
      </c>
      <c r="D1080" s="118" t="n">
        <v>60.08047298805604</v>
      </c>
      <c r="E1080" s="118" t="n">
        <v>60.10004043579102</v>
      </c>
      <c r="F1080" s="119" t="n">
        <v>13886600</v>
      </c>
      <c r="G1080" s="120" t="n">
        <v>-0.0193167314775945</v>
      </c>
      <c r="H1080" s="121" t="n">
        <v>37.7796968466884</v>
      </c>
      <c r="I1080" s="118" t="n">
        <v>66.09086524963379</v>
      </c>
      <c r="J1080" s="118" t="n">
        <v>66.40848403930664</v>
      </c>
      <c r="K1080" s="120" t="n">
        <v>0.2980481149650804</v>
      </c>
      <c r="L1080" s="120" t="n">
        <v>-0.2075302225060925</v>
      </c>
      <c r="M1080" s="120" t="n">
        <v>-0.2355088255208992</v>
      </c>
      <c r="N1080" t="n">
        <v>37.4450308744354</v>
      </c>
      <c r="O1080" t="n">
        <v>0.1177440375382186</v>
      </c>
      <c r="P1080" t="n">
        <v>156.4854028874778</v>
      </c>
      <c r="Q1080" t="n">
        <v>163.3698738631897</v>
      </c>
    </row>
    <row r="1081">
      <c r="A1081" s="117" t="n">
        <v>45982</v>
      </c>
      <c r="B1081" s="118" t="n">
        <v>60.66747892341676</v>
      </c>
      <c r="C1081" s="118" t="n">
        <v>62.12522199503446</v>
      </c>
      <c r="D1081" s="118" t="n">
        <v>60.20765698349229</v>
      </c>
      <c r="E1081" s="118" t="n">
        <v>61.44037628173828</v>
      </c>
      <c r="F1081" s="119" t="n">
        <v>12476900</v>
      </c>
      <c r="G1081" s="120" t="n">
        <v>0.02230174615904357</v>
      </c>
      <c r="H1081" s="121" t="n">
        <v>38.62225005572887</v>
      </c>
      <c r="I1081" s="118" t="n">
        <v>65.89128196716308</v>
      </c>
      <c r="J1081" s="118" t="n">
        <v>66.37061744689942</v>
      </c>
      <c r="K1081" s="120" t="n">
        <v>0.3144349966689512</v>
      </c>
      <c r="L1081" s="120" t="n">
        <v>-0.1840977172381527</v>
      </c>
      <c r="M1081" s="120" t="n">
        <v>-0.2184593374068373</v>
      </c>
      <c r="N1081" t="n">
        <v>43.24936250123159</v>
      </c>
      <c r="O1081" t="n">
        <v>0.1602827355421785</v>
      </c>
      <c r="P1081" t="n">
        <v>158.0441756070661</v>
      </c>
      <c r="Q1081" t="n">
        <v>164.5972289801526</v>
      </c>
    </row>
    <row r="1082">
      <c r="A1082" s="117" t="n">
        <v>45985</v>
      </c>
      <c r="B1082" s="118" t="n">
        <v>61.15665152003011</v>
      </c>
      <c r="C1082" s="118" t="n">
        <v>61.70452881576984</v>
      </c>
      <c r="D1082" s="118" t="n">
        <v>60.58921051025391</v>
      </c>
      <c r="E1082" s="118" t="n">
        <v>60.58921051025391</v>
      </c>
      <c r="F1082" s="119" t="n">
        <v>16681700</v>
      </c>
      <c r="G1082" s="120" t="n">
        <v>-0.01385352471770851</v>
      </c>
      <c r="H1082" s="121" t="n">
        <v>38.08719575992831</v>
      </c>
      <c r="I1082" s="118" t="n">
        <v>65.67408821105957</v>
      </c>
      <c r="J1082" s="118" t="n">
        <v>66.34321353912354</v>
      </c>
      <c r="K1082" s="120" t="n">
        <v>0.316017018395649</v>
      </c>
      <c r="L1082" s="120" t="n">
        <v>-0.178102185852805</v>
      </c>
      <c r="M1082" s="120" t="n">
        <v>-0.229286430293966</v>
      </c>
      <c r="N1082" t="n">
        <v>40.66867382758818</v>
      </c>
      <c r="O1082" t="n">
        <v>0.1385423495008438</v>
      </c>
      <c r="P1082" t="n">
        <v>160.3703656969051</v>
      </c>
      <c r="Q1082" t="n">
        <v>168.8065168905073</v>
      </c>
    </row>
    <row r="1083">
      <c r="A1083" s="117" t="n">
        <v>45986</v>
      </c>
      <c r="B1083" s="118" t="n">
        <v>60.99033390054907</v>
      </c>
      <c r="C1083" s="118" t="n">
        <v>62.73179928851538</v>
      </c>
      <c r="D1083" s="118" t="n">
        <v>60.53050824584607</v>
      </c>
      <c r="E1083" s="118" t="n">
        <v>62.30132293701172</v>
      </c>
      <c r="F1083" s="119" t="n">
        <v>11527200</v>
      </c>
      <c r="G1083" s="120" t="n">
        <v>0.02825771143639599</v>
      </c>
      <c r="H1083" s="121" t="n">
        <v>39.1634527471339</v>
      </c>
      <c r="I1083" s="118" t="n">
        <v>65.496615524292</v>
      </c>
      <c r="J1083" s="118" t="n">
        <v>66.31349964141846</v>
      </c>
      <c r="K1083" s="120" t="n">
        <v>0.3334512180335164</v>
      </c>
      <c r="L1083" s="120" t="n">
        <v>-0.1548772345904289</v>
      </c>
      <c r="M1083" s="120" t="n">
        <v>-0.2075078286410982</v>
      </c>
      <c r="N1083" t="n">
        <v>47.45991963992145</v>
      </c>
      <c r="O1083" t="n">
        <v>0.2409194061210984</v>
      </c>
      <c r="P1083" t="n">
        <v>161.8787978205219</v>
      </c>
      <c r="Q1083" t="n">
        <v>169.847001393925</v>
      </c>
    </row>
    <row r="1084">
      <c r="A1084" s="117" t="n">
        <v>45987</v>
      </c>
      <c r="B1084" s="118" t="n">
        <v>62.12522358643916</v>
      </c>
      <c r="C1084" s="118" t="n">
        <v>63.46556574306032</v>
      </c>
      <c r="D1084" s="118" t="n">
        <v>61.60669929251225</v>
      </c>
      <c r="E1084" s="118" t="n">
        <v>62.937255859375</v>
      </c>
      <c r="F1084" s="119" t="n">
        <v>13791000</v>
      </c>
      <c r="G1084" s="120" t="n">
        <v>0.01020737429614815</v>
      </c>
      <c r="H1084" s="121" t="n">
        <v>39.5632087680534</v>
      </c>
      <c r="I1084" s="118" t="n">
        <v>65.34047096252442</v>
      </c>
      <c r="J1084" s="118" t="n">
        <v>66.2850414276123</v>
      </c>
      <c r="K1084" s="120" t="n">
        <v>0.3189316402223509</v>
      </c>
      <c r="L1084" s="120" t="n">
        <v>-0.1462507501976976</v>
      </c>
      <c r="M1084" s="120" t="n">
        <v>-0.1994185644212706</v>
      </c>
      <c r="N1084" t="n">
        <v>49.76018094606469</v>
      </c>
      <c r="O1084" t="n">
        <v>0.3464957308906529</v>
      </c>
      <c r="P1084" t="n">
        <v>162.9963265828081</v>
      </c>
      <c r="Q1084" t="n">
        <v>171.3477077549334</v>
      </c>
    </row>
    <row r="1085">
      <c r="A1085" s="117" t="n">
        <v>45989</v>
      </c>
      <c r="B1085" s="118" t="n">
        <v>63.07422654627121</v>
      </c>
      <c r="C1085" s="118" t="n">
        <v>63.37751266181814</v>
      </c>
      <c r="D1085" s="118" t="n">
        <v>62.58505153966351</v>
      </c>
      <c r="E1085" s="118" t="n">
        <v>63.23075866699219</v>
      </c>
      <c r="F1085" s="119" t="n">
        <v>4941400</v>
      </c>
      <c r="G1085" s="120" t="n">
        <v>0.004663419203928765</v>
      </c>
      <c r="H1085" s="121" t="n">
        <v>39.74770859559138</v>
      </c>
      <c r="I1085" s="118" t="n">
        <v>65.19430564880371</v>
      </c>
      <c r="J1085" s="118" t="n">
        <v>66.25362552642822</v>
      </c>
      <c r="K1085" s="120" t="n">
        <v>0.3185448864745109</v>
      </c>
      <c r="L1085" s="120" t="n">
        <v>-0.1332975892845656</v>
      </c>
      <c r="M1085" s="120" t="n">
        <v>-0.195685117580284</v>
      </c>
      <c r="N1085" t="n">
        <v>50.8301493779068</v>
      </c>
      <c r="O1085" t="n">
        <v>0.4258999857515455</v>
      </c>
      <c r="P1085" t="n">
        <v>163.8860313110829</v>
      </c>
      <c r="Q1085" t="n">
        <v>172.7368658930794</v>
      </c>
    </row>
    <row r="1086">
      <c r="A1086" s="117" t="n">
        <v>45992</v>
      </c>
      <c r="B1086" s="118" t="n">
        <v>62.78768418914595</v>
      </c>
      <c r="C1086" s="118" t="n">
        <v>64.9734846443512</v>
      </c>
      <c r="D1086" s="118" t="n">
        <v>62.60061231076207</v>
      </c>
      <c r="E1086" s="118" t="n">
        <v>64.38272857666016</v>
      </c>
      <c r="F1086" s="119" t="n">
        <v>12047300</v>
      </c>
      <c r="G1086" s="120" t="n">
        <v>0.01821850526473789</v>
      </c>
      <c r="H1086" s="121" t="n">
        <v>40.47185243390143</v>
      </c>
      <c r="I1086" s="118" t="n">
        <v>65.09485572814941</v>
      </c>
      <c r="J1086" s="118" t="n">
        <v>66.22340003967285</v>
      </c>
      <c r="K1086" s="120" t="n">
        <v>0.3243927231965866</v>
      </c>
      <c r="L1086" s="120" t="n">
        <v>-0.1175075668519854</v>
      </c>
      <c r="M1086" s="120" t="n">
        <v>-0.1810317026604132</v>
      </c>
      <c r="N1086" t="n">
        <v>54.89085109904027</v>
      </c>
      <c r="O1086" t="n">
        <v>0.5385522446807811</v>
      </c>
      <c r="P1086" t="n">
        <v>163.1378145023564</v>
      </c>
      <c r="Q1086" t="n">
        <v>172.1566374225656</v>
      </c>
    </row>
    <row r="1087">
      <c r="A1087" s="117" t="n">
        <v>45993</v>
      </c>
      <c r="B1087" s="118" t="n">
        <v>64.4418076486732</v>
      </c>
      <c r="C1087" s="118" t="n">
        <v>64.46150377607103</v>
      </c>
      <c r="D1087" s="118" t="n">
        <v>63.58521390365872</v>
      </c>
      <c r="E1087" s="118" t="n">
        <v>63.9298210144043</v>
      </c>
      <c r="F1087" s="119" t="n">
        <v>9051200</v>
      </c>
      <c r="G1087" s="120" t="n">
        <v>-0.007034612733391454</v>
      </c>
      <c r="H1087" s="121" t="n">
        <v>40.18714862542597</v>
      </c>
      <c r="I1087" s="118" t="n">
        <v>64.97871658325195</v>
      </c>
      <c r="J1087" s="118" t="n">
        <v>66.19172765731811</v>
      </c>
      <c r="K1087" s="120" t="n">
        <v>0.3047629424493421</v>
      </c>
      <c r="L1087" s="120" t="n">
        <v>-0.1237155593593299</v>
      </c>
      <c r="M1087" s="120" t="n">
        <v>-0.1867928274731222</v>
      </c>
      <c r="N1087" t="n">
        <v>53.03634235049365</v>
      </c>
      <c r="O1087" t="n">
        <v>0.562491290401756</v>
      </c>
      <c r="P1087" t="n">
        <v>163.4399761446671</v>
      </c>
      <c r="Q1087" t="n">
        <v>173.5039478894816</v>
      </c>
    </row>
    <row r="1088">
      <c r="A1088" s="117" t="n">
        <v>45994</v>
      </c>
      <c r="B1088" s="118" t="n">
        <v>64.07751345583392</v>
      </c>
      <c r="C1088" s="118" t="n">
        <v>65.63317703513853</v>
      </c>
      <c r="D1088" s="118" t="n">
        <v>63.97905535210352</v>
      </c>
      <c r="E1088" s="118" t="n">
        <v>64.63873291015625</v>
      </c>
      <c r="F1088" s="119" t="n">
        <v>12028300</v>
      </c>
      <c r="G1088" s="120" t="n">
        <v>0.01108890787590711</v>
      </c>
      <c r="H1088" s="121" t="n">
        <v>40.6327802143287</v>
      </c>
      <c r="I1088" s="118" t="n">
        <v>64.88360412597656</v>
      </c>
      <c r="J1088" s="118" t="n">
        <v>66.14171442031861</v>
      </c>
      <c r="K1088" s="120" t="n">
        <v>0.2913739823410775</v>
      </c>
      <c r="L1088" s="120" t="n">
        <v>-0.1139985219239747</v>
      </c>
      <c r="M1088" s="120" t="n">
        <v>-0.1777752480529449</v>
      </c>
      <c r="N1088" t="n">
        <v>55.56682654437436</v>
      </c>
      <c r="O1088" t="n">
        <v>0.602434260567097</v>
      </c>
      <c r="P1088" t="n">
        <v>164.0059425811705</v>
      </c>
      <c r="Q1088" t="n">
        <v>173.9279610025493</v>
      </c>
    </row>
    <row r="1089">
      <c r="A1089" s="117" t="n">
        <v>45995</v>
      </c>
      <c r="B1089" s="118" t="n">
        <v>64.58949067659665</v>
      </c>
      <c r="C1089" s="118" t="n">
        <v>65.08178863527783</v>
      </c>
      <c r="D1089" s="118" t="n">
        <v>64.0085826910508</v>
      </c>
      <c r="E1089" s="118" t="n">
        <v>64.67810821533203</v>
      </c>
      <c r="F1089" s="119" t="n">
        <v>10619500</v>
      </c>
      <c r="G1089" s="120" t="n">
        <v>0.0006091596076072125</v>
      </c>
      <c r="H1089" s="121" t="n">
        <v>40.65753206278005</v>
      </c>
      <c r="I1089" s="118" t="n">
        <v>64.78360473632813</v>
      </c>
      <c r="J1089" s="118" t="n">
        <v>66.09579416275024</v>
      </c>
      <c r="K1089" s="120" t="n">
        <v>0.2889425454112523</v>
      </c>
      <c r="L1089" s="120" t="n">
        <v>-0.1134588056112507</v>
      </c>
      <c r="M1089" s="120" t="n">
        <v>-0.1772743819456838</v>
      </c>
      <c r="N1089" t="n">
        <v>55.70957385225834</v>
      </c>
      <c r="O1089" t="n">
        <v>0.6062129734371551</v>
      </c>
      <c r="P1089" t="n">
        <v>164.1258538512581</v>
      </c>
      <c r="Q1089" t="n">
        <v>173.7661579813661</v>
      </c>
    </row>
    <row r="1090">
      <c r="A1090" s="117" t="n">
        <v>45996</v>
      </c>
      <c r="B1090" s="118" t="n">
        <v>64.68795815600353</v>
      </c>
      <c r="C1090" s="118" t="n">
        <v>65.06210946650994</v>
      </c>
      <c r="D1090" s="118" t="n">
        <v>63.88058968704436</v>
      </c>
      <c r="E1090" s="118" t="n">
        <v>64.84549713134766</v>
      </c>
      <c r="F1090" s="119" t="n">
        <v>10917900</v>
      </c>
      <c r="G1090" s="120" t="n">
        <v>0.002588030488744897</v>
      </c>
      <c r="H1090" s="121" t="n">
        <v>40.76275499535565</v>
      </c>
      <c r="I1090" s="118" t="n">
        <v>64.72569564819337</v>
      </c>
      <c r="J1090" s="118" t="n">
        <v>66.0485463142395</v>
      </c>
      <c r="K1090" s="120" t="n">
        <v>0.2878396897253035</v>
      </c>
      <c r="L1090" s="120" t="n">
        <v>-0.1111644099706443</v>
      </c>
      <c r="M1090" s="120" t="n">
        <v>-0.1751451429622877</v>
      </c>
      <c r="N1090" t="n">
        <v>56.35154705102843</v>
      </c>
      <c r="O1090" t="n">
        <v>0.5939143916698776</v>
      </c>
      <c r="P1090" t="n">
        <v>164.4375936368656</v>
      </c>
      <c r="Q1090" t="n">
        <v>174.4746976659536</v>
      </c>
    </row>
    <row r="1091">
      <c r="A1091" s="117" t="n">
        <v>45999</v>
      </c>
      <c r="B1091" s="118" t="n">
        <v>64.58949502843662</v>
      </c>
      <c r="C1091" s="118" t="n">
        <v>64.78641873229962</v>
      </c>
      <c r="D1091" s="118" t="n">
        <v>62.2953883394989</v>
      </c>
      <c r="E1091" s="118" t="n">
        <v>62.56122970581055</v>
      </c>
      <c r="F1091" s="119" t="n">
        <v>12867300</v>
      </c>
      <c r="G1091" s="120" t="n">
        <v>-0.03522630755548406</v>
      </c>
      <c r="H1091" s="121" t="n">
        <v>39.32683365108041</v>
      </c>
      <c r="I1091" s="118" t="n">
        <v>64.6207317352295</v>
      </c>
      <c r="J1091" s="118" t="n">
        <v>65.99338840484619</v>
      </c>
      <c r="K1091" s="120" t="n">
        <v>0.3144621518027942</v>
      </c>
      <c r="L1091" s="120" t="n">
        <v>-0.1424748058312785</v>
      </c>
      <c r="M1091" s="120" t="n">
        <v>-0.204201733844933</v>
      </c>
      <c r="N1091" t="n">
        <v>46.4557374618142</v>
      </c>
      <c r="O1091" t="n">
        <v>0.4143709538347429</v>
      </c>
      <c r="P1091" t="n">
        <v>163.9435887207249</v>
      </c>
      <c r="Q1091" t="n">
        <v>174.1399504714265</v>
      </c>
    </row>
    <row r="1092">
      <c r="A1092" s="117" t="n">
        <v>46000</v>
      </c>
      <c r="B1092" s="118" t="n">
        <v>62.53169313186056</v>
      </c>
      <c r="C1092" s="118" t="n">
        <v>62.96491779522756</v>
      </c>
      <c r="D1092" s="118" t="n">
        <v>62.00001412235644</v>
      </c>
      <c r="E1092" s="118" t="n">
        <v>62.35446929931641</v>
      </c>
      <c r="F1092" s="119" t="n">
        <v>9300200</v>
      </c>
      <c r="G1092" s="120" t="n">
        <v>-0.003304928746867941</v>
      </c>
      <c r="H1092" s="121" t="n">
        <v>39.19686126802366</v>
      </c>
      <c r="I1092" s="118" t="n">
        <v>64.50693626403809</v>
      </c>
      <c r="J1092" s="118" t="n">
        <v>65.91901496887208</v>
      </c>
      <c r="K1092" s="120" t="n">
        <v>0.3140644065024653</v>
      </c>
      <c r="L1092" s="120" t="n">
        <v>-0.1453088654966501</v>
      </c>
      <c r="M1092" s="120" t="n">
        <v>-0.2068317904114565</v>
      </c>
      <c r="N1092" t="n">
        <v>45.67389606778205</v>
      </c>
      <c r="O1092" t="n">
        <v>0.2710508532780539</v>
      </c>
      <c r="P1092" t="n">
        <v>163.8021008011766</v>
      </c>
      <c r="Q1092" t="n">
        <v>174.3547423160006</v>
      </c>
    </row>
    <row r="1093">
      <c r="A1093" s="117" t="n">
        <v>46001</v>
      </c>
      <c r="B1093" s="118" t="n">
        <v>62.994453029406</v>
      </c>
      <c r="C1093" s="118" t="n">
        <v>65.13102834998018</v>
      </c>
      <c r="D1093" s="118" t="n">
        <v>62.77784070269215</v>
      </c>
      <c r="E1093" s="118" t="n">
        <v>64.77657318115234</v>
      </c>
      <c r="F1093" s="119" t="n">
        <v>20302100</v>
      </c>
      <c r="G1093" s="120" t="n">
        <v>0.03884411027875578</v>
      </c>
      <c r="H1093" s="121" t="n">
        <v>40.71942846969986</v>
      </c>
      <c r="I1093" s="118" t="n">
        <v>64.43806083679199</v>
      </c>
      <c r="J1093" s="118" t="n">
        <v>65.84982566833496</v>
      </c>
      <c r="K1093" s="120" t="n">
        <v>0.3143589002023912</v>
      </c>
      <c r="L1093" s="120" t="n">
        <v>-0.1121091488137272</v>
      </c>
      <c r="M1093" s="120" t="n">
        <v>-0.1760218770085958</v>
      </c>
      <c r="N1093" t="n">
        <v>55.18828568184026</v>
      </c>
      <c r="O1093" t="n">
        <v>0.3250981129136041</v>
      </c>
      <c r="P1093" t="n">
        <v>164.8884452540849</v>
      </c>
      <c r="Q1093" t="n">
        <v>175.0688354890118</v>
      </c>
    </row>
    <row r="1094">
      <c r="A1094" s="117" t="n">
        <v>46002</v>
      </c>
      <c r="B1094" s="118" t="n">
        <v>64.8159512711171</v>
      </c>
      <c r="C1094" s="118" t="n">
        <v>66.77529505024589</v>
      </c>
      <c r="D1094" s="118" t="n">
        <v>64.55010616584528</v>
      </c>
      <c r="E1094" s="118" t="n">
        <v>66.69652557373047</v>
      </c>
      <c r="F1094" s="119" t="n">
        <v>16153500</v>
      </c>
      <c r="G1094" s="120" t="n">
        <v>0.02963961040681862</v>
      </c>
      <c r="H1094" s="121" t="n">
        <v>41.92633646553008</v>
      </c>
      <c r="I1094" s="118" t="n">
        <v>64.32012016296386</v>
      </c>
      <c r="J1094" s="118" t="n">
        <v>65.79288166046143</v>
      </c>
      <c r="K1094" s="120" t="n">
        <v>0.3252882616195393</v>
      </c>
      <c r="L1094" s="120" t="n">
        <v>-0.08579240990078751</v>
      </c>
      <c r="M1094" s="120" t="n">
        <v>-0.151599486459389</v>
      </c>
      <c r="N1094" t="n">
        <v>61.01650074717057</v>
      </c>
      <c r="O1094" t="n">
        <v>0.4672310643305961</v>
      </c>
      <c r="P1094" t="n">
        <v>165.2721465600552</v>
      </c>
      <c r="Q1094" t="n">
        <v>174.5026018093259</v>
      </c>
    </row>
    <row r="1095">
      <c r="A1095" s="117" t="n">
        <v>46003</v>
      </c>
      <c r="B1095" s="118" t="n">
        <v>67.11990878838311</v>
      </c>
      <c r="C1095" s="118" t="n">
        <v>68.07496812837108</v>
      </c>
      <c r="D1095" s="118" t="n">
        <v>66.08608747592564</v>
      </c>
      <c r="E1095" s="118" t="n">
        <v>66.43069458007812</v>
      </c>
      <c r="F1095" s="119" t="n">
        <v>14829200</v>
      </c>
      <c r="G1095" s="120" t="n">
        <v>-0.003985679784151208</v>
      </c>
      <c r="H1095" s="121" t="n">
        <v>41.75923151385589</v>
      </c>
      <c r="I1095" s="118" t="n">
        <v>64.18962287902832</v>
      </c>
      <c r="J1095" s="118" t="n">
        <v>65.74013996124268</v>
      </c>
      <c r="K1095" s="120" t="n">
        <v>0.3119442432395828</v>
      </c>
      <c r="L1095" s="120" t="n">
        <v>-0.08943614861116356</v>
      </c>
      <c r="M1095" s="120" t="n">
        <v>-0.1549809392350714</v>
      </c>
      <c r="N1095" t="n">
        <v>59.85572180498118</v>
      </c>
      <c r="O1095" t="n">
        <v>0.5165670732485056</v>
      </c>
      <c r="P1095" t="n">
        <v>163.4951427080624</v>
      </c>
      <c r="Q1095" t="n">
        <v>171.166390629812</v>
      </c>
    </row>
    <row r="1096">
      <c r="A1096" s="117" t="n">
        <v>46006</v>
      </c>
      <c r="B1096" s="118" t="n">
        <v>66.37162042278415</v>
      </c>
      <c r="C1096" s="118" t="n">
        <v>67.29713556108544</v>
      </c>
      <c r="D1096" s="118" t="n">
        <v>65.66271009600263</v>
      </c>
      <c r="E1096" s="118" t="n">
        <v>66.73591613769531</v>
      </c>
      <c r="F1096" s="119" t="n">
        <v>15287500</v>
      </c>
      <c r="G1096" s="120" t="n">
        <v>0.004594586275915802</v>
      </c>
      <c r="H1096" s="121" t="n">
        <v>41.95109790586224</v>
      </c>
      <c r="I1096" s="118" t="n">
        <v>64.11688697814941</v>
      </c>
      <c r="J1096" s="118" t="n">
        <v>65.69176227569579</v>
      </c>
      <c r="K1096" s="120" t="n">
        <v>0.2915118912169691</v>
      </c>
      <c r="L1096" s="120" t="n">
        <v>-0.08525248443622746</v>
      </c>
      <c r="M1096" s="120" t="n">
        <v>-0.1510984262555934</v>
      </c>
      <c r="N1096" t="n">
        <v>60.77834093804162</v>
      </c>
      <c r="O1096" t="n">
        <v>0.5404193601605778</v>
      </c>
      <c r="P1096" t="n">
        <v>163.248132870837</v>
      </c>
      <c r="Q1096" t="n">
        <v>170.3072403391723</v>
      </c>
    </row>
    <row r="1097">
      <c r="A1097" s="117" t="n">
        <v>46007</v>
      </c>
      <c r="B1097" s="118" t="n">
        <v>66.2534619661092</v>
      </c>
      <c r="C1097" s="118" t="n">
        <v>67.14944036888065</v>
      </c>
      <c r="D1097" s="118" t="n">
        <v>65.71193119221867</v>
      </c>
      <c r="E1097" s="118" t="n">
        <v>66.08608245849609</v>
      </c>
      <c r="F1097" s="119" t="n">
        <v>16376700</v>
      </c>
      <c r="G1097" s="120" t="n">
        <v>-0.009737390550815683</v>
      </c>
      <c r="H1097" s="121" t="n">
        <v>41.54260368151736</v>
      </c>
      <c r="I1097" s="118" t="n">
        <v>64.04602531433106</v>
      </c>
      <c r="J1097" s="118" t="n">
        <v>65.64313266754151</v>
      </c>
      <c r="K1097" s="120" t="n">
        <v>0.2830479840034874</v>
      </c>
      <c r="L1097" s="120" t="n">
        <v>-0.09415973825066026</v>
      </c>
      <c r="M1097" s="120" t="n">
        <v>-0.1593645124183448</v>
      </c>
      <c r="N1097" t="n">
        <v>57.73593805197222</v>
      </c>
      <c r="O1097" t="n">
        <v>0.4848674484593012</v>
      </c>
      <c r="P1097" t="n">
        <v>162.8020777044212</v>
      </c>
      <c r="Q1097" t="n">
        <v>170.644755734083</v>
      </c>
    </row>
    <row r="1098">
      <c r="A1098" s="117" t="n">
        <v>46008</v>
      </c>
      <c r="B1098" s="118" t="n">
        <v>65.53470185584003</v>
      </c>
      <c r="C1098" s="118" t="n">
        <v>65.80054696017547</v>
      </c>
      <c r="D1098" s="118" t="n">
        <v>64.60918680159149</v>
      </c>
      <c r="E1098" s="118" t="n">
        <v>64.67810821533203</v>
      </c>
      <c r="F1098" s="119" t="n">
        <v>13205500</v>
      </c>
      <c r="G1098" s="120" t="n">
        <v>-0.02130515519736409</v>
      </c>
      <c r="H1098" s="121" t="n">
        <v>40.65753206278004</v>
      </c>
      <c r="I1098" s="118" t="n">
        <v>63.99122550964356</v>
      </c>
      <c r="J1098" s="118" t="n">
        <v>65.59273262023926</v>
      </c>
      <c r="K1098" s="120" t="n">
        <v>0.2947673222094988</v>
      </c>
      <c r="L1098" s="120" t="n">
        <v>-0.1134588056112508</v>
      </c>
      <c r="M1098" s="120" t="n">
        <v>-0.1772743819456838</v>
      </c>
      <c r="N1098" t="n">
        <v>51.69762465251608</v>
      </c>
      <c r="O1098" t="n">
        <v>0.3329707757574198</v>
      </c>
      <c r="P1098" t="n">
        <v>161.0106697417078</v>
      </c>
      <c r="Q1098" t="n">
        <v>167.4815058155697</v>
      </c>
    </row>
    <row r="1099">
      <c r="A1099" s="117" t="n">
        <v>46009</v>
      </c>
      <c r="B1099" s="118" t="n">
        <v>64.99318510708291</v>
      </c>
      <c r="C1099" s="118" t="n">
        <v>65.96793305941291</v>
      </c>
      <c r="D1099" s="118" t="n">
        <v>64.39258093648779</v>
      </c>
      <c r="E1099" s="118" t="n">
        <v>64.61903381347656</v>
      </c>
      <c r="F1099" s="119" t="n">
        <v>35650000</v>
      </c>
      <c r="G1099" s="120" t="n">
        <v>-0.0009133600763150396</v>
      </c>
      <c r="H1099" s="121" t="n">
        <v>40.6203970961924</v>
      </c>
      <c r="I1099" s="118" t="n">
        <v>63.93172233581543</v>
      </c>
      <c r="J1099" s="118" t="n">
        <v>65.53966838836669</v>
      </c>
      <c r="K1099" s="120" t="n">
        <v>0.2950886285091049</v>
      </c>
      <c r="L1099" s="120" t="n">
        <v>-0.1142685369442142</v>
      </c>
      <c r="M1099" s="120" t="n">
        <v>-0.1780258266789763</v>
      </c>
      <c r="N1099" t="n">
        <v>51.45447041499081</v>
      </c>
      <c r="O1099" t="n">
        <v>0.2139744767942511</v>
      </c>
      <c r="P1099" t="n">
        <v>162.2265036080006</v>
      </c>
      <c r="Q1099" t="n">
        <v>169.9083460814365</v>
      </c>
    </row>
    <row r="1100">
      <c r="A1100" s="117" t="n">
        <v>46010</v>
      </c>
      <c r="B1100" s="118" t="n">
        <v>58.28808726496187</v>
      </c>
      <c r="C1100" s="118" t="n">
        <v>59.44991091148832</v>
      </c>
      <c r="D1100" s="118" t="n">
        <v>57.32318358081777</v>
      </c>
      <c r="E1100" s="118" t="n">
        <v>57.80563354492188</v>
      </c>
      <c r="F1100" s="119" t="n">
        <v>108652700</v>
      </c>
      <c r="G1100" s="120" t="n">
        <v>-0.1054395255772723</v>
      </c>
      <c r="H1100" s="121" t="n">
        <v>36.33740169760947</v>
      </c>
      <c r="I1100" s="118" t="n">
        <v>63.75610496520996</v>
      </c>
      <c r="J1100" s="118" t="n">
        <v>65.45302059173584</v>
      </c>
      <c r="K1100" s="120" t="n">
        <v>0.4807261720170431</v>
      </c>
      <c r="L1100" s="120" t="n">
        <v>-0.2076596421976795</v>
      </c>
      <c r="M1100" s="120" t="n">
        <v>-0.2646943935507157</v>
      </c>
      <c r="N1100" t="n">
        <v>32.4798106874852</v>
      </c>
      <c r="O1100" t="n">
        <v>-0.309695511263099</v>
      </c>
      <c r="P1100" t="n">
        <v>163.6968445330825</v>
      </c>
      <c r="Q1100" t="n">
        <v>172.1231627031128</v>
      </c>
    </row>
    <row r="1101">
      <c r="A1101" s="117" t="n">
        <v>46013</v>
      </c>
      <c r="B1101" s="118" t="n">
        <v>58.08132028849413</v>
      </c>
      <c r="C1101" s="118" t="n">
        <v>58.16993407964069</v>
      </c>
      <c r="D1101" s="118" t="n">
        <v>56.25981541624509</v>
      </c>
      <c r="E1101" s="118" t="n">
        <v>56.33858489990234</v>
      </c>
      <c r="F1101" s="119" t="n">
        <v>38695900</v>
      </c>
      <c r="G1101" s="120" t="n">
        <v>-0.02537899085353779</v>
      </c>
      <c r="H1101" s="121" t="n">
        <v>35.4151951122845</v>
      </c>
      <c r="I1101" s="118" t="n">
        <v>63.60671691894531</v>
      </c>
      <c r="J1101" s="118" t="n">
        <v>65.35478336334228</v>
      </c>
      <c r="K1101" s="120" t="n">
        <v>0.479220505909135</v>
      </c>
      <c r="L1101" s="120" t="n">
        <v>-0.2277684408912335</v>
      </c>
      <c r="M1101" s="120" t="n">
        <v>-0.2833557078113471</v>
      </c>
      <c r="N1101" t="n">
        <v>29.92124897633838</v>
      </c>
      <c r="O1101" t="n">
        <v>-0.7176579524380131</v>
      </c>
      <c r="P1101" t="n">
        <v>164.7166437654585</v>
      </c>
      <c r="Q1101" t="n">
        <v>172.9482402063157</v>
      </c>
    </row>
    <row r="1102">
      <c r="A1102" s="117" t="n">
        <v>46014</v>
      </c>
      <c r="B1102" s="118" t="n">
        <v>56.29920230093564</v>
      </c>
      <c r="C1102" s="118" t="n">
        <v>56.71273083806883</v>
      </c>
      <c r="D1102" s="118" t="n">
        <v>56.11213040403289</v>
      </c>
      <c r="E1102" s="118" t="n">
        <v>56.45673751831055</v>
      </c>
      <c r="F1102" s="119" t="n">
        <v>23276700</v>
      </c>
      <c r="G1102" s="120" t="n">
        <v>0.00209718825238725</v>
      </c>
      <c r="H1102" s="121" t="n">
        <v>35.48946744342999</v>
      </c>
      <c r="I1102" s="118" t="n">
        <v>63.41742729187012</v>
      </c>
      <c r="J1102" s="118" t="n">
        <v>65.26772405624389</v>
      </c>
      <c r="K1102" s="120" t="n">
        <v>0.4781582642334796</v>
      </c>
      <c r="L1102" s="120" t="n">
        <v>-0.2261489259373479</v>
      </c>
      <c r="M1102" s="120" t="n">
        <v>-0.2818527698206286</v>
      </c>
      <c r="N1102" t="n">
        <v>30.3967978382974</v>
      </c>
      <c r="O1102" t="n">
        <v>-0.9289115506086967</v>
      </c>
      <c r="P1102" t="n">
        <v>165.4694799252665</v>
      </c>
      <c r="Q1102" t="n">
        <v>173.7582122210059</v>
      </c>
    </row>
    <row r="1103">
      <c r="A1103" s="117" t="n">
        <v>46015</v>
      </c>
      <c r="B1103" s="118" t="n">
        <v>57.97301716494331</v>
      </c>
      <c r="C1103" s="118" t="n">
        <v>59.64683122103161</v>
      </c>
      <c r="D1103" s="118" t="n">
        <v>57.97301716494331</v>
      </c>
      <c r="E1103" s="118" t="n">
        <v>59.07576370239258</v>
      </c>
      <c r="F1103" s="119" t="n">
        <v>36073300</v>
      </c>
      <c r="G1103" s="120" t="n">
        <v>0.04638996688805497</v>
      </c>
      <c r="H1103" s="121" t="n">
        <v>37.13582266300541</v>
      </c>
      <c r="I1103" s="118" t="n">
        <v>63.27543060302735</v>
      </c>
      <c r="J1103" s="118" t="n">
        <v>65.20454048156738</v>
      </c>
      <c r="K1103" s="120" t="n">
        <v>0.4978441748817252</v>
      </c>
      <c r="L1103" s="120" t="n">
        <v>-0.1902500002352956</v>
      </c>
      <c r="M1103" s="120" t="n">
        <v>-0.2485379435918592</v>
      </c>
      <c r="N1103" t="n">
        <v>40.10003286832181</v>
      </c>
      <c r="O1103" t="n">
        <v>-0.8440805083837979</v>
      </c>
      <c r="P1103" t="n">
        <v>166.0515476781596</v>
      </c>
      <c r="Q1103" t="n">
        <v>174.2665529198313</v>
      </c>
    </row>
    <row r="1104">
      <c r="A1104" s="117" t="n">
        <v>46017</v>
      </c>
      <c r="B1104" s="118" t="n">
        <v>59.0757614024262</v>
      </c>
      <c r="C1104" s="118" t="n">
        <v>59.99143600463867</v>
      </c>
      <c r="D1104" s="118" t="n">
        <v>58.9379185601036</v>
      </c>
      <c r="E1104" s="118" t="n">
        <v>59.99143600463867</v>
      </c>
      <c r="F1104" s="119" t="n">
        <v>22303600</v>
      </c>
      <c r="G1104" s="120" t="n">
        <v>0.01549996555032274</v>
      </c>
      <c r="H1104" s="121" t="n">
        <v>37.71142663496489</v>
      </c>
      <c r="I1104" s="118" t="n">
        <v>63.13570243835449</v>
      </c>
      <c r="J1104" s="118" t="n">
        <v>65.14878747940064</v>
      </c>
      <c r="K1104" s="120" t="n">
        <v>0.4999393553711401</v>
      </c>
      <c r="L1104" s="120" t="n">
        <v>-0.1776989031345689</v>
      </c>
      <c r="M1104" s="120" t="n">
        <v>-0.2368903076051584</v>
      </c>
      <c r="N1104" t="n">
        <v>43.08734823410232</v>
      </c>
      <c r="O1104" t="n">
        <v>-0.6848965682566875</v>
      </c>
      <c r="P1104" t="n">
        <v>166.0347084462617</v>
      </c>
      <c r="Q1104" t="n">
        <v>174.2553946800137</v>
      </c>
    </row>
    <row r="1105">
      <c r="A1105" s="117" t="n">
        <v>46020</v>
      </c>
      <c r="B1105" s="118" t="n">
        <v>59.60744284305253</v>
      </c>
      <c r="C1105" s="118" t="n">
        <v>60.79880310365918</v>
      </c>
      <c r="D1105" s="118" t="n">
        <v>59.5779024089659</v>
      </c>
      <c r="E1105" s="118" t="n">
        <v>60.26712036132812</v>
      </c>
      <c r="F1105" s="119" t="n">
        <v>18062100</v>
      </c>
      <c r="G1105" s="120" t="n">
        <v>0.004595395193876195</v>
      </c>
      <c r="H1105" s="121" t="n">
        <v>37.88472554367742</v>
      </c>
      <c r="I1105" s="118" t="n">
        <v>63.03318656921387</v>
      </c>
      <c r="J1105" s="118" t="n">
        <v>65.098957157135</v>
      </c>
      <c r="K1105" s="120" t="n">
        <v>0.4999275605527263</v>
      </c>
      <c r="L1105" s="120" t="n">
        <v>-0.1436009875224037</v>
      </c>
      <c r="M1105" s="120" t="n">
        <v>-0.2333835169923267</v>
      </c>
      <c r="N1105" t="n">
        <v>43.99298417795797</v>
      </c>
      <c r="O1105" t="n">
        <v>-0.5267358750974362</v>
      </c>
      <c r="P1105" t="n">
        <v>165.4430182751413</v>
      </c>
      <c r="Q1105" t="n">
        <v>173.411879595244</v>
      </c>
    </row>
    <row r="1106">
      <c r="A1106" s="117" t="n">
        <v>46021</v>
      </c>
      <c r="B1106" s="118" t="n">
        <v>60.35573505680147</v>
      </c>
      <c r="C1106" s="118" t="n">
        <v>60.35573505680147</v>
      </c>
      <c r="D1106" s="118" t="n">
        <v>59.70590183618617</v>
      </c>
      <c r="E1106" s="118" t="n">
        <v>60.24742889404297</v>
      </c>
      <c r="F1106" s="119" t="n">
        <v>13507800</v>
      </c>
      <c r="G1106" s="120" t="n">
        <v>-0.0003267364886043733</v>
      </c>
      <c r="H1106" s="121" t="n">
        <v>37.87234722148154</v>
      </c>
      <c r="I1106" s="118" t="n">
        <v>62.9199063873291</v>
      </c>
      <c r="J1106" s="118" t="n">
        <v>65.05376600265502</v>
      </c>
      <c r="K1106" s="120" t="n">
        <v>0.494327875996081</v>
      </c>
      <c r="L1106" s="120" t="n">
        <v>-0.1347386065576105</v>
      </c>
      <c r="M1106" s="120" t="n">
        <v>-0.2336339985700908</v>
      </c>
      <c r="N1106" t="n">
        <v>43.93920085618502</v>
      </c>
      <c r="O1106" t="n">
        <v>-0.395157235624833</v>
      </c>
      <c r="P1106" t="n">
        <v>165.2409770089875</v>
      </c>
      <c r="Q1106" t="n">
        <v>173.0096703321107</v>
      </c>
    </row>
    <row r="1107">
      <c r="A1107" s="117" t="n">
        <v>46022</v>
      </c>
      <c r="B1107" s="118" t="n">
        <v>61.29110171703891</v>
      </c>
      <c r="C1107" s="118" t="n">
        <v>63.2110609347518</v>
      </c>
      <c r="D1107" s="118" t="n">
        <v>60.9661832303886</v>
      </c>
      <c r="E1107" s="118" t="n">
        <v>62.72861099243164</v>
      </c>
      <c r="F1107" s="119" t="n">
        <v>35457400</v>
      </c>
      <c r="G1107" s="120" t="n">
        <v>0.041183203066679</v>
      </c>
      <c r="H1107" s="121" t="n">
        <v>39.43205178771559</v>
      </c>
      <c r="I1107" s="118" t="n">
        <v>62.85135803222656</v>
      </c>
      <c r="J1107" s="118" t="n">
        <v>65.01111873626709</v>
      </c>
      <c r="K1107" s="120" t="n">
        <v>0.5179608176864852</v>
      </c>
      <c r="L1107" s="120" t="n">
        <v>-0.07984000427962457</v>
      </c>
      <c r="M1107" s="120" t="n">
        <v>-0.2020725919098041</v>
      </c>
      <c r="N1107" t="n">
        <v>51.91602166517039</v>
      </c>
      <c r="O1107" t="n">
        <v>-0.126636730390871</v>
      </c>
      <c r="P1107" t="n">
        <v>164.0167309059009</v>
      </c>
      <c r="Q1107" t="n">
        <v>171.5796385191659</v>
      </c>
    </row>
    <row r="1108">
      <c r="A1108" s="117" t="n">
        <v>46024</v>
      </c>
      <c r="B1108" s="118" t="n">
        <v>63.01414717401337</v>
      </c>
      <c r="C1108" s="118" t="n">
        <v>63.14214195618677</v>
      </c>
      <c r="D1108" s="118" t="n">
        <v>61.58648215091496</v>
      </c>
      <c r="E1108" s="118" t="n">
        <v>62.30523681640625</v>
      </c>
      <c r="F1108" s="119" t="n">
        <v>22284100</v>
      </c>
      <c r="G1108" s="120" t="n">
        <v>-0.006749299391891062</v>
      </c>
      <c r="H1108" s="121" t="n">
        <v>39.16591306456375</v>
      </c>
      <c r="I1108" s="118" t="n">
        <v>62.75986267089844</v>
      </c>
      <c r="J1108" s="118" t="n">
        <v>64.96824001312255</v>
      </c>
      <c r="K1108" s="120" t="n">
        <v>0.5165702869393014</v>
      </c>
      <c r="L1108" s="120" t="n">
        <v>-0.08605043957918246</v>
      </c>
      <c r="M1108" s="120" t="n">
        <v>-0.2074580428800005</v>
      </c>
      <c r="N1108" t="n">
        <v>50.59316494203939</v>
      </c>
      <c r="O1108" t="n">
        <v>0.02856662956853595</v>
      </c>
      <c r="P1108" t="n">
        <v>164.3173724422646</v>
      </c>
      <c r="Q1108" t="n">
        <v>171.2472665089184</v>
      </c>
    </row>
    <row r="1109">
      <c r="A1109" s="117" t="n">
        <v>46027</v>
      </c>
      <c r="B1109" s="118" t="n">
        <v>62.75815222018763</v>
      </c>
      <c r="C1109" s="118" t="n">
        <v>64.36304479091379</v>
      </c>
      <c r="D1109" s="118" t="n">
        <v>62.41354135823816</v>
      </c>
      <c r="E1109" s="118" t="n">
        <v>63.53598022460938</v>
      </c>
      <c r="F1109" s="119" t="n">
        <v>23482500</v>
      </c>
      <c r="G1109" s="120" t="n">
        <v>0.01975345044959442</v>
      </c>
      <c r="H1109" s="121" t="n">
        <v>39.93957498759772</v>
      </c>
      <c r="I1109" s="118" t="n">
        <v>62.67889389038086</v>
      </c>
      <c r="J1109" s="118" t="n">
        <v>64.93306198120118</v>
      </c>
      <c r="K1109" s="120" t="n">
        <v>0.5219584423097776</v>
      </c>
      <c r="L1109" s="120" t="n">
        <v>-0.06799678222398142</v>
      </c>
      <c r="M1109" s="120" t="n">
        <v>-0.191802604600806</v>
      </c>
      <c r="N1109" t="n">
        <v>54.24318326442256</v>
      </c>
      <c r="O1109" t="n">
        <v>0.2101057923752581</v>
      </c>
      <c r="P1109" t="n">
        <v>165.4117601742126</v>
      </c>
      <c r="Q1109" t="n">
        <v>172.6074781566342</v>
      </c>
    </row>
    <row r="1110">
      <c r="A1110" s="117" t="n">
        <v>46028</v>
      </c>
      <c r="B1110" s="118" t="n">
        <v>63.0732234081886</v>
      </c>
      <c r="C1110" s="118" t="n">
        <v>64.42212276189157</v>
      </c>
      <c r="D1110" s="118" t="n">
        <v>62.43323820034229</v>
      </c>
      <c r="E1110" s="118" t="n">
        <v>64.34335327148438</v>
      </c>
      <c r="F1110" s="119" t="n">
        <v>19973200</v>
      </c>
      <c r="G1110" s="120" t="n">
        <v>0.01270733596964768</v>
      </c>
      <c r="H1110" s="121" t="n">
        <v>40.44710058545007</v>
      </c>
      <c r="I1110" s="118" t="n">
        <v>62.60233261108399</v>
      </c>
      <c r="J1110" s="118" t="n">
        <v>64.90738357543945</v>
      </c>
      <c r="K1110" s="120" t="n">
        <v>0.5239484231030734</v>
      </c>
      <c r="L1110" s="120" t="n">
        <v>-0.05615350421090881</v>
      </c>
      <c r="M1110" s="120" t="n">
        <v>-0.1815325687676743</v>
      </c>
      <c r="N1110" t="n">
        <v>56.51284143627484</v>
      </c>
      <c r="O1110" t="n">
        <v>0.3711377623133664</v>
      </c>
      <c r="P1110" t="n">
        <v>166.3954900965463</v>
      </c>
      <c r="Q1110" t="n">
        <v>174.1241102136762</v>
      </c>
    </row>
    <row r="1111">
      <c r="A1111" s="117" t="n">
        <v>46029</v>
      </c>
      <c r="B1111" s="118" t="n">
        <v>64.51072483008127</v>
      </c>
      <c r="C1111" s="118" t="n">
        <v>64.59934237380276</v>
      </c>
      <c r="D1111" s="118" t="n">
        <v>62.2166181666345</v>
      </c>
      <c r="E1111" s="118" t="n">
        <v>62.24615859985352</v>
      </c>
      <c r="F1111" s="119" t="n">
        <v>18284100</v>
      </c>
      <c r="G1111" s="120" t="n">
        <v>-0.03259380441025739</v>
      </c>
      <c r="H1111" s="121" t="n">
        <v>39.1287757000059</v>
      </c>
      <c r="I1111" s="118" t="n">
        <v>62.49498054504394</v>
      </c>
      <c r="J1111" s="118" t="n">
        <v>64.89016984939575</v>
      </c>
      <c r="K1111" s="120" t="n">
        <v>0.5216695681167789</v>
      </c>
      <c r="L1111" s="120" t="n">
        <v>-0.0869170522879652</v>
      </c>
      <c r="M1111" s="120" t="n">
        <v>-0.2082095361374265</v>
      </c>
      <c r="N1111" t="n">
        <v>49.62679341070079</v>
      </c>
      <c r="O1111" t="n">
        <v>0.3246660348659014</v>
      </c>
      <c r="P1111" t="n">
        <v>165.8591288302331</v>
      </c>
      <c r="Q1111" t="n">
        <v>174.2917059504767</v>
      </c>
    </row>
    <row r="1112">
      <c r="A1112" s="117" t="n">
        <v>46030</v>
      </c>
      <c r="B1112" s="118" t="n">
        <v>61.22218033383797</v>
      </c>
      <c r="C1112" s="118" t="n">
        <v>64.72733973317152</v>
      </c>
      <c r="D1112" s="118" t="n">
        <v>60.74957469873465</v>
      </c>
      <c r="E1112" s="118" t="n">
        <v>64.25473785400391</v>
      </c>
      <c r="F1112" s="119" t="n">
        <v>21573900</v>
      </c>
      <c r="G1112" s="120" t="n">
        <v>0.03226832465377427</v>
      </c>
      <c r="H1112" s="121" t="n">
        <v>40.39139573759841</v>
      </c>
      <c r="I1112" s="118" t="n">
        <v>62.43797492980957</v>
      </c>
      <c r="J1112" s="118" t="n">
        <v>64.88565790176392</v>
      </c>
      <c r="K1112" s="120" t="n">
        <v>0.5335751772627918</v>
      </c>
      <c r="L1112" s="120" t="n">
        <v>-0.05745339529536797</v>
      </c>
      <c r="M1112" s="120" t="n">
        <v>-0.1826597843917466</v>
      </c>
      <c r="N1112" t="n">
        <v>55.2507685783926</v>
      </c>
      <c r="O1112" t="n">
        <v>0.4118520551956767</v>
      </c>
      <c r="P1112" t="n">
        <v>165.8422895983352</v>
      </c>
      <c r="Q1112" t="n">
        <v>173.3001604958148</v>
      </c>
    </row>
    <row r="1113">
      <c r="A1113" s="117" t="n">
        <v>46031</v>
      </c>
      <c r="B1113" s="118" t="n">
        <v>64.10704357971909</v>
      </c>
      <c r="C1113" s="118" t="n">
        <v>65.51501610350279</v>
      </c>
      <c r="D1113" s="118" t="n">
        <v>63.40798134929096</v>
      </c>
      <c r="E1113" s="118" t="n">
        <v>64.90456390380859</v>
      </c>
      <c r="F1113" s="119" t="n">
        <v>18470400</v>
      </c>
      <c r="G1113" s="120" t="n">
        <v>0.01011327835904008</v>
      </c>
      <c r="H1113" s="121" t="n">
        <v>40.79988516600289</v>
      </c>
      <c r="I1113" s="118" t="n">
        <v>62.41666343688965</v>
      </c>
      <c r="J1113" s="118" t="n">
        <v>64.88850427627564</v>
      </c>
      <c r="K1113" s="120" t="n">
        <v>0.5167853414197332</v>
      </c>
      <c r="L1113" s="120" t="n">
        <v>-0.04792115911562189</v>
      </c>
      <c r="M1113" s="120" t="n">
        <v>-0.1743937952772625</v>
      </c>
      <c r="N1113" t="n">
        <v>56.92628598849961</v>
      </c>
      <c r="O1113" t="n">
        <v>0.4905905778486127</v>
      </c>
      <c r="P1113" t="n">
        <v>166.9390681765299</v>
      </c>
      <c r="Q1113" t="n">
        <v>175.0262701362008</v>
      </c>
    </row>
    <row r="1114">
      <c r="A1114" s="117" t="n">
        <v>46034</v>
      </c>
      <c r="B1114" s="118" t="n">
        <v>64.24489150777713</v>
      </c>
      <c r="C1114" s="118" t="n">
        <v>65.31809758397111</v>
      </c>
      <c r="D1114" s="118" t="n">
        <v>63.25044740563536</v>
      </c>
      <c r="E1114" s="118" t="n">
        <v>64.62888336181641</v>
      </c>
      <c r="F1114" s="119" t="n">
        <v>13901100</v>
      </c>
      <c r="G1114" s="120" t="n">
        <v>-0.004247475453355798</v>
      </c>
      <c r="H1114" s="121" t="n">
        <v>40.62658865526056</v>
      </c>
      <c r="I1114" s="118" t="n">
        <v>62.43053764343261</v>
      </c>
      <c r="J1114" s="118" t="n">
        <v>64.89383974075318</v>
      </c>
      <c r="K1114" s="120" t="n">
        <v>0.5054215528574696</v>
      </c>
      <c r="L1114" s="120" t="n">
        <v>-0.05196509062193777</v>
      </c>
      <c r="M1114" s="120" t="n">
        <v>-0.1779005373659606</v>
      </c>
      <c r="N1114" t="n">
        <v>55.96886369824521</v>
      </c>
      <c r="O1114" t="n">
        <v>0.4997249454466883</v>
      </c>
      <c r="P1114" t="n">
        <v>167.2012347982944</v>
      </c>
      <c r="Q1114" t="n">
        <v>175.1714981303961</v>
      </c>
    </row>
    <row r="1115">
      <c r="A1115" s="117" t="n">
        <v>46035</v>
      </c>
      <c r="B1115" s="118" t="n">
        <v>65.22948423684309</v>
      </c>
      <c r="C1115" s="118" t="n">
        <v>66.04670071013113</v>
      </c>
      <c r="D1115" s="118" t="n">
        <v>64.83564433907658</v>
      </c>
      <c r="E1115" s="118" t="n">
        <v>65.27871704101562</v>
      </c>
      <c r="F1115" s="119" t="n">
        <v>13685200</v>
      </c>
      <c r="G1115" s="120" t="n">
        <v>0.01005484924691036</v>
      </c>
      <c r="H1115" s="121" t="n">
        <v>41.03508287960544</v>
      </c>
      <c r="I1115" s="118" t="n">
        <v>62.46621368408203</v>
      </c>
      <c r="J1115" s="118" t="n">
        <v>64.90213422775268</v>
      </c>
      <c r="K1115" s="120" t="n">
        <v>0.5068040360287545</v>
      </c>
      <c r="L1115" s="120" t="n">
        <v>-0.04243274252733298</v>
      </c>
      <c r="M1115" s="120" t="n">
        <v>-0.1696344512032093</v>
      </c>
      <c r="N1115" t="n">
        <v>57.77177474173563</v>
      </c>
      <c r="O1115" t="n">
        <v>0.5226791196614738</v>
      </c>
      <c r="P1115" t="n">
        <v>166.866914798135</v>
      </c>
      <c r="Q1115" t="n">
        <v>174.9117486610746</v>
      </c>
    </row>
    <row r="1116">
      <c r="A1116" s="117" t="n">
        <v>46036</v>
      </c>
      <c r="B1116" s="118" t="n">
        <v>65.26886973343372</v>
      </c>
      <c r="C1116" s="118" t="n">
        <v>66.09592676763421</v>
      </c>
      <c r="D1116" s="118" t="n">
        <v>64.0381247335844</v>
      </c>
      <c r="E1116" s="118" t="n">
        <v>64.55995941162109</v>
      </c>
      <c r="F1116" s="119" t="n">
        <v>15939100</v>
      </c>
      <c r="G1116" s="120" t="n">
        <v>-0.01101059674538218</v>
      </c>
      <c r="H1116" s="121" t="n">
        <v>40.58326212960477</v>
      </c>
      <c r="I1116" s="118" t="n">
        <v>62.49358055114746</v>
      </c>
      <c r="J1116" s="118" t="n">
        <v>64.91896911621093</v>
      </c>
      <c r="K1116" s="120" t="n">
        <v>0.5078020445713427</v>
      </c>
      <c r="L1116" s="120" t="n">
        <v>-0.05297612945594599</v>
      </c>
      <c r="M1116" s="120" t="n">
        <v>-0.1787772714122687</v>
      </c>
      <c r="N1116" t="n">
        <v>55.08510949424368</v>
      </c>
      <c r="O1116" t="n">
        <v>0.4645603937106999</v>
      </c>
      <c r="P1116" t="n">
        <v>166.0467217107357</v>
      </c>
      <c r="Q1116" t="n">
        <v>173.0431963145335</v>
      </c>
    </row>
    <row r="1117">
      <c r="A1117" s="117" t="n">
        <v>46037</v>
      </c>
      <c r="B1117" s="118" t="n">
        <v>64.74703381864438</v>
      </c>
      <c r="C1117" s="118" t="n">
        <v>64.74703381864438</v>
      </c>
      <c r="D1117" s="118" t="n">
        <v>63.22090704323369</v>
      </c>
      <c r="E1117" s="118" t="n">
        <v>63.59505081176758</v>
      </c>
      <c r="F1117" s="119" t="n">
        <v>13295300</v>
      </c>
      <c r="G1117" s="120" t="n">
        <v>-0.01494592946847217</v>
      </c>
      <c r="H1117" s="121" t="n">
        <v>39.97670755621518</v>
      </c>
      <c r="I1117" s="118" t="n">
        <v>62.53960899353027</v>
      </c>
      <c r="J1117" s="118" t="n">
        <v>64.9300609588623</v>
      </c>
      <c r="K1117" s="120" t="n">
        <v>0.5093043598240894</v>
      </c>
      <c r="L1117" s="120" t="n">
        <v>-0.06713028143005695</v>
      </c>
      <c r="M1117" s="120" t="n">
        <v>-0.1910512083916472</v>
      </c>
      <c r="N1117" t="n">
        <v>51.61485778812094</v>
      </c>
      <c r="O1117" t="n">
        <v>0.3419058172409121</v>
      </c>
      <c r="P1117" t="n">
        <v>166.4989163341799</v>
      </c>
      <c r="Q1117" t="n">
        <v>173.666058488485</v>
      </c>
    </row>
    <row r="1118">
      <c r="A1118" s="117" t="n">
        <v>46038</v>
      </c>
      <c r="B1118" s="118" t="n">
        <v>63.39813846900594</v>
      </c>
      <c r="C1118" s="118" t="n">
        <v>63.59505467242612</v>
      </c>
      <c r="D1118" s="118" t="n">
        <v>62.69907618143119</v>
      </c>
      <c r="E1118" s="118" t="n">
        <v>63.38829040527344</v>
      </c>
      <c r="F1118" s="119" t="n">
        <v>15903000</v>
      </c>
      <c r="G1118" s="120" t="n">
        <v>-0.003251202787872942</v>
      </c>
      <c r="H1118" s="121" t="n">
        <v>39.84673517315843</v>
      </c>
      <c r="I1118" s="118" t="n">
        <v>62.60928741455078</v>
      </c>
      <c r="J1118" s="118" t="n">
        <v>64.93393102645874</v>
      </c>
      <c r="K1118" s="120" t="n">
        <v>0.5039554559810978</v>
      </c>
      <c r="L1118" s="120" t="n">
        <v>-0.07016323005979386</v>
      </c>
      <c r="M1118" s="120" t="n">
        <v>-0.1936812649581707</v>
      </c>
      <c r="N1118" t="n">
        <v>50.87525382108224</v>
      </c>
      <c r="O1118" t="n">
        <v>0.2328351495184607</v>
      </c>
      <c r="P1118" t="n">
        <v>166.3594060281937</v>
      </c>
      <c r="Q1118" t="n">
        <v>173.520813406633</v>
      </c>
    </row>
    <row r="1119">
      <c r="A1119" s="117" t="n">
        <v>46042</v>
      </c>
      <c r="B1119" s="118" t="n">
        <v>62.51200228293902</v>
      </c>
      <c r="C1119" s="118" t="n">
        <v>63.58521208331121</v>
      </c>
      <c r="D1119" s="118" t="n">
        <v>62.04924095666955</v>
      </c>
      <c r="E1119" s="118" t="n">
        <v>62.64984512329102</v>
      </c>
      <c r="F1119" s="119" t="n">
        <v>20406000</v>
      </c>
      <c r="G1119" s="120" t="n">
        <v>-0.01164955352575636</v>
      </c>
      <c r="H1119" s="121" t="n">
        <v>39.38253849893209</v>
      </c>
      <c r="I1119" s="118" t="n">
        <v>62.64697799682617</v>
      </c>
      <c r="J1119" s="118" t="n">
        <v>64.93314203262329</v>
      </c>
      <c r="K1119" s="120" t="n">
        <v>0.5055080720035225</v>
      </c>
      <c r="L1119" s="120" t="n">
        <v>-0.08099541328142856</v>
      </c>
      <c r="M1119" s="120" t="n">
        <v>-0.2030745182208606</v>
      </c>
      <c r="N1119" t="n">
        <v>48.21778963218856</v>
      </c>
      <c r="O1119" t="n">
        <v>0.1035347122232361</v>
      </c>
      <c r="P1119" t="n">
        <v>162.9728608696463</v>
      </c>
      <c r="Q1119" t="n">
        <v>169.833997687185</v>
      </c>
    </row>
    <row r="1120">
      <c r="A1120" s="117" t="n">
        <v>46043</v>
      </c>
      <c r="B1120" s="118" t="n">
        <v>62.89599324614213</v>
      </c>
      <c r="C1120" s="118" t="n">
        <v>64.41226822474781</v>
      </c>
      <c r="D1120" s="118" t="n">
        <v>62.63015187663665</v>
      </c>
      <c r="E1120" s="118" t="n">
        <v>64.40242767333984</v>
      </c>
      <c r="F1120" s="119" t="n">
        <v>17166400</v>
      </c>
      <c r="G1120" s="120" t="n">
        <v>0.02797425191714131</v>
      </c>
      <c r="H1120" s="121" t="n">
        <v>40.48423555203773</v>
      </c>
      <c r="I1120" s="118" t="n">
        <v>62.72402496337891</v>
      </c>
      <c r="J1120" s="118" t="n">
        <v>64.98646196365357</v>
      </c>
      <c r="K1120" s="120" t="n">
        <v>0.3322113804084887</v>
      </c>
      <c r="L1120" s="120" t="n">
        <v>-0.04749527519526275</v>
      </c>
      <c r="M1120" s="120" t="n">
        <v>-0.1807811240343818</v>
      </c>
      <c r="N1120" t="n">
        <v>54.31683499234266</v>
      </c>
      <c r="O1120" t="n">
        <v>0.1270683900503566</v>
      </c>
      <c r="P1120" t="n">
        <v>164.8537484668878</v>
      </c>
      <c r="Q1120" t="n">
        <v>172.1298781521914</v>
      </c>
    </row>
    <row r="1121">
      <c r="A1121" s="117" t="n">
        <v>46044</v>
      </c>
      <c r="B1121" s="118" t="n">
        <v>64.40242723453713</v>
      </c>
      <c r="C1121" s="118" t="n">
        <v>65.52486606084436</v>
      </c>
      <c r="D1121" s="118" t="n">
        <v>64.24488827062743</v>
      </c>
      <c r="E1121" s="118" t="n">
        <v>64.45165252685547</v>
      </c>
      <c r="F1121" s="119" t="n">
        <v>11853700</v>
      </c>
      <c r="G1121" s="120" t="n">
        <v>0.0007643322665613628</v>
      </c>
      <c r="H1121" s="121" t="n">
        <v>40.51517895955723</v>
      </c>
      <c r="I1121" s="118" t="n">
        <v>62.81771011352539</v>
      </c>
      <c r="J1121" s="118" t="n">
        <v>65.03195470809936</v>
      </c>
      <c r="K1121" s="120" t="n">
        <v>0.3122113040274742</v>
      </c>
      <c r="L1121" s="120" t="n">
        <v>-0.03954050149455568</v>
      </c>
      <c r="M1121" s="120" t="n">
        <v>-0.1801549686141052</v>
      </c>
      <c r="N1121" t="n">
        <v>54.47900988192544</v>
      </c>
      <c r="O1121" t="n">
        <v>0.1361679326652639</v>
      </c>
      <c r="P1121" t="n">
        <v>165.7148220734432</v>
      </c>
      <c r="Q1121" t="n">
        <v>173.3811559885181</v>
      </c>
    </row>
    <row r="1122">
      <c r="A1122" s="117" t="n">
        <v>46045</v>
      </c>
      <c r="B1122" s="118" t="n">
        <v>64.24488834092695</v>
      </c>
      <c r="C1122" s="118" t="n">
        <v>64.44180453415829</v>
      </c>
      <c r="D1122" s="118" t="n">
        <v>63.44736799290735</v>
      </c>
      <c r="E1122" s="118" t="n">
        <v>64.03812408447266</v>
      </c>
      <c r="F1122" s="119" t="n">
        <v>11243900</v>
      </c>
      <c r="G1122" s="120" t="n">
        <v>-0.006416103019398989</v>
      </c>
      <c r="H1122" s="121" t="n">
        <v>40.25522939750331</v>
      </c>
      <c r="I1122" s="118" t="n">
        <v>62.90879905700684</v>
      </c>
      <c r="J1122" s="118" t="n">
        <v>65.08330810546875</v>
      </c>
      <c r="K1122" s="120" t="n">
        <v>0.3154057348459116</v>
      </c>
      <c r="L1122" s="120" t="n">
        <v>-0.04042488976485037</v>
      </c>
      <c r="M1122" s="120" t="n">
        <v>-0.1854151787954195</v>
      </c>
      <c r="N1122" t="n">
        <v>52.78376127368112</v>
      </c>
      <c r="O1122" t="n">
        <v>0.1059012373740112</v>
      </c>
      <c r="P1122" t="n">
        <v>165.7749326707438</v>
      </c>
      <c r="Q1122" t="n">
        <v>173.9285932458467</v>
      </c>
    </row>
    <row r="1123">
      <c r="A1123" s="117" t="n">
        <v>46048</v>
      </c>
      <c r="B1123" s="118" t="n">
        <v>63.8116640220158</v>
      </c>
      <c r="C1123" s="118" t="n">
        <v>64.62888050058511</v>
      </c>
      <c r="D1123" s="118" t="n">
        <v>63.7821273440699</v>
      </c>
      <c r="E1123" s="118" t="n">
        <v>63.9888916015625</v>
      </c>
      <c r="F1123" s="119" t="n">
        <v>14765900</v>
      </c>
      <c r="G1123" s="120" t="n">
        <v>-0.0007687995801565206</v>
      </c>
      <c r="H1123" s="121" t="n">
        <v>40.22428119404341</v>
      </c>
      <c r="I1123" s="118" t="n">
        <v>62.95292083740235</v>
      </c>
      <c r="J1123" s="118" t="n">
        <v>65.14572767257691</v>
      </c>
      <c r="K1123" s="120" t="n">
        <v>0.2785845640282665</v>
      </c>
      <c r="L1123" s="120" t="n">
        <v>-0.04116261070672789</v>
      </c>
      <c r="M1123" s="120" t="n">
        <v>-0.1860414312639634</v>
      </c>
      <c r="N1123" t="n">
        <v>52.57400917073611</v>
      </c>
      <c r="O1123" t="n">
        <v>0.0755543237246214</v>
      </c>
      <c r="P1123" t="n">
        <v>166.6167761991547</v>
      </c>
      <c r="Q1123" t="n">
        <v>174.6938981259532</v>
      </c>
    </row>
    <row r="1124">
      <c r="A1124" s="117" t="n">
        <v>46049</v>
      </c>
      <c r="B1124" s="118" t="n">
        <v>63.75259333204947</v>
      </c>
      <c r="C1124" s="118" t="n">
        <v>63.83136281777995</v>
      </c>
      <c r="D1124" s="118" t="n">
        <v>61.91139979636119</v>
      </c>
      <c r="E1124" s="118" t="n">
        <v>62.1181640625</v>
      </c>
      <c r="F1124" s="119" t="n">
        <v>13536700</v>
      </c>
      <c r="G1124" s="120" t="n">
        <v>-0.02923519211288883</v>
      </c>
      <c r="H1124" s="121" t="n">
        <v>39.04831660573269</v>
      </c>
      <c r="I1124" s="118" t="n">
        <v>62.9390828704834</v>
      </c>
      <c r="J1124" s="118" t="n">
        <v>65.16954589843751</v>
      </c>
      <c r="K1124" s="120" t="n">
        <v>0.2989208879916332</v>
      </c>
      <c r="L1124" s="120" t="n">
        <v>-0.0691944059877373</v>
      </c>
      <c r="M1124" s="120" t="n">
        <v>-0.2098376663928935</v>
      </c>
      <c r="N1124" t="n">
        <v>45.22064279072492</v>
      </c>
      <c r="O1124" t="n">
        <v>-0.06966779660405348</v>
      </c>
      <c r="P1124" t="n">
        <v>167.2806049903598</v>
      </c>
      <c r="Q1124" t="n">
        <v>176.2775479725274</v>
      </c>
    </row>
    <row r="1125">
      <c r="A1125" s="117" t="n">
        <v>46050</v>
      </c>
      <c r="B1125" s="118" t="n">
        <v>62.07877799778709</v>
      </c>
      <c r="C1125" s="118" t="n">
        <v>62.50215458473394</v>
      </c>
      <c r="D1125" s="118" t="n">
        <v>61.01541625461844</v>
      </c>
      <c r="E1125" s="118" t="n">
        <v>61.28125762939453</v>
      </c>
      <c r="F1125" s="119" t="n">
        <v>10363600</v>
      </c>
      <c r="G1125" s="120" t="n">
        <v>-0.01347281339904727</v>
      </c>
      <c r="H1125" s="121" t="n">
        <v>38.52222592255674</v>
      </c>
      <c r="I1125" s="118" t="n">
        <v>62.87269920349121</v>
      </c>
      <c r="J1125" s="118" t="n">
        <v>65.21296449661254</v>
      </c>
      <c r="K1125" s="120" t="n">
        <v>0.3036124236600753</v>
      </c>
      <c r="L1125" s="120" t="n">
        <v>-0.08173497606665392</v>
      </c>
      <c r="M1125" s="120" t="n">
        <v>-0.2204833760685379</v>
      </c>
      <c r="N1125" t="n">
        <v>42.36580386406397</v>
      </c>
      <c r="O1125" t="n">
        <v>-0.2131438526725579</v>
      </c>
      <c r="P1125" t="n">
        <v>167.2637657584619</v>
      </c>
      <c r="Q1125" t="n">
        <v>176.8612794126623</v>
      </c>
    </row>
    <row r="1126">
      <c r="A1126" s="117" t="n">
        <v>46051</v>
      </c>
      <c r="B1126" s="118" t="n">
        <v>60.97603411453726</v>
      </c>
      <c r="C1126" s="118" t="n">
        <v>61.97047447956156</v>
      </c>
      <c r="D1126" s="118" t="n">
        <v>60.51327276581702</v>
      </c>
      <c r="E1126" s="118" t="n">
        <v>61.63571166992188</v>
      </c>
      <c r="F1126" s="119" t="n">
        <v>12739400</v>
      </c>
      <c r="G1126" s="120" t="n">
        <v>0.005784052975396525</v>
      </c>
      <c r="H1126" s="121" t="n">
        <v>38.745040518023</v>
      </c>
      <c r="I1126" s="118" t="n">
        <v>62.84979911804199</v>
      </c>
      <c r="J1126" s="118" t="n">
        <v>65.25820373535156</v>
      </c>
      <c r="K1126" s="120" t="n">
        <v>0.3040307914258542</v>
      </c>
      <c r="L1126" s="120" t="n">
        <v>-0.07642368252276965</v>
      </c>
      <c r="M1126" s="120" t="n">
        <v>-0.2159746106205159</v>
      </c>
      <c r="N1126" t="n">
        <v>43.97891432708501</v>
      </c>
      <c r="O1126" t="n">
        <v>-0.2714886174008477</v>
      </c>
      <c r="P1126" t="n">
        <v>166.9318513628594</v>
      </c>
      <c r="Q1126" t="n">
        <v>175.8027161684682</v>
      </c>
    </row>
    <row r="1127">
      <c r="A1127" s="117" t="n">
        <v>46052</v>
      </c>
      <c r="B1127" s="118" t="n">
        <v>61.28125621585293</v>
      </c>
      <c r="C1127" s="118" t="n">
        <v>61.55694189180872</v>
      </c>
      <c r="D1127" s="118" t="n">
        <v>60.08004790329873</v>
      </c>
      <c r="E1127" s="118" t="n">
        <v>60.85787963867188</v>
      </c>
      <c r="F1127" s="119" t="n">
        <v>14309200</v>
      </c>
      <c r="G1127" s="120" t="n">
        <v>-0.01261982721016552</v>
      </c>
      <c r="H1127" s="121" t="n">
        <v>38.25608480143469</v>
      </c>
      <c r="I1127" s="118" t="n">
        <v>62.83619247436523</v>
      </c>
      <c r="J1127" s="118" t="n">
        <v>65.29462278366088</v>
      </c>
      <c r="K1127" s="120" t="n">
        <v>0.2683399675291487</v>
      </c>
      <c r="L1127" s="120" t="n">
        <v>-0.08807905606473321</v>
      </c>
      <c r="M1127" s="120" t="n">
        <v>-0.2258688755628678</v>
      </c>
      <c r="N1127" t="n">
        <v>41.25042139588471</v>
      </c>
      <c r="O1127" t="n">
        <v>-0.3450572834056226</v>
      </c>
      <c r="P1127" t="n">
        <v>166.4339797694556</v>
      </c>
      <c r="Q1127" t="n">
        <v>173.691177343817</v>
      </c>
    </row>
    <row r="1128">
      <c r="A1128" s="117" t="n">
        <v>46055</v>
      </c>
      <c r="B1128" s="118" t="n">
        <v>60.7101890435314</v>
      </c>
      <c r="C1128" s="118" t="n">
        <v>61.60617125084067</v>
      </c>
      <c r="D1128" s="118" t="n">
        <v>60.20804673751802</v>
      </c>
      <c r="E1128" s="118" t="n">
        <v>61.2221794128418</v>
      </c>
      <c r="F1128" s="119" t="n">
        <v>11006300</v>
      </c>
      <c r="G1128" s="120" t="n">
        <v>0.005986074052084289</v>
      </c>
      <c r="H1128" s="121" t="n">
        <v>38.48508855799889</v>
      </c>
      <c r="I1128" s="118" t="n">
        <v>62.83789421081543</v>
      </c>
      <c r="J1128" s="118" t="n">
        <v>65.33566722869872</v>
      </c>
      <c r="K1128" s="120" t="n">
        <v>0.2687658036767204</v>
      </c>
      <c r="L1128" s="120" t="n">
        <v>-0.08262022976469008</v>
      </c>
      <c r="M1128" s="120" t="n">
        <v>-0.2212348693259639</v>
      </c>
      <c r="N1128" t="n">
        <v>43.03304278762693</v>
      </c>
      <c r="O1128" t="n">
        <v>-0.3506367658155507</v>
      </c>
      <c r="P1128" t="n">
        <v>167.2613601539051</v>
      </c>
      <c r="Q1128" t="n">
        <v>174.8838274300456</v>
      </c>
    </row>
    <row r="1129">
      <c r="A1129" s="117" t="n">
        <v>46056</v>
      </c>
      <c r="B1129" s="118" t="n">
        <v>60.82834112213207</v>
      </c>
      <c r="C1129" s="118" t="n">
        <v>61.5667881396624</v>
      </c>
      <c r="D1129" s="118" t="n">
        <v>59.49913799295179</v>
      </c>
      <c r="E1129" s="118" t="n">
        <v>59.99143600463867</v>
      </c>
      <c r="F1129" s="119" t="n">
        <v>17322100</v>
      </c>
      <c r="G1129" s="120" t="n">
        <v>-0.02010290094221912</v>
      </c>
      <c r="H1129" s="121" t="n">
        <v>37.71142663496491</v>
      </c>
      <c r="I1129" s="118" t="n">
        <v>62.81204605102539</v>
      </c>
      <c r="J1129" s="118" t="n">
        <v>65.37674591064453</v>
      </c>
      <c r="K1129" s="120" t="n">
        <v>0.2656759244762338</v>
      </c>
      <c r="L1129" s="120" t="n">
        <v>-0.1010622244121263</v>
      </c>
      <c r="M1129" s="120" t="n">
        <v>-0.2368903076051584</v>
      </c>
      <c r="N1129" t="n">
        <v>38.75473141449451</v>
      </c>
      <c r="O1129" t="n">
        <v>-0.4143022169015236</v>
      </c>
      <c r="P1129" t="n">
        <v>165.8471008074488</v>
      </c>
      <c r="Q1129" t="n">
        <v>172.1969130293802</v>
      </c>
    </row>
    <row r="1130">
      <c r="A1130" s="117" t="n">
        <v>46057</v>
      </c>
      <c r="B1130" s="118" t="n">
        <v>60.76926857570081</v>
      </c>
      <c r="C1130" s="118" t="n">
        <v>63.41783431772925</v>
      </c>
      <c r="D1130" s="118" t="n">
        <v>60.56250055352113</v>
      </c>
      <c r="E1130" s="118" t="n">
        <v>63.23075866699219</v>
      </c>
      <c r="F1130" s="119" t="n">
        <v>20957700</v>
      </c>
      <c r="G1130" s="120" t="n">
        <v>0.05399641812379752</v>
      </c>
      <c r="H1130" s="121" t="n">
        <v>39.74770859559139</v>
      </c>
      <c r="I1130" s="118" t="n">
        <v>62.87466041564942</v>
      </c>
      <c r="J1130" s="118" t="n">
        <v>65.42333734512329</v>
      </c>
      <c r="K1130" s="120" t="n">
        <v>0.3301137800425656</v>
      </c>
      <c r="L1130" s="120" t="n">
        <v>-0.05252280441420698</v>
      </c>
      <c r="M1130" s="120" t="n">
        <v>-0.195685117580284</v>
      </c>
      <c r="N1130" t="n">
        <v>52.219342889665</v>
      </c>
      <c r="O1130" t="n">
        <v>-0.2248239274027739</v>
      </c>
      <c r="P1130" t="n">
        <v>165.0437617102575</v>
      </c>
      <c r="Q1130" t="n">
        <v>169.1887848582849</v>
      </c>
    </row>
    <row r="1131">
      <c r="A1131" s="117" t="n">
        <v>46058</v>
      </c>
      <c r="B1131" s="118" t="n">
        <v>63.2012186765062</v>
      </c>
      <c r="C1131" s="118" t="n">
        <v>63.58521050967951</v>
      </c>
      <c r="D1131" s="118" t="n">
        <v>61.13356485459018</v>
      </c>
      <c r="E1131" s="118" t="n">
        <v>61.73416900634766</v>
      </c>
      <c r="F1131" s="119" t="n">
        <v>12506200</v>
      </c>
      <c r="G1131" s="120" t="n">
        <v>-0.02366869688416029</v>
      </c>
      <c r="H1131" s="121" t="n">
        <v>38.8069321290024</v>
      </c>
      <c r="I1131" s="118" t="n">
        <v>62.8805362701416</v>
      </c>
      <c r="J1131" s="118" t="n">
        <v>65.46070545196534</v>
      </c>
      <c r="K1131" s="120" t="n">
        <v>0.3200320311273785</v>
      </c>
      <c r="L1131" s="120" t="n">
        <v>-0.07494835496118135</v>
      </c>
      <c r="M1131" s="120" t="n">
        <v>-0.2147222027316952</v>
      </c>
      <c r="N1131" t="n">
        <v>47.07056765991941</v>
      </c>
      <c r="O1131" t="n">
        <v>-0.1883352518395497</v>
      </c>
      <c r="P1131" t="n">
        <v>162.9824832878736</v>
      </c>
      <c r="Q1131" t="n">
        <v>166.7532640628203</v>
      </c>
    </row>
    <row r="1132">
      <c r="A1132" s="117" t="n">
        <v>46059</v>
      </c>
      <c r="B1132" s="118" t="n">
        <v>62.03939299394511</v>
      </c>
      <c r="C1132" s="118" t="n">
        <v>63.25044563663491</v>
      </c>
      <c r="D1132" s="118" t="n">
        <v>62.02954868644787</v>
      </c>
      <c r="E1132" s="118" t="n">
        <v>62.93537521362305</v>
      </c>
      <c r="F1132" s="119" t="n">
        <v>11961500</v>
      </c>
      <c r="G1132" s="120" t="n">
        <v>0.0194577205234896</v>
      </c>
      <c r="H1132" s="121" t="n">
        <v>39.56202656874257</v>
      </c>
      <c r="I1132" s="118" t="n">
        <v>62.92745956420899</v>
      </c>
      <c r="J1132" s="118" t="n">
        <v>65.49953531265258</v>
      </c>
      <c r="K1132" s="120" t="n">
        <v>0.305691638505117</v>
      </c>
      <c r="L1132" s="120" t="n">
        <v>-0.0569489585822216</v>
      </c>
      <c r="M1132" s="120" t="n">
        <v>-0.199442486819147</v>
      </c>
      <c r="N1132" t="n">
        <v>51.22727159328146</v>
      </c>
      <c r="O1132" t="n">
        <v>-0.07705401517461835</v>
      </c>
      <c r="P1132" t="n">
        <v>166.1092674292134</v>
      </c>
      <c r="Q1132" t="n">
        <v>170.2780887968616</v>
      </c>
    </row>
    <row r="1133">
      <c r="A1133" s="117" t="n">
        <v>46062</v>
      </c>
      <c r="B1133" s="118" t="n">
        <v>62.59077017607868</v>
      </c>
      <c r="C1133" s="118" t="n">
        <v>62.92553298105936</v>
      </c>
      <c r="D1133" s="118" t="n">
        <v>61.40925417285653</v>
      </c>
      <c r="E1133" s="118" t="n">
        <v>61.44863891601562</v>
      </c>
      <c r="F1133" s="119" t="n">
        <v>12920800</v>
      </c>
      <c r="G1133" s="120" t="n">
        <v>-0.0236232213212515</v>
      </c>
      <c r="H1133" s="121" t="n">
        <v>38.62744405919193</v>
      </c>
      <c r="I1133" s="118" t="n">
        <v>62.91040588378906</v>
      </c>
      <c r="J1133" s="118" t="n">
        <v>65.52933616638184</v>
      </c>
      <c r="K1133" s="120" t="n">
        <v>0.3129943180978536</v>
      </c>
      <c r="L1133" s="120" t="n">
        <v>-0.07922686205087048</v>
      </c>
      <c r="M1133" s="120" t="n">
        <v>-0.2183542341334089</v>
      </c>
      <c r="N1133" t="n">
        <v>46.37306032776287</v>
      </c>
      <c r="O1133" t="n">
        <v>-0.09609038594414934</v>
      </c>
      <c r="P1133" t="n">
        <v>166.9102009218479</v>
      </c>
      <c r="Q1133" t="n">
        <v>171.5824408948627</v>
      </c>
    </row>
    <row r="1134">
      <c r="A1134" s="117" t="n">
        <v>46063</v>
      </c>
      <c r="B1134" s="118" t="n">
        <v>62.02955065117922</v>
      </c>
      <c r="C1134" s="118" t="n">
        <v>63.20122234505598</v>
      </c>
      <c r="D1134" s="118" t="n">
        <v>61.33048836272545</v>
      </c>
      <c r="E1134" s="118" t="n">
        <v>62.06893539428711</v>
      </c>
      <c r="F1134" s="119" t="n">
        <v>13003400</v>
      </c>
      <c r="G1134" s="120" t="n">
        <v>0.01009455195776221</v>
      </c>
      <c r="H1134" s="121" t="n">
        <v>39.01737080024299</v>
      </c>
      <c r="I1134" s="118" t="n">
        <v>62.8930394744873</v>
      </c>
      <c r="J1134" s="118" t="n">
        <v>65.55696908950806</v>
      </c>
      <c r="K1134" s="120" t="n">
        <v>0.3160874759289017</v>
      </c>
      <c r="L1134" s="120" t="n">
        <v>-0.06993206976853139</v>
      </c>
      <c r="M1134" s="120" t="n">
        <v>-0.2104638703373038</v>
      </c>
      <c r="N1134" t="n">
        <v>48.56305311747263</v>
      </c>
      <c r="O1134" t="n">
        <v>-0.06112447159965023</v>
      </c>
      <c r="P1134" t="n">
        <v>166.4700490794979</v>
      </c>
      <c r="Q1134" t="n">
        <v>170.7864124080303</v>
      </c>
    </row>
    <row r="1135">
      <c r="A1135" s="117" t="n">
        <v>46064</v>
      </c>
      <c r="B1135" s="118" t="n">
        <v>62.91568754403264</v>
      </c>
      <c r="C1135" s="118" t="n">
        <v>63.02399370780837</v>
      </c>
      <c r="D1135" s="118" t="n">
        <v>60.72988316509905</v>
      </c>
      <c r="E1135" s="118" t="n">
        <v>61.38956069946289</v>
      </c>
      <c r="F1135" s="119" t="n">
        <v>15511900</v>
      </c>
      <c r="G1135" s="120" t="n">
        <v>-0.01094548650639093</v>
      </c>
      <c r="H1135" s="121" t="n">
        <v>38.59030669463409</v>
      </c>
      <c r="I1135" s="118" t="n">
        <v>62.85621551513672</v>
      </c>
      <c r="J1135" s="118" t="n">
        <v>65.58536264419556</v>
      </c>
      <c r="K1135" s="120" t="n">
        <v>0.3143978578842386</v>
      </c>
      <c r="L1135" s="120" t="n">
        <v>-0.08011211574890675</v>
      </c>
      <c r="M1135" s="120" t="n">
        <v>-0.219105727390835</v>
      </c>
      <c r="N1135" t="n">
        <v>46.33138461083076</v>
      </c>
      <c r="O1135" t="n">
        <v>-0.07694660511532647</v>
      </c>
      <c r="P1135" t="n">
        <v>166.4315741648987</v>
      </c>
      <c r="Q1135" t="n">
        <v>171.2444812208782</v>
      </c>
    </row>
    <row r="1136">
      <c r="A1136" s="117" t="n">
        <v>46065</v>
      </c>
      <c r="B1136" s="118" t="n">
        <v>61.36986984928327</v>
      </c>
      <c r="C1136" s="118" t="n">
        <v>61.75386168436934</v>
      </c>
      <c r="D1136" s="118" t="n">
        <v>59.91266447910368</v>
      </c>
      <c r="E1136" s="118" t="n">
        <v>60.1588134765625</v>
      </c>
      <c r="F1136" s="119" t="n">
        <v>13602400</v>
      </c>
      <c r="G1136" s="120" t="n">
        <v>-0.02004815165440921</v>
      </c>
      <c r="H1136" s="121" t="n">
        <v>37.8166423736299</v>
      </c>
      <c r="I1136" s="118" t="n">
        <v>62.77173721313476</v>
      </c>
      <c r="J1136" s="118" t="n">
        <v>65.60910112380981</v>
      </c>
      <c r="K1136" s="120" t="n">
        <v>0.3190982396542743</v>
      </c>
      <c r="L1136" s="120" t="n">
        <v>-0.0985541675574263</v>
      </c>
      <c r="M1136" s="120" t="n">
        <v>-0.2347612141941631</v>
      </c>
      <c r="N1136" t="n">
        <v>42.51936880724001</v>
      </c>
      <c r="O1136" t="n">
        <v>-0.1587842104753365</v>
      </c>
      <c r="P1136" t="n">
        <v>163.8603961263269</v>
      </c>
      <c r="Q1136" t="n">
        <v>167.761555421037</v>
      </c>
    </row>
    <row r="1137">
      <c r="A1137" s="117" t="n">
        <v>46066</v>
      </c>
      <c r="B1137" s="118" t="n">
        <v>60.6412719659336</v>
      </c>
      <c r="C1137" s="118" t="n">
        <v>62.40369982871714</v>
      </c>
      <c r="D1137" s="118" t="n">
        <v>60.6412719659336</v>
      </c>
      <c r="E1137" s="118" t="n">
        <v>62.15755081176758</v>
      </c>
      <c r="F1137" s="119" t="n">
        <v>20180900</v>
      </c>
      <c r="G1137" s="120" t="n">
        <v>0.03322434768404747</v>
      </c>
      <c r="H1137" s="121" t="n">
        <v>39.07307564809467</v>
      </c>
      <c r="I1137" s="118" t="n">
        <v>62.73629180908203</v>
      </c>
      <c r="J1137" s="118" t="n">
        <v>65.64172138214111</v>
      </c>
      <c r="K1137" s="120" t="n">
        <v>0.3409158216012169</v>
      </c>
      <c r="L1137" s="120" t="n">
        <v>-0.06860421780201853</v>
      </c>
      <c r="M1137" s="120" t="n">
        <v>-0.2093366547132316</v>
      </c>
      <c r="N1137" t="n">
        <v>49.75015737786427</v>
      </c>
      <c r="O1137" t="n">
        <v>-0.07124891098402275</v>
      </c>
      <c r="P1137" t="n">
        <v>163.9758356284346</v>
      </c>
      <c r="Q1137" t="n">
        <v>168.1190462866165</v>
      </c>
    </row>
    <row r="1138">
      <c r="A1138" s="117" t="n">
        <v>46070</v>
      </c>
      <c r="B1138" s="118" t="n">
        <v>61.97047254837756</v>
      </c>
      <c r="C1138" s="118" t="n">
        <v>63.82151412963867</v>
      </c>
      <c r="D1138" s="118" t="n">
        <v>61.97047254837756</v>
      </c>
      <c r="E1138" s="118" t="n">
        <v>63.82151412963867</v>
      </c>
      <c r="F1138" s="119" t="n">
        <v>12347500</v>
      </c>
      <c r="G1138" s="120" t="n">
        <v>0.02677009142316589</v>
      </c>
      <c r="H1138" s="121" t="n">
        <v>40.11906545537843</v>
      </c>
      <c r="I1138" s="118" t="n">
        <v>62.71994743347168</v>
      </c>
      <c r="J1138" s="118" t="n">
        <v>65.68817260742188</v>
      </c>
      <c r="K1138" s="120" t="n">
        <v>0.3545814775007061</v>
      </c>
      <c r="L1138" s="120" t="n">
        <v>-0.04367066756142757</v>
      </c>
      <c r="M1138" s="120" t="n">
        <v>-0.1881705246749587</v>
      </c>
      <c r="N1138" t="n">
        <v>54.84301756624877</v>
      </c>
      <c r="O1138" t="n">
        <v>0.0966551939122911</v>
      </c>
      <c r="P1138" t="n">
        <v>164.2404078547559</v>
      </c>
      <c r="Q1138" t="n">
        <v>167.9458799737355</v>
      </c>
    </row>
    <row r="1139">
      <c r="A1139" s="117" t="n">
        <v>46071</v>
      </c>
      <c r="B1139" s="118" t="n">
        <v>63.31936354989882</v>
      </c>
      <c r="C1139" s="118" t="n">
        <v>65.13102401577947</v>
      </c>
      <c r="D1139" s="118" t="n">
        <v>63.31936354989882</v>
      </c>
      <c r="E1139" s="118" t="n">
        <v>64.54026794433594</v>
      </c>
      <c r="F1139" s="119" t="n">
        <v>11211500</v>
      </c>
      <c r="G1139" s="120" t="n">
        <v>0.01126193611197124</v>
      </c>
      <c r="H1139" s="121" t="n">
        <v>40.5708838074089</v>
      </c>
      <c r="I1139" s="118" t="n">
        <v>62.71719062805176</v>
      </c>
      <c r="J1139" s="118" t="n">
        <v>65.7364772605896</v>
      </c>
      <c r="K1139" s="120" t="n">
        <v>0.3534298035555197</v>
      </c>
      <c r="L1139" s="120" t="n">
        <v>-0.03290054771750017</v>
      </c>
      <c r="M1139" s="120" t="n">
        <v>-0.1790277529900328</v>
      </c>
      <c r="N1139" t="n">
        <v>56.87615001865343</v>
      </c>
      <c r="O1139" t="n">
        <v>0.2455897393578484</v>
      </c>
      <c r="P1139" t="n">
        <v>165.0678029975156</v>
      </c>
      <c r="Q1139" t="n">
        <v>169.1999772734159</v>
      </c>
    </row>
    <row r="1140">
      <c r="A1140" s="117" t="n">
        <v>46072</v>
      </c>
      <c r="B1140" s="118" t="n">
        <v>64.19565439183378</v>
      </c>
      <c r="C1140" s="118" t="n">
        <v>64.82579521318183</v>
      </c>
      <c r="D1140" s="118" t="n">
        <v>63.26029122285902</v>
      </c>
      <c r="E1140" s="118" t="n">
        <v>64.59934234619141</v>
      </c>
      <c r="F1140" s="119" t="n">
        <v>10778300</v>
      </c>
      <c r="G1140" s="120" t="n">
        <v>0.0009153107623665058</v>
      </c>
      <c r="H1140" s="121" t="n">
        <v>40.60801877399654</v>
      </c>
      <c r="I1140" s="118" t="n">
        <v>62.71226753234863</v>
      </c>
      <c r="J1140" s="118" t="n">
        <v>65.77623043060302</v>
      </c>
      <c r="K1140" s="120" t="n">
        <v>0.3395497093592538</v>
      </c>
      <c r="L1140" s="120" t="n">
        <v>-0.03201535118054721</v>
      </c>
      <c r="M1140" s="120" t="n">
        <v>-0.1782763082567405</v>
      </c>
      <c r="N1140" t="n">
        <v>57.04732285650832</v>
      </c>
      <c r="O1140" t="n">
        <v>0.3321681897763156</v>
      </c>
      <c r="P1140" t="n">
        <v>164.6324623642793</v>
      </c>
      <c r="Q1140" t="n">
        <v>168.5519620688189</v>
      </c>
    </row>
    <row r="1141">
      <c r="A1141" s="117" t="n">
        <v>46073</v>
      </c>
      <c r="B1141" s="118" t="n">
        <v>64.29412764782089</v>
      </c>
      <c r="C1141" s="118" t="n">
        <v>67.43498406519049</v>
      </c>
      <c r="D1141" s="118" t="n">
        <v>62.35447214964492</v>
      </c>
      <c r="E1141" s="118" t="n">
        <v>64.39258575439453</v>
      </c>
      <c r="F1141" s="119" t="n">
        <v>33436800</v>
      </c>
      <c r="G1141" s="120" t="n">
        <v>-0.003200599019860806</v>
      </c>
      <c r="H1141" s="121" t="n">
        <v>40.47804878891</v>
      </c>
      <c r="I1141" s="118" t="n">
        <v>62.74889465332031</v>
      </c>
      <c r="J1141" s="118" t="n">
        <v>65.82094440460205</v>
      </c>
      <c r="K1141" s="120" t="n">
        <v>0.3397798817071255</v>
      </c>
      <c r="L1141" s="120" t="n">
        <v>-0.03511348189879904</v>
      </c>
      <c r="M1141" s="120" t="n">
        <v>-0.1809063162991303</v>
      </c>
      <c r="N1141" t="n">
        <v>56.20641592545568</v>
      </c>
      <c r="O1141" t="n">
        <v>0.3574026709546421</v>
      </c>
      <c r="P1141" t="n">
        <v>165.8230595201906</v>
      </c>
      <c r="Q1141" t="n">
        <v>170.0434581828722</v>
      </c>
    </row>
    <row r="1142">
      <c r="A1142" s="117" t="n">
        <v>46076</v>
      </c>
      <c r="B1142" s="118" t="n">
        <v>63.60490242427272</v>
      </c>
      <c r="C1142" s="118" t="n">
        <v>63.96920566187249</v>
      </c>
      <c r="D1142" s="118" t="n">
        <v>61.09418328361855</v>
      </c>
      <c r="E1142" s="118" t="n">
        <v>62.1181640625</v>
      </c>
      <c r="F1142" s="119" t="n">
        <v>17748800</v>
      </c>
      <c r="G1142" s="120" t="n">
        <v>-0.03532117347437491</v>
      </c>
      <c r="H1142" s="121" t="n">
        <v>39.04831660573269</v>
      </c>
      <c r="I1142" s="118" t="n">
        <v>62.74416854858399</v>
      </c>
      <c r="J1142" s="118" t="n">
        <v>65.85578489303589</v>
      </c>
      <c r="K1142" s="120" t="n">
        <v>0.3619767064766514</v>
      </c>
      <c r="L1142" s="120" t="n">
        <v>-0.0691944059877373</v>
      </c>
      <c r="M1142" s="120" t="n">
        <v>-0.2098376663928935</v>
      </c>
      <c r="N1142" t="n">
        <v>47.85047723666857</v>
      </c>
      <c r="O1142" t="n">
        <v>0.2100969582142629</v>
      </c>
      <c r="P1142" t="n">
        <v>164.1297795617618</v>
      </c>
      <c r="Q1142" t="n">
        <v>167.9766035804614</v>
      </c>
    </row>
    <row r="1143">
      <c r="A1143" s="117" t="n">
        <v>46077</v>
      </c>
      <c r="B1143" s="118" t="n">
        <v>62.3052361128773</v>
      </c>
      <c r="C1143" s="118" t="n">
        <v>63.70336068466437</v>
      </c>
      <c r="D1143" s="118" t="n">
        <v>61.63571050623859</v>
      </c>
      <c r="E1143" s="118" t="n">
        <v>63.10275650024414</v>
      </c>
      <c r="F1143" s="119" t="n">
        <v>14296100</v>
      </c>
      <c r="G1143" s="120" t="n">
        <v>0.01585031451917174</v>
      </c>
      <c r="H1143" s="121" t="n">
        <v>39.66724470537775</v>
      </c>
      <c r="I1143" s="118" t="n">
        <v>62.71069221496582</v>
      </c>
      <c r="J1143" s="118" t="n">
        <v>65.88791011810302</v>
      </c>
      <c r="K1143" s="120" t="n">
        <v>0.3670568189988721</v>
      </c>
      <c r="L1143" s="120" t="n">
        <v>-0.05444084456643838</v>
      </c>
      <c r="M1143" s="120" t="n">
        <v>-0.1973133448840181</v>
      </c>
      <c r="N1143" t="n">
        <v>51.23055983097348</v>
      </c>
      <c r="O1143" t="n">
        <v>0.1698722180939493</v>
      </c>
      <c r="P1143" t="n">
        <v>165.3227528056096</v>
      </c>
      <c r="Q1143" t="n">
        <v>169.7809234255105</v>
      </c>
    </row>
    <row r="1144">
      <c r="A1144" s="117" t="n">
        <v>46078</v>
      </c>
      <c r="B1144" s="118" t="n">
        <v>62.9058393833342</v>
      </c>
      <c r="C1144" s="118" t="n">
        <v>63.23075787415979</v>
      </c>
      <c r="D1144" s="118" t="n">
        <v>62.28554283644448</v>
      </c>
      <c r="E1144" s="118" t="n">
        <v>62.42338943481445</v>
      </c>
      <c r="F1144" s="119" t="n">
        <v>9500800</v>
      </c>
      <c r="G1144" s="120" t="n">
        <v>-0.01076604419692917</v>
      </c>
      <c r="H1144" s="121" t="n">
        <v>39.24018539570925</v>
      </c>
      <c r="I1144" s="118" t="n">
        <v>62.6252294921875</v>
      </c>
      <c r="J1144" s="118" t="n">
        <v>65.91523653030396</v>
      </c>
      <c r="K1144" s="120" t="n">
        <v>0.3534455733624828</v>
      </c>
      <c r="L1144" s="120" t="n">
        <v>-0.06462077622464713</v>
      </c>
      <c r="M1144" s="120" t="n">
        <v>-0.205955104889282</v>
      </c>
      <c r="N1144" t="n">
        <v>48.87654006114526</v>
      </c>
      <c r="O1144" t="n">
        <v>0.0922952231276436</v>
      </c>
      <c r="P1144" t="n">
        <v>166.7177968322316</v>
      </c>
      <c r="Q1144" t="n">
        <v>172.2415972516205</v>
      </c>
    </row>
    <row r="1145">
      <c r="A1145" s="117" t="n">
        <v>46079</v>
      </c>
      <c r="B1145" s="118" t="n">
        <v>63.2209095418325</v>
      </c>
      <c r="C1145" s="118" t="n">
        <v>64.05781465644573</v>
      </c>
      <c r="D1145" s="118" t="n">
        <v>62.79753295276396</v>
      </c>
      <c r="E1145" s="118" t="n">
        <v>62.96491622924805</v>
      </c>
      <c r="F1145" s="119" t="n">
        <v>10319100</v>
      </c>
      <c r="G1145" s="120" t="n">
        <v>0.008675062333792116</v>
      </c>
      <c r="H1145" s="121" t="n">
        <v>39.58059645000659</v>
      </c>
      <c r="I1145" s="118" t="n">
        <v>62.5559139251709</v>
      </c>
      <c r="J1145" s="118" t="n">
        <v>65.94821952819824</v>
      </c>
      <c r="K1145" s="120" t="n">
        <v>0.3505823113899406</v>
      </c>
      <c r="L1145" s="120" t="n">
        <v>-0.05650630315266192</v>
      </c>
      <c r="M1145" s="120" t="n">
        <v>-0.1936395923711259</v>
      </c>
      <c r="N1145" t="n">
        <v>50.81653359594471</v>
      </c>
      <c r="O1145" t="n">
        <v>0.07307750714624114</v>
      </c>
      <c r="P1145" t="n">
        <v>165.7917719026416</v>
      </c>
      <c r="Q1145" t="n">
        <v>170.1635673217355</v>
      </c>
    </row>
    <row r="1146">
      <c r="A1146" s="117" t="n">
        <v>46080</v>
      </c>
      <c r="B1146" s="118" t="n">
        <v>61.75386215281055</v>
      </c>
      <c r="C1146" s="118" t="n">
        <v>61.75386215281055</v>
      </c>
      <c r="D1146" s="118" t="n">
        <v>60.57234620485853</v>
      </c>
      <c r="E1146" s="118" t="n">
        <v>61.2221794128418</v>
      </c>
      <c r="F1146" s="119" t="n">
        <v>18017400</v>
      </c>
      <c r="G1146" s="120" t="n">
        <v>-0.0276779025649958</v>
      </c>
      <c r="H1146" s="121" t="n">
        <v>38.48508855799889</v>
      </c>
      <c r="I1146" s="118" t="n">
        <v>62.44563919067383</v>
      </c>
      <c r="J1146" s="118" t="n">
        <v>65.95179790496826</v>
      </c>
      <c r="K1146" s="120" t="n">
        <v>0.3650889104194249</v>
      </c>
      <c r="L1146" s="120" t="n">
        <v>-0.0826202297646903</v>
      </c>
      <c r="M1146" s="120" t="n">
        <v>-0.2061814269815754</v>
      </c>
      <c r="N1146" t="n">
        <v>44.91015673212094</v>
      </c>
      <c r="O1146" t="n">
        <v>-0.05449724455537244</v>
      </c>
      <c r="P1146" t="n">
        <v>164.9956496191207</v>
      </c>
      <c r="Q1146" t="n">
        <v>169.6189324401038</v>
      </c>
    </row>
    <row r="1147">
      <c r="A1147" s="117" t="n">
        <v>46083</v>
      </c>
      <c r="B1147" s="118" t="n">
        <v>59.3687652996699</v>
      </c>
      <c r="C1147" s="118" t="n">
        <v>60.98430656698472</v>
      </c>
      <c r="D1147" s="118" t="n">
        <v>58.61550340812185</v>
      </c>
      <c r="E1147" s="118" t="n">
        <v>60.46891784667969</v>
      </c>
      <c r="F1147" s="119" t="n">
        <v>15335000</v>
      </c>
      <c r="G1147" s="120" t="n">
        <v>-0.01230373654427774</v>
      </c>
      <c r="H1147" s="121" t="n">
        <v>38.01157816749807</v>
      </c>
      <c r="I1147" s="118" t="n">
        <v>62.3332958984375</v>
      </c>
      <c r="J1147" s="118" t="n">
        <v>65.95252847671509</v>
      </c>
      <c r="K1147" s="120" t="n">
        <v>0.3649466920990692</v>
      </c>
      <c r="L1147" s="120" t="n">
        <v>-0.0939074287687155</v>
      </c>
      <c r="M1147" s="120" t="n">
        <v>-0.2159483615679486</v>
      </c>
      <c r="N1147" t="n">
        <v>42.60512631368909</v>
      </c>
      <c r="O1147" t="n">
        <v>-0.1800301986103318</v>
      </c>
      <c r="P1147" t="n">
        <v>165.0894534385271</v>
      </c>
      <c r="Q1147" t="n">
        <v>169.8423706389623</v>
      </c>
    </row>
    <row r="1148">
      <c r="A1148" s="117" t="n">
        <v>46084</v>
      </c>
      <c r="B1148" s="118" t="n">
        <v>58.91284468954928</v>
      </c>
      <c r="C1148" s="118" t="n">
        <v>59.57690464439405</v>
      </c>
      <c r="D1148" s="118" t="n">
        <v>58.10011730424026</v>
      </c>
      <c r="E1148" s="118" t="n">
        <v>58.86328887939453</v>
      </c>
      <c r="F1148" s="119" t="n">
        <v>17438600</v>
      </c>
      <c r="G1148" s="120" t="n">
        <v>-0.026552963480449</v>
      </c>
      <c r="H1148" s="121" t="n">
        <v>37.00225812058227</v>
      </c>
      <c r="I1148" s="118" t="n">
        <v>62.21699951171875</v>
      </c>
      <c r="J1148" s="118" t="n">
        <v>65.94842159271241</v>
      </c>
      <c r="K1148" s="120" t="n">
        <v>0.3758968724596103</v>
      </c>
      <c r="L1148" s="120" t="n">
        <v>-0.1179668717225258</v>
      </c>
      <c r="M1148" s="120" t="n">
        <v>-0.236767256090021</v>
      </c>
      <c r="N1148" t="n">
        <v>38.11450490762232</v>
      </c>
      <c r="O1148" t="n">
        <v>-0.3516885195866334</v>
      </c>
      <c r="P1148" t="n">
        <v>163.6343135729148</v>
      </c>
      <c r="Q1148" t="n">
        <v>168.0240901783987</v>
      </c>
    </row>
    <row r="1149">
      <c r="A1149" s="117" t="n">
        <v>46085</v>
      </c>
      <c r="B1149" s="118" t="n">
        <v>58.66505934682952</v>
      </c>
      <c r="C1149" s="118" t="n">
        <v>58.96240175676261</v>
      </c>
      <c r="D1149" s="118" t="n">
        <v>58.09020516808152</v>
      </c>
      <c r="E1149" s="118" t="n">
        <v>58.11993789672852</v>
      </c>
      <c r="F1149" s="119" t="n">
        <v>15971300</v>
      </c>
      <c r="G1149" s="120" t="n">
        <v>-0.01262843101052458</v>
      </c>
      <c r="H1149" s="121" t="n">
        <v>36.53497765667287</v>
      </c>
      <c r="I1149" s="118" t="n">
        <v>62.08701759338379</v>
      </c>
      <c r="J1149" s="118" t="n">
        <v>65.93735891342163</v>
      </c>
      <c r="K1149" s="120" t="n">
        <v>0.3719587343733333</v>
      </c>
      <c r="L1149" s="120" t="n">
        <v>-0.1291055662319752</v>
      </c>
      <c r="M1149" s="120" t="n">
        <v>-0.2464056881414616</v>
      </c>
      <c r="N1149" t="n">
        <v>36.21156410833493</v>
      </c>
      <c r="O1149" t="n">
        <v>-0.4874285782996786</v>
      </c>
      <c r="P1149" t="n">
        <v>164.7888119021634</v>
      </c>
      <c r="Q1149" t="n">
        <v>170.5853077764636</v>
      </c>
    </row>
    <row r="1150">
      <c r="A1150" s="117" t="n">
        <v>46086</v>
      </c>
      <c r="B1150" s="118" t="n">
        <v>58.08029395903205</v>
      </c>
      <c r="C1150" s="118" t="n">
        <v>58.26861132997332</v>
      </c>
      <c r="D1150" s="118" t="n">
        <v>56.92067212706421</v>
      </c>
      <c r="E1150" s="118" t="n">
        <v>57.50543975830078</v>
      </c>
      <c r="F1150" s="119" t="n">
        <v>22040200</v>
      </c>
      <c r="G1150" s="120" t="n">
        <v>-0.01057293177978991</v>
      </c>
      <c r="H1150" s="121" t="n">
        <v>36.14869583033272</v>
      </c>
      <c r="I1150" s="118" t="n">
        <v>62.08101371765137</v>
      </c>
      <c r="J1150" s="118" t="n">
        <v>65.91979139328004</v>
      </c>
      <c r="K1150" s="120" t="n">
        <v>0.3100519771993757</v>
      </c>
      <c r="L1150" s="120" t="n">
        <v>-0.1383134736676032</v>
      </c>
      <c r="M1150" s="120" t="n">
        <v>-0.2543733893903796</v>
      </c>
      <c r="N1150" t="n">
        <v>34.67054848424354</v>
      </c>
      <c r="O1150" t="n">
        <v>-0.5842060120787727</v>
      </c>
      <c r="P1150" t="n">
        <v>163.870003786244</v>
      </c>
      <c r="Q1150" t="n">
        <v>170.0713965015578</v>
      </c>
    </row>
    <row r="1151">
      <c r="A1151" s="117" t="n">
        <v>46087</v>
      </c>
      <c r="B1151" s="118" t="n">
        <v>56.9603178090165</v>
      </c>
      <c r="C1151" s="118" t="n">
        <v>57.03960634806334</v>
      </c>
      <c r="D1151" s="118" t="n">
        <v>56.25661170282152</v>
      </c>
      <c r="E1151" s="118" t="n">
        <v>56.50439453125</v>
      </c>
      <c r="F1151" s="119" t="n">
        <v>16323700</v>
      </c>
      <c r="G1151" s="120" t="n">
        <v>-0.01740783535015544</v>
      </c>
      <c r="H1151" s="121" t="n">
        <v>35.51942528519543</v>
      </c>
      <c r="I1151" s="118" t="n">
        <v>62.08432991027832</v>
      </c>
      <c r="J1151" s="118" t="n">
        <v>65.90219799041748</v>
      </c>
      <c r="K1151" s="120" t="n">
        <v>0.3056982816379234</v>
      </c>
      <c r="L1151" s="120" t="n">
        <v>-0.153313570841445</v>
      </c>
      <c r="M1151" s="120" t="n">
        <v>-0.2673531346605663</v>
      </c>
      <c r="N1151" t="n">
        <v>32.26193052255209</v>
      </c>
      <c r="O1151" t="n">
        <v>-0.6748262028621119</v>
      </c>
      <c r="P1151" t="n">
        <v>161.7221383581242</v>
      </c>
      <c r="Q1151" t="n">
        <v>167.5129641915331</v>
      </c>
    </row>
    <row r="1152">
      <c r="A1152" s="117" t="n">
        <v>46090</v>
      </c>
      <c r="B1152" s="118" t="n">
        <v>55.24566132347709</v>
      </c>
      <c r="C1152" s="118" t="n">
        <v>56.20705613085387</v>
      </c>
      <c r="D1152" s="118" t="n">
        <v>54.89876309369158</v>
      </c>
      <c r="E1152" s="118" t="n">
        <v>56.02865219116211</v>
      </c>
      <c r="F1152" s="119" t="n">
        <v>18053100</v>
      </c>
      <c r="G1152" s="120" t="n">
        <v>-0.008419563540757458</v>
      </c>
      <c r="H1152" s="121" t="n">
        <v>35.22036722707554</v>
      </c>
      <c r="I1152" s="118" t="n">
        <v>62.07576820373535</v>
      </c>
      <c r="J1152" s="118" t="n">
        <v>65.8799054145813</v>
      </c>
      <c r="K1152" s="120" t="n">
        <v>0.2927788299546735</v>
      </c>
      <c r="L1152" s="120" t="n">
        <v>-0.1604423010308426</v>
      </c>
      <c r="M1152" s="120" t="n">
        <v>-0.2735217014962286</v>
      </c>
      <c r="N1152" t="n">
        <v>31.15421852666131</v>
      </c>
      <c r="O1152" t="n">
        <v>-0.7217750244154313</v>
      </c>
      <c r="P1152" t="n">
        <v>163.1388180674475</v>
      </c>
      <c r="Q1152" t="n">
        <v>169.7501998187847</v>
      </c>
    </row>
    <row r="1153">
      <c r="A1153" s="117" t="n">
        <v>46091</v>
      </c>
      <c r="B1153" s="118" t="n">
        <v>56.19714576690576</v>
      </c>
      <c r="C1153" s="118" t="n">
        <v>56.73235757917769</v>
      </c>
      <c r="D1153" s="118" t="n">
        <v>55.30512607978587</v>
      </c>
      <c r="E1153" s="118" t="n">
        <v>55.58264541625977</v>
      </c>
      <c r="F1153" s="119" t="n">
        <v>15706400</v>
      </c>
      <c r="G1153" s="120" t="n">
        <v>-0.007960333819571952</v>
      </c>
      <c r="H1153" s="121" t="n">
        <v>34.94000134670011</v>
      </c>
      <c r="I1153" s="118" t="n">
        <v>62.00590583801269</v>
      </c>
      <c r="J1153" s="118" t="n">
        <v>65.86785539627076</v>
      </c>
      <c r="K1153" s="120" t="n">
        <v>0.2851952644989085</v>
      </c>
      <c r="L1153" s="120" t="n">
        <v>-0.1671254605754287</v>
      </c>
      <c r="M1153" s="120" t="n">
        <v>-0.2793047112649932</v>
      </c>
      <c r="N1153" t="n">
        <v>30.11044096207013</v>
      </c>
      <c r="O1153" t="n">
        <v>-0.7353476174021485</v>
      </c>
      <c r="P1153" t="n">
        <v>162.876651445683</v>
      </c>
      <c r="Q1153" t="n">
        <v>169.7530021944816</v>
      </c>
    </row>
    <row r="1154">
      <c r="A1154" s="117" t="n">
        <v>46092</v>
      </c>
      <c r="B1154" s="118" t="n">
        <v>57.08915987817863</v>
      </c>
      <c r="C1154" s="118" t="n">
        <v>57.08915987817863</v>
      </c>
      <c r="D1154" s="118" t="n">
        <v>54.91858374892139</v>
      </c>
      <c r="E1154" s="118" t="n">
        <v>55.20601272583008</v>
      </c>
      <c r="F1154" s="119" t="n">
        <v>20245300</v>
      </c>
      <c r="G1154" s="120" t="n">
        <v>-0.006776084290502471</v>
      </c>
      <c r="H1154" s="121" t="n">
        <v>34.7032449524646</v>
      </c>
      <c r="I1154" s="118" t="n">
        <v>61.91019737243652</v>
      </c>
      <c r="J1154" s="118" t="n">
        <v>65.84744421005249</v>
      </c>
      <c r="K1154" s="120" t="n">
        <v>0.2797039576074584</v>
      </c>
      <c r="L1154" s="120" t="n">
        <v>-0.172769088657983</v>
      </c>
      <c r="M1154" s="120" t="n">
        <v>-0.2841882032892297</v>
      </c>
      <c r="N1154" t="n">
        <v>29.22014440494209</v>
      </c>
      <c r="O1154" t="n">
        <v>-0.7211858412101892</v>
      </c>
      <c r="P1154" t="n">
        <v>162.6722193332826</v>
      </c>
      <c r="Q1154" t="n">
        <v>169.7306344518764</v>
      </c>
    </row>
    <row r="1155">
      <c r="A1155" s="117" t="n">
        <v>46093</v>
      </c>
      <c r="B1155" s="118" t="n">
        <v>54.78973926315801</v>
      </c>
      <c r="C1155" s="118" t="n">
        <v>54.96814320682024</v>
      </c>
      <c r="D1155" s="118" t="n">
        <v>53.55082508820696</v>
      </c>
      <c r="E1155" s="118" t="n">
        <v>53.64994049072266</v>
      </c>
      <c r="F1155" s="119" t="n">
        <v>18611800</v>
      </c>
      <c r="G1155" s="120" t="n">
        <v>-0.02818664414029237</v>
      </c>
      <c r="H1155" s="121" t="n">
        <v>33.72507693647609</v>
      </c>
      <c r="I1155" s="118" t="n">
        <v>61.77785377502441</v>
      </c>
      <c r="J1155" s="118" t="n">
        <v>65.82553728103638</v>
      </c>
      <c r="K1155" s="120" t="n">
        <v>0.2904847518480557</v>
      </c>
      <c r="L1155" s="120" t="n">
        <v>-0.1960859519778302</v>
      </c>
      <c r="M1155" s="120" t="n">
        <v>-0.3043645356745394</v>
      </c>
      <c r="N1155" t="n">
        <v>25.8229537547127</v>
      </c>
      <c r="O1155" t="n">
        <v>-0.7640084313727551</v>
      </c>
      <c r="P1155" t="n">
        <v>160.2020471694774</v>
      </c>
      <c r="Q1155" t="n">
        <v>166.8174965643123</v>
      </c>
    </row>
    <row r="1156">
      <c r="A1156" s="117" t="n">
        <v>46094</v>
      </c>
      <c r="B1156" s="118" t="n">
        <v>53.85807434815711</v>
      </c>
      <c r="C1156" s="118" t="n">
        <v>54.38337272098835</v>
      </c>
      <c r="D1156" s="118" t="n">
        <v>53.26339708762612</v>
      </c>
      <c r="E1156" s="118" t="n">
        <v>53.50126647949219</v>
      </c>
      <c r="F1156" s="119" t="n">
        <v>14377100</v>
      </c>
      <c r="G1156" s="120" t="n">
        <v>-0.002771186880555443</v>
      </c>
      <c r="H1156" s="121" t="n">
        <v>33.631618445724</v>
      </c>
      <c r="I1156" s="118" t="n">
        <v>61.6429305267334</v>
      </c>
      <c r="J1156" s="118" t="n">
        <v>65.78930252075196</v>
      </c>
      <c r="K1156" s="120" t="n">
        <v>0.2862850962264503</v>
      </c>
      <c r="L1156" s="120" t="n">
        <v>-0.1904306551520509</v>
      </c>
      <c r="M1156" s="120" t="n">
        <v>-0.3062922715469272</v>
      </c>
      <c r="N1156" t="n">
        <v>25.51769439930347</v>
      </c>
      <c r="O1156" t="n">
        <v>-0.7487446909913302</v>
      </c>
      <c r="P1156" t="n">
        <v>159.2952818346523</v>
      </c>
      <c r="Q1156" t="n">
        <v>165.8287534853473</v>
      </c>
    </row>
    <row r="1157">
      <c r="A1157" s="117" t="n">
        <v>46097</v>
      </c>
      <c r="B1157" s="118" t="n">
        <v>53.78869604866507</v>
      </c>
      <c r="C1157" s="118" t="n">
        <v>54.58160033166583</v>
      </c>
      <c r="D1157" s="118" t="n">
        <v>53.50126706455672</v>
      </c>
      <c r="E1157" s="118" t="n">
        <v>54.30408477783203</v>
      </c>
      <c r="F1157" s="119" t="n">
        <v>13115200</v>
      </c>
      <c r="G1157" s="120" t="n">
        <v>0.01500559428154058</v>
      </c>
      <c r="H1157" s="121" t="n">
        <v>34.13628086715211</v>
      </c>
      <c r="I1157" s="118" t="n">
        <v>61.4744400024414</v>
      </c>
      <c r="J1157" s="118" t="n">
        <v>65.76215791702271</v>
      </c>
      <c r="K1157" s="120" t="n">
        <v>0.2594876316573029</v>
      </c>
      <c r="L1157" s="120" t="n">
        <v>-0.1681196071345589</v>
      </c>
      <c r="M1157" s="120" t="n">
        <v>-0.2958827748237912</v>
      </c>
      <c r="N1157" t="n">
        <v>30.30851255137402</v>
      </c>
      <c r="O1157" t="n">
        <v>-0.6354451574935922</v>
      </c>
      <c r="P1157" t="n">
        <v>160.9164084146862</v>
      </c>
      <c r="Q1157" t="n">
        <v>167.688932880111</v>
      </c>
    </row>
    <row r="1158">
      <c r="A1158" s="117" t="n">
        <v>46098</v>
      </c>
      <c r="B1158" s="118" t="n">
        <v>54.95823206953708</v>
      </c>
      <c r="C1158" s="118" t="n">
        <v>55.18619181785433</v>
      </c>
      <c r="D1158" s="118" t="n">
        <v>54.51222222245291</v>
      </c>
      <c r="E1158" s="118" t="n">
        <v>54.63115692138672</v>
      </c>
      <c r="F1158" s="119" t="n">
        <v>9861400</v>
      </c>
      <c r="G1158" s="120" t="n">
        <v>0.006022974973112882</v>
      </c>
      <c r="H1158" s="121" t="n">
        <v>34.34188283249011</v>
      </c>
      <c r="I1158" s="118" t="n">
        <v>61.32095840454102</v>
      </c>
      <c r="J1158" s="118" t="n">
        <v>65.73829233169556</v>
      </c>
      <c r="K1158" s="120" t="n">
        <v>0.2332177425376638</v>
      </c>
      <c r="L1158" s="120" t="n">
        <v>-0.1631092123477071</v>
      </c>
      <c r="M1158" s="120" t="n">
        <v>-0.2916418943984173</v>
      </c>
      <c r="N1158" t="n">
        <v>32.22127461634787</v>
      </c>
      <c r="O1158" t="n">
        <v>-0.4955507370213865</v>
      </c>
      <c r="P1158" t="n">
        <v>161.3397062668282</v>
      </c>
      <c r="Q1158" t="n">
        <v>168.5072949342353</v>
      </c>
    </row>
    <row r="1159">
      <c r="A1159" s="117" t="n">
        <v>46099</v>
      </c>
      <c r="B1159" s="118" t="n">
        <v>54.01665642898114</v>
      </c>
      <c r="C1159" s="118" t="n">
        <v>54.47257592446014</v>
      </c>
      <c r="D1159" s="118" t="n">
        <v>52.78765194022699</v>
      </c>
      <c r="E1159" s="118" t="n">
        <v>52.99579238891602</v>
      </c>
      <c r="F1159" s="119" t="n">
        <v>16861300</v>
      </c>
      <c r="G1159" s="120" t="n">
        <v>-0.02993464946795776</v>
      </c>
      <c r="H1159" s="121" t="n">
        <v>33.31387060782985</v>
      </c>
      <c r="I1159" s="118" t="n">
        <v>61.11015464782715</v>
      </c>
      <c r="J1159" s="118" t="n">
        <v>65.7103590965271</v>
      </c>
      <c r="K1159" s="120" t="n">
        <v>0.2347722750736697</v>
      </c>
      <c r="L1159" s="120" t="n">
        <v>-0.1881612447190416</v>
      </c>
      <c r="M1159" s="120" t="n">
        <v>-0.3128463459873871</v>
      </c>
      <c r="N1159" t="n">
        <v>28.07251527170281</v>
      </c>
      <c r="O1159" t="n">
        <v>-0.470429316992645</v>
      </c>
      <c r="P1159" t="n">
        <v>159.0884293593848</v>
      </c>
      <c r="Q1159" t="n">
        <v>166.1583572952112</v>
      </c>
    </row>
    <row r="1160">
      <c r="A1160" s="117" t="n">
        <v>46100</v>
      </c>
      <c r="B1160" s="118" t="n">
        <v>52.43084877990165</v>
      </c>
      <c r="C1160" s="118" t="n">
        <v>53.15437419586343</v>
      </c>
      <c r="D1160" s="118" t="n">
        <v>52.12359670701406</v>
      </c>
      <c r="E1160" s="118" t="n">
        <v>52.96605682373047</v>
      </c>
      <c r="F1160" s="119" t="n">
        <v>12307700</v>
      </c>
      <c r="G1160" s="120" t="n">
        <v>-0.0005610929442724233</v>
      </c>
      <c r="H1160" s="121" t="n">
        <v>33.29517843008539</v>
      </c>
      <c r="I1160" s="118" t="n">
        <v>60.88260871887207</v>
      </c>
      <c r="J1160" s="118" t="n">
        <v>65.67556148529053</v>
      </c>
      <c r="K1160" s="120" t="n">
        <v>0.2339438645533866</v>
      </c>
      <c r="L1160" s="120" t="n">
        <v>-0.1886167617165165</v>
      </c>
      <c r="M1160" s="120" t="n">
        <v>-0.3132319030542846</v>
      </c>
      <c r="N1160" t="n">
        <v>28.00191448205121</v>
      </c>
      <c r="O1160" t="n">
        <v>-0.4150226032468383</v>
      </c>
      <c r="P1160" t="n">
        <v>158.6963748498614</v>
      </c>
      <c r="Q1160" t="n">
        <v>165.6332536051745</v>
      </c>
    </row>
    <row r="1161">
      <c r="A1161" s="117" t="n">
        <v>46101</v>
      </c>
      <c r="B1161" s="118" t="n">
        <v>52.47048881037924</v>
      </c>
      <c r="C1161" s="118" t="n">
        <v>53.13454873666556</v>
      </c>
      <c r="D1161" s="118" t="n">
        <v>51.71723069817</v>
      </c>
      <c r="E1161" s="118" t="n">
        <v>51.90554428100586</v>
      </c>
      <c r="F1161" s="119" t="n">
        <v>19566100</v>
      </c>
      <c r="G1161" s="120" t="n">
        <v>-0.02002249376905596</v>
      </c>
      <c r="H1161" s="121" t="n">
        <v>32.6285259274294</v>
      </c>
      <c r="I1161" s="118" t="n">
        <v>60.67579643249512</v>
      </c>
      <c r="J1161" s="118" t="n">
        <v>65.63156812667847</v>
      </c>
      <c r="K1161" s="120" t="n">
        <v>0.2352910281685413</v>
      </c>
      <c r="L1161" s="120" t="n">
        <v>-0.204862677549364</v>
      </c>
      <c r="M1161" s="120" t="n">
        <v>-0.3269827129961667</v>
      </c>
      <c r="N1161" t="n">
        <v>25.53534032370217</v>
      </c>
      <c r="O1161" t="n">
        <v>-0.4083740237729545</v>
      </c>
      <c r="P1161" t="n">
        <v>156.4213518213632</v>
      </c>
      <c r="Q1161" t="n">
        <v>162.5720682600615</v>
      </c>
    </row>
    <row r="1162">
      <c r="A1162" s="117" t="n">
        <v>46104</v>
      </c>
      <c r="B1162" s="118" t="n">
        <v>52.80747537109458</v>
      </c>
      <c r="C1162" s="118" t="n">
        <v>53.08499471090233</v>
      </c>
      <c r="D1162" s="118" t="n">
        <v>52.06412688318676</v>
      </c>
      <c r="E1162" s="118" t="n">
        <v>52.24253082275391</v>
      </c>
      <c r="F1162" s="119" t="n">
        <v>15242700</v>
      </c>
      <c r="G1162" s="120" t="n">
        <v>0.00649230340257434</v>
      </c>
      <c r="H1162" s="121" t="n">
        <v>32.84036021732904</v>
      </c>
      <c r="I1162" s="118" t="n">
        <v>60.43555229187012</v>
      </c>
      <c r="J1162" s="118" t="n">
        <v>65.58731309890747</v>
      </c>
      <c r="K1162" s="120" t="n">
        <v>0.2235816599421554</v>
      </c>
      <c r="L1162" s="120" t="n">
        <v>-0.1997004048053038</v>
      </c>
      <c r="M1162" s="120" t="n">
        <v>-0.3226132805737604</v>
      </c>
      <c r="N1162" t="n">
        <v>27.71425656016234</v>
      </c>
      <c r="O1162" t="n">
        <v>-0.3425187340168443</v>
      </c>
      <c r="P1162" t="n">
        <v>158.0637746429647</v>
      </c>
      <c r="Q1162" t="n">
        <v>164.4382283346662</v>
      </c>
    </row>
    <row r="1163">
      <c r="A1163" s="117" t="n">
        <v>46105</v>
      </c>
      <c r="B1163" s="118" t="n">
        <v>51.8956341566726</v>
      </c>
      <c r="C1163" s="118" t="n">
        <v>53.60038115931096</v>
      </c>
      <c r="D1163" s="118" t="n">
        <v>51.80643219070046</v>
      </c>
      <c r="E1163" s="118" t="n">
        <v>53.0156135559082</v>
      </c>
      <c r="F1163" s="119" t="n">
        <v>12073800</v>
      </c>
      <c r="G1163" s="120" t="n">
        <v>0.01479795716209042</v>
      </c>
      <c r="H1163" s="121" t="n">
        <v>33.3263304610127</v>
      </c>
      <c r="I1163" s="118" t="n">
        <v>60.19777328491211</v>
      </c>
      <c r="J1163" s="118" t="n">
        <v>65.54741016387939</v>
      </c>
      <c r="K1163" s="120" t="n">
        <v>0.222086194518418</v>
      </c>
      <c r="L1163" s="120" t="n">
        <v>-0.1878576056787744</v>
      </c>
      <c r="M1163" s="120" t="n">
        <v>-0.312589340917522</v>
      </c>
      <c r="N1163" t="n">
        <v>32.58761252194031</v>
      </c>
      <c r="O1163" t="n">
        <v>-0.2143947587755761</v>
      </c>
      <c r="P1163" t="n">
        <v>157.5331838759258</v>
      </c>
      <c r="Q1163" t="n">
        <v>163.3139972258182</v>
      </c>
    </row>
    <row r="1164">
      <c r="A1164" s="117" t="n">
        <v>46106</v>
      </c>
      <c r="B1164" s="118" t="n">
        <v>53.28321685225985</v>
      </c>
      <c r="C1164" s="118" t="n">
        <v>53.73914012224481</v>
      </c>
      <c r="D1164" s="118" t="n">
        <v>52.09386232079537</v>
      </c>
      <c r="E1164" s="118" t="n">
        <v>52.51013565063477</v>
      </c>
      <c r="F1164" s="119" t="n">
        <v>13427100</v>
      </c>
      <c r="G1164" s="120" t="n">
        <v>-0.009534510144646013</v>
      </c>
      <c r="H1164" s="121" t="n">
        <v>33.00858022514834</v>
      </c>
      <c r="I1164" s="118" t="n">
        <v>59.95539833068847</v>
      </c>
      <c r="J1164" s="118" t="n">
        <v>65.50434719085693</v>
      </c>
      <c r="K1164" s="120" t="n">
        <v>0.2219682165422516</v>
      </c>
      <c r="L1164" s="120" t="n">
        <v>-0.1956009855763272</v>
      </c>
      <c r="M1164" s="120" t="n">
        <v>-0.3191434648200816</v>
      </c>
      <c r="N1164" t="n">
        <v>31.1107279858026</v>
      </c>
      <c r="O1164" t="n">
        <v>-0.1350645522849163</v>
      </c>
      <c r="P1164" t="n">
        <v>158.4110671977587</v>
      </c>
      <c r="Q1164" t="n">
        <v>164.3878880980619</v>
      </c>
    </row>
    <row r="1165">
      <c r="A1165" s="117" t="n">
        <v>46107</v>
      </c>
      <c r="B1165" s="118" t="n">
        <v>52.29208695461357</v>
      </c>
      <c r="C1165" s="118" t="n">
        <v>53.14446049760458</v>
      </c>
      <c r="D1165" s="118" t="n">
        <v>51.40998068180017</v>
      </c>
      <c r="E1165" s="118" t="n">
        <v>51.60820770263672</v>
      </c>
      <c r="F1165" s="119" t="n">
        <v>14486700</v>
      </c>
      <c r="G1165" s="120" t="n">
        <v>-0.01717626391214899</v>
      </c>
      <c r="H1165" s="121" t="n">
        <v>32.44161613983586</v>
      </c>
      <c r="I1165" s="118" t="n">
        <v>59.6819881439209</v>
      </c>
      <c r="J1165" s="118" t="n">
        <v>65.46110572814942</v>
      </c>
      <c r="K1165" s="120" t="n">
        <v>0.214247219413134</v>
      </c>
      <c r="L1165" s="120" t="n">
        <v>-0.2094175553387406</v>
      </c>
      <c r="M1165" s="120" t="n">
        <v>-0.3308380363546433</v>
      </c>
      <c r="N1165" t="n">
        <v>28.6184606781202</v>
      </c>
      <c r="O1165" t="n">
        <v>-0.1154686313776438</v>
      </c>
      <c r="P1165" t="n">
        <v>155.5820467223006</v>
      </c>
      <c r="Q1165" t="n">
        <v>160.4642887198818</v>
      </c>
    </row>
    <row r="1166">
      <c r="A1166" s="117" t="n">
        <v>46108</v>
      </c>
      <c r="B1166" s="118" t="n">
        <v>51.25139824293279</v>
      </c>
      <c r="C1166" s="118" t="n">
        <v>51.64785227239643</v>
      </c>
      <c r="D1166" s="118" t="n">
        <v>50.74592294718918</v>
      </c>
      <c r="E1166" s="118" t="n">
        <v>50.91441345214844</v>
      </c>
      <c r="F1166" s="119" t="n">
        <v>13077800</v>
      </c>
      <c r="G1166" s="120" t="n">
        <v>-0.01344348663464312</v>
      </c>
      <c r="H1166" s="121" t="n">
        <v>32.00548770685375</v>
      </c>
      <c r="I1166" s="118" t="n">
        <v>59.40907722473145</v>
      </c>
      <c r="J1166" s="118" t="n">
        <v>65.40485704421997</v>
      </c>
      <c r="K1166" s="120" t="n">
        <v>0.204224328917764</v>
      </c>
      <c r="L1166" s="120" t="n">
        <v>-0.2200457398671278</v>
      </c>
      <c r="M1166" s="120" t="n">
        <v>-0.3398339062693211</v>
      </c>
      <c r="N1166" t="n">
        <v>26.83743958841282</v>
      </c>
      <c r="O1166" t="n">
        <v>-0.120794471278673</v>
      </c>
      <c r="P1166" t="n">
        <v>152.9290781287963</v>
      </c>
      <c r="Q1166" t="n">
        <v>157.3293530485013</v>
      </c>
    </row>
    <row r="1167">
      <c r="A1167" s="117" t="n">
        <v>46111</v>
      </c>
      <c r="B1167" s="118" t="n">
        <v>50.97388181860143</v>
      </c>
      <c r="C1167" s="118" t="n">
        <v>51.72713992465417</v>
      </c>
      <c r="D1167" s="118" t="n">
        <v>50.4981392599051</v>
      </c>
      <c r="E1167" s="118" t="n">
        <v>50.78556823730469</v>
      </c>
      <c r="F1167" s="119" t="n">
        <v>16869200</v>
      </c>
      <c r="G1167" s="120" t="n">
        <v>-0.002530623572141177</v>
      </c>
      <c r="H1167" s="121" t="n">
        <v>31.92449386522491</v>
      </c>
      <c r="I1167" s="118" t="n">
        <v>59.15288757324219</v>
      </c>
      <c r="J1167" s="118" t="n">
        <v>65.35166261672974</v>
      </c>
      <c r="K1167" s="120" t="n">
        <v>0.2051332113056591</v>
      </c>
      <c r="L1167" s="120" t="n">
        <v>-0.2220195105030122</v>
      </c>
      <c r="M1167" s="120" t="n">
        <v>-0.3415045381476444</v>
      </c>
      <c r="N1167" t="n">
        <v>26.50751544650225</v>
      </c>
      <c r="O1167" t="n">
        <v>-0.1051325560463354</v>
      </c>
      <c r="P1167" t="n">
        <v>152.4177764731427</v>
      </c>
      <c r="Q1167" t="n">
        <v>156.1268262967068</v>
      </c>
    </row>
    <row r="1168">
      <c r="A1168" s="117" t="n">
        <v>46112</v>
      </c>
      <c r="B1168" s="118" t="n">
        <v>51.46944862010977</v>
      </c>
      <c r="C1168" s="118" t="n">
        <v>52.63898385450308</v>
      </c>
      <c r="D1168" s="118" t="n">
        <v>51.23157544495102</v>
      </c>
      <c r="E1168" s="118" t="n">
        <v>52.35155487060547</v>
      </c>
      <c r="F1168" s="119" t="n">
        <v>36422800</v>
      </c>
      <c r="G1168" s="120" t="n">
        <v>0.03083526851532747</v>
      </c>
      <c r="H1168" s="121" t="n">
        <v>32.90889420577504</v>
      </c>
      <c r="I1168" s="118" t="n">
        <v>58.93215286254883</v>
      </c>
      <c r="J1168" s="118" t="n">
        <v>65.30780673980713</v>
      </c>
      <c r="K1168" s="120" t="n">
        <v>0.2371898428460167</v>
      </c>
      <c r="L1168" s="120" t="n">
        <v>-0.1980302732096866</v>
      </c>
      <c r="M1168" s="120" t="n">
        <v>-0.3211996537653024</v>
      </c>
      <c r="N1168" t="n">
        <v>36.69395956237846</v>
      </c>
      <c r="O1168" t="n">
        <v>0.03126288150036238</v>
      </c>
      <c r="P1168" t="n">
        <v>156.8482359428751</v>
      </c>
      <c r="Q1168" t="n">
        <v>161.4123290006149</v>
      </c>
    </row>
    <row r="1169">
      <c r="A1169" s="117" t="n">
        <v>46113</v>
      </c>
      <c r="B1169" s="118" t="n">
        <v>46.14707564565088</v>
      </c>
      <c r="C1169" s="118" t="n">
        <v>46.41468155590174</v>
      </c>
      <c r="D1169" s="118" t="n">
        <v>44.16481300456243</v>
      </c>
      <c r="E1169" s="118" t="n">
        <v>44.23419189453125</v>
      </c>
      <c r="F1169" s="119" t="n">
        <v>114225700</v>
      </c>
      <c r="G1169" s="120" t="n">
        <v>-0.155054859328199</v>
      </c>
      <c r="H1169" s="121" t="n">
        <v>27.80621024405201</v>
      </c>
      <c r="I1169" s="118" t="n">
        <v>58.56383979797364</v>
      </c>
      <c r="J1169" s="118" t="n">
        <v>65.23441091537475</v>
      </c>
      <c r="K1169" s="120" t="n">
        <v>0.5812776898732752</v>
      </c>
      <c r="L1169" s="120" t="n">
        <v>-0.3223795763826328</v>
      </c>
      <c r="M1169" s="120" t="n">
        <v>-0.4264509459626561</v>
      </c>
      <c r="N1169" t="n">
        <v>20.68741677146841</v>
      </c>
      <c r="O1169" t="n">
        <v>-0.3818583268130551</v>
      </c>
      <c r="P1169" t="n">
        <v>158.030007629308</v>
      </c>
      <c r="Q1169" t="n">
        <v>163.4062876595926</v>
      </c>
    </row>
    <row r="1170">
      <c r="A1170" s="117" t="n">
        <v>46114</v>
      </c>
      <c r="B1170" s="118" t="n">
        <v>43.37190511622997</v>
      </c>
      <c r="C1170" s="118" t="n">
        <v>43.94676309951662</v>
      </c>
      <c r="D1170" s="118" t="n">
        <v>42.78713748327485</v>
      </c>
      <c r="E1170" s="118" t="n">
        <v>43.79809188842773</v>
      </c>
      <c r="F1170" s="119" t="n">
        <v>63242600</v>
      </c>
      <c r="G1170" s="120" t="n">
        <v>-0.009858889411686778</v>
      </c>
      <c r="H1170" s="121" t="n">
        <v>27.53207189229779</v>
      </c>
      <c r="I1170" s="118" t="n">
        <v>58.15175308227539</v>
      </c>
      <c r="J1170" s="118" t="n">
        <v>65.15216753005981</v>
      </c>
      <c r="K1170" s="120" t="n">
        <v>0.581320474987806</v>
      </c>
      <c r="L1170" s="120" t="n">
        <v>-0.3290601612021767</v>
      </c>
      <c r="M1170" s="120" t="n">
        <v>-0.4321055026585878</v>
      </c>
      <c r="N1170" t="n">
        <v>20.17815597317887</v>
      </c>
      <c r="O1170" t="n">
        <v>-0.6266788361733822</v>
      </c>
      <c r="P1170" t="n">
        <v>158.1723072559154</v>
      </c>
      <c r="Q1170" t="n">
        <v>163.5936538151817</v>
      </c>
    </row>
    <row r="1171">
      <c r="A1171" s="117" t="n">
        <v>46118</v>
      </c>
      <c r="B1171" s="118" t="n">
        <v>43.76835923952276</v>
      </c>
      <c r="C1171" s="118" t="n">
        <v>43.98640934129222</v>
      </c>
      <c r="D1171" s="118" t="n">
        <v>43.17368195579907</v>
      </c>
      <c r="E1171" s="118" t="n">
        <v>43.63951110839844</v>
      </c>
      <c r="F1171" s="119" t="n">
        <v>26999600</v>
      </c>
      <c r="G1171" s="120" t="n">
        <v>-0.003620723487983701</v>
      </c>
      <c r="H1171" s="121" t="n">
        <v>27.43238587292449</v>
      </c>
      <c r="I1171" s="118" t="n">
        <v>57.73551025390625</v>
      </c>
      <c r="J1171" s="118" t="n">
        <v>65.07837749481202</v>
      </c>
      <c r="K1171" s="120" t="n">
        <v>0.5819383415897554</v>
      </c>
      <c r="L1171" s="120" t="n">
        <v>-0.331489448835536</v>
      </c>
      <c r="M1171" s="120" t="n">
        <v>-0.4341616916038086</v>
      </c>
      <c r="N1171" t="n">
        <v>19.9854931183</v>
      </c>
      <c r="O1171" t="n">
        <v>-0.7340388758046106</v>
      </c>
      <c r="P1171" t="n">
        <v>158.9199632488556</v>
      </c>
      <c r="Q1171" t="n">
        <v>164.5780566293479</v>
      </c>
    </row>
    <row r="1172">
      <c r="A1172" s="117" t="n">
        <v>46119</v>
      </c>
      <c r="B1172" s="118" t="n">
        <v>43.31243846575701</v>
      </c>
      <c r="C1172" s="118" t="n">
        <v>43.48092897155077</v>
      </c>
      <c r="D1172" s="118" t="n">
        <v>41.9843223756015</v>
      </c>
      <c r="E1172" s="118" t="n">
        <v>42.31139373779297</v>
      </c>
      <c r="F1172" s="119" t="n">
        <v>38253000</v>
      </c>
      <c r="G1172" s="120" t="n">
        <v>-0.03043382789753279</v>
      </c>
      <c r="H1172" s="121" t="n">
        <v>26.5975133624492</v>
      </c>
      <c r="I1172" s="118" t="n">
        <v>57.30097564697266</v>
      </c>
      <c r="J1172" s="118" t="n">
        <v>65.00033147811889</v>
      </c>
      <c r="K1172" s="120" t="n">
        <v>0.5853109997404</v>
      </c>
      <c r="L1172" s="120" t="n">
        <v>-0.3518347838973601</v>
      </c>
      <c r="M1172" s="120" t="n">
        <v>-0.4513823172993694</v>
      </c>
      <c r="N1172" t="n">
        <v>18.40087175801345</v>
      </c>
      <c r="O1172" t="n">
        <v>-0.8225774352610551</v>
      </c>
      <c r="P1172" t="n">
        <v>158.9898881224156</v>
      </c>
      <c r="Q1172" t="n">
        <v>164.60322674765</v>
      </c>
    </row>
    <row r="1173">
      <c r="A1173" s="117" t="n">
        <v>46120</v>
      </c>
      <c r="B1173" s="118" t="n">
        <v>43.52057494288791</v>
      </c>
      <c r="C1173" s="118" t="n">
        <v>43.90711554238363</v>
      </c>
      <c r="D1173" s="118" t="n">
        <v>42.38077244310726</v>
      </c>
      <c r="E1173" s="118" t="n">
        <v>42.74749374389648</v>
      </c>
      <c r="F1173" s="119" t="n">
        <v>29462900</v>
      </c>
      <c r="G1173" s="120" t="n">
        <v>0.01030691659097926</v>
      </c>
      <c r="H1173" s="121" t="n">
        <v>26.87165171420342</v>
      </c>
      <c r="I1173" s="118" t="n">
        <v>56.87614768981933</v>
      </c>
      <c r="J1173" s="118" t="n">
        <v>64.92310333251953</v>
      </c>
      <c r="K1173" s="120" t="n">
        <v>0.5910581010155368</v>
      </c>
      <c r="L1173" s="120" t="n">
        <v>-0.3451541990778161</v>
      </c>
      <c r="M1173" s="120" t="n">
        <v>-0.4457277606034377</v>
      </c>
      <c r="N1173" t="n">
        <v>20.62633981026916</v>
      </c>
      <c r="O1173" t="n">
        <v>-0.7802146661734941</v>
      </c>
      <c r="P1173" t="n">
        <v>163.0393027820074</v>
      </c>
      <c r="Q1173" t="n">
        <v>169.4972170615118</v>
      </c>
    </row>
    <row r="1174">
      <c r="A1174" s="117" t="n">
        <v>46121</v>
      </c>
      <c r="B1174" s="118" t="n">
        <v>42.83669811553343</v>
      </c>
      <c r="C1174" s="118" t="n">
        <v>43.82782946457684</v>
      </c>
      <c r="D1174" s="118" t="n">
        <v>42.34113244101172</v>
      </c>
      <c r="E1174" s="118" t="n">
        <v>43.60977935791016</v>
      </c>
      <c r="F1174" s="119" t="n">
        <v>24147400</v>
      </c>
      <c r="G1174" s="120" t="n">
        <v>0.02017160629766246</v>
      </c>
      <c r="H1174" s="121" t="n">
        <v>27.41369609315024</v>
      </c>
      <c r="I1174" s="118" t="n">
        <v>56.50597999572754</v>
      </c>
      <c r="J1174" s="118" t="n">
        <v>64.84536884307862</v>
      </c>
      <c r="K1174" s="120" t="n">
        <v>0.602049851918475</v>
      </c>
      <c r="L1174" s="120" t="n">
        <v>-0.3319449073959364</v>
      </c>
      <c r="M1174" s="120" t="n">
        <v>-0.4345471992086064</v>
      </c>
      <c r="N1174" t="n">
        <v>24.98292018453452</v>
      </c>
      <c r="O1174" t="n">
        <v>-0.6290497697964907</v>
      </c>
      <c r="P1174" t="n">
        <v>163.9798794054197</v>
      </c>
      <c r="Q1174" t="n">
        <v>170.6438159129649</v>
      </c>
    </row>
    <row r="1175">
      <c r="A1175" s="117" t="n">
        <v>46122</v>
      </c>
      <c r="B1175" s="118" t="n">
        <v>43.44128761038457</v>
      </c>
      <c r="C1175" s="118" t="n">
        <v>43.57013195987964</v>
      </c>
      <c r="D1175" s="118" t="n">
        <v>42.02396951901127</v>
      </c>
      <c r="E1175" s="118" t="n">
        <v>42.24201583862305</v>
      </c>
      <c r="F1175" s="119" t="n">
        <v>26094800</v>
      </c>
      <c r="G1175" s="120" t="n">
        <v>-0.03136368813200652</v>
      </c>
      <c r="H1175" s="121" t="n">
        <v>26.55390147833906</v>
      </c>
      <c r="I1175" s="118" t="n">
        <v>56.12519515991211</v>
      </c>
      <c r="J1175" s="118" t="n">
        <v>64.75768098831176</v>
      </c>
      <c r="K1175" s="120" t="n">
        <v>0.6033587107652164</v>
      </c>
      <c r="L1175" s="120" t="n">
        <v>-0.3460921689845423</v>
      </c>
      <c r="M1175" s="120" t="n">
        <v>-0.4522818845059973</v>
      </c>
      <c r="N1175" t="n">
        <v>22.84133494720973</v>
      </c>
      <c r="O1175" t="n">
        <v>-0.5584969157549913</v>
      </c>
      <c r="P1175" t="n">
        <v>163.8713615507792</v>
      </c>
      <c r="Q1175" t="n">
        <v>170.8899123445923</v>
      </c>
    </row>
    <row r="1176">
      <c r="A1176" s="117" t="n">
        <v>46125</v>
      </c>
      <c r="B1176" s="118" t="n">
        <v>41.85547603452363</v>
      </c>
      <c r="C1176" s="118" t="n">
        <v>42.59882453952412</v>
      </c>
      <c r="D1176" s="118" t="n">
        <v>41.7167182518621</v>
      </c>
      <c r="E1176" s="118" t="n">
        <v>42.52944564819336</v>
      </c>
      <c r="F1176" s="119" t="n">
        <v>21236700</v>
      </c>
      <c r="G1176" s="120" t="n">
        <v>0.00680435826425474</v>
      </c>
      <c r="H1176" s="121" t="n">
        <v>26.73458373731141</v>
      </c>
      <c r="I1176" s="118" t="n">
        <v>55.74306983947754</v>
      </c>
      <c r="J1176" s="118" t="n">
        <v>64.67430147171021</v>
      </c>
      <c r="K1176" s="120" t="n">
        <v>0.606070250359512</v>
      </c>
      <c r="L1176" s="120" t="n">
        <v>-0.3416427458305114</v>
      </c>
      <c r="M1176" s="120" t="n">
        <v>-0.4485550142203537</v>
      </c>
      <c r="N1176" t="n">
        <v>24.30971268712105</v>
      </c>
      <c r="O1176" t="n">
        <v>-0.4352651264689351</v>
      </c>
      <c r="P1176" t="n">
        <v>165.4727857867433</v>
      </c>
      <c r="Q1176" t="n">
        <v>172.657339938851</v>
      </c>
    </row>
    <row r="1177">
      <c r="A1177" s="117" t="n">
        <v>46126</v>
      </c>
      <c r="B1177" s="118" t="n">
        <v>42.60873826434926</v>
      </c>
      <c r="C1177" s="118" t="n">
        <v>43.81791593650846</v>
      </c>
      <c r="D1177" s="118" t="n">
        <v>42.5690921030677</v>
      </c>
      <c r="E1177" s="118" t="n">
        <v>43.80800628662109</v>
      </c>
      <c r="F1177" s="119" t="n">
        <v>22554100</v>
      </c>
      <c r="G1177" s="120" t="n">
        <v>0.03006295094942169</v>
      </c>
      <c r="H1177" s="121" t="n">
        <v>27.53830421685941</v>
      </c>
      <c r="I1177" s="118" t="n">
        <v>55.40207237243652</v>
      </c>
      <c r="J1177" s="118" t="n">
        <v>64.58899312973023</v>
      </c>
      <c r="K1177" s="120" t="n">
        <v>0.6167877189811769</v>
      </c>
      <c r="L1177" s="120" t="n">
        <v>-0.3218505839912181</v>
      </c>
      <c r="M1177" s="120" t="n">
        <v>-0.4319769506615556</v>
      </c>
      <c r="N1177" t="n">
        <v>30.63349760387462</v>
      </c>
      <c r="O1177" t="n">
        <v>-0.2212315038537671</v>
      </c>
      <c r="P1177" t="n">
        <v>167.489051363125</v>
      </c>
      <c r="Q1177" t="n">
        <v>175.7922756102314</v>
      </c>
    </row>
    <row r="1178">
      <c r="A1178" s="117" t="n">
        <v>46127</v>
      </c>
      <c r="B1178" s="118" t="n">
        <v>44.69011192421851</v>
      </c>
      <c r="C1178" s="118" t="n">
        <v>45.49292966448566</v>
      </c>
      <c r="D1178" s="118" t="n">
        <v>44.31348095930559</v>
      </c>
      <c r="E1178" s="118" t="n">
        <v>45.03700637817383</v>
      </c>
      <c r="F1178" s="119" t="n">
        <v>31523500</v>
      </c>
      <c r="G1178" s="120" t="n">
        <v>0.02805423473307145</v>
      </c>
      <c r="H1178" s="121" t="n">
        <v>28.31087026750991</v>
      </c>
      <c r="I1178" s="118" t="n">
        <v>55.07836891174316</v>
      </c>
      <c r="J1178" s="118" t="n">
        <v>64.4635983657837</v>
      </c>
      <c r="K1178" s="120" t="n">
        <v>0.6291657498657368</v>
      </c>
      <c r="L1178" s="120" t="n">
        <v>-0.3028256210904124</v>
      </c>
      <c r="M1178" s="120" t="n">
        <v>-0.4160414987016199</v>
      </c>
      <c r="N1178" t="n">
        <v>36.15525547008611</v>
      </c>
      <c r="O1178" t="n">
        <v>0.03583634562570381</v>
      </c>
      <c r="P1178" t="n">
        <v>168.8107023132982</v>
      </c>
      <c r="Q1178" t="n">
        <v>178.2532741018185</v>
      </c>
    </row>
    <row r="1179">
      <c r="A1179" s="117" t="n">
        <v>46128</v>
      </c>
      <c r="B1179" s="118" t="n">
        <v>45.39381223902274</v>
      </c>
      <c r="C1179" s="118" t="n">
        <v>46.07769524756912</v>
      </c>
      <c r="D1179" s="118" t="n">
        <v>45.14602941699656</v>
      </c>
      <c r="E1179" s="118" t="n">
        <v>45.29470062255859</v>
      </c>
      <c r="F1179" s="119" t="n">
        <v>21766300</v>
      </c>
      <c r="G1179" s="120" t="n">
        <v>0.005721833334589643</v>
      </c>
      <c r="H1179" s="121" t="n">
        <v>28.47286034873779</v>
      </c>
      <c r="I1179" s="118" t="n">
        <v>54.78443420410157</v>
      </c>
      <c r="J1179" s="118" t="n">
        <v>64.34435855865479</v>
      </c>
      <c r="K1179" s="120" t="n">
        <v>0.6260028314282117</v>
      </c>
      <c r="L1179" s="120" t="n">
        <v>-0.2988365054891458</v>
      </c>
      <c r="M1179" s="120" t="n">
        <v>-0.4127001854828738</v>
      </c>
      <c r="N1179" t="n">
        <v>37.28259090288267</v>
      </c>
      <c r="O1179" t="n">
        <v>0.2443331450386781</v>
      </c>
      <c r="P1179" t="n">
        <v>169.2255288954057</v>
      </c>
      <c r="Q1179" t="n">
        <v>179.1118092368174</v>
      </c>
    </row>
    <row r="1180">
      <c r="A1180" s="117" t="n">
        <v>46129</v>
      </c>
      <c r="B1180" s="118" t="n">
        <v>45.96867099143482</v>
      </c>
      <c r="C1180" s="118" t="n">
        <v>46.36512124497474</v>
      </c>
      <c r="D1180" s="118" t="n">
        <v>45.37398993982613</v>
      </c>
      <c r="E1180" s="118" t="n">
        <v>45.62177276611328</v>
      </c>
      <c r="F1180" s="119" t="n">
        <v>31290400</v>
      </c>
      <c r="G1180" s="120" t="n">
        <v>0.007220980358832341</v>
      </c>
      <c r="H1180" s="121" t="n">
        <v>28.6784623140758</v>
      </c>
      <c r="I1180" s="118" t="n">
        <v>54.43225448608398</v>
      </c>
      <c r="J1180" s="118" t="n">
        <v>64.21522064208985</v>
      </c>
      <c r="K1180" s="120" t="n">
        <v>0.627674625103203</v>
      </c>
      <c r="L1180" s="120" t="n">
        <v>-0.2937734176669528</v>
      </c>
      <c r="M1180" s="120" t="n">
        <v>-0.4084593050574997</v>
      </c>
      <c r="N1180" t="n">
        <v>38.760617763794</v>
      </c>
      <c r="O1180" t="n">
        <v>0.4153274552822706</v>
      </c>
      <c r="P1180" t="n">
        <v>171.2707355180203</v>
      </c>
      <c r="Q1180" t="n">
        <v>181.4553300886713</v>
      </c>
    </row>
    <row r="1181">
      <c r="A1181" s="117" t="n">
        <v>46132</v>
      </c>
      <c r="B1181" s="118" t="n">
        <v>45.57221769511245</v>
      </c>
      <c r="C1181" s="118" t="n">
        <v>46.14707567622461</v>
      </c>
      <c r="D1181" s="118" t="n">
        <v>45.16585400465473</v>
      </c>
      <c r="E1181" s="118" t="n">
        <v>46.06778335571289</v>
      </c>
      <c r="F1181" s="119" t="n">
        <v>19003100</v>
      </c>
      <c r="G1181" s="120" t="n">
        <v>0.009776266079929652</v>
      </c>
      <c r="H1181" s="121" t="n">
        <v>28.95883059242144</v>
      </c>
      <c r="I1181" s="118" t="n">
        <v>54.11892677307129</v>
      </c>
      <c r="J1181" s="118" t="n">
        <v>64.07381071090698</v>
      </c>
      <c r="K1181" s="120" t="n">
        <v>0.6281532818918856</v>
      </c>
      <c r="L1181" s="120" t="n">
        <v>-0.2868691586853456</v>
      </c>
      <c r="M1181" s="120" t="n">
        <v>-0.4026762458266353</v>
      </c>
      <c r="N1181" t="n">
        <v>40.80911484157035</v>
      </c>
      <c r="O1181" t="n">
        <v>0.5604958860427791</v>
      </c>
      <c r="P1181" t="n">
        <v>170.9282394140297</v>
      </c>
      <c r="Q1181" t="n">
        <v>180.8792368310761</v>
      </c>
    </row>
    <row r="1182">
      <c r="A1182" s="117" t="n">
        <v>46133</v>
      </c>
      <c r="B1182" s="118" t="n">
        <v>46.35521142809223</v>
      </c>
      <c r="C1182" s="118" t="n">
        <v>46.55343844457923</v>
      </c>
      <c r="D1182" s="118" t="n">
        <v>45.52266098353952</v>
      </c>
      <c r="E1182" s="118" t="n">
        <v>45.97858047485352</v>
      </c>
      <c r="F1182" s="119" t="n">
        <v>22194000</v>
      </c>
      <c r="G1182" s="120" t="n">
        <v>-0.001936339766352435</v>
      </c>
      <c r="H1182" s="121" t="n">
        <v>28.90275645715827</v>
      </c>
      <c r="I1182" s="118" t="n">
        <v>53.7797908782959</v>
      </c>
      <c r="J1182" s="118" t="n">
        <v>63.93195476531982</v>
      </c>
      <c r="K1182" s="120" t="n">
        <v>0.6267944045707455</v>
      </c>
      <c r="L1182" s="120" t="n">
        <v>-0.2882500222919955</v>
      </c>
      <c r="M1182" s="120" t="n">
        <v>-0.4038328675652282</v>
      </c>
      <c r="N1182" t="n">
        <v>40.51719586879052</v>
      </c>
      <c r="O1182" t="n">
        <v>0.6464336300243922</v>
      </c>
      <c r="P1182" t="n">
        <v>169.8091905457966</v>
      </c>
      <c r="Q1182" t="n">
        <v>180.1912877727983</v>
      </c>
    </row>
    <row r="1183">
      <c r="A1183" s="117" t="n">
        <v>46134</v>
      </c>
      <c r="B1183" s="118" t="n">
        <v>45.89929325209091</v>
      </c>
      <c r="C1183" s="118" t="n">
        <v>46.5336166983341</v>
      </c>
      <c r="D1183" s="118" t="n">
        <v>45.09647551370226</v>
      </c>
      <c r="E1183" s="118" t="n">
        <v>45.27487945556641</v>
      </c>
      <c r="F1183" s="119" t="n">
        <v>17985200</v>
      </c>
      <c r="G1183" s="120" t="n">
        <v>-0.01530497488220572</v>
      </c>
      <c r="H1183" s="121" t="n">
        <v>28.46040049555495</v>
      </c>
      <c r="I1183" s="118" t="n">
        <v>53.45631568908691</v>
      </c>
      <c r="J1183" s="118" t="n">
        <v>63.78589900970459</v>
      </c>
      <c r="K1183" s="120" t="n">
        <v>0.6229228753571852</v>
      </c>
      <c r="L1183" s="120" t="n">
        <v>-0.299143337823227</v>
      </c>
      <c r="M1183" s="120" t="n">
        <v>-0.4129571905527389</v>
      </c>
      <c r="N1183" t="n">
        <v>38.19597366842212</v>
      </c>
      <c r="O1183" t="n">
        <v>0.6500525398595265</v>
      </c>
      <c r="P1183" t="n">
        <v>171.528799329559</v>
      </c>
      <c r="Q1183" t="n">
        <v>183.2059946917186</v>
      </c>
    </row>
    <row r="1184">
      <c r="A1184" s="117" t="n">
        <v>46135</v>
      </c>
      <c r="B1184" s="118" t="n">
        <v>45.1757663387775</v>
      </c>
      <c r="C1184" s="118" t="n">
        <v>45.34425684447689</v>
      </c>
      <c r="D1184" s="118" t="n">
        <v>43.84765024936583</v>
      </c>
      <c r="E1184" s="118" t="n">
        <v>44.38285827636719</v>
      </c>
      <c r="F1184" s="119" t="n">
        <v>17457500</v>
      </c>
      <c r="G1184" s="120" t="n">
        <v>-0.01970234244521107</v>
      </c>
      <c r="H1184" s="121" t="n">
        <v>27.89966393886367</v>
      </c>
      <c r="I1184" s="118" t="n">
        <v>53.10259414672851</v>
      </c>
      <c r="J1184" s="118" t="n">
        <v>63.64808464050293</v>
      </c>
      <c r="K1184" s="120" t="n">
        <v>0.6245010573872818</v>
      </c>
      <c r="L1184" s="120" t="n">
        <v>-0.3129518557864414</v>
      </c>
      <c r="M1184" s="120" t="n">
        <v>-0.4245233090144677</v>
      </c>
      <c r="N1184" t="n">
        <v>35.42543512036045</v>
      </c>
      <c r="O1184" t="n">
        <v>0.5883861361131411</v>
      </c>
      <c r="P1184" t="n">
        <v>170.8631405078935</v>
      </c>
      <c r="Q1184" t="n">
        <v>182.1740540166451</v>
      </c>
    </row>
    <row r="1185">
      <c r="A1185" s="117" t="n">
        <v>46136</v>
      </c>
      <c r="B1185" s="118" t="n">
        <v>44.58108437316442</v>
      </c>
      <c r="C1185" s="118" t="n">
        <v>45.01718077380956</v>
      </c>
      <c r="D1185" s="118" t="n">
        <v>44.19454378018212</v>
      </c>
      <c r="E1185" s="118" t="n">
        <v>44.29365539550781</v>
      </c>
      <c r="F1185" s="119" t="n">
        <v>15885000</v>
      </c>
      <c r="G1185" s="120" t="n">
        <v>-0.002009849845720169</v>
      </c>
      <c r="H1185" s="121" t="n">
        <v>27.8435898036005</v>
      </c>
      <c r="I1185" s="118" t="n">
        <v>52.76067604064941</v>
      </c>
      <c r="J1185" s="118" t="n">
        <v>63.51157615661621</v>
      </c>
      <c r="K1185" s="120" t="n">
        <v>0.6237279673113635</v>
      </c>
      <c r="L1185" s="120" t="n">
        <v>-0.3143327193930913</v>
      </c>
      <c r="M1185" s="120" t="n">
        <v>-0.4256799307530604</v>
      </c>
      <c r="N1185" t="n">
        <v>35.15085386338717</v>
      </c>
      <c r="O1185" t="n">
        <v>0.5389257546314847</v>
      </c>
      <c r="P1185" t="n">
        <v>172.1872118209337</v>
      </c>
      <c r="Q1185" t="n">
        <v>185.658586056215</v>
      </c>
    </row>
    <row r="1186">
      <c r="A1186" s="117" t="n">
        <v>46139</v>
      </c>
      <c r="B1186" s="118" t="n">
        <v>44.2044541791922</v>
      </c>
      <c r="C1186" s="118" t="n">
        <v>45.00727188806503</v>
      </c>
      <c r="D1186" s="118" t="n">
        <v>44.09543291283096</v>
      </c>
      <c r="E1186" s="118" t="n">
        <v>44.73966598510742</v>
      </c>
      <c r="F1186" s="119" t="n">
        <v>14583100</v>
      </c>
      <c r="G1186" s="120" t="n">
        <v>0.01006940126338818</v>
      </c>
      <c r="H1186" s="121" t="n">
        <v>28.12395808194614</v>
      </c>
      <c r="I1186" s="118" t="n">
        <v>52.45229309082031</v>
      </c>
      <c r="J1186" s="118" t="n">
        <v>63.37213926315307</v>
      </c>
      <c r="K1186" s="120" t="n">
        <v>0.6259939840414406</v>
      </c>
      <c r="L1186" s="120" t="n">
        <v>-0.3074284604114841</v>
      </c>
      <c r="M1186" s="120" t="n">
        <v>-0.4198968715221961</v>
      </c>
      <c r="N1186" t="n">
        <v>37.74893927737804</v>
      </c>
      <c r="O1186" t="n">
        <v>0.5326364188822534</v>
      </c>
      <c r="P1186" t="n">
        <v>172.4838538552428</v>
      </c>
      <c r="Q1186" t="n">
        <v>185.7564641537265</v>
      </c>
    </row>
    <row r="1187">
      <c r="A1187" s="117" t="n">
        <v>46140</v>
      </c>
      <c r="B1187" s="118" t="n">
        <v>44.97754016627945</v>
      </c>
      <c r="C1187" s="118" t="n">
        <v>45.30461153441868</v>
      </c>
      <c r="D1187" s="118" t="n">
        <v>44.35312637872973</v>
      </c>
      <c r="E1187" s="118" t="n">
        <v>44.63064193725586</v>
      </c>
      <c r="F1187" s="119" t="n">
        <v>12426000</v>
      </c>
      <c r="G1187" s="120" t="n">
        <v>-0.00243685430928009</v>
      </c>
      <c r="H1187" s="121" t="n">
        <v>28.05542409350014</v>
      </c>
      <c r="I1187" s="118" t="n">
        <v>52.10175491333008</v>
      </c>
      <c r="J1187" s="118" t="n">
        <v>63.24184154510498</v>
      </c>
      <c r="K1187" s="120" t="n">
        <v>0.6260002492039998</v>
      </c>
      <c r="L1187" s="120" t="n">
        <v>-0.309116156352215</v>
      </c>
      <c r="M1187" s="120" t="n">
        <v>-0.4213104983306541</v>
      </c>
      <c r="N1187" t="n">
        <v>37.35497268020277</v>
      </c>
      <c r="O1187" t="n">
        <v>0.5171005555686565</v>
      </c>
      <c r="P1187" t="n">
        <v>171.6445487561802</v>
      </c>
      <c r="Q1187" t="n">
        <v>183.8883560862594</v>
      </c>
    </row>
    <row r="1188">
      <c r="A1188" s="117" t="n">
        <v>46141</v>
      </c>
      <c r="B1188" s="118" t="n">
        <v>44.52161720838121</v>
      </c>
      <c r="C1188" s="118" t="n">
        <v>44.75949038945037</v>
      </c>
      <c r="D1188" s="118" t="n">
        <v>43.75844941693546</v>
      </c>
      <c r="E1188" s="118" t="n">
        <v>43.99631881713867</v>
      </c>
      <c r="F1188" s="119" t="n">
        <v>13329700</v>
      </c>
      <c r="G1188" s="120" t="n">
        <v>-0.01421272678553342</v>
      </c>
      <c r="H1188" s="121" t="n">
        <v>27.65668001600695</v>
      </c>
      <c r="I1188" s="118" t="n">
        <v>51.70525100708008</v>
      </c>
      <c r="J1188" s="118" t="n">
        <v>63.11022146224975</v>
      </c>
      <c r="K1188" s="120" t="n">
        <v>0.6114453695619747</v>
      </c>
      <c r="L1188" s="120" t="n">
        <v>-0.3189354996625202</v>
      </c>
      <c r="M1188" s="120" t="n">
        <v>-0.429535254111537</v>
      </c>
      <c r="N1188" t="n">
        <v>35.06217158120165</v>
      </c>
      <c r="O1188" t="n">
        <v>0.4618816271770099</v>
      </c>
      <c r="P1188" t="n">
        <v>171.6180280728144</v>
      </c>
      <c r="Q1188" t="n">
        <v>185.0125701074506</v>
      </c>
    </row>
    <row r="1189">
      <c r="A1189" s="117" t="n">
        <v>46142</v>
      </c>
      <c r="B1189" s="118" t="n">
        <v>43.69898114981162</v>
      </c>
      <c r="C1189" s="118" t="n">
        <v>44.41259692804836</v>
      </c>
      <c r="D1189" s="118" t="n">
        <v>43.12412315492845</v>
      </c>
      <c r="E1189" s="118" t="n">
        <v>43.96658706665039</v>
      </c>
      <c r="F1189" s="119" t="n">
        <v>21679500</v>
      </c>
      <c r="G1189" s="120" t="n">
        <v>-0.0006757781397996876</v>
      </c>
      <c r="H1189" s="121" t="n">
        <v>27.6379902362327</v>
      </c>
      <c r="I1189" s="118" t="n">
        <v>51.29377738952637</v>
      </c>
      <c r="J1189" s="118" t="n">
        <v>62.97971797943115</v>
      </c>
      <c r="K1189" s="120" t="n">
        <v>0.2673817672124639</v>
      </c>
      <c r="L1189" s="120" t="n">
        <v>-0.3193957481636418</v>
      </c>
      <c r="M1189" s="120" t="n">
        <v>-0.4299207617163349</v>
      </c>
      <c r="N1189" t="n">
        <v>34.95387669984466</v>
      </c>
      <c r="O1189" t="n">
        <v>0.4222156769710548</v>
      </c>
      <c r="P1189" t="n">
        <v>173.3255645588622</v>
      </c>
      <c r="Q1189" t="n">
        <v>186.7380475045391</v>
      </c>
    </row>
    <row r="1190">
      <c r="A1190" s="117" t="n">
        <v>46143</v>
      </c>
      <c r="B1190" s="118" t="n">
        <v>44.42250656527431</v>
      </c>
      <c r="C1190" s="118" t="n">
        <v>44.5612643485884</v>
      </c>
      <c r="D1190" s="118" t="n">
        <v>43.82782927082362</v>
      </c>
      <c r="E1190" s="118" t="n">
        <v>44.00623321533203</v>
      </c>
      <c r="F1190" s="119" t="n">
        <v>11562800</v>
      </c>
      <c r="G1190" s="120" t="n">
        <v>0.0009017335965044726</v>
      </c>
      <c r="H1190" s="121" t="n">
        <v>27.66291234056857</v>
      </c>
      <c r="I1190" s="118" t="n">
        <v>50.88191520690918</v>
      </c>
      <c r="J1190" s="118" t="n">
        <v>62.84887744903565</v>
      </c>
      <c r="K1190" s="120" t="n">
        <v>0.2649262501297623</v>
      </c>
      <c r="L1190" s="120" t="n">
        <v>-0.3187820244438372</v>
      </c>
      <c r="M1190" s="120" t="n">
        <v>-0.4294067021145047</v>
      </c>
      <c r="N1190" t="n">
        <v>35.24110929967028</v>
      </c>
      <c r="O1190" t="n">
        <v>0.3978426073476484</v>
      </c>
      <c r="P1190" t="n">
        <v>173.8055195637262</v>
      </c>
      <c r="Q1190" t="n">
        <v>188.5306623047566</v>
      </c>
    </row>
    <row r="1191">
      <c r="A1191" s="117" t="n">
        <v>46146</v>
      </c>
      <c r="B1191" s="118" t="n">
        <v>43.79809050589887</v>
      </c>
      <c r="C1191" s="118" t="n">
        <v>43.9467617122948</v>
      </c>
      <c r="D1191" s="118" t="n">
        <v>42.70784759521484</v>
      </c>
      <c r="E1191" s="118" t="n">
        <v>42.70784759521484</v>
      </c>
      <c r="F1191" s="119" t="n">
        <v>33272400</v>
      </c>
      <c r="G1191" s="120" t="n">
        <v>-0.0295045843565821</v>
      </c>
      <c r="H1191" s="121" t="n">
        <v>26.84672960986753</v>
      </c>
      <c r="I1191" s="118" t="n">
        <v>50.44822044372559</v>
      </c>
      <c r="J1191" s="118" t="n">
        <v>62.70726249694824</v>
      </c>
      <c r="K1191" s="120" t="n">
        <v>0.2852497220128498</v>
      </c>
      <c r="L1191" s="120" t="n">
        <v>-0.3388810776688542</v>
      </c>
      <c r="M1191" s="120" t="n">
        <v>-0.4462418202052677</v>
      </c>
      <c r="N1191" t="n">
        <v>30.49225136695765</v>
      </c>
      <c r="O1191" t="n">
        <v>0.2980356702093161</v>
      </c>
      <c r="P1191" t="n">
        <v>173.1688017882935</v>
      </c>
      <c r="Q1191" t="n">
        <v>188.1754953604867</v>
      </c>
    </row>
    <row r="1192">
      <c r="A1192" s="117" t="n">
        <v>46147</v>
      </c>
      <c r="B1192" s="118" t="n">
        <v>42.65829276469492</v>
      </c>
      <c r="C1192" s="118" t="n">
        <v>42.91598524337447</v>
      </c>
      <c r="D1192" s="118" t="n">
        <v>42.27175215624262</v>
      </c>
      <c r="E1192" s="118" t="n">
        <v>42.67811584472656</v>
      </c>
      <c r="F1192" s="119" t="n">
        <v>18589700</v>
      </c>
      <c r="G1192" s="120" t="n">
        <v>-0.0006961659779738394</v>
      </c>
      <c r="H1192" s="121" t="n">
        <v>26.82803983009328</v>
      </c>
      <c r="I1192" s="118" t="n">
        <v>50.05941947937012</v>
      </c>
      <c r="J1192" s="118" t="n">
        <v>62.56798072814941</v>
      </c>
      <c r="K1192" s="120" t="n">
        <v>0.2631199523704411</v>
      </c>
      <c r="L1192" s="120" t="n">
        <v>-0.3393413261699758</v>
      </c>
      <c r="M1192" s="120" t="n">
        <v>-0.4466273278100655</v>
      </c>
      <c r="N1192" t="n">
        <v>30.39125871869474</v>
      </c>
      <c r="O1192" t="n">
        <v>0.2364635334515415</v>
      </c>
      <c r="P1192" t="n">
        <v>174.5580015240903</v>
      </c>
      <c r="Q1192" t="n">
        <v>190.6168943098521</v>
      </c>
    </row>
    <row r="1193">
      <c r="A1193" s="117" t="n">
        <v>46148</v>
      </c>
      <c r="B1193" s="118" t="n">
        <v>43.24305809592846</v>
      </c>
      <c r="C1193" s="118" t="n">
        <v>43.67915449086552</v>
      </c>
      <c r="D1193" s="118" t="n">
        <v>42.81687135004795</v>
      </c>
      <c r="E1193" s="118" t="n">
        <v>43.49084091186523</v>
      </c>
      <c r="F1193" s="119" t="n">
        <v>19406700</v>
      </c>
      <c r="G1193" s="120" t="n">
        <v>0.01904313372444943</v>
      </c>
      <c r="H1193" s="121" t="n">
        <v>27.3389297801426</v>
      </c>
      <c r="I1193" s="118" t="n">
        <v>49.66718116760254</v>
      </c>
      <c r="J1193" s="118" t="n">
        <v>62.42521963119507</v>
      </c>
      <c r="K1193" s="120" t="n">
        <v>0.2691690228654924</v>
      </c>
      <c r="L1193" s="120" t="n">
        <v>-0.3267603146980133</v>
      </c>
      <c r="M1193" s="120" t="n">
        <v>-0.4360893780140968</v>
      </c>
      <c r="N1193" t="n">
        <v>36.57522435837657</v>
      </c>
      <c r="O1193" t="n">
        <v>0.2553086197369399</v>
      </c>
      <c r="P1193" t="n">
        <v>176.9842529568455</v>
      </c>
      <c r="Q1193" t="n">
        <v>194.5768391338086</v>
      </c>
    </row>
    <row r="1194">
      <c r="A1194" s="117" t="n">
        <v>46149</v>
      </c>
      <c r="B1194" s="118" t="n">
        <v>43.65933211846881</v>
      </c>
      <c r="C1194" s="118" t="n">
        <v>44.2440997247781</v>
      </c>
      <c r="D1194" s="118" t="n">
        <v>43.61968595986952</v>
      </c>
      <c r="E1194" s="118" t="n">
        <v>44.01613998413086</v>
      </c>
      <c r="F1194" s="119" t="n">
        <v>17177700</v>
      </c>
      <c r="G1194" s="120" t="n">
        <v>0.01207838389076343</v>
      </c>
      <c r="H1194" s="121" t="n">
        <v>27.66913986918979</v>
      </c>
      <c r="I1194" s="118" t="n">
        <v>49.29903617858886</v>
      </c>
      <c r="J1194" s="118" t="n">
        <v>62.27841793060303</v>
      </c>
      <c r="K1194" s="120" t="n">
        <v>0.2629852857025581</v>
      </c>
      <c r="L1194" s="120" t="n">
        <v>-0.318628667328439</v>
      </c>
      <c r="M1194" s="120" t="n">
        <v>-0.4292782490416718</v>
      </c>
      <c r="N1194" t="n">
        <v>40.26884158311164</v>
      </c>
      <c r="O1194" t="n">
        <v>0.3046450174209125</v>
      </c>
      <c r="P1194" t="n">
        <v>176.4416046504022</v>
      </c>
      <c r="Q1194" t="n">
        <v>194.3447204053525</v>
      </c>
    </row>
    <row r="1195">
      <c r="A1195" s="117" t="n">
        <v>46150</v>
      </c>
      <c r="B1195" s="118" t="n">
        <v>43.8674698540947</v>
      </c>
      <c r="C1195" s="118" t="n">
        <v>44.26392388806487</v>
      </c>
      <c r="D1195" s="118" t="n">
        <v>43.41155036163511</v>
      </c>
      <c r="E1195" s="118" t="n">
        <v>43.74853515625</v>
      </c>
      <c r="F1195" s="119" t="n">
        <v>17357100</v>
      </c>
      <c r="G1195" s="120" t="n">
        <v>-0.006079697764895808</v>
      </c>
      <c r="H1195" s="121" t="n">
        <v>27.50091986137049</v>
      </c>
      <c r="I1195" s="118" t="n">
        <v>48.9147085571289</v>
      </c>
      <c r="J1195" s="118" t="n">
        <v>62.12365982055664</v>
      </c>
      <c r="K1195" s="120" t="n">
        <v>0.2361823846384556</v>
      </c>
      <c r="L1195" s="120" t="n">
        <v>-0.3227711990967465</v>
      </c>
      <c r="M1195" s="120" t="n">
        <v>-0.4327480647953506</v>
      </c>
      <c r="N1195" t="n">
        <v>39.02210240994592</v>
      </c>
      <c r="O1195" t="n">
        <v>0.3192108607261981</v>
      </c>
      <c r="P1195" t="n">
        <v>177.8983236552021</v>
      </c>
      <c r="Q1195" t="n">
        <v>198.9003238538125</v>
      </c>
    </row>
    <row r="1196">
      <c r="A1196" s="117" t="n">
        <v>46153</v>
      </c>
      <c r="B1196" s="118" t="n">
        <v>43.67915812346727</v>
      </c>
      <c r="C1196" s="118" t="n">
        <v>43.67915812346727</v>
      </c>
      <c r="D1196" s="118" t="n">
        <v>42.01405715942383</v>
      </c>
      <c r="E1196" s="118" t="n">
        <v>42.01405715942383</v>
      </c>
      <c r="F1196" s="119" t="n">
        <v>24863800</v>
      </c>
      <c r="G1196" s="120" t="n">
        <v>-0.03964653880710289</v>
      </c>
      <c r="H1196" s="121" t="n">
        <v>26.41060357485564</v>
      </c>
      <c r="I1196" s="118" t="n">
        <v>48.53054611206055</v>
      </c>
      <c r="J1196" s="118" t="n">
        <v>61.96670171737671</v>
      </c>
      <c r="K1196" s="120" t="n">
        <v>0.2772635218223193</v>
      </c>
      <c r="L1196" s="120" t="n">
        <v>-0.3496209770330451</v>
      </c>
      <c r="M1196" s="120" t="n">
        <v>-0.4552376406578459</v>
      </c>
      <c r="N1196" t="n">
        <v>32.08775841363949</v>
      </c>
      <c r="O1196" t="n">
        <v>0.2168796637093098</v>
      </c>
      <c r="P1196" t="n">
        <v>178.3034983024618</v>
      </c>
      <c r="Q1196" t="n">
        <v>199.4764171114076</v>
      </c>
    </row>
    <row r="1197">
      <c r="A1197" s="117" t="n">
        <v>46154</v>
      </c>
      <c r="B1197" s="118" t="n">
        <v>41.9248551995918</v>
      </c>
      <c r="C1197" s="118" t="n">
        <v>42.13299187494307</v>
      </c>
      <c r="D1197" s="118" t="n">
        <v>41.6869857937235</v>
      </c>
      <c r="E1197" s="118" t="n">
        <v>41.97441101074219</v>
      </c>
      <c r="F1197" s="119" t="n">
        <v>21271300</v>
      </c>
      <c r="G1197" s="120" t="n">
        <v>-0.0009436400900584285</v>
      </c>
      <c r="H1197" s="121" t="n">
        <v>26.38568147051976</v>
      </c>
      <c r="I1197" s="118" t="n">
        <v>48.1606559753418</v>
      </c>
      <c r="J1197" s="118" t="n">
        <v>61.80540891647339</v>
      </c>
      <c r="K1197" s="120" t="n">
        <v>0.2527465233415203</v>
      </c>
      <c r="L1197" s="120" t="n">
        <v>-0.3502347007528496</v>
      </c>
      <c r="M1197" s="120" t="n">
        <v>-0.455751700259676</v>
      </c>
      <c r="N1197" t="n">
        <v>31.94800726497745</v>
      </c>
      <c r="O1197" t="n">
        <v>0.1543099334209186</v>
      </c>
      <c r="P1197" t="n">
        <v>178.0333769515186</v>
      </c>
      <c r="Q1197" t="n">
        <v>197.7844998720552</v>
      </c>
    </row>
    <row r="1198">
      <c r="A1198" s="117" t="n">
        <v>46155</v>
      </c>
      <c r="B1198" s="118" t="n">
        <v>41.82574264676562</v>
      </c>
      <c r="C1198" s="118" t="n">
        <v>42.23210633854384</v>
      </c>
      <c r="D1198" s="118" t="n">
        <v>41.33017698455481</v>
      </c>
      <c r="E1198" s="118" t="n">
        <v>41.96450042724609</v>
      </c>
      <c r="F1198" s="119" t="n">
        <v>21325200</v>
      </c>
      <c r="G1198" s="120" t="n">
        <v>-0.0002361101265615506</v>
      </c>
      <c r="H1198" s="121" t="n">
        <v>26.37945154392834</v>
      </c>
      <c r="I1198" s="118" t="n">
        <v>47.82268020629883</v>
      </c>
      <c r="J1198" s="118" t="n">
        <v>61.62961320877075</v>
      </c>
      <c r="K1198" s="120" t="n">
        <v>0.2267170872282641</v>
      </c>
      <c r="L1198" s="120" t="n">
        <v>-0.3503881169198902</v>
      </c>
      <c r="M1198" s="120" t="n">
        <v>-0.4558802027946086</v>
      </c>
      <c r="N1198" t="n">
        <v>31.91059329541007</v>
      </c>
      <c r="O1198" t="n">
        <v>0.1214878795741128</v>
      </c>
      <c r="P1198" t="n">
        <v>179.0294448211499</v>
      </c>
      <c r="Q1198" t="n">
        <v>199.8735513405044</v>
      </c>
    </row>
    <row r="1199">
      <c r="A1199" s="117" t="n">
        <v>46156</v>
      </c>
      <c r="B1199" s="118" t="n">
        <v>42.18255069185571</v>
      </c>
      <c r="C1199" s="118" t="n">
        <v>42.45015660418981</v>
      </c>
      <c r="D1199" s="118" t="n">
        <v>41.61760613721681</v>
      </c>
      <c r="E1199" s="118" t="n">
        <v>41.6473388671875</v>
      </c>
      <c r="F1199" s="119" t="n">
        <v>19146900</v>
      </c>
      <c r="G1199" s="120" t="n">
        <v>-0.007557853824769256</v>
      </c>
      <c r="H1199" s="121" t="n">
        <v>26.18007950518175</v>
      </c>
      <c r="I1199" s="118" t="n">
        <v>47.49322822570801</v>
      </c>
      <c r="J1199" s="118" t="n">
        <v>61.45666009902954</v>
      </c>
      <c r="K1199" s="120" t="n">
        <v>0.2244978250090899</v>
      </c>
      <c r="L1199" s="120" t="n">
        <v>-0.3552977885750428</v>
      </c>
      <c r="M1199" s="120" t="n">
        <v>-0.4599925806850501</v>
      </c>
      <c r="N1199" t="n">
        <v>30.67263201240965</v>
      </c>
      <c r="O1199" t="n">
        <v>0.08914674432921976</v>
      </c>
      <c r="P1199" t="n">
        <v>180.4427596357556</v>
      </c>
      <c r="Q1199" t="n">
        <v>201.2941849422706</v>
      </c>
    </row>
    <row r="1200">
      <c r="A1200" s="117" t="n">
        <v>46157</v>
      </c>
      <c r="B1200" s="118" t="n">
        <v>41.62751394964982</v>
      </c>
      <c r="C1200" s="118" t="n">
        <v>42.40059514169484</v>
      </c>
      <c r="D1200" s="118" t="n">
        <v>41.46893309536198</v>
      </c>
      <c r="E1200" s="118" t="n">
        <v>41.50857925415039</v>
      </c>
      <c r="F1200" s="119" t="n">
        <v>26172600</v>
      </c>
      <c r="G1200" s="120" t="n">
        <v>-0.003331776214552606</v>
      </c>
      <c r="H1200" s="121" t="n">
        <v>26.09285333899129</v>
      </c>
      <c r="I1200" s="118" t="n">
        <v>47.173291015625</v>
      </c>
      <c r="J1200" s="118" t="n">
        <v>61.29104290008545</v>
      </c>
      <c r="K1200" s="120" t="n">
        <v>0.2205344271953683</v>
      </c>
      <c r="L1200" s="120" t="n">
        <v>-0.3553826303470414</v>
      </c>
      <c r="M1200" s="120" t="n">
        <v>-0.4617917645604056</v>
      </c>
      <c r="N1200" t="n">
        <v>30.12204762473854</v>
      </c>
      <c r="O1200" t="n">
        <v>0.06998442731436394</v>
      </c>
      <c r="P1200" t="n">
        <v>178.2721516516721</v>
      </c>
      <c r="Q1200" t="n">
        <v>198.2571273684017</v>
      </c>
    </row>
    <row r="1201">
      <c r="A1201" s="117" t="n">
        <v>46160</v>
      </c>
      <c r="B1201" s="118" t="n">
        <v>41.50857987107708</v>
      </c>
      <c r="C1201" s="118" t="n">
        <v>42.37086304277891</v>
      </c>
      <c r="D1201" s="118" t="n">
        <v>40.98327771148777</v>
      </c>
      <c r="E1201" s="118" t="n">
        <v>42.19245910644531</v>
      </c>
      <c r="F1201" s="119" t="n">
        <v>18694900</v>
      </c>
      <c r="G1201" s="120" t="n">
        <v>0.01647562659535118</v>
      </c>
      <c r="H1201" s="121" t="n">
        <v>26.52274944741177</v>
      </c>
      <c r="I1201" s="118" t="n">
        <v>46.8870523071289</v>
      </c>
      <c r="J1201" s="118" t="n">
        <v>61.13852928161621</v>
      </c>
      <c r="K1201" s="120" t="n">
        <v>0.2275068061574348</v>
      </c>
      <c r="L1201" s="120" t="n">
        <v>-0.3313690011896381</v>
      </c>
      <c r="M1201" s="120" t="n">
        <v>-0.45292444664276</v>
      </c>
      <c r="N1201" t="n">
        <v>36.20048105511791</v>
      </c>
      <c r="O1201" t="n">
        <v>0.1124262787475607</v>
      </c>
      <c r="P1201" t="n">
        <v>178.1467355318931</v>
      </c>
      <c r="Q1201" t="n">
        <v>197.4041628094833</v>
      </c>
    </row>
    <row r="1202">
      <c r="A1202" s="117" t="n">
        <v>46161</v>
      </c>
      <c r="B1202" s="118" t="n">
        <v>42.2221928505344</v>
      </c>
      <c r="C1202" s="118" t="n">
        <v>42.81687391289736</v>
      </c>
      <c r="D1202" s="118" t="n">
        <v>41.43920197876539</v>
      </c>
      <c r="E1202" s="118" t="n">
        <v>42.04378890991211</v>
      </c>
      <c r="F1202" s="119" t="n">
        <v>22957900</v>
      </c>
      <c r="G1202" s="120" t="n">
        <v>-0.003523620089507684</v>
      </c>
      <c r="H1202" s="121" t="n">
        <v>26.42929335462989</v>
      </c>
      <c r="I1202" s="118" t="n">
        <v>46.60735504150391</v>
      </c>
      <c r="J1202" s="118" t="n">
        <v>60.9856130027771</v>
      </c>
      <c r="K1202" s="120" t="n">
        <v>0.2273591602648905</v>
      </c>
      <c r="L1202" s="120" t="n">
        <v>-0.3337250028095138</v>
      </c>
      <c r="M1202" s="120" t="n">
        <v>-0.4548521330530481</v>
      </c>
      <c r="N1202" t="n">
        <v>35.47797888653582</v>
      </c>
      <c r="O1202" t="n">
        <v>0.1378679161507177</v>
      </c>
      <c r="P1202" t="n">
        <v>176.9601378780364</v>
      </c>
      <c r="Q1202" t="n">
        <v>196.1876754421743</v>
      </c>
    </row>
    <row r="1203">
      <c r="A1203" s="117" t="n">
        <v>46162</v>
      </c>
      <c r="B1203" s="118" t="n">
        <v>41.83565231873069</v>
      </c>
      <c r="C1203" s="118" t="n">
        <v>43.88729385890787</v>
      </c>
      <c r="D1203" s="118" t="n">
        <v>41.45902513747319</v>
      </c>
      <c r="E1203" s="118" t="n">
        <v>43.79809188842773</v>
      </c>
      <c r="F1203" s="119" t="n">
        <v>27060200</v>
      </c>
      <c r="G1203" s="120" t="n">
        <v>0.04172561569735311</v>
      </c>
      <c r="H1203" s="121" t="n">
        <v>27.53207189229779</v>
      </c>
      <c r="I1203" s="118" t="n">
        <v>46.37166397094727</v>
      </c>
      <c r="J1203" s="118" t="n">
        <v>60.84049499511719</v>
      </c>
      <c r="K1203" s="120" t="n">
        <v>0.2759039405906333</v>
      </c>
      <c r="L1203" s="120" t="n">
        <v>-0.3044048255545374</v>
      </c>
      <c r="M1203" s="120" t="n">
        <v>-0.4321055026585878</v>
      </c>
      <c r="N1203" t="n">
        <v>48.53159631568299</v>
      </c>
      <c r="O1203" t="n">
        <v>0.2724495295463099</v>
      </c>
      <c r="P1203" t="n">
        <v>178.7738013724781</v>
      </c>
      <c r="Q1203" t="n">
        <v>199.437286377591</v>
      </c>
    </row>
    <row r="1204">
      <c r="A1204" s="117" t="n">
        <v>46163</v>
      </c>
      <c r="B1204" s="118" t="n">
        <v>43.50075315570505</v>
      </c>
      <c r="C1204" s="118" t="n">
        <v>44.34321704866178</v>
      </c>
      <c r="D1204" s="118" t="n">
        <v>42.77722774371587</v>
      </c>
      <c r="E1204" s="118" t="n">
        <v>43.99631881713867</v>
      </c>
      <c r="F1204" s="119" t="n">
        <v>18428100</v>
      </c>
      <c r="G1204" s="120" t="n">
        <v>0.004525926134314462</v>
      </c>
      <c r="H1204" s="121" t="n">
        <v>27.65668001600696</v>
      </c>
      <c r="I1204" s="118" t="n">
        <v>46.14747009277344</v>
      </c>
      <c r="J1204" s="118" t="n">
        <v>60.698509349823</v>
      </c>
      <c r="K1204" s="120" t="n">
        <v>0.2680100117122438</v>
      </c>
      <c r="L1204" s="120" t="n">
        <v>-0.3012566131756117</v>
      </c>
      <c r="M1204" s="120" t="n">
        <v>-0.429535254111537</v>
      </c>
      <c r="N1204" t="n">
        <v>49.76823850889813</v>
      </c>
      <c r="O1204" t="n">
        <v>0.3684568691316279</v>
      </c>
      <c r="P1204" t="n">
        <v>179.1283254992529</v>
      </c>
      <c r="Q1204" t="n">
        <v>199.8176063525063</v>
      </c>
    </row>
    <row r="1205">
      <c r="A1205" s="117" t="n">
        <v>46164</v>
      </c>
      <c r="B1205" s="118" t="n">
        <v>44.16481295929489</v>
      </c>
      <c r="C1205" s="118" t="n">
        <v>44.32339381918479</v>
      </c>
      <c r="D1205" s="118" t="n">
        <v>43.81791472894041</v>
      </c>
      <c r="E1205" s="118" t="n">
        <v>44.27383422851562</v>
      </c>
      <c r="F1205" s="119" t="n">
        <v>14905100</v>
      </c>
      <c r="G1205" s="120" t="n">
        <v>0.006307696162726417</v>
      </c>
      <c r="H1205" s="121" t="n">
        <v>27.83112995041768</v>
      </c>
      <c r="I1205" s="118" t="n">
        <v>45.9599479675293</v>
      </c>
      <c r="J1205" s="118" t="n">
        <v>60.55255811691284</v>
      </c>
      <c r="K1205" s="120" t="n">
        <v>0.2689315780514365</v>
      </c>
      <c r="L1205" s="120" t="n">
        <v>-0.276833418000979</v>
      </c>
      <c r="M1205" s="120" t="n">
        <v>-0.4259369358229257</v>
      </c>
      <c r="N1205" t="n">
        <v>51.52428778082818</v>
      </c>
      <c r="O1205" t="n">
        <v>0.4394739558103429</v>
      </c>
      <c r="P1205" t="n">
        <v>179.8325773019989</v>
      </c>
      <c r="Q1205" t="n">
        <v>200.664966160031</v>
      </c>
    </row>
    <row r="1206">
      <c r="A1206" s="117" t="n">
        <v>46168</v>
      </c>
      <c r="B1206" s="118" t="n">
        <v>44.30356966277343</v>
      </c>
      <c r="C1206" s="118" t="n">
        <v>44.55135248663585</v>
      </c>
      <c r="D1206" s="118" t="n">
        <v>43.70888861698413</v>
      </c>
      <c r="E1206" s="118" t="n">
        <v>44.54143905639648</v>
      </c>
      <c r="F1206" s="119" t="n">
        <v>18667600</v>
      </c>
      <c r="G1206" s="120" t="n">
        <v>0.006044311104830946</v>
      </c>
      <c r="H1206" s="121" t="n">
        <v>27.99934995823698</v>
      </c>
      <c r="I1206" s="118" t="n">
        <v>45.78075141906739</v>
      </c>
      <c r="J1206" s="118" t="n">
        <v>60.4134440612793</v>
      </c>
      <c r="K1206" s="120" t="n">
        <v>0.2673301254964003</v>
      </c>
      <c r="L1206" s="120" t="n">
        <v>-0.2633994349074956</v>
      </c>
      <c r="M1206" s="120" t="n">
        <v>-0.4224671200692469</v>
      </c>
      <c r="N1206" t="n">
        <v>53.22248059443086</v>
      </c>
      <c r="O1206" t="n">
        <v>0.489470682747464</v>
      </c>
      <c r="P1206" t="n">
        <v>181.0264212861464</v>
      </c>
      <c r="Q1206" t="n">
        <v>204.2278109302041</v>
      </c>
    </row>
    <row r="1207">
      <c r="A1207" s="117" t="n">
        <v>46169</v>
      </c>
      <c r="B1207" s="118" t="n">
        <v>45.30461013326204</v>
      </c>
      <c r="C1207" s="118" t="n">
        <v>46.17680672276838</v>
      </c>
      <c r="D1207" s="118" t="n">
        <v>45.26496397445134</v>
      </c>
      <c r="E1207" s="118" t="n">
        <v>45.57221603393555</v>
      </c>
      <c r="F1207" s="119" t="n">
        <v>24251900</v>
      </c>
      <c r="G1207" s="120" t="n">
        <v>0.02314197743440527</v>
      </c>
      <c r="H1207" s="121" t="n">
        <v>28.64731028314852</v>
      </c>
      <c r="I1207" s="118" t="n">
        <v>45.60611404418945</v>
      </c>
      <c r="J1207" s="118" t="n">
        <v>60.28026247024536</v>
      </c>
      <c r="K1207" s="120" t="n">
        <v>0.2794905649288135</v>
      </c>
      <c r="L1207" s="120" t="n">
        <v>-0.225795620640416</v>
      </c>
      <c r="M1207" s="120" t="n">
        <v>-0.4091018671942624</v>
      </c>
      <c r="N1207" t="n">
        <v>59.1576005111866</v>
      </c>
      <c r="O1207" t="n">
        <v>0.5712596053750454</v>
      </c>
      <c r="P1207" t="n">
        <v>180.9950598770466</v>
      </c>
      <c r="Q1207" t="n">
        <v>203.9956922017479</v>
      </c>
    </row>
    <row r="1208">
      <c r="A1208" s="117" t="n">
        <v>46170</v>
      </c>
      <c r="B1208" s="118" t="n">
        <v>45.56230854048204</v>
      </c>
      <c r="C1208" s="118" t="n">
        <v>47.22740948065888</v>
      </c>
      <c r="D1208" s="118" t="n">
        <v>45.15594484560948</v>
      </c>
      <c r="E1208" s="118" t="n">
        <v>46.94989013671875</v>
      </c>
      <c r="F1208" s="119" t="n">
        <v>22871300</v>
      </c>
      <c r="G1208" s="120" t="n">
        <v>0.03023057078807212</v>
      </c>
      <c r="H1208" s="121" t="n">
        <v>29.51333482455111</v>
      </c>
      <c r="I1208" s="118" t="n">
        <v>45.45248870849609</v>
      </c>
      <c r="J1208" s="118" t="n">
        <v>60.15479661941529</v>
      </c>
      <c r="K1208" s="120" t="n">
        <v>0.2912763769976331</v>
      </c>
      <c r="L1208" s="120" t="n">
        <v>-0.1921896024709707</v>
      </c>
      <c r="M1208" s="120" t="n">
        <v>-0.3912386793619389</v>
      </c>
      <c r="N1208" t="n">
        <v>65.46460581228214</v>
      </c>
      <c r="O1208" t="n">
        <v>0.6895238977938603</v>
      </c>
      <c r="P1208" t="n">
        <v>181.9935333512347</v>
      </c>
      <c r="Q1208" t="n">
        <v>205.7155648474426</v>
      </c>
    </row>
    <row r="1209">
      <c r="A1209" s="117" t="n">
        <v>46171</v>
      </c>
      <c r="B1209" s="118" t="n">
        <v>46.69219630031297</v>
      </c>
      <c r="C1209" s="118" t="n">
        <v>46.78139826883871</v>
      </c>
      <c r="D1209" s="118" t="n">
        <v>45.67133226785857</v>
      </c>
      <c r="E1209" s="118" t="n">
        <v>45.81999969482422</v>
      </c>
      <c r="F1209" s="119" t="n">
        <v>38949100</v>
      </c>
      <c r="G1209" s="120" t="n">
        <v>-0.0240658804228141</v>
      </c>
      <c r="H1209" s="121" t="n">
        <v>28.80307043778498</v>
      </c>
      <c r="I1209" s="118" t="n">
        <v>45.30897285461426</v>
      </c>
      <c r="J1209" s="118" t="n">
        <v>60.01939878463745</v>
      </c>
      <c r="K1209" s="120" t="n">
        <v>0.3070388251103006</v>
      </c>
      <c r="L1209" s="120" t="n">
        <v>-0.2032058203987529</v>
      </c>
      <c r="M1209" s="120" t="n">
        <v>-0.4058890565104488</v>
      </c>
      <c r="N1209" t="n">
        <v>57.60745387561661</v>
      </c>
      <c r="O1209" t="n">
        <v>0.6628521601686532</v>
      </c>
      <c r="P1209" t="n">
        <v>182.4469529144227</v>
      </c>
      <c r="Q1209" t="n">
        <v>206.4734365968897</v>
      </c>
    </row>
    <row r="1210">
      <c r="A1210" s="117" t="n">
        <v>46174</v>
      </c>
      <c r="B1210" s="118" t="n">
        <v>45.52000045776367</v>
      </c>
      <c r="C1210" s="118" t="n">
        <v>46.27999877929688</v>
      </c>
      <c r="D1210" s="118" t="n">
        <v>45.04999923706055</v>
      </c>
      <c r="E1210" s="118" t="n">
        <v>45.93000030517578</v>
      </c>
      <c r="F1210" s="119" t="n">
        <v>26885100</v>
      </c>
      <c r="G1210" s="120" t="n">
        <v>0.002400711721610715</v>
      </c>
      <c r="H1210" s="121" t="n">
        <v>28.87221830660335</v>
      </c>
      <c r="I1210" s="118" t="n">
        <v>45.16825172424316</v>
      </c>
      <c r="J1210" s="118" t="n">
        <v>59.87335809707642</v>
      </c>
      <c r="K1210" s="120" t="n">
        <v>0.3069979832429051</v>
      </c>
      <c r="L1210" s="120" t="n">
        <v>-0.1871428640868986</v>
      </c>
      <c r="M1210" s="120" t="n">
        <v>-0.4044627674044763</v>
      </c>
      <c r="N1210" t="n">
        <v>58.13427197286953</v>
      </c>
      <c r="O1210" t="n">
        <v>0.6243516795371695</v>
      </c>
      <c r="P1210" t="n">
        <v>182.9437766678048</v>
      </c>
      <c r="Q1210" t="n">
        <v>207.7123258821173</v>
      </c>
    </row>
    <row r="1211">
      <c r="A1211" s="117" t="n">
        <v>46175</v>
      </c>
      <c r="B1211" s="118" t="n">
        <v>45.77999877929688</v>
      </c>
      <c r="C1211" s="118" t="n">
        <v>45.77999877929688</v>
      </c>
      <c r="D1211" s="118" t="n">
        <v>43.5099983215332</v>
      </c>
      <c r="E1211" s="118" t="n">
        <v>43.72999954223633</v>
      </c>
      <c r="F1211" s="119" t="n">
        <v>28345000</v>
      </c>
      <c r="G1211" s="120" t="n">
        <v>-0.04789899299633882</v>
      </c>
      <c r="H1211" s="121" t="n">
        <v>27.48926812414659</v>
      </c>
      <c r="I1211" s="118" t="n">
        <v>45.00474082946777</v>
      </c>
      <c r="J1211" s="118" t="n">
        <v>59.72025924682617</v>
      </c>
      <c r="K1211" s="120" t="n">
        <v>0.3376967453202223</v>
      </c>
      <c r="L1211" s="120" t="n">
        <v>-0.2195064876264462</v>
      </c>
      <c r="M1211" s="120" t="n">
        <v>-0.4329884011376283</v>
      </c>
      <c r="N1211" t="n">
        <v>45.85951145336822</v>
      </c>
      <c r="O1211" t="n">
        <v>0.4316135159338551</v>
      </c>
      <c r="P1211" t="n">
        <v>183.1922033028061</v>
      </c>
      <c r="Q1211" t="n">
        <v>208.6687391146278</v>
      </c>
    </row>
    <row r="1212">
      <c r="A1212" s="117" t="n">
        <v>46176</v>
      </c>
      <c r="B1212" s="118" t="n">
        <v>43.65000152587891</v>
      </c>
      <c r="C1212" s="118" t="n">
        <v>43.9900016784668</v>
      </c>
      <c r="D1212" s="118" t="n">
        <v>43.15999984741211</v>
      </c>
      <c r="E1212" s="118" t="n">
        <v>43.81000137329102</v>
      </c>
      <c r="F1212" s="119" t="n">
        <v>18940500</v>
      </c>
      <c r="G1212" s="120" t="n">
        <v>0.001829449620218249</v>
      </c>
      <c r="H1212" s="121" t="n">
        <v>27.53955835527639</v>
      </c>
      <c r="I1212" s="118" t="n">
        <v>44.83609024047851</v>
      </c>
      <c r="J1212" s="118" t="n">
        <v>59.56473787307739</v>
      </c>
      <c r="K1212" s="120" t="n">
        <v>0.3376078373064723</v>
      </c>
      <c r="L1212" s="120" t="n">
        <v>-0.2118043132852557</v>
      </c>
      <c r="M1212" s="120" t="n">
        <v>-0.4319510819834302</v>
      </c>
      <c r="N1212" t="n">
        <v>46.303517014793</v>
      </c>
      <c r="O1212" t="n">
        <v>0.2968265182827458</v>
      </c>
      <c r="P1212" t="n">
        <v>181.9067102125362</v>
      </c>
      <c r="Q1212" t="n">
        <v>208.1234207267285</v>
      </c>
    </row>
    <row r="1213">
      <c r="A1213" s="117" t="n">
        <v>46177</v>
      </c>
      <c r="B1213" s="118" t="n">
        <v>44.5</v>
      </c>
      <c r="C1213" s="118" t="n">
        <v>44.70000076293945</v>
      </c>
      <c r="D1213" s="118" t="n">
        <v>43.13000106811523</v>
      </c>
      <c r="E1213" s="118" t="n">
        <v>43.61999893188477</v>
      </c>
      <c r="F1213" s="119" t="n">
        <v>17350900</v>
      </c>
      <c r="G1213" s="120" t="n">
        <v>-0.004336964972616597</v>
      </c>
      <c r="H1213" s="121" t="n">
        <v>27.42012025532822</v>
      </c>
      <c r="I1213" s="118" t="n">
        <v>44.64817794799805</v>
      </c>
      <c r="J1213" s="118" t="n">
        <v>59.40602790832519</v>
      </c>
      <c r="K1213" s="120" t="n">
        <v>0.3316664610916986</v>
      </c>
      <c r="L1213" s="120" t="n">
        <v>-0.2098686940403577</v>
      </c>
      <c r="M1213" s="120" t="n">
        <v>-0.4344146902436008</v>
      </c>
      <c r="N1213" t="n">
        <v>45.35223588896381</v>
      </c>
      <c r="O1213" t="n">
        <v>0.187520376325395</v>
      </c>
      <c r="P1213" t="n">
        <v>182.5940785084539</v>
      </c>
      <c r="Q1213" t="n">
        <v>207.1166501699572</v>
      </c>
    </row>
    <row r="1214">
      <c r="A1214" s="117" t="n">
        <v>46178</v>
      </c>
      <c r="B1214" s="118" t="n">
        <v>43.29999923706055</v>
      </c>
      <c r="C1214" s="118" t="n">
        <v>43.7400016784668</v>
      </c>
      <c r="D1214" s="118" t="n">
        <v>42.79000091552734</v>
      </c>
      <c r="E1214" s="118" t="n">
        <v>42.97999954223633</v>
      </c>
      <c r="F1214" s="119" t="n">
        <v>18406500</v>
      </c>
      <c r="G1214" s="120" t="n">
        <v>-0.01467215509674435</v>
      </c>
      <c r="H1214" s="121" t="n">
        <v>27.01780799817067</v>
      </c>
      <c r="I1214" s="118" t="n">
        <v>44.45757522583008</v>
      </c>
      <c r="J1214" s="118" t="n">
        <v>59.24679449081421</v>
      </c>
      <c r="K1214" s="120" t="n">
        <v>0.3327185729986996</v>
      </c>
      <c r="L1214" s="120" t="n">
        <v>-0.2132694607935212</v>
      </c>
      <c r="M1214" s="120" t="n">
        <v>-0.442713045628787</v>
      </c>
      <c r="N1214" t="n">
        <v>42.20678954448912</v>
      </c>
      <c r="O1214" t="n">
        <v>0.07076999882092422</v>
      </c>
      <c r="P1214" t="n">
        <v>177.8814401483737</v>
      </c>
      <c r="Q1214" t="n">
        <v>197.174846456724</v>
      </c>
    </row>
    <row r="1215">
      <c r="A1215" s="117" t="n">
        <v>46181</v>
      </c>
      <c r="B1215" s="118" t="n">
        <v>43.06000137329102</v>
      </c>
      <c r="C1215" s="118" t="n">
        <v>43.86000061035156</v>
      </c>
      <c r="D1215" s="118" t="n">
        <v>42.65000152587891</v>
      </c>
      <c r="E1215" s="118" t="n">
        <v>43.22999954223633</v>
      </c>
      <c r="F1215" s="119" t="n">
        <v>18192000</v>
      </c>
      <c r="G1215" s="120" t="n">
        <v>0.005816658973072375</v>
      </c>
      <c r="H1215" s="121" t="n">
        <v>27.17496137349598</v>
      </c>
      <c r="I1215" s="118" t="n">
        <v>44.29001106262207</v>
      </c>
      <c r="J1215" s="118" t="n">
        <v>59.09182823181153</v>
      </c>
      <c r="K1215" s="120" t="n">
        <v>0.3329800708711966</v>
      </c>
      <c r="L1215" s="120" t="n">
        <v>-0.2086933175432556</v>
      </c>
      <c r="M1215" s="120" t="n">
        <v>-0.4394714974650674</v>
      </c>
      <c r="N1215" t="n">
        <v>43.84517391830194</v>
      </c>
      <c r="O1215" t="n">
        <v>0.01211034910785655</v>
      </c>
      <c r="P1215" t="n">
        <v>178.2841944327665</v>
      </c>
      <c r="Q1215" t="n">
        <v>200.2538713154197</v>
      </c>
    </row>
    <row r="1216">
      <c r="A1216" s="117" t="n">
        <v>46182</v>
      </c>
      <c r="B1216" s="118" t="n">
        <v>43.52000045776367</v>
      </c>
      <c r="C1216" s="118" t="n">
        <v>45.27999877929688</v>
      </c>
      <c r="D1216" s="118" t="n">
        <v>43.27000045776367</v>
      </c>
      <c r="E1216" s="118" t="n">
        <v>44.65000152587891</v>
      </c>
      <c r="F1216" s="119" t="n">
        <v>21505800</v>
      </c>
      <c r="G1216" s="120" t="n">
        <v>0.03284760579872814</v>
      </c>
      <c r="H1216" s="121" t="n">
        <v>28.06759379228824</v>
      </c>
      <c r="I1216" s="118" t="n">
        <v>44.16472282409668</v>
      </c>
      <c r="J1216" s="118" t="n">
        <v>58.94435131072998</v>
      </c>
      <c r="K1216" s="120" t="n">
        <v>0.3187399900034564</v>
      </c>
      <c r="L1216" s="120" t="n">
        <v>-0.1827007875720171</v>
      </c>
      <c r="M1216" s="120" t="n">
        <v>-0.4210594781748486</v>
      </c>
      <c r="N1216" t="n">
        <v>52.1438751772888</v>
      </c>
      <c r="O1216" t="n">
        <v>0.06757506926128326</v>
      </c>
      <c r="P1216" t="n">
        <v>177.7608499960185</v>
      </c>
      <c r="Q1216" t="n">
        <v>197.9494982850392</v>
      </c>
    </row>
    <row r="1217">
      <c r="A1217" s="117" t="n">
        <v>46183</v>
      </c>
      <c r="B1217" s="118" t="n">
        <v>43.77000045776367</v>
      </c>
      <c r="C1217" s="118" t="n">
        <v>44.58000183105469</v>
      </c>
      <c r="D1217" s="118" t="n">
        <v>43.31000137329102</v>
      </c>
      <c r="E1217" s="118" t="n">
        <v>43.95999908447266</v>
      </c>
      <c r="F1217" s="119" t="n">
        <v>15335600</v>
      </c>
      <c r="G1217" s="120" t="n">
        <v>-0.01545358158624766</v>
      </c>
      <c r="H1217" s="121" t="n">
        <v>27.63384894168945</v>
      </c>
      <c r="I1217" s="118" t="n">
        <v>44.02821144104004</v>
      </c>
      <c r="J1217" s="118" t="n">
        <v>58.78271823883057</v>
      </c>
      <c r="K1217" s="120" t="n">
        <v>0.325357998715173</v>
      </c>
      <c r="L1217" s="120" t="n">
        <v>-0.1953309876316488</v>
      </c>
      <c r="M1217" s="120" t="n">
        <v>-0.4300061827624583</v>
      </c>
      <c r="N1217" t="n">
        <v>48.40085284522377</v>
      </c>
      <c r="O1217" t="n">
        <v>0.05685361090559318</v>
      </c>
      <c r="P1217" t="n">
        <v>174.9583502039262</v>
      </c>
      <c r="Q1217" t="n">
        <v>193.9951582124765</v>
      </c>
    </row>
    <row r="1218">
      <c r="A1218" s="117" t="n">
        <v>46184</v>
      </c>
      <c r="B1218" s="118" t="n">
        <v>44.52000045776367</v>
      </c>
      <c r="C1218" s="118" t="n">
        <v>45.97999954223633</v>
      </c>
      <c r="D1218" s="118" t="n">
        <v>44.22000122070312</v>
      </c>
      <c r="E1218" s="118" t="n">
        <v>45.95999908447266</v>
      </c>
      <c r="F1218" s="119" t="n">
        <v>16647500</v>
      </c>
      <c r="G1218" s="120" t="n">
        <v>0.04549590631603162</v>
      </c>
      <c r="H1218" s="121" t="n">
        <v>28.89107594429193</v>
      </c>
      <c r="I1218" s="118" t="n">
        <v>43.90038032531739</v>
      </c>
      <c r="J1218" s="118" t="n">
        <v>58.62724060058594</v>
      </c>
      <c r="K1218" s="120" t="n">
        <v>0.3589904956904916</v>
      </c>
      <c r="L1218" s="120" t="n">
        <v>-0.1330855949444965</v>
      </c>
      <c r="M1218" s="120" t="n">
        <v>-0.4040737974527019</v>
      </c>
      <c r="N1218" t="n">
        <v>57.84623504564723</v>
      </c>
      <c r="O1218" t="n">
        <v>0.1767500652579274</v>
      </c>
      <c r="P1218" t="n">
        <v>177.9320906688587</v>
      </c>
      <c r="Q1218" t="n">
        <v>200.5475056079545</v>
      </c>
    </row>
    <row r="1219">
      <c r="A1219" s="117" t="n">
        <v>46185</v>
      </c>
      <c r="B1219" s="118" t="n">
        <v>46.29000091552734</v>
      </c>
      <c r="C1219" s="118" t="n">
        <v>46.31000137329102</v>
      </c>
      <c r="D1219" s="118" t="n">
        <v>44.84999847412109</v>
      </c>
      <c r="E1219" s="118" t="n">
        <v>44.93000030517578</v>
      </c>
      <c r="F1219" s="119" t="n">
        <v>16524300</v>
      </c>
      <c r="G1219" s="120" t="n">
        <v>-0.02241076587934165</v>
      </c>
      <c r="H1219" s="121" t="n">
        <v>28.24360480530212</v>
      </c>
      <c r="I1219" s="118" t="n">
        <v>43.91429649353027</v>
      </c>
      <c r="J1219" s="118" t="n">
        <v>58.46914360046387</v>
      </c>
      <c r="K1219" s="120" t="n">
        <v>0.3694898942412985</v>
      </c>
      <c r="L1219" s="120" t="n">
        <v>-0.1525138107136241</v>
      </c>
      <c r="M1219" s="120" t="n">
        <v>-0.4174289600593545</v>
      </c>
      <c r="N1219" t="n">
        <v>52.51473309190811</v>
      </c>
      <c r="O1219" t="n">
        <v>0.1784598339328342</v>
      </c>
      <c r="P1219" t="n">
        <v>178.8943915248333</v>
      </c>
      <c r="Q1219" t="n">
        <v>201.7276646171437</v>
      </c>
    </row>
    <row r="1220">
      <c r="A1220" s="117" t="n">
        <v>46188</v>
      </c>
      <c r="B1220" s="118" t="n">
        <v>45.36000061035156</v>
      </c>
      <c r="C1220" s="118" t="n">
        <v>46.09000015258789</v>
      </c>
      <c r="D1220" s="118" t="n">
        <v>45.09000015258789</v>
      </c>
      <c r="E1220" s="118" t="n">
        <v>45.20000076293945</v>
      </c>
      <c r="F1220" s="119" t="n">
        <v>14345100</v>
      </c>
      <c r="G1220" s="120" t="n">
        <v>0.006009358022029065</v>
      </c>
      <c r="H1220" s="121" t="n">
        <v>28.41333073840988</v>
      </c>
      <c r="I1220" s="118" t="n">
        <v>43.94233467102051</v>
      </c>
      <c r="J1220" s="118" t="n">
        <v>58.31526777267456</v>
      </c>
      <c r="K1220" s="120" t="n">
        <v>0.3684986838874167</v>
      </c>
      <c r="L1220" s="120" t="n">
        <v>-0.1474209627834772</v>
      </c>
      <c r="M1220" s="120" t="n">
        <v>-0.4139280821070854</v>
      </c>
      <c r="N1220" t="n">
        <v>53.7189106288811</v>
      </c>
      <c r="O1220" t="n">
        <v>0.1885590169962371</v>
      </c>
      <c r="P1220" t="n">
        <v>182.0490098391435</v>
      </c>
      <c r="Q1220" t="n">
        <v>208.0646904506903</v>
      </c>
    </row>
    <row r="1221">
      <c r="A1221" s="117" t="n">
        <v>46189</v>
      </c>
      <c r="B1221" s="118" t="n">
        <v>45.5099983215332</v>
      </c>
      <c r="C1221" s="118" t="n">
        <v>46.09999847412109</v>
      </c>
      <c r="D1221" s="118" t="n">
        <v>45</v>
      </c>
      <c r="E1221" s="118" t="n">
        <v>45.04000091552734</v>
      </c>
      <c r="F1221" s="119" t="n">
        <v>19591400</v>
      </c>
      <c r="G1221" s="120" t="n">
        <v>-0.003539819573261993</v>
      </c>
      <c r="H1221" s="121" t="n">
        <v>28.31275267412049</v>
      </c>
      <c r="I1221" s="118" t="n">
        <v>43.97034446716309</v>
      </c>
      <c r="J1221" s="118" t="n">
        <v>58.16127325057983</v>
      </c>
      <c r="K1221" s="120" t="n">
        <v>0.3667339219281541</v>
      </c>
      <c r="L1221" s="120" t="n">
        <v>-0.1504389387471692</v>
      </c>
      <c r="M1221" s="120" t="n">
        <v>-0.4160026709533819</v>
      </c>
      <c r="N1221" t="n">
        <v>52.86339792205052</v>
      </c>
      <c r="O1221" t="n">
        <v>0.1755157275455759</v>
      </c>
      <c r="P1221" t="n">
        <v>180.9637132262569</v>
      </c>
      <c r="Q1221" t="n">
        <v>204.1103332904709</v>
      </c>
    </row>
    <row r="1222">
      <c r="A1222" s="117" t="n">
        <v>46190</v>
      </c>
      <c r="B1222" s="118" t="n">
        <v>44.90000152587891</v>
      </c>
      <c r="C1222" s="118" t="n">
        <v>45.84999847412109</v>
      </c>
      <c r="D1222" s="118" t="n">
        <v>44.15999984741211</v>
      </c>
      <c r="E1222" s="118" t="n">
        <v>44.18999862670898</v>
      </c>
      <c r="F1222" s="119" t="n">
        <v>20859700</v>
      </c>
      <c r="G1222" s="120" t="n">
        <v>-0.01887216411057679</v>
      </c>
      <c r="H1222" s="121" t="n">
        <v>27.77842975923231</v>
      </c>
      <c r="I1222" s="118" t="n">
        <v>44.0079165649414</v>
      </c>
      <c r="J1222" s="118" t="n">
        <v>58.00570526123047</v>
      </c>
      <c r="K1222" s="120" t="n">
        <v>0.3746081928620381</v>
      </c>
      <c r="L1222" s="120" t="n">
        <v>-0.1664719945170884</v>
      </c>
      <c r="M1222" s="120" t="n">
        <v>-0.4270239643872883</v>
      </c>
      <c r="N1222" t="n">
        <v>48.44902034243747</v>
      </c>
      <c r="O1222" t="n">
        <v>0.1042165557680301</v>
      </c>
      <c r="P1222" t="n">
        <v>178.7038617406079</v>
      </c>
      <c r="Q1222" t="n">
        <v>202.0548590674146</v>
      </c>
    </row>
    <row r="1223">
      <c r="A1223" s="117" t="n">
        <v>46191</v>
      </c>
      <c r="B1223" s="118" t="n">
        <v>44.40999984741211</v>
      </c>
      <c r="C1223" s="118" t="n">
        <v>45.70999908447266</v>
      </c>
      <c r="D1223" s="118" t="n">
        <v>44.2400016784668</v>
      </c>
      <c r="E1223" s="118" t="n">
        <v>45.20000076293945</v>
      </c>
      <c r="F1223" s="119" t="n">
        <v>32320300</v>
      </c>
      <c r="G1223" s="120" t="n">
        <v>0.02285589879199512</v>
      </c>
      <c r="H1223" s="121" t="n">
        <v>28.41333073840988</v>
      </c>
      <c r="I1223" s="118" t="n">
        <v>44.05696670532227</v>
      </c>
      <c r="J1223" s="118" t="n">
        <v>57.86829717636108</v>
      </c>
      <c r="K1223" s="120" t="n">
        <v>0.3539941513379604</v>
      </c>
      <c r="L1223" s="120" t="n">
        <v>-0.1392137879119524</v>
      </c>
      <c r="M1223" s="120" t="n">
        <v>-0.4139280821070854</v>
      </c>
      <c r="N1223" t="n">
        <v>53.4257821260214</v>
      </c>
      <c r="O1223" t="n">
        <v>0.1186049524385483</v>
      </c>
      <c r="P1223" t="n">
        <v>180.561844440474</v>
      </c>
      <c r="Q1223" t="n">
        <v>207.1194525456541</v>
      </c>
    </row>
    <row r="1224">
      <c r="A1224" s="117" t="n">
        <v>46195</v>
      </c>
      <c r="B1224" s="118" t="n">
        <v>44.61999893188477</v>
      </c>
      <c r="C1224" s="118" t="n">
        <v>44.90999984741211</v>
      </c>
      <c r="D1224" s="118" t="n">
        <v>43.13999938964844</v>
      </c>
      <c r="E1224" s="118" t="n">
        <v>43.18999862670898</v>
      </c>
      <c r="F1224" s="119" t="n">
        <v>25864500</v>
      </c>
      <c r="G1224" s="120" t="n">
        <v>-0.04446907305980663</v>
      </c>
      <c r="H1224" s="121" t="n">
        <v>27.14981625793108</v>
      </c>
      <c r="I1224" s="118" t="n">
        <v>44.04857109069824</v>
      </c>
      <c r="J1224" s="118" t="n">
        <v>57.71863784790039</v>
      </c>
      <c r="K1224" s="120" t="n">
        <v>0.3899129840423856</v>
      </c>
      <c r="L1224" s="120" t="n">
        <v>-0.1750006521590546</v>
      </c>
      <c r="M1224" s="120" t="n">
        <v>-0.4399901570421665</v>
      </c>
      <c r="N1224" t="n">
        <v>44.26680423773904</v>
      </c>
      <c r="O1224" t="n">
        <v>-0.007053548626655463</v>
      </c>
      <c r="P1224" t="n">
        <v>179.9936199825154</v>
      </c>
      <c r="Q1224" t="n">
        <v>206.5995605909074</v>
      </c>
    </row>
    <row r="1225">
      <c r="A1225" s="117" t="n">
        <v>46196</v>
      </c>
      <c r="B1225" s="118" t="n">
        <v>42.38999938964844</v>
      </c>
      <c r="C1225" s="118" t="n">
        <v>43.18999862670898</v>
      </c>
      <c r="D1225" s="118" t="n">
        <v>42.31999969482422</v>
      </c>
      <c r="E1225" s="118" t="n">
        <v>42.38000106811523</v>
      </c>
      <c r="F1225" s="119" t="n">
        <v>31517900</v>
      </c>
      <c r="G1225" s="120" t="n">
        <v>-0.01875428535190649</v>
      </c>
      <c r="H1225" s="121" t="n">
        <v>26.64064085657801</v>
      </c>
      <c r="I1225" s="118" t="n">
        <v>44.05133079528809</v>
      </c>
      <c r="J1225" s="118" t="n">
        <v>57.56194452285767</v>
      </c>
      <c r="K1225" s="120" t="n">
        <v>0.3941185209654292</v>
      </c>
      <c r="L1225" s="120" t="n">
        <v>-0.1904729253436005</v>
      </c>
      <c r="M1225" s="120" t="n">
        <v>-0.450492741436874</v>
      </c>
      <c r="N1225" t="n">
        <v>41.20145113731213</v>
      </c>
      <c r="O1225" t="n">
        <v>-0.1373059405872804</v>
      </c>
      <c r="P1225" t="n">
        <v>177.3797609109474</v>
      </c>
      <c r="Q1225" t="n">
        <v>199.7964347458694</v>
      </c>
    </row>
    <row r="1226">
      <c r="A1226" s="117" t="n">
        <v>46197</v>
      </c>
      <c r="B1226" s="118" t="n">
        <v>42.04000091552734</v>
      </c>
      <c r="C1226" s="118" t="n">
        <v>42.33000183105469</v>
      </c>
      <c r="D1226" s="118" t="n">
        <v>41.31000137329102</v>
      </c>
      <c r="E1226" s="118" t="n">
        <v>41.81999969482422</v>
      </c>
      <c r="F1226" s="119" t="n">
        <v>34384300</v>
      </c>
      <c r="G1226" s="120" t="n">
        <v>-0.01321381215613826</v>
      </c>
      <c r="H1226" s="121" t="n">
        <v>26.28861643258004</v>
      </c>
      <c r="I1226" s="118" t="n">
        <v>44.0371418762207</v>
      </c>
      <c r="J1226" s="118" t="n">
        <v>57.40949529647827</v>
      </c>
      <c r="K1226" s="120" t="n">
        <v>0.3949040218428712</v>
      </c>
      <c r="L1226" s="120" t="n">
        <v>-0.2011698640434182</v>
      </c>
      <c r="M1226" s="120" t="n">
        <v>-0.4577538271299617</v>
      </c>
      <c r="N1226" t="n">
        <v>39.18135581040869</v>
      </c>
      <c r="O1226" t="n">
        <v>-0.2473425282221838</v>
      </c>
      <c r="P1226" t="n">
        <v>177.2975423650202</v>
      </c>
      <c r="Q1226" t="n">
        <v>198.9481351172269</v>
      </c>
    </row>
    <row r="1227">
      <c r="A1227" s="117" t="n">
        <v>46198</v>
      </c>
      <c r="B1227" s="118" t="n">
        <v>41.79999923706055</v>
      </c>
      <c r="C1227" s="118" t="n">
        <v>41.86000061035156</v>
      </c>
      <c r="D1227" s="118" t="n">
        <v>40.43999862670898</v>
      </c>
      <c r="E1227" s="118" t="n">
        <v>40.90000152587891</v>
      </c>
      <c r="F1227" s="119" t="n">
        <v>29228300</v>
      </c>
      <c r="G1227" s="120" t="n">
        <v>-0.02199899989619503</v>
      </c>
      <c r="H1227" s="121" t="n">
        <v>25.7102931624086</v>
      </c>
      <c r="I1227" s="118" t="n">
        <v>43.97898178100586</v>
      </c>
      <c r="J1227" s="118" t="n">
        <v>57.25127202987671</v>
      </c>
      <c r="K1227" s="120" t="n">
        <v>0.3879398644900576</v>
      </c>
      <c r="L1227" s="120" t="n">
        <v>-0.2187433281214045</v>
      </c>
      <c r="M1227" s="120" t="n">
        <v>-0.4696827006306418</v>
      </c>
      <c r="N1227" t="n">
        <v>36.05388029470836</v>
      </c>
      <c r="O1227" t="n">
        <v>-0.3613503524266945</v>
      </c>
      <c r="P1227" t="n">
        <v>177.5538499376493</v>
      </c>
      <c r="Q1227" t="n">
        <v>200.5607314542314</v>
      </c>
    </row>
    <row r="1228">
      <c r="A1228" s="117" t="n">
        <v>46199</v>
      </c>
      <c r="B1228" s="118" t="n">
        <v>40.06999969482422</v>
      </c>
      <c r="C1228" s="118" t="n">
        <v>41.47000122070312</v>
      </c>
      <c r="D1228" s="118" t="n">
        <v>40</v>
      </c>
      <c r="E1228" s="118" t="n">
        <v>40.75</v>
      </c>
      <c r="F1228" s="119" t="n">
        <v>33970700</v>
      </c>
      <c r="G1228" s="120" t="n">
        <v>-0.003667518833318284</v>
      </c>
      <c r="H1228" s="121" t="n">
        <v>25.61600017802534</v>
      </c>
      <c r="I1228" s="118" t="n">
        <v>43.89324165344238</v>
      </c>
      <c r="J1228" s="118" t="n">
        <v>57.09498922348023</v>
      </c>
      <c r="K1228" s="120" t="n">
        <v>0.3649627365379607</v>
      </c>
      <c r="L1228" s="120" t="n">
        <v>-0.1320533470614007</v>
      </c>
      <c r="M1228" s="120" t="n">
        <v>-0.4716276493137134</v>
      </c>
      <c r="N1228" t="n">
        <v>35.55555230061934</v>
      </c>
      <c r="O1228" t="n">
        <v>-0.4219078147888273</v>
      </c>
      <c r="P1228" t="n">
        <v>176.2698917116366</v>
      </c>
      <c r="Q1228" t="n">
        <v>197.8002888668355</v>
      </c>
    </row>
    <row r="1229">
      <c r="A1229" s="117" t="n">
        <v>46202</v>
      </c>
      <c r="B1229" s="118" t="n">
        <v>41.13999938964844</v>
      </c>
      <c r="C1229" s="118" t="n">
        <v>41.68999862670898</v>
      </c>
      <c r="D1229" s="118" t="n">
        <v>40.77000045776367</v>
      </c>
      <c r="E1229" s="118" t="n">
        <v>41.47999954223633</v>
      </c>
      <c r="F1229" s="119" t="n">
        <v>27824700</v>
      </c>
      <c r="G1229" s="120" t="n">
        <v>0.01791409919598341</v>
      </c>
      <c r="H1229" s="121" t="n">
        <v>26.07488774621881</v>
      </c>
      <c r="I1229" s="118" t="n">
        <v>43.81694763183594</v>
      </c>
      <c r="J1229" s="118" t="n">
        <v>56.93917682647705</v>
      </c>
      <c r="K1229" s="120" t="n">
        <v>0.3690279878089801</v>
      </c>
      <c r="L1229" s="120" t="n">
        <v>-0.1165048646238369</v>
      </c>
      <c r="M1229" s="120" t="n">
        <v>-0.4621623346111042</v>
      </c>
      <c r="N1229" t="n">
        <v>39.90854170602584</v>
      </c>
      <c r="O1229" t="n">
        <v>-0.3886678780330071</v>
      </c>
      <c r="P1229" t="n">
        <v>179.1739139193514</v>
      </c>
      <c r="Q1229" t="n">
        <v>202.7164589590789</v>
      </c>
    </row>
    <row r="1230">
      <c r="A1230" s="117" t="n">
        <v>46203</v>
      </c>
      <c r="B1230" s="118" t="n">
        <v>41.38000106811523</v>
      </c>
      <c r="C1230" s="118" t="n">
        <v>41.63999938964844</v>
      </c>
      <c r="D1230" s="118" t="n">
        <v>40.88999938964844</v>
      </c>
      <c r="E1230" s="118" t="n">
        <v>41.04999923706055</v>
      </c>
      <c r="F1230" s="119" t="n">
        <v>73891500</v>
      </c>
      <c r="G1230" s="120" t="n">
        <v>-0.01036644913021134</v>
      </c>
      <c r="H1230" s="121" t="n">
        <v>25.80458374882166</v>
      </c>
      <c r="I1230" s="118" t="n">
        <v>43.72551216125488</v>
      </c>
      <c r="J1230" s="118" t="n">
        <v>56.78082307815552</v>
      </c>
      <c r="K1230" s="120" t="n">
        <v>0.36854943673956</v>
      </c>
      <c r="L1230" s="120" t="n">
        <v>-0.125663572001503</v>
      </c>
      <c r="M1230" s="120" t="n">
        <v>-0.4677378014096698</v>
      </c>
      <c r="N1230" t="n">
        <v>38.26879143817178</v>
      </c>
      <c r="O1230" t="n">
        <v>-0.3715226686560036</v>
      </c>
      <c r="P1230" t="n">
        <v>180.569105529075</v>
      </c>
      <c r="Q1230" t="n">
        <v>206.1656195493037</v>
      </c>
    </row>
    <row r="1231">
      <c r="A1231" s="117" t="n">
        <v>46204</v>
      </c>
      <c r="B1231" s="118" t="n">
        <v>41.40000152587891</v>
      </c>
      <c r="C1231" s="118" t="n">
        <v>43.27999877929688</v>
      </c>
      <c r="D1231" s="118" t="n">
        <v>40.11000061035156</v>
      </c>
      <c r="E1231" s="118" t="n">
        <v>43.06000137329102</v>
      </c>
      <c r="F1231" s="119" t="n">
        <v>80185700</v>
      </c>
      <c r="G1231" s="120" t="n">
        <v>0.04896473017265768</v>
      </c>
      <c r="H1231" s="121" t="n">
        <v>27.06809822930046</v>
      </c>
      <c r="I1231" s="118" t="n">
        <v>43.66535652160645</v>
      </c>
      <c r="J1231" s="118" t="n">
        <v>56.63902538299561</v>
      </c>
      <c r="K1231" s="120" t="n">
        <v>0.3804044199447731</v>
      </c>
      <c r="L1231" s="120" t="n">
        <v>-0.08285192472443126</v>
      </c>
      <c r="M1231" s="120" t="n">
        <v>-0.4416757264745889</v>
      </c>
      <c r="N1231" t="n">
        <v>48.84868086238887</v>
      </c>
      <c r="O1231" t="n">
        <v>-0.2088020719668957</v>
      </c>
      <c r="P1231" t="n">
        <v>180.3248850124706</v>
      </c>
      <c r="Q1231" t="n">
        <v>203.0216103322216</v>
      </c>
    </row>
    <row r="1232">
      <c r="A1232" s="117" t="n">
        <v>46205</v>
      </c>
      <c r="B1232" s="118" t="n">
        <v>44.11000061035156</v>
      </c>
      <c r="C1232" s="118" t="n">
        <v>45.04000091552734</v>
      </c>
      <c r="D1232" s="118" t="n">
        <v>43.59999847412109</v>
      </c>
      <c r="E1232" s="118" t="n">
        <v>44.09000015258789</v>
      </c>
      <c r="F1232" s="119" t="n">
        <v>34233400</v>
      </c>
      <c r="G1232" s="120" t="n">
        <v>0.02392008236060472</v>
      </c>
      <c r="H1232" s="121" t="n">
        <v>27.71556936829027</v>
      </c>
      <c r="I1232" s="118" t="n">
        <v>43.62758491516113</v>
      </c>
      <c r="J1232" s="118" t="n">
        <v>56.50223089218139</v>
      </c>
      <c r="K1232" s="120" t="n">
        <v>0.3901562920946295</v>
      </c>
      <c r="L1232" s="120" t="n">
        <v>-0.06091366722696956</v>
      </c>
      <c r="M1232" s="120" t="n">
        <v>-0.4283205638679362</v>
      </c>
      <c r="N1232" t="n">
        <v>53.26855994032509</v>
      </c>
      <c r="O1232" t="n">
        <v>-0.02543334795058927</v>
      </c>
      <c r="P1232" t="n">
        <v>180.0879255844673</v>
      </c>
      <c r="Q1232" t="n">
        <v>199.5024587002009</v>
      </c>
    </row>
    <row r="1233">
      <c r="A1233" s="117" t="n">
        <v>46209</v>
      </c>
      <c r="B1233" s="118" t="n">
        <v>43.90000152587891</v>
      </c>
      <c r="C1233" s="118" t="n">
        <v>44.11000061035156</v>
      </c>
      <c r="D1233" s="118" t="n">
        <v>41.84000015258789</v>
      </c>
      <c r="E1233" s="118" t="n">
        <v>43.34000015258789</v>
      </c>
      <c r="F1233" s="119" t="n">
        <v>21979100</v>
      </c>
      <c r="G1233" s="120" t="n">
        <v>-0.01701065995473761</v>
      </c>
      <c r="H1233" s="121" t="n">
        <v>27.24410924231434</v>
      </c>
      <c r="I1233" s="118" t="n">
        <v>43.58888732910156</v>
      </c>
      <c r="J1233" s="118" t="n">
        <v>56.36305610656738</v>
      </c>
      <c r="K1233" s="120" t="n">
        <v>0.3948501900946265</v>
      </c>
      <c r="L1233" s="120" t="n">
        <v>-0.07688814550191314</v>
      </c>
      <c r="M1233" s="120" t="n">
        <v>-0.4380452083590949</v>
      </c>
      <c r="N1233" t="n">
        <v>49.8882169513662</v>
      </c>
      <c r="O1233" t="n">
        <v>0.04772733478990832</v>
      </c>
      <c r="P1233" t="n">
        <v>181.6596265837599</v>
      </c>
      <c r="Q1233" t="n">
        <v>202.363701374402</v>
      </c>
    </row>
    <row r="1234">
      <c r="A1234" s="117" t="n">
        <v>46210</v>
      </c>
      <c r="B1234" s="118" t="n">
        <v>43.72000122070312</v>
      </c>
      <c r="C1234" s="118" t="n">
        <v>44.04000091552734</v>
      </c>
      <c r="D1234" s="118" t="n">
        <v>42.88000106811523</v>
      </c>
      <c r="E1234" s="118" t="n">
        <v>43.20999908447266</v>
      </c>
      <c r="F1234" s="119" t="n">
        <v>17784900</v>
      </c>
      <c r="G1234" s="120" t="n">
        <v>-0.002999563166994457</v>
      </c>
      <c r="H1234" s="121" t="n">
        <v>27.16238881571353</v>
      </c>
      <c r="I1234" s="118" t="n">
        <v>43.56543014526367</v>
      </c>
      <c r="J1234" s="118" t="n">
        <v>56.22538368225098</v>
      </c>
      <c r="K1234" s="120" t="n">
        <v>0.3912669530825698</v>
      </c>
      <c r="L1234" s="120" t="n">
        <v>-0.07965707781968145</v>
      </c>
      <c r="M1234" s="120" t="n">
        <v>-0.4397308272536169</v>
      </c>
      <c r="N1234" t="n">
        <v>49.30417525823687</v>
      </c>
      <c r="O1234" t="n">
        <v>0.08743465161384489</v>
      </c>
      <c r="P1234" t="n">
        <v>180.7963982639205</v>
      </c>
      <c r="Q1234" t="n">
        <v>198.6149770747717</v>
      </c>
    </row>
    <row r="1235">
      <c r="A1235" s="117" t="n">
        <v>46211</v>
      </c>
      <c r="B1235" s="118" t="n">
        <v>42.70000076293945</v>
      </c>
      <c r="C1235" s="118" t="n">
        <v>43.2599983215332</v>
      </c>
      <c r="D1235" s="118" t="n">
        <v>42.06999969482422</v>
      </c>
      <c r="E1235" s="118" t="n">
        <v>42.88999938964844</v>
      </c>
      <c r="F1235" s="119" t="n">
        <v>21101500</v>
      </c>
      <c r="G1235" s="120" t="n">
        <v>-0.007405686220882335</v>
      </c>
      <c r="H1235" s="121" t="n">
        <v>26.96123268713475</v>
      </c>
      <c r="I1235" s="118" t="n">
        <v>43.53735702514648</v>
      </c>
      <c r="J1235" s="118" t="n">
        <v>56.08713855743408</v>
      </c>
      <c r="K1235" s="120" t="n">
        <v>0.3917226692180107</v>
      </c>
      <c r="L1235" s="120" t="n">
        <v>-0.08647284871695882</v>
      </c>
      <c r="M1235" s="120" t="n">
        <v>-0.4438800049462099</v>
      </c>
      <c r="N1235" t="n">
        <v>47.82014059607538</v>
      </c>
      <c r="O1235" t="n">
        <v>0.0917679738771634</v>
      </c>
      <c r="P1235" t="n">
        <v>180.2378404991196</v>
      </c>
      <c r="Q1235" t="n">
        <v>199.1777077848365</v>
      </c>
    </row>
    <row r="1236">
      <c r="A1236" s="117" t="n">
        <v>46212</v>
      </c>
      <c r="B1236" s="118" t="n">
        <v>42.68999862670898</v>
      </c>
      <c r="C1236" s="118" t="n">
        <v>43.06000137329102</v>
      </c>
      <c r="D1236" s="118" t="n">
        <v>42.13000106811523</v>
      </c>
      <c r="E1236" s="118" t="n">
        <v>42.77999877929688</v>
      </c>
      <c r="F1236" s="119" t="n">
        <v>19647000</v>
      </c>
      <c r="G1236" s="120" t="n">
        <v>-0.002564714663486622</v>
      </c>
      <c r="H1236" s="121" t="n">
        <v>26.89208481831638</v>
      </c>
      <c r="I1236" s="118" t="n">
        <v>43.49816368103027</v>
      </c>
      <c r="J1236" s="118" t="n">
        <v>55.95426242828369</v>
      </c>
      <c r="K1236" s="120" t="n">
        <v>0.3718744174560755</v>
      </c>
      <c r="L1236" s="120" t="n">
        <v>-0.08881578519734756</v>
      </c>
      <c r="M1236" s="120" t="n">
        <v>-0.4453062940521825</v>
      </c>
      <c r="N1236" t="n">
        <v>47.29316687696223</v>
      </c>
      <c r="O1236" t="n">
        <v>0.08689489494419333</v>
      </c>
      <c r="P1236" t="n">
        <v>181.7635988788697</v>
      </c>
      <c r="Q1236" t="n">
        <v>202.4924910428631</v>
      </c>
    </row>
    <row r="1237">
      <c r="A1237" s="117" t="n">
        <v>46213</v>
      </c>
      <c r="B1237" s="118" t="n">
        <v>43.41999816894531</v>
      </c>
      <c r="C1237" s="118" t="n">
        <v>44.63000106811523</v>
      </c>
      <c r="D1237" s="118" t="n">
        <v>43.06000137329102</v>
      </c>
      <c r="E1237" s="118" t="n">
        <v>44.36999893188477</v>
      </c>
      <c r="F1237" s="119" t="n">
        <v>23313500</v>
      </c>
      <c r="G1237" s="120" t="n">
        <v>0.03716690504809828</v>
      </c>
      <c r="H1237" s="121" t="n">
        <v>27.89158038130415</v>
      </c>
      <c r="I1237" s="118" t="n">
        <v>43.49295082092285</v>
      </c>
      <c r="J1237" s="118" t="n">
        <v>55.82742853164673</v>
      </c>
      <c r="K1237" s="120" t="n">
        <v>0.3927215767630757</v>
      </c>
      <c r="L1237" s="120" t="n">
        <v>-0.05494988800445144</v>
      </c>
      <c r="M1237" s="120" t="n">
        <v>-0.4246900457524422</v>
      </c>
      <c r="N1237" t="n">
        <v>55.01063320708995</v>
      </c>
      <c r="O1237" t="n">
        <v>0.1847989030855039</v>
      </c>
      <c r="P1237" t="n">
        <v>182.547029015649</v>
      </c>
      <c r="Q1237" t="n">
        <v>203.1168056676331</v>
      </c>
    </row>
    <row r="1238">
      <c r="A1238" s="117" t="n">
        <v>46216</v>
      </c>
      <c r="B1238" s="118" t="n">
        <v>44.7599983215332</v>
      </c>
      <c r="C1238" s="118" t="n">
        <v>44.90000152587891</v>
      </c>
      <c r="D1238" s="118" t="n">
        <v>43.66999816894531</v>
      </c>
      <c r="E1238" s="118" t="n">
        <v>43.7599983215332</v>
      </c>
      <c r="F1238" s="119" t="n">
        <v>13665500</v>
      </c>
      <c r="G1238" s="120" t="n">
        <v>-0.01374804203371771</v>
      </c>
      <c r="H1238" s="121" t="n">
        <v>27.50812576183516</v>
      </c>
      <c r="I1238" s="118" t="n">
        <v>43.48822441101074</v>
      </c>
      <c r="J1238" s="118" t="n">
        <v>55.69925674438477</v>
      </c>
      <c r="K1238" s="120" t="n">
        <v>0.3579654158291298</v>
      </c>
      <c r="L1238" s="120" t="n">
        <v>-0.06794247666813602</v>
      </c>
      <c r="M1238" s="120" t="n">
        <v>-0.4325994311858539</v>
      </c>
      <c r="N1238" t="n">
        <v>51.87255851033036</v>
      </c>
      <c r="O1238" t="n">
        <v>0.2011692052274696</v>
      </c>
      <c r="P1238" t="n">
        <v>181.1494170430584</v>
      </c>
      <c r="Q1238" t="n">
        <v>199.2616936174603</v>
      </c>
    </row>
    <row r="1239">
      <c r="A1239" s="117" t="n">
        <v>46217</v>
      </c>
      <c r="B1239" s="118" t="n">
        <v>44.31000137329102</v>
      </c>
      <c r="C1239" s="118" t="n">
        <v>44.4900016784668</v>
      </c>
      <c r="D1239" s="118" t="n">
        <v>42.47000122070312</v>
      </c>
      <c r="E1239" s="118" t="n">
        <v>42.86000061035156</v>
      </c>
      <c r="F1239" s="119" t="n">
        <v>13090200</v>
      </c>
      <c r="G1239" s="120" t="n">
        <v>-0.02056667609008511</v>
      </c>
      <c r="H1239" s="121" t="n">
        <v>26.94237504944617</v>
      </c>
      <c r="I1239" s="118" t="n">
        <v>43.46609268188477</v>
      </c>
      <c r="J1239" s="118" t="n">
        <v>55.56516635894776</v>
      </c>
      <c r="K1239" s="120" t="n">
        <v>0.3566425451968693</v>
      </c>
      <c r="L1239" s="120" t="n">
        <v>-0.08711180184782941</v>
      </c>
      <c r="M1239" s="120" t="n">
        <v>-0.4442689748979844</v>
      </c>
      <c r="N1239" t="n">
        <v>47.56164491665675</v>
      </c>
      <c r="O1239" t="n">
        <v>0.1466121589305635</v>
      </c>
      <c r="P1239" t="n">
        <v>181.7926137166533</v>
      </c>
      <c r="Q1239" t="n">
        <v>201.4874121641039</v>
      </c>
    </row>
    <row r="1240">
      <c r="A1240" s="117" t="n">
        <v>46218</v>
      </c>
      <c r="B1240" s="118" t="n">
        <v>43</v>
      </c>
      <c r="C1240" s="118" t="n">
        <v>43.58000183105469</v>
      </c>
      <c r="D1240" s="118" t="n">
        <v>42.47999954223633</v>
      </c>
      <c r="E1240" s="118" t="n">
        <v>42.77000045776367</v>
      </c>
      <c r="F1240" s="119" t="n">
        <v>14388200</v>
      </c>
      <c r="G1240" s="120" t="n">
        <v>-0.002099863539576141</v>
      </c>
      <c r="H1240" s="121" t="n">
        <v>26.88579973841026</v>
      </c>
      <c r="I1240" s="118" t="n">
        <v>43.4413680267334</v>
      </c>
      <c r="J1240" s="118" t="n">
        <v>55.44031160354614</v>
      </c>
      <c r="K1240" s="120" t="n">
        <v>0.3553510418150124</v>
      </c>
      <c r="L1240" s="120" t="n">
        <v>-0.08902874249083836</v>
      </c>
      <c r="M1240" s="120" t="n">
        <v>-0.4454359342154074</v>
      </c>
      <c r="N1240" t="n">
        <v>47.13974888761517</v>
      </c>
      <c r="O1240" t="n">
        <v>0.1018171883620463</v>
      </c>
      <c r="P1240" t="n">
        <v>182.5131734521313</v>
      </c>
      <c r="Q1240" t="n">
        <v>200.9414786205639</v>
      </c>
    </row>
    <row r="1241">
      <c r="A1241" s="117" t="n">
        <v>46219</v>
      </c>
      <c r="B1241" s="118" t="n">
        <v>42.90000152587891</v>
      </c>
      <c r="C1241" s="118" t="n">
        <v>44.66999816894531</v>
      </c>
      <c r="D1241" s="118" t="n">
        <v>42.90000152587891</v>
      </c>
      <c r="E1241" s="118" t="n">
        <v>44.56999969482422</v>
      </c>
      <c r="F1241" s="119" t="n">
        <v>15944700</v>
      </c>
      <c r="G1241" s="120" t="n">
        <v>0.04208555571183803</v>
      </c>
      <c r="H1241" s="121" t="n">
        <v>28.01730356115844</v>
      </c>
      <c r="I1241" s="118" t="n">
        <v>43.47861106872558</v>
      </c>
      <c r="J1241" s="118" t="n">
        <v>55.32411447525024</v>
      </c>
      <c r="K1241" s="120" t="n">
        <v>0.3889377474205867</v>
      </c>
      <c r="L1241" s="120" t="n">
        <v>-0.05069001088105329</v>
      </c>
      <c r="M1241" s="120" t="n">
        <v>-0.4220967973290466</v>
      </c>
      <c r="N1241" t="n">
        <v>55.61903141899522</v>
      </c>
      <c r="O1241" t="n">
        <v>0.1858724078110341</v>
      </c>
      <c r="P1241" t="n">
        <v>181.5242043296892</v>
      </c>
      <c r="Q1241" t="n">
        <v>197.637904865325</v>
      </c>
    </row>
    <row r="1242">
      <c r="A1242" s="117" t="n">
        <v>46220</v>
      </c>
      <c r="B1242" s="118" t="n">
        <v>44.52000045776367</v>
      </c>
      <c r="C1242" s="118" t="n">
        <v>44.97999954223633</v>
      </c>
      <c r="D1242" s="118" t="n">
        <v>43.52000045776367</v>
      </c>
      <c r="E1242" s="118" t="n">
        <v>43.7599983215332</v>
      </c>
      <c r="F1242" s="119" t="n">
        <v>15825100</v>
      </c>
      <c r="G1242" s="120" t="n">
        <v>-0.01817369034860183</v>
      </c>
      <c r="H1242" s="121" t="n">
        <v>27.50812576183517</v>
      </c>
      <c r="I1242" s="118" t="n">
        <v>43.50024871826172</v>
      </c>
      <c r="J1242" s="118" t="n">
        <v>55.20269325256348</v>
      </c>
      <c r="K1242" s="120" t="n">
        <v>0.3885016485809696</v>
      </c>
      <c r="L1242" s="120" t="n">
        <v>-0.06794247666813569</v>
      </c>
      <c r="M1242" s="120" t="n">
        <v>-0.4325994311858539</v>
      </c>
      <c r="N1242" t="n">
        <v>51.60723751393751</v>
      </c>
      <c r="O1242" t="n">
        <v>0.1792943342909791</v>
      </c>
      <c r="P1242" t="n">
        <v>179.7276309584181</v>
      </c>
      <c r="Q1242" t="n">
        <v>194.6674891525412</v>
      </c>
    </row>
    <row r="1243">
      <c r="A1243" s="117" t="n">
        <v>46223</v>
      </c>
      <c r="B1243" s="118" t="n">
        <v>43.84000015258789</v>
      </c>
      <c r="C1243" s="118" t="n">
        <v>43.84000015258789</v>
      </c>
      <c r="D1243" s="118" t="n">
        <v>42.83000183105469</v>
      </c>
      <c r="E1243" s="118" t="n">
        <v>43.47000122070312</v>
      </c>
      <c r="F1243" s="119" t="n">
        <v>11926900</v>
      </c>
      <c r="G1243" s="120" t="n">
        <v>-0.006626990675348776</v>
      </c>
      <c r="H1243" s="121" t="n">
        <v>27.32582966891516</v>
      </c>
      <c r="I1243" s="118" t="n">
        <v>43.49983192443847</v>
      </c>
      <c r="J1243" s="118" t="n">
        <v>55.07894153594971</v>
      </c>
      <c r="K1243" s="120" t="n">
        <v>0.3792748730281653</v>
      </c>
      <c r="L1243" s="120" t="n">
        <v>-0.07411921318414472</v>
      </c>
      <c r="M1243" s="120" t="n">
        <v>-0.4363595894645728</v>
      </c>
      <c r="N1243" t="n">
        <v>50.21085189685541</v>
      </c>
      <c r="O1243" t="n">
        <v>0.1490307118685618</v>
      </c>
      <c r="P1243" t="n">
        <v>179.4374825805815</v>
      </c>
      <c r="Q1243" t="n">
        <v>194.8718575265353</v>
      </c>
    </row>
    <row r="1244">
      <c r="A1244" s="117" t="n">
        <v>46224</v>
      </c>
      <c r="B1244" s="118" t="n">
        <v>43.06000137329102</v>
      </c>
      <c r="C1244" s="118" t="n">
        <v>43.56000137329102</v>
      </c>
      <c r="D1244" s="118" t="n">
        <v>42.75</v>
      </c>
      <c r="E1244" s="118" t="n">
        <v>42.95999908447266</v>
      </c>
      <c r="F1244" s="119" t="n">
        <v>11859000</v>
      </c>
      <c r="G1244" s="120" t="n">
        <v>-0.01173227793671128</v>
      </c>
      <c r="H1244" s="121" t="n">
        <v>27.00523544038822</v>
      </c>
      <c r="I1244" s="118" t="n">
        <v>43.47870910644532</v>
      </c>
      <c r="J1244" s="118" t="n">
        <v>54.93077373504639</v>
      </c>
      <c r="K1244" s="120" t="n">
        <v>0.346692949222082</v>
      </c>
      <c r="L1244" s="120" t="n">
        <v>-0.0849819039113292</v>
      </c>
      <c r="M1244" s="120" t="n">
        <v>-0.4429723754173365</v>
      </c>
      <c r="N1244" t="n">
        <v>47.76319174515869</v>
      </c>
      <c r="O1244" t="n">
        <v>0.0911280368295932</v>
      </c>
      <c r="P1244" t="n">
        <v>180.9342261225479</v>
      </c>
      <c r="Q1244" t="n">
        <v>198.4861874063108</v>
      </c>
    </row>
    <row r="1245">
      <c r="A1245" s="117" t="n">
        <v>46225</v>
      </c>
      <c r="B1245" s="118" t="n">
        <v>42.45000076293945</v>
      </c>
      <c r="C1245" s="118" t="n">
        <v>42.90999984741211</v>
      </c>
      <c r="D1245" s="118" t="n">
        <v>41.56999969482422</v>
      </c>
      <c r="E1245" s="118" t="n">
        <v>42.20999908447266</v>
      </c>
      <c r="F1245" s="119" t="n">
        <v>18990000</v>
      </c>
      <c r="G1245" s="120" t="n">
        <v>-0.01745810093071154</v>
      </c>
      <c r="H1245" s="121" t="n">
        <v>26.5337753144123</v>
      </c>
      <c r="I1245" s="118" t="n">
        <v>43.44793838500976</v>
      </c>
      <c r="J1245" s="118" t="n">
        <v>54.77704593658447</v>
      </c>
      <c r="K1245" s="120" t="n">
        <v>0.3457945211419541</v>
      </c>
      <c r="L1245" s="120" t="n">
        <v>-0.1009563821862727</v>
      </c>
      <c r="M1245" s="120" t="n">
        <v>-0.4526970199084951</v>
      </c>
      <c r="N1245" t="n">
        <v>44.3400589635789</v>
      </c>
      <c r="O1245" t="n">
        <v>0.003413290756934528</v>
      </c>
      <c r="P1245" t="n">
        <v>180.723846411151</v>
      </c>
      <c r="Q1245" t="n">
        <v>197.4727184881175</v>
      </c>
    </row>
    <row r="1246">
      <c r="A1246" s="117" t="n">
        <v>46226</v>
      </c>
      <c r="B1246" s="118" t="n">
        <v>41.79999923706055</v>
      </c>
      <c r="C1246" s="118" t="n">
        <v>42.08000183105469</v>
      </c>
      <c r="D1246" s="118" t="n">
        <v>40.68999862670898</v>
      </c>
      <c r="E1246" s="118" t="n">
        <v>40.9900016784668</v>
      </c>
      <c r="F1246" s="119" t="n">
        <v>18156200</v>
      </c>
      <c r="G1246" s="120" t="n">
        <v>-0.0289030427023782</v>
      </c>
      <c r="H1246" s="121" t="n">
        <v>25.76686847344453</v>
      </c>
      <c r="I1246" s="118" t="n">
        <v>43.42745727539062</v>
      </c>
      <c r="J1246" s="118" t="n">
        <v>54.63013238906861</v>
      </c>
      <c r="K1246" s="120" t="n">
        <v>0.3580270401733255</v>
      </c>
      <c r="L1246" s="120" t="n">
        <v>-0.1269414782632435</v>
      </c>
      <c r="M1246" s="120" t="n">
        <v>-0.4685157413132187</v>
      </c>
      <c r="N1246" t="n">
        <v>39.39416671341898</v>
      </c>
      <c r="O1246" t="n">
        <v>-0.1283908479847104</v>
      </c>
      <c r="P1246" t="n">
        <v>178.4920357148149</v>
      </c>
      <c r="Q1246" t="n">
        <v>193.7240112761439</v>
      </c>
    </row>
    <row r="1247">
      <c r="A1247" s="117" t="n">
        <v>46227</v>
      </c>
      <c r="B1247" s="118" t="n">
        <v>41.18999862670898</v>
      </c>
      <c r="C1247" s="118" t="n">
        <v>42.15000152587891</v>
      </c>
      <c r="D1247" s="118" t="n">
        <v>40.88999938964844</v>
      </c>
      <c r="E1247" s="118" t="n">
        <v>41.70000076293945</v>
      </c>
      <c r="F1247" s="119" t="n">
        <v>26175200</v>
      </c>
      <c r="G1247" s="120" t="n">
        <v>0.01732127483287327</v>
      </c>
      <c r="H1247" s="121" t="n">
        <v>26.21318348385556</v>
      </c>
      <c r="I1247" s="118" t="n">
        <v>43.42196907043457</v>
      </c>
      <c r="J1247" s="118" t="n">
        <v>54.49048656463623</v>
      </c>
      <c r="K1247" s="120" t="n">
        <v>0.3542809238304468</v>
      </c>
      <c r="L1247" s="120" t="n">
        <v>-0.1118189916630591</v>
      </c>
      <c r="M1247" s="120" t="n">
        <v>-0.4593097563991592</v>
      </c>
      <c r="N1247" t="n">
        <v>43.354207051586</v>
      </c>
      <c r="O1247" t="n">
        <v>-0.15745947723696</v>
      </c>
      <c r="P1247" t="n">
        <v>178.6733858301178</v>
      </c>
      <c r="Q1247" t="n">
        <v>191.5598766442056</v>
      </c>
    </row>
    <row r="1248">
      <c r="A1248" s="117" t="n">
        <v>46230</v>
      </c>
      <c r="B1248" s="118" t="n">
        <v>42.15000152587891</v>
      </c>
      <c r="C1248" s="118" t="n">
        <v>42.59999847412109</v>
      </c>
      <c r="D1248" s="118" t="n">
        <v>41.58000183105469</v>
      </c>
      <c r="E1248" s="118" t="n">
        <v>42.13999938964844</v>
      </c>
      <c r="F1248" s="119" t="n">
        <v>16996900</v>
      </c>
      <c r="G1248" s="120" t="n">
        <v>0.01055152562730965</v>
      </c>
      <c r="H1248" s="121" t="n">
        <v>26.48977256115883</v>
      </c>
      <c r="I1248" s="118" t="n">
        <v>43.42547904968261</v>
      </c>
      <c r="J1248" s="118" t="n">
        <v>54.36409606933594</v>
      </c>
      <c r="K1248" s="120" t="n">
        <v>0.3552824230399494</v>
      </c>
      <c r="L1248" s="120" t="n">
        <v>-0.1024473269919021</v>
      </c>
      <c r="M1248" s="120" t="n">
        <v>-0.4536046494373687</v>
      </c>
      <c r="N1248" t="n">
        <v>45.72118262070909</v>
      </c>
      <c r="O1248" t="n">
        <v>-0.1374835703245633</v>
      </c>
      <c r="P1248" t="n">
        <v>178.7120821193695</v>
      </c>
      <c r="Q1248" t="n">
        <v>190.9691563524851</v>
      </c>
    </row>
    <row r="1249">
      <c r="A1249" s="117" t="n">
        <v>46231</v>
      </c>
      <c r="B1249" s="118" t="n">
        <v>42.75</v>
      </c>
      <c r="C1249" s="118" t="n">
        <v>43.27000045776367</v>
      </c>
      <c r="D1249" s="118" t="n">
        <v>42.52000045776367</v>
      </c>
      <c r="E1249" s="118" t="n">
        <v>43.04999923706055</v>
      </c>
      <c r="F1249" s="119" t="n">
        <v>23601400</v>
      </c>
      <c r="G1249" s="120" t="n">
        <v>0.0215946810771821</v>
      </c>
      <c r="H1249" s="121" t="n">
        <v>27.06181075142414</v>
      </c>
      <c r="I1249" s="118" t="n">
        <v>43.45353225708008</v>
      </c>
      <c r="J1249" s="118" t="n">
        <v>54.24137510299683</v>
      </c>
      <c r="K1249" s="120" t="n">
        <v>0.3577128331477167</v>
      </c>
      <c r="L1249" s="120" t="n">
        <v>-0.08306496326831991</v>
      </c>
      <c r="M1249" s="120" t="n">
        <v>-0.4418054160999134</v>
      </c>
      <c r="N1249" t="n">
        <v>50.34269326508315</v>
      </c>
      <c r="O1249" t="n">
        <v>-0.05750693558014258</v>
      </c>
      <c r="P1249" t="n">
        <v>179.1400583558336</v>
      </c>
      <c r="Q1249" t="n">
        <v>189.1129925570432</v>
      </c>
    </row>
    <row r="1250">
      <c r="A1250" s="117" t="n">
        <v>46232</v>
      </c>
      <c r="B1250" s="118" t="n">
        <v>42.59999847412109</v>
      </c>
      <c r="C1250" s="118" t="n">
        <v>43.68999862670898</v>
      </c>
      <c r="D1250" s="118" t="n">
        <v>42.40000152587891</v>
      </c>
      <c r="E1250" s="118" t="n">
        <v>43.22000122070312</v>
      </c>
      <c r="F1250" s="119" t="n">
        <v>15029100</v>
      </c>
      <c r="G1250" s="120" t="n">
        <v>0.003948942779451459</v>
      </c>
      <c r="H1250" s="121" t="n">
        <v>27.16867629358986</v>
      </c>
      <c r="I1250" s="118" t="n">
        <v>43.48776069641113</v>
      </c>
      <c r="J1250" s="118" t="n">
        <v>54.12454259872437</v>
      </c>
      <c r="K1250" s="120" t="n">
        <v>0.3546937000143635</v>
      </c>
      <c r="L1250" s="120" t="n">
        <v>-0.07944403927579236</v>
      </c>
      <c r="M1250" s="120" t="n">
        <v>-0.439105758497526</v>
      </c>
      <c r="N1250" t="n">
        <v>51.17898487370059</v>
      </c>
      <c r="O1250" t="n">
        <v>0.008790620656532688</v>
      </c>
      <c r="P1250" t="n">
        <v>176.3835454582143</v>
      </c>
      <c r="Q1250" t="n">
        <v>185.2606828825673</v>
      </c>
    </row>
    <row r="1251">
      <c r="A1251" s="117" t="n">
        <v>46233</v>
      </c>
      <c r="B1251" s="118" t="n">
        <v>42.5</v>
      </c>
      <c r="C1251" s="118" t="n">
        <v>42.5</v>
      </c>
      <c r="D1251" s="118" t="n">
        <v>41.22999954223633</v>
      </c>
      <c r="E1251" s="118" t="n">
        <v>42.29000091552734</v>
      </c>
      <c r="F1251" s="119" t="n">
        <v>16977600</v>
      </c>
      <c r="G1251" s="120" t="n">
        <v>-0.02151782227924359</v>
      </c>
      <c r="H1251" s="121" t="n">
        <v>26.5840655455421</v>
      </c>
      <c r="I1251" s="118" t="n">
        <v>43.48971153259277</v>
      </c>
      <c r="J1251" s="118" t="n">
        <v>54.01695266723632</v>
      </c>
      <c r="K1251" s="120" t="n">
        <v>0.3195543053735684</v>
      </c>
      <c r="L1251" s="120" t="n">
        <v>-0.09925239883675419</v>
      </c>
      <c r="M1251" s="120" t="n">
        <v>-0.4511749811036274</v>
      </c>
      <c r="N1251" t="n">
        <v>46.55946978907738</v>
      </c>
      <c r="O1251" t="n">
        <v>-0.007180643826217858</v>
      </c>
      <c r="P1251" t="n">
        <v>179.3407566157625</v>
      </c>
      <c r="Q1251" t="n">
        <v>191.3695030610393</v>
      </c>
    </row>
    <row r="1252">
      <c r="A1252" s="117" t="n">
        <v>46234</v>
      </c>
      <c r="B1252" s="118" t="n">
        <v>42.02000045776367</v>
      </c>
      <c r="C1252" s="118" t="n">
        <v>42.08000183105469</v>
      </c>
      <c r="D1252" s="118" t="n">
        <v>41.4900016784668</v>
      </c>
      <c r="E1252" s="118" t="n">
        <v>41.70999908447266</v>
      </c>
      <c r="F1252" s="119" t="n">
        <v>22622400</v>
      </c>
      <c r="G1252" s="120" t="n">
        <v>-0.01371486920071763</v>
      </c>
      <c r="H1252" s="121" t="n">
        <v>26.21946856376168</v>
      </c>
      <c r="I1252" s="118" t="n">
        <v>43.48303573608398</v>
      </c>
      <c r="J1252" s="118" t="n">
        <v>53.89589656829834</v>
      </c>
      <c r="K1252" s="120" t="n">
        <v>0.3088234703349939</v>
      </c>
      <c r="L1252" s="120" t="n">
        <v>-0.1116060343695682</v>
      </c>
      <c r="M1252" s="120" t="n">
        <v>-0.4587020444518726</v>
      </c>
      <c r="N1252" t="n">
        <v>43.89823762306224</v>
      </c>
      <c r="O1252" t="n">
        <v>-0.05152672015061677</v>
      </c>
      <c r="P1252" t="n">
        <v>180.6319759303762</v>
      </c>
      <c r="Q1252" t="n">
        <v>192.6125446468422</v>
      </c>
    </row>
    <row r="1253">
      <c r="A1253" s="117" t="n">
        <v>46237</v>
      </c>
      <c r="B1253" s="118" t="n">
        <v>42.56999969482422</v>
      </c>
      <c r="C1253" s="118" t="n">
        <v>43.20999908447266</v>
      </c>
      <c r="D1253" s="118" t="n">
        <v>42.06000137329102</v>
      </c>
      <c r="E1253" s="118" t="n">
        <v>42.63999938964844</v>
      </c>
      <c r="F1253" s="119" t="n">
        <v>21329900</v>
      </c>
      <c r="G1253" s="120" t="n">
        <v>0.0222968191222519</v>
      </c>
      <c r="H1253" s="121" t="n">
        <v>26.80407931180945</v>
      </c>
      <c r="I1253" s="118" t="n">
        <v>43.4598738861084</v>
      </c>
      <c r="J1253" s="118" t="n">
        <v>53.77821857452393</v>
      </c>
      <c r="K1253" s="120" t="n">
        <v>0.3159216917896808</v>
      </c>
      <c r="L1253" s="120" t="n">
        <v>-0.09179767480860634</v>
      </c>
      <c r="M1253" s="120" t="n">
        <v>-0.4466328218457711</v>
      </c>
      <c r="N1253" t="n">
        <v>48.93800960163177</v>
      </c>
      <c r="O1253" t="n">
        <v>-0.01485063571464407</v>
      </c>
      <c r="P1253" t="n">
        <v>183.2047183498255</v>
      </c>
      <c r="Q1253" t="n">
        <v>195.9945165709679</v>
      </c>
    </row>
    <row r="1254">
      <c r="A1254" s="117" t="n">
        <v>46238</v>
      </c>
      <c r="B1254" s="118" t="n">
        <v>41.34999847412109</v>
      </c>
      <c r="C1254" s="118" t="n">
        <v>42.09000015258789</v>
      </c>
      <c r="D1254" s="118" t="n">
        <v>40.90999984741211</v>
      </c>
      <c r="E1254" s="118" t="n">
        <v>41.52999877929688</v>
      </c>
      <c r="F1254" s="119" t="n">
        <v>27748500</v>
      </c>
      <c r="G1254" s="120" t="n">
        <v>-0.02603190962101731</v>
      </c>
      <c r="H1254" s="121" t="n">
        <v>26.10631794168984</v>
      </c>
      <c r="I1254" s="118" t="n">
        <v>43.41054748535156</v>
      </c>
      <c r="J1254" s="118" t="n">
        <v>53.650979347229</v>
      </c>
      <c r="K1254" s="120" t="n">
        <v>0.3285423159738536</v>
      </c>
      <c r="L1254" s="120" t="n">
        <v>-0.1154399156555865</v>
      </c>
      <c r="M1254" s="120" t="n">
        <v>-0.4610380262147195</v>
      </c>
      <c r="N1254" t="n">
        <v>43.87220268591208</v>
      </c>
      <c r="O1254" t="n">
        <v>-0.05946829653673796</v>
      </c>
      <c r="P1254" t="n">
        <v>186.507716714531</v>
      </c>
      <c r="Q1254" t="n">
        <v>202.6520555810201</v>
      </c>
    </row>
  </sheetData>
  <autoFilter ref="A1:Q1"/>
  <conditionalFormatting sqref="G2:G1254">
    <cfRule type="colorScale" priority="1">
      <colorScale>
        <cfvo type="num" val="-0.05"/>
        <cfvo type="num" val="0"/>
        <cfvo type="num" val="0.05"/>
        <color rgb="00FFAAAA"/>
        <color rgb="00FFFFFF"/>
        <color rgb="00AAFFAA"/>
      </colorScale>
    </cfRule>
  </conditionalFormatting>
  <conditionalFormatting sqref="N2:N1254">
    <cfRule type="cellIs" priority="2" operator="greaterThan" dxfId="2">
      <formula>70</formula>
    </cfRule>
    <cfRule type="cellIs" priority="3" operator="lessThan" dxfId="3">
      <formula>30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8" customWidth="1" min="1" max="1"/>
    <col width="74" customWidth="1" min="2" max="2"/>
    <col width="20" customWidth="1" min="3" max="3"/>
    <col width="12" customWidth="1" min="4" max="4"/>
    <col width="11" customWidth="1" min="5" max="5"/>
    <col width="11" customWidth="1" min="6" max="6"/>
    <col width="14" customWidth="1" min="7" max="7"/>
  </cols>
  <sheetData>
    <row r="1">
      <c r="A1" s="116" t="inlineStr">
        <is>
          <t>Date</t>
        </is>
      </c>
      <c r="B1" s="116" t="inlineStr">
        <is>
          <t>Headline</t>
        </is>
      </c>
      <c r="C1" s="116" t="inlineStr">
        <is>
          <t>Publisher</t>
        </is>
      </c>
      <c r="D1" s="116" t="inlineStr">
        <is>
          <t>Theme</t>
        </is>
      </c>
      <c r="E1" s="116" t="inlineStr">
        <is>
          <t>Sentiment</t>
        </is>
      </c>
      <c r="F1" s="116" t="inlineStr">
        <is>
          <t>Relevance</t>
        </is>
      </c>
      <c r="G1" s="116" t="inlineStr">
        <is>
          <t>URL</t>
        </is>
      </c>
    </row>
    <row r="2">
      <c r="A2" s="18" t="inlineStr">
        <is>
          <t>2026-06-30</t>
        </is>
      </c>
      <c r="B2" s="18" t="inlineStr">
        <is>
          <t>8-K filing — 8-K</t>
        </is>
      </c>
      <c r="C2" s="18" t="inlineStr">
        <is>
          <t>SEC EDGAR</t>
        </is>
      </c>
      <c r="D2" s="18" t="inlineStr">
        <is>
          <t>General</t>
        </is>
      </c>
      <c r="E2" s="122" t="inlineStr">
        <is>
          <t>Neutral</t>
        </is>
      </c>
      <c r="F2" s="123" t="inlineStr">
        <is>
          <t>High</t>
        </is>
      </c>
      <c r="G2" s="124" t="inlineStr">
        <is>
          <t>Open article</t>
        </is>
      </c>
    </row>
    <row r="3">
      <c r="A3" s="29" t="inlineStr">
        <is>
          <t>2026-08-04</t>
        </is>
      </c>
      <c r="B3" s="29" t="inlineStr">
        <is>
          <t>Nike Inc. Cl B stock underperforms Tuesday when compared to competitors</t>
        </is>
      </c>
      <c r="C3" s="29" t="inlineStr">
        <is>
          <t>MarketWatch</t>
        </is>
      </c>
      <c r="D3" s="29" t="inlineStr">
        <is>
          <t>General</t>
        </is>
      </c>
      <c r="E3" s="122" t="inlineStr">
        <is>
          <t>Neutral</t>
        </is>
      </c>
      <c r="F3" s="125" t="inlineStr">
        <is>
          <t>High</t>
        </is>
      </c>
      <c r="G3" s="126" t="inlineStr">
        <is>
          <t>Open article</t>
        </is>
      </c>
    </row>
    <row r="4">
      <c r="A4" s="18" t="inlineStr">
        <is>
          <t>2026-08-04</t>
        </is>
      </c>
      <c r="B4" s="18" t="inlineStr">
        <is>
          <t>How Investors May Respond To NIKE (NKE) Ending Pou Sheng China Online Sales From 2027</t>
        </is>
      </c>
      <c r="C4" s="18" t="inlineStr">
        <is>
          <t>Yahoo</t>
        </is>
      </c>
      <c r="D4" s="18" t="inlineStr">
        <is>
          <t>Earnings</t>
        </is>
      </c>
      <c r="E4" s="127" t="inlineStr">
        <is>
          <t>Negative</t>
        </is>
      </c>
      <c r="F4" s="123" t="inlineStr">
        <is>
          <t>High</t>
        </is>
      </c>
      <c r="G4" s="124" t="inlineStr">
        <is>
          <t>Open article</t>
        </is>
      </c>
    </row>
    <row r="5">
      <c r="A5" s="29" t="inlineStr">
        <is>
          <t>2026-08-04</t>
        </is>
      </c>
      <c r="B5" s="29" t="inlineStr">
        <is>
          <t>Nike Stock Slides After JPMorgan Downgrades to Underweight</t>
        </is>
      </c>
      <c r="C5" s="29" t="inlineStr">
        <is>
          <t>Benzinga</t>
        </is>
      </c>
      <c r="D5" s="29" t="inlineStr">
        <is>
          <t>Analyst</t>
        </is>
      </c>
      <c r="E5" s="127" t="inlineStr">
        <is>
          <t>Negative</t>
        </is>
      </c>
      <c r="F5" s="125" t="inlineStr">
        <is>
          <t>High</t>
        </is>
      </c>
      <c r="G5" s="126" t="inlineStr">
        <is>
          <t>Open article</t>
        </is>
      </c>
    </row>
    <row r="6">
      <c r="A6" s="18" t="inlineStr">
        <is>
          <t>2026-08-04</t>
        </is>
      </c>
      <c r="B6" s="18" t="inlineStr">
        <is>
          <t>Nike downgraded as 'Win Now' will create lingering financial headwinds -- J.P. Morgan (NKE:NYSE)</t>
        </is>
      </c>
      <c r="C6" s="18" t="inlineStr">
        <is>
          <t>Seeking Alpha</t>
        </is>
      </c>
      <c r="D6" s="18" t="inlineStr">
        <is>
          <t>Analyst</t>
        </is>
      </c>
      <c r="E6" s="128" t="inlineStr">
        <is>
          <t>Positive</t>
        </is>
      </c>
      <c r="F6" s="123" t="inlineStr">
        <is>
          <t>High</t>
        </is>
      </c>
      <c r="G6" s="124" t="inlineStr">
        <is>
          <t>Open article</t>
        </is>
      </c>
    </row>
    <row r="7">
      <c r="A7" s="29" t="inlineStr">
        <is>
          <t>2026-07-30</t>
        </is>
      </c>
      <c r="B7" s="29" t="inlineStr">
        <is>
          <t>Is Nike the Ultimate Dividend Stock You Should Buy Right Now?</t>
        </is>
      </c>
      <c r="C7" s="29" t="inlineStr">
        <is>
          <t>The Motley Fool</t>
        </is>
      </c>
      <c r="D7" s="29" t="inlineStr">
        <is>
          <t>Capital Return</t>
        </is>
      </c>
      <c r="E7" s="122" t="inlineStr">
        <is>
          <t>Neutral</t>
        </is>
      </c>
      <c r="F7" s="125" t="inlineStr">
        <is>
          <t>High</t>
        </is>
      </c>
      <c r="G7" s="126" t="inlineStr">
        <is>
          <t>Open article</t>
        </is>
      </c>
    </row>
    <row r="8">
      <c r="A8" s="18" t="inlineStr">
        <is>
          <t>2026-07-13</t>
        </is>
      </c>
      <c r="B8" s="18" t="inlineStr">
        <is>
          <t>Nike’s $40 Floor Reflects Deep Value but Not Yet a Confirmed Recovery</t>
        </is>
      </c>
      <c r="C8" s="18" t="inlineStr">
        <is>
          <t>Investing.com</t>
        </is>
      </c>
      <c r="D8" s="18" t="inlineStr">
        <is>
          <t>Earnings</t>
        </is>
      </c>
      <c r="E8" s="122" t="inlineStr">
        <is>
          <t>Neutral</t>
        </is>
      </c>
      <c r="F8" s="123" t="inlineStr">
        <is>
          <t>High</t>
        </is>
      </c>
      <c r="G8" s="124" t="inlineStr">
        <is>
          <t>Open article</t>
        </is>
      </c>
    </row>
    <row r="9">
      <c r="A9" s="29" t="inlineStr">
        <is>
          <t>2026-08-04</t>
        </is>
      </c>
      <c r="B9" s="29" t="inlineStr">
        <is>
          <t>Nike Stock Downgraded on Financial Concerns</t>
        </is>
      </c>
      <c r="C9" s="29" t="inlineStr">
        <is>
          <t>Schaeffer's Investment Research</t>
        </is>
      </c>
      <c r="D9" s="29" t="inlineStr">
        <is>
          <t>Analyst</t>
        </is>
      </c>
      <c r="E9" s="127" t="inlineStr">
        <is>
          <t>Negative</t>
        </is>
      </c>
      <c r="F9" s="125" t="inlineStr">
        <is>
          <t>High</t>
        </is>
      </c>
      <c r="G9" s="126" t="inlineStr">
        <is>
          <t>Open article</t>
        </is>
      </c>
    </row>
    <row r="10">
      <c r="A10" s="18" t="inlineStr">
        <is>
          <t>2026-08-04</t>
        </is>
      </c>
      <c r="B10" s="18" t="inlineStr">
        <is>
          <t>NKE Downgraded by JP Morgan -- Price Target Lowered to $40.00</t>
        </is>
      </c>
      <c r="C10" s="18" t="inlineStr">
        <is>
          <t>GuruFocus</t>
        </is>
      </c>
      <c r="D10" s="18" t="inlineStr">
        <is>
          <t>Analyst</t>
        </is>
      </c>
      <c r="E10" s="127" t="inlineStr">
        <is>
          <t>Negative</t>
        </is>
      </c>
      <c r="F10" s="123" t="inlineStr">
        <is>
          <t>High</t>
        </is>
      </c>
      <c r="G10" s="124" t="inlineStr">
        <is>
          <t>Open article</t>
        </is>
      </c>
    </row>
    <row r="11">
      <c r="A11" s="29" t="inlineStr">
        <is>
          <t>2026-08-04</t>
        </is>
      </c>
      <c r="B11" s="29" t="inlineStr">
        <is>
          <t>JP Morgan Downgrades NIKE (NKE)</t>
        </is>
      </c>
      <c r="C11" s="29" t="inlineStr">
        <is>
          <t>Fintel</t>
        </is>
      </c>
      <c r="D11" s="29" t="inlineStr">
        <is>
          <t>Analyst</t>
        </is>
      </c>
      <c r="E11" s="127" t="inlineStr">
        <is>
          <t>Negative</t>
        </is>
      </c>
      <c r="F11" s="125" t="inlineStr">
        <is>
          <t>High</t>
        </is>
      </c>
      <c r="G11" s="126" t="inlineStr">
        <is>
          <t>Open article</t>
        </is>
      </c>
    </row>
    <row r="12">
      <c r="A12" s="18" t="inlineStr">
        <is>
          <t>2026-08-04</t>
        </is>
      </c>
      <c r="B12" s="18" t="inlineStr">
        <is>
          <t>Cacti Asset Management LLC Boosts Stock Position in NIKE, Inc. $NKE</t>
        </is>
      </c>
      <c r="C12" s="18" t="inlineStr">
        <is>
          <t>MarketBeat</t>
        </is>
      </c>
      <c r="D12" s="18" t="inlineStr">
        <is>
          <t>General</t>
        </is>
      </c>
      <c r="E12" s="128" t="inlineStr">
        <is>
          <t>Positive</t>
        </is>
      </c>
      <c r="F12" s="123" t="inlineStr">
        <is>
          <t>High</t>
        </is>
      </c>
      <c r="G12" s="124" t="inlineStr">
        <is>
          <t>Open article</t>
        </is>
      </c>
    </row>
    <row r="13">
      <c r="A13" s="29" t="inlineStr">
        <is>
          <t>2026-08-04</t>
        </is>
      </c>
      <c r="B13" s="29" t="inlineStr">
        <is>
          <t>Dow, S&amp;P 500, Nasdaq Futures Climb After Brutal Quarter As Trump Signals Iran De-Escalation: Why APLD, NKE, RH, NASA, NCNO Are In Focus</t>
        </is>
      </c>
      <c r="C13" s="29" t="inlineStr">
        <is>
          <t>Stocktwits</t>
        </is>
      </c>
      <c r="D13" s="29" t="inlineStr">
        <is>
          <t>Earnings</t>
        </is>
      </c>
      <c r="E13" s="122" t="inlineStr">
        <is>
          <t>Neutral</t>
        </is>
      </c>
      <c r="F13" s="125" t="inlineStr">
        <is>
          <t>High</t>
        </is>
      </c>
      <c r="G13" s="126" t="inlineStr">
        <is>
          <t>Open article</t>
        </is>
      </c>
    </row>
    <row r="14">
      <c r="A14" s="18" t="inlineStr">
        <is>
          <t>2026-08-04</t>
        </is>
      </c>
      <c r="B14" s="18" t="inlineStr">
        <is>
          <t>What NIKE (NKE)'s China Online Partner Exit Means For Shareholders</t>
        </is>
      </c>
      <c r="C14" s="18" t="inlineStr">
        <is>
          <t>simplywall.st</t>
        </is>
      </c>
      <c r="D14" s="18" t="inlineStr">
        <is>
          <t>General</t>
        </is>
      </c>
      <c r="E14" s="122" t="inlineStr">
        <is>
          <t>Neutral</t>
        </is>
      </c>
      <c r="F14" s="123" t="inlineStr">
        <is>
          <t>High</t>
        </is>
      </c>
      <c r="G14" s="124" t="inlineStr">
        <is>
          <t>Open article</t>
        </is>
      </c>
    </row>
    <row r="15">
      <c r="A15" s="29" t="inlineStr">
        <is>
          <t>2026-07-30</t>
        </is>
      </c>
      <c r="B15" s="29" t="inlineStr">
        <is>
          <t>$NKE stock is down 5% today. Here's what we see in our data.</t>
        </is>
      </c>
      <c r="C15" s="29" t="inlineStr">
        <is>
          <t>Quiver Quantitative</t>
        </is>
      </c>
      <c r="D15" s="29" t="inlineStr">
        <is>
          <t>General</t>
        </is>
      </c>
      <c r="E15" s="122" t="inlineStr">
        <is>
          <t>Neutral</t>
        </is>
      </c>
      <c r="F15" s="125" t="inlineStr">
        <is>
          <t>High</t>
        </is>
      </c>
      <c r="G15" s="126" t="inlineStr">
        <is>
          <t>Open article</t>
        </is>
      </c>
    </row>
  </sheetData>
  <autoFilter ref="A1:G1"/>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9" customWidth="1" min="1" max="1"/>
    <col width="27" customWidth="1" min="2" max="2"/>
    <col width="11" customWidth="1" min="3" max="3"/>
    <col width="18" customWidth="1" min="4" max="4"/>
    <col width="12" customWidth="1" min="5" max="5"/>
    <col width="10" customWidth="1" min="6" max="6"/>
  </cols>
  <sheetData>
    <row r="1">
      <c r="A1" s="31" t="inlineStr">
        <is>
          <t>Ticker</t>
        </is>
      </c>
      <c r="B1" s="31" t="inlineStr">
        <is>
          <t>Company</t>
        </is>
      </c>
      <c r="C1" s="31" t="inlineStr">
        <is>
          <t>Exchange</t>
        </is>
      </c>
      <c r="D1" s="31" t="inlineStr">
        <is>
          <t>Market Cap ($B)</t>
        </is>
      </c>
      <c r="E1" s="31" t="inlineStr">
        <is>
          <t>Employees</t>
        </is>
      </c>
      <c r="F1" s="31" t="inlineStr">
        <is>
          <t>Country</t>
        </is>
      </c>
    </row>
    <row r="2">
      <c r="A2" s="129" t="inlineStr">
        <is>
          <t>NKE</t>
        </is>
      </c>
      <c r="B2" s="129" t="inlineStr">
        <is>
          <t>Nike, Inc.</t>
        </is>
      </c>
      <c r="C2" s="129" t="inlineStr">
        <is>
          <t>XNYS</t>
        </is>
      </c>
      <c r="D2" s="129" t="n">
        <v>63.26</v>
      </c>
      <c r="E2" s="129" t="n">
        <v>73000</v>
      </c>
      <c r="F2" s="129" t="inlineStr">
        <is>
          <t>us</t>
        </is>
      </c>
    </row>
    <row r="3">
      <c r="A3" s="15" t="inlineStr">
        <is>
          <t>ADDYY</t>
        </is>
      </c>
      <c r="B3" s="15" t="inlineStr">
        <is>
          <t>ADIDAS AG S/ADR</t>
        </is>
      </c>
      <c r="C3" s="15" t="inlineStr">
        <is>
          <t>OTC Link</t>
        </is>
      </c>
      <c r="D3" s="15" t="inlineStr">
        <is>
          <t>N/A</t>
        </is>
      </c>
      <c r="E3" s="15" t="inlineStr">
        <is>
          <t>N/A</t>
        </is>
      </c>
      <c r="F3" s="15" t="inlineStr">
        <is>
          <t>us</t>
        </is>
      </c>
    </row>
    <row r="4">
      <c r="A4" s="18" t="inlineStr">
        <is>
          <t>UAA</t>
        </is>
      </c>
      <c r="B4" s="18" t="inlineStr">
        <is>
          <t>Under Armour, Inc.</t>
        </is>
      </c>
      <c r="C4" s="18" t="inlineStr">
        <is>
          <t>XNYS</t>
        </is>
      </c>
      <c r="D4" s="18" t="n">
        <v>2.89</v>
      </c>
      <c r="E4" s="18" t="n">
        <v>14100</v>
      </c>
      <c r="F4" s="18" t="inlineStr">
        <is>
          <t>us</t>
        </is>
      </c>
    </row>
    <row r="5">
      <c r="A5" s="15" t="inlineStr">
        <is>
          <t>LULU</t>
        </is>
      </c>
      <c r="B5" s="15" t="inlineStr">
        <is>
          <t>lululemon athletica inc.</t>
        </is>
      </c>
      <c r="C5" s="15" t="inlineStr">
        <is>
          <t>XNAS</t>
        </is>
      </c>
      <c r="D5" s="15" t="n">
        <v>14.04</v>
      </c>
      <c r="E5" s="15" t="n">
        <v>39000</v>
      </c>
      <c r="F5" s="15" t="inlineStr">
        <is>
          <t>us</t>
        </is>
      </c>
    </row>
  </sheetData>
  <autoFilter ref="A1:F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min="1" max="1"/>
    <col width="9" customWidth="1" min="2" max="2"/>
    <col width="9" customWidth="1" min="3" max="3"/>
    <col width="9" customWidth="1" min="4" max="4"/>
  </cols>
  <sheetData>
    <row r="1">
      <c r="A1" s="7" t="inlineStr">
        <is>
          <t>Correlation Matrix (Daily Returns)</t>
        </is>
      </c>
    </row>
    <row r="2">
      <c r="B2" s="31" t="inlineStr">
        <is>
          <t>NKE</t>
        </is>
      </c>
      <c r="C2" s="31" t="inlineStr">
        <is>
          <t>SPY</t>
        </is>
      </c>
      <c r="D2" s="31" t="inlineStr">
        <is>
          <t>QQQ</t>
        </is>
      </c>
    </row>
    <row r="3">
      <c r="A3" s="31" t="inlineStr">
        <is>
          <t>NKE</t>
        </is>
      </c>
      <c r="B3" s="130" t="n">
        <v>1</v>
      </c>
      <c r="C3" s="130" t="n">
        <v>0.5162</v>
      </c>
      <c r="D3" s="130" t="n">
        <v>0.4565</v>
      </c>
    </row>
    <row r="4">
      <c r="A4" s="31" t="inlineStr">
        <is>
          <t>SPY</t>
        </is>
      </c>
      <c r="B4" s="130" t="n">
        <v>0.5162</v>
      </c>
      <c r="C4" s="130" t="n">
        <v>1</v>
      </c>
      <c r="D4" s="130" t="n">
        <v>0.9504</v>
      </c>
    </row>
    <row r="5">
      <c r="A5" s="31" t="inlineStr">
        <is>
          <t>QQQ</t>
        </is>
      </c>
      <c r="B5" s="130" t="n">
        <v>0.4565</v>
      </c>
      <c r="C5" s="130" t="n">
        <v>0.9504</v>
      </c>
      <c r="D5" s="130" t="n">
        <v>1</v>
      </c>
    </row>
  </sheetData>
  <mergeCells count="1">
    <mergeCell ref="A1:D1"/>
  </mergeCells>
  <conditionalFormatting sqref="B3:D5">
    <cfRule type="colorScale" priority="1">
      <colorScale>
        <cfvo type="num" val="-1"/>
        <cfvo type="num" val="0"/>
        <cfvo type="num" val="1"/>
        <color rgb="00FF9999"/>
        <color rgb="00FFFFFF"/>
        <color rgb="0099CCFF"/>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73"/>
  <sheetViews>
    <sheetView workbookViewId="0">
      <pane ySplit="20" topLeftCell="A21" activePane="bottomLeft" state="frozen"/>
      <selection pane="bottomLef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s>
  <sheetData>
    <row r="1">
      <c r="A1" s="131" t="inlineStr">
        <is>
          <t>Monte Carlo Simulation Summary</t>
        </is>
      </c>
    </row>
    <row r="2">
      <c r="A2" s="31" t="inlineStr">
        <is>
          <t>Field</t>
        </is>
      </c>
      <c r="B2" s="31" t="inlineStr">
        <is>
          <t>Value</t>
        </is>
      </c>
    </row>
    <row r="3">
      <c r="A3" s="132" t="inlineStr">
        <is>
          <t>Last Price</t>
        </is>
      </c>
      <c r="B3" s="133" t="n">
        <v>41.53</v>
      </c>
    </row>
    <row r="4">
      <c r="A4" s="132" t="inlineStr">
        <is>
          <t>Forecast Horizon (days)</t>
        </is>
      </c>
      <c r="B4" s="134" t="n">
        <v>252</v>
      </c>
    </row>
    <row r="5">
      <c r="A5" s="132" t="inlineStr">
        <is>
          <t>Simulations</t>
        </is>
      </c>
      <c r="B5" s="134" t="n">
        <v>1000</v>
      </c>
    </row>
    <row r="6">
      <c r="A6" s="132" t="inlineStr">
        <is>
          <t>Mean Forecast</t>
        </is>
      </c>
      <c r="B6" s="133" t="n">
        <v>46.01</v>
      </c>
    </row>
    <row r="7">
      <c r="A7" s="132" t="inlineStr">
        <is>
          <t>Median (P50)</t>
        </is>
      </c>
      <c r="B7" s="133" t="n">
        <v>42.69</v>
      </c>
    </row>
    <row r="8">
      <c r="A8" s="132" t="inlineStr">
        <is>
          <t>Bear Case (P5)</t>
        </is>
      </c>
      <c r="B8" s="133" t="n">
        <v>24.23</v>
      </c>
    </row>
    <row r="9">
      <c r="A9" s="132" t="inlineStr">
        <is>
          <t>Low Case (P25)</t>
        </is>
      </c>
      <c r="B9" s="133" t="n">
        <v>33.74</v>
      </c>
    </row>
    <row r="10">
      <c r="A10" s="132" t="inlineStr">
        <is>
          <t>Bull Case (P75)</t>
        </is>
      </c>
      <c r="B10" s="133" t="n">
        <v>55.87</v>
      </c>
    </row>
    <row r="11">
      <c r="A11" s="132" t="inlineStr">
        <is>
          <t>Best Case (P95)</t>
        </is>
      </c>
      <c r="B11" s="133" t="n">
        <v>76.31</v>
      </c>
    </row>
    <row r="12">
      <c r="A12" s="132" t="inlineStr">
        <is>
          <t>Prob. of Gain</t>
        </is>
      </c>
      <c r="B12" s="135" t="n">
        <v>0.532</v>
      </c>
    </row>
    <row r="13">
      <c r="A13" s="132" t="inlineStr">
        <is>
          <t>Ann. Volatility</t>
        </is>
      </c>
      <c r="B13" s="135" t="n">
        <v>0.3561</v>
      </c>
    </row>
    <row r="14">
      <c r="A14" s="132" t="inlineStr">
        <is>
          <t>Expected Return (CAPM)</t>
        </is>
      </c>
      <c r="B14" s="135" t="n">
        <v>0.099</v>
      </c>
    </row>
    <row r="15">
      <c r="A15" s="132" t="inlineStr">
        <is>
          <t>Beta (vs benchmark)</t>
        </is>
      </c>
      <c r="B15" s="133" t="n">
        <v>1.07</v>
      </c>
    </row>
    <row r="16">
      <c r="A16" s="132" t="inlineStr">
        <is>
          <t>Beta (adjusted, used)</t>
        </is>
      </c>
      <c r="B16" s="133" t="n">
        <v>1.04</v>
      </c>
    </row>
    <row r="19">
      <c r="A19" s="93" t="inlineStr">
        <is>
          <t>Percentile price paths across all 1,000 simulations — the bands the forecast chart draws.</t>
        </is>
      </c>
    </row>
    <row r="20">
      <c r="A20" s="31" t="inlineStr">
        <is>
          <t>Day</t>
        </is>
      </c>
      <c r="B20" s="31" t="inlineStr">
        <is>
          <t>P5 (Bear)</t>
        </is>
      </c>
      <c r="C20" s="31" t="inlineStr">
        <is>
          <t>P25 (Low)</t>
        </is>
      </c>
      <c r="D20" s="31" t="inlineStr">
        <is>
          <t>P50 (Median)</t>
        </is>
      </c>
      <c r="E20" s="31" t="inlineStr">
        <is>
          <t>P75 (Bull)</t>
        </is>
      </c>
      <c r="F20" s="31" t="inlineStr">
        <is>
          <t>P95 (Best)</t>
        </is>
      </c>
    </row>
    <row r="21">
      <c r="A21" t="n">
        <v>0</v>
      </c>
      <c r="B21" s="136" t="n">
        <v>41.53</v>
      </c>
      <c r="C21" s="136" t="n">
        <v>41.53</v>
      </c>
      <c r="D21" s="136" t="n">
        <v>41.53</v>
      </c>
      <c r="E21" s="136" t="n">
        <v>41.53</v>
      </c>
      <c r="F21" s="136" t="n">
        <v>41.53</v>
      </c>
    </row>
    <row r="22">
      <c r="A22" t="n">
        <v>1</v>
      </c>
      <c r="B22" s="136" t="n">
        <v>39.99</v>
      </c>
      <c r="C22" s="136" t="n">
        <v>40.89</v>
      </c>
      <c r="D22" s="136" t="n">
        <v>41.54</v>
      </c>
      <c r="E22" s="136" t="n">
        <v>42.09</v>
      </c>
      <c r="F22" s="136" t="n">
        <v>43.07</v>
      </c>
    </row>
    <row r="23">
      <c r="A23" t="n">
        <v>2</v>
      </c>
      <c r="B23" s="136" t="n">
        <v>39.25</v>
      </c>
      <c r="C23" s="136" t="n">
        <v>40.58</v>
      </c>
      <c r="D23" s="136" t="n">
        <v>41.47</v>
      </c>
      <c r="E23" s="136" t="n">
        <v>42.29</v>
      </c>
      <c r="F23" s="136" t="n">
        <v>43.62</v>
      </c>
    </row>
    <row r="24">
      <c r="A24" t="n">
        <v>3</v>
      </c>
      <c r="B24" s="136" t="n">
        <v>38.97</v>
      </c>
      <c r="C24" s="136" t="n">
        <v>40.38</v>
      </c>
      <c r="D24" s="136" t="n">
        <v>41.51</v>
      </c>
      <c r="E24" s="136" t="n">
        <v>42.54</v>
      </c>
      <c r="F24" s="136" t="n">
        <v>44.12</v>
      </c>
    </row>
    <row r="25">
      <c r="A25" t="n">
        <v>4</v>
      </c>
      <c r="B25" s="136" t="n">
        <v>38.42</v>
      </c>
      <c r="C25" s="136" t="n">
        <v>40.22</v>
      </c>
      <c r="D25" s="136" t="n">
        <v>41.44</v>
      </c>
      <c r="E25" s="136" t="n">
        <v>42.74</v>
      </c>
      <c r="F25" s="136" t="n">
        <v>44.76</v>
      </c>
    </row>
    <row r="26">
      <c r="A26" t="n">
        <v>5</v>
      </c>
      <c r="B26" s="136" t="n">
        <v>38.17</v>
      </c>
      <c r="C26" s="136" t="n">
        <v>40.12</v>
      </c>
      <c r="D26" s="136" t="n">
        <v>41.46</v>
      </c>
      <c r="E26" s="136" t="n">
        <v>42.87</v>
      </c>
      <c r="F26" s="136" t="n">
        <v>45.02</v>
      </c>
    </row>
    <row r="27">
      <c r="A27" t="n">
        <v>6</v>
      </c>
      <c r="B27" s="136" t="n">
        <v>37.91</v>
      </c>
      <c r="C27" s="136" t="n">
        <v>40.04</v>
      </c>
      <c r="D27" s="136" t="n">
        <v>41.53</v>
      </c>
      <c r="E27" s="136" t="n">
        <v>43.01</v>
      </c>
      <c r="F27" s="136" t="n">
        <v>45.57</v>
      </c>
    </row>
    <row r="28">
      <c r="A28" t="n">
        <v>7</v>
      </c>
      <c r="B28" s="136" t="n">
        <v>37.75</v>
      </c>
      <c r="C28" s="136" t="n">
        <v>39.92</v>
      </c>
      <c r="D28" s="136" t="n">
        <v>41.56</v>
      </c>
      <c r="E28" s="136" t="n">
        <v>43.04</v>
      </c>
      <c r="F28" s="136" t="n">
        <v>46.1</v>
      </c>
    </row>
    <row r="29">
      <c r="A29" t="n">
        <v>8</v>
      </c>
      <c r="B29" s="136" t="n">
        <v>37.29</v>
      </c>
      <c r="C29" s="136" t="n">
        <v>39.89</v>
      </c>
      <c r="D29" s="136" t="n">
        <v>41.47</v>
      </c>
      <c r="E29" s="136" t="n">
        <v>43.22</v>
      </c>
      <c r="F29" s="136" t="n">
        <v>46.26</v>
      </c>
    </row>
    <row r="30">
      <c r="A30" t="n">
        <v>9</v>
      </c>
      <c r="B30" s="136" t="n">
        <v>37.27</v>
      </c>
      <c r="C30" s="136" t="n">
        <v>39.74</v>
      </c>
      <c r="D30" s="136" t="n">
        <v>41.53</v>
      </c>
      <c r="E30" s="136" t="n">
        <v>43.28</v>
      </c>
      <c r="F30" s="136" t="n">
        <v>46.25</v>
      </c>
    </row>
    <row r="31">
      <c r="A31" t="n">
        <v>10</v>
      </c>
      <c r="B31" s="136" t="n">
        <v>36.92</v>
      </c>
      <c r="C31" s="136" t="n">
        <v>39.62</v>
      </c>
      <c r="D31" s="136" t="n">
        <v>41.51</v>
      </c>
      <c r="E31" s="136" t="n">
        <v>43.55</v>
      </c>
      <c r="F31" s="136" t="n">
        <v>46.44</v>
      </c>
    </row>
    <row r="32">
      <c r="A32" t="n">
        <v>11</v>
      </c>
      <c r="B32" s="136" t="n">
        <v>36.74</v>
      </c>
      <c r="C32" s="136" t="n">
        <v>39.52</v>
      </c>
      <c r="D32" s="136" t="n">
        <v>41.48</v>
      </c>
      <c r="E32" s="136" t="n">
        <v>43.6</v>
      </c>
      <c r="F32" s="136" t="n">
        <v>46.67</v>
      </c>
    </row>
    <row r="33">
      <c r="A33" t="n">
        <v>12</v>
      </c>
      <c r="B33" s="136" t="n">
        <v>36.6</v>
      </c>
      <c r="C33" s="136" t="n">
        <v>39.47</v>
      </c>
      <c r="D33" s="136" t="n">
        <v>41.5</v>
      </c>
      <c r="E33" s="136" t="n">
        <v>43.65</v>
      </c>
      <c r="F33" s="136" t="n">
        <v>46.94</v>
      </c>
    </row>
    <row r="34">
      <c r="A34" t="n">
        <v>13</v>
      </c>
      <c r="B34" s="136" t="n">
        <v>36.31</v>
      </c>
      <c r="C34" s="136" t="n">
        <v>39.29</v>
      </c>
      <c r="D34" s="136" t="n">
        <v>41.49</v>
      </c>
      <c r="E34" s="136" t="n">
        <v>43.66</v>
      </c>
      <c r="F34" s="136" t="n">
        <v>47.25</v>
      </c>
    </row>
    <row r="35">
      <c r="A35" t="n">
        <v>14</v>
      </c>
      <c r="B35" s="136" t="n">
        <v>36.27</v>
      </c>
      <c r="C35" s="136" t="n">
        <v>39.21</v>
      </c>
      <c r="D35" s="136" t="n">
        <v>41.43</v>
      </c>
      <c r="E35" s="136" t="n">
        <v>43.83</v>
      </c>
      <c r="F35" s="136" t="n">
        <v>47.77</v>
      </c>
    </row>
    <row r="36">
      <c r="A36" t="n">
        <v>15</v>
      </c>
      <c r="B36" s="136" t="n">
        <v>36.31</v>
      </c>
      <c r="C36" s="136" t="n">
        <v>39.09</v>
      </c>
      <c r="D36" s="136" t="n">
        <v>41.48</v>
      </c>
      <c r="E36" s="136" t="n">
        <v>43.85</v>
      </c>
      <c r="F36" s="136" t="n">
        <v>47.8</v>
      </c>
    </row>
    <row r="37">
      <c r="A37" t="n">
        <v>16</v>
      </c>
      <c r="B37" s="136" t="n">
        <v>35.89</v>
      </c>
      <c r="C37" s="136" t="n">
        <v>39.12</v>
      </c>
      <c r="D37" s="136" t="n">
        <v>41.51</v>
      </c>
      <c r="E37" s="136" t="n">
        <v>43.97</v>
      </c>
      <c r="F37" s="136" t="n">
        <v>47.84</v>
      </c>
    </row>
    <row r="38">
      <c r="A38" t="n">
        <v>17</v>
      </c>
      <c r="B38" s="136" t="n">
        <v>35.89</v>
      </c>
      <c r="C38" s="136" t="n">
        <v>39.12</v>
      </c>
      <c r="D38" s="136" t="n">
        <v>41.56</v>
      </c>
      <c r="E38" s="136" t="n">
        <v>44.09</v>
      </c>
      <c r="F38" s="136" t="n">
        <v>48.42</v>
      </c>
    </row>
    <row r="39">
      <c r="A39" t="n">
        <v>18</v>
      </c>
      <c r="B39" s="136" t="n">
        <v>35.78</v>
      </c>
      <c r="C39" s="136" t="n">
        <v>39.07</v>
      </c>
      <c r="D39" s="136" t="n">
        <v>41.62</v>
      </c>
      <c r="E39" s="136" t="n">
        <v>44.28</v>
      </c>
      <c r="F39" s="136" t="n">
        <v>48.63</v>
      </c>
    </row>
    <row r="40">
      <c r="A40" t="n">
        <v>19</v>
      </c>
      <c r="B40" s="136" t="n">
        <v>35.57</v>
      </c>
      <c r="C40" s="136" t="n">
        <v>39.04</v>
      </c>
      <c r="D40" s="136" t="n">
        <v>41.7</v>
      </c>
      <c r="E40" s="136" t="n">
        <v>44.42</v>
      </c>
      <c r="F40" s="136" t="n">
        <v>48.67</v>
      </c>
    </row>
    <row r="41">
      <c r="A41" t="n">
        <v>20</v>
      </c>
      <c r="B41" s="136" t="n">
        <v>35.34</v>
      </c>
      <c r="C41" s="136" t="n">
        <v>39.15</v>
      </c>
      <c r="D41" s="136" t="n">
        <v>41.73</v>
      </c>
      <c r="E41" s="136" t="n">
        <v>44.62</v>
      </c>
      <c r="F41" s="136" t="n">
        <v>49.05</v>
      </c>
    </row>
    <row r="42">
      <c r="A42" t="n">
        <v>21</v>
      </c>
      <c r="B42" s="136" t="n">
        <v>35.44</v>
      </c>
      <c r="C42" s="136" t="n">
        <v>38.86</v>
      </c>
      <c r="D42" s="136" t="n">
        <v>41.73</v>
      </c>
      <c r="E42" s="136" t="n">
        <v>44.67</v>
      </c>
      <c r="F42" s="136" t="n">
        <v>49.43</v>
      </c>
    </row>
    <row r="43">
      <c r="A43" t="n">
        <v>22</v>
      </c>
      <c r="B43" s="136" t="n">
        <v>35.36</v>
      </c>
      <c r="C43" s="136" t="n">
        <v>38.88</v>
      </c>
      <c r="D43" s="136" t="n">
        <v>41.79</v>
      </c>
      <c r="E43" s="136" t="n">
        <v>44.83</v>
      </c>
      <c r="F43" s="136" t="n">
        <v>49.3</v>
      </c>
    </row>
    <row r="44">
      <c r="A44" t="n">
        <v>23</v>
      </c>
      <c r="B44" s="136" t="n">
        <v>35.37</v>
      </c>
      <c r="C44" s="136" t="n">
        <v>38.85</v>
      </c>
      <c r="D44" s="136" t="n">
        <v>41.68</v>
      </c>
      <c r="E44" s="136" t="n">
        <v>44.72</v>
      </c>
      <c r="F44" s="136" t="n">
        <v>49.81</v>
      </c>
    </row>
    <row r="45">
      <c r="A45" t="n">
        <v>24</v>
      </c>
      <c r="B45" s="136" t="n">
        <v>35.46</v>
      </c>
      <c r="C45" s="136" t="n">
        <v>38.78</v>
      </c>
      <c r="D45" s="136" t="n">
        <v>41.66</v>
      </c>
      <c r="E45" s="136" t="n">
        <v>44.93</v>
      </c>
      <c r="F45" s="136" t="n">
        <v>49.97</v>
      </c>
    </row>
    <row r="46">
      <c r="A46" t="n">
        <v>25</v>
      </c>
      <c r="B46" s="136" t="n">
        <v>35.04</v>
      </c>
      <c r="C46" s="136" t="n">
        <v>38.9</v>
      </c>
      <c r="D46" s="136" t="n">
        <v>41.66</v>
      </c>
      <c r="E46" s="136" t="n">
        <v>45.23</v>
      </c>
      <c r="F46" s="136" t="n">
        <v>50.01</v>
      </c>
    </row>
    <row r="47">
      <c r="A47" t="n">
        <v>26</v>
      </c>
      <c r="B47" s="136" t="n">
        <v>34.84</v>
      </c>
      <c r="C47" s="136" t="n">
        <v>38.94</v>
      </c>
      <c r="D47" s="136" t="n">
        <v>41.59</v>
      </c>
      <c r="E47" s="136" t="n">
        <v>45.29</v>
      </c>
      <c r="F47" s="136" t="n">
        <v>50.12</v>
      </c>
    </row>
    <row r="48">
      <c r="A48" t="n">
        <v>27</v>
      </c>
      <c r="B48" s="136" t="n">
        <v>34.76</v>
      </c>
      <c r="C48" s="136" t="n">
        <v>38.9</v>
      </c>
      <c r="D48" s="136" t="n">
        <v>41.84</v>
      </c>
      <c r="E48" s="136" t="n">
        <v>45.36</v>
      </c>
      <c r="F48" s="136" t="n">
        <v>50.4</v>
      </c>
    </row>
    <row r="49">
      <c r="A49" t="n">
        <v>28</v>
      </c>
      <c r="B49" s="136" t="n">
        <v>34.76</v>
      </c>
      <c r="C49" s="136" t="n">
        <v>38.82</v>
      </c>
      <c r="D49" s="136" t="n">
        <v>41.82</v>
      </c>
      <c r="E49" s="136" t="n">
        <v>45.63</v>
      </c>
      <c r="F49" s="136" t="n">
        <v>50.67</v>
      </c>
    </row>
    <row r="50">
      <c r="A50" t="n">
        <v>29</v>
      </c>
      <c r="B50" s="136" t="n">
        <v>34.59</v>
      </c>
      <c r="C50" s="136" t="n">
        <v>38.89</v>
      </c>
      <c r="D50" s="136" t="n">
        <v>41.91</v>
      </c>
      <c r="E50" s="136" t="n">
        <v>45.56</v>
      </c>
      <c r="F50" s="136" t="n">
        <v>50.67</v>
      </c>
    </row>
    <row r="51">
      <c r="A51" t="n">
        <v>30</v>
      </c>
      <c r="B51" s="136" t="n">
        <v>34.61</v>
      </c>
      <c r="C51" s="136" t="n">
        <v>38.79</v>
      </c>
      <c r="D51" s="136" t="n">
        <v>41.94</v>
      </c>
      <c r="E51" s="136" t="n">
        <v>45.46</v>
      </c>
      <c r="F51" s="136" t="n">
        <v>50.91</v>
      </c>
    </row>
    <row r="52">
      <c r="A52" t="n">
        <v>31</v>
      </c>
      <c r="B52" s="136" t="n">
        <v>34.55</v>
      </c>
      <c r="C52" s="136" t="n">
        <v>38.77</v>
      </c>
      <c r="D52" s="136" t="n">
        <v>41.9</v>
      </c>
      <c r="E52" s="136" t="n">
        <v>45.65</v>
      </c>
      <c r="F52" s="136" t="n">
        <v>51.35</v>
      </c>
    </row>
    <row r="53">
      <c r="A53" t="n">
        <v>32</v>
      </c>
      <c r="B53" s="136" t="n">
        <v>34.26</v>
      </c>
      <c r="C53" s="136" t="n">
        <v>38.72</v>
      </c>
      <c r="D53" s="136" t="n">
        <v>41.83</v>
      </c>
      <c r="E53" s="136" t="n">
        <v>45.8</v>
      </c>
      <c r="F53" s="136" t="n">
        <v>51.11</v>
      </c>
    </row>
    <row r="54">
      <c r="A54" t="n">
        <v>33</v>
      </c>
      <c r="B54" s="136" t="n">
        <v>34.28</v>
      </c>
      <c r="C54" s="136" t="n">
        <v>38.53</v>
      </c>
      <c r="D54" s="136" t="n">
        <v>41.88</v>
      </c>
      <c r="E54" s="136" t="n">
        <v>45.98</v>
      </c>
      <c r="F54" s="136" t="n">
        <v>51.55</v>
      </c>
    </row>
    <row r="55">
      <c r="A55" t="n">
        <v>34</v>
      </c>
      <c r="B55" s="136" t="n">
        <v>34.03</v>
      </c>
      <c r="C55" s="136" t="n">
        <v>38.64</v>
      </c>
      <c r="D55" s="136" t="n">
        <v>41.93</v>
      </c>
      <c r="E55" s="136" t="n">
        <v>45.93</v>
      </c>
      <c r="F55" s="136" t="n">
        <v>51.78</v>
      </c>
    </row>
    <row r="56">
      <c r="A56" t="n">
        <v>35</v>
      </c>
      <c r="B56" s="136" t="n">
        <v>33.82</v>
      </c>
      <c r="C56" s="136" t="n">
        <v>38.69</v>
      </c>
      <c r="D56" s="136" t="n">
        <v>41.88</v>
      </c>
      <c r="E56" s="136" t="n">
        <v>45.86</v>
      </c>
      <c r="F56" s="136" t="n">
        <v>51.7</v>
      </c>
    </row>
    <row r="57">
      <c r="A57" t="n">
        <v>36</v>
      </c>
      <c r="B57" s="136" t="n">
        <v>33.7</v>
      </c>
      <c r="C57" s="136" t="n">
        <v>38.61</v>
      </c>
      <c r="D57" s="136" t="n">
        <v>41.96</v>
      </c>
      <c r="E57" s="136" t="n">
        <v>45.97</v>
      </c>
      <c r="F57" s="136" t="n">
        <v>51.95</v>
      </c>
    </row>
    <row r="58">
      <c r="A58" t="n">
        <v>37</v>
      </c>
      <c r="B58" s="136" t="n">
        <v>33.36</v>
      </c>
      <c r="C58" s="136" t="n">
        <v>38.57</v>
      </c>
      <c r="D58" s="136" t="n">
        <v>42.07</v>
      </c>
      <c r="E58" s="136" t="n">
        <v>46.16</v>
      </c>
      <c r="F58" s="136" t="n">
        <v>51.97</v>
      </c>
    </row>
    <row r="59">
      <c r="A59" t="n">
        <v>38</v>
      </c>
      <c r="B59" s="136" t="n">
        <v>33.55</v>
      </c>
      <c r="C59" s="136" t="n">
        <v>38.57</v>
      </c>
      <c r="D59" s="136" t="n">
        <v>42.11</v>
      </c>
      <c r="E59" s="136" t="n">
        <v>46.23</v>
      </c>
      <c r="F59" s="136" t="n">
        <v>52</v>
      </c>
    </row>
    <row r="60">
      <c r="A60" t="n">
        <v>39</v>
      </c>
      <c r="B60" s="136" t="n">
        <v>33.48</v>
      </c>
      <c r="C60" s="136" t="n">
        <v>38.51</v>
      </c>
      <c r="D60" s="136" t="n">
        <v>42.01</v>
      </c>
      <c r="E60" s="136" t="n">
        <v>46.29</v>
      </c>
      <c r="F60" s="136" t="n">
        <v>52.5</v>
      </c>
    </row>
    <row r="61">
      <c r="A61" t="n">
        <v>40</v>
      </c>
      <c r="B61" s="136" t="n">
        <v>33.28</v>
      </c>
      <c r="C61" s="136" t="n">
        <v>38.3</v>
      </c>
      <c r="D61" s="136" t="n">
        <v>41.84</v>
      </c>
      <c r="E61" s="136" t="n">
        <v>46.16</v>
      </c>
      <c r="F61" s="136" t="n">
        <v>52.84</v>
      </c>
    </row>
    <row r="62">
      <c r="A62" t="n">
        <v>41</v>
      </c>
      <c r="B62" s="136" t="n">
        <v>33.26</v>
      </c>
      <c r="C62" s="136" t="n">
        <v>38.16</v>
      </c>
      <c r="D62" s="136" t="n">
        <v>41.85</v>
      </c>
      <c r="E62" s="136" t="n">
        <v>46.36</v>
      </c>
      <c r="F62" s="136" t="n">
        <v>53.2</v>
      </c>
    </row>
    <row r="63">
      <c r="A63" t="n">
        <v>42</v>
      </c>
      <c r="B63" s="136" t="n">
        <v>33.13</v>
      </c>
      <c r="C63" s="136" t="n">
        <v>38.12</v>
      </c>
      <c r="D63" s="136" t="n">
        <v>41.82</v>
      </c>
      <c r="E63" s="136" t="n">
        <v>46.21</v>
      </c>
      <c r="F63" s="136" t="n">
        <v>53.19</v>
      </c>
    </row>
    <row r="64">
      <c r="A64" t="n">
        <v>43</v>
      </c>
      <c r="B64" s="136" t="n">
        <v>32.82</v>
      </c>
      <c r="C64" s="136" t="n">
        <v>38.04</v>
      </c>
      <c r="D64" s="136" t="n">
        <v>41.88</v>
      </c>
      <c r="E64" s="136" t="n">
        <v>46.36</v>
      </c>
      <c r="F64" s="136" t="n">
        <v>52.81</v>
      </c>
    </row>
    <row r="65">
      <c r="A65" t="n">
        <v>44</v>
      </c>
      <c r="B65" s="136" t="n">
        <v>32.92</v>
      </c>
      <c r="C65" s="136" t="n">
        <v>37.92</v>
      </c>
      <c r="D65" s="136" t="n">
        <v>41.87</v>
      </c>
      <c r="E65" s="136" t="n">
        <v>46.47</v>
      </c>
      <c r="F65" s="136" t="n">
        <v>52.85</v>
      </c>
    </row>
    <row r="66">
      <c r="A66" t="n">
        <v>45</v>
      </c>
      <c r="B66" s="136" t="n">
        <v>32.67</v>
      </c>
      <c r="C66" s="136" t="n">
        <v>37.82</v>
      </c>
      <c r="D66" s="136" t="n">
        <v>41.9</v>
      </c>
      <c r="E66" s="136" t="n">
        <v>46.36</v>
      </c>
      <c r="F66" s="136" t="n">
        <v>52.42</v>
      </c>
    </row>
    <row r="67">
      <c r="A67" t="n">
        <v>46</v>
      </c>
      <c r="B67" s="136" t="n">
        <v>32.49</v>
      </c>
      <c r="C67" s="136" t="n">
        <v>37.65</v>
      </c>
      <c r="D67" s="136" t="n">
        <v>42.09</v>
      </c>
      <c r="E67" s="136" t="n">
        <v>46.66</v>
      </c>
      <c r="F67" s="136" t="n">
        <v>52.83</v>
      </c>
    </row>
    <row r="68">
      <c r="A68" t="n">
        <v>47</v>
      </c>
      <c r="B68" s="136" t="n">
        <v>32.51</v>
      </c>
      <c r="C68" s="136" t="n">
        <v>37.78</v>
      </c>
      <c r="D68" s="136" t="n">
        <v>42</v>
      </c>
      <c r="E68" s="136" t="n">
        <v>46.68</v>
      </c>
      <c r="F68" s="136" t="n">
        <v>53.14</v>
      </c>
    </row>
    <row r="69">
      <c r="A69" t="n">
        <v>48</v>
      </c>
      <c r="B69" s="136" t="n">
        <v>32.62</v>
      </c>
      <c r="C69" s="136" t="n">
        <v>37.59</v>
      </c>
      <c r="D69" s="136" t="n">
        <v>41.96</v>
      </c>
      <c r="E69" s="136" t="n">
        <v>46.68</v>
      </c>
      <c r="F69" s="136" t="n">
        <v>53.51</v>
      </c>
    </row>
    <row r="70">
      <c r="A70" t="n">
        <v>49</v>
      </c>
      <c r="B70" s="136" t="n">
        <v>32.47</v>
      </c>
      <c r="C70" s="136" t="n">
        <v>37.62</v>
      </c>
      <c r="D70" s="136" t="n">
        <v>41.94</v>
      </c>
      <c r="E70" s="136" t="n">
        <v>46.67</v>
      </c>
      <c r="F70" s="136" t="n">
        <v>53.51</v>
      </c>
    </row>
    <row r="71">
      <c r="A71" t="n">
        <v>50</v>
      </c>
      <c r="B71" s="136" t="n">
        <v>32.03</v>
      </c>
      <c r="C71" s="136" t="n">
        <v>37.58</v>
      </c>
      <c r="D71" s="136" t="n">
        <v>41.96</v>
      </c>
      <c r="E71" s="136" t="n">
        <v>46.62</v>
      </c>
      <c r="F71" s="136" t="n">
        <v>53.58</v>
      </c>
    </row>
    <row r="72">
      <c r="A72" t="n">
        <v>51</v>
      </c>
      <c r="B72" s="136" t="n">
        <v>32.07</v>
      </c>
      <c r="C72" s="136" t="n">
        <v>37.64</v>
      </c>
      <c r="D72" s="136" t="n">
        <v>41.84</v>
      </c>
      <c r="E72" s="136" t="n">
        <v>46.63</v>
      </c>
      <c r="F72" s="136" t="n">
        <v>54.11</v>
      </c>
    </row>
    <row r="73">
      <c r="A73" t="n">
        <v>52</v>
      </c>
      <c r="B73" s="136" t="n">
        <v>31.97</v>
      </c>
      <c r="C73" s="136" t="n">
        <v>37.5</v>
      </c>
      <c r="D73" s="136" t="n">
        <v>41.88</v>
      </c>
      <c r="E73" s="136" t="n">
        <v>46.77</v>
      </c>
      <c r="F73" s="136" t="n">
        <v>54.02</v>
      </c>
    </row>
    <row r="74">
      <c r="A74" t="n">
        <v>53</v>
      </c>
      <c r="B74" s="136" t="n">
        <v>31.92</v>
      </c>
      <c r="C74" s="136" t="n">
        <v>37.41</v>
      </c>
      <c r="D74" s="136" t="n">
        <v>41.88</v>
      </c>
      <c r="E74" s="136" t="n">
        <v>47.04</v>
      </c>
      <c r="F74" s="136" t="n">
        <v>53.79</v>
      </c>
    </row>
    <row r="75">
      <c r="A75" t="n">
        <v>54</v>
      </c>
      <c r="B75" s="136" t="n">
        <v>32.07</v>
      </c>
      <c r="C75" s="136" t="n">
        <v>37.38</v>
      </c>
      <c r="D75" s="136" t="n">
        <v>41.97</v>
      </c>
      <c r="E75" s="136" t="n">
        <v>47.19</v>
      </c>
      <c r="F75" s="136" t="n">
        <v>53.8</v>
      </c>
    </row>
    <row r="76">
      <c r="A76" t="n">
        <v>55</v>
      </c>
      <c r="B76" s="136" t="n">
        <v>31.73</v>
      </c>
      <c r="C76" s="136" t="n">
        <v>37.15</v>
      </c>
      <c r="D76" s="136" t="n">
        <v>42</v>
      </c>
      <c r="E76" s="136" t="n">
        <v>47.15</v>
      </c>
      <c r="F76" s="136" t="n">
        <v>53.84</v>
      </c>
    </row>
    <row r="77">
      <c r="A77" t="n">
        <v>56</v>
      </c>
      <c r="B77" s="136" t="n">
        <v>31.82</v>
      </c>
      <c r="C77" s="136" t="n">
        <v>37.19</v>
      </c>
      <c r="D77" s="136" t="n">
        <v>42</v>
      </c>
      <c r="E77" s="136" t="n">
        <v>47.01</v>
      </c>
      <c r="F77" s="136" t="n">
        <v>54.13</v>
      </c>
    </row>
    <row r="78">
      <c r="A78" t="n">
        <v>57</v>
      </c>
      <c r="B78" s="136" t="n">
        <v>31.66</v>
      </c>
      <c r="C78" s="136" t="n">
        <v>37.23</v>
      </c>
      <c r="D78" s="136" t="n">
        <v>42.02</v>
      </c>
      <c r="E78" s="136" t="n">
        <v>47.07</v>
      </c>
      <c r="F78" s="136" t="n">
        <v>54.35</v>
      </c>
    </row>
    <row r="79">
      <c r="A79" t="n">
        <v>58</v>
      </c>
      <c r="B79" s="136" t="n">
        <v>31.29</v>
      </c>
      <c r="C79" s="136" t="n">
        <v>37.15</v>
      </c>
      <c r="D79" s="136" t="n">
        <v>42.17</v>
      </c>
      <c r="E79" s="136" t="n">
        <v>47.15</v>
      </c>
      <c r="F79" s="136" t="n">
        <v>54.44</v>
      </c>
    </row>
    <row r="80">
      <c r="A80" t="n">
        <v>59</v>
      </c>
      <c r="B80" s="136" t="n">
        <v>31.42</v>
      </c>
      <c r="C80" s="136" t="n">
        <v>37.27</v>
      </c>
      <c r="D80" s="136" t="n">
        <v>42.08</v>
      </c>
      <c r="E80" s="136" t="n">
        <v>47.18</v>
      </c>
      <c r="F80" s="136" t="n">
        <v>54.76</v>
      </c>
    </row>
    <row r="81">
      <c r="A81" t="n">
        <v>60</v>
      </c>
      <c r="B81" s="136" t="n">
        <v>31.14</v>
      </c>
      <c r="C81" s="136" t="n">
        <v>37.1</v>
      </c>
      <c r="D81" s="136" t="n">
        <v>42.26</v>
      </c>
      <c r="E81" s="136" t="n">
        <v>47.26</v>
      </c>
      <c r="F81" s="136" t="n">
        <v>54.79</v>
      </c>
    </row>
    <row r="82">
      <c r="A82" t="n">
        <v>61</v>
      </c>
      <c r="B82" s="136" t="n">
        <v>30.99</v>
      </c>
      <c r="C82" s="136" t="n">
        <v>37.14</v>
      </c>
      <c r="D82" s="136" t="n">
        <v>42.2</v>
      </c>
      <c r="E82" s="136" t="n">
        <v>47.23</v>
      </c>
      <c r="F82" s="136" t="n">
        <v>54.91</v>
      </c>
    </row>
    <row r="83">
      <c r="A83" t="n">
        <v>62</v>
      </c>
      <c r="B83" s="136" t="n">
        <v>31.13</v>
      </c>
      <c r="C83" s="136" t="n">
        <v>37.07</v>
      </c>
      <c r="D83" s="136" t="n">
        <v>42.27</v>
      </c>
      <c r="E83" s="136" t="n">
        <v>47.11</v>
      </c>
      <c r="F83" s="136" t="n">
        <v>54.73</v>
      </c>
    </row>
    <row r="84">
      <c r="A84" t="n">
        <v>63</v>
      </c>
      <c r="B84" s="136" t="n">
        <v>30.85</v>
      </c>
      <c r="C84" s="136" t="n">
        <v>36.92</v>
      </c>
      <c r="D84" s="136" t="n">
        <v>42.11</v>
      </c>
      <c r="E84" s="136" t="n">
        <v>47.38</v>
      </c>
      <c r="F84" s="136" t="n">
        <v>55.03</v>
      </c>
    </row>
    <row r="85">
      <c r="A85" t="n">
        <v>64</v>
      </c>
      <c r="B85" s="136" t="n">
        <v>30.67</v>
      </c>
      <c r="C85" s="136" t="n">
        <v>37.03</v>
      </c>
      <c r="D85" s="136" t="n">
        <v>41.97</v>
      </c>
      <c r="E85" s="136" t="n">
        <v>47.54</v>
      </c>
      <c r="F85" s="136" t="n">
        <v>55.39</v>
      </c>
    </row>
    <row r="86">
      <c r="A86" t="n">
        <v>65</v>
      </c>
      <c r="B86" s="136" t="n">
        <v>30.77</v>
      </c>
      <c r="C86" s="136" t="n">
        <v>37.03</v>
      </c>
      <c r="D86" s="136" t="n">
        <v>42.09</v>
      </c>
      <c r="E86" s="136" t="n">
        <v>47.43</v>
      </c>
      <c r="F86" s="136" t="n">
        <v>55.08</v>
      </c>
    </row>
    <row r="87">
      <c r="A87" t="n">
        <v>66</v>
      </c>
      <c r="B87" s="136" t="n">
        <v>30.91</v>
      </c>
      <c r="C87" s="136" t="n">
        <v>37.12</v>
      </c>
      <c r="D87" s="136" t="n">
        <v>42.05</v>
      </c>
      <c r="E87" s="136" t="n">
        <v>47.59</v>
      </c>
      <c r="F87" s="136" t="n">
        <v>55.48</v>
      </c>
    </row>
    <row r="88">
      <c r="A88" t="n">
        <v>67</v>
      </c>
      <c r="B88" s="136" t="n">
        <v>30.76</v>
      </c>
      <c r="C88" s="136" t="n">
        <v>36.97</v>
      </c>
      <c r="D88" s="136" t="n">
        <v>42.06</v>
      </c>
      <c r="E88" s="136" t="n">
        <v>47.6</v>
      </c>
      <c r="F88" s="136" t="n">
        <v>56.13</v>
      </c>
    </row>
    <row r="89">
      <c r="A89" t="n">
        <v>68</v>
      </c>
      <c r="B89" s="136" t="n">
        <v>30.63</v>
      </c>
      <c r="C89" s="136" t="n">
        <v>36.98</v>
      </c>
      <c r="D89" s="136" t="n">
        <v>41.98</v>
      </c>
      <c r="E89" s="136" t="n">
        <v>47.47</v>
      </c>
      <c r="F89" s="136" t="n">
        <v>56.07</v>
      </c>
    </row>
    <row r="90">
      <c r="A90" t="n">
        <v>69</v>
      </c>
      <c r="B90" s="136" t="n">
        <v>30.71</v>
      </c>
      <c r="C90" s="136" t="n">
        <v>37.07</v>
      </c>
      <c r="D90" s="136" t="n">
        <v>42.09</v>
      </c>
      <c r="E90" s="136" t="n">
        <v>47.5</v>
      </c>
      <c r="F90" s="136" t="n">
        <v>55.68</v>
      </c>
    </row>
    <row r="91">
      <c r="A91" t="n">
        <v>70</v>
      </c>
      <c r="B91" s="136" t="n">
        <v>30.28</v>
      </c>
      <c r="C91" s="136" t="n">
        <v>36.91</v>
      </c>
      <c r="D91" s="136" t="n">
        <v>42.06</v>
      </c>
      <c r="E91" s="136" t="n">
        <v>47.54</v>
      </c>
      <c r="F91" s="136" t="n">
        <v>56.19</v>
      </c>
    </row>
    <row r="92">
      <c r="A92" t="n">
        <v>71</v>
      </c>
      <c r="B92" s="136" t="n">
        <v>30.24</v>
      </c>
      <c r="C92" s="136" t="n">
        <v>36.89</v>
      </c>
      <c r="D92" s="136" t="n">
        <v>42.04</v>
      </c>
      <c r="E92" s="136" t="n">
        <v>47.64</v>
      </c>
      <c r="F92" s="136" t="n">
        <v>56.62</v>
      </c>
    </row>
    <row r="93">
      <c r="A93" t="n">
        <v>72</v>
      </c>
      <c r="B93" s="136" t="n">
        <v>30.24</v>
      </c>
      <c r="C93" s="136" t="n">
        <v>37.02</v>
      </c>
      <c r="D93" s="136" t="n">
        <v>42</v>
      </c>
      <c r="E93" s="136" t="n">
        <v>47.64</v>
      </c>
      <c r="F93" s="136" t="n">
        <v>56.44</v>
      </c>
    </row>
    <row r="94">
      <c r="A94" t="n">
        <v>73</v>
      </c>
      <c r="B94" s="136" t="n">
        <v>30.33</v>
      </c>
      <c r="C94" s="136" t="n">
        <v>37.01</v>
      </c>
      <c r="D94" s="136" t="n">
        <v>41.99</v>
      </c>
      <c r="E94" s="136" t="n">
        <v>47.64</v>
      </c>
      <c r="F94" s="136" t="n">
        <v>56.85</v>
      </c>
    </row>
    <row r="95">
      <c r="A95" t="n">
        <v>74</v>
      </c>
      <c r="B95" s="136" t="n">
        <v>30.42</v>
      </c>
      <c r="C95" s="136" t="n">
        <v>37.04</v>
      </c>
      <c r="D95" s="136" t="n">
        <v>41.96</v>
      </c>
      <c r="E95" s="136" t="n">
        <v>47.77</v>
      </c>
      <c r="F95" s="136" t="n">
        <v>57.08</v>
      </c>
    </row>
    <row r="96">
      <c r="A96" t="n">
        <v>75</v>
      </c>
      <c r="B96" s="136" t="n">
        <v>30.2</v>
      </c>
      <c r="C96" s="136" t="n">
        <v>36.92</v>
      </c>
      <c r="D96" s="136" t="n">
        <v>42.03</v>
      </c>
      <c r="E96" s="136" t="n">
        <v>47.98</v>
      </c>
      <c r="F96" s="136" t="n">
        <v>57.42</v>
      </c>
    </row>
    <row r="97">
      <c r="A97" t="n">
        <v>76</v>
      </c>
      <c r="B97" s="136" t="n">
        <v>30.13</v>
      </c>
      <c r="C97" s="136" t="n">
        <v>36.72</v>
      </c>
      <c r="D97" s="136" t="n">
        <v>42.11</v>
      </c>
      <c r="E97" s="136" t="n">
        <v>48.11</v>
      </c>
      <c r="F97" s="136" t="n">
        <v>56.95</v>
      </c>
    </row>
    <row r="98">
      <c r="A98" t="n">
        <v>77</v>
      </c>
      <c r="B98" s="136" t="n">
        <v>30.2</v>
      </c>
      <c r="C98" s="136" t="n">
        <v>36.69</v>
      </c>
      <c r="D98" s="136" t="n">
        <v>41.98</v>
      </c>
      <c r="E98" s="136" t="n">
        <v>47.95</v>
      </c>
      <c r="F98" s="136" t="n">
        <v>57.4</v>
      </c>
    </row>
    <row r="99">
      <c r="A99" t="n">
        <v>78</v>
      </c>
      <c r="B99" s="136" t="n">
        <v>30.13</v>
      </c>
      <c r="C99" s="136" t="n">
        <v>36.47</v>
      </c>
      <c r="D99" s="136" t="n">
        <v>41.94</v>
      </c>
      <c r="E99" s="136" t="n">
        <v>48.26</v>
      </c>
      <c r="F99" s="136" t="n">
        <v>57.39</v>
      </c>
    </row>
    <row r="100">
      <c r="A100" t="n">
        <v>79</v>
      </c>
      <c r="B100" s="136" t="n">
        <v>30.02</v>
      </c>
      <c r="C100" s="136" t="n">
        <v>36.49</v>
      </c>
      <c r="D100" s="136" t="n">
        <v>41.93</v>
      </c>
      <c r="E100" s="136" t="n">
        <v>48.35</v>
      </c>
      <c r="F100" s="136" t="n">
        <v>57.38</v>
      </c>
    </row>
    <row r="101">
      <c r="A101" t="n">
        <v>80</v>
      </c>
      <c r="B101" s="136" t="n">
        <v>29.92</v>
      </c>
      <c r="C101" s="136" t="n">
        <v>36.39</v>
      </c>
      <c r="D101" s="136" t="n">
        <v>41.86</v>
      </c>
      <c r="E101" s="136" t="n">
        <v>48.57</v>
      </c>
      <c r="F101" s="136" t="n">
        <v>57.68</v>
      </c>
    </row>
    <row r="102">
      <c r="A102" t="n">
        <v>81</v>
      </c>
      <c r="B102" s="136" t="n">
        <v>29.67</v>
      </c>
      <c r="C102" s="136" t="n">
        <v>36.54</v>
      </c>
      <c r="D102" s="136" t="n">
        <v>41.7</v>
      </c>
      <c r="E102" s="136" t="n">
        <v>48.34</v>
      </c>
      <c r="F102" s="136" t="n">
        <v>57.03</v>
      </c>
    </row>
    <row r="103">
      <c r="A103" t="n">
        <v>82</v>
      </c>
      <c r="B103" s="136" t="n">
        <v>29.62</v>
      </c>
      <c r="C103" s="136" t="n">
        <v>36.46</v>
      </c>
      <c r="D103" s="136" t="n">
        <v>41.74</v>
      </c>
      <c r="E103" s="136" t="n">
        <v>48.6</v>
      </c>
      <c r="F103" s="136" t="n">
        <v>57.01</v>
      </c>
    </row>
    <row r="104">
      <c r="A104" t="n">
        <v>83</v>
      </c>
      <c r="B104" s="136" t="n">
        <v>29.29</v>
      </c>
      <c r="C104" s="136" t="n">
        <v>36.29</v>
      </c>
      <c r="D104" s="136" t="n">
        <v>41.75</v>
      </c>
      <c r="E104" s="136" t="n">
        <v>48.54</v>
      </c>
      <c r="F104" s="136" t="n">
        <v>57.45</v>
      </c>
    </row>
    <row r="105">
      <c r="A105" t="n">
        <v>84</v>
      </c>
      <c r="B105" s="136" t="n">
        <v>29.4</v>
      </c>
      <c r="C105" s="136" t="n">
        <v>36.26</v>
      </c>
      <c r="D105" s="136" t="n">
        <v>41.86</v>
      </c>
      <c r="E105" s="136" t="n">
        <v>48.69</v>
      </c>
      <c r="F105" s="136" t="n">
        <v>57.5</v>
      </c>
    </row>
    <row r="106">
      <c r="A106" t="n">
        <v>85</v>
      </c>
      <c r="B106" s="136" t="n">
        <v>29.56</v>
      </c>
      <c r="C106" s="136" t="n">
        <v>36.51</v>
      </c>
      <c r="D106" s="136" t="n">
        <v>41.85</v>
      </c>
      <c r="E106" s="136" t="n">
        <v>48.56</v>
      </c>
      <c r="F106" s="136" t="n">
        <v>58.13</v>
      </c>
    </row>
    <row r="107">
      <c r="A107" t="n">
        <v>86</v>
      </c>
      <c r="B107" s="136" t="n">
        <v>29.3</v>
      </c>
      <c r="C107" s="136" t="n">
        <v>36.38</v>
      </c>
      <c r="D107" s="136" t="n">
        <v>41.84</v>
      </c>
      <c r="E107" s="136" t="n">
        <v>48.47</v>
      </c>
      <c r="F107" s="136" t="n">
        <v>58.03</v>
      </c>
    </row>
    <row r="108">
      <c r="A108" t="n">
        <v>87</v>
      </c>
      <c r="B108" s="136" t="n">
        <v>29.2</v>
      </c>
      <c r="C108" s="136" t="n">
        <v>36.19</v>
      </c>
      <c r="D108" s="136" t="n">
        <v>41.84</v>
      </c>
      <c r="E108" s="136" t="n">
        <v>48.85</v>
      </c>
      <c r="F108" s="136" t="n">
        <v>58.56</v>
      </c>
    </row>
    <row r="109">
      <c r="A109" t="n">
        <v>88</v>
      </c>
      <c r="B109" s="136" t="n">
        <v>29.03</v>
      </c>
      <c r="C109" s="136" t="n">
        <v>36.17</v>
      </c>
      <c r="D109" s="136" t="n">
        <v>41.94</v>
      </c>
      <c r="E109" s="136" t="n">
        <v>49.15</v>
      </c>
      <c r="F109" s="136" t="n">
        <v>58.93</v>
      </c>
    </row>
    <row r="110">
      <c r="A110" t="n">
        <v>89</v>
      </c>
      <c r="B110" s="136" t="n">
        <v>29.29</v>
      </c>
      <c r="C110" s="136" t="n">
        <v>36.08</v>
      </c>
      <c r="D110" s="136" t="n">
        <v>41.95</v>
      </c>
      <c r="E110" s="136" t="n">
        <v>49.15</v>
      </c>
      <c r="F110" s="136" t="n">
        <v>58.98</v>
      </c>
    </row>
    <row r="111">
      <c r="A111" t="n">
        <v>90</v>
      </c>
      <c r="B111" s="136" t="n">
        <v>29.24</v>
      </c>
      <c r="C111" s="136" t="n">
        <v>36.17</v>
      </c>
      <c r="D111" s="136" t="n">
        <v>41.93</v>
      </c>
      <c r="E111" s="136" t="n">
        <v>49.23</v>
      </c>
      <c r="F111" s="136" t="n">
        <v>59.21</v>
      </c>
    </row>
    <row r="112">
      <c r="A112" t="n">
        <v>91</v>
      </c>
      <c r="B112" s="136" t="n">
        <v>29.31</v>
      </c>
      <c r="C112" s="136" t="n">
        <v>36.05</v>
      </c>
      <c r="D112" s="136" t="n">
        <v>41.91</v>
      </c>
      <c r="E112" s="136" t="n">
        <v>49.16</v>
      </c>
      <c r="F112" s="136" t="n">
        <v>59.43</v>
      </c>
    </row>
    <row r="113">
      <c r="A113" t="n">
        <v>92</v>
      </c>
      <c r="B113" s="136" t="n">
        <v>29.08</v>
      </c>
      <c r="C113" s="136" t="n">
        <v>35.99</v>
      </c>
      <c r="D113" s="136" t="n">
        <v>41.93</v>
      </c>
      <c r="E113" s="136" t="n">
        <v>49.06</v>
      </c>
      <c r="F113" s="136" t="n">
        <v>59.89</v>
      </c>
    </row>
    <row r="114">
      <c r="A114" t="n">
        <v>93</v>
      </c>
      <c r="B114" s="136" t="n">
        <v>29.19</v>
      </c>
      <c r="C114" s="136" t="n">
        <v>36.01</v>
      </c>
      <c r="D114" s="136" t="n">
        <v>41.94</v>
      </c>
      <c r="E114" s="136" t="n">
        <v>49.21</v>
      </c>
      <c r="F114" s="136" t="n">
        <v>59.61</v>
      </c>
    </row>
    <row r="115">
      <c r="A115" t="n">
        <v>94</v>
      </c>
      <c r="B115" s="136" t="n">
        <v>28.71</v>
      </c>
      <c r="C115" s="136" t="n">
        <v>35.93</v>
      </c>
      <c r="D115" s="136" t="n">
        <v>42.12</v>
      </c>
      <c r="E115" s="136" t="n">
        <v>49.13</v>
      </c>
      <c r="F115" s="136" t="n">
        <v>59.69</v>
      </c>
    </row>
    <row r="116">
      <c r="A116" t="n">
        <v>95</v>
      </c>
      <c r="B116" s="136" t="n">
        <v>28.56</v>
      </c>
      <c r="C116" s="136" t="n">
        <v>35.89</v>
      </c>
      <c r="D116" s="136" t="n">
        <v>42.25</v>
      </c>
      <c r="E116" s="136" t="n">
        <v>49.42</v>
      </c>
      <c r="F116" s="136" t="n">
        <v>59.25</v>
      </c>
    </row>
    <row r="117">
      <c r="A117" t="n">
        <v>96</v>
      </c>
      <c r="B117" s="136" t="n">
        <v>28.44</v>
      </c>
      <c r="C117" s="136" t="n">
        <v>35.8</v>
      </c>
      <c r="D117" s="136" t="n">
        <v>42.17</v>
      </c>
      <c r="E117" s="136" t="n">
        <v>49.17</v>
      </c>
      <c r="F117" s="136" t="n">
        <v>59.28</v>
      </c>
    </row>
    <row r="118">
      <c r="A118" t="n">
        <v>97</v>
      </c>
      <c r="B118" s="136" t="n">
        <v>28.75</v>
      </c>
      <c r="C118" s="136" t="n">
        <v>35.94</v>
      </c>
      <c r="D118" s="136" t="n">
        <v>42.09</v>
      </c>
      <c r="E118" s="136" t="n">
        <v>49.31</v>
      </c>
      <c r="F118" s="136" t="n">
        <v>59.59</v>
      </c>
    </row>
    <row r="119">
      <c r="A119" t="n">
        <v>98</v>
      </c>
      <c r="B119" s="136" t="n">
        <v>28.44</v>
      </c>
      <c r="C119" s="136" t="n">
        <v>35.89</v>
      </c>
      <c r="D119" s="136" t="n">
        <v>41.98</v>
      </c>
      <c r="E119" s="136" t="n">
        <v>49.27</v>
      </c>
      <c r="F119" s="136" t="n">
        <v>59.28</v>
      </c>
    </row>
    <row r="120">
      <c r="A120" t="n">
        <v>99</v>
      </c>
      <c r="B120" s="136" t="n">
        <v>28.26</v>
      </c>
      <c r="C120" s="136" t="n">
        <v>35.72</v>
      </c>
      <c r="D120" s="136" t="n">
        <v>41.9</v>
      </c>
      <c r="E120" s="136" t="n">
        <v>49.38</v>
      </c>
      <c r="F120" s="136" t="n">
        <v>59.52</v>
      </c>
    </row>
    <row r="121">
      <c r="A121" t="n">
        <v>100</v>
      </c>
      <c r="B121" s="136" t="n">
        <v>28.26</v>
      </c>
      <c r="C121" s="136" t="n">
        <v>35.7</v>
      </c>
      <c r="D121" s="136" t="n">
        <v>41.92</v>
      </c>
      <c r="E121" s="136" t="n">
        <v>49.26</v>
      </c>
      <c r="F121" s="136" t="n">
        <v>59.51</v>
      </c>
    </row>
    <row r="122">
      <c r="A122" t="n">
        <v>101</v>
      </c>
      <c r="B122" s="136" t="n">
        <v>28.13</v>
      </c>
      <c r="C122" s="136" t="n">
        <v>35.66</v>
      </c>
      <c r="D122" s="136" t="n">
        <v>41.91</v>
      </c>
      <c r="E122" s="136" t="n">
        <v>49.38</v>
      </c>
      <c r="F122" s="136" t="n">
        <v>60.11</v>
      </c>
    </row>
    <row r="123">
      <c r="A123" t="n">
        <v>102</v>
      </c>
      <c r="B123" s="136" t="n">
        <v>28.1</v>
      </c>
      <c r="C123" s="136" t="n">
        <v>35.69</v>
      </c>
      <c r="D123" s="136" t="n">
        <v>41.74</v>
      </c>
      <c r="E123" s="136" t="n">
        <v>49.26</v>
      </c>
      <c r="F123" s="136" t="n">
        <v>60.13</v>
      </c>
    </row>
    <row r="124">
      <c r="A124" t="n">
        <v>103</v>
      </c>
      <c r="B124" s="136" t="n">
        <v>28.2</v>
      </c>
      <c r="C124" s="136" t="n">
        <v>35.68</v>
      </c>
      <c r="D124" s="136" t="n">
        <v>41.62</v>
      </c>
      <c r="E124" s="136" t="n">
        <v>49.32</v>
      </c>
      <c r="F124" s="136" t="n">
        <v>60.99</v>
      </c>
    </row>
    <row r="125">
      <c r="A125" t="n">
        <v>104</v>
      </c>
      <c r="B125" s="136" t="n">
        <v>27.99</v>
      </c>
      <c r="C125" s="136" t="n">
        <v>35.65</v>
      </c>
      <c r="D125" s="136" t="n">
        <v>41.9</v>
      </c>
      <c r="E125" s="136" t="n">
        <v>49.22</v>
      </c>
      <c r="F125" s="136" t="n">
        <v>61.15</v>
      </c>
    </row>
    <row r="126">
      <c r="A126" t="n">
        <v>105</v>
      </c>
      <c r="B126" s="136" t="n">
        <v>27.81</v>
      </c>
      <c r="C126" s="136" t="n">
        <v>35.6</v>
      </c>
      <c r="D126" s="136" t="n">
        <v>41.88</v>
      </c>
      <c r="E126" s="136" t="n">
        <v>49.31</v>
      </c>
      <c r="F126" s="136" t="n">
        <v>61.01</v>
      </c>
    </row>
    <row r="127">
      <c r="A127" t="n">
        <v>106</v>
      </c>
      <c r="B127" s="136" t="n">
        <v>27.94</v>
      </c>
      <c r="C127" s="136" t="n">
        <v>35.67</v>
      </c>
      <c r="D127" s="136" t="n">
        <v>41.93</v>
      </c>
      <c r="E127" s="136" t="n">
        <v>49.15</v>
      </c>
      <c r="F127" s="136" t="n">
        <v>60.85</v>
      </c>
    </row>
    <row r="128">
      <c r="A128" t="n">
        <v>107</v>
      </c>
      <c r="B128" s="136" t="n">
        <v>27.77</v>
      </c>
      <c r="C128" s="136" t="n">
        <v>35.78</v>
      </c>
      <c r="D128" s="136" t="n">
        <v>41.97</v>
      </c>
      <c r="E128" s="136" t="n">
        <v>48.98</v>
      </c>
      <c r="F128" s="136" t="n">
        <v>61.16</v>
      </c>
    </row>
    <row r="129">
      <c r="A129" t="n">
        <v>108</v>
      </c>
      <c r="B129" s="136" t="n">
        <v>27.7</v>
      </c>
      <c r="C129" s="136" t="n">
        <v>35.91</v>
      </c>
      <c r="D129" s="136" t="n">
        <v>42.06</v>
      </c>
      <c r="E129" s="136" t="n">
        <v>49.18</v>
      </c>
      <c r="F129" s="136" t="n">
        <v>60.56</v>
      </c>
    </row>
    <row r="130">
      <c r="A130" t="n">
        <v>109</v>
      </c>
      <c r="B130" s="136" t="n">
        <v>27.61</v>
      </c>
      <c r="C130" s="136" t="n">
        <v>35.99</v>
      </c>
      <c r="D130" s="136" t="n">
        <v>41.91</v>
      </c>
      <c r="E130" s="136" t="n">
        <v>49.13</v>
      </c>
      <c r="F130" s="136" t="n">
        <v>61.29</v>
      </c>
    </row>
    <row r="131">
      <c r="A131" t="n">
        <v>110</v>
      </c>
      <c r="B131" s="136" t="n">
        <v>27.53</v>
      </c>
      <c r="C131" s="136" t="n">
        <v>35.8</v>
      </c>
      <c r="D131" s="136" t="n">
        <v>41.9</v>
      </c>
      <c r="E131" s="136" t="n">
        <v>49.26</v>
      </c>
      <c r="F131" s="136" t="n">
        <v>61.69</v>
      </c>
    </row>
    <row r="132">
      <c r="A132" t="n">
        <v>111</v>
      </c>
      <c r="B132" s="136" t="n">
        <v>27.52</v>
      </c>
      <c r="C132" s="136" t="n">
        <v>35.77</v>
      </c>
      <c r="D132" s="136" t="n">
        <v>41.91</v>
      </c>
      <c r="E132" s="136" t="n">
        <v>49.24</v>
      </c>
      <c r="F132" s="136" t="n">
        <v>61.81</v>
      </c>
    </row>
    <row r="133">
      <c r="A133" t="n">
        <v>112</v>
      </c>
      <c r="B133" s="136" t="n">
        <v>27.54</v>
      </c>
      <c r="C133" s="136" t="n">
        <v>35.84</v>
      </c>
      <c r="D133" s="136" t="n">
        <v>41.93</v>
      </c>
      <c r="E133" s="136" t="n">
        <v>49.31</v>
      </c>
      <c r="F133" s="136" t="n">
        <v>61.07</v>
      </c>
    </row>
    <row r="134">
      <c r="A134" t="n">
        <v>113</v>
      </c>
      <c r="B134" s="136" t="n">
        <v>27.67</v>
      </c>
      <c r="C134" s="136" t="n">
        <v>35.69</v>
      </c>
      <c r="D134" s="136" t="n">
        <v>42.21</v>
      </c>
      <c r="E134" s="136" t="n">
        <v>49.28</v>
      </c>
      <c r="F134" s="136" t="n">
        <v>62.46</v>
      </c>
    </row>
    <row r="135">
      <c r="A135" t="n">
        <v>114</v>
      </c>
      <c r="B135" s="136" t="n">
        <v>27.42</v>
      </c>
      <c r="C135" s="136" t="n">
        <v>35.73</v>
      </c>
      <c r="D135" s="136" t="n">
        <v>41.99</v>
      </c>
      <c r="E135" s="136" t="n">
        <v>49.39</v>
      </c>
      <c r="F135" s="136" t="n">
        <v>62.58</v>
      </c>
    </row>
    <row r="136">
      <c r="A136" t="n">
        <v>115</v>
      </c>
      <c r="B136" s="136" t="n">
        <v>27.17</v>
      </c>
      <c r="C136" s="136" t="n">
        <v>35.66</v>
      </c>
      <c r="D136" s="136" t="n">
        <v>42.03</v>
      </c>
      <c r="E136" s="136" t="n">
        <v>49.36</v>
      </c>
      <c r="F136" s="136" t="n">
        <v>62.48</v>
      </c>
    </row>
    <row r="137">
      <c r="A137" t="n">
        <v>116</v>
      </c>
      <c r="B137" s="136" t="n">
        <v>27.29</v>
      </c>
      <c r="C137" s="136" t="n">
        <v>35.53</v>
      </c>
      <c r="D137" s="136" t="n">
        <v>42.18</v>
      </c>
      <c r="E137" s="136" t="n">
        <v>49.45</v>
      </c>
      <c r="F137" s="136" t="n">
        <v>62.92</v>
      </c>
    </row>
    <row r="138">
      <c r="A138" t="n">
        <v>117</v>
      </c>
      <c r="B138" s="136" t="n">
        <v>27.1</v>
      </c>
      <c r="C138" s="136" t="n">
        <v>35.67</v>
      </c>
      <c r="D138" s="136" t="n">
        <v>42.25</v>
      </c>
      <c r="E138" s="136" t="n">
        <v>50.02</v>
      </c>
      <c r="F138" s="136" t="n">
        <v>62.77</v>
      </c>
    </row>
    <row r="139">
      <c r="A139" t="n">
        <v>118</v>
      </c>
      <c r="B139" s="136" t="n">
        <v>26.84</v>
      </c>
      <c r="C139" s="136" t="n">
        <v>35.6</v>
      </c>
      <c r="D139" s="136" t="n">
        <v>42.06</v>
      </c>
      <c r="E139" s="136" t="n">
        <v>49.73</v>
      </c>
      <c r="F139" s="136" t="n">
        <v>62.41</v>
      </c>
    </row>
    <row r="140">
      <c r="A140" t="n">
        <v>119</v>
      </c>
      <c r="B140" s="136" t="n">
        <v>27.15</v>
      </c>
      <c r="C140" s="136" t="n">
        <v>35.47</v>
      </c>
      <c r="D140" s="136" t="n">
        <v>41.86</v>
      </c>
      <c r="E140" s="136" t="n">
        <v>49.91</v>
      </c>
      <c r="F140" s="136" t="n">
        <v>64.02</v>
      </c>
    </row>
    <row r="141">
      <c r="A141" t="n">
        <v>120</v>
      </c>
      <c r="B141" s="136" t="n">
        <v>26.9</v>
      </c>
      <c r="C141" s="136" t="n">
        <v>35.28</v>
      </c>
      <c r="D141" s="136" t="n">
        <v>41.96</v>
      </c>
      <c r="E141" s="136" t="n">
        <v>49.97</v>
      </c>
      <c r="F141" s="136" t="n">
        <v>63.26</v>
      </c>
    </row>
    <row r="142">
      <c r="A142" t="n">
        <v>121</v>
      </c>
      <c r="B142" s="136" t="n">
        <v>26.67</v>
      </c>
      <c r="C142" s="136" t="n">
        <v>35.14</v>
      </c>
      <c r="D142" s="136" t="n">
        <v>41.98</v>
      </c>
      <c r="E142" s="136" t="n">
        <v>50.09</v>
      </c>
      <c r="F142" s="136" t="n">
        <v>63.27</v>
      </c>
    </row>
    <row r="143">
      <c r="A143" t="n">
        <v>122</v>
      </c>
      <c r="B143" s="136" t="n">
        <v>26.78</v>
      </c>
      <c r="C143" s="136" t="n">
        <v>35.24</v>
      </c>
      <c r="D143" s="136" t="n">
        <v>42.04</v>
      </c>
      <c r="E143" s="136" t="n">
        <v>50.07</v>
      </c>
      <c r="F143" s="136" t="n">
        <v>63.15</v>
      </c>
    </row>
    <row r="144">
      <c r="A144" t="n">
        <v>123</v>
      </c>
      <c r="B144" s="136" t="n">
        <v>26.74</v>
      </c>
      <c r="C144" s="136" t="n">
        <v>35.23</v>
      </c>
      <c r="D144" s="136" t="n">
        <v>41.98</v>
      </c>
      <c r="E144" s="136" t="n">
        <v>50.02</v>
      </c>
      <c r="F144" s="136" t="n">
        <v>63.56</v>
      </c>
    </row>
    <row r="145">
      <c r="A145" t="n">
        <v>124</v>
      </c>
      <c r="B145" s="136" t="n">
        <v>26.62</v>
      </c>
      <c r="C145" s="136" t="n">
        <v>35.12</v>
      </c>
      <c r="D145" s="136" t="n">
        <v>42.01</v>
      </c>
      <c r="E145" s="136" t="n">
        <v>50.09</v>
      </c>
      <c r="F145" s="136" t="n">
        <v>63.68</v>
      </c>
    </row>
    <row r="146">
      <c r="A146" t="n">
        <v>125</v>
      </c>
      <c r="B146" s="136" t="n">
        <v>26.38</v>
      </c>
      <c r="C146" s="136" t="n">
        <v>35.26</v>
      </c>
      <c r="D146" s="136" t="n">
        <v>42.08</v>
      </c>
      <c r="E146" s="136" t="n">
        <v>50.24</v>
      </c>
      <c r="F146" s="136" t="n">
        <v>64.12</v>
      </c>
    </row>
    <row r="147">
      <c r="A147" t="n">
        <v>126</v>
      </c>
      <c r="B147" s="136" t="n">
        <v>26.73</v>
      </c>
      <c r="C147" s="136" t="n">
        <v>35.03</v>
      </c>
      <c r="D147" s="136" t="n">
        <v>42.21</v>
      </c>
      <c r="E147" s="136" t="n">
        <v>50.56</v>
      </c>
      <c r="F147" s="136" t="n">
        <v>64.33</v>
      </c>
    </row>
    <row r="148">
      <c r="A148" t="n">
        <v>127</v>
      </c>
      <c r="B148" s="136" t="n">
        <v>26.62</v>
      </c>
      <c r="C148" s="136" t="n">
        <v>34.99</v>
      </c>
      <c r="D148" s="136" t="n">
        <v>42.07</v>
      </c>
      <c r="E148" s="136" t="n">
        <v>50.76</v>
      </c>
      <c r="F148" s="136" t="n">
        <v>64.61</v>
      </c>
    </row>
    <row r="149">
      <c r="A149" t="n">
        <v>128</v>
      </c>
      <c r="B149" s="136" t="n">
        <v>26.63</v>
      </c>
      <c r="C149" s="136" t="n">
        <v>34.89</v>
      </c>
      <c r="D149" s="136" t="n">
        <v>41.82</v>
      </c>
      <c r="E149" s="136" t="n">
        <v>50.56</v>
      </c>
      <c r="F149" s="136" t="n">
        <v>64.15000000000001</v>
      </c>
    </row>
    <row r="150">
      <c r="A150" t="n">
        <v>129</v>
      </c>
      <c r="B150" s="136" t="n">
        <v>26.6</v>
      </c>
      <c r="C150" s="136" t="n">
        <v>34.79</v>
      </c>
      <c r="D150" s="136" t="n">
        <v>42</v>
      </c>
      <c r="E150" s="136" t="n">
        <v>50.6</v>
      </c>
      <c r="F150" s="136" t="n">
        <v>63.99</v>
      </c>
    </row>
    <row r="151">
      <c r="A151" t="n">
        <v>130</v>
      </c>
      <c r="B151" s="136" t="n">
        <v>26.55</v>
      </c>
      <c r="C151" s="136" t="n">
        <v>34.88</v>
      </c>
      <c r="D151" s="136" t="n">
        <v>42.01</v>
      </c>
      <c r="E151" s="136" t="n">
        <v>50.26</v>
      </c>
      <c r="F151" s="136" t="n">
        <v>64.13</v>
      </c>
    </row>
    <row r="152">
      <c r="A152" t="n">
        <v>131</v>
      </c>
      <c r="B152" s="136" t="n">
        <v>26.75</v>
      </c>
      <c r="C152" s="136" t="n">
        <v>34.71</v>
      </c>
      <c r="D152" s="136" t="n">
        <v>42.28</v>
      </c>
      <c r="E152" s="136" t="n">
        <v>50.4</v>
      </c>
      <c r="F152" s="136" t="n">
        <v>63.67</v>
      </c>
    </row>
    <row r="153">
      <c r="A153" t="n">
        <v>132</v>
      </c>
      <c r="B153" s="136" t="n">
        <v>26.99</v>
      </c>
      <c r="C153" s="136" t="n">
        <v>34.7</v>
      </c>
      <c r="D153" s="136" t="n">
        <v>42.03</v>
      </c>
      <c r="E153" s="136" t="n">
        <v>50.36</v>
      </c>
      <c r="F153" s="136" t="n">
        <v>64.65000000000001</v>
      </c>
    </row>
    <row r="154">
      <c r="A154" t="n">
        <v>133</v>
      </c>
      <c r="B154" s="136" t="n">
        <v>26.79</v>
      </c>
      <c r="C154" s="136" t="n">
        <v>34.76</v>
      </c>
      <c r="D154" s="136" t="n">
        <v>42.06</v>
      </c>
      <c r="E154" s="136" t="n">
        <v>50.26</v>
      </c>
      <c r="F154" s="136" t="n">
        <v>64.59</v>
      </c>
    </row>
    <row r="155">
      <c r="A155" t="n">
        <v>134</v>
      </c>
      <c r="B155" s="136" t="n">
        <v>26.48</v>
      </c>
      <c r="C155" s="136" t="n">
        <v>34.84</v>
      </c>
      <c r="D155" s="136" t="n">
        <v>42.1</v>
      </c>
      <c r="E155" s="136" t="n">
        <v>50.08</v>
      </c>
      <c r="F155" s="136" t="n">
        <v>65.26000000000001</v>
      </c>
    </row>
    <row r="156">
      <c r="A156" t="n">
        <v>135</v>
      </c>
      <c r="B156" s="136" t="n">
        <v>26.56</v>
      </c>
      <c r="C156" s="136" t="n">
        <v>34.85</v>
      </c>
      <c r="D156" s="136" t="n">
        <v>42.21</v>
      </c>
      <c r="E156" s="136" t="n">
        <v>50.27</v>
      </c>
      <c r="F156" s="136" t="n">
        <v>65.14</v>
      </c>
    </row>
    <row r="157">
      <c r="A157" t="n">
        <v>136</v>
      </c>
      <c r="B157" s="136" t="n">
        <v>26.44</v>
      </c>
      <c r="C157" s="136" t="n">
        <v>34.91</v>
      </c>
      <c r="D157" s="136" t="n">
        <v>42.29</v>
      </c>
      <c r="E157" s="136" t="n">
        <v>50.44</v>
      </c>
      <c r="F157" s="136" t="n">
        <v>65.25</v>
      </c>
    </row>
    <row r="158">
      <c r="A158" t="n">
        <v>137</v>
      </c>
      <c r="B158" s="136" t="n">
        <v>26.2</v>
      </c>
      <c r="C158" s="136" t="n">
        <v>34.87</v>
      </c>
      <c r="D158" s="136" t="n">
        <v>42.23</v>
      </c>
      <c r="E158" s="136" t="n">
        <v>50.49</v>
      </c>
      <c r="F158" s="136" t="n">
        <v>65.77</v>
      </c>
    </row>
    <row r="159">
      <c r="A159" t="n">
        <v>138</v>
      </c>
      <c r="B159" s="136" t="n">
        <v>26.38</v>
      </c>
      <c r="C159" s="136" t="n">
        <v>35</v>
      </c>
      <c r="D159" s="136" t="n">
        <v>42.15</v>
      </c>
      <c r="E159" s="136" t="n">
        <v>50.44</v>
      </c>
      <c r="F159" s="136" t="n">
        <v>66.02</v>
      </c>
    </row>
    <row r="160">
      <c r="A160" t="n">
        <v>139</v>
      </c>
      <c r="B160" s="136" t="n">
        <v>26.4</v>
      </c>
      <c r="C160" s="136" t="n">
        <v>34.7</v>
      </c>
      <c r="D160" s="136" t="n">
        <v>42.22</v>
      </c>
      <c r="E160" s="136" t="n">
        <v>50.43</v>
      </c>
      <c r="F160" s="136" t="n">
        <v>66.58</v>
      </c>
    </row>
    <row r="161">
      <c r="A161" t="n">
        <v>140</v>
      </c>
      <c r="B161" s="136" t="n">
        <v>26.49</v>
      </c>
      <c r="C161" s="136" t="n">
        <v>34.79</v>
      </c>
      <c r="D161" s="136" t="n">
        <v>42.32</v>
      </c>
      <c r="E161" s="136" t="n">
        <v>50.29</v>
      </c>
      <c r="F161" s="136" t="n">
        <v>66.55</v>
      </c>
    </row>
    <row r="162">
      <c r="A162" t="n">
        <v>141</v>
      </c>
      <c r="B162" s="136" t="n">
        <v>26.24</v>
      </c>
      <c r="C162" s="136" t="n">
        <v>34.63</v>
      </c>
      <c r="D162" s="136" t="n">
        <v>42.09</v>
      </c>
      <c r="E162" s="136" t="n">
        <v>50.25</v>
      </c>
      <c r="F162" s="136" t="n">
        <v>66.34999999999999</v>
      </c>
    </row>
    <row r="163">
      <c r="A163" t="n">
        <v>142</v>
      </c>
      <c r="B163" s="136" t="n">
        <v>26.22</v>
      </c>
      <c r="C163" s="136" t="n">
        <v>34.79</v>
      </c>
      <c r="D163" s="136" t="n">
        <v>42.21</v>
      </c>
      <c r="E163" s="136" t="n">
        <v>50.32</v>
      </c>
      <c r="F163" s="136" t="n">
        <v>66.20999999999999</v>
      </c>
    </row>
    <row r="164">
      <c r="A164" t="n">
        <v>143</v>
      </c>
      <c r="B164" s="136" t="n">
        <v>26.41</v>
      </c>
      <c r="C164" s="136" t="n">
        <v>34.71</v>
      </c>
      <c r="D164" s="136" t="n">
        <v>42.39</v>
      </c>
      <c r="E164" s="136" t="n">
        <v>50.32</v>
      </c>
      <c r="F164" s="136" t="n">
        <v>66.61</v>
      </c>
    </row>
    <row r="165">
      <c r="A165" t="n">
        <v>144</v>
      </c>
      <c r="B165" s="136" t="n">
        <v>26.4</v>
      </c>
      <c r="C165" s="136" t="n">
        <v>34.57</v>
      </c>
      <c r="D165" s="136" t="n">
        <v>42.31</v>
      </c>
      <c r="E165" s="136" t="n">
        <v>50.4</v>
      </c>
      <c r="F165" s="136" t="n">
        <v>66.34999999999999</v>
      </c>
    </row>
    <row r="166">
      <c r="A166" t="n">
        <v>145</v>
      </c>
      <c r="B166" s="136" t="n">
        <v>26.25</v>
      </c>
      <c r="C166" s="136" t="n">
        <v>34.54</v>
      </c>
      <c r="D166" s="136" t="n">
        <v>42.26</v>
      </c>
      <c r="E166" s="136" t="n">
        <v>50.42</v>
      </c>
      <c r="F166" s="136" t="n">
        <v>65.92</v>
      </c>
    </row>
    <row r="167">
      <c r="A167" t="n">
        <v>146</v>
      </c>
      <c r="B167" s="136" t="n">
        <v>26.44</v>
      </c>
      <c r="C167" s="136" t="n">
        <v>34.64</v>
      </c>
      <c r="D167" s="136" t="n">
        <v>42.18</v>
      </c>
      <c r="E167" s="136" t="n">
        <v>50.65</v>
      </c>
      <c r="F167" s="136" t="n">
        <v>66.72</v>
      </c>
    </row>
    <row r="168">
      <c r="A168" t="n">
        <v>147</v>
      </c>
      <c r="B168" s="136" t="n">
        <v>26.38</v>
      </c>
      <c r="C168" s="136" t="n">
        <v>34.46</v>
      </c>
      <c r="D168" s="136" t="n">
        <v>42.14</v>
      </c>
      <c r="E168" s="136" t="n">
        <v>50.61</v>
      </c>
      <c r="F168" s="136" t="n">
        <v>67.51000000000001</v>
      </c>
    </row>
    <row r="169">
      <c r="A169" t="n">
        <v>148</v>
      </c>
      <c r="B169" s="136" t="n">
        <v>26.26</v>
      </c>
      <c r="C169" s="136" t="n">
        <v>34.7</v>
      </c>
      <c r="D169" s="136" t="n">
        <v>42</v>
      </c>
      <c r="E169" s="136" t="n">
        <v>50.55</v>
      </c>
      <c r="F169" s="136" t="n">
        <v>66.95</v>
      </c>
    </row>
    <row r="170">
      <c r="A170" t="n">
        <v>149</v>
      </c>
      <c r="B170" s="136" t="n">
        <v>26.36</v>
      </c>
      <c r="C170" s="136" t="n">
        <v>34.55</v>
      </c>
      <c r="D170" s="136" t="n">
        <v>42.01</v>
      </c>
      <c r="E170" s="136" t="n">
        <v>50.51</v>
      </c>
      <c r="F170" s="136" t="n">
        <v>67.36</v>
      </c>
    </row>
    <row r="171">
      <c r="A171" t="n">
        <v>150</v>
      </c>
      <c r="B171" s="136" t="n">
        <v>26.29</v>
      </c>
      <c r="C171" s="136" t="n">
        <v>34.37</v>
      </c>
      <c r="D171" s="136" t="n">
        <v>42.07</v>
      </c>
      <c r="E171" s="136" t="n">
        <v>50.33</v>
      </c>
      <c r="F171" s="136" t="n">
        <v>67.34</v>
      </c>
    </row>
    <row r="172">
      <c r="A172" t="n">
        <v>151</v>
      </c>
      <c r="B172" s="136" t="n">
        <v>26.4</v>
      </c>
      <c r="C172" s="136" t="n">
        <v>34.4</v>
      </c>
      <c r="D172" s="136" t="n">
        <v>42.17</v>
      </c>
      <c r="E172" s="136" t="n">
        <v>50.54</v>
      </c>
      <c r="F172" s="136" t="n">
        <v>67.44</v>
      </c>
    </row>
    <row r="173">
      <c r="A173" t="n">
        <v>152</v>
      </c>
      <c r="B173" s="136" t="n">
        <v>26.33</v>
      </c>
      <c r="C173" s="136" t="n">
        <v>34.25</v>
      </c>
      <c r="D173" s="136" t="n">
        <v>42.11</v>
      </c>
      <c r="E173" s="136" t="n">
        <v>50.54</v>
      </c>
      <c r="F173" s="136" t="n">
        <v>66.95</v>
      </c>
    </row>
    <row r="174">
      <c r="A174" t="n">
        <v>153</v>
      </c>
      <c r="B174" s="136" t="n">
        <v>26.22</v>
      </c>
      <c r="C174" s="136" t="n">
        <v>34.62</v>
      </c>
      <c r="D174" s="136" t="n">
        <v>42.23</v>
      </c>
      <c r="E174" s="136" t="n">
        <v>50.84</v>
      </c>
      <c r="F174" s="136" t="n">
        <v>67.31</v>
      </c>
    </row>
    <row r="175">
      <c r="A175" t="n">
        <v>154</v>
      </c>
      <c r="B175" s="136" t="n">
        <v>25.92</v>
      </c>
      <c r="C175" s="136" t="n">
        <v>34.59</v>
      </c>
      <c r="D175" s="136" t="n">
        <v>42.12</v>
      </c>
      <c r="E175" s="136" t="n">
        <v>51.31</v>
      </c>
      <c r="F175" s="136" t="n">
        <v>66.83</v>
      </c>
    </row>
    <row r="176">
      <c r="A176" t="n">
        <v>155</v>
      </c>
      <c r="B176" s="136" t="n">
        <v>25.89</v>
      </c>
      <c r="C176" s="136" t="n">
        <v>34.5</v>
      </c>
      <c r="D176" s="136" t="n">
        <v>41.9</v>
      </c>
      <c r="E176" s="136" t="n">
        <v>50.85</v>
      </c>
      <c r="F176" s="136" t="n">
        <v>67.56</v>
      </c>
    </row>
    <row r="177">
      <c r="A177" t="n">
        <v>156</v>
      </c>
      <c r="B177" s="136" t="n">
        <v>26.08</v>
      </c>
      <c r="C177" s="136" t="n">
        <v>34.31</v>
      </c>
      <c r="D177" s="136" t="n">
        <v>42.02</v>
      </c>
      <c r="E177" s="136" t="n">
        <v>51.2</v>
      </c>
      <c r="F177" s="136" t="n">
        <v>67.61</v>
      </c>
    </row>
    <row r="178">
      <c r="A178" t="n">
        <v>157</v>
      </c>
      <c r="B178" s="136" t="n">
        <v>26.08</v>
      </c>
      <c r="C178" s="136" t="n">
        <v>34.23</v>
      </c>
      <c r="D178" s="136" t="n">
        <v>41.64</v>
      </c>
      <c r="E178" s="136" t="n">
        <v>51.79</v>
      </c>
      <c r="F178" s="136" t="n">
        <v>67.45999999999999</v>
      </c>
    </row>
    <row r="179">
      <c r="A179" t="n">
        <v>158</v>
      </c>
      <c r="B179" s="136" t="n">
        <v>26.12</v>
      </c>
      <c r="C179" s="136" t="n">
        <v>34.21</v>
      </c>
      <c r="D179" s="136" t="n">
        <v>41.88</v>
      </c>
      <c r="E179" s="136" t="n">
        <v>51.65</v>
      </c>
      <c r="F179" s="136" t="n">
        <v>67.26000000000001</v>
      </c>
    </row>
    <row r="180">
      <c r="A180" t="n">
        <v>159</v>
      </c>
      <c r="B180" s="136" t="n">
        <v>26.24</v>
      </c>
      <c r="C180" s="136" t="n">
        <v>34.29</v>
      </c>
      <c r="D180" s="136" t="n">
        <v>42.01</v>
      </c>
      <c r="E180" s="136" t="n">
        <v>51.8</v>
      </c>
      <c r="F180" s="136" t="n">
        <v>67.29000000000001</v>
      </c>
    </row>
    <row r="181">
      <c r="A181" t="n">
        <v>160</v>
      </c>
      <c r="B181" s="136" t="n">
        <v>26.17</v>
      </c>
      <c r="C181" s="136" t="n">
        <v>34.28</v>
      </c>
      <c r="D181" s="136" t="n">
        <v>41.94</v>
      </c>
      <c r="E181" s="136" t="n">
        <v>51.79</v>
      </c>
      <c r="F181" s="136" t="n">
        <v>68.09</v>
      </c>
    </row>
    <row r="182">
      <c r="A182" t="n">
        <v>161</v>
      </c>
      <c r="B182" s="136" t="n">
        <v>26.08</v>
      </c>
      <c r="C182" s="136" t="n">
        <v>34.21</v>
      </c>
      <c r="D182" s="136" t="n">
        <v>41.85</v>
      </c>
      <c r="E182" s="136" t="n">
        <v>51.98</v>
      </c>
      <c r="F182" s="136" t="n">
        <v>67.97</v>
      </c>
    </row>
    <row r="183">
      <c r="A183" t="n">
        <v>162</v>
      </c>
      <c r="B183" s="136" t="n">
        <v>26.11</v>
      </c>
      <c r="C183" s="136" t="n">
        <v>34.03</v>
      </c>
      <c r="D183" s="136" t="n">
        <v>42</v>
      </c>
      <c r="E183" s="136" t="n">
        <v>51.74</v>
      </c>
      <c r="F183" s="136" t="n">
        <v>68.05</v>
      </c>
    </row>
    <row r="184">
      <c r="A184" t="n">
        <v>163</v>
      </c>
      <c r="B184" s="136" t="n">
        <v>25.98</v>
      </c>
      <c r="C184" s="136" t="n">
        <v>34.07</v>
      </c>
      <c r="D184" s="136" t="n">
        <v>41.99</v>
      </c>
      <c r="E184" s="136" t="n">
        <v>51.77</v>
      </c>
      <c r="F184" s="136" t="n">
        <v>68.16</v>
      </c>
    </row>
    <row r="185">
      <c r="A185" t="n">
        <v>164</v>
      </c>
      <c r="B185" s="136" t="n">
        <v>26.01</v>
      </c>
      <c r="C185" s="136" t="n">
        <v>34.27</v>
      </c>
      <c r="D185" s="136" t="n">
        <v>41.74</v>
      </c>
      <c r="E185" s="136" t="n">
        <v>52.08</v>
      </c>
      <c r="F185" s="136" t="n">
        <v>67.98</v>
      </c>
    </row>
    <row r="186">
      <c r="A186" t="n">
        <v>165</v>
      </c>
      <c r="B186" s="136" t="n">
        <v>25.93</v>
      </c>
      <c r="C186" s="136" t="n">
        <v>34.23</v>
      </c>
      <c r="D186" s="136" t="n">
        <v>41.87</v>
      </c>
      <c r="E186" s="136" t="n">
        <v>52.11</v>
      </c>
      <c r="F186" s="136" t="n">
        <v>69.37</v>
      </c>
    </row>
    <row r="187">
      <c r="A187" t="n">
        <v>166</v>
      </c>
      <c r="B187" s="136" t="n">
        <v>25.73</v>
      </c>
      <c r="C187" s="136" t="n">
        <v>34.48</v>
      </c>
      <c r="D187" s="136" t="n">
        <v>41.85</v>
      </c>
      <c r="E187" s="136" t="n">
        <v>52.08</v>
      </c>
      <c r="F187" s="136" t="n">
        <v>68.45999999999999</v>
      </c>
    </row>
    <row r="188">
      <c r="A188" t="n">
        <v>167</v>
      </c>
      <c r="B188" s="136" t="n">
        <v>25.76</v>
      </c>
      <c r="C188" s="136" t="n">
        <v>34.31</v>
      </c>
      <c r="D188" s="136" t="n">
        <v>41.97</v>
      </c>
      <c r="E188" s="136" t="n">
        <v>52.03</v>
      </c>
      <c r="F188" s="136" t="n">
        <v>68.58</v>
      </c>
    </row>
    <row r="189">
      <c r="A189" t="n">
        <v>168</v>
      </c>
      <c r="B189" s="136" t="n">
        <v>25.58</v>
      </c>
      <c r="C189" s="136" t="n">
        <v>34.29</v>
      </c>
      <c r="D189" s="136" t="n">
        <v>42.02</v>
      </c>
      <c r="E189" s="136" t="n">
        <v>52.04</v>
      </c>
      <c r="F189" s="136" t="n">
        <v>68.55</v>
      </c>
    </row>
    <row r="190">
      <c r="A190" t="n">
        <v>169</v>
      </c>
      <c r="B190" s="136" t="n">
        <v>25.53</v>
      </c>
      <c r="C190" s="136" t="n">
        <v>34.21</v>
      </c>
      <c r="D190" s="136" t="n">
        <v>42.13</v>
      </c>
      <c r="E190" s="136" t="n">
        <v>52.04</v>
      </c>
      <c r="F190" s="136" t="n">
        <v>69.08</v>
      </c>
    </row>
    <row r="191">
      <c r="A191" t="n">
        <v>170</v>
      </c>
      <c r="B191" s="136" t="n">
        <v>25.46</v>
      </c>
      <c r="C191" s="136" t="n">
        <v>34.24</v>
      </c>
      <c r="D191" s="136" t="n">
        <v>41.99</v>
      </c>
      <c r="E191" s="136" t="n">
        <v>52.11</v>
      </c>
      <c r="F191" s="136" t="n">
        <v>68.48</v>
      </c>
    </row>
    <row r="192">
      <c r="A192" t="n">
        <v>171</v>
      </c>
      <c r="B192" s="136" t="n">
        <v>25.37</v>
      </c>
      <c r="C192" s="136" t="n">
        <v>34.38</v>
      </c>
      <c r="D192" s="136" t="n">
        <v>42</v>
      </c>
      <c r="E192" s="136" t="n">
        <v>52.45</v>
      </c>
      <c r="F192" s="136" t="n">
        <v>68.33</v>
      </c>
    </row>
    <row r="193">
      <c r="A193" t="n">
        <v>172</v>
      </c>
      <c r="B193" s="136" t="n">
        <v>25.56</v>
      </c>
      <c r="C193" s="136" t="n">
        <v>34.6</v>
      </c>
      <c r="D193" s="136" t="n">
        <v>42.14</v>
      </c>
      <c r="E193" s="136" t="n">
        <v>52.53</v>
      </c>
      <c r="F193" s="136" t="n">
        <v>68.09</v>
      </c>
    </row>
    <row r="194">
      <c r="A194" t="n">
        <v>173</v>
      </c>
      <c r="B194" s="136" t="n">
        <v>25.51</v>
      </c>
      <c r="C194" s="136" t="n">
        <v>34.55</v>
      </c>
      <c r="D194" s="136" t="n">
        <v>42.04</v>
      </c>
      <c r="E194" s="136" t="n">
        <v>52.73</v>
      </c>
      <c r="F194" s="136" t="n">
        <v>68.37</v>
      </c>
    </row>
    <row r="195">
      <c r="A195" t="n">
        <v>174</v>
      </c>
      <c r="B195" s="136" t="n">
        <v>25.65</v>
      </c>
      <c r="C195" s="136" t="n">
        <v>34.41</v>
      </c>
      <c r="D195" s="136" t="n">
        <v>42</v>
      </c>
      <c r="E195" s="136" t="n">
        <v>52.71</v>
      </c>
      <c r="F195" s="136" t="n">
        <v>68.47</v>
      </c>
    </row>
    <row r="196">
      <c r="A196" t="n">
        <v>175</v>
      </c>
      <c r="B196" s="136" t="n">
        <v>25.59</v>
      </c>
      <c r="C196" s="136" t="n">
        <v>34.49</v>
      </c>
      <c r="D196" s="136" t="n">
        <v>42.07</v>
      </c>
      <c r="E196" s="136" t="n">
        <v>52.97</v>
      </c>
      <c r="F196" s="136" t="n">
        <v>70.13</v>
      </c>
    </row>
    <row r="197">
      <c r="A197" t="n">
        <v>176</v>
      </c>
      <c r="B197" s="136" t="n">
        <v>25.72</v>
      </c>
      <c r="C197" s="136" t="n">
        <v>34.56</v>
      </c>
      <c r="D197" s="136" t="n">
        <v>42.22</v>
      </c>
      <c r="E197" s="136" t="n">
        <v>53.01</v>
      </c>
      <c r="F197" s="136" t="n">
        <v>69.09</v>
      </c>
    </row>
    <row r="198">
      <c r="A198" t="n">
        <v>177</v>
      </c>
      <c r="B198" s="136" t="n">
        <v>26.05</v>
      </c>
      <c r="C198" s="136" t="n">
        <v>34.48</v>
      </c>
      <c r="D198" s="136" t="n">
        <v>42.27</v>
      </c>
      <c r="E198" s="136" t="n">
        <v>52.63</v>
      </c>
      <c r="F198" s="136" t="n">
        <v>70.06</v>
      </c>
    </row>
    <row r="199">
      <c r="A199" t="n">
        <v>178</v>
      </c>
      <c r="B199" s="136" t="n">
        <v>25.77</v>
      </c>
      <c r="C199" s="136" t="n">
        <v>34.39</v>
      </c>
      <c r="D199" s="136" t="n">
        <v>42.21</v>
      </c>
      <c r="E199" s="136" t="n">
        <v>52.86</v>
      </c>
      <c r="F199" s="136" t="n">
        <v>69.40000000000001</v>
      </c>
    </row>
    <row r="200">
      <c r="A200" t="n">
        <v>179</v>
      </c>
      <c r="B200" s="136" t="n">
        <v>25.85</v>
      </c>
      <c r="C200" s="136" t="n">
        <v>34.26</v>
      </c>
      <c r="D200" s="136" t="n">
        <v>42.34</v>
      </c>
      <c r="E200" s="136" t="n">
        <v>52.72</v>
      </c>
      <c r="F200" s="136" t="n">
        <v>70.51000000000001</v>
      </c>
    </row>
    <row r="201">
      <c r="A201" t="n">
        <v>180</v>
      </c>
      <c r="B201" s="136" t="n">
        <v>25.79</v>
      </c>
      <c r="C201" s="136" t="n">
        <v>34.33</v>
      </c>
      <c r="D201" s="136" t="n">
        <v>42.22</v>
      </c>
      <c r="E201" s="136" t="n">
        <v>52.75</v>
      </c>
      <c r="F201" s="136" t="n">
        <v>69.77</v>
      </c>
    </row>
    <row r="202">
      <c r="A202" t="n">
        <v>181</v>
      </c>
      <c r="B202" s="136" t="n">
        <v>25.87</v>
      </c>
      <c r="C202" s="136" t="n">
        <v>34.34</v>
      </c>
      <c r="D202" s="136" t="n">
        <v>42.39</v>
      </c>
      <c r="E202" s="136" t="n">
        <v>53.01</v>
      </c>
      <c r="F202" s="136" t="n">
        <v>70.2</v>
      </c>
    </row>
    <row r="203">
      <c r="A203" t="n">
        <v>182</v>
      </c>
      <c r="B203" s="136" t="n">
        <v>25.66</v>
      </c>
      <c r="C203" s="136" t="n">
        <v>34.28</v>
      </c>
      <c r="D203" s="136" t="n">
        <v>42.75</v>
      </c>
      <c r="E203" s="136" t="n">
        <v>52.83</v>
      </c>
      <c r="F203" s="136" t="n">
        <v>70.36</v>
      </c>
    </row>
    <row r="204">
      <c r="A204" t="n">
        <v>183</v>
      </c>
      <c r="B204" s="136" t="n">
        <v>25.67</v>
      </c>
      <c r="C204" s="136" t="n">
        <v>34.32</v>
      </c>
      <c r="D204" s="136" t="n">
        <v>42.79</v>
      </c>
      <c r="E204" s="136" t="n">
        <v>52.7</v>
      </c>
      <c r="F204" s="136" t="n">
        <v>70.43000000000001</v>
      </c>
    </row>
    <row r="205">
      <c r="A205" t="n">
        <v>184</v>
      </c>
      <c r="B205" s="136" t="n">
        <v>25.86</v>
      </c>
      <c r="C205" s="136" t="n">
        <v>34.23</v>
      </c>
      <c r="D205" s="136" t="n">
        <v>42.79</v>
      </c>
      <c r="E205" s="136" t="n">
        <v>52.69</v>
      </c>
      <c r="F205" s="136" t="n">
        <v>70.26000000000001</v>
      </c>
    </row>
    <row r="206">
      <c r="A206" t="n">
        <v>185</v>
      </c>
      <c r="B206" s="136" t="n">
        <v>25.9</v>
      </c>
      <c r="C206" s="136" t="n">
        <v>34.35</v>
      </c>
      <c r="D206" s="136" t="n">
        <v>42.85</v>
      </c>
      <c r="E206" s="136" t="n">
        <v>52.88</v>
      </c>
      <c r="F206" s="136" t="n">
        <v>70.27</v>
      </c>
    </row>
    <row r="207">
      <c r="A207" t="n">
        <v>186</v>
      </c>
      <c r="B207" s="136" t="n">
        <v>25.84</v>
      </c>
      <c r="C207" s="136" t="n">
        <v>34.08</v>
      </c>
      <c r="D207" s="136" t="n">
        <v>42.98</v>
      </c>
      <c r="E207" s="136" t="n">
        <v>53.02</v>
      </c>
      <c r="F207" s="136" t="n">
        <v>70.25</v>
      </c>
    </row>
    <row r="208">
      <c r="A208" t="n">
        <v>187</v>
      </c>
      <c r="B208" s="136" t="n">
        <v>25.49</v>
      </c>
      <c r="C208" s="136" t="n">
        <v>34.23</v>
      </c>
      <c r="D208" s="136" t="n">
        <v>43.16</v>
      </c>
      <c r="E208" s="136" t="n">
        <v>52.79</v>
      </c>
      <c r="F208" s="136" t="n">
        <v>70.97</v>
      </c>
    </row>
    <row r="209">
      <c r="A209" t="n">
        <v>188</v>
      </c>
      <c r="B209" s="136" t="n">
        <v>25.33</v>
      </c>
      <c r="C209" s="136" t="n">
        <v>34.24</v>
      </c>
      <c r="D209" s="136" t="n">
        <v>42.84</v>
      </c>
      <c r="E209" s="136" t="n">
        <v>52.8</v>
      </c>
      <c r="F209" s="136" t="n">
        <v>71.54000000000001</v>
      </c>
    </row>
    <row r="210">
      <c r="A210" t="n">
        <v>189</v>
      </c>
      <c r="B210" s="136" t="n">
        <v>25.24</v>
      </c>
      <c r="C210" s="136" t="n">
        <v>34.37</v>
      </c>
      <c r="D210" s="136" t="n">
        <v>42.77</v>
      </c>
      <c r="E210" s="136" t="n">
        <v>53.2</v>
      </c>
      <c r="F210" s="136" t="n">
        <v>71.01000000000001</v>
      </c>
    </row>
    <row r="211">
      <c r="A211" t="n">
        <v>190</v>
      </c>
      <c r="B211" s="136" t="n">
        <v>25.57</v>
      </c>
      <c r="C211" s="136" t="n">
        <v>34.34</v>
      </c>
      <c r="D211" s="136" t="n">
        <v>42.23</v>
      </c>
      <c r="E211" s="136" t="n">
        <v>52.73</v>
      </c>
      <c r="F211" s="136" t="n">
        <v>71.52</v>
      </c>
    </row>
    <row r="212">
      <c r="A212" t="n">
        <v>191</v>
      </c>
      <c r="B212" s="136" t="n">
        <v>25.3</v>
      </c>
      <c r="C212" s="136" t="n">
        <v>34.42</v>
      </c>
      <c r="D212" s="136" t="n">
        <v>42.38</v>
      </c>
      <c r="E212" s="136" t="n">
        <v>52.62</v>
      </c>
      <c r="F212" s="136" t="n">
        <v>72.34</v>
      </c>
    </row>
    <row r="213">
      <c r="A213" t="n">
        <v>192</v>
      </c>
      <c r="B213" s="136" t="n">
        <v>25.33</v>
      </c>
      <c r="C213" s="136" t="n">
        <v>34.38</v>
      </c>
      <c r="D213" s="136" t="n">
        <v>42.14</v>
      </c>
      <c r="E213" s="136" t="n">
        <v>52.3</v>
      </c>
      <c r="F213" s="136" t="n">
        <v>72.12</v>
      </c>
    </row>
    <row r="214">
      <c r="A214" t="n">
        <v>193</v>
      </c>
      <c r="B214" s="136" t="n">
        <v>25.51</v>
      </c>
      <c r="C214" s="136" t="n">
        <v>34.26</v>
      </c>
      <c r="D214" s="136" t="n">
        <v>42.43</v>
      </c>
      <c r="E214" s="136" t="n">
        <v>52.73</v>
      </c>
      <c r="F214" s="136" t="n">
        <v>72.48</v>
      </c>
    </row>
    <row r="215">
      <c r="A215" t="n">
        <v>194</v>
      </c>
      <c r="B215" s="136" t="n">
        <v>25.52</v>
      </c>
      <c r="C215" s="136" t="n">
        <v>34.09</v>
      </c>
      <c r="D215" s="136" t="n">
        <v>42.36</v>
      </c>
      <c r="E215" s="136" t="n">
        <v>52.53</v>
      </c>
      <c r="F215" s="136" t="n">
        <v>72.41</v>
      </c>
    </row>
    <row r="216">
      <c r="A216" t="n">
        <v>195</v>
      </c>
      <c r="B216" s="136" t="n">
        <v>25.39</v>
      </c>
      <c r="C216" s="136" t="n">
        <v>34.11</v>
      </c>
      <c r="D216" s="136" t="n">
        <v>42.33</v>
      </c>
      <c r="E216" s="136" t="n">
        <v>52.4</v>
      </c>
      <c r="F216" s="136" t="n">
        <v>72.75</v>
      </c>
    </row>
    <row r="217">
      <c r="A217" t="n">
        <v>196</v>
      </c>
      <c r="B217" s="136" t="n">
        <v>25.29</v>
      </c>
      <c r="C217" s="136" t="n">
        <v>33.93</v>
      </c>
      <c r="D217" s="136" t="n">
        <v>42.57</v>
      </c>
      <c r="E217" s="136" t="n">
        <v>52.81</v>
      </c>
      <c r="F217" s="136" t="n">
        <v>73.12</v>
      </c>
    </row>
    <row r="218">
      <c r="A218" t="n">
        <v>197</v>
      </c>
      <c r="B218" s="136" t="n">
        <v>25.48</v>
      </c>
      <c r="C218" s="136" t="n">
        <v>34.03</v>
      </c>
      <c r="D218" s="136" t="n">
        <v>42.38</v>
      </c>
      <c r="E218" s="136" t="n">
        <v>52.76</v>
      </c>
      <c r="F218" s="136" t="n">
        <v>73.66</v>
      </c>
    </row>
    <row r="219">
      <c r="A219" t="n">
        <v>198</v>
      </c>
      <c r="B219" s="136" t="n">
        <v>25.25</v>
      </c>
      <c r="C219" s="136" t="n">
        <v>34.26</v>
      </c>
      <c r="D219" s="136" t="n">
        <v>42.51</v>
      </c>
      <c r="E219" s="136" t="n">
        <v>52.81</v>
      </c>
      <c r="F219" s="136" t="n">
        <v>73.47</v>
      </c>
    </row>
    <row r="220">
      <c r="A220" t="n">
        <v>199</v>
      </c>
      <c r="B220" s="136" t="n">
        <v>25.49</v>
      </c>
      <c r="C220" s="136" t="n">
        <v>33.95</v>
      </c>
      <c r="D220" s="136" t="n">
        <v>42.49</v>
      </c>
      <c r="E220" s="136" t="n">
        <v>52.99</v>
      </c>
      <c r="F220" s="136" t="n">
        <v>73.3</v>
      </c>
    </row>
    <row r="221">
      <c r="A221" t="n">
        <v>200</v>
      </c>
      <c r="B221" s="136" t="n">
        <v>25.23</v>
      </c>
      <c r="C221" s="136" t="n">
        <v>33.91</v>
      </c>
      <c r="D221" s="136" t="n">
        <v>42.52</v>
      </c>
      <c r="E221" s="136" t="n">
        <v>52.84</v>
      </c>
      <c r="F221" s="136" t="n">
        <v>74.28</v>
      </c>
    </row>
    <row r="222">
      <c r="A222" t="n">
        <v>201</v>
      </c>
      <c r="B222" s="136" t="n">
        <v>25.33</v>
      </c>
      <c r="C222" s="136" t="n">
        <v>33.84</v>
      </c>
      <c r="D222" s="136" t="n">
        <v>42.44</v>
      </c>
      <c r="E222" s="136" t="n">
        <v>52.62</v>
      </c>
      <c r="F222" s="136" t="n">
        <v>73.86</v>
      </c>
    </row>
    <row r="223">
      <c r="A223" t="n">
        <v>202</v>
      </c>
      <c r="B223" s="136" t="n">
        <v>25.25</v>
      </c>
      <c r="C223" s="136" t="n">
        <v>33.74</v>
      </c>
      <c r="D223" s="136" t="n">
        <v>42.51</v>
      </c>
      <c r="E223" s="136" t="n">
        <v>52.64</v>
      </c>
      <c r="F223" s="136" t="n">
        <v>73.47</v>
      </c>
    </row>
    <row r="224">
      <c r="A224" t="n">
        <v>203</v>
      </c>
      <c r="B224" s="136" t="n">
        <v>25.26</v>
      </c>
      <c r="C224" s="136" t="n">
        <v>33.81</v>
      </c>
      <c r="D224" s="136" t="n">
        <v>42.43</v>
      </c>
      <c r="E224" s="136" t="n">
        <v>52.97</v>
      </c>
      <c r="F224" s="136" t="n">
        <v>72.84999999999999</v>
      </c>
    </row>
    <row r="225">
      <c r="A225" t="n">
        <v>204</v>
      </c>
      <c r="B225" s="136" t="n">
        <v>25.45</v>
      </c>
      <c r="C225" s="136" t="n">
        <v>33.86</v>
      </c>
      <c r="D225" s="136" t="n">
        <v>42.49</v>
      </c>
      <c r="E225" s="136" t="n">
        <v>52.61</v>
      </c>
      <c r="F225" s="136" t="n">
        <v>72.95999999999999</v>
      </c>
    </row>
    <row r="226">
      <c r="A226" t="n">
        <v>205</v>
      </c>
      <c r="B226" s="136" t="n">
        <v>25.48</v>
      </c>
      <c r="C226" s="136" t="n">
        <v>33.86</v>
      </c>
      <c r="D226" s="136" t="n">
        <v>42.59</v>
      </c>
      <c r="E226" s="136" t="n">
        <v>52.71</v>
      </c>
      <c r="F226" s="136" t="n">
        <v>73.34</v>
      </c>
    </row>
    <row r="227">
      <c r="A227" t="n">
        <v>206</v>
      </c>
      <c r="B227" s="136" t="n">
        <v>25.38</v>
      </c>
      <c r="C227" s="136" t="n">
        <v>33.98</v>
      </c>
      <c r="D227" s="136" t="n">
        <v>42.56</v>
      </c>
      <c r="E227" s="136" t="n">
        <v>52.62</v>
      </c>
      <c r="F227" s="136" t="n">
        <v>74.27</v>
      </c>
    </row>
    <row r="228">
      <c r="A228" t="n">
        <v>207</v>
      </c>
      <c r="B228" s="136" t="n">
        <v>25.1</v>
      </c>
      <c r="C228" s="136" t="n">
        <v>33.97</v>
      </c>
      <c r="D228" s="136" t="n">
        <v>42.9</v>
      </c>
      <c r="E228" s="136" t="n">
        <v>52.8</v>
      </c>
      <c r="F228" s="136" t="n">
        <v>74.33</v>
      </c>
    </row>
    <row r="229">
      <c r="A229" t="n">
        <v>208</v>
      </c>
      <c r="B229" s="136" t="n">
        <v>25.12</v>
      </c>
      <c r="C229" s="136" t="n">
        <v>33.73</v>
      </c>
      <c r="D229" s="136" t="n">
        <v>42.67</v>
      </c>
      <c r="E229" s="136" t="n">
        <v>52.96</v>
      </c>
      <c r="F229" s="136" t="n">
        <v>73.68000000000001</v>
      </c>
    </row>
    <row r="230">
      <c r="A230" t="n">
        <v>209</v>
      </c>
      <c r="B230" s="136" t="n">
        <v>25.05</v>
      </c>
      <c r="C230" s="136" t="n">
        <v>34.01</v>
      </c>
      <c r="D230" s="136" t="n">
        <v>42.98</v>
      </c>
      <c r="E230" s="136" t="n">
        <v>52.94</v>
      </c>
      <c r="F230" s="136" t="n">
        <v>73.59999999999999</v>
      </c>
    </row>
    <row r="231">
      <c r="A231" t="n">
        <v>210</v>
      </c>
      <c r="B231" s="136" t="n">
        <v>25.11</v>
      </c>
      <c r="C231" s="136" t="n">
        <v>33.91</v>
      </c>
      <c r="D231" s="136" t="n">
        <v>42.8</v>
      </c>
      <c r="E231" s="136" t="n">
        <v>52.8</v>
      </c>
      <c r="F231" s="136" t="n">
        <v>74.04000000000001</v>
      </c>
    </row>
    <row r="232">
      <c r="A232" t="n">
        <v>211</v>
      </c>
      <c r="B232" s="136" t="n">
        <v>25.04</v>
      </c>
      <c r="C232" s="136" t="n">
        <v>33.95</v>
      </c>
      <c r="D232" s="136" t="n">
        <v>42.69</v>
      </c>
      <c r="E232" s="136" t="n">
        <v>52.58</v>
      </c>
      <c r="F232" s="136" t="n">
        <v>73.48999999999999</v>
      </c>
    </row>
    <row r="233">
      <c r="A233" t="n">
        <v>212</v>
      </c>
      <c r="B233" s="136" t="n">
        <v>25.24</v>
      </c>
      <c r="C233" s="136" t="n">
        <v>34.05</v>
      </c>
      <c r="D233" s="136" t="n">
        <v>42.7</v>
      </c>
      <c r="E233" s="136" t="n">
        <v>52.91</v>
      </c>
      <c r="F233" s="136" t="n">
        <v>74.36</v>
      </c>
    </row>
    <row r="234">
      <c r="A234" t="n">
        <v>213</v>
      </c>
      <c r="B234" s="136" t="n">
        <v>25.09</v>
      </c>
      <c r="C234" s="136" t="n">
        <v>34.32</v>
      </c>
      <c r="D234" s="136" t="n">
        <v>42.53</v>
      </c>
      <c r="E234" s="136" t="n">
        <v>52.86</v>
      </c>
      <c r="F234" s="136" t="n">
        <v>73.73</v>
      </c>
    </row>
    <row r="235">
      <c r="A235" t="n">
        <v>214</v>
      </c>
      <c r="B235" s="136" t="n">
        <v>25.21</v>
      </c>
      <c r="C235" s="136" t="n">
        <v>34.33</v>
      </c>
      <c r="D235" s="136" t="n">
        <v>42.72</v>
      </c>
      <c r="E235" s="136" t="n">
        <v>52.75</v>
      </c>
      <c r="F235" s="136" t="n">
        <v>73.92</v>
      </c>
    </row>
    <row r="236">
      <c r="A236" t="n">
        <v>215</v>
      </c>
      <c r="B236" s="136" t="n">
        <v>25.23</v>
      </c>
      <c r="C236" s="136" t="n">
        <v>34.19</v>
      </c>
      <c r="D236" s="136" t="n">
        <v>42.66</v>
      </c>
      <c r="E236" s="136" t="n">
        <v>52.9</v>
      </c>
      <c r="F236" s="136" t="n">
        <v>74.26000000000001</v>
      </c>
    </row>
    <row r="237">
      <c r="A237" t="n">
        <v>216</v>
      </c>
      <c r="B237" s="136" t="n">
        <v>24.95</v>
      </c>
      <c r="C237" s="136" t="n">
        <v>34.21</v>
      </c>
      <c r="D237" s="136" t="n">
        <v>42.85</v>
      </c>
      <c r="E237" s="136" t="n">
        <v>52.99</v>
      </c>
      <c r="F237" s="136" t="n">
        <v>74.51000000000001</v>
      </c>
    </row>
    <row r="238">
      <c r="A238" t="n">
        <v>217</v>
      </c>
      <c r="B238" s="136" t="n">
        <v>24.79</v>
      </c>
      <c r="C238" s="136" t="n">
        <v>34.08</v>
      </c>
      <c r="D238" s="136" t="n">
        <v>42.49</v>
      </c>
      <c r="E238" s="136" t="n">
        <v>53.09</v>
      </c>
      <c r="F238" s="136" t="n">
        <v>74.66</v>
      </c>
    </row>
    <row r="239">
      <c r="A239" t="n">
        <v>218</v>
      </c>
      <c r="B239" s="136" t="n">
        <v>24.43</v>
      </c>
      <c r="C239" s="136" t="n">
        <v>33.99</v>
      </c>
      <c r="D239" s="136" t="n">
        <v>42.66</v>
      </c>
      <c r="E239" s="136" t="n">
        <v>53.16</v>
      </c>
      <c r="F239" s="136" t="n">
        <v>74.36</v>
      </c>
    </row>
    <row r="240">
      <c r="A240" t="n">
        <v>219</v>
      </c>
      <c r="B240" s="136" t="n">
        <v>24.72</v>
      </c>
      <c r="C240" s="136" t="n">
        <v>33.79</v>
      </c>
      <c r="D240" s="136" t="n">
        <v>42.56</v>
      </c>
      <c r="E240" s="136" t="n">
        <v>53.34</v>
      </c>
      <c r="F240" s="136" t="n">
        <v>73.70999999999999</v>
      </c>
    </row>
    <row r="241">
      <c r="A241" t="n">
        <v>220</v>
      </c>
      <c r="B241" s="136" t="n">
        <v>24.58</v>
      </c>
      <c r="C241" s="136" t="n">
        <v>34.09</v>
      </c>
      <c r="D241" s="136" t="n">
        <v>42.53</v>
      </c>
      <c r="E241" s="136" t="n">
        <v>53.39</v>
      </c>
      <c r="F241" s="136" t="n">
        <v>74.2</v>
      </c>
    </row>
    <row r="242">
      <c r="A242" t="n">
        <v>221</v>
      </c>
      <c r="B242" s="136" t="n">
        <v>24.92</v>
      </c>
      <c r="C242" s="136" t="n">
        <v>34.05</v>
      </c>
      <c r="D242" s="136" t="n">
        <v>42.59</v>
      </c>
      <c r="E242" s="136" t="n">
        <v>53.47</v>
      </c>
      <c r="F242" s="136" t="n">
        <v>74.14</v>
      </c>
    </row>
    <row r="243">
      <c r="A243" t="n">
        <v>222</v>
      </c>
      <c r="B243" s="136" t="n">
        <v>24.72</v>
      </c>
      <c r="C243" s="136" t="n">
        <v>34.23</v>
      </c>
      <c r="D243" s="136" t="n">
        <v>42.42</v>
      </c>
      <c r="E243" s="136" t="n">
        <v>53.39</v>
      </c>
      <c r="F243" s="136" t="n">
        <v>74</v>
      </c>
    </row>
    <row r="244">
      <c r="A244" t="n">
        <v>223</v>
      </c>
      <c r="B244" s="136" t="n">
        <v>24.54</v>
      </c>
      <c r="C244" s="136" t="n">
        <v>34.14</v>
      </c>
      <c r="D244" s="136" t="n">
        <v>42.69</v>
      </c>
      <c r="E244" s="136" t="n">
        <v>53.64</v>
      </c>
      <c r="F244" s="136" t="n">
        <v>74.73</v>
      </c>
    </row>
    <row r="245">
      <c r="A245" t="n">
        <v>224</v>
      </c>
      <c r="B245" s="136" t="n">
        <v>24.42</v>
      </c>
      <c r="C245" s="136" t="n">
        <v>34.28</v>
      </c>
      <c r="D245" s="136" t="n">
        <v>42.65</v>
      </c>
      <c r="E245" s="136" t="n">
        <v>53.96</v>
      </c>
      <c r="F245" s="136" t="n">
        <v>74.92</v>
      </c>
    </row>
    <row r="246">
      <c r="A246" t="n">
        <v>225</v>
      </c>
      <c r="B246" s="136" t="n">
        <v>24.27</v>
      </c>
      <c r="C246" s="136" t="n">
        <v>34.18</v>
      </c>
      <c r="D246" s="136" t="n">
        <v>42.52</v>
      </c>
      <c r="E246" s="136" t="n">
        <v>53.93</v>
      </c>
      <c r="F246" s="136" t="n">
        <v>74.51000000000001</v>
      </c>
    </row>
    <row r="247">
      <c r="A247" t="n">
        <v>226</v>
      </c>
      <c r="B247" s="136" t="n">
        <v>24.57</v>
      </c>
      <c r="C247" s="136" t="n">
        <v>34.33</v>
      </c>
      <c r="D247" s="136" t="n">
        <v>42.5</v>
      </c>
      <c r="E247" s="136" t="n">
        <v>54.04</v>
      </c>
      <c r="F247" s="136" t="n">
        <v>75.02</v>
      </c>
    </row>
    <row r="248">
      <c r="A248" t="n">
        <v>227</v>
      </c>
      <c r="B248" s="136" t="n">
        <v>24.72</v>
      </c>
      <c r="C248" s="136" t="n">
        <v>34.39</v>
      </c>
      <c r="D248" s="136" t="n">
        <v>42.57</v>
      </c>
      <c r="E248" s="136" t="n">
        <v>53.85</v>
      </c>
      <c r="F248" s="136" t="n">
        <v>74.56999999999999</v>
      </c>
    </row>
    <row r="249">
      <c r="A249" t="n">
        <v>228</v>
      </c>
      <c r="B249" s="136" t="n">
        <v>24.79</v>
      </c>
      <c r="C249" s="136" t="n">
        <v>34.19</v>
      </c>
      <c r="D249" s="136" t="n">
        <v>42.56</v>
      </c>
      <c r="E249" s="136" t="n">
        <v>53.88</v>
      </c>
      <c r="F249" s="136" t="n">
        <v>75.39</v>
      </c>
    </row>
    <row r="250">
      <c r="A250" t="n">
        <v>229</v>
      </c>
      <c r="B250" s="136" t="n">
        <v>25.03</v>
      </c>
      <c r="C250" s="136" t="n">
        <v>34.23</v>
      </c>
      <c r="D250" s="136" t="n">
        <v>42.69</v>
      </c>
      <c r="E250" s="136" t="n">
        <v>54.09</v>
      </c>
      <c r="F250" s="136" t="n">
        <v>75.7</v>
      </c>
    </row>
    <row r="251">
      <c r="A251" t="n">
        <v>230</v>
      </c>
      <c r="B251" s="136" t="n">
        <v>24.86</v>
      </c>
      <c r="C251" s="136" t="n">
        <v>33.97</v>
      </c>
      <c r="D251" s="136" t="n">
        <v>42.55</v>
      </c>
      <c r="E251" s="136" t="n">
        <v>53.93</v>
      </c>
      <c r="F251" s="136" t="n">
        <v>75.59999999999999</v>
      </c>
    </row>
    <row r="252">
      <c r="A252" t="n">
        <v>231</v>
      </c>
      <c r="B252" s="136" t="n">
        <v>24.89</v>
      </c>
      <c r="C252" s="136" t="n">
        <v>34.06</v>
      </c>
      <c r="D252" s="136" t="n">
        <v>42.69</v>
      </c>
      <c r="E252" s="136" t="n">
        <v>54.16</v>
      </c>
      <c r="F252" s="136" t="n">
        <v>75.88</v>
      </c>
    </row>
    <row r="253">
      <c r="A253" t="n">
        <v>232</v>
      </c>
      <c r="B253" s="136" t="n">
        <v>24.76</v>
      </c>
      <c r="C253" s="136" t="n">
        <v>33.78</v>
      </c>
      <c r="D253" s="136" t="n">
        <v>42.86</v>
      </c>
      <c r="E253" s="136" t="n">
        <v>54.37</v>
      </c>
      <c r="F253" s="136" t="n">
        <v>76.18000000000001</v>
      </c>
    </row>
    <row r="254">
      <c r="A254" t="n">
        <v>233</v>
      </c>
      <c r="B254" s="136" t="n">
        <v>24.63</v>
      </c>
      <c r="C254" s="136" t="n">
        <v>34.15</v>
      </c>
      <c r="D254" s="136" t="n">
        <v>42.92</v>
      </c>
      <c r="E254" s="136" t="n">
        <v>54.73</v>
      </c>
      <c r="F254" s="136" t="n">
        <v>77.19</v>
      </c>
    </row>
    <row r="255">
      <c r="A255" t="n">
        <v>234</v>
      </c>
      <c r="B255" s="136" t="n">
        <v>24.24</v>
      </c>
      <c r="C255" s="136" t="n">
        <v>34.14</v>
      </c>
      <c r="D255" s="136" t="n">
        <v>42.87</v>
      </c>
      <c r="E255" s="136" t="n">
        <v>54.75</v>
      </c>
      <c r="F255" s="136" t="n">
        <v>76.89</v>
      </c>
    </row>
    <row r="256">
      <c r="A256" t="n">
        <v>235</v>
      </c>
      <c r="B256" s="136" t="n">
        <v>24.33</v>
      </c>
      <c r="C256" s="136" t="n">
        <v>34.14</v>
      </c>
      <c r="D256" s="136" t="n">
        <v>42.66</v>
      </c>
      <c r="E256" s="136" t="n">
        <v>54.65</v>
      </c>
      <c r="F256" s="136" t="n">
        <v>76.16</v>
      </c>
    </row>
    <row r="257">
      <c r="A257" t="n">
        <v>236</v>
      </c>
      <c r="B257" s="136" t="n">
        <v>23.95</v>
      </c>
      <c r="C257" s="136" t="n">
        <v>34.03</v>
      </c>
      <c r="D257" s="136" t="n">
        <v>42.54</v>
      </c>
      <c r="E257" s="136" t="n">
        <v>54.67</v>
      </c>
      <c r="F257" s="136" t="n">
        <v>76.83</v>
      </c>
    </row>
    <row r="258">
      <c r="A258" t="n">
        <v>237</v>
      </c>
      <c r="B258" s="136" t="n">
        <v>24.14</v>
      </c>
      <c r="C258" s="136" t="n">
        <v>33.96</v>
      </c>
      <c r="D258" s="136" t="n">
        <v>42.63</v>
      </c>
      <c r="E258" s="136" t="n">
        <v>54.63</v>
      </c>
      <c r="F258" s="136" t="n">
        <v>76.09</v>
      </c>
    </row>
    <row r="259">
      <c r="A259" t="n">
        <v>238</v>
      </c>
      <c r="B259" s="136" t="n">
        <v>23.98</v>
      </c>
      <c r="C259" s="136" t="n">
        <v>33.93</v>
      </c>
      <c r="D259" s="136" t="n">
        <v>42.51</v>
      </c>
      <c r="E259" s="136" t="n">
        <v>54.64</v>
      </c>
      <c r="F259" s="136" t="n">
        <v>76.43000000000001</v>
      </c>
    </row>
    <row r="260">
      <c r="A260" t="n">
        <v>239</v>
      </c>
      <c r="B260" s="136" t="n">
        <v>24.17</v>
      </c>
      <c r="C260" s="136" t="n">
        <v>33.91</v>
      </c>
      <c r="D260" s="136" t="n">
        <v>42.92</v>
      </c>
      <c r="E260" s="136" t="n">
        <v>54.39</v>
      </c>
      <c r="F260" s="136" t="n">
        <v>77.73999999999999</v>
      </c>
    </row>
    <row r="261">
      <c r="A261" t="n">
        <v>240</v>
      </c>
      <c r="B261" s="136" t="n">
        <v>24.15</v>
      </c>
      <c r="C261" s="136" t="n">
        <v>33.9</v>
      </c>
      <c r="D261" s="136" t="n">
        <v>42.8</v>
      </c>
      <c r="E261" s="136" t="n">
        <v>54.75</v>
      </c>
      <c r="F261" s="136" t="n">
        <v>77.31</v>
      </c>
    </row>
    <row r="262">
      <c r="A262" t="n">
        <v>241</v>
      </c>
      <c r="B262" s="136" t="n">
        <v>24.3</v>
      </c>
      <c r="C262" s="136" t="n">
        <v>34.01</v>
      </c>
      <c r="D262" s="136" t="n">
        <v>42.85</v>
      </c>
      <c r="E262" s="136" t="n">
        <v>54.51</v>
      </c>
      <c r="F262" s="136" t="n">
        <v>77.40000000000001</v>
      </c>
    </row>
    <row r="263">
      <c r="A263" t="n">
        <v>242</v>
      </c>
      <c r="B263" s="136" t="n">
        <v>24.2</v>
      </c>
      <c r="C263" s="136" t="n">
        <v>33.81</v>
      </c>
      <c r="D263" s="136" t="n">
        <v>42.93</v>
      </c>
      <c r="E263" s="136" t="n">
        <v>54.54</v>
      </c>
      <c r="F263" s="136" t="n">
        <v>77.09999999999999</v>
      </c>
    </row>
    <row r="264">
      <c r="A264" t="n">
        <v>243</v>
      </c>
      <c r="B264" s="136" t="n">
        <v>24.36</v>
      </c>
      <c r="C264" s="136" t="n">
        <v>33.7</v>
      </c>
      <c r="D264" s="136" t="n">
        <v>42.8</v>
      </c>
      <c r="E264" s="136" t="n">
        <v>54.59</v>
      </c>
      <c r="F264" s="136" t="n">
        <v>76.65000000000001</v>
      </c>
    </row>
    <row r="265">
      <c r="A265" t="n">
        <v>244</v>
      </c>
      <c r="B265" s="136" t="n">
        <v>24.19</v>
      </c>
      <c r="C265" s="136" t="n">
        <v>33.93</v>
      </c>
      <c r="D265" s="136" t="n">
        <v>43</v>
      </c>
      <c r="E265" s="136" t="n">
        <v>54.68</v>
      </c>
      <c r="F265" s="136" t="n">
        <v>76.72</v>
      </c>
    </row>
    <row r="266">
      <c r="A266" t="n">
        <v>245</v>
      </c>
      <c r="B266" s="136" t="n">
        <v>24.31</v>
      </c>
      <c r="C266" s="136" t="n">
        <v>34.04</v>
      </c>
      <c r="D266" s="136" t="n">
        <v>42.79</v>
      </c>
      <c r="E266" s="136" t="n">
        <v>54.96</v>
      </c>
      <c r="F266" s="136" t="n">
        <v>77.08</v>
      </c>
    </row>
    <row r="267">
      <c r="A267" t="n">
        <v>246</v>
      </c>
      <c r="B267" s="136" t="n">
        <v>24.28</v>
      </c>
      <c r="C267" s="136" t="n">
        <v>33.86</v>
      </c>
      <c r="D267" s="136" t="n">
        <v>42.76</v>
      </c>
      <c r="E267" s="136" t="n">
        <v>55.1</v>
      </c>
      <c r="F267" s="136" t="n">
        <v>77.43000000000001</v>
      </c>
    </row>
    <row r="268">
      <c r="A268" t="n">
        <v>247</v>
      </c>
      <c r="B268" s="136" t="n">
        <v>24.32</v>
      </c>
      <c r="C268" s="136" t="n">
        <v>33.7</v>
      </c>
      <c r="D268" s="136" t="n">
        <v>42.56</v>
      </c>
      <c r="E268" s="136" t="n">
        <v>55.65</v>
      </c>
      <c r="F268" s="136" t="n">
        <v>77.51000000000001</v>
      </c>
    </row>
    <row r="269">
      <c r="A269" t="n">
        <v>248</v>
      </c>
      <c r="B269" s="136" t="n">
        <v>24.36</v>
      </c>
      <c r="C269" s="136" t="n">
        <v>33.95</v>
      </c>
      <c r="D269" s="136" t="n">
        <v>42.47</v>
      </c>
      <c r="E269" s="136" t="n">
        <v>55.62</v>
      </c>
      <c r="F269" s="136" t="n">
        <v>77.09999999999999</v>
      </c>
    </row>
    <row r="270">
      <c r="A270" t="n">
        <v>249</v>
      </c>
      <c r="B270" s="136" t="n">
        <v>24.26</v>
      </c>
      <c r="C270" s="136" t="n">
        <v>33.82</v>
      </c>
      <c r="D270" s="136" t="n">
        <v>42.85</v>
      </c>
      <c r="E270" s="136" t="n">
        <v>55.37</v>
      </c>
      <c r="F270" s="136" t="n">
        <v>78.13</v>
      </c>
    </row>
    <row r="271">
      <c r="A271" t="n">
        <v>250</v>
      </c>
      <c r="B271" s="136" t="n">
        <v>24.36</v>
      </c>
      <c r="C271" s="136" t="n">
        <v>34</v>
      </c>
      <c r="D271" s="136" t="n">
        <v>42.48</v>
      </c>
      <c r="E271" s="136" t="n">
        <v>55.53</v>
      </c>
      <c r="F271" s="136" t="n">
        <v>77.19</v>
      </c>
    </row>
    <row r="272">
      <c r="A272" t="n">
        <v>251</v>
      </c>
      <c r="B272" s="136" t="n">
        <v>24.39</v>
      </c>
      <c r="C272" s="136" t="n">
        <v>33.63</v>
      </c>
      <c r="D272" s="136" t="n">
        <v>42.78</v>
      </c>
      <c r="E272" s="136" t="n">
        <v>55.34</v>
      </c>
      <c r="F272" s="136" t="n">
        <v>76.29000000000001</v>
      </c>
    </row>
    <row r="273">
      <c r="A273" t="n">
        <v>252</v>
      </c>
      <c r="B273" s="136" t="n">
        <v>24.23</v>
      </c>
      <c r="C273" s="136" t="n">
        <v>33.74</v>
      </c>
      <c r="D273" s="136" t="n">
        <v>42.69</v>
      </c>
      <c r="E273" s="136" t="n">
        <v>55.87</v>
      </c>
      <c r="F273" s="136" t="n">
        <v>76.31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3" customWidth="1" min="1" max="1"/>
  </cols>
  <sheetData>
    <row r="1">
      <c r="A1" s="59" t="inlineStr">
        <is>
          <t>NKE — Charts</t>
        </is>
      </c>
    </row>
    <row r="2">
      <c r="A2" s="93" t="inlineStr">
        <is>
          <t>Live charts, not images: every series points at the Price_Indicators sheet, so edits there redraw these.</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40"/>
  <sheetViews>
    <sheetView showGridLines="0" workbookViewId="0">
      <pane ySplit="2" topLeftCell="A3" activePane="bottomLeft" state="frozen"/>
      <selection pane="bottomLeft" activeCell="A1" sqref="A1"/>
    </sheetView>
  </sheetViews>
  <sheetFormatPr baseColWidth="8" defaultRowHeight="15"/>
  <cols>
    <col width="26" customWidth="1" min="1" max="1"/>
    <col width="98" customWidth="1" min="2" max="2"/>
  </cols>
  <sheetData>
    <row r="1">
      <c r="A1" s="59" t="inlineStr">
        <is>
          <t>Methodology &amp; Definitions</t>
        </is>
      </c>
    </row>
    <row r="2">
      <c r="A2" s="60" t="inlineStr">
        <is>
          <t>Every metric in this report, in plain language and with its key assumptions — so nothing reads as a black box.</t>
        </is>
      </c>
    </row>
    <row r="4" ht="18" customHeight="1">
      <c r="A4" s="61" t="inlineStr">
        <is>
          <t>Risk &amp; Return</t>
        </is>
      </c>
    </row>
    <row r="5" ht="24" customHeight="1">
      <c r="A5" s="137" t="inlineStr">
        <is>
          <t>Annualised Volatility</t>
        </is>
      </c>
      <c r="B5" s="138" t="inlineStr">
        <is>
          <t>Standard deviation of daily returns × √252. How much the price swings; higher = riskier.</t>
        </is>
      </c>
    </row>
    <row r="6" ht="31" customHeight="1">
      <c r="A6" s="137" t="inlineStr">
        <is>
          <t>Sharpe Ratio</t>
        </is>
      </c>
      <c r="B6" s="138" t="inlineStr">
        <is>
          <t>(Annualised return − risk-free rate) ÷ annualised volatility — excess return per unit of total risk. Risk-free rate = current 3-month US Treasury yield via FRED (3.91% now). Above 1 is strong.</t>
        </is>
      </c>
    </row>
    <row r="7" ht="43.5" customHeight="1">
      <c r="A7" s="137" t="inlineStr">
        <is>
          <t>Sortino Ratio</t>
        </is>
      </c>
      <c r="B7" s="138" t="inlineStr">
        <is>
          <t>Like Sharpe, but the denominator is downside deviation about zero — √(mean of squared shortfalls below zero, over ALL days) × √252 — so upside volatility isn't penalised. Note this is not the standard deviation of the losing days, which would understate the denominator and flatter the ratio.</t>
        </is>
      </c>
    </row>
    <row r="8" ht="56" customHeight="1">
      <c r="A8" s="137" t="inlineStr">
        <is>
          <t>Max Drawdown (60d)</t>
        </is>
      </c>
      <c r="B8" s="138" t="inlineStr">
        <is>
          <t>Deepest fall from a rolling 60-day peak — how bad the worst quarter-ish stretch was. A decline that unfolds over longer than 60 trading days shows up here only in part, so this reads shallower than a full peak-to-trough figure. The Scorecard's risk factor and the PowerPoint deck use the full peak-to-trough drawdown over the whole window.</t>
        </is>
      </c>
    </row>
    <row r="10" ht="18" customHeight="1">
      <c r="A10" s="61" t="inlineStr">
        <is>
          <t>Technical Indicators</t>
        </is>
      </c>
    </row>
    <row r="11" ht="31" customHeight="1">
      <c r="A11" s="137" t="inlineStr">
        <is>
          <t>Moving Average (20/50/200-day)</t>
        </is>
      </c>
      <c r="B11" s="138" t="inlineStr">
        <is>
          <t>Average close over the last N sessions; smooths the trend. Price above the average is bullish, below is cautionary.</t>
        </is>
      </c>
    </row>
    <row r="12" ht="24" customHeight="1">
      <c r="A12" s="137" t="inlineStr">
        <is>
          <t>RSI (14)</t>
        </is>
      </c>
      <c r="B12" s="138" t="inlineStr">
        <is>
          <t>Relative Strength Index, 0–100. &gt;70 overbought (stretched up), &lt;30 oversold, 30–70 neutral.</t>
        </is>
      </c>
    </row>
    <row r="13" ht="31" customHeight="1">
      <c r="A13" s="137" t="inlineStr">
        <is>
          <t>MACD</t>
        </is>
      </c>
      <c r="B13" s="138" t="inlineStr">
        <is>
          <t>12-day minus 26-day exponential moving average vs a 9-day signal line. MACD above signal = bullish momentum.</t>
        </is>
      </c>
    </row>
    <row r="14" ht="31" customHeight="1">
      <c r="A14" s="137" t="inlineStr">
        <is>
          <t>Bollinger Bands (20, 2σ)</t>
        </is>
      </c>
      <c r="B14" s="138" t="inlineStr">
        <is>
          <t>20-day average ± 2 standard deviations. %B shows where price sits within the bands; near the upper band is relatively high.</t>
        </is>
      </c>
    </row>
    <row r="15" ht="31" customHeight="1">
      <c r="A15" s="137" t="inlineStr">
        <is>
          <t>Support / Resistance</t>
        </is>
      </c>
      <c r="B15" s="138" t="inlineStr">
        <is>
          <t>Recent levels where the stock repeatedly stalled (resistance) or bounced (support), detected from local highs/lows.</t>
        </is>
      </c>
    </row>
    <row r="17" ht="18" customHeight="1">
      <c r="A17" s="61" t="inlineStr">
        <is>
          <t>Valuation</t>
        </is>
      </c>
    </row>
    <row r="18" ht="31" customHeight="1">
      <c r="A18" s="137" t="inlineStr">
        <is>
          <t>P/E · P/S · P/B</t>
        </is>
      </c>
      <c r="B18" s="138" t="inlineStr">
        <is>
          <t>Market cap ÷ net income / revenue / book equity — dollars paid per dollar of earnings, sales, or book value.</t>
        </is>
      </c>
    </row>
    <row r="19" ht="24" customHeight="1">
      <c r="A19" s="137" t="inlineStr">
        <is>
          <t>EV / EBITDA</t>
        </is>
      </c>
      <c r="B19" s="138" t="inlineStr">
        <is>
          <t>Enterprise value (market cap + debt − cash) ÷ EBITDA — a capital-structure-neutral earnings multiple.</t>
        </is>
      </c>
    </row>
    <row r="20" ht="24" customHeight="1">
      <c r="A20" s="137" t="inlineStr">
        <is>
          <t>FCF / Earnings Yield</t>
        </is>
      </c>
      <c r="B20" s="138" t="inlineStr">
        <is>
          <t>Free cash flow / net income ÷ market cap — the cash or earnings return at today's price; higher = cheaper.</t>
        </is>
      </c>
    </row>
    <row r="21" ht="93.5" customHeight="1">
      <c r="A21" s="137" t="inlineStr">
        <is>
          <t>What a Reverse DCF Is</t>
        </is>
      </c>
      <c r="B21" s="138" t="inlineStr">
        <is>
          <t>A normal DCF starts with a growth forecast and produces a value. A reverse DCF runs the same model backwards: it takes today's share price as given and solves for the one number that would justify it — the rate at which free cash flow would have to compound over the forecast horizon. That flips the question from 'what do I think this is worth?' (which needs a forecast you may not have) to 'what would I have to believe to pay this price?' (which you can judge against the company's history, its competitors and its market size). It needs no analyst estimates, so it cannot inherit their optimism, and it gives you a single falsifiable claim to argue with.</t>
        </is>
      </c>
    </row>
    <row r="22" ht="81" customHeight="1">
      <c r="A22" s="137" t="inlineStr">
        <is>
          <t>Reverse-DCF Implied Growth</t>
        </is>
      </c>
      <c r="B22" s="138" t="inlineStr">
        <is>
          <t>The stage-1 free-cash-flow growth rate the current price implies, solved numerically from the same 10-year two-stage DCF used for fair value (9.3% discount rate, 2.5% terminal growth). Read it as a hurdle: if the implied rate is comfortably below what the business has actually delivered, the price is undemanding; if it is far above, the price already assumes a lot must go right. It is blank when today's price falls outside the range of growth rates the model can solve (roughly −20% to +50% a year) — usually a sign the price is being driven by something other than free-cash-flow growth.</t>
        </is>
      </c>
    </row>
    <row r="23" ht="68.5" customHeight="1">
      <c r="A23" s="137" t="inlineStr">
        <is>
          <t>DCF Fair Value</t>
        </is>
      </c>
      <c r="B23" s="138" t="inlineStr">
        <is>
          <t>Two-stage DCF on free cash flow: PV of 10-year of projected FCF + PV of terminal value − net debt, ÷ shares (market cap ÷ price). Discount rate 9.3%, terminal growth 2.5%; base FCF normalised over the last three positive annual figures; stage-1 growth fades linearly to the terminal rate. The Valuation sheet holds the whole model as live Excel formulas over a block of editable assumption cells — change the discount rate, the terminal growth rate or the growth path and every downstream figure recalculates. A model, not a price target.</t>
        </is>
      </c>
    </row>
    <row r="24" ht="43.5" customHeight="1">
      <c r="A24" s="137" t="inlineStr">
        <is>
          <t>Sensitivity Grid</t>
        </is>
      </c>
      <c r="B24" s="138" t="inlineStr">
        <is>
          <t>Base-case fair value per share across a 5×5 grid of discount rates and terminal growth rates, on the Valuation sheet. Green cells sit above today's price, red below. The spread across that grid is the honest measure of how much confidence a DCF deserves for this company.</t>
        </is>
      </c>
    </row>
    <row r="26" ht="18" customHeight="1">
      <c r="A26" s="61" t="inlineStr">
        <is>
          <t>Quality Scores</t>
        </is>
      </c>
    </row>
    <row r="27" ht="31" customHeight="1">
      <c r="A27" s="137" t="inlineStr">
        <is>
          <t>Piotroski F-Score (0–9)</t>
        </is>
      </c>
      <c r="B27" s="138" t="inlineStr">
        <is>
          <t>Nine pass/fail fundamental-quality tests (profitability, leverage, efficiency) across the two latest fiscal years. Higher = higher quality.</t>
        </is>
      </c>
    </row>
    <row r="28" ht="24" customHeight="1">
      <c r="A28" s="137" t="inlineStr">
        <is>
          <t>Altman Z-Score</t>
        </is>
      </c>
      <c r="B28" s="138" t="inlineStr">
        <is>
          <t>Bankruptcy-risk score from five ratios. &gt;2.99 'safe', 1.81–2.99 'grey', &lt;1.81 'distress'.</t>
        </is>
      </c>
    </row>
    <row r="29" ht="31" customHeight="1">
      <c r="A29" s="137" t="inlineStr">
        <is>
          <t>Technical Posture (0–100)</t>
        </is>
      </c>
      <c r="B29" s="138" t="inlineStr">
        <is>
          <t>A blend of trend (vs 50/200-day MA), RSI, MACD, 52-week location and relative strength. Describes what the indicators say — not a recommendation.</t>
        </is>
      </c>
    </row>
    <row r="30" ht="31" customHeight="1">
      <c r="A30" s="137" t="inlineStr">
        <is>
          <t>Stock Scorecard (0–100)</t>
        </is>
      </c>
      <c r="B30" s="138" t="inlineStr">
        <is>
          <t>Weighted composite of seven factors — valuation, growth, profitability, financial health, momentum, risk, sentiment. Describes the stock's profile; not a buy/sell call.</t>
        </is>
      </c>
    </row>
    <row r="32" ht="18" customHeight="1">
      <c r="A32" s="61" t="inlineStr">
        <is>
          <t>Forecasting</t>
        </is>
      </c>
    </row>
    <row r="33" ht="56" customHeight="1">
      <c r="A33" s="137" t="inlineStr">
        <is>
          <t>Monte Carlo Simulation</t>
        </is>
      </c>
      <c r="B33" s="138" t="inlineStr">
        <is>
          <t>Thousands of simulated 1-year price paths (geometric Brownian motion) with drift and volatility from the stock's own daily-return history. P5–P95 are percentiles of simulated ending prices (P5 = only 5% of paths ended lower) — NOT predictions. Assumes log-normal returns and constant volatility; real markets have fat tails and regime shifts. 'Probability of gain' = share of paths ending above today's price.</t>
        </is>
      </c>
    </row>
    <row r="34" ht="31" customHeight="1">
      <c r="A34" s="137" t="inlineStr">
        <is>
          <t>Custom Forecast (GARCH + ML)</t>
        </is>
      </c>
      <c r="B34" s="138" t="inlineStr">
        <is>
          <t>Optional variant modelling time-varying volatility (GARCH) and a machine-learned drift before simulating; same percentile interpretation.</t>
        </is>
      </c>
    </row>
    <row r="36" ht="18" customHeight="1">
      <c r="A36" s="61" t="inlineStr">
        <is>
          <t>Sentiment &amp; Data Sources</t>
        </is>
      </c>
    </row>
    <row r="37" ht="31" customHeight="1">
      <c r="A37" s="137" t="inlineStr">
        <is>
          <t>Analyst Consensus</t>
        </is>
      </c>
      <c r="B37" s="138" t="inlineStr">
        <is>
          <t>Wall-Street Buy/Hold/Sell counts aggregated by Finnhub, scored into one verdict. Analysts' view, not QuantWizard's.</t>
        </is>
      </c>
    </row>
    <row r="38" ht="31" customHeight="1">
      <c r="A38" s="137" t="inlineStr">
        <is>
          <t>News Relevance &amp; Sentiment</t>
        </is>
      </c>
      <c r="B38" s="138" t="inlineStr">
        <is>
          <t>Headlines are ranked High/Medium/Low for how directly they concern the company (broad round-ups are dropped) and tagged with Polygon's per-article sentiment.</t>
        </is>
      </c>
    </row>
    <row r="39" ht="31" customHeight="1">
      <c r="A39" s="137" t="inlineStr">
        <is>
          <t>Data Sources</t>
        </is>
      </c>
      <c r="B39" s="138" t="inlineStr">
        <is>
          <t>Prices: Yahoo Finance (Polygon fallback), split/dividend-adjusted. Fundamentals: SEC EDGAR (Polygon fallback). News &amp; analyst data: Finnhub / Polygon. Risk-free rate: US Treasury via FRED.</t>
        </is>
      </c>
    </row>
    <row r="40" ht="31" customHeight="1">
      <c r="A40" s="137" t="inlineStr">
        <is>
          <t>Disclaimer</t>
        </is>
      </c>
      <c r="B40" s="138" t="inlineStr">
        <is>
          <t>For informational purposes only. Not investment advice. Past performance does not guarantee future results. Figures are generated programmatically for information and education only.</t>
        </is>
      </c>
    </row>
  </sheetData>
  <mergeCells count="8">
    <mergeCell ref="A4:B4"/>
    <mergeCell ref="A26:B26"/>
    <mergeCell ref="A2:B2"/>
    <mergeCell ref="A10:B10"/>
    <mergeCell ref="A32:B32"/>
    <mergeCell ref="A36:B36"/>
    <mergeCell ref="A1:B1"/>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2026-08-05T04:34:11Z</dcterms:created>
  <dcterms:modified xmlns:dcterms="http://purl.org/dc/terms/" xmlns:xsi="http://www.w3.org/2001/XMLSchema-instance" xsi:type="dcterms:W3CDTF">2026-08-05T04:34:13Z</dcterms:modified>
</cp:coreProperties>
</file>
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2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Multiples" sheetId="4" state="visible" r:id="rId4"/>
    <sheet xmlns:r="http://schemas.openxmlformats.org/officeDocument/2006/relationships" name="Peers" sheetId="5" state="visible" r:id="rId5"/>
    <sheet xmlns:r="http://schemas.openxmlformats.org/officeDocument/2006/relationships" name="Valuation_History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Segments" sheetId="8" state="visible" r:id="rId8"/>
    <sheet xmlns:r="http://schemas.openxmlformats.org/officeDocument/2006/relationships" name="Capital_Returns" sheetId="9" state="visible" r:id="rId9"/>
    <sheet xmlns:r="http://schemas.openxmlformats.org/officeDocument/2006/relationships" name="Risk" sheetId="10" state="visible" r:id="rId10"/>
    <sheet xmlns:r="http://schemas.openxmlformats.org/officeDocument/2006/relationships" name="Catalysts_News" sheetId="11" state="visible" r:id="rId11"/>
    <sheet xmlns:r="http://schemas.openxmlformats.org/officeDocument/2006/relationships" name="Methodology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Valuation_Log" sheetId="14" state="visible" r:id="rId14"/>
    <sheet xmlns:r="http://schemas.openxmlformats.org/officeDocument/2006/relationships" name="Data" sheetId="15" state="visible" r:id="rId15"/>
  </sheets>
  <definedNames>
    <definedName name="_xlnm.Print_Area" localSheetId="0">'Summary'!$A$1:$R$63</definedName>
    <definedName name="_xlnm._FilterDatabase" localSheetId="14" hidden="1">'Data'!$A$1:$N$1</definedName>
  </definedNames>
  <calcPr calcId="19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5">
    <numFmt numFmtId="164" formatCode="#,##0.0;\(#,##0.0\);&quot;–&quot;"/>
    <numFmt numFmtId="165" formatCode="0.0%;\(0.0%\);&quot;–&quot;"/>
    <numFmt numFmtId="166" formatCode="0.00&quot;x&quot;"/>
    <numFmt numFmtId="167" formatCode="&quot;$&quot;#,##0.00;\(&quot;$&quot;#,##0.00\);&quot;–&quot;"/>
    <numFmt numFmtId="168" formatCode="#,##0.000"/>
    <numFmt numFmtId="169" formatCode="0.0&quot;x&quot;;\(0.0&quot;x&quot;\);&quot;–&quot;"/>
    <numFmt numFmtId="170" formatCode="mmm\-yyyy"/>
    <numFmt numFmtId="171" formatCode="dd\-mmm\-yyyy"/>
    <numFmt numFmtId="172" formatCode="0.0"/>
    <numFmt numFmtId="173" formatCode="&quot;$&quot;0.00"/>
    <numFmt numFmtId="174" formatCode="0.0%"/>
    <numFmt numFmtId="175" formatCode="0.000"/>
    <numFmt numFmtId="176" formatCode="0.00;\(0.00\);0.00"/>
    <numFmt numFmtId="177" formatCode="0.0\x"/>
    <numFmt numFmtId="178" formatCode="0.0%;\(0.0%\)"/>
    <numFmt numFmtId="179" formatCode="&quot;$&quot;#,##0.00"/>
    <numFmt numFmtId="180" formatCode="&quot;$&quot;#,##0;\(&quot;$&quot;#,##0\);&quot;–&quot;"/>
    <numFmt numFmtId="181" formatCode="yyyy\-mm\-dd"/>
    <numFmt numFmtId="182" formatCode="_(\$* #,##0.00_)"/>
    <numFmt numFmtId="183" formatCode="d\-mmm\-yyyy"/>
    <numFmt numFmtId="184" formatCode="0&quot; yrs&quot;"/>
    <numFmt numFmtId="185" formatCode="0.0&quot;x&quot;"/>
    <numFmt numFmtId="186" formatCode="\+0.0%;\-0.0%;&quot;–&quot;"/>
    <numFmt numFmtId="187" formatCode="\+0.0%;\-0.0%"/>
    <numFmt numFmtId="188" formatCode="\+0.0%;\(0.0%\);&quot;–&quot;"/>
  </numFmts>
  <fonts count="5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D9E1F2"/>
      <sz val="9"/>
      <scheme val="minor"/>
    </font>
    <font>
      <name val="Calibri"/>
      <family val="2"/>
      <color rgb="FFFFFFFF"/>
      <sz val="9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1F3864"/>
      <sz val="10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008000"/>
      <sz val="10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color rgb="FF595959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95959"/>
      <sz val="9"/>
      <scheme val="minor"/>
    </font>
    <font>
      <name val="Calibri"/>
      <family val="2"/>
      <b val="1"/>
      <color rgb="FF595959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1F3864"/>
      <sz val="9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D9E1F2"/>
      <sz val="9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7F7F7F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7F7F7F"/>
      <sz val="8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2E75B6"/>
      <sz val="11"/>
      <u val="single"/>
      <scheme val="minor"/>
    </font>
    <font>
      <name val="Calibri"/>
      <family val="2"/>
      <color rgb="FF595959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7F7F7F"/>
      <sz val="8"/>
      <scheme val="minor"/>
    </font>
    <font>
      <name val="Calibri"/>
      <family val="2"/>
      <color rgb="FF2E75B6"/>
      <sz val="9"/>
      <u val="single"/>
      <scheme val="minor"/>
    </font>
    <font>
      <name val="Calibri"/>
      <family val="2"/>
      <i val="1"/>
      <color rgb="FF595959"/>
      <sz val="9"/>
    </font>
    <font>
      <name val="Calibri"/>
      <family val="2"/>
      <color rgb="FFC00000"/>
      <sz val="9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008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8000"/>
      <sz val="11"/>
    </font>
    <font>
      <name val="Calibri"/>
      <family val="2"/>
      <color rgb="FF008000"/>
      <sz val="9"/>
      <scheme val="minor"/>
    </font>
    <font>
      <name val="Calibri"/>
      <family val="2"/>
      <b val="1"/>
      <color rgb="FF595959"/>
      <sz val="8.5"/>
      <scheme val="minor"/>
    </font>
    <font>
      <name val="Calibri"/>
      <family val="2"/>
      <b val="1"/>
      <color rgb="FF1F3864"/>
      <sz val="18"/>
      <scheme val="minor"/>
    </font>
    <font>
      <name val="Calibri"/>
      <family val="2"/>
      <b val="1"/>
      <color rgb="FF1F3864"/>
      <sz val="13"/>
      <scheme val="minor"/>
    </font>
    <font>
      <name val="Calibri"/>
      <family val="2"/>
      <color rgb="FF000000"/>
      <sz val="9"/>
      <scheme val="minor"/>
    </font>
    <font>
      <name val="Calibri"/>
      <family val="2"/>
      <i val="1"/>
      <color rgb="FFFFFFFF"/>
      <sz val="9"/>
      <scheme val="minor"/>
    </font>
    <font>
      <name val="Calibri"/>
      <family val="2"/>
      <i val="1"/>
      <color rgb="FFFFFFFF"/>
      <sz val="9"/>
      <u val="single"/>
      <scheme val="minor"/>
    </font>
    <font>
      <name val="Calibri"/>
      <family val="2"/>
      <color rgb="FF7F7F7F"/>
      <sz val="9"/>
      <scheme val="minor"/>
    </font>
    <font>
      <name val="Calibri"/>
      <family val="2"/>
      <i val="1"/>
      <color rgb="FFC00000"/>
      <sz val="9"/>
      <scheme val="minor"/>
    </font>
  </fonts>
  <fills count="1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F3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2E75B6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2E75B6"/>
      </top>
      <bottom/>
      <diagonal/>
    </border>
    <border>
      <left style="thick">
        <color rgb="FF2E75B6"/>
      </left>
      <right/>
      <top style="thin">
        <color rgb="FF2E75B6"/>
      </top>
      <bottom/>
      <diagonal/>
    </border>
    <border>
      <left style="thick">
        <color rgb="FF2E75B6"/>
      </left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2E75B6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B4C6E7"/>
      </left>
      <right/>
      <top style="thick">
        <color rgb="FF1F3864"/>
      </top>
      <bottom/>
      <diagonal/>
    </border>
    <border>
      <left/>
      <right style="thin">
        <color rgb="FFB4C6E7"/>
      </right>
      <top/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4C6E7"/>
      </left>
      <right style="thin">
        <color rgb="FFB4C6E7"/>
      </right>
      <top style="thick">
        <color rgb="FF1F3864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2" fillId="0" borderId="0"/>
  </cellStyleXfs>
  <cellXfs count="428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2" borderId="0" pivotButton="0" quotePrefix="0" xfId="0"/>
    <xf numFmtId="0" fontId="7" fillId="2" borderId="0" pivotButton="0" quotePrefix="0" xfId="1"/>
    <xf numFmtId="0" fontId="10" fillId="3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3" applyAlignment="1" pivotButton="0" quotePrefix="0" xfId="0">
      <alignment horizontal="right"/>
    </xf>
    <xf numFmtId="0" fontId="9" fillId="0" borderId="3" applyAlignment="1" pivotButton="0" quotePrefix="0" xfId="0">
      <alignment horizontal="left"/>
    </xf>
    <xf numFmtId="164" fontId="4" fillId="0" borderId="0" pivotButton="0" quotePrefix="0" xfId="0"/>
    <xf numFmtId="165" fontId="4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65" fontId="8" fillId="0" borderId="0" pivotButton="0" quotePrefix="0" xfId="0"/>
    <xf numFmtId="166" fontId="12" fillId="0" borderId="0" pivotButton="0" quotePrefix="0" xfId="0"/>
    <xf numFmtId="0" fontId="14" fillId="0" borderId="0" pivotButton="0" quotePrefix="0" xfId="0"/>
    <xf numFmtId="15" fontId="14" fillId="0" borderId="0" applyAlignment="1" pivotButton="0" quotePrefix="0" xfId="0">
      <alignment horizontal="right"/>
    </xf>
    <xf numFmtId="164" fontId="15" fillId="0" borderId="0" pivotButton="0" quotePrefix="0" xfId="0"/>
    <xf numFmtId="165" fontId="15" fillId="0" borderId="0" pivotButton="0" quotePrefix="0" xfId="0"/>
    <xf numFmtId="167" fontId="4" fillId="0" borderId="0" pivotButton="0" quotePrefix="0" xfId="0"/>
    <xf numFmtId="164" fontId="16" fillId="0" borderId="0" pivotButton="0" quotePrefix="0" xfId="0"/>
    <xf numFmtId="164" fontId="8" fillId="0" borderId="0" pivotButton="0" quotePrefix="0" xfId="0"/>
    <xf numFmtId="167" fontId="16" fillId="0" borderId="0" pivotButton="0" quotePrefix="0" xfId="0"/>
    <xf numFmtId="167" fontId="8" fillId="0" borderId="0" pivotButton="0" quotePrefix="0" xfId="0"/>
    <xf numFmtId="164" fontId="8" fillId="4" borderId="0" pivotButton="0" quotePrefix="0" xfId="0"/>
    <xf numFmtId="165" fontId="4" fillId="4" borderId="0" pivotButton="0" quotePrefix="0" xfId="0"/>
    <xf numFmtId="167" fontId="8" fillId="4" borderId="0" pivotButton="0" quotePrefix="0" xfId="0"/>
    <xf numFmtId="0" fontId="17" fillId="0" borderId="0" pivotButton="0" quotePrefix="0" xfId="0"/>
    <xf numFmtId="0" fontId="18" fillId="0" borderId="0" pivotButton="0" quotePrefix="0" xfId="0"/>
    <xf numFmtId="164" fontId="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8" fillId="0" borderId="4" pivotButton="0" quotePrefix="0" xfId="0"/>
    <xf numFmtId="164" fontId="8" fillId="0" borderId="4" pivotButton="0" quotePrefix="0" xfId="0"/>
    <xf numFmtId="164" fontId="8" fillId="0" borderId="4" applyAlignment="1" pivotButton="0" quotePrefix="0" xfId="0">
      <alignment horizontal="right"/>
    </xf>
    <xf numFmtId="0" fontId="19" fillId="0" borderId="0" pivotButton="0" quotePrefix="0" xfId="0"/>
    <xf numFmtId="0" fontId="9" fillId="0" borderId="3" applyAlignment="1" pivotButton="0" quotePrefix="0" xfId="0">
      <alignment horizontal="right" wrapText="1"/>
    </xf>
    <xf numFmtId="165" fontId="15" fillId="5" borderId="0" pivotButton="0" quotePrefix="0" xfId="0"/>
    <xf numFmtId="0" fontId="4" fillId="0" borderId="0" applyAlignment="1" pivotButton="0" quotePrefix="0" xfId="0">
      <alignment horizontal="right"/>
    </xf>
    <xf numFmtId="0" fontId="20" fillId="6" borderId="0" pivotButton="0" quotePrefix="0" xfId="0"/>
    <xf numFmtId="0" fontId="8" fillId="6" borderId="0" pivotButton="0" quotePrefix="0" xfId="0"/>
    <xf numFmtId="0" fontId="21" fillId="0" borderId="0" pivotButton="0" quotePrefix="0" xfId="0"/>
    <xf numFmtId="0" fontId="22" fillId="3" borderId="2" pivotButton="0" quotePrefix="0" xfId="0"/>
    <xf numFmtId="0" fontId="22" fillId="0" borderId="3" applyAlignment="1" pivotButton="0" quotePrefix="0" xfId="0">
      <alignment horizontal="right"/>
    </xf>
    <xf numFmtId="165" fontId="21" fillId="0" borderId="0" pivotButton="0" quotePrefix="0" xfId="0"/>
    <xf numFmtId="167" fontId="11" fillId="0" borderId="0" applyAlignment="1" pivotButton="0" quotePrefix="0" xfId="0">
      <alignment horizontal="right"/>
    </xf>
    <xf numFmtId="168" fontId="11" fillId="0" borderId="0" applyAlignment="1" pivotButton="0" quotePrefix="0" xfId="0">
      <alignment horizontal="right"/>
    </xf>
    <xf numFmtId="0" fontId="10" fillId="3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20" fillId="6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7" fontId="8" fillId="6" borderId="0" pivotButton="0" quotePrefix="0" xfId="0"/>
    <xf numFmtId="0" fontId="19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165" fontId="8" fillId="3" borderId="0" pivotButton="0" quotePrefix="0" xfId="0"/>
    <xf numFmtId="167" fontId="4" fillId="0" borderId="5" applyAlignment="1" pivotButton="0" quotePrefix="0" xfId="0">
      <alignment horizontal="center"/>
    </xf>
    <xf numFmtId="167" fontId="4" fillId="0" borderId="7" applyAlignment="1" pivotButton="0" quotePrefix="0" xfId="0">
      <alignment horizontal="center"/>
    </xf>
    <xf numFmtId="167" fontId="4" fillId="0" borderId="6" applyAlignment="1" pivotButton="0" quotePrefix="0" xfId="0">
      <alignment horizontal="center"/>
    </xf>
    <xf numFmtId="167" fontId="4" fillId="0" borderId="8" applyAlignment="1" pivotButton="0" quotePrefix="0" xfId="0">
      <alignment horizontal="center"/>
    </xf>
    <xf numFmtId="167" fontId="4" fillId="0" borderId="9" applyAlignment="1" pivotButton="0" quotePrefix="0" xfId="0">
      <alignment horizontal="center"/>
    </xf>
    <xf numFmtId="167" fontId="8" fillId="7" borderId="10" applyAlignment="1" pivotButton="0" quotePrefix="0" xfId="0">
      <alignment horizontal="center"/>
    </xf>
    <xf numFmtId="169" fontId="4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left"/>
    </xf>
    <xf numFmtId="170" fontId="4" fillId="0" borderId="0" pivotButton="0" quotePrefix="0" xfId="0"/>
    <xf numFmtId="171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72" fontId="4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25" fillId="2" borderId="0" applyAlignment="1" pivotButton="0" quotePrefix="0" xfId="0">
      <alignment vertical="center"/>
    </xf>
    <xf numFmtId="0" fontId="26" fillId="2" borderId="0" pivotButton="0" quotePrefix="0" xfId="0"/>
    <xf numFmtId="0" fontId="27" fillId="3" borderId="2" pivotButton="0" quotePrefix="0" xfId="0"/>
    <xf numFmtId="0" fontId="3" fillId="0" borderId="0" pivotButton="0" quotePrefix="0" xfId="0"/>
    <xf numFmtId="0" fontId="27" fillId="0" borderId="3" applyAlignment="1" pivotButton="0" quotePrefix="0" xfId="0">
      <alignment horizontal="right"/>
    </xf>
    <xf numFmtId="0" fontId="27" fillId="0" borderId="3" applyAlignment="1" pivotButton="0" quotePrefix="0" xfId="0">
      <alignment horizontal="left"/>
    </xf>
    <xf numFmtId="0" fontId="27" fillId="3" borderId="0" pivotButton="0" quotePrefix="0" xfId="0"/>
    <xf numFmtId="0" fontId="30" fillId="0" borderId="0" pivotButton="0" quotePrefix="0" xfId="0"/>
    <xf numFmtId="0" fontId="34" fillId="0" borderId="0" pivotButton="0" quotePrefix="0" xfId="1"/>
    <xf numFmtId="0" fontId="35" fillId="0" borderId="0" pivotButton="0" quotePrefix="0" xfId="0"/>
    <xf numFmtId="167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27" fillId="3" borderId="2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7" fontId="36" fillId="0" borderId="0" applyAlignment="1" pivotButton="0" quotePrefix="0" xfId="0">
      <alignment horizontal="right"/>
    </xf>
    <xf numFmtId="0" fontId="3" fillId="9" borderId="0" pivotButton="0" quotePrefix="0" xfId="0"/>
    <xf numFmtId="167" fontId="3" fillId="9" borderId="0" applyAlignment="1" pivotButton="0" quotePrefix="0" xfId="0">
      <alignment horizontal="right"/>
    </xf>
    <xf numFmtId="0" fontId="0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0" fontId="37" fillId="0" borderId="0" pivotButton="0" quotePrefix="0" xfId="0"/>
    <xf numFmtId="0" fontId="24" fillId="3" borderId="2" applyAlignment="1" pivotButton="0" quotePrefix="0" xfId="0">
      <alignment vertical="top" wrapText="1"/>
    </xf>
    <xf numFmtId="0" fontId="24" fillId="0" borderId="3" applyAlignment="1" pivotButton="0" quotePrefix="0" xfId="0">
      <alignment horizontal="left" vertical="top" wrapText="1"/>
    </xf>
    <xf numFmtId="0" fontId="24" fillId="0" borderId="3" applyAlignment="1" pivotButton="0" quotePrefix="0" xfId="0">
      <alignment horizontal="right" vertical="top" wrapText="1"/>
    </xf>
    <xf numFmtId="171" fontId="19" fillId="0" borderId="0" applyAlignment="1" pivotButton="0" quotePrefix="0" xfId="0">
      <alignment vertical="top" wrapText="1"/>
    </xf>
    <xf numFmtId="0" fontId="9" fillId="0" borderId="14" applyAlignment="1" pivotButton="0" quotePrefix="0" xfId="0">
      <alignment horizontal="right"/>
    </xf>
    <xf numFmtId="0" fontId="9" fillId="0" borderId="14" applyAlignment="1" pivotButton="0" quotePrefix="0" xfId="0">
      <alignment horizontal="left"/>
    </xf>
    <xf numFmtId="0" fontId="24" fillId="3" borderId="15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38" fillId="0" borderId="0" applyAlignment="1" pivotButton="0" quotePrefix="0" xfId="1">
      <alignment vertical="top" wrapText="1"/>
    </xf>
    <xf numFmtId="0" fontId="39" fillId="0" borderId="0" pivotButton="0" quotePrefix="0" xfId="0"/>
    <xf numFmtId="168" fontId="4" fillId="0" borderId="0" applyAlignment="1" pivotButton="0" quotePrefix="0" xfId="0">
      <alignment horizontal="right"/>
    </xf>
    <xf numFmtId="173" fontId="4" fillId="0" borderId="0" applyAlignment="1" pivotButton="0" quotePrefix="0" xfId="0">
      <alignment horizontal="right"/>
    </xf>
    <xf numFmtId="0" fontId="33" fillId="0" borderId="0" applyAlignment="1" pivotButton="0" quotePrefix="0" xfId="0">
      <alignment vertical="top" wrapText="1"/>
    </xf>
    <xf numFmtId="0" fontId="4" fillId="0" borderId="0" pivotButton="0" quotePrefix="0" xfId="0"/>
    <xf numFmtId="0" fontId="27" fillId="0" borderId="0" pivotButton="0" quotePrefix="0" xfId="0"/>
    <xf numFmtId="0" fontId="32" fillId="0" borderId="11" pivotButton="0" quotePrefix="0" xfId="0"/>
    <xf numFmtId="0" fontId="0" fillId="0" borderId="11" pivotButton="0" quotePrefix="0" xfId="0"/>
    <xf numFmtId="0" fontId="29" fillId="8" borderId="12" applyAlignment="1" pivotButton="0" quotePrefix="0" xfId="0">
      <alignment vertical="top" wrapText="1"/>
    </xf>
    <xf numFmtId="0" fontId="0" fillId="0" borderId="13" pivotButton="0" quotePrefix="0" xfId="0"/>
    <xf numFmtId="0" fontId="31" fillId="0" borderId="11" pivotButton="0" quotePrefix="0" xfId="0"/>
    <xf numFmtId="172" fontId="16" fillId="0" borderId="0" pivotButton="0" quotePrefix="0" xfId="0"/>
    <xf numFmtId="173" fontId="16" fillId="0" borderId="0" pivotButton="0" quotePrefix="0" xfId="0"/>
    <xf numFmtId="174" fontId="41" fillId="0" borderId="0" pivotButton="0" quotePrefix="0" xfId="0"/>
    <xf numFmtId="174" fontId="41" fillId="4" borderId="0" pivotButton="0" quotePrefix="0" xfId="0"/>
    <xf numFmtId="172" fontId="42" fillId="4" borderId="0" pivotButton="0" quotePrefix="0" xfId="0"/>
    <xf numFmtId="173" fontId="42" fillId="4" borderId="0" pivotButton="0" quotePrefix="0" xfId="0"/>
    <xf numFmtId="173" fontId="42" fillId="0" borderId="0" pivotButton="0" quotePrefix="0" xfId="0"/>
    <xf numFmtId="168" fontId="41" fillId="0" borderId="0" pivotButton="0" quotePrefix="0" xfId="0"/>
    <xf numFmtId="175" fontId="15" fillId="0" borderId="0" pivotButton="0" quotePrefix="0" xfId="0"/>
    <xf numFmtId="175" fontId="15" fillId="0" borderId="0" applyAlignment="1" pivotButton="0" quotePrefix="0" xfId="0">
      <alignment horizontal="right"/>
    </xf>
    <xf numFmtId="0" fontId="0" fillId="3" borderId="0" pivotButton="0" quotePrefix="0" xfId="0"/>
    <xf numFmtId="0" fontId="10" fillId="3" borderId="0" pivotButton="0" quotePrefix="0" xfId="0"/>
    <xf numFmtId="167" fontId="45" fillId="0" borderId="0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5" fontId="45" fillId="0" borderId="0" applyAlignment="1" pivotButton="0" quotePrefix="0" xfId="0">
      <alignment horizontal="right"/>
    </xf>
    <xf numFmtId="165" fontId="0" fillId="0" borderId="0" pivotButton="0" quotePrefix="0" xfId="0"/>
    <xf numFmtId="165" fontId="46" fillId="0" borderId="0" applyAlignment="1" pivotButton="0" quotePrefix="0" xfId="0">
      <alignment horizontal="right"/>
    </xf>
    <xf numFmtId="165" fontId="47" fillId="5" borderId="0" applyAlignment="1" pivotButton="0" quotePrefix="0" xfId="0">
      <alignment horizontal="right"/>
    </xf>
    <xf numFmtId="165" fontId="45" fillId="0" borderId="0" applyAlignment="1" pivotButton="0" quotePrefix="0" xfId="0">
      <alignment horizontal="right"/>
    </xf>
    <xf numFmtId="1" fontId="47" fillId="5" borderId="0" applyAlignment="1" pivotButton="0" quotePrefix="0" xfId="0">
      <alignment horizontal="right"/>
    </xf>
    <xf numFmtId="49" fontId="47" fillId="5" borderId="0" applyAlignment="1" pivotButton="0" quotePrefix="0" xfId="0">
      <alignment horizontal="right"/>
    </xf>
    <xf numFmtId="165" fontId="47" fillId="5" borderId="0" pivotButton="0" quotePrefix="0" xfId="0"/>
    <xf numFmtId="2" fontId="45" fillId="0" borderId="0" pivotButton="0" quotePrefix="0" xfId="0"/>
    <xf numFmtId="2" fontId="46" fillId="0" borderId="0" pivotButton="0" quotePrefix="0" xfId="0"/>
    <xf numFmtId="165" fontId="46" fillId="0" borderId="0" pivotButton="0" quotePrefix="0" xfId="0"/>
    <xf numFmtId="165" fontId="48" fillId="0" borderId="0" pivotButton="0" quotePrefix="0" xfId="0"/>
    <xf numFmtId="164" fontId="0" fillId="0" borderId="0" pivotButton="0" quotePrefix="0" xfId="0"/>
    <xf numFmtId="164" fontId="45" fillId="0" borderId="0" pivotButton="0" quotePrefix="0" xfId="0"/>
    <xf numFmtId="164" fontId="46" fillId="0" borderId="0" pivotButton="0" quotePrefix="0" xfId="0"/>
    <xf numFmtId="1" fontId="46" fillId="0" borderId="0" pivotButton="0" quotePrefix="0" xfId="0"/>
    <xf numFmtId="0" fontId="10" fillId="0" borderId="17" applyAlignment="1" pivotButton="0" quotePrefix="0" xfId="0">
      <alignment wrapText="1"/>
    </xf>
    <xf numFmtId="172" fontId="0" fillId="0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0" fontId="0" fillId="0" borderId="16" pivotButton="0" quotePrefix="0" xfId="0"/>
    <xf numFmtId="164" fontId="0" fillId="0" borderId="16" applyAlignment="1" pivotButton="0" quotePrefix="0" xfId="0">
      <alignment horizontal="right"/>
    </xf>
    <xf numFmtId="0" fontId="21" fillId="0" borderId="0" pivotButton="0" quotePrefix="0" xfId="0"/>
    <xf numFmtId="0" fontId="0" fillId="0" borderId="0" pivotButton="0" quotePrefix="0" xfId="0"/>
    <xf numFmtId="0" fontId="10" fillId="3" borderId="0" pivotButton="0" quotePrefix="0" xfId="0"/>
    <xf numFmtId="165" fontId="11" fillId="0" borderId="0" pivotButton="0" quotePrefix="0" xfId="0"/>
    <xf numFmtId="174" fontId="8" fillId="3" borderId="0" pivotButton="0" quotePrefix="0" xfId="0"/>
    <xf numFmtId="177" fontId="49" fillId="0" borderId="0" applyAlignment="1" pivotButton="0" quotePrefix="0" xfId="0">
      <alignment horizontal="right"/>
    </xf>
    <xf numFmtId="177" fontId="13" fillId="0" borderId="0" applyAlignment="1" pivotButton="0" quotePrefix="0" xfId="0">
      <alignment horizontal="right"/>
    </xf>
    <xf numFmtId="0" fontId="49" fillId="0" borderId="0" pivotButton="0" quotePrefix="0" xfId="0"/>
    <xf numFmtId="0" fontId="13" fillId="0" borderId="0" pivotButton="0" quotePrefix="0" xfId="0"/>
    <xf numFmtId="178" fontId="49" fillId="0" borderId="0" applyAlignment="1" pivotButton="0" quotePrefix="0" xfId="0">
      <alignment horizontal="right"/>
    </xf>
    <xf numFmtId="178" fontId="50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164" fontId="41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0" fontId="42" fillId="0" borderId="16" pivotButton="0" quotePrefix="0" xfId="0"/>
    <xf numFmtId="164" fontId="42" fillId="0" borderId="16" applyAlignment="1" pivotButton="0" quotePrefix="0" xfId="0">
      <alignment horizontal="right"/>
    </xf>
    <xf numFmtId="165" fontId="42" fillId="0" borderId="16" applyAlignment="1" pivotButton="0" quotePrefix="0" xfId="0">
      <alignment horizontal="right"/>
    </xf>
    <xf numFmtId="168" fontId="42" fillId="0" borderId="16" applyAlignment="1" pivotButton="0" quotePrefix="0" xfId="0">
      <alignment horizontal="right"/>
    </xf>
    <xf numFmtId="173" fontId="8" fillId="0" borderId="0" applyAlignment="1" pivotButton="0" quotePrefix="0" xfId="0">
      <alignment horizontal="right"/>
    </xf>
    <xf numFmtId="173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69" fontId="42" fillId="0" borderId="0" applyAlignment="1" pivotButton="0" quotePrefix="0" xfId="0">
      <alignment horizontal="right"/>
    </xf>
    <xf numFmtId="0" fontId="2" fillId="0" borderId="0" pivotButton="0" quotePrefix="0" xfId="1"/>
    <xf numFmtId="0" fontId="51" fillId="10" borderId="21" applyAlignment="1" pivotButton="0" quotePrefix="0" xfId="0">
      <alignment horizontal="center"/>
    </xf>
    <xf numFmtId="0" fontId="18" fillId="10" borderId="20" applyAlignment="1" pivotButton="0" quotePrefix="0" xfId="0">
      <alignment horizontal="center"/>
    </xf>
    <xf numFmtId="0" fontId="51" fillId="10" borderId="21" applyAlignment="1" pivotButton="0" quotePrefix="0" xfId="0">
      <alignment horizontal="center"/>
    </xf>
    <xf numFmtId="0" fontId="51" fillId="10" borderId="24" applyAlignment="1" pivotButton="0" quotePrefix="0" xfId="0">
      <alignment horizontal="center"/>
    </xf>
    <xf numFmtId="0" fontId="52" fillId="10" borderId="19" applyAlignment="1" pivotButton="0" quotePrefix="0" xfId="0">
      <alignment horizontal="center" vertical="center"/>
    </xf>
    <xf numFmtId="0" fontId="52" fillId="10" borderId="22" applyAlignment="1" pivotButton="0" quotePrefix="0" xfId="0">
      <alignment horizontal="center" vertical="center"/>
    </xf>
    <xf numFmtId="0" fontId="18" fillId="10" borderId="20" applyAlignment="1" pivotButton="0" quotePrefix="0" xfId="0">
      <alignment horizontal="center"/>
    </xf>
    <xf numFmtId="0" fontId="18" fillId="10" borderId="23" applyAlignment="1" pivotButton="0" quotePrefix="0" xfId="0">
      <alignment horizontal="center"/>
    </xf>
    <xf numFmtId="0" fontId="51" fillId="10" borderId="25" applyAlignment="1" pivotButton="0" quotePrefix="0" xfId="0">
      <alignment horizontal="center"/>
    </xf>
    <xf numFmtId="0" fontId="52" fillId="10" borderId="0" applyAlignment="1" pivotButton="0" quotePrefix="0" xfId="0">
      <alignment horizontal="center" vertical="center"/>
    </xf>
    <xf numFmtId="0" fontId="18" fillId="10" borderId="18" applyAlignment="1" pivotButton="0" quotePrefix="0" xfId="0">
      <alignment horizontal="center"/>
    </xf>
    <xf numFmtId="0" fontId="53" fillId="10" borderId="19" applyAlignment="1" pivotButton="0" quotePrefix="0" xfId="0">
      <alignment horizontal="center" vertical="center" wrapText="1"/>
    </xf>
    <xf numFmtId="179" fontId="52" fillId="10" borderId="19" applyAlignment="1" pivotButton="0" quotePrefix="0" xfId="0">
      <alignment horizontal="center" vertical="center"/>
    </xf>
    <xf numFmtId="179" fontId="52" fillId="10" borderId="19" applyAlignment="1" pivotButton="0" quotePrefix="0" xfId="0">
      <alignment horizontal="center" vertical="center"/>
    </xf>
    <xf numFmtId="180" fontId="4" fillId="0" borderId="0" pivotButton="0" quotePrefix="0" xfId="0"/>
    <xf numFmtId="180" fontId="11" fillId="0" borderId="0" pivotButton="0" quotePrefix="0" xfId="0"/>
    <xf numFmtId="180" fontId="41" fillId="0" borderId="0" pivotButton="0" quotePrefix="0" xfId="0"/>
    <xf numFmtId="9" fontId="15" fillId="0" borderId="0" applyAlignment="1" pivotButton="0" quotePrefix="0" xfId="0">
      <alignment horizontal="right"/>
    </xf>
    <xf numFmtId="2" fontId="11" fillId="0" borderId="0" applyAlignment="1" pivotButton="0" quotePrefix="0" xfId="0">
      <alignment horizontal="right"/>
    </xf>
    <xf numFmtId="179" fontId="41" fillId="0" borderId="0" applyAlignment="1" pivotButton="0" quotePrefix="0" xfId="0">
      <alignment horizontal="right"/>
    </xf>
    <xf numFmtId="0" fontId="54" fillId="0" borderId="0" pivotButton="0" quotePrefix="0" xfId="0"/>
    <xf numFmtId="181" fontId="47" fillId="0" borderId="0" pivotButton="0" quotePrefix="0" xfId="0"/>
    <xf numFmtId="182" fontId="47" fillId="0" borderId="0" pivotButton="0" quotePrefix="0" xfId="0"/>
    <xf numFmtId="3" fontId="47" fillId="0" borderId="0" pivotButton="0" quotePrefix="0" xfId="0"/>
    <xf numFmtId="10" fontId="47" fillId="0" borderId="0" pivotButton="0" quotePrefix="0" xfId="0"/>
    <xf numFmtId="10" fontId="46" fillId="0" borderId="0" pivotButton="0" quotePrefix="0" xfId="0"/>
    <xf numFmtId="174" fontId="46" fillId="0" borderId="0" pivotButton="0" quotePrefix="0" xfId="0"/>
    <xf numFmtId="4" fontId="46" fillId="0" borderId="0" pivotButton="0" quotePrefix="0" xfId="0"/>
    <xf numFmtId="172" fontId="4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177" fontId="46" fillId="0" borderId="0" pivotButton="0" quotePrefix="0" xfId="0"/>
    <xf numFmtId="0" fontId="46" fillId="0" borderId="0" applyAlignment="1" pivotButton="0" quotePrefix="0" xfId="0">
      <alignment horizontal="right"/>
    </xf>
    <xf numFmtId="0" fontId="3" fillId="6" borderId="0" pivotButton="0" quotePrefix="0" xfId="0"/>
    <xf numFmtId="0" fontId="48" fillId="6" borderId="0" applyAlignment="1" pivotButton="0" quotePrefix="0" xfId="0">
      <alignment horizontal="right"/>
    </xf>
    <xf numFmtId="0" fontId="5" fillId="2" borderId="0" pivotButton="0" quotePrefix="0" xfId="0"/>
    <xf numFmtId="0" fontId="55" fillId="2" borderId="0" pivotButton="0" quotePrefix="0" xfId="0"/>
    <xf numFmtId="0" fontId="56" fillId="2" borderId="0" pivotButton="0" quotePrefix="0" xfId="1"/>
    <xf numFmtId="0" fontId="10" fillId="3" borderId="0" applyAlignment="1" pivotButton="0" quotePrefix="0" xfId="0">
      <alignment wrapText="1"/>
    </xf>
    <xf numFmtId="0" fontId="45" fillId="6" borderId="0" pivotButton="0" quotePrefix="0" xfId="0"/>
    <xf numFmtId="0" fontId="47" fillId="0" borderId="0" pivotButton="0" quotePrefix="0" xfId="0"/>
    <xf numFmtId="183" fontId="45" fillId="6" borderId="0" pivotButton="0" quotePrefix="0" xfId="0"/>
    <xf numFmtId="183" fontId="47" fillId="0" borderId="0" pivotButton="0" quotePrefix="0" xfId="0"/>
    <xf numFmtId="179" fontId="45" fillId="6" borderId="0" pivotButton="0" quotePrefix="0" xfId="0"/>
    <xf numFmtId="179" fontId="47" fillId="0" borderId="0" pivotButton="0" quotePrefix="0" xfId="0"/>
    <xf numFmtId="178" fontId="45" fillId="6" borderId="0" pivotButton="0" quotePrefix="0" xfId="0"/>
    <xf numFmtId="178" fontId="47" fillId="0" borderId="0" pivotButton="0" quotePrefix="0" xfId="0"/>
    <xf numFmtId="174" fontId="45" fillId="6" borderId="0" pivotButton="0" quotePrefix="0" xfId="0"/>
    <xf numFmtId="174" fontId="47" fillId="0" borderId="0" pivotButton="0" quotePrefix="0" xfId="0"/>
    <xf numFmtId="0" fontId="19" fillId="0" borderId="26" applyAlignment="1" pivotButton="0" quotePrefix="0" xfId="0">
      <alignment vertical="top" wrapText="1"/>
    </xf>
    <xf numFmtId="0" fontId="19" fillId="0" borderId="27" applyAlignment="1" pivotButton="0" quotePrefix="0" xfId="0">
      <alignment vertical="top" wrapText="1"/>
    </xf>
    <xf numFmtId="0" fontId="3" fillId="0" borderId="14" pivotButton="0" quotePrefix="0" xfId="0"/>
    <xf numFmtId="0" fontId="19" fillId="0" borderId="0" applyAlignment="1" pivotButton="0" quotePrefix="0" xfId="0">
      <alignment vertical="top"/>
    </xf>
    <xf numFmtId="0" fontId="10" fillId="3" borderId="0" applyAlignment="1" pivotButton="0" quotePrefix="0" xfId="0">
      <alignment vertical="top"/>
    </xf>
    <xf numFmtId="0" fontId="8" fillId="0" borderId="14" applyAlignment="1" pivotButton="0" quotePrefix="0" xfId="0">
      <alignment vertical="top"/>
    </xf>
    <xf numFmtId="174" fontId="47" fillId="5" borderId="0" applyAlignment="1" pivotButton="0" quotePrefix="0" xfId="0">
      <alignment horizontal="right"/>
    </xf>
    <xf numFmtId="164" fontId="47" fillId="5" borderId="0" applyAlignment="1" pivotButton="0" quotePrefix="0" xfId="0">
      <alignment horizontal="right"/>
    </xf>
    <xf numFmtId="165" fontId="46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3" fillId="0" borderId="0" pivotButton="0" quotePrefix="0" xfId="0"/>
    <xf numFmtId="174" fontId="57" fillId="0" borderId="0" pivotButton="0" quotePrefix="0" xfId="0"/>
    <xf numFmtId="2" fontId="57" fillId="0" borderId="0" pivotButton="0" quotePrefix="0" xfId="0"/>
    <xf numFmtId="174" fontId="0" fillId="0" borderId="0" applyAlignment="1" pivotButton="0" quotePrefix="0" xfId="0">
      <alignment horizontal="right"/>
    </xf>
    <xf numFmtId="174" fontId="15" fillId="5" borderId="0" pivotButton="0" quotePrefix="0" xfId="0"/>
    <xf numFmtId="0" fontId="8" fillId="0" borderId="0" applyAlignment="1" pivotButton="0" quotePrefix="0" xfId="0">
      <alignment wrapText="1"/>
    </xf>
    <xf numFmtId="165" fontId="41" fillId="0" borderId="0" pivotButton="0" quotePrefix="0" xfId="0"/>
    <xf numFmtId="184" fontId="8" fillId="3" borderId="0" pivotButton="0" quotePrefix="0" xfId="0"/>
    <xf numFmtId="0" fontId="47" fillId="5" borderId="0" pivotButton="0" quotePrefix="0" xfId="0"/>
    <xf numFmtId="183" fontId="47" fillId="5" borderId="0" pivotButton="0" quotePrefix="0" xfId="0"/>
    <xf numFmtId="0" fontId="3" fillId="0" borderId="14" applyAlignment="1" pivotButton="0" quotePrefix="0" xfId="0">
      <alignment wrapText="1"/>
    </xf>
    <xf numFmtId="185" fontId="0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165" fontId="3" fillId="0" borderId="4" pivotButton="0" quotePrefix="0" xfId="0"/>
    <xf numFmtId="164" fontId="47" fillId="0" borderId="0" pivotButton="0" quotePrefix="0" xfId="0"/>
    <xf numFmtId="185" fontId="47" fillId="5" borderId="0" pivotButton="0" quotePrefix="0" xfId="0"/>
    <xf numFmtId="178" fontId="0" fillId="0" borderId="0" pivotButton="0" quotePrefix="0" xfId="0"/>
    <xf numFmtId="179" fontId="3" fillId="6" borderId="0" pivotButton="0" quotePrefix="0" xfId="0"/>
    <xf numFmtId="186" fontId="0" fillId="0" borderId="0" pivotButton="0" quotePrefix="0" xfId="0"/>
    <xf numFmtId="164" fontId="47" fillId="5" borderId="0" pivotButton="0" quotePrefix="0" xfId="0"/>
    <xf numFmtId="187" fontId="0" fillId="0" borderId="0" pivotButton="0" quotePrefix="0" xfId="0"/>
    <xf numFmtId="0" fontId="8" fillId="0" borderId="3" pivotButton="0" quotePrefix="0" xfId="0"/>
    <xf numFmtId="183" fontId="4" fillId="0" borderId="0" applyAlignment="1" pivotButton="0" quotePrefix="0" xfId="0">
      <alignment horizontal="right"/>
    </xf>
    <xf numFmtId="179" fontId="4" fillId="0" borderId="0" applyAlignment="1" pivotButton="0" quotePrefix="0" xfId="0">
      <alignment horizontal="right"/>
    </xf>
    <xf numFmtId="188" fontId="4" fillId="0" borderId="0" applyAlignment="1" pivotButton="0" quotePrefix="0" xfId="0">
      <alignment horizontal="right"/>
    </xf>
    <xf numFmtId="0" fontId="40" fillId="0" borderId="0" pivotButton="0" quotePrefix="0" xfId="0"/>
    <xf numFmtId="0" fontId="4" fillId="0" borderId="0" applyAlignment="1" pivotButton="0" quotePrefix="0" xfId="0">
      <alignment horizontal="left"/>
    </xf>
    <xf numFmtId="0" fontId="58" fillId="0" borderId="0" pivotButton="0" quotePrefix="0" xfId="0"/>
    <xf numFmtId="0" fontId="4" fillId="0" borderId="3" pivotButton="0" quotePrefix="0" xfId="0"/>
    <xf numFmtId="0" fontId="8" fillId="0" borderId="3" applyAlignment="1" pivotButton="0" quotePrefix="0" xfId="0">
      <alignment horizontal="right"/>
    </xf>
    <xf numFmtId="0" fontId="27" fillId="3" borderId="2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1"/>
    </xf>
    <xf numFmtId="0" fontId="51" fillId="10" borderId="28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179" fontId="52" fillId="10" borderId="29" applyAlignment="1" pivotButton="0" quotePrefix="0" xfId="0">
      <alignment horizontal="center" vertical="center"/>
    </xf>
    <xf numFmtId="0" fontId="0" fillId="0" borderId="22" pivotButton="0" quotePrefix="0" xfId="0"/>
    <xf numFmtId="179" fontId="52" fillId="10" borderId="19" applyAlignment="1" pivotButton="0" quotePrefix="0" xfId="0">
      <alignment horizontal="center" vertical="center"/>
    </xf>
    <xf numFmtId="0" fontId="52" fillId="10" borderId="29" applyAlignment="1" pivotButton="0" quotePrefix="0" xfId="0">
      <alignment horizontal="center" vertical="center"/>
    </xf>
    <xf numFmtId="0" fontId="18" fillId="10" borderId="30" applyAlignment="1" pivotButton="0" quotePrefix="0" xfId="0">
      <alignment horizontal="center"/>
    </xf>
    <xf numFmtId="0" fontId="0" fillId="0" borderId="23" pivotButton="0" quotePrefix="0" xfId="0"/>
    <xf numFmtId="0" fontId="0" fillId="0" borderId="18" pivotButton="0" quotePrefix="0" xfId="0"/>
    <xf numFmtId="167" fontId="3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83" fontId="4" fillId="0" borderId="0" applyAlignment="1" pivotButton="0" quotePrefix="0" xfId="0">
      <alignment horizontal="right"/>
    </xf>
    <xf numFmtId="179" fontId="4" fillId="0" borderId="0" applyAlignment="1" pivotButton="0" quotePrefix="0" xfId="0">
      <alignment horizontal="right"/>
    </xf>
    <xf numFmtId="188" fontId="4" fillId="0" borderId="0" applyAlignment="1" pivotButton="0" quotePrefix="0" xfId="0">
      <alignment horizontal="right"/>
    </xf>
    <xf numFmtId="165" fontId="41" fillId="0" borderId="0" pivotButton="0" quotePrefix="0" xfId="0"/>
    <xf numFmtId="165" fontId="11" fillId="0" borderId="0" pivotButton="0" quotePrefix="0" xfId="0"/>
    <xf numFmtId="174" fontId="15" fillId="5" borderId="0" pivotButton="0" quotePrefix="0" xfId="0"/>
    <xf numFmtId="165" fontId="15" fillId="5" borderId="0" pivotButton="0" quotePrefix="0" xfId="0"/>
    <xf numFmtId="167" fontId="8" fillId="0" borderId="0" pivotButton="0" quotePrefix="0" xfId="0"/>
    <xf numFmtId="165" fontId="4" fillId="0" borderId="0" pivotButton="0" quotePrefix="0" xfId="0"/>
    <xf numFmtId="167" fontId="8" fillId="6" borderId="0" pivotButton="0" quotePrefix="0" xfId="0"/>
    <xf numFmtId="165" fontId="8" fillId="3" borderId="0" pivotButton="0" quotePrefix="0" xfId="0"/>
    <xf numFmtId="167" fontId="4" fillId="0" borderId="6" applyAlignment="1" pivotButton="0" quotePrefix="0" xfId="0">
      <alignment horizontal="center"/>
    </xf>
    <xf numFmtId="167" fontId="4" fillId="0" borderId="8" applyAlignment="1" pivotButton="0" quotePrefix="0" xfId="0">
      <alignment horizontal="center"/>
    </xf>
    <xf numFmtId="167" fontId="4" fillId="0" borderId="5" applyAlignment="1" pivotButton="0" quotePrefix="0" xfId="0">
      <alignment horizontal="center"/>
    </xf>
    <xf numFmtId="167" fontId="8" fillId="7" borderId="10" applyAlignment="1" pivotButton="0" quotePrefix="0" xfId="0">
      <alignment horizontal="center"/>
    </xf>
    <xf numFmtId="167" fontId="4" fillId="0" borderId="7" applyAlignment="1" pivotButton="0" quotePrefix="0" xfId="0">
      <alignment horizontal="center"/>
    </xf>
    <xf numFmtId="167" fontId="4" fillId="0" borderId="9" applyAlignment="1" pivotButton="0" quotePrefix="0" xfId="0">
      <alignment horizontal="center"/>
    </xf>
    <xf numFmtId="174" fontId="8" fillId="3" borderId="0" pivotButton="0" quotePrefix="0" xfId="0"/>
    <xf numFmtId="184" fontId="8" fillId="3" borderId="0" pivotButton="0" quotePrefix="0" xfId="0"/>
    <xf numFmtId="167" fontId="4" fillId="0" borderId="0" pivotButton="0" quotePrefix="0" xfId="0"/>
    <xf numFmtId="180" fontId="11" fillId="0" borderId="0" pivotButton="0" quotePrefix="0" xfId="0"/>
    <xf numFmtId="180" fontId="4" fillId="0" borderId="0" pivotButton="0" quotePrefix="0" xfId="0"/>
    <xf numFmtId="180" fontId="41" fillId="0" borderId="0" pivotButton="0" quotePrefix="0" xfId="0"/>
    <xf numFmtId="167" fontId="45" fillId="0" borderId="0" applyAlignment="1" pivotButton="0" quotePrefix="0" xfId="0">
      <alignment horizontal="right"/>
    </xf>
    <xf numFmtId="175" fontId="45" fillId="0" borderId="0" applyAlignment="1" pivotButton="0" quotePrefix="0" xfId="0">
      <alignment horizontal="right"/>
    </xf>
    <xf numFmtId="165" fontId="46" fillId="0" borderId="0" applyAlignment="1" pivotButton="0" quotePrefix="0" xfId="0">
      <alignment horizontal="right"/>
    </xf>
    <xf numFmtId="165" fontId="47" fillId="5" borderId="0" applyAlignment="1" pivotButton="0" quotePrefix="0" xfId="0">
      <alignment horizontal="right"/>
    </xf>
    <xf numFmtId="165" fontId="45" fillId="0" borderId="0" applyAlignment="1" pivotButton="0" quotePrefix="0" xfId="0">
      <alignment horizontal="right"/>
    </xf>
    <xf numFmtId="174" fontId="47" fillId="5" borderId="0" applyAlignment="1" pivotButton="0" quotePrefix="0" xfId="0">
      <alignment horizontal="right"/>
    </xf>
    <xf numFmtId="164" fontId="47" fillId="5" borderId="0" applyAlignment="1" pivotButton="0" quotePrefix="0" xfId="0">
      <alignment horizontal="right"/>
    </xf>
    <xf numFmtId="165" fontId="47" fillId="5" borderId="0" pivotButton="0" quotePrefix="0" xfId="0"/>
    <xf numFmtId="165" fontId="46" fillId="0" borderId="0" pivotButton="0" quotePrefix="0" xfId="0"/>
    <xf numFmtId="165" fontId="48" fillId="0" borderId="0" pivotButton="0" quotePrefix="0" xfId="0"/>
    <xf numFmtId="164" fontId="45" fillId="0" borderId="0" pivotButton="0" quotePrefix="0" xfId="0"/>
    <xf numFmtId="164" fontId="46" fillId="0" borderId="0" pivotButton="0" quotePrefix="0" xfId="0"/>
    <xf numFmtId="164" fontId="3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175" fontId="0" fillId="0" borderId="0" applyAlignment="1" pivotButton="0" quotePrefix="0" xfId="0">
      <alignment horizontal="right"/>
    </xf>
    <xf numFmtId="174" fontId="57" fillId="0" borderId="0" pivotButton="0" quotePrefix="0" xfId="0"/>
    <xf numFmtId="164" fontId="0" fillId="0" borderId="16" applyAlignment="1" pivotButton="0" quotePrefix="0" xfId="0">
      <alignment horizontal="right"/>
    </xf>
    <xf numFmtId="167" fontId="20" fillId="6" borderId="0" applyAlignment="1" pivotButton="0" quotePrefix="0" xfId="0">
      <alignment horizontal="right"/>
    </xf>
    <xf numFmtId="176" fontId="0" fillId="0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7" fontId="46" fillId="0" borderId="0" pivotButton="0" quotePrefix="0" xfId="0"/>
    <xf numFmtId="174" fontId="46" fillId="0" borderId="0" pivotButton="0" quotePrefix="0" xfId="0"/>
    <xf numFmtId="167" fontId="11" fillId="0" borderId="0" applyAlignment="1" pivotButton="0" quotePrefix="0" xfId="0">
      <alignment horizontal="right"/>
    </xf>
    <xf numFmtId="168" fontId="1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7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77" fontId="13" fillId="0" borderId="0" applyAlignment="1" pivotButton="0" quotePrefix="0" xfId="0">
      <alignment horizontal="right"/>
    </xf>
    <xf numFmtId="178" fontId="50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173" fontId="4" fillId="0" borderId="0" applyAlignment="1" pivotButton="0" quotePrefix="0" xfId="0">
      <alignment horizontal="right"/>
    </xf>
    <xf numFmtId="173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73" fontId="8" fillId="0" borderId="0" applyAlignment="1" pivotButton="0" quotePrefix="0" xfId="0">
      <alignment horizontal="right"/>
    </xf>
    <xf numFmtId="169" fontId="42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4" fontId="16" fillId="0" borderId="0" pivotButton="0" quotePrefix="0" xfId="0"/>
    <xf numFmtId="165" fontId="8" fillId="0" borderId="0" pivotButton="0" quotePrefix="0" xfId="0"/>
    <xf numFmtId="165" fontId="12" fillId="0" borderId="0" pivotButton="0" quotePrefix="0" xfId="0"/>
    <xf numFmtId="166" fontId="12" fillId="0" borderId="0" pivotButton="0" quotePrefix="0" xfId="0"/>
    <xf numFmtId="164" fontId="8" fillId="4" borderId="0" pivotButton="0" quotePrefix="0" xfId="0"/>
    <xf numFmtId="165" fontId="15" fillId="0" borderId="0" pivotButton="0" quotePrefix="0" xfId="0"/>
    <xf numFmtId="165" fontId="4" fillId="4" borderId="0" pivotButton="0" quotePrefix="0" xfId="0"/>
    <xf numFmtId="167" fontId="16" fillId="0" borderId="0" pivotButton="0" quotePrefix="0" xfId="0"/>
    <xf numFmtId="167" fontId="8" fillId="4" borderId="0" pivotButton="0" quotePrefix="0" xfId="0"/>
    <xf numFmtId="172" fontId="16" fillId="0" borderId="0" pivotButton="0" quotePrefix="0" xfId="0"/>
    <xf numFmtId="172" fontId="42" fillId="4" borderId="0" pivotButton="0" quotePrefix="0" xfId="0"/>
    <xf numFmtId="174" fontId="41" fillId="0" borderId="0" pivotButton="0" quotePrefix="0" xfId="0"/>
    <xf numFmtId="174" fontId="41" fillId="4" borderId="0" pivotButton="0" quotePrefix="0" xfId="0"/>
    <xf numFmtId="173" fontId="16" fillId="0" borderId="0" pivotButton="0" quotePrefix="0" xfId="0"/>
    <xf numFmtId="173" fontId="42" fillId="4" borderId="0" pivotButton="0" quotePrefix="0" xfId="0"/>
    <xf numFmtId="173" fontId="42" fillId="0" borderId="0" pivotButton="0" quotePrefix="0" xfId="0"/>
    <xf numFmtId="164" fontId="15" fillId="0" borderId="0" pivotButton="0" quotePrefix="0" xfId="0"/>
    <xf numFmtId="164" fontId="15" fillId="0" borderId="0" applyAlignment="1" pivotButton="0" quotePrefix="0" xfId="0">
      <alignment horizontal="right"/>
    </xf>
    <xf numFmtId="164" fontId="8" fillId="0" borderId="0" pivotButton="0" quotePrefix="0" xfId="0"/>
    <xf numFmtId="164" fontId="8" fillId="0" borderId="0" applyAlignment="1" pivotButton="0" quotePrefix="0" xfId="0">
      <alignment horizontal="right"/>
    </xf>
    <xf numFmtId="164" fontId="8" fillId="0" borderId="4" pivotButton="0" quotePrefix="0" xfId="0"/>
    <xf numFmtId="164" fontId="8" fillId="0" borderId="4" applyAlignment="1" pivotButton="0" quotePrefix="0" xfId="0">
      <alignment horizontal="right"/>
    </xf>
    <xf numFmtId="164" fontId="4" fillId="0" borderId="0" pivotButton="0" quotePrefix="0" xfId="0"/>
    <xf numFmtId="168" fontId="41" fillId="0" borderId="0" pivotButton="0" quotePrefix="0" xfId="0"/>
    <xf numFmtId="175" fontId="15" fillId="0" borderId="0" pivotButton="0" quotePrefix="0" xfId="0"/>
    <xf numFmtId="175" fontId="15" fillId="0" borderId="0" applyAlignment="1" pivotButton="0" quotePrefix="0" xfId="0">
      <alignment horizontal="right"/>
    </xf>
    <xf numFmtId="164" fontId="47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85" fontId="47" fillId="5" borderId="0" pivotButton="0" quotePrefix="0" xfId="0"/>
    <xf numFmtId="164" fontId="3" fillId="0" borderId="4" pivotButton="0" quotePrefix="0" xfId="0"/>
    <xf numFmtId="165" fontId="3" fillId="0" borderId="4" pivotButton="0" quotePrefix="0" xfId="0"/>
    <xf numFmtId="179" fontId="3" fillId="6" borderId="0" pivotButton="0" quotePrefix="0" xfId="0"/>
    <xf numFmtId="178" fontId="0" fillId="0" borderId="0" pivotButton="0" quotePrefix="0" xfId="0"/>
    <xf numFmtId="185" fontId="0" fillId="0" borderId="0" pivotButton="0" quotePrefix="0" xfId="0"/>
    <xf numFmtId="186" fontId="0" fillId="0" borderId="0" pivotButton="0" quotePrefix="0" xfId="0"/>
    <xf numFmtId="164" fontId="47" fillId="5" borderId="0" pivotButton="0" quotePrefix="0" xfId="0"/>
    <xf numFmtId="187" fontId="0" fillId="0" borderId="0" pivotButton="0" quotePrefix="0" xfId="0"/>
    <xf numFmtId="164" fontId="41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4" fontId="42" fillId="0" borderId="16" applyAlignment="1" pivotButton="0" quotePrefix="0" xfId="0">
      <alignment horizontal="right"/>
    </xf>
    <xf numFmtId="165" fontId="42" fillId="0" borderId="16" applyAlignment="1" pivotButton="0" quotePrefix="0" xfId="0">
      <alignment horizontal="right"/>
    </xf>
    <xf numFmtId="168" fontId="42" fillId="0" borderId="16" applyAlignment="1" pivotButton="0" quotePrefix="0" xfId="0">
      <alignment horizontal="right"/>
    </xf>
    <xf numFmtId="171" fontId="4" fillId="0" borderId="0" applyAlignment="1" pivotButton="0" quotePrefix="0" xfId="0">
      <alignment horizontal="right"/>
    </xf>
    <xf numFmtId="170" fontId="4" fillId="0" borderId="0" pivotButton="0" quotePrefix="0" xfId="0"/>
    <xf numFmtId="167" fontId="4" fillId="0" borderId="0" applyAlignment="1" pivotButton="0" quotePrefix="0" xfId="0">
      <alignment horizontal="right"/>
    </xf>
    <xf numFmtId="172" fontId="4" fillId="0" borderId="0" applyAlignment="1" pivotButton="0" quotePrefix="0" xfId="0">
      <alignment horizontal="right"/>
    </xf>
    <xf numFmtId="165" fontId="21" fillId="0" borderId="0" pivotButton="0" quotePrefix="0" xfId="0"/>
    <xf numFmtId="179" fontId="41" fillId="0" borderId="0" applyAlignment="1" pivotButton="0" quotePrefix="0" xfId="0">
      <alignment horizontal="right"/>
    </xf>
    <xf numFmtId="171" fontId="19" fillId="0" borderId="0" applyAlignment="1" pivotButton="0" quotePrefix="0" xfId="0">
      <alignment vertical="top" wrapText="1"/>
    </xf>
    <xf numFmtId="183" fontId="45" fillId="6" borderId="0" pivotButton="0" quotePrefix="0" xfId="0"/>
    <xf numFmtId="179" fontId="45" fillId="6" borderId="0" pivotButton="0" quotePrefix="0" xfId="0"/>
    <xf numFmtId="178" fontId="45" fillId="6" borderId="0" pivotButton="0" quotePrefix="0" xfId="0"/>
    <xf numFmtId="174" fontId="45" fillId="6" borderId="0" pivotButton="0" quotePrefix="0" xfId="0"/>
    <xf numFmtId="183" fontId="47" fillId="0" borderId="0" pivotButton="0" quotePrefix="0" xfId="0"/>
    <xf numFmtId="179" fontId="47" fillId="0" borderId="0" pivotButton="0" quotePrefix="0" xfId="0"/>
    <xf numFmtId="178" fontId="47" fillId="0" borderId="0" pivotButton="0" quotePrefix="0" xfId="0"/>
    <xf numFmtId="174" fontId="47" fillId="0" borderId="0" pivotButton="0" quotePrefix="0" xfId="0"/>
    <xf numFmtId="181" fontId="47" fillId="0" borderId="0" pivotButton="0" quotePrefix="0" xfId="0"/>
    <xf numFmtId="182" fontId="47" fillId="0" borderId="0" pivotButton="0" quotePrefix="0" xfId="0"/>
    <xf numFmtId="172" fontId="46" fillId="0" borderId="0" pivotButton="0" quotePrefix="0" xfId="0"/>
    <xf numFmtId="183" fontId="47" fillId="5" borderId="0" pivotButton="0" quotePrefix="0" xfId="0"/>
  </cellXfs>
  <cellStyles count="2">
    <cellStyle name="Normal" xfId="0" builtinId="0"/>
    <cellStyle name="Hyperlink" xfId="1" builtinId="8"/>
  </cellStyles>
  <dxfs count="15">
    <dxf>
      <font>
        <color rgb="FF006100"/>
      </font>
    </dxf>
    <dxf>
      <font>
        <color rgb="FFC00000"/>
      </font>
    </dxf>
    <dxf>
      <fill>
        <patternFill patternType="solid">
          <bgColor rgb="FFFFF2CC"/>
        </patternFill>
      </fill>
    </dxf>
    <dxf>
      <font>
        <color rgb="FF006100"/>
      </font>
    </dxf>
    <dxf>
      <font>
        <color rgb="FFC00000"/>
      </font>
    </dxf>
    <dxf>
      <font>
        <color rgb="FF548235"/>
      </font>
    </dxf>
    <dxf>
      <font>
        <color rgb="FFBF8F00"/>
      </font>
    </dxf>
    <dxf>
      <font>
        <color rgb="FFC0000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703C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Relationship Id="rIdQWmeta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NKE price, 5 years (total return, $)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</c:v>
          </c:tx>
          <c:spPr>
            <a:ln w="1905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Data!$A$2:$A$1256</c:f>
            </c:numRef>
          </c:cat>
          <c:val>
            <c:numRef>
              <c:f>Data!$E$2:$E$1256</c:f>
            </c:numRef>
          </c:val>
          <c:smooth val="0"/>
          <c:extLst>
            <c:ext xmlns:c16="http://schemas.microsoft.com/office/drawing/2014/chart" uri="{C3380CC4-5D6E-409C-BE32-E72D297353CC}">
              <c16:uniqueId val="{00000001-C6F1-4C2B-9749-FF759F4371A4}"/>
            </c:ext>
          </c:extLst>
        </c:ser>
        <c:ser>
          <c:idx val="1"/>
          <c:order val="1"/>
          <c:tx>
            <c:v>200-day MA</c:v>
          </c:tx>
          <c:spPr>
            <a:ln w="158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Data!$A$2:$A$1256</c:f>
            </c:numRef>
          </c:cat>
          <c:val>
            <c:numRef>
              <c:f>Data!$J$2:$J$1256</c:f>
            </c:numRef>
          </c:val>
          <c:smooth val="0"/>
          <c:extLst>
            <c:ext xmlns:c16="http://schemas.microsoft.com/office/drawing/2014/chart" uri="{C3380CC4-5D6E-409C-BE32-E72D297353CC}">
              <c16:uniqueId val="{00000002-C6F1-4C2B-9749-FF759F43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381312"/>
        <c:axId val="1536532080"/>
      </c:lineChart>
      <c:dateAx>
        <c:axId val="172238131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32080"/>
        <c:crosses val="autoZero"/>
        <c:auto val="1"/>
        <c:lblOffset val="100"/>
        <c:baseTimeUnit val="days"/>
      </c:dateAx>
      <c:valAx>
        <c:axId val="153653208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8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>
      <a:solidFill>
        <a:srgbClr val="D9D9D9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— value per share vs price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Scenarios!$B$48</c:f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Scenarios!$A$49:$A$57</c:f>
            </c:strRef>
          </c:cat>
          <c:val>
            <c:numRef>
              <c:f>Scenarios!$B$49:$B$57</c:f>
            </c:numRef>
          </c:val>
          <c:extLst>
            <c:ext xmlns:c16="http://schemas.microsoft.com/office/drawing/2014/chart" uri="{C3380CC4-5D6E-409C-BE32-E72D297353CC}">
              <c16:uniqueId val="{00000000-B3E8-404E-BABB-17ECC3FBA261}"/>
            </c:ext>
          </c:extLst>
        </c:ser>
        <c:ser>
          <c:idx val="2"/>
          <c:order val="1"/>
          <c:tx>
            <c:strRef>
              <c:f>Scenarios!$D$48</c:f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E8-404E-BABB-17ECC3FBA261}"/>
              </c:ext>
            </c:extLst>
          </c:dPt>
          <c:dPt>
            <c:idx val="6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E8-404E-BABB-17ECC3FBA261}"/>
              </c:ext>
            </c:extLst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E8-404E-BABB-17ECC3FBA261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E8-404E-BABB-17ECC3FBA261}"/>
              </c:ext>
            </c:extLst>
          </c:dPt>
          <c:cat>
            <c:strRef>
              <c:f>Scenarios!$A$49:$A$57</c:f>
            </c:strRef>
          </c:cat>
          <c:val>
            <c:numRef>
              <c:f>Scenarios!$D$49:$D$57</c:f>
            </c:numRef>
          </c:val>
          <c:extLst>
            <c:ext xmlns:c16="http://schemas.microsoft.com/office/drawing/2014/chart" uri="{C3380CC4-5D6E-409C-BE32-E72D297353CC}">
              <c16:uniqueId val="{00000002-B3E8-404E-BABB-17ECC3FBA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456531407"/>
        <c:axId val="206285583"/>
      </c:barChart>
      <c:catAx>
        <c:axId val="4565314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5583"/>
        <c:crosses val="autoZero"/>
        <c:auto val="1"/>
        <c:lblAlgn val="ctr"/>
        <c:lblOffset val="100"/>
        <c:noMultiLvlLbl val="0"/>
      </c:catAx>
      <c:valAx>
        <c:axId val="206285583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3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00" verticalDpi="300"/>
  </c:printSettings>
</c:chartSpace>
</file>

<file path=xl/comments/comment1.xml><?xml version="1.0" encoding="utf-8"?>
<comments xmlns="http://schemas.openxmlformats.org/spreadsheetml/2006/main">
  <authors>
    <author>QuantWizard</author>
  </authors>
  <commentList>
    <comment ref="B14" authorId="0" shapeId="0">
      <text>
        <t>FRED DGS3MO on 25-Sep-2026: 4.19%. https://fred.stlouisfed.org/series/DGS3MO</t>
      </text>
    </comment>
    <comment ref="B25" authorId="0" shapeId="0">
      <text>
        <t>FRED DGS10 on 25-Sep-2026: 5.11%. https://fred.stlouisfed.org/series/DGS10</t>
      </text>
    </comment>
  </commentList>
</comments>
</file>

<file path=xl/comments/comment2.xml><?xml version="1.0" encoding="utf-8"?>
<comments xmlns="http://schemas.openxmlformats.org/spreadsheetml/2006/main">
  <authors>
    <author>QuantWizard</author>
  </authors>
  <commentList>
    <comment ref="B10" authorId="0" shapeId="0">
      <text>
        <t>Source: Nike, Inc. Form 10-K for the period ended 31-May-2026 (filed 15-Jul-2026), dividends declared per share, SEC EDGAR XBRL, https://www.sec.gov/Archives/edgar/data/320187/000032018726000088/nke-20260531.htm</t>
      </text>
    </comment>
    <comment ref="B28" authorId="0" shapeId="0">
      <text>
        <t>Source: Nike, Inc. Form 10-K for the period ended 31-May-2026 (filed 15-Jul-2026), gross profit ÷ revenue for the fiscal year, SEC EDGAR XBRL, https://www.sec.gov/Archives/edgar/data/320187/000032018726000088/nke-20260531.htm</t>
      </text>
    </comment>
  </commentList>
</comments>
</file>

<file path=xl/comments/comment3.xml><?xml version="1.0" encoding="utf-8"?>
<comments xmlns="http://schemas.openxmlformats.org/spreadsheetml/2006/main">
  <authors>
    <author>QuantWizard</author>
  </authors>
  <commentList>
    <comment ref="A6" authorId="0" shapeId="0">
      <text>
        <t>EPS per fiscal year restated onto today's share basis (splits removed); price low / average / high per calendar year from daily closes. Source: SEC XBRL EPS and Yahoo Finance prices via QuantWizard.</t>
      </text>
    </comment>
  </commentList>
</comments>
</file>

<file path=xl/comments/comment4.xml><?xml version="1.0" encoding="utf-8"?>
<comments xmlns="http://schemas.openxmlformats.org/spreadsheetml/2006/main">
  <authors>
    <author>QuantWizard</author>
  </authors>
  <commentList>
    <comment ref="A6" authorId="0" shapeId="0">
      <text>
        <t>Source: QuantWizard export of SEC XBRL company facts (Nike, Inc. 10-K filings FY2017–FY2026), rows Revenue (6), Net income (8), Free cash flow (10). https://www.sec.gov/cgi-bin/browse-edgar?action=getcompany&amp;CIK=0000320187&amp;type=10-&amp;dateb=&amp;owner=include&amp;count=40</t>
      </text>
    </comment>
    <comment ref="B17" authorId="0" shapeId="0">
      <text>
        <t>Source: Nike, Inc. Form 10-Q for the period ended 31-Aug-2025 (filed 01-Oct-2025), quarter ended 31-Aug-2025, SEC EDGAR XBRL, https://www.sec.gov/Archives/edgar/data/320187/000032018725000097/nke-20250831.htm</t>
      </text>
    </comment>
    <comment ref="C17" authorId="0" shapeId="0">
      <text>
        <t>Source: Nike, Inc. Form 10-Q for the period ended 30-Nov-2025 (filed 30-Dec-2025), quarter ended 30-Nov-2025, SEC EDGAR XBRL, https://www.sec.gov/Archives/edgar/data/320187/000032018725000151/nke-20251130.htm</t>
      </text>
    </comment>
    <comment ref="D17" authorId="0" shapeId="0">
      <text>
        <t>Source: Nike, Inc. Form 10-Q for the period ended 28-Feb-2026 (filed 01-Apr-2026), quarter ended 28-Feb-2026, SEC EDGAR XBRL, https://www.sec.gov/Archives/edgar/data/320187/000032018726000037/nke-20260228.htm</t>
      </text>
    </comment>
    <comment ref="E17" authorId="0" shapeId="0">
      <text>
        <t>Source: Nike, Inc. Form 10-K for the period ended 31-May-2026 (filed 15-Jul-2026), quarter ended 31-May-2026, SEC EDGAR XBRL, https://www.sec.gov/Archives/edgar/data/320187/000032018726000088/nke-20260531.htm</t>
      </text>
    </comment>
    <comment ref="B19" authorId="0" shapeId="0">
      <text>
        <t>Source: Nike, Inc. Form 10-Q for the period ended 31-Aug-2025 (filed 01-Oct-2025), quarter ended 31-Aug-2025, SEC EDGAR XBRL, https://www.sec.gov/Archives/edgar/data/320187/000032018725000097/nke-20250831.htm</t>
      </text>
    </comment>
    <comment ref="C19" authorId="0" shapeId="0">
      <text>
        <t>Source: Nike, Inc. Form 10-Q for the period ended 30-Nov-2025 (filed 30-Dec-2025), quarter ended 30-Nov-2025, SEC EDGAR XBRL, https://www.sec.gov/Archives/edgar/data/320187/000032018725000151/nke-20251130.htm</t>
      </text>
    </comment>
    <comment ref="D19" authorId="0" shapeId="0">
      <text>
        <t>Source: Nike, Inc. Form 10-Q for the period ended 28-Feb-2026 (filed 01-Apr-2026), quarter ended 28-Feb-2026, SEC EDGAR XBRL, https://www.sec.gov/Archives/edgar/data/320187/000032018726000037/nke-20260228.htm</t>
      </text>
    </comment>
    <comment ref="E19" authorId="0" shapeId="0">
      <text>
        <t>Source: Nike, Inc. Form 10-K for the period ended 31-May-2026 (filed 15-Jul-2026), quarter ended 31-May-2026, SEC EDGAR XBRL, https://www.sec.gov/Archives/edgar/data/320187/000032018726000088/nke-20260531.htm</t>
      </text>
    </comment>
    <comment ref="B32" authorId="0" shapeId="0">
      <text>
        <t>Source: Nike, Inc. Form 10-K for the period ended 31-May-2026 (filed 15-Jul-2026), balance sheet and cash flow, SEC EDGAR XBRL, https://www.sec.gov/Archives/edgar/data/320187/000032018726000088/nke-20260531.htm</t>
      </text>
    </comment>
    <comment ref="C32" authorId="0" shapeId="0">
      <text>
        <t>Source: Nike, Inc. Form 10-K for the period ended 31-May-2026 (filed 15-Jul-2026), balance sheet; trailing-twelve-month flows, SEC EDGAR XBRL, https://www.sec.gov/Archives/edgar/data/320187/000032018726000088/nke-20260531.htm</t>
      </text>
    </comment>
    <comment ref="C54" authorId="0" shapeId="0">
      <text>
        <t>Source: Nike, Inc. Form 10-K for the period ended 31-May-2026 (filed 15-Jul-2026), equity securities without readily determinable fair value plus equity-method investments, SEC EDGAR XBRL, https://www.sec.gov/Archives/edgar/data/320187/000032018726000088/nke-20260531.htm</t>
      </text>
    </comment>
    <comment ref="C55" authorId="0" shapeId="0">
      <text>
        <t>Source: Nike, Inc. Form 10-K for the period ended 31-May-2026 (filed 15-Jul-2026), preferred stock carrying value, SEC EDGAR XBRL, https://www.sec.gov/Archives/edgar/data/320187/000032018726000088/nke-20260531.htm</t>
      </text>
    </comment>
    <comment ref="C56" authorId="0" shapeId="0">
      <text>
        <t>Shares outstanding on the latest filing cover (08-Jul-2026), all share classes summed; basis: filing instance (all classes).</t>
      </text>
    </comment>
  </commentList>
</comments>
</file>

<file path=xl/comments/comment5.xml><?xml version="1.0" encoding="utf-8"?>
<comments xmlns="http://schemas.openxmlformats.org/spreadsheetml/2006/main">
  <authors>
    <author>QuantWizard</author>
  </authors>
  <commentList>
    <comment ref="A6" authorId="0" shapeId="0">
      <text>
        <t>Source: Nike, Inc. Form 10-K for the period ended 31-May-2026 (filed 15-Jul-2026), segment revenue and operating income (fiscal year to 31-May-2026 and a year earlier), SEC EDGAR XBRL, https://www.sec.gov/Archives/edgar/data/320187/000032018726000088/nke-20260531.htm</t>
      </text>
    </comment>
    <comment ref="I6" authorId="0" shapeId="0">
      <text>
        <t>House assumption: 6x — the peer-median EV/EBITDA used as each profitable segment's EV/EBIT multiple (conservative, since EV/EBIT exceeds EV/EBITDA). Loss-making segments at 0x; corporate costs at the same multiple. Edit freely.</t>
      </text>
    </comment>
    <comment ref="A24" authorId="0" shapeId="0">
      <text>
        <t>Source: the company's XBRL (latest 10-Q / 10-K): revenue, R&amp;D expense, remaining performance obligations, current contract liabilities and inventory - whichever the company reports.</t>
      </text>
    </comment>
    <comment ref="B33" authorId="0" shapeId="0">
      <text>
        <t>Yahoo Finance analyst estimates (unofficial), retrieved 25-Sep-2026 (41 analysts). Next-12-month revenue = the rest of the current fiscal year plus the matching share of next year's estimate; year 2 extends next year's estimate at its own growth rate. Unofficial.</t>
      </text>
    </comment>
  </commentList>
</comments>
</file>

<file path=xl/comments/comment6.xml><?xml version="1.0" encoding="utf-8"?>
<comments xmlns="http://schemas.openxmlformats.org/spreadsheetml/2006/main">
  <authors>
    <author>QuantWizard</author>
  </authors>
  <commentList>
    <comment ref="C5" authorId="0" shapeId="0">
      <text>
        <t>Source: SEC XBRL company facts (10-K cash-flow statements): payments for repurchase of common stock, dividends paid, share-based compensation; diluted weighted-average shares. 0 = none paid that year.</t>
      </text>
    </comment>
  </commentList>
</comments>
</file>

<file path=xl/comments/comment7.xml><?xml version="1.0" encoding="utf-8"?>
<comments xmlns="http://schemas.openxmlformats.org/spreadsheetml/2006/main">
  <authors>
    <author>QuantWizard</author>
  </authors>
  <commentList>
    <comment ref="A1" authorId="0" shapeId="0">
      <text>
        <t>INPUT BLOCK (A:G) — written by QuantWizard: the last 1,255 trading days, oldest first, rows 2–1256. Close = split- and dividend-adjusted close; SPY_Return = SPY adjusted-close daily return. Source: Yahoo Finance via QuantWizard. Columns H:N are formulas.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8</col>
      <colOff>76200</colOff>
      <row>27</row>
      <rowOff>114300</rowOff>
    </from>
    <to>
      <col>17</col>
      <colOff>431800</colOff>
      <row>42</row>
      <rowOff>177800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76200</colOff>
      <row>7</row>
      <rowOff>0</rowOff>
    </from>
    <to>
      <col>17</col>
      <colOff>431800</colOff>
      <row>28</row>
      <rowOff>57150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320187/000032018726000170/nke-20260915.htm" TargetMode="External" Id="rId1"/><Relationship Type="http://schemas.openxmlformats.org/officeDocument/2006/relationships/hyperlink" Target="https://finnhub.io/api/news?id=fbde0f115a0de3714b6c1e0833938c26ce6538a20797ebc8d0b96d20c7b934e6" TargetMode="External" Id="rId2"/><Relationship Type="http://schemas.openxmlformats.org/officeDocument/2006/relationships/hyperlink" Target="https://finnhub.io/api/news?id=65493f18447ee059efdbcc4a7ed91db2a14e2aafca81e2a9e7bf019981108d06" TargetMode="External" Id="rId3"/><Relationship Type="http://schemas.openxmlformats.org/officeDocument/2006/relationships/hyperlink" Target="https://news.google.com/rss/articles/CBMic0FVX3lxTE5faEhJY2FERFpaelYtMVdJZ2JGb1FURjBtUE82aHl2RWFnclVFYnpkX2dsLTdJUXBuLWZaaWZzWGZ1cjlBNnRfaFdDVF9yQkhNdlFha21hWHFzalNKRlNLdlVKMl9vcGxYaHdMTmIxTm1fZ1k?oc=5" TargetMode="External" Id="rId4"/><Relationship Type="http://schemas.openxmlformats.org/officeDocument/2006/relationships/hyperlink" Target="https://www.zacks.com/stock/news/2993031/nike-s-marketplace-strategy-balancing-reach-and-profitability?cid=CS-ZC-FT-analyst_blog|quick_take-2993031" TargetMode="External" Id="rId5"/><Relationship Type="http://schemas.openxmlformats.org/officeDocument/2006/relationships/hyperlink" Target="https://news.google.com/rss/articles/CBMipwFBVV95cUxPOUtUb0lXSWFXR2hacEVCMEl3VUR6QXVNLVlGZ0FjX1pGb2FTWW5mOUw4S2NuRUlfekhKQ3lVQkdJOUtGUl9KRGVlOUlKWmVoM01CdXlRR243V0pVdDBpR2JfejMxWHdDRWtDYW9VRmx6dUtPaUtINW5VdkVoaU9UcHlpQ1BGU1BJSzFsQ0h4ZW9hZVlJUmcwdHdfblFxTG91VlJfdXhZZw?oc=5" TargetMode="External" Id="rId6"/><Relationship Type="http://schemas.openxmlformats.org/officeDocument/2006/relationships/hyperlink" Target="https://news.google.com/rss/articles/CBMigwJBVV95cUxNS0VqdEpLZTlXWmxUY0tPc2ZZZGtzeWQ3bGliakRfNnFISzNWV0x6bU94NThfMjVoaDlHNFN0ZXJGZkxhMENWYVZoLTAtMFhuZ0J2RDJuc05vQmF1UWdRU0NNeC04QV9faG11Tm5IbE4tWFQ1dGloeDdZdmZOek4zQmhUVGpkS2dLN3pmaWtBb1pvb1EyazNCZ0hvMEJBTjZZalZuQnVqLVAzemVRVkg2dXVoVGpZdDg0ZEhfczJmcXIzVTNnTkVsN1BZa2dwdXJxRlJVeWJYZFBwV2YyVlRfNkxrUUxyM1ZUNm45azlmNWg4Q3pYemV6Y0VWcWJ1RFJGLWlz?oc=5" TargetMode="External" Id="rId7"/><Relationship Type="http://schemas.openxmlformats.org/officeDocument/2006/relationships/hyperlink" Target="https://news.google.com/rss/articles/CBMidkFVX3lxTE9FTy05Z1ZUWFcwb1BaSUVNdGhHdGllTnltZTNEV2lEdHhpQWlubWc3UHR6MHVFc05QVWhNal92anNIaDRvUHFHR0czN0FJdjNpbHA0VjNRM2QwMUhKUTg5UHo5aUc2REZaRG95cGFaeXNJUUY1S3c?oc=5" TargetMode="External" Id="rId8"/><Relationship Type="http://schemas.openxmlformats.org/officeDocument/2006/relationships/hyperlink" Target="https://news.google.com/rss/articles/CBMi0wFBVV95cUxNOGpuY0xuamtBQVZ1MWEtazJ1YnNjTXZiYXJNZkFrT18ya0N3OGhHWjE5S3NsVWxvOVdYMjJJZnl3MHh6YmNBcEl0d3VadGkyWE1HYnNjT0paXzJCZWVrZU9mbzdKdHNILXRqakY5ZGNxZnBsNHVfNkI3bjhraXAtVHNwMjVUWjBtU29lbUItYmlDZEtaaUxOdm9wSDlOTHhXVk9BNW5fSEowMEhjT2g1bjYxSU42UFd4NWJvb003Q1ROUTlYOGFVWEw1X0NCeEktbGxN?oc=5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sec.gov/Archives/edgar/data/320187/000032018725000097/nke-20250831.htm" TargetMode="External" Id="rId1"/><Relationship Type="http://schemas.openxmlformats.org/officeDocument/2006/relationships/hyperlink" Target="https://www.sec.gov/Archives/edgar/data/320187/000032018725000151/nke-20251130.htm" TargetMode="External" Id="rId2"/><Relationship Type="http://schemas.openxmlformats.org/officeDocument/2006/relationships/hyperlink" Target="https://www.sec.gov/Archives/edgar/data/320187/000032018726000037/nke-20260228.htm" TargetMode="External" Id="rId3"/><Relationship Type="http://schemas.openxmlformats.org/officeDocument/2006/relationships/hyperlink" Target="https://www.sec.gov/Archives/edgar/data/320187/000032018726000088/nke-20260531.htm" TargetMode="External" Id="rId4"/><Relationship Type="http://schemas.openxmlformats.org/officeDocument/2006/relationships/hyperlink" Target="https://www.sec.gov/Archives/edgar/data/320187/000032018726000088/nke-20260531.htm" TargetMode="External" Id="rId5"/><Relationship Type="http://schemas.openxmlformats.org/officeDocument/2006/relationships/hyperlink" Target="https://www.sec.gov/Archives/edgar/data/320187/000032018726000088/nke-20260531.htm" TargetMode="External" Id="rId6"/><Relationship Type="http://schemas.openxmlformats.org/officeDocument/2006/relationships/hyperlink" Target="https://www.sec.gov/cgi-bin/browse-edgar?action=getcompany&amp;CIK=0000320187&amp;type=10-&amp;dateb=&amp;owner=include&amp;count=40" TargetMode="External" Id="rId7"/><Relationship Type="http://schemas.openxmlformats.org/officeDocument/2006/relationships/hyperlink" Target="https://finance.yahoo.com/quote/NKE/history/" TargetMode="External" Id="rId8"/><Relationship Type="http://schemas.openxmlformats.org/officeDocument/2006/relationships/hyperlink" Target="https://fred.stlouisfed.org/series/DGS3MO" TargetMode="External" Id="rId9"/><Relationship Type="http://schemas.openxmlformats.org/officeDocument/2006/relationships/hyperlink" Target="https://fred.stlouisfed.org/series/DGS10" TargetMode="External" Id="rId10"/><Relationship Type="http://schemas.openxmlformats.org/officeDocument/2006/relationships/hyperlink" Target="https://www.sec.gov/cgi-bin/browse-edgar?action=getcompany&amp;CIK=0000320187&amp;type=10-&amp;dateb=&amp;owner=include&amp;count=40" TargetMode="External" Id="rId11"/><Relationship Type="http://schemas.openxmlformats.org/officeDocument/2006/relationships/hyperlink" Target="https://www.sec.gov/Archives/edgar/data/320187/000032018726000088/nke-20260531.htm" TargetMode="External" Id="rId12"/><Relationship Type="http://schemas.openxmlformats.org/officeDocument/2006/relationships/hyperlink" Target="https://www.sec.gov/Archives/edgar/data/320187/000032018726000088/nke-20260531.htm" TargetMode="External" Id="rId13"/><Relationship Type="http://schemas.openxmlformats.org/officeDocument/2006/relationships/hyperlink" Target="https://finance.yahoo.com/quote/NKE/analysis/" TargetMode="External" Id="rId14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H63"/>
  <sheetViews>
    <sheetView showGridLines="0" zoomScale="71" workbookViewId="0">
      <pane ySplit="2" topLeftCell="A3" activePane="bottomLeft" state="frozen"/>
      <selection pane="bottomLeft" activeCell="V22" sqref="V22"/>
    </sheetView>
  </sheetViews>
  <sheetFormatPr baseColWidth="8" defaultRowHeight="14.5"/>
  <cols>
    <col width="36.36328125" customWidth="1" style="117" min="1" max="1"/>
    <col width="14.54296875" customWidth="1" style="117" min="2" max="3"/>
    <col width="3.6328125" customWidth="1" style="117" min="4" max="4"/>
    <col width="30.90625" customWidth="1" style="117" min="5" max="5"/>
    <col width="14.54296875" customWidth="1" style="117" min="6" max="8"/>
    <col width="8.7265625" customWidth="1" style="117" min="9" max="26"/>
  </cols>
  <sheetData>
    <row r="1" ht="30" customHeight="1" s="160">
      <c r="A1" s="77">
        <f>Data!$Q$2&amp;" ("&amp;Data!$Q$4&amp;": "&amp;Data!$Q$3&amp;") — Equity Research Summary"</f>
        <v/>
      </c>
      <c r="B1" s="77" t="n"/>
      <c r="C1" s="77" t="n"/>
      <c r="D1" s="77" t="n"/>
      <c r="E1" s="77" t="n"/>
      <c r="F1" s="77" t="n"/>
      <c r="G1" s="77" t="n"/>
      <c r="H1" s="77" t="n"/>
    </row>
    <row r="2">
      <c r="A2" s="78">
        <f>"Report date "&amp;TEXT(Data!$Q$5,"d-mmm-yyyy")&amp;" · Price $ per share · Financials $ in billions · Fiscal year ends "&amp;Data!$Q$6</f>
        <v/>
      </c>
      <c r="B2" s="78" t="n"/>
      <c r="C2" s="78" t="n"/>
      <c r="D2" s="78" t="n"/>
      <c r="E2" s="78" t="n"/>
      <c r="F2" s="78" t="n"/>
      <c r="G2" s="78" t="n"/>
      <c r="H2" s="78" t="n"/>
    </row>
    <row r="3" ht="8" customHeight="1" s="160" thickBot="1"/>
    <row r="4" ht="16" customHeight="1" s="160" thickTop="1">
      <c r="A4" s="186" t="inlineStr">
        <is>
          <t>VERDICT (MODEL VIEW)</t>
        </is>
      </c>
      <c r="B4" s="278" t="inlineStr">
        <is>
          <t>SHARE PRICE</t>
        </is>
      </c>
      <c r="C4" s="279" t="n"/>
      <c r="E4" s="186" t="inlineStr">
        <is>
          <t>BASE-CASE FAIR VALUE</t>
        </is>
      </c>
      <c r="F4" s="278" t="inlineStr">
        <is>
          <t>FAIR-VALUE RANGE (BEAR – BULL)</t>
        </is>
      </c>
      <c r="G4" s="280" t="n"/>
      <c r="H4" s="279" t="n"/>
    </row>
    <row r="5" ht="30" customHeight="1" s="160">
      <c r="A5" s="195">
        <f>IF(Scenarios!B14&lt;-0.15,"Priced above model value",IF(Scenarios!B14&gt;0.15,"Priced below model value","Near model value"))</f>
        <v/>
      </c>
      <c r="B5" s="281">
        <f>DCF!B5</f>
        <v/>
      </c>
      <c r="C5" s="282" t="n"/>
      <c r="E5" s="283">
        <f>Scenarios!C11</f>
        <v/>
      </c>
      <c r="F5" s="284">
        <f>TEXT(Scenarios!B11,"$0")&amp;"  –  "&amp;TEXT(Scenarios!D11,"$0")</f>
        <v/>
      </c>
      <c r="H5" s="282" t="n"/>
    </row>
    <row r="6" ht="16" customHeight="1" s="160">
      <c r="A6" s="190">
        <f>IF(Scenarios!D12&gt;0,"Only the bull case clears today's price",IF(Scenarios!B12&gt;0,"Even the bear case is above the price","No scenario reaches today's price"))</f>
        <v/>
      </c>
      <c r="B6" s="285">
        <f>"52-wk "&amp;TEXT(Scenarios!B43,"$0")&amp;"–"&amp;TEXT(Scenarios!B44,"$0")</f>
        <v/>
      </c>
      <c r="C6" s="286" t="n"/>
      <c r="E6" s="190">
        <f>TEXT(Scenarios!C12,"+0%;-0%")&amp;" vs price · prob-weighted "&amp;TEXT(Scenarios!B13,"$0")</f>
        <v/>
      </c>
      <c r="F6" s="285">
        <f>"Price needs "&amp;IFERROR(TEXT(DCF!B82,"0%"),"n/a")&amp;" op. margin (today "&amp;TEXT(DCF!B39,"0%")&amp;")"</f>
        <v/>
      </c>
      <c r="G6" s="287" t="n"/>
      <c r="H6" s="286" t="n"/>
    </row>
    <row r="7" ht="10" customHeight="1" s="160"/>
    <row r="8">
      <c r="A8" s="79" t="inlineStr">
        <is>
          <t>Market snapshot</t>
        </is>
      </c>
      <c r="B8" s="79" t="n"/>
      <c r="C8" s="79" t="n"/>
      <c r="E8" s="79" t="inlineStr">
        <is>
          <t>Intrinsic value (DCF)</t>
        </is>
      </c>
      <c r="F8" s="79" t="n"/>
      <c r="G8" s="79" t="n"/>
      <c r="H8" s="79" t="n"/>
    </row>
    <row r="9" ht="15.5" customHeight="1" s="160">
      <c r="A9" t="inlineStr">
        <is>
          <t>Share price</t>
        </is>
      </c>
      <c r="B9" s="288">
        <f>IFERROR(DCF!B5,"n/a")</f>
        <v/>
      </c>
      <c r="C9" s="88" t="n"/>
      <c r="E9" s="82" t="n"/>
      <c r="F9" s="81" t="inlineStr">
        <is>
          <t>Bear</t>
        </is>
      </c>
      <c r="G9" s="81" t="inlineStr">
        <is>
          <t>Base</t>
        </is>
      </c>
      <c r="H9" s="81" t="inlineStr">
        <is>
          <t>Bull</t>
        </is>
      </c>
    </row>
    <row r="10">
      <c r="A10" t="inlineStr">
        <is>
          <t>Market capitalisation ($B)</t>
        </is>
      </c>
      <c r="B10" s="289">
        <f>IFERROR(Multiples!B7,"n/a")</f>
        <v/>
      </c>
      <c r="C10" s="88" t="n"/>
      <c r="E10" s="80" t="inlineStr">
        <is>
          <t>Fair value / share</t>
        </is>
      </c>
      <c r="F10" s="290">
        <f>Scenarios!B11</f>
        <v/>
      </c>
      <c r="G10" s="290">
        <f>Scenarios!C11</f>
        <v/>
      </c>
      <c r="H10" s="290">
        <f>Scenarios!D11</f>
        <v/>
      </c>
    </row>
    <row r="11">
      <c r="A11" t="inlineStr">
        <is>
          <t>Enterprise value ($B)</t>
        </is>
      </c>
      <c r="B11" s="289">
        <f>IFERROR(Multiples!B9,"n/a")</f>
        <v/>
      </c>
      <c r="C11" s="88" t="n"/>
      <c r="E11" t="inlineStr">
        <is>
          <t>vs current price</t>
        </is>
      </c>
      <c r="F11" s="291">
        <f>Scenarios!B12</f>
        <v/>
      </c>
      <c r="G11" s="291">
        <f>Scenarios!C12</f>
        <v/>
      </c>
      <c r="H11" s="291">
        <f>Scenarios!D12</f>
        <v/>
      </c>
    </row>
    <row r="12">
      <c r="A12" t="inlineStr">
        <is>
          <t>52-week low</t>
        </is>
      </c>
      <c r="B12" s="292">
        <f>IFERROR(Risk!B30,"n/a")</f>
        <v/>
      </c>
      <c r="C12" s="88" t="n"/>
      <c r="E12" t="inlineStr">
        <is>
          <t>Scenario weight</t>
        </is>
      </c>
      <c r="F12" s="291">
        <f>Scenarios!B10</f>
        <v/>
      </c>
      <c r="G12" s="291">
        <f>Scenarios!C10</f>
        <v/>
      </c>
      <c r="H12" s="291">
        <f>Scenarios!D10</f>
        <v/>
      </c>
    </row>
    <row r="13">
      <c r="A13" t="inlineStr">
        <is>
          <t>52-week high</t>
        </is>
      </c>
      <c r="B13" s="292">
        <f>IFERROR(Risk!B29,"n/a")</f>
        <v/>
      </c>
      <c r="C13" s="88" t="n"/>
      <c r="E13" s="99" t="inlineStr">
        <is>
          <t>Probability-weighted value</t>
        </is>
      </c>
      <c r="F13" s="293">
        <f>Scenarios!B13</f>
        <v/>
      </c>
      <c r="G13" s="101" t="n"/>
      <c r="H13" s="101" t="n"/>
    </row>
    <row r="14">
      <c r="A14">
        <f>TEXT(Data!A1256,"yyyy")&amp;" YTD total return"</f>
        <v/>
      </c>
      <c r="B14" s="291">
        <f>Risk!C43</f>
        <v/>
      </c>
      <c r="C14" s="88" t="n"/>
      <c r="E14" s="99" t="inlineStr">
        <is>
          <t>Upside / (downside)</t>
        </is>
      </c>
      <c r="F14" s="294">
        <f>Scenarios!B14</f>
        <v/>
      </c>
      <c r="G14" s="101" t="n"/>
      <c r="H14" s="101" t="n"/>
    </row>
    <row r="15">
      <c r="A15" t="inlineStr">
        <is>
          <t>Dividend yield</t>
        </is>
      </c>
      <c r="B15" s="91">
        <f>IFERROR(Multiples!B11,"n/a")</f>
        <v/>
      </c>
      <c r="C15" s="88" t="n"/>
      <c r="F15" s="88" t="n"/>
      <c r="G15" s="88" t="n"/>
      <c r="H15" s="88" t="n"/>
    </row>
    <row r="16">
      <c r="A16">
        <f>"Net cash ($B, "&amp;TEXT(Financials!E16,"d-mmm-yy")&amp;")"</f>
        <v/>
      </c>
      <c r="B16" s="289">
        <f>IFERROR(Financials!C39,"n/a")</f>
        <v/>
      </c>
      <c r="C16" s="88" t="n"/>
      <c r="E16" s="79" t="inlineStr">
        <is>
          <t>What is the market pricing in? (reverse DCF)</t>
        </is>
      </c>
      <c r="F16" s="92" t="n"/>
      <c r="G16" s="274" t="n"/>
      <c r="H16" s="92" t="n"/>
    </row>
    <row r="17">
      <c r="B17" s="88" t="n"/>
      <c r="C17" s="88" t="n"/>
      <c r="E17" t="inlineStr">
        <is>
          <t>Implied year-1 revenue growth</t>
        </is>
      </c>
      <c r="F17" s="291">
        <f>DCF!B79</f>
        <v/>
      </c>
      <c r="G17" s="275" t="n"/>
      <c r="H17" s="88" t="n"/>
    </row>
    <row r="18">
      <c r="A18" s="79" t="inlineStr">
        <is>
          <t>Valuation multiples</t>
        </is>
      </c>
      <c r="B18" s="92" t="n"/>
      <c r="C18" s="92" t="n"/>
      <c r="E18" s="80" t="inlineStr">
        <is>
          <t>Implied 10-yr revenue CAGR</t>
        </is>
      </c>
      <c r="F18" s="295">
        <f>DCF!B80</f>
        <v/>
      </c>
      <c r="G18" s="275" t="n"/>
      <c r="H18" s="88" t="n"/>
    </row>
    <row r="19">
      <c r="B19" s="95">
        <f>IFERROR(Financials!K5,"n/a")</f>
        <v/>
      </c>
      <c r="C19" s="95" t="inlineStr">
        <is>
          <t>TTM</t>
        </is>
      </c>
      <c r="E19">
        <f>"Actual 5-yr CAGR ("&amp;Financials!F5&amp;"–"&amp;Financials!K5&amp;")"</f>
        <v/>
      </c>
      <c r="F19" s="291">
        <f>DCF!B83</f>
        <v/>
      </c>
      <c r="G19" s="275" t="n"/>
      <c r="H19" s="88" t="n"/>
    </row>
    <row r="20">
      <c r="A20" t="inlineStr">
        <is>
          <t>P/E (FY GAAP · TTM excl. gains)</t>
        </is>
      </c>
      <c r="B20" s="296">
        <f>IFERROR(Multiples!B15,"n/a")</f>
        <v/>
      </c>
      <c r="C20" s="296">
        <f>IFERROR(Multiples!C16,"n/a")</f>
        <v/>
      </c>
      <c r="E20" t="inlineStr">
        <is>
          <t>Implied long-run operating margin</t>
        </is>
      </c>
      <c r="F20" s="291">
        <f>DCF!B82</f>
        <v/>
      </c>
      <c r="G20" s="276">
        <f>"vs today "&amp;IFERROR(TEXT(DCF!B39,"0%"),"n/a")&amp;IFERROR(" · peers "&amp;TEXT(MEDIAN(Peers!H7:H10),"0%"),"")</f>
        <v/>
      </c>
      <c r="H20" s="88" t="n"/>
    </row>
    <row r="21">
      <c r="A21" t="inlineStr">
        <is>
          <t>Price / Sales</t>
        </is>
      </c>
      <c r="B21" s="296">
        <f>IFERROR(Multiples!B18,"n/a")</f>
        <v/>
      </c>
      <c r="C21" s="296">
        <f>IFERROR(Multiples!C18,"n/a")</f>
        <v/>
      </c>
      <c r="G21" s="277" t="n"/>
    </row>
    <row r="22">
      <c r="A22" t="inlineStr">
        <is>
          <t>EV / EBITDA</t>
        </is>
      </c>
      <c r="B22" s="296">
        <f>IFERROR(Multiples!B19,"n/a")</f>
        <v/>
      </c>
      <c r="C22" s="296">
        <f>IFERROR(Multiples!C19,"n/a")</f>
        <v/>
      </c>
      <c r="E22" s="83" t="inlineStr">
        <is>
          <t>Analyst view</t>
        </is>
      </c>
      <c r="F22" s="83" t="n"/>
      <c r="G22" s="83" t="n"/>
      <c r="H22" s="83" t="n"/>
    </row>
    <row r="23">
      <c r="A23" t="inlineStr">
        <is>
          <t>FCF yield</t>
        </is>
      </c>
      <c r="B23" s="291">
        <f>IFERROR(Multiples!B21,"n/a")</f>
        <v/>
      </c>
      <c r="C23" s="291">
        <f>IFERROR(Multiples!C21,"n/a")</f>
        <v/>
      </c>
      <c r="E23" s="121">
        <f>"At "&amp;TEXT(B9,"$0")&amp;", "&amp;Data!$Q$2&amp;IF(N(C20)&gt;0," trades at "&amp;TEXT(C20,"0.0x")&amp;" trailing earnings"&amp;IF(Financials!F19-Financials!F27&gt;0.005," excluding one-off investment gains ("&amp;TEXT(Multiples!C15,"0.0x")&amp;" GAAP)","")&amp;IFERROR(", vs a historical average of "&amp;TEXT(Valuation_History!D17,"0.0x"),"")," has no trailing earnings to price")&amp;". The base-case DCF ("&amp;TEXT(G10,"$0")&amp;", "&amp;TEXT(G11,"+0%;-0%")&amp;") assumes "&amp;TEXT(DCF!B9,"0%")&amp;" year-1 revenue growth fading to "&amp;TEXT(DCF!B8,"0.0%")&amp;", a "&amp;TEXT(DCF!B10,"0%")&amp;" operating margin, and capex "&amp;IF(DCF!B19&lt;DCF!B40,"easing","rising")&amp;" from "&amp;TEXT(DCF!B40,"0%")&amp;" to "&amp;TEXT(DCF!B19,"0%")&amp;" of revenue. To justify the price the market needs "&amp;IFERROR(TEXT(DCF!B79,"0%")&amp;" year-1 growth","growth beyond the solvable range")&amp;" or a "&amp;IFERROR(TEXT(DCF!B82,"0%"),"n/a")&amp;" long-run operating margin. "&amp;IF(H11&lt;0,"No scenario reaches the price.",IF(F11&gt;0,"Even the bear case is above the price.","The price sits between the bear ("&amp;TEXT(F10,"$0")&amp;") and bull ("&amp;TEXT(H10,"$0")&amp;") cases; probability-weighted value "&amp;TEXT(F13,"$0")&amp;" ("&amp;TEXT(F14,"+0%;-0%")&amp;")."))</f>
        <v/>
      </c>
      <c r="F23" s="120" t="n"/>
      <c r="G23" s="120" t="n"/>
      <c r="H23" s="120" t="n"/>
    </row>
    <row r="24">
      <c r="A24" t="inlineStr">
        <is>
          <t>FCF yield after stock comp</t>
        </is>
      </c>
      <c r="B24" s="291">
        <f>IFERROR(Multiples!B22,"n/a")</f>
        <v/>
      </c>
      <c r="C24" s="291">
        <f>IFERROR(Multiples!C22,"n/a")</f>
        <v/>
      </c>
      <c r="E24" s="122" t="n"/>
    </row>
    <row r="25">
      <c r="B25" s="88" t="n"/>
      <c r="C25" s="88" t="n"/>
      <c r="E25" s="122" t="n"/>
    </row>
    <row r="26">
      <c r="A26" s="79" t="inlineStr">
        <is>
          <t>Fundamentals</t>
        </is>
      </c>
      <c r="B26" s="92" t="n"/>
      <c r="C26" s="92" t="n"/>
      <c r="E26" s="122" t="n"/>
    </row>
    <row r="27">
      <c r="A27">
        <f>"Revenue, TTM to "&amp;TEXT(Financials!E16,"mmm-yyyy")&amp;" ($B)"</f>
        <v/>
      </c>
      <c r="B27" s="289">
        <f>IFERROR(Financials!F17,"n/a")</f>
        <v/>
      </c>
      <c r="C27" s="94" t="n"/>
      <c r="E27" s="122" t="n"/>
    </row>
    <row r="28">
      <c r="A28" t="inlineStr">
        <is>
          <t>Revenue growth, last 3 qtrs avg y/y</t>
        </is>
      </c>
      <c r="B28" s="291">
        <f>IFERROR(DCF!B84,"n/a")</f>
        <v/>
      </c>
      <c r="C28" s="94" t="n"/>
      <c r="E28" s="122" t="n"/>
    </row>
    <row r="29">
      <c r="A29" t="inlineStr">
        <is>
          <t>Diluted EPS TTM ($) · GAAP / excl. gains</t>
        </is>
      </c>
      <c r="B29" s="292">
        <f>IFERROR(Financials!F19,"n/a")</f>
        <v/>
      </c>
      <c r="C29" s="292">
        <f>IFERROR(Financials!F27,"n/a")</f>
        <v/>
      </c>
      <c r="E29" s="122" t="n"/>
    </row>
    <row r="30">
      <c r="A30" t="inlineStr">
        <is>
          <t>Gross margin, TTM</t>
        </is>
      </c>
      <c r="B30" s="291">
        <f>IFERROR(Multiples!C28,"n/a")</f>
        <v/>
      </c>
      <c r="C30" s="94">
        <f>IFERROR("to "&amp;TEXT(Financials!E16,"d-mmm-yy"),"n/a")</f>
        <v/>
      </c>
      <c r="E30" s="122" t="n"/>
    </row>
    <row r="31">
      <c r="A31">
        <f>"Free cash flow "&amp;Financials!K5&amp;" ($B)"</f>
        <v/>
      </c>
      <c r="B31" s="289">
        <f>IFERROR(Financials!K10,"n/a")</f>
        <v/>
      </c>
      <c r="C31" s="94" t="n"/>
      <c r="E31" s="84">
        <f>"Stance: valuation view, no rating. Reference value = base case "&amp;TEXT(Scenarios!C11,"$0")&amp;" (probability-weighted "&amp;TEXT(Scenarios!B13,"$0")&amp;"). Not investment advice."</f>
        <v/>
      </c>
    </row>
    <row r="32">
      <c r="A32">
        <f>"9-year FCF CAGR ("&amp;Financials!B5&amp;"–"&amp;Financials!K5&amp;")"</f>
        <v/>
      </c>
      <c r="B32" s="291">
        <f>IFERROR(Financials!L10,"n/a")</f>
        <v/>
      </c>
      <c r="C32" s="94" t="n"/>
    </row>
    <row r="34">
      <c r="A34" s="79" t="inlineStr">
        <is>
          <t>Bull case, bear case, catalysts and risks</t>
        </is>
      </c>
      <c r="B34" s="79" t="n"/>
      <c r="C34" s="79" t="n"/>
      <c r="D34" s="79" t="n"/>
      <c r="E34" s="79" t="n"/>
      <c r="F34" s="79" t="n"/>
      <c r="G34" s="79" t="n"/>
      <c r="H34" s="79" t="n"/>
    </row>
    <row r="35">
      <c r="A35" s="123" t="inlineStr">
        <is>
          <t>Bull case</t>
        </is>
      </c>
      <c r="B35" s="120" t="n"/>
      <c r="C35" s="120" t="n"/>
      <c r="D35" s="119" t="inlineStr">
        <is>
          <t>Bear case</t>
        </is>
      </c>
      <c r="E35" s="120" t="n"/>
      <c r="F35" s="120" t="n"/>
      <c r="G35" s="120" t="n"/>
      <c r="H35" s="120" t="n"/>
    </row>
    <row r="36" ht="30" customHeight="1" s="160">
      <c r="A36" s="116">
        <f>"• Revenue growth ran "&amp;TEXT(MIN(Financials!C18:E18),"+0%;-0%")&amp;" to "&amp;TEXT(MAX(Financials!C18:E18),"+0%;-0%")&amp;" y/y over the last three quarters"&amp;IF(Data!$Q$9="","",", "&amp;Data!$Q$9)&amp;"."</f>
        <v/>
      </c>
      <c r="D36" s="116">
        <f>"• "&amp;Data!$Q$10</f>
        <v/>
      </c>
    </row>
    <row r="37" ht="30" customHeight="1" s="160">
      <c r="A37" s="116">
        <f>"• "&amp;Data!$Q$8</f>
        <v/>
      </c>
      <c r="D37" s="116">
        <f>IF(Financials!C56&gt;Financials!B56*1.005,"• Dilution: "&amp;Data!$Q$11&amp;" lifted the share count to "&amp;TEXT(Financials!C56,"0.00")&amp;"B from "&amp;TEXT(Financials!B56,"0.00")&amp;"B at "&amp;Financials!K5&amp;".",IF(Financials!C56&lt;Financials!B56*0.995,"• Share count "&amp;TEXT(Financials!C56,"0.00")&amp;"B vs "&amp;TEXT(Financials!B56,"0.00")&amp;"B at "&amp;Financials!K5&amp;" — buybacks are shrinking the base.","• Share count steady at "&amp;TEXT(Financials!C56,"0.00")&amp;"B; "&amp;Data!$Q$11&amp;"."))</f>
        <v/>
      </c>
    </row>
    <row r="38" ht="30" customHeight="1" s="160">
      <c r="A38" s="116">
        <f>IFERROR("• Gross margin "&amp;IF(Multiples!C28&gt;=Multiples!B28,"widened","narrowed")&amp;" to "&amp;TEXT(Multiples!C28,"0.0%")&amp;" TTM from "&amp;TEXT(Multiples!B28,"0.0%")&amp;" in "&amp;Financials!K5&amp;"; operating margin is "&amp;TEXT(Financials!F23,"0.0%")&amp;".","• Operating margin is "&amp;TEXT(Financials!F23,"0.0%")&amp;" over the last twelve months.")</f>
        <v/>
      </c>
      <c r="D38" s="116">
        <f>"• Capex runs at "&amp;TEXT(DCF!B40,"0%")&amp;" of revenue"&amp;IF(Data!$Q$12="",""," ("&amp;Data!$Q$12&amp;")")&amp;"; the TTM FCF margin is "&amp;TEXT(DCF!B38,"0.0%")&amp;" vs "&amp;TEXT(Financials!K11,"0.0%")&amp;" in "&amp;Financials!K5&amp;"."</f>
        <v/>
      </c>
    </row>
    <row r="39" ht="30" customHeight="1" s="160">
      <c r="A39" s="116">
        <f>"• $"&amp;TEXT(Financials!C35,"#,##0")&amp;"B of cash and securities ("&amp;IF(Financials!C39&gt;=0,"net cash $"&amp;TEXT(Financials!C39,"#,##0")&amp;"B","net debt $"&amp;TEXT(-Financials!C39,"#,##0")&amp;"B")&amp;")"&amp;IF(Financials!C54&gt;0," plus $"&amp;TEXT(Financials!C54,"#,##0")&amp;"B of private equity stakes not captured by FCF","")&amp;"."</f>
        <v/>
      </c>
      <c r="D39" s="116">
        <f>"• Stock-based pay of $"&amp;TEXT(Financials!C44,"0.0")&amp;"B ("&amp;TEXT(Multiples!C35,"0%")&amp;" of TTM FCF) is added back in reported free cash flow."</f>
        <v/>
      </c>
    </row>
    <row r="41">
      <c r="A41" s="118" t="inlineStr">
        <is>
          <t>Upcoming catalysts</t>
        </is>
      </c>
      <c r="D41" s="118" t="inlineStr">
        <is>
          <t>What drives the answer</t>
        </is>
      </c>
    </row>
    <row r="42" ht="30" customHeight="1" s="160">
      <c r="A42" s="116">
        <f>"• "&amp;Data!$Q$13</f>
        <v/>
      </c>
      <c r="D42" s="116">
        <f>"• The result rests on the long-run operating margin ("&amp;TEXT(DCF!B10,"0.0%")&amp;", "&amp;DCF!B17&amp;" anchor). Each +1 pt adds ~$"&amp;TEXT((Scenarios!F31-Scenarios!E31)/((Scenarios!F28-Scenarios!E28)*100),"0")&amp;" per share."</f>
        <v/>
      </c>
    </row>
    <row r="43" ht="30" customHeight="1" s="160">
      <c r="A43" s="116">
        <f>"• "&amp;Data!$Q$14</f>
        <v/>
      </c>
      <c r="D43" s="116">
        <f>"• The terminal value implies "&amp;TEXT(DCF!B96,"0.0x")&amp;" EV/EBITDA — "&amp;IF(DCF!B96&lt;8,"conservative against the ~10–20x mature companies trade at, so the base case leans cautious.",IF(DCF!B96&gt;25,"aggressive; the base case may be too generous.","within the normal range for mature companies."))</f>
        <v/>
      </c>
    </row>
    <row r="44" ht="30" customHeight="1" s="160">
      <c r="A44" s="116">
        <f>"• "&amp;Data!$Q$15</f>
        <v/>
      </c>
      <c r="D44" s="116">
        <f>"• Model integrity: "&amp;DCF!B109&amp;" (DCF sanity checks, rows 91–109)."</f>
        <v/>
      </c>
    </row>
    <row r="45" ht="30" customHeight="1" s="160">
      <c r="A45" s="116">
        <f>"• "&amp;Data!$Q$16</f>
        <v/>
      </c>
      <c r="D45" s="116">
        <f>"• Data: prices to "&amp;TEXT(Data!A1256,"d-mmm-yyyy")&amp;"; balance sheet "&amp;TEXT(Financials!E16,"d-mmm-yyyy")&amp;". "&amp;IF(Financials!F19-Financials!F27&gt;0.005,"TTM EPS excludes $"&amp;TEXT(Financials!F19-Financials!F27,"0.00")&amp;" of investment gains.","No investment-gain adjustment needed.")</f>
        <v/>
      </c>
    </row>
    <row r="47">
      <c r="A47" s="79" t="inlineStr">
        <is>
          <t>Contents — click to jump</t>
        </is>
      </c>
      <c r="B47" s="79" t="n"/>
      <c r="C47" s="79" t="n"/>
      <c r="D47" s="79" t="n"/>
      <c r="E47" s="79" t="n"/>
      <c r="F47" s="79" t="n"/>
      <c r="G47" s="79" t="n"/>
      <c r="H47" s="79" t="n"/>
    </row>
    <row r="48">
      <c r="A48" s="85" t="inlineStr">
        <is>
          <t>→ Financials</t>
        </is>
      </c>
      <c r="B48" s="86" t="inlineStr">
        <is>
          <t>10-year history + TTM</t>
        </is>
      </c>
      <c r="E48" s="85" t="inlineStr">
        <is>
          <t>→ Risk</t>
        </is>
      </c>
      <c r="F48" s="86" t="inlineStr">
        <is>
          <t>Performance, drawdown, volatility</t>
        </is>
      </c>
    </row>
    <row r="49">
      <c r="A49" s="85" t="inlineStr">
        <is>
          <t>→ DCF</t>
        </is>
      </c>
      <c r="B49" s="86" t="inlineStr">
        <is>
          <t>Live model &amp; reverse DCF</t>
        </is>
      </c>
      <c r="E49" s="85" t="inlineStr">
        <is>
          <t>→ Catalysts_News</t>
        </is>
      </c>
      <c r="F49" s="86" t="inlineStr">
        <is>
          <t>Catalysts &amp; filtered headlines</t>
        </is>
      </c>
    </row>
    <row r="50">
      <c r="A50" s="85" t="inlineStr">
        <is>
          <t>→ Scenarios</t>
        </is>
      </c>
      <c r="B50" s="86" t="inlineStr">
        <is>
          <t>Bear/base/bull &amp; sensitivities</t>
        </is>
      </c>
      <c r="E50" s="85" t="inlineStr">
        <is>
          <t>→ Methodology</t>
        </is>
      </c>
      <c r="F50" s="86" t="inlineStr">
        <is>
          <t>How every number is built</t>
        </is>
      </c>
    </row>
    <row r="51">
      <c r="A51" s="85" t="inlineStr">
        <is>
          <t>→ Multiples</t>
        </is>
      </c>
      <c r="B51" s="86" t="inlineStr">
        <is>
          <t>Valuation &amp; quality ratios</t>
        </is>
      </c>
      <c r="E51" s="85" t="inlineStr">
        <is>
          <t>→ Sources</t>
        </is>
      </c>
      <c r="F51" s="86" t="inlineStr">
        <is>
          <t>Every external figure, linked</t>
        </is>
      </c>
    </row>
    <row r="52">
      <c r="A52" s="183" t="inlineStr">
        <is>
          <t>→ Peers</t>
        </is>
      </c>
      <c r="B52" s="86">
        <f>"Valuation vs "&amp;Data!$Q$7</f>
        <v/>
      </c>
      <c r="E52" s="183" t="inlineStr">
        <is>
          <t>→ Capital_Returns</t>
        </is>
      </c>
      <c r="F52" s="86" t="inlineStr">
        <is>
          <t>Buybacks, dividends, SBC</t>
        </is>
      </c>
    </row>
    <row r="53">
      <c r="A53" s="183" t="inlineStr">
        <is>
          <t>→ Valuation_History</t>
        </is>
      </c>
      <c r="B53" s="86" t="inlineStr">
        <is>
          <t>P/E through the cycle</t>
        </is>
      </c>
      <c r="E53" s="183" t="inlineStr">
        <is>
          <t>→ Segments</t>
        </is>
      </c>
      <c r="F53" s="86" t="inlineStr">
        <is>
          <t>Segments, SOTP &amp; Street estimates</t>
        </is>
      </c>
    </row>
    <row r="54">
      <c r="E54" s="183" t="inlineStr">
        <is>
          <t>→ Valuation_Log</t>
        </is>
      </c>
      <c r="F54" s="86" t="inlineStr">
        <is>
          <t>Track record of every report</t>
        </is>
      </c>
    </row>
    <row r="56">
      <c r="A56" s="79" t="inlineStr">
        <is>
          <t>What changed since the last report</t>
        </is>
      </c>
      <c r="B56" s="79" t="n"/>
      <c r="C56" s="79" t="n"/>
      <c r="D56" s="79" t="n"/>
      <c r="E56" s="79" t="n"/>
      <c r="F56" s="79" t="n"/>
      <c r="G56" s="79" t="n"/>
      <c r="H56" s="79" t="n"/>
    </row>
    <row r="57">
      <c r="A57" s="265" t="inlineStr">
        <is>
          <t>Metric</t>
        </is>
      </c>
      <c r="B57" s="265" t="inlineStr">
        <is>
          <t>Last report</t>
        </is>
      </c>
      <c r="C57" s="273" t="inlineStr">
        <is>
          <t>Now</t>
        </is>
      </c>
      <c r="D57" s="265" t="n"/>
      <c r="E57" s="272" t="n"/>
      <c r="F57" s="273" t="inlineStr">
        <is>
          <t>Change</t>
        </is>
      </c>
    </row>
    <row r="58">
      <c r="A58" s="117" t="inlineStr">
        <is>
          <t>Report date</t>
        </is>
      </c>
      <c r="B58" s="297">
        <f>Valuation_Log!A6</f>
        <v/>
      </c>
      <c r="C58" s="297">
        <f>Valuation_Log!A5</f>
        <v/>
      </c>
      <c r="D58" s="39" t="n"/>
      <c r="E58" s="269" t="n"/>
      <c r="F58" s="39">
        <f>IF(N(B58)=0,"first report",TEXT(C58-B58,"0")&amp;" days")</f>
        <v/>
      </c>
    </row>
    <row r="59">
      <c r="A59" s="117" t="inlineStr">
        <is>
          <t>Share price ($)</t>
        </is>
      </c>
      <c r="B59" s="298">
        <f>Valuation_Log!B6</f>
        <v/>
      </c>
      <c r="C59" s="298">
        <f>Valuation_Log!B5</f>
        <v/>
      </c>
      <c r="D59" s="299" t="n"/>
      <c r="F59" s="299">
        <f>IFERROR(C59/B59-1,"–")</f>
        <v/>
      </c>
    </row>
    <row r="60">
      <c r="A60" s="117" t="inlineStr">
        <is>
          <t>Base-case fair value ($)</t>
        </is>
      </c>
      <c r="B60" s="298">
        <f>Valuation_Log!D6</f>
        <v/>
      </c>
      <c r="C60" s="298">
        <f>Valuation_Log!D5</f>
        <v/>
      </c>
      <c r="D60" s="299" t="n"/>
      <c r="F60" s="299">
        <f>IFERROR(C60/B60-1,"–")</f>
        <v/>
      </c>
    </row>
    <row r="61">
      <c r="A61" s="117" t="inlineStr">
        <is>
          <t>Probability-weighted value ($)</t>
        </is>
      </c>
      <c r="B61" s="298">
        <f>Valuation_Log!F6</f>
        <v/>
      </c>
      <c r="C61" s="298">
        <f>Valuation_Log!F5</f>
        <v/>
      </c>
      <c r="D61" s="299" t="n"/>
      <c r="F61" s="299">
        <f>IFERROR(C61/B61-1,"–")</f>
        <v/>
      </c>
    </row>
    <row r="62">
      <c r="A62" s="117" t="inlineStr">
        <is>
          <t>Verdict</t>
        </is>
      </c>
      <c r="B62" s="270">
        <f>IF(Valuation_Log!H6=Valuation_Log!H5,"Unchanged: "&amp;Valuation_Log!H5,"CHANGED: "&amp;Valuation_Log!H6&amp;" → "&amp;Valuation_Log!H5)</f>
        <v/>
      </c>
      <c r="C62" s="39" t="n"/>
      <c r="D62" s="39" t="n"/>
    </row>
    <row r="63">
      <c r="A63" s="271">
        <f>IF(ABS(N(F60))&gt;=0.1,"⚠ Base case moved "&amp;TEXT(F60,"+0%;-0%")&amp;" since the last report — see Methodology (Model changes) for why.","")</f>
        <v/>
      </c>
    </row>
  </sheetData>
  <mergeCells count="27">
    <mergeCell ref="D35:H35"/>
    <mergeCell ref="A41:C41"/>
    <mergeCell ref="F5:H5"/>
    <mergeCell ref="A37:C37"/>
    <mergeCell ref="D36:H36"/>
    <mergeCell ref="D45:H45"/>
    <mergeCell ref="E23:H30"/>
    <mergeCell ref="A42:C42"/>
    <mergeCell ref="D41:H41"/>
    <mergeCell ref="A35:C35"/>
    <mergeCell ref="A43:C43"/>
    <mergeCell ref="A38:C38"/>
    <mergeCell ref="A44:C44"/>
    <mergeCell ref="D43:H43"/>
    <mergeCell ref="F4:H4"/>
    <mergeCell ref="D37:H37"/>
    <mergeCell ref="A39:C39"/>
    <mergeCell ref="B6:C6"/>
    <mergeCell ref="D39:H39"/>
    <mergeCell ref="A36:C36"/>
    <mergeCell ref="F6:H6"/>
    <mergeCell ref="A45:C45"/>
    <mergeCell ref="B5:C5"/>
    <mergeCell ref="D42:H42"/>
    <mergeCell ref="D38:H38"/>
    <mergeCell ref="B4:C4"/>
    <mergeCell ref="D44:H44"/>
  </mergeCells>
  <conditionalFormatting sqref="F14">
    <cfRule type="cellIs" priority="2" operator="lessThan" dxfId="1">
      <formula>0</formula>
    </cfRule>
  </conditionalFormatting>
  <conditionalFormatting sqref="F11:H11">
    <cfRule type="cellIs" priority="1" operator="lessThan" dxfId="1">
      <formula>0</formula>
    </cfRule>
  </conditionalFormatting>
  <conditionalFormatting sqref="A5">
    <cfRule type="containsText" priority="3" operator="containsText" dxfId="1" text="above">
      <formula>NOT(ISERROR(SEARCH("above",A5)))</formula>
    </cfRule>
    <cfRule type="containsText" priority="4" operator="containsText" dxfId="11" text="below">
      <formula>NOT(ISERROR(SEARCH("below",A5)))</formula>
    </cfRule>
  </conditionalFormatting>
  <hyperlinks>
    <hyperlink ref="A48" location="'Financials'!A1" display="→ Financials"/>
    <hyperlink ref="E48" location="'Risk'!A1" display="→ Risk"/>
    <hyperlink ref="A49" location="'DCF'!A1" display="→ DCF"/>
    <hyperlink ref="E49" location="'Catalysts_News'!A1" display="→ Catalysts_News"/>
    <hyperlink ref="A50" location="'Scenarios'!A1" display="→ Scenarios"/>
    <hyperlink ref="E50" location="'Methodology'!A1" display="→ Methodology"/>
    <hyperlink ref="A51" location="'Multiples'!A1" display="→ Multiples"/>
    <hyperlink ref="E51" location="'Sources'!A1" display="→ Sources"/>
    <hyperlink ref="A52" location="'Peers'!A1" display="→ Peers"/>
    <hyperlink ref="E52" location="'Capital_Returns'!A1" display="→ Capital_Returns"/>
    <hyperlink ref="A53" location="'Valuation_History'!A1" display="→ Valuation_History"/>
    <hyperlink ref="E53" location="Segments!A1" display="→ Segments"/>
    <hyperlink ref="E54" location="Valuation_Log!A1" display="→ Valuation_Log"/>
  </hyperlinks>
  <printOptions horizontalCentered="1"/>
  <pageMargins left="0.5" right="0.5" top="0.5555555555555556" bottom="0.5555555555555556" header="0.3" footer="0.3"/>
  <pageSetup orientation="landscape" scale="55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O58"/>
  <sheetViews>
    <sheetView showGridLines="0" workbookViewId="0">
      <pane ySplit="2" topLeftCell="A50" activePane="bottomLeft" state="frozen"/>
      <selection pane="bottomLeft" activeCell="A1" sqref="A1"/>
    </sheetView>
  </sheetViews>
  <sheetFormatPr baseColWidth="8" defaultRowHeight="14.5"/>
  <cols>
    <col width="41.81640625" customWidth="1" style="117" min="1" max="1"/>
    <col width="27.26953125" customWidth="1" style="117" min="2" max="4"/>
    <col width="16.36328125" customWidth="1" style="117" min="5" max="7"/>
    <col width="8.7265625" customWidth="1" style="117" min="8" max="26"/>
  </cols>
  <sheetData>
    <row r="1" ht="30" customHeight="1" s="160">
      <c r="A1" s="2">
        <f>Data!$Q$2&amp;" ("&amp;Data!$Q$3&amp;") — Scenarios &amp; Sensitivity"</f>
        <v/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Every value on this tab is live: it recalculates from the DCF tab inputs · $ per share</t>
        </is>
      </c>
      <c r="B2" s="3" t="n"/>
      <c r="C2" s="3" t="n"/>
      <c r="D2" s="3" t="n"/>
      <c r="E2" s="3" t="n"/>
      <c r="F2" s="3" t="n"/>
      <c r="G2" s="4" t="inlineStr">
        <is>
          <t>← Back to Summary</t>
        </is>
      </c>
      <c r="H2" s="3" t="n"/>
    </row>
    <row r="4">
      <c r="A4" s="5" t="inlineStr">
        <is>
          <t>Bear / base / bull scenarios</t>
        </is>
      </c>
      <c r="B4" s="5" t="n"/>
      <c r="C4" s="5" t="n"/>
      <c r="D4" s="5" t="n"/>
      <c r="E4" s="5" t="n"/>
      <c r="F4" s="5" t="n"/>
      <c r="G4" s="5" t="n"/>
      <c r="H4" s="5" t="n"/>
    </row>
    <row r="5" ht="26.5" customHeight="1" s="160">
      <c r="A5" s="9" t="n"/>
      <c r="B5" s="8" t="inlineStr">
        <is>
          <t>Bear</t>
        </is>
      </c>
      <c r="C5" s="8" t="inlineStr">
        <is>
          <t>Base</t>
        </is>
      </c>
      <c r="D5" s="8" t="inlineStr">
        <is>
          <t>Bull</t>
        </is>
      </c>
      <c r="F5" s="248" t="inlineStr">
        <is>
          <t>Bear / bull spread (±)</t>
        </is>
      </c>
    </row>
    <row r="6">
      <c r="A6" s="117" t="inlineStr">
        <is>
          <t>Year-1 revenue growth (fades to terminal)</t>
        </is>
      </c>
      <c r="B6" s="300">
        <f>C6-$F6</f>
        <v/>
      </c>
      <c r="C6" s="301">
        <f>DCF!B9</f>
        <v/>
      </c>
      <c r="D6" s="300">
        <f>C6+$F6</f>
        <v/>
      </c>
      <c r="E6" s="103" t="inlineStr">
        <is>
          <t>Bear/bull = base ∓ the spread in column F (blue). Spreads scale with the company: the margin swing is a quarter of the base margin (1–5 points) and the growth swing 40% of base growth (2–6 points). Capex, D&amp;A and timing follow the DCF tab.</t>
        </is>
      </c>
      <c r="F6" s="302" t="n">
        <v>0.02</v>
      </c>
    </row>
    <row r="7">
      <c r="A7" s="117" t="inlineStr">
        <is>
          <t>Long-run operating margin</t>
        </is>
      </c>
      <c r="B7" s="300">
        <f>C7-$F7</f>
        <v/>
      </c>
      <c r="C7" s="301">
        <f>DCF!B10</f>
        <v/>
      </c>
      <c r="D7" s="300">
        <f>C7+$F7</f>
        <v/>
      </c>
      <c r="E7" s="103" t="n"/>
      <c r="F7" s="302" t="n">
        <v>0.02</v>
      </c>
    </row>
    <row r="8">
      <c r="A8" s="117" t="inlineStr">
        <is>
          <t>Discount rate (WACC)</t>
        </is>
      </c>
      <c r="B8" s="300">
        <f>C8+$F8</f>
        <v/>
      </c>
      <c r="C8" s="301">
        <f>DCF!B7</f>
        <v/>
      </c>
      <c r="D8" s="300">
        <f>C8-$F8</f>
        <v/>
      </c>
      <c r="F8" s="302" t="n">
        <v>0.01</v>
      </c>
    </row>
    <row r="9">
      <c r="A9" s="117" t="inlineStr">
        <is>
          <t>Terminal growth</t>
        </is>
      </c>
      <c r="B9" s="300">
        <f>C9-$F9</f>
        <v/>
      </c>
      <c r="C9" s="301">
        <f>DCF!B8</f>
        <v/>
      </c>
      <c r="D9" s="300">
        <f>C9+$F9</f>
        <v/>
      </c>
      <c r="F9" s="302" t="n">
        <v>0.005</v>
      </c>
    </row>
    <row r="10">
      <c r="A10" s="117" t="inlineStr">
        <is>
          <t>Scenario probability</t>
        </is>
      </c>
      <c r="B10" s="303" t="n">
        <v>0.25</v>
      </c>
      <c r="C10" s="303" t="n">
        <v>0.5</v>
      </c>
      <c r="D10" s="303" t="n">
        <v>0.25</v>
      </c>
      <c r="E10" s="117">
        <f>IF(ABS(SUM(B10:D10)-1)&lt;0.0001,"✓ sums to 100%","⚠ must sum to 100%")</f>
        <v/>
      </c>
    </row>
    <row r="11">
      <c r="A11" s="6" t="inlineStr">
        <is>
          <t>Fair value per share ($)</t>
        </is>
      </c>
      <c r="B11" s="304" cm="1">
        <f t="array" ref="B11">_xlfn.LET(_xlpm.gs,B6,_xlpm.om,B7,_xlpm.w,B8,_xlpm.tgr,B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C11" s="304" cm="1">
        <f t="array" ref="C11">_xlfn.LET(_xlpm.gs,C6,_xlpm.om,C7,_xlpm.w,C8,_xlpm.tgr,C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11" s="304" cm="1">
        <f t="array" ref="D11">_xlfn.LET(_xlpm.gs,D6,_xlpm.om,D7,_xlpm.w,D8,_xlpm.tgr,D9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">
      <c r="A12" s="117" t="inlineStr">
        <is>
          <t>Upside / (downside) vs price</t>
        </is>
      </c>
      <c r="B12" s="305">
        <f>B11/DCF!$B$5-1</f>
        <v/>
      </c>
      <c r="C12" s="305">
        <f>C11/DCF!$B$5-1</f>
        <v/>
      </c>
      <c r="D12" s="305">
        <f>D11/DCF!$B$5-1</f>
        <v/>
      </c>
    </row>
    <row r="13">
      <c r="A13" s="41" t="inlineStr">
        <is>
          <t>Probability-weighted fair value ($)</t>
        </is>
      </c>
      <c r="B13" s="306">
        <f>SUMPRODUCT(B10:D10,B11:D11)</f>
        <v/>
      </c>
    </row>
    <row r="14">
      <c r="A14" s="117" t="inlineStr">
        <is>
          <t>Probability-weighted upside / (downside)</t>
        </is>
      </c>
      <c r="B14" s="305">
        <f>B13/DCF!B5-1</f>
        <v/>
      </c>
    </row>
    <row r="15" ht="78" customHeight="1" s="160">
      <c r="A15" s="54" t="inlineStr">
        <is>
          <t>What has to happen</t>
        </is>
      </c>
      <c r="B15" s="53">
        <f>"Growth slows: revenue "&amp;TEXT(B6,"+0%;-0%")&amp;" in year one, operating margin settles at "&amp;TEXT(B7,"0%")&amp;" (vs "&amp;TEXT(DCF!$B$39,"0%")&amp;" today) and a "&amp;TEXT(B8,"0.0%")&amp;" discount rate prices in more risk."</f>
        <v/>
      </c>
      <c r="C15" s="53">
        <f>"Revenue "&amp;TEXT(C6,"+0%;-0%")&amp;" in year one, fading to "&amp;TEXT(C9,"0.0%")&amp;"; operating margin "&amp;TEXT(C7,"0%")&amp;" ("&amp;DCF!$B$17&amp;" anchor); capex "&amp;IF(DCF!$B$19&lt;DCF!$B$40,"falls","rises")&amp;" from "&amp;TEXT(DCF!$B$40,"0%")&amp;" to "&amp;TEXT(DCF!$B$19,"0%")&amp;" of revenue by year "&amp;DCF!$B$11&amp;"."</f>
        <v/>
      </c>
      <c r="D15" s="53">
        <f>"Momentum holds: revenue "&amp;TEXT(D6,"+0%;-0%")&amp;" in year one, operating margin expands to "&amp;TEXT(D7,"0%")&amp;" as investment pays off, with a "&amp;TEXT(D8,"0.0%")&amp;" WACC and "&amp;TEXT(D9,"0.0%")&amp;" terminal growth."</f>
        <v/>
      </c>
    </row>
    <row r="19">
      <c r="A19" s="5" t="inlineStr">
        <is>
          <t>Sensitivity 1 — fair value per share: WACC (rows) × terminal growth (columns), base-case growth and margin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B20" s="36" t="inlineStr">
        <is>
          <t>WACC ↓ · g →</t>
        </is>
      </c>
      <c r="C20" s="307">
        <f>DCF!$B$8+(-0.01)</f>
        <v/>
      </c>
      <c r="D20" s="307">
        <f>DCF!$B$8+(-0.005)</f>
        <v/>
      </c>
      <c r="E20" s="307">
        <f>DCF!$B$8+(0)</f>
        <v/>
      </c>
      <c r="F20" s="307">
        <f>DCF!$B$8+(0.005)</f>
        <v/>
      </c>
      <c r="G20" s="307">
        <f>DCF!$B$8+(0.01)</f>
        <v/>
      </c>
    </row>
    <row r="21">
      <c r="B21" s="307">
        <f>DCF!$B$7+(-0.01)</f>
        <v/>
      </c>
      <c r="C21" s="308" cm="1">
        <f t="array" ref="C21">_xlfn.LET(_xlpm.gs,DCF!$B$9,_xlpm.om,DCF!$B$10,_xlpm.w,$B21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1" s="308" cm="1">
        <f t="array" ref="D21">_xlfn.LET(_xlpm.gs,DCF!$B$9,_xlpm.om,DCF!$B$10,_xlpm.w,$B21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1" s="308" cm="1">
        <f t="array" ref="E21">_xlfn.LET(_xlpm.gs,DCF!$B$9,_xlpm.om,DCF!$B$10,_xlpm.w,$B21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1" s="308" cm="1">
        <f t="array" ref="F21">_xlfn.LET(_xlpm.gs,DCF!$B$9,_xlpm.om,DCF!$B$10,_xlpm.w,$B21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1" s="308" cm="1">
        <f t="array" ref="G21">_xlfn.LET(_xlpm.gs,DCF!$B$9,_xlpm.om,DCF!$B$10,_xlpm.w,$B21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2" ht="15" customHeight="1" s="160" thickBot="1">
      <c r="B22" s="307">
        <f>DCF!$B$7+(-0.005)</f>
        <v/>
      </c>
      <c r="C22" s="308" cm="1">
        <f t="array" ref="C22">_xlfn.LET(_xlpm.gs,DCF!$B$9,_xlpm.om,DCF!$B$10,_xlpm.w,$B22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2" s="308" cm="1">
        <f t="array" ref="D22">_xlfn.LET(_xlpm.gs,DCF!$B$9,_xlpm.om,DCF!$B$10,_xlpm.w,$B22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2" s="309" cm="1">
        <f t="array" ref="E22">_xlfn.LET(_xlpm.gs,DCF!$B$9,_xlpm.om,DCF!$B$10,_xlpm.w,$B22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2" s="308" cm="1">
        <f t="array" ref="F22">_xlfn.LET(_xlpm.gs,DCF!$B$9,_xlpm.om,DCF!$B$10,_xlpm.w,$B22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2" s="308" cm="1">
        <f t="array" ref="G22">_xlfn.LET(_xlpm.gs,DCF!$B$9,_xlpm.om,DCF!$B$10,_xlpm.w,$B22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3" ht="15" customHeight="1" s="160" thickBot="1">
      <c r="B23" s="307">
        <f>DCF!$B$7+(0)</f>
        <v/>
      </c>
      <c r="C23" s="308" cm="1">
        <f t="array" ref="C23">_xlfn.LET(_xlpm.gs,DCF!$B$9,_xlpm.om,DCF!$B$10,_xlpm.w,$B23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3" s="310" cm="1">
        <f t="array" ref="D23">_xlfn.LET(_xlpm.gs,DCF!$B$9,_xlpm.om,DCF!$B$10,_xlpm.w,$B23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3" s="311" cm="1">
        <f t="array" ref="E23">_xlfn.LET(_xlpm.gs,DCF!$B$9,_xlpm.om,DCF!$B$10,_xlpm.w,$B23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3" s="312" cm="1">
        <f t="array" ref="F23">_xlfn.LET(_xlpm.gs,DCF!$B$9,_xlpm.om,DCF!$B$10,_xlpm.w,$B23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3" s="308" cm="1">
        <f t="array" ref="G23">_xlfn.LET(_xlpm.gs,DCF!$B$9,_xlpm.om,DCF!$B$10,_xlpm.w,$B23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4">
      <c r="B24" s="307">
        <f>DCF!$B$7+(0.005)</f>
        <v/>
      </c>
      <c r="C24" s="308" cm="1">
        <f t="array" ref="C24">_xlfn.LET(_xlpm.gs,DCF!$B$9,_xlpm.om,DCF!$B$10,_xlpm.w,$B24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4" s="308" cm="1">
        <f t="array" ref="D24">_xlfn.LET(_xlpm.gs,DCF!$B$9,_xlpm.om,DCF!$B$10,_xlpm.w,$B24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4" s="313" cm="1">
        <f t="array" ref="E24">_xlfn.LET(_xlpm.gs,DCF!$B$9,_xlpm.om,DCF!$B$10,_xlpm.w,$B24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4" s="308" cm="1">
        <f t="array" ref="F24">_xlfn.LET(_xlpm.gs,DCF!$B$9,_xlpm.om,DCF!$B$10,_xlpm.w,$B24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4" s="308" cm="1">
        <f t="array" ref="G24">_xlfn.LET(_xlpm.gs,DCF!$B$9,_xlpm.om,DCF!$B$10,_xlpm.w,$B24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5">
      <c r="B25" s="307">
        <f>DCF!$B$7+(0.01)</f>
        <v/>
      </c>
      <c r="C25" s="308" cm="1">
        <f t="array" ref="C25">_xlfn.LET(_xlpm.gs,DCF!$B$9,_xlpm.om,DCF!$B$10,_xlpm.w,$B25,_xlpm.tgr,C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5" s="308" cm="1">
        <f t="array" ref="D25">_xlfn.LET(_xlpm.gs,DCF!$B$9,_xlpm.om,DCF!$B$10,_xlpm.w,$B25,_xlpm.tgr,D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5" s="308" cm="1">
        <f t="array" ref="E25">_xlfn.LET(_xlpm.gs,DCF!$B$9,_xlpm.om,DCF!$B$10,_xlpm.w,$B25,_xlpm.tgr,E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5" s="308" cm="1">
        <f t="array" ref="F25">_xlfn.LET(_xlpm.gs,DCF!$B$9,_xlpm.om,DCF!$B$10,_xlpm.w,$B25,_xlpm.tgr,F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5" s="308" cm="1">
        <f t="array" ref="G25">_xlfn.LET(_xlpm.gs,DCF!$B$9,_xlpm.om,DCF!$B$10,_xlpm.w,$B25,_xlpm.tgr,G$20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7">
      <c r="A27" s="5" t="inlineStr">
        <is>
          <t>Sensitivity 2 — fair value per share: year-1 revenue growth (rows) × long-run operating margin (columns)</t>
        </is>
      </c>
      <c r="B27" s="5" t="n"/>
      <c r="C27" s="5" t="n"/>
      <c r="D27" s="5" t="n"/>
      <c r="E27" s="5" t="n"/>
      <c r="F27" s="5" t="n"/>
      <c r="G27" s="5" t="n"/>
      <c r="H27" s="5" t="n"/>
      <c r="I27" s="5" t="inlineStr">
        <is>
          <t>Sensitivity 3 — long-run capex % of revenue (rows) × years to normalise (columns)</t>
        </is>
      </c>
      <c r="J27" s="5" t="n"/>
      <c r="K27" s="5" t="n"/>
      <c r="L27" s="5" t="n"/>
      <c r="M27" s="5" t="n"/>
      <c r="N27" s="5" t="n"/>
      <c r="O27" s="5" t="n"/>
    </row>
    <row r="28">
      <c r="B28" s="36" t="inlineStr">
        <is>
          <t>Growth ↓ · margin →</t>
        </is>
      </c>
      <c r="C28" s="314">
        <f>DCF!$B$10+(-0.04)</f>
        <v/>
      </c>
      <c r="D28" s="314">
        <f>DCF!$B$10+(-0.02)</f>
        <v/>
      </c>
      <c r="E28" s="314">
        <f>DCF!$B$10+(0)</f>
        <v/>
      </c>
      <c r="F28" s="314">
        <f>DCF!$B$10+(0.02)</f>
        <v/>
      </c>
      <c r="G28" s="314">
        <f>DCF!$B$10+(0.04)</f>
        <v/>
      </c>
      <c r="J28" s="36" t="inlineStr">
        <is>
          <t>Capex ↓ · years →</t>
        </is>
      </c>
      <c r="K28" s="315">
        <f>MAX(1,DCF!$B$11-2)</f>
        <v/>
      </c>
      <c r="L28" s="315">
        <f>MAX(1,DCF!$B$11-1)</f>
        <v/>
      </c>
      <c r="M28" s="315">
        <f>DCF!$B$11</f>
        <v/>
      </c>
      <c r="N28" s="315">
        <f>DCF!$B$11+1</f>
        <v/>
      </c>
      <c r="O28" s="315">
        <f>DCF!$B$11+2</f>
        <v/>
      </c>
    </row>
    <row r="29">
      <c r="B29" s="314">
        <f>DCF!$B$9+(-0.06)</f>
        <v/>
      </c>
      <c r="C29" s="308" cm="1">
        <f t="array" ref="C29">_xlfn.LET(_xlpm.gs,$B29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29" s="308" cm="1">
        <f t="array" ref="D29">_xlfn.LET(_xlpm.gs,$B29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29" s="308" cm="1">
        <f t="array" ref="E29">_xlfn.LET(_xlpm.gs,$B29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29" s="308" cm="1">
        <f t="array" ref="F29">_xlfn.LET(_xlpm.gs,$B29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29" s="308" cm="1">
        <f t="array" ref="G29">_xlfn.LET(_xlpm.gs,$B29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29" s="314">
        <f>DCF!$B$19-0.04</f>
        <v/>
      </c>
      <c r="K29" s="308" cm="1">
        <f t="array" ref="K29">_xlfn.LET(_xlpm.gs,DCF!$B$9,_xlpm.om,DCF!$B$10,_xlpm.w,DCF!$B$7,_xlpm.tgr,DCF!$B$8,_xlpm.n,K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29" s="308" cm="1">
        <f t="array" ref="L29">_xlfn.LET(_xlpm.gs,DCF!$B$9,_xlpm.om,DCF!$B$10,_xlpm.w,DCF!$B$7,_xlpm.tgr,DCF!$B$8,_xlpm.n,L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29" s="308" cm="1">
        <f t="array" ref="M29">_xlfn.LET(_xlpm.gs,DCF!$B$9,_xlpm.om,DCF!$B$10,_xlpm.w,DCF!$B$7,_xlpm.tgr,DCF!$B$8,_xlpm.n,M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29" s="308" cm="1">
        <f t="array" ref="N29">_xlfn.LET(_xlpm.gs,DCF!$B$9,_xlpm.om,DCF!$B$10,_xlpm.w,DCF!$B$7,_xlpm.tgr,DCF!$B$8,_xlpm.n,N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29" s="308" cm="1">
        <f t="array" ref="O29">_xlfn.LET(_xlpm.gs,DCF!$B$9,_xlpm.om,DCF!$B$10,_xlpm.w,DCF!$B$7,_xlpm.tgr,DCF!$B$8,_xlpm.n,O$28,_xlpm.lcx,$J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0" ht="15" customHeight="1" s="160" thickBot="1">
      <c r="B30" s="314">
        <f>DCF!$B$9+(-0.03)</f>
        <v/>
      </c>
      <c r="C30" s="308" cm="1">
        <f t="array" ref="C30">_xlfn.LET(_xlpm.gs,$B30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0" s="308" cm="1">
        <f t="array" ref="D30">_xlfn.LET(_xlpm.gs,$B30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0" s="309" cm="1">
        <f t="array" ref="E30">_xlfn.LET(_xlpm.gs,$B30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0" s="308" cm="1">
        <f t="array" ref="F30">_xlfn.LET(_xlpm.gs,$B30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0" s="308" cm="1">
        <f t="array" ref="G30">_xlfn.LET(_xlpm.gs,$B30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0" s="314">
        <f>DCF!$B$19-0.02</f>
        <v/>
      </c>
      <c r="K30" s="308" cm="1">
        <f t="array" ref="K30">_xlfn.LET(_xlpm.gs,DCF!$B$9,_xlpm.om,DCF!$B$10,_xlpm.w,DCF!$B$7,_xlpm.tgr,DCF!$B$8,_xlpm.n,K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0" s="308" cm="1">
        <f t="array" ref="L30">_xlfn.LET(_xlpm.gs,DCF!$B$9,_xlpm.om,DCF!$B$10,_xlpm.w,DCF!$B$7,_xlpm.tgr,DCF!$B$8,_xlpm.n,L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0" s="309" cm="1">
        <f t="array" ref="M30">_xlfn.LET(_xlpm.gs,DCF!$B$9,_xlpm.om,DCF!$B$10,_xlpm.w,DCF!$B$7,_xlpm.tgr,DCF!$B$8,_xlpm.n,M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0" s="308" cm="1">
        <f t="array" ref="N30">_xlfn.LET(_xlpm.gs,DCF!$B$9,_xlpm.om,DCF!$B$10,_xlpm.w,DCF!$B$7,_xlpm.tgr,DCF!$B$8,_xlpm.n,N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0" s="308" cm="1">
        <f t="array" ref="O30">_xlfn.LET(_xlpm.gs,DCF!$B$9,_xlpm.om,DCF!$B$10,_xlpm.w,DCF!$B$7,_xlpm.tgr,DCF!$B$8,_xlpm.n,O$28,_xlpm.lcx,$J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1" ht="15" customHeight="1" s="160" thickBot="1">
      <c r="B31" s="314">
        <f>DCF!$B$9+(0)</f>
        <v/>
      </c>
      <c r="C31" s="308" cm="1">
        <f t="array" ref="C31">_xlfn.LET(_xlpm.gs,$B31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1" s="310" cm="1">
        <f t="array" ref="D31">_xlfn.LET(_xlpm.gs,$B31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1" s="311" cm="1">
        <f t="array" ref="E31">_xlfn.LET(_xlpm.gs,$B31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1" s="312" cm="1">
        <f t="array" ref="F31">_xlfn.LET(_xlpm.gs,$B31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1" s="308" cm="1">
        <f t="array" ref="G31">_xlfn.LET(_xlpm.gs,$B31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1" s="314">
        <f>DCF!$B$19</f>
        <v/>
      </c>
      <c r="K31" s="308" cm="1">
        <f t="array" ref="K31">_xlfn.LET(_xlpm.gs,DCF!$B$9,_xlpm.om,DCF!$B$10,_xlpm.w,DCF!$B$7,_xlpm.tgr,DCF!$B$8,_xlpm.n,K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1" s="310" cm="1">
        <f t="array" ref="L31">_xlfn.LET(_xlpm.gs,DCF!$B$9,_xlpm.om,DCF!$B$10,_xlpm.w,DCF!$B$7,_xlpm.tgr,DCF!$B$8,_xlpm.n,L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1" s="311" cm="1">
        <f t="array" ref="M31">_xlfn.LET(_xlpm.gs,DCF!$B$9,_xlpm.om,DCF!$B$10,_xlpm.w,DCF!$B$7,_xlpm.tgr,DCF!$B$8,_xlpm.n,M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1" s="312" cm="1">
        <f t="array" ref="N31">_xlfn.LET(_xlpm.gs,DCF!$B$9,_xlpm.om,DCF!$B$10,_xlpm.w,DCF!$B$7,_xlpm.tgr,DCF!$B$8,_xlpm.n,N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1" s="308" cm="1">
        <f t="array" ref="O31">_xlfn.LET(_xlpm.gs,DCF!$B$9,_xlpm.om,DCF!$B$10,_xlpm.w,DCF!$B$7,_xlpm.tgr,DCF!$B$8,_xlpm.n,O$28,_xlpm.lcx,$J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2">
      <c r="B32" s="314">
        <f>DCF!$B$9+(0.03)</f>
        <v/>
      </c>
      <c r="C32" s="308" cm="1">
        <f t="array" ref="C32">_xlfn.LET(_xlpm.gs,$B32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2" s="308" cm="1">
        <f t="array" ref="D32">_xlfn.LET(_xlpm.gs,$B32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2" s="313" cm="1">
        <f t="array" ref="E32">_xlfn.LET(_xlpm.gs,$B32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2" s="308" cm="1">
        <f t="array" ref="F32">_xlfn.LET(_xlpm.gs,$B32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2" s="308" cm="1">
        <f t="array" ref="G32">_xlfn.LET(_xlpm.gs,$B32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2" s="314">
        <f>DCF!$B$19+0.02</f>
        <v/>
      </c>
      <c r="K32" s="308" cm="1">
        <f t="array" ref="K32">_xlfn.LET(_xlpm.gs,DCF!$B$9,_xlpm.om,DCF!$B$10,_xlpm.w,DCF!$B$7,_xlpm.tgr,DCF!$B$8,_xlpm.n,K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2" s="308" cm="1">
        <f t="array" ref="L32">_xlfn.LET(_xlpm.gs,DCF!$B$9,_xlpm.om,DCF!$B$10,_xlpm.w,DCF!$B$7,_xlpm.tgr,DCF!$B$8,_xlpm.n,L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2" s="313" cm="1">
        <f t="array" ref="M32">_xlfn.LET(_xlpm.gs,DCF!$B$9,_xlpm.om,DCF!$B$10,_xlpm.w,DCF!$B$7,_xlpm.tgr,DCF!$B$8,_xlpm.n,M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2" s="308" cm="1">
        <f t="array" ref="N32">_xlfn.LET(_xlpm.gs,DCF!$B$9,_xlpm.om,DCF!$B$10,_xlpm.w,DCF!$B$7,_xlpm.tgr,DCF!$B$8,_xlpm.n,N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2" s="308" cm="1">
        <f t="array" ref="O32">_xlfn.LET(_xlpm.gs,DCF!$B$9,_xlpm.om,DCF!$B$10,_xlpm.w,DCF!$B$7,_xlpm.tgr,DCF!$B$8,_xlpm.n,O$28,_xlpm.lcx,$J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3">
      <c r="B33" s="314">
        <f>DCF!$B$9+(0.06)</f>
        <v/>
      </c>
      <c r="C33" s="308" cm="1">
        <f t="array" ref="C33">_xlfn.LET(_xlpm.gs,$B33,_xlpm.om,C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D33" s="308" cm="1">
        <f t="array" ref="D33">_xlfn.LET(_xlpm.gs,$B33,_xlpm.om,D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E33" s="308" cm="1">
        <f t="array" ref="E33">_xlfn.LET(_xlpm.gs,$B33,_xlpm.om,E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F33" s="308" cm="1">
        <f t="array" ref="F33">_xlfn.LET(_xlpm.gs,$B33,_xlpm.om,F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G33" s="308" cm="1">
        <f t="array" ref="G33">_xlfn.LET(_xlpm.gs,$B33,_xlpm.om,G$28,_xlpm.w,DCF!$B$7,_xlpm.tgr,DCF!$B$8,_xlpm.n,DCF!$B$11,_xlpm.lcx,DCF!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J33" s="314">
        <f>DCF!$B$19+0.04</f>
        <v/>
      </c>
      <c r="K33" s="308" cm="1">
        <f t="array" ref="K33">_xlfn.LET(_xlpm.gs,DCF!$B$9,_xlpm.om,DCF!$B$10,_xlpm.w,DCF!$B$7,_xlpm.tgr,DCF!$B$8,_xlpm.n,K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L33" s="308" cm="1">
        <f t="array" ref="L33">_xlfn.LET(_xlpm.gs,DCF!$B$9,_xlpm.om,DCF!$B$10,_xlpm.w,DCF!$B$7,_xlpm.tgr,DCF!$B$8,_xlpm.n,L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M33" s="308" cm="1">
        <f t="array" ref="M33">_xlfn.LET(_xlpm.gs,DCF!$B$9,_xlpm.om,DCF!$B$10,_xlpm.w,DCF!$B$7,_xlpm.tgr,DCF!$B$8,_xlpm.n,M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N33" s="308" cm="1">
        <f t="array" ref="N33">_xlfn.LET(_xlpm.gs,DCF!$B$9,_xlpm.om,DCF!$B$10,_xlpm.w,DCF!$B$7,_xlpm.tgr,DCF!$B$8,_xlpm.n,N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O33" s="308" cm="1">
        <f t="array" ref="O33">_xlfn.LET(_xlpm.gs,DCF!$B$9,_xlpm.om,DCF!$B$10,_xlpm.w,DCF!$B$7,_xlpm.tgr,DCF!$B$8,_xlpm.n,O$28,_xlpm.lcx,$J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35">
      <c r="A35" s="29">
        <f>"Yellow = base case. Green = fair value at or above today's price of "&amp;TEXT(DCF!B5,"$0.00")&amp;". Base case: "&amp;TEXT(DCF!B9,"0.0%")&amp;" year-1 revenue growth and a "&amp;TEXT(DCF!B10,"0.0%")&amp;" long-run operating margin. Today's price implies "&amp;IFERROR(TEXT(DCF!B79,"0.0%")&amp;" year-1 growth (≈"&amp;TEXT(DCF!B80,"0.0%")&amp;" 10-yr CAGR)","growth outside the solvable range")&amp;" or a "&amp;IFERROR(TEXT(DCF!B82,"0.0%"),"n/a")&amp;" operating margin."</f>
        <v/>
      </c>
    </row>
    <row r="37">
      <c r="A37" s="5" t="inlineStr">
        <is>
          <t>Valuation range (feeds the Summary chart)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9" t="inlineStr">
        <is>
          <t>Measure</t>
        </is>
      </c>
      <c r="B38" s="8" t="inlineStr">
        <is>
          <t>$ per share</t>
        </is>
      </c>
    </row>
    <row r="39">
      <c r="A39" s="117" t="inlineStr">
        <is>
          <t>DCF — bear</t>
        </is>
      </c>
      <c r="B39" s="316">
        <f>B11</f>
        <v/>
      </c>
    </row>
    <row r="40">
      <c r="A40" s="117" t="inlineStr">
        <is>
          <t>DCF — base</t>
        </is>
      </c>
      <c r="B40" s="316">
        <f>C11</f>
        <v/>
      </c>
    </row>
    <row r="41">
      <c r="A41" s="117" t="inlineStr">
        <is>
          <t>DCF — bull</t>
        </is>
      </c>
      <c r="B41" s="316">
        <f>D11</f>
        <v/>
      </c>
    </row>
    <row r="42">
      <c r="A42" s="117" t="inlineStr">
        <is>
          <t>DCF — probability-weighted</t>
        </is>
      </c>
      <c r="B42" s="316">
        <f>B13</f>
        <v/>
      </c>
    </row>
    <row r="43">
      <c r="A43" s="117" t="inlineStr">
        <is>
          <t>52-week low</t>
        </is>
      </c>
      <c r="B43" s="316">
        <f>MIN(Data!D1004:D1256)</f>
        <v/>
      </c>
    </row>
    <row r="44">
      <c r="A44" s="117" t="inlineStr">
        <is>
          <t>52-week high</t>
        </is>
      </c>
      <c r="B44" s="316">
        <f>MAX(Data!C1004:C1256)</f>
        <v/>
      </c>
    </row>
    <row r="45">
      <c r="A45" s="117" t="inlineStr">
        <is>
          <t>Current price</t>
        </is>
      </c>
      <c r="B45" s="316">
        <f>DCF!B5</f>
        <v/>
      </c>
    </row>
    <row r="47">
      <c r="A47" s="5" t="inlineStr">
        <is>
          <t>Football field — value ranges by method (feeds the Summary chart)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s="9" t="inlineStr">
        <is>
          <t>Chart label</t>
        </is>
      </c>
      <c r="B48" s="8" t="inlineStr">
        <is>
          <t>Low ($)</t>
        </is>
      </c>
      <c r="C48" s="117" t="inlineStr">
        <is>
          <t>High ($)</t>
        </is>
      </c>
      <c r="D48" s="117" t="inlineStr">
        <is>
          <t>Bar length</t>
        </is>
      </c>
      <c r="E48" s="117" t="inlineStr">
        <is>
          <t>Method</t>
        </is>
      </c>
    </row>
    <row r="49">
      <c r="A49" s="117">
        <f>E49&amp;"  "&amp;TEXT(B49,"$0")&amp;"–"&amp;TEXT(C49,"$0")</f>
        <v/>
      </c>
      <c r="B49" s="317">
        <f>Scenarios!B43</f>
        <v/>
      </c>
      <c r="C49" s="317">
        <f>Scenarios!B44</f>
        <v/>
      </c>
      <c r="D49" s="318">
        <f>C49-B49</f>
        <v/>
      </c>
      <c r="E49" s="117" t="inlineStr">
        <is>
          <t>52-week trading range</t>
        </is>
      </c>
    </row>
    <row r="50">
      <c r="A50" s="117">
        <f>E50&amp;"  "&amp;TEXT(B50,"$0")&amp;"–"&amp;TEXT(C50,"$0")</f>
        <v/>
      </c>
      <c r="B50" s="319">
        <f>B11</f>
        <v/>
      </c>
      <c r="C50" s="319">
        <f>D11</f>
        <v/>
      </c>
      <c r="D50" s="318">
        <f>C50-B50</f>
        <v/>
      </c>
      <c r="E50" s="117" t="inlineStr">
        <is>
          <t>DCF bear–bull</t>
        </is>
      </c>
    </row>
    <row r="51">
      <c r="A51" s="117">
        <f>E51&amp;"  "&amp;TEXT(B51,"$0")&amp;"–"&amp;TEXT(C51,"$0")</f>
        <v/>
      </c>
      <c r="B51" s="319">
        <f>MIN(C21:G25)</f>
        <v/>
      </c>
      <c r="C51" s="319">
        <f>MAX(C21:G25)</f>
        <v/>
      </c>
      <c r="D51" s="318">
        <f>C51-B51</f>
        <v/>
      </c>
      <c r="E51" s="117" t="inlineStr">
        <is>
          <t>DCF: WACC × terminal g</t>
        </is>
      </c>
    </row>
    <row r="52">
      <c r="A52" s="117">
        <f>E52&amp;"  "&amp;TEXT(B52,"$0")&amp;"–"&amp;TEXT(C52,"$0")</f>
        <v/>
      </c>
      <c r="B52" s="319">
        <f>MIN(C29:G33)</f>
        <v/>
      </c>
      <c r="C52" s="319">
        <f>MAX(C29:G33)</f>
        <v/>
      </c>
      <c r="D52" s="318">
        <f>C52-B52</f>
        <v/>
      </c>
      <c r="E52" s="117" t="inlineStr">
        <is>
          <t>DCF: growth × margin</t>
        </is>
      </c>
    </row>
    <row r="53">
      <c r="A53" s="117">
        <f>E53&amp;"  "&amp;TEXT(B53,"$0")&amp;"–"&amp;TEXT(C53,"$0")</f>
        <v/>
      </c>
      <c r="B53" s="317">
        <f>IF(Financials!F27&gt;0,MIN(Peers!C7:C10)*Financials!F27,"")</f>
        <v/>
      </c>
      <c r="C53" s="317">
        <f>IF(Financials!F27&gt;0,MAX(Peers!C7:C10)*Financials!F27,"")</f>
        <v/>
      </c>
      <c r="D53" s="318">
        <f>IFERROR(C53-B53,"")</f>
        <v/>
      </c>
      <c r="E53" s="117" t="inlineStr">
        <is>
          <t>Peer P/E range × clean EPS</t>
        </is>
      </c>
    </row>
    <row r="54">
      <c r="A54" s="117">
        <f>E54&amp;"  "&amp;TEXT(B54,"$0")&amp;"–"&amp;TEXT(C54,"$0")</f>
        <v/>
      </c>
      <c r="B54" s="317">
        <f>IF(Financials!F27&gt;0,MIN(Valuation_History!D6:D14)*Financials!F27,"")</f>
        <v/>
      </c>
      <c r="C54" s="317">
        <f>IF(Financials!F27&gt;0,MAX(Valuation_History!D6:D14)*Financials!F27,"")</f>
        <v/>
      </c>
      <c r="D54" s="318">
        <f>IFERROR(C54-B54,"")</f>
        <v/>
      </c>
      <c r="E54" s="117" t="inlineStr">
        <is>
          <t>Own P/E history × clean EPS</t>
        </is>
      </c>
    </row>
    <row r="55">
      <c r="A55" s="117">
        <f>E55&amp;"  "&amp;TEXT(B55,"$0")&amp;"–"&amp;TEXT(C55,"$0")</f>
        <v/>
      </c>
      <c r="B55" s="317">
        <f>(Segments!J12*0.8+Segments!B17)/DCF!B6</f>
        <v/>
      </c>
      <c r="C55" s="317">
        <f>(Segments!J12*1.2+Segments!B17)/DCF!B6</f>
        <v/>
      </c>
      <c r="D55" s="318">
        <f>IFERROR(C55-B55,"")</f>
        <v/>
      </c>
      <c r="E55" s="117" t="inlineStr">
        <is>
          <t>Sum-of-the-parts (segment multiples ±20%)</t>
        </is>
      </c>
    </row>
    <row r="56">
      <c r="A56" s="117">
        <f>E56&amp;"  "&amp;TEXT(B56,"$0")&amp;"–"&amp;TEXT(C56,"$0")</f>
        <v/>
      </c>
      <c r="B56" s="317">
        <f>Risk!B48</f>
        <v/>
      </c>
      <c r="C56" s="317">
        <f>Risk!B49</f>
        <v/>
      </c>
      <c r="D56" s="318">
        <f>C56-B56</f>
        <v/>
      </c>
      <c r="E56" s="117" t="inlineStr">
        <is>
          <t>1-yr price range, volatility (not a valuation)</t>
        </is>
      </c>
    </row>
    <row r="57">
      <c r="A57" s="117">
        <f>E57&amp;"  "&amp;TEXT(DCF!B5,"$0")</f>
        <v/>
      </c>
      <c r="B57" s="317">
        <f>DCF!B5-2</f>
        <v/>
      </c>
      <c r="C57" s="317">
        <f>DCF!B5+2</f>
        <v/>
      </c>
      <c r="D57" s="318">
        <f>C57-B57</f>
        <v/>
      </c>
      <c r="E57" s="117" t="inlineStr">
        <is>
          <t>Current price</t>
        </is>
      </c>
    </row>
    <row r="58">
      <c r="A58" s="29" t="inlineStr">
        <is>
          <t>Multiples rows apply the peer / own-history P/E range to EPS excluding investment gains (Financials F27). The volatility row is a statistical 1-year price range (Risk tab), not a valuation.</t>
        </is>
      </c>
    </row>
  </sheetData>
  <hyperlinks>
    <hyperlink ref="G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0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V212"/>
  <sheetViews>
    <sheetView showGridLines="0" workbookViewId="0">
      <pane ySplit="2" topLeftCell="A9" activePane="bottomLeft" state="frozen"/>
      <selection pane="bottomLeft" activeCell="W1" sqref="W1:W1048576"/>
    </sheetView>
  </sheetViews>
  <sheetFormatPr baseColWidth="8" defaultRowHeight="14.5"/>
  <cols>
    <col width="43.6328125" customWidth="1" style="117" min="1" max="1"/>
    <col width="15.453125" customWidth="1" style="117" min="2" max="2"/>
    <col width="14.1796875" customWidth="1" style="117" min="3" max="9"/>
    <col outlineLevel="1" width="14.1796875" customWidth="1" style="117" min="10" max="11"/>
    <col width="14.1796875" customWidth="1" style="117" min="12" max="15"/>
    <col width="8.7265625" customWidth="1" style="117" min="16" max="16"/>
    <col hidden="1" outlineLevel="1" width="8.7265625" customWidth="1" style="117" min="17" max="22"/>
    <col collapsed="1" width="8.7265625" customWidth="1" style="117" min="23" max="23"/>
    <col width="8.7265625" customWidth="1" style="117" min="24" max="26"/>
  </cols>
  <sheetData>
    <row r="1" ht="30" customHeight="1" s="160">
      <c r="A1" s="2">
        <f>Data!$Q$2&amp;" ("&amp;Data!$Q$3&amp;") — Discounted Cash Flow Valuation"</f>
        <v/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Two-stage free-cash-flow DCF · $ in billions except per share · blue/yellow cells are editable inputs</t>
        </is>
      </c>
      <c r="B2" s="3" t="n"/>
      <c r="C2" s="3" t="n"/>
      <c r="D2" s="3" t="n"/>
      <c r="E2" s="3" t="n"/>
      <c r="F2" s="3" t="n"/>
      <c r="G2" s="4" t="inlineStr">
        <is>
          <t>← Back to Summary</t>
        </is>
      </c>
      <c r="H2" s="3" t="n"/>
    </row>
    <row r="4">
      <c r="A4" s="161" t="inlineStr">
        <is>
          <t>Inputs</t>
        </is>
      </c>
      <c r="B4" s="161" t="n"/>
      <c r="C4" s="161" t="n"/>
      <c r="D4" s="161" t="n"/>
      <c r="E4" s="161" t="n"/>
      <c r="F4" s="161" t="n"/>
      <c r="G4" s="161" t="n"/>
      <c r="H4" s="161" t="n"/>
      <c r="I4" s="161" t="n"/>
    </row>
    <row r="5">
      <c r="A5" t="inlineStr">
        <is>
          <t>Current share price ($)</t>
        </is>
      </c>
      <c r="B5" s="320">
        <f>Data!E1256</f>
        <v/>
      </c>
      <c r="C5" s="159" t="inlineStr">
        <is>
          <t>Report price: close of 24-Sep-2026 (Yahoo Finance).</t>
        </is>
      </c>
    </row>
    <row r="6">
      <c r="A6" t="inlineStr">
        <is>
          <t>Shares outstanding (B)</t>
        </is>
      </c>
      <c r="B6" s="321">
        <f>Financials!C56</f>
        <v/>
      </c>
      <c r="C6" s="159" t="inlineStr">
        <is>
          <t>All share classes, filing cover (08-Jul-2026).</t>
        </is>
      </c>
    </row>
    <row r="7">
      <c r="A7" t="inlineStr">
        <is>
          <t>Discount rate (WACC)</t>
        </is>
      </c>
      <c r="B7" s="322">
        <f>B34</f>
        <v/>
      </c>
      <c r="C7" s="159" t="inlineStr">
        <is>
          <t>From the CAPM build below — edit its inputs, not this cell.</t>
        </is>
      </c>
    </row>
    <row r="8">
      <c r="A8" t="inlineStr">
        <is>
          <t>Terminal growth rate</t>
        </is>
      </c>
      <c r="B8" s="323" t="n">
        <v>0.025</v>
      </c>
      <c r="C8" s="159" t="inlineStr">
        <is>
          <t>Perpetual growth after year 10. Must be below WACC; ~long-run nominal GDP.</t>
        </is>
      </c>
    </row>
    <row r="9">
      <c r="A9" t="inlineStr">
        <is>
          <t>Year-1 revenue growth</t>
        </is>
      </c>
      <c r="B9" s="324">
        <f>IFERROR(MAX(-0.1,MIN(0.3,Financials!M6)),0.008216289449518577)</f>
        <v/>
      </c>
      <c r="C9" s="159" t="inlineStr">
        <is>
          <t>Defaults to the 5-yr revenue CAGR (FY2021–FY2026), held between -10% and +30%; fades linearly to terminal growth by year 10. Overwrite to test.</t>
        </is>
      </c>
    </row>
    <row r="10">
      <c r="A10" t="inlineStr">
        <is>
          <t>Target operating margin</t>
        </is>
      </c>
      <c r="B10" s="322">
        <f>CHOOSE(MATCH(B17,{"TTM","Last FY","Peer median","Custom"},0),Financials!F23,Financials!B47/Financials!K6,MEDIAN(Peers!H7:H10),B18)</f>
        <v/>
      </c>
      <c r="C10" s="159" t="inlineStr">
        <is>
          <t>Set by the anchor in B17 (edit B17/B18, not this cell).</t>
        </is>
      </c>
    </row>
    <row r="11">
      <c r="A11" t="inlineStr">
        <is>
          <t>Years to normalise margin &amp; capex</t>
        </is>
      </c>
      <c r="B11" s="143" t="n">
        <v>5</v>
      </c>
      <c r="C11" s="159" t="inlineStr">
        <is>
          <t>Operating margin, capex and D&amp;A move in a straight line from today's level to the long-run level over this many years.</t>
        </is>
      </c>
    </row>
    <row r="12">
      <c r="A12" t="inlineStr">
        <is>
          <t>Deduct stock-based compensation?</t>
        </is>
      </c>
      <c r="B12" s="144" t="inlineStr">
        <is>
          <t>No</t>
        </is>
      </c>
      <c r="C12" s="159" t="inlineStr">
        <is>
          <t>Yes = treat SBC as a cash cost (more conservative). TTM SBC is shown below.</t>
        </is>
      </c>
    </row>
    <row r="13">
      <c r="A13" t="inlineStr">
        <is>
          <t>Include non-marketable investments?</t>
        </is>
      </c>
      <c r="B13" s="144" t="inlineStr">
        <is>
          <t>Yes</t>
        </is>
      </c>
      <c r="C13" s="159" t="inlineStr">
        <is>
          <t>Private equity stakes on the balance sheet (not captured by FCF).</t>
        </is>
      </c>
    </row>
    <row r="14">
      <c r="A14" t="inlineStr">
        <is>
          <t>Risk-free rate (3-month T-bill)</t>
        </is>
      </c>
      <c r="B14" s="323" t="n">
        <v>0.04190000000000001</v>
      </c>
      <c r="C14" s="159" t="inlineStr">
        <is>
          <t>Used for Sharpe / earnings-yield spread cross-checks only.</t>
        </is>
      </c>
    </row>
    <row r="15">
      <c r="A15" t="inlineStr">
        <is>
          <t>Haircut on non-marketable investments</t>
        </is>
      </c>
      <c r="B15" s="323" t="n">
        <v>0.2</v>
      </c>
      <c r="C15" s="159" t="inlineStr">
        <is>
          <t>Discount for illiquidity and tax on unrealised gains.</t>
        </is>
      </c>
    </row>
    <row r="16">
      <c r="A16" t="inlineStr">
        <is>
          <t>Mid-year discounting?</t>
        </is>
      </c>
      <c r="B16" s="144" t="inlineStr">
        <is>
          <t>Yes</t>
        </is>
      </c>
      <c r="C16" s="159" t="inlineStr">
        <is>
          <t>Yes = cash flows arrive mid-year on average (standard practice).</t>
        </is>
      </c>
    </row>
    <row r="17">
      <c r="A17" t="inlineStr">
        <is>
          <t>Operating-margin anchor</t>
        </is>
      </c>
      <c r="B17" s="144" t="inlineStr">
        <is>
          <t>TTM</t>
        </is>
      </c>
      <c r="C17" s="159" t="inlineStr">
        <is>
          <t>Where the long-run operating margin settles: TTM / Last FY / Peer median / Custom.</t>
        </is>
      </c>
    </row>
    <row r="18">
      <c r="A18" t="inlineStr">
        <is>
          <t>Custom operating margin</t>
        </is>
      </c>
      <c r="B18" s="325" t="n">
        <v>0.35</v>
      </c>
      <c r="C18" s="159" t="inlineStr">
        <is>
          <t>Used only when the anchor (B17) = Custom.</t>
        </is>
      </c>
    </row>
    <row r="19">
      <c r="A19" t="inlineStr">
        <is>
          <t>Long-run capex, % of revenue</t>
        </is>
      </c>
      <c r="B19" s="325" t="n">
        <v>0.02</v>
      </c>
      <c r="C19" s="159" t="inlineStr">
        <is>
          <t>The company's median capex share of revenue over 10 filed fiscal years, to the nearest half point. Assumption; edit to test.</t>
        </is>
      </c>
    </row>
    <row r="20">
      <c r="A20" t="inlineStr">
        <is>
          <t>Long-run D&amp;A, % of capex</t>
        </is>
      </c>
      <c r="B20" s="325" t="n">
        <v>0.85</v>
      </c>
      <c r="C20" s="159" t="inlineStr">
        <is>
          <t>D&amp;A below capex = the business keeps reinvesting for growth. Assumption.</t>
        </is>
      </c>
    </row>
    <row r="21">
      <c r="A21" t="inlineStr">
        <is>
          <t>Working capital, % of revenue change</t>
        </is>
      </c>
      <c r="B21" s="325" t="n">
        <v>0</v>
      </c>
      <c r="C21" s="159" t="inlineStr">
        <is>
          <t>Cash tied up per $1 of new revenue. Near 0 for ad/software models.</t>
        </is>
      </c>
    </row>
    <row r="22">
      <c r="A22" t="inlineStr">
        <is>
          <t>Next-year capex guidance ($B, optional)</t>
        </is>
      </c>
      <c r="B22" s="326" t="n"/>
      <c r="C22" s="159" t="inlineStr">
        <is>
          <t>Company guidance midpoint; leave blank to glide from TTM capex instead.</t>
        </is>
      </c>
    </row>
    <row r="24">
      <c r="A24" s="161" t="inlineStr">
        <is>
          <t>WACC build (CAPM)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</row>
    <row r="25">
      <c r="A25" t="inlineStr">
        <is>
          <t>10-year Treasury yield</t>
        </is>
      </c>
      <c r="B25" s="327" t="n">
        <v>0.05110000000000001</v>
      </c>
      <c r="C25" s="159" t="inlineStr">
        <is>
          <t>FRED DGS10 (see Sources).</t>
        </is>
      </c>
    </row>
    <row r="26">
      <c r="A26" t="inlineStr">
        <is>
          <t>Raw beta vs S&amp;P 500</t>
        </is>
      </c>
      <c r="B26" s="146">
        <f>Risk!B25</f>
        <v/>
      </c>
      <c r="C26" s="159" t="inlineStr">
        <is>
          <t>Live regression of daily returns on SPY (Risk tab).</t>
        </is>
      </c>
    </row>
    <row r="27">
      <c r="A27" t="inlineStr">
        <is>
          <t>Adjusted beta (Blume: ⅔ raw + ⅓)</t>
        </is>
      </c>
      <c r="B27" s="147">
        <f>2/3*B26+1/3</f>
        <v/>
      </c>
      <c r="C27" s="159" t="inlineStr">
        <is>
          <t>Pulls the raw estimate toward 1.0.</t>
        </is>
      </c>
    </row>
    <row r="28">
      <c r="A28" t="inlineStr">
        <is>
          <t>Equity risk premium</t>
        </is>
      </c>
      <c r="B28" s="327" t="n">
        <v>0.05</v>
      </c>
      <c r="C28" s="159" t="inlineStr">
        <is>
          <t>Assumption.</t>
        </is>
      </c>
    </row>
    <row r="29">
      <c r="A29" t="inlineStr">
        <is>
          <t>Cost of equity</t>
        </is>
      </c>
      <c r="B29" s="328">
        <f>B25+B27*B28</f>
        <v/>
      </c>
      <c r="C29" s="159" t="inlineStr">
        <is>
          <t>Risk-free + beta × ERP.</t>
        </is>
      </c>
    </row>
    <row r="30">
      <c r="A30" t="inlineStr">
        <is>
          <t>Pre-tax cost of debt</t>
        </is>
      </c>
      <c r="B30" s="327" t="n">
        <v>0.0631</v>
      </c>
      <c r="C30" s="159" t="inlineStr">
        <is>
          <t>10-year Treasury + 1.20% credit spread (stepped by leverage).</t>
        </is>
      </c>
    </row>
    <row r="31">
      <c r="A31" t="inlineStr">
        <is>
          <t>Tax rate</t>
        </is>
      </c>
      <c r="B31" s="327" t="n">
        <v>0.2030769230769231</v>
      </c>
      <c r="C31" s="159" t="inlineStr">
        <is>
          <t>Effective tax rate, trailing twelve months (held between 5% and 35%).</t>
        </is>
      </c>
    </row>
    <row r="32">
      <c r="A32" t="inlineStr">
        <is>
          <t>Weight of debt</t>
        </is>
      </c>
      <c r="B32" s="328">
        <f>Financials!C38/(Financials!C38+B5*B6)</f>
        <v/>
      </c>
      <c r="C32" s="159" t="inlineStr">
        <is>
          <t>Total debt ÷ (debt + market cap).</t>
        </is>
      </c>
    </row>
    <row r="33">
      <c r="A33" t="inlineStr">
        <is>
          <t>Weight of equity</t>
        </is>
      </c>
      <c r="B33" s="328">
        <f>1-B32</f>
        <v/>
      </c>
      <c r="C33" s="159" t="n"/>
    </row>
    <row r="34">
      <c r="A34" s="80" t="inlineStr">
        <is>
          <t>WACC</t>
        </is>
      </c>
      <c r="B34" s="329">
        <f>B33*B29+B32*B30*(1-B31)</f>
        <v/>
      </c>
      <c r="C34" s="159" t="inlineStr">
        <is>
          <t>Feeds B7.</t>
        </is>
      </c>
    </row>
    <row r="36">
      <c r="A36" s="161" t="inlineStr">
        <is>
          <t>Derived inputs</t>
        </is>
      </c>
      <c r="B36" s="161" t="n"/>
      <c r="C36" s="161" t="n"/>
      <c r="D36" s="161" t="n"/>
      <c r="E36" s="161" t="n"/>
      <c r="F36" s="161" t="n"/>
      <c r="G36" s="161" t="n"/>
      <c r="H36" s="161" t="n"/>
      <c r="I36" s="161" t="n"/>
    </row>
    <row r="37">
      <c r="A37" t="inlineStr">
        <is>
          <t>Base revenue — TTM to May-2026 ($B)</t>
        </is>
      </c>
      <c r="B37" s="330">
        <f>Financials!F17</f>
        <v/>
      </c>
      <c r="C37" s="159" t="inlineStr">
        <is>
          <t>Sum of the last four quarters.</t>
        </is>
      </c>
    </row>
    <row r="38">
      <c r="A38" t="inlineStr">
        <is>
          <t>Current FCF margin — TTM (reference)</t>
        </is>
      </c>
      <c r="B38" s="328">
        <f>(Financials!C42-Financials!C43)/Financials!F17</f>
        <v/>
      </c>
      <c r="C38" s="159" t="inlineStr">
        <is>
          <t>(CFO − capex) ÷ revenue, trailing twelve months.</t>
        </is>
      </c>
    </row>
    <row r="39">
      <c r="A39" t="inlineStr">
        <is>
          <t>Current operating margin — TTM</t>
        </is>
      </c>
      <c r="B39" s="328">
        <f>Financials!F23</f>
        <v/>
      </c>
      <c r="C39" s="159" t="inlineStr">
        <is>
          <t>Starting point for the margin path.</t>
        </is>
      </c>
    </row>
    <row r="40">
      <c r="A40" t="inlineStr">
        <is>
          <t>Current capex, % of revenue — TTM</t>
        </is>
      </c>
      <c r="B40" s="328">
        <f>Financials!C43/B37</f>
        <v/>
      </c>
      <c r="C40" s="159" t="inlineStr">
        <is>
          <t>Elevated by the AI build-out.</t>
        </is>
      </c>
    </row>
    <row r="41">
      <c r="A41" t="inlineStr">
        <is>
          <t>Current D&amp;A, % of revenue — TTM</t>
        </is>
      </c>
      <c r="B41" s="328">
        <f>Financials!C46/B37</f>
        <v/>
      </c>
      <c r="C41" s="159" t="inlineStr">
        <is>
          <t>D&amp;A share of revenue, trailing twelve months.</t>
        </is>
      </c>
    </row>
    <row r="42">
      <c r="A42" t="inlineStr">
        <is>
          <t>SBC as % of revenue — TTM</t>
        </is>
      </c>
      <c r="B42" s="328">
        <f>Financials!C44/Financials!F17</f>
        <v/>
      </c>
      <c r="C42" s="159" t="n"/>
    </row>
    <row r="43">
      <c r="A43" t="inlineStr">
        <is>
          <t>SBC added back to FCF, % of revenue</t>
        </is>
      </c>
      <c r="B43" s="328">
        <f>IF(B12="Yes",0,B42)</f>
        <v/>
      </c>
      <c r="C43" s="159" t="inlineStr">
        <is>
          <t>Reported FCF adds SBC back (non-cash). B12 = Yes treats it as a real cost instead.</t>
        </is>
      </c>
    </row>
    <row r="44">
      <c r="A44" t="inlineStr">
        <is>
          <t>Net cash ($B)</t>
        </is>
      </c>
      <c r="B44" s="330">
        <f>Financials!C39</f>
        <v/>
      </c>
      <c r="C44" s="159" t="inlineStr">
        <is>
          <t>Cash + marketable securities − debt, 31-May-2026.</t>
        </is>
      </c>
    </row>
    <row r="45">
      <c r="A45" t="inlineStr">
        <is>
          <t>Preferred stock ($B)</t>
        </is>
      </c>
      <c r="B45" s="330">
        <f>Financials!C55</f>
        <v/>
      </c>
      <c r="C45" s="159" t="inlineStr">
        <is>
          <t>A senior claim ahead of common shareholders; 0 when none is outstanding.</t>
        </is>
      </c>
    </row>
    <row r="46">
      <c r="A46" t="inlineStr">
        <is>
          <t>Non-marketable investments after haircut ($B)</t>
        </is>
      </c>
      <c r="B46" s="331">
        <f>IF(B13="Yes",Financials!C54*(1-B15),0)</f>
        <v/>
      </c>
      <c r="C46" s="159" t="n"/>
    </row>
    <row r="47">
      <c r="A47" t="inlineStr">
        <is>
          <t>Non-operating adjustments, net ($B)</t>
        </is>
      </c>
      <c r="B47" s="331">
        <f>B44-B45+B46</f>
        <v/>
      </c>
      <c r="C47" s="159" t="inlineStr">
        <is>
          <t>Added to enterprise value to reach equity value.</t>
        </is>
      </c>
    </row>
    <row r="48">
      <c r="A48" t="inlineStr">
        <is>
          <t>Mid-year flag</t>
        </is>
      </c>
      <c r="B48" s="153">
        <f>IF(B16="Yes",1,0)</f>
        <v/>
      </c>
      <c r="C48" s="159" t="n"/>
    </row>
    <row r="50">
      <c r="A50" s="161" t="inlineStr">
        <is>
          <t>10-year projection — revenue → operating profit → cash flow ($B)</t>
        </is>
      </c>
      <c r="B50" s="161" t="n"/>
      <c r="C50" s="161" t="n"/>
      <c r="D50" s="161" t="n"/>
      <c r="E50" s="161" t="n"/>
      <c r="F50" s="161" t="n"/>
      <c r="G50" s="161" t="n"/>
      <c r="H50" s="161" t="n"/>
      <c r="I50" s="161" t="n"/>
      <c r="J50" s="161" t="n"/>
      <c r="K50" s="161" t="n"/>
      <c r="L50" s="161" t="n"/>
      <c r="M50" s="161" t="n"/>
      <c r="N50" s="161" t="n"/>
      <c r="O50" s="161" t="n"/>
    </row>
    <row r="51" ht="30" customHeight="1" s="160">
      <c r="A51" s="154" t="inlineStr">
        <is>
          <t>Year</t>
        </is>
      </c>
      <c r="B51" s="154" t="inlineStr">
        <is>
          <t>12 months to</t>
        </is>
      </c>
      <c r="C51" s="154" t="inlineStr">
        <is>
          <t>Revenue growth</t>
        </is>
      </c>
      <c r="D51" s="154" t="inlineStr">
        <is>
          <t>Revenue</t>
        </is>
      </c>
      <c r="E51" s="154" t="inlineStr">
        <is>
          <t>Operating margin</t>
        </is>
      </c>
      <c r="F51" s="154" t="inlineStr">
        <is>
          <t>NOPAT (after tax)</t>
        </is>
      </c>
      <c r="G51" s="154" t="inlineStr">
        <is>
          <t>+ D&amp;A</t>
        </is>
      </c>
      <c r="H51" s="154" t="inlineStr">
        <is>
          <t>− Capex</t>
        </is>
      </c>
      <c r="I51" s="154" t="inlineStr">
        <is>
          <t>− Working capital</t>
        </is>
      </c>
      <c r="J51" s="154" t="inlineStr">
        <is>
          <t>+ SBC add-back</t>
        </is>
      </c>
      <c r="K51" s="154" t="inlineStr">
        <is>
          <t>Free cash flow</t>
        </is>
      </c>
      <c r="L51" s="154" t="inlineStr">
        <is>
          <t>FCF margin</t>
        </is>
      </c>
      <c r="M51" s="154" t="inlineStr">
        <is>
          <t>Discount period</t>
        </is>
      </c>
      <c r="N51" s="154" t="inlineStr">
        <is>
          <t>Discount factor</t>
        </is>
      </c>
      <c r="O51" s="154" t="inlineStr">
        <is>
          <t>PV of FCF</t>
        </is>
      </c>
      <c r="Q51" s="243" t="inlineStr">
        <is>
          <t>Yr-1 growth</t>
        </is>
      </c>
      <c r="R51" s="243" t="inlineStr">
        <is>
          <t>Fair value ($)</t>
        </is>
      </c>
      <c r="S51" s="243" t="inlineStr">
        <is>
          <t>Target op. margin</t>
        </is>
      </c>
      <c r="T51" s="243" t="inlineStr">
        <is>
          <t>Fair value ($)</t>
        </is>
      </c>
      <c r="U51" s="243" t="inlineStr">
        <is>
          <t>LR capex %</t>
        </is>
      </c>
      <c r="V51" s="243" t="inlineStr">
        <is>
          <t>Fair value ($)</t>
        </is>
      </c>
    </row>
    <row r="52">
      <c r="A52" s="88" t="n">
        <v>1</v>
      </c>
      <c r="B52" s="88">
        <f>TEXT(EDATE(Financials!$E$16,12*A52),"mmm-yy")</f>
        <v/>
      </c>
      <c r="C52" s="291">
        <f>$B$9-($B$9-$B$8)*(A52-1)/9</f>
        <v/>
      </c>
      <c r="D52" s="289">
        <f>IF(A52=1,$B$37,D51)*(1+C52)</f>
        <v/>
      </c>
      <c r="E52" s="291">
        <f>$B$39+($B$10-$B$39)*MIN(1,A52/$B$11)</f>
        <v/>
      </c>
      <c r="F52" s="289">
        <f>D52*E52*(1-$B$31)</f>
        <v/>
      </c>
      <c r="G52" s="289">
        <f>D52*($B$41+($B$19*$B$20-$B$41)*MIN(1,A52/$B$11))</f>
        <v/>
      </c>
      <c r="H52" s="289">
        <f>IF(AND(A52=1,N($B$22)&gt;0),$B$22,D52*($B$40+($B$19-$B$40)*MIN(1,A52/$B$11)))</f>
        <v/>
      </c>
      <c r="I52" s="289">
        <f>$B$21*(D52-IF(A52=1,$B$37,D51))</f>
        <v/>
      </c>
      <c r="J52" s="289">
        <f>D52*$B$43</f>
        <v/>
      </c>
      <c r="K52" s="332">
        <f>F52+G52-H52-I52+J52</f>
        <v/>
      </c>
      <c r="L52" s="291">
        <f>K52/D52</f>
        <v/>
      </c>
      <c r="M52" s="333">
        <f>A52-0.5*$B$48</f>
        <v/>
      </c>
      <c r="N52" s="334">
        <f>1/(1+$B$7)^M52</f>
        <v/>
      </c>
      <c r="O52" s="289">
        <f>K52*N52</f>
        <v/>
      </c>
      <c r="Q52" s="335" t="n">
        <v>-0.1</v>
      </c>
      <c r="R52" s="245" cm="1">
        <f t="array" ref="R52">_xlfn.LET(_xlpm.gs,Q52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2" s="335" t="n">
        <v>0.05</v>
      </c>
      <c r="T52" s="245" cm="1">
        <f t="array" ref="T52">_xlfn.LET(_xlpm.gs,$B$9,_xlpm.om,S52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2" s="335" t="n">
        <v>0.4</v>
      </c>
      <c r="V52" s="245" cm="1">
        <f t="array" ref="V52">_xlfn.LET(_xlpm.gs,$B$9,_xlpm.om,$B$10,_xlpm.w,$B$7,_xlpm.tgr,$B$8,_xlpm.n,$B$11,_xlpm.lcx,U52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3">
      <c r="A53" s="88" t="n">
        <v>2</v>
      </c>
      <c r="B53" s="88">
        <f>TEXT(EDATE(Financials!$E$16,12*A53),"mmm-yy")</f>
        <v/>
      </c>
      <c r="C53" s="291">
        <f>$B$9-($B$9-$B$8)*(A53-1)/9</f>
        <v/>
      </c>
      <c r="D53" s="289">
        <f>IF(A53=1,$B$37,D52)*(1+C53)</f>
        <v/>
      </c>
      <c r="E53" s="291">
        <f>$B$39+($B$10-$B$39)*MIN(1,A53/$B$11)</f>
        <v/>
      </c>
      <c r="F53" s="289">
        <f>D53*E53*(1-$B$31)</f>
        <v/>
      </c>
      <c r="G53" s="289">
        <f>D53*($B$41+($B$19*$B$20-$B$41)*MIN(1,A53/$B$11))</f>
        <v/>
      </c>
      <c r="H53" s="289">
        <f>IF(AND(A53=1,N($B$22)&gt;0),$B$22,D53*($B$40+($B$19-$B$40)*MIN(1,A53/$B$11)))</f>
        <v/>
      </c>
      <c r="I53" s="289">
        <f>$B$21*(D53-IF(A53=1,$B$37,D52))</f>
        <v/>
      </c>
      <c r="J53" s="289">
        <f>D53*$B$43</f>
        <v/>
      </c>
      <c r="K53" s="332">
        <f>F53+G53-H53-I53+J53</f>
        <v/>
      </c>
      <c r="L53" s="291">
        <f>K53/D53</f>
        <v/>
      </c>
      <c r="M53" s="333">
        <f>A53-0.5*$B$48</f>
        <v/>
      </c>
      <c r="N53" s="334">
        <f>1/(1+$B$7)^M53</f>
        <v/>
      </c>
      <c r="O53" s="289">
        <f>K53*N53</f>
        <v/>
      </c>
      <c r="Q53" s="335">
        <f>Q52+0.005</f>
        <v/>
      </c>
      <c r="R53" s="245" cm="1">
        <f t="array" ref="R53">_xlfn.LET(_xlpm.gs,Q53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3" s="335">
        <f>S52+0.005</f>
        <v/>
      </c>
      <c r="T53" s="245" cm="1">
        <f t="array" ref="T53">_xlfn.LET(_xlpm.gs,$B$9,_xlpm.om,S53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3" s="335">
        <f>U52-0.0025</f>
        <v/>
      </c>
      <c r="V53" s="245" cm="1">
        <f t="array" ref="V53">_xlfn.LET(_xlpm.gs,$B$9,_xlpm.om,$B$10,_xlpm.w,$B$7,_xlpm.tgr,$B$8,_xlpm.n,$B$11,_xlpm.lcx,U53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4">
      <c r="A54" s="88" t="n">
        <v>3</v>
      </c>
      <c r="B54" s="88">
        <f>TEXT(EDATE(Financials!$E$16,12*A54),"mmm-yy")</f>
        <v/>
      </c>
      <c r="C54" s="291">
        <f>$B$9-($B$9-$B$8)*(A54-1)/9</f>
        <v/>
      </c>
      <c r="D54" s="289">
        <f>IF(A54=1,$B$37,D53)*(1+C54)</f>
        <v/>
      </c>
      <c r="E54" s="291">
        <f>$B$39+($B$10-$B$39)*MIN(1,A54/$B$11)</f>
        <v/>
      </c>
      <c r="F54" s="289">
        <f>D54*E54*(1-$B$31)</f>
        <v/>
      </c>
      <c r="G54" s="289">
        <f>D54*($B$41+($B$19*$B$20-$B$41)*MIN(1,A54/$B$11))</f>
        <v/>
      </c>
      <c r="H54" s="289">
        <f>IF(AND(A54=1,N($B$22)&gt;0),$B$22,D54*($B$40+($B$19-$B$40)*MIN(1,A54/$B$11)))</f>
        <v/>
      </c>
      <c r="I54" s="289">
        <f>$B$21*(D54-IF(A54=1,$B$37,D53))</f>
        <v/>
      </c>
      <c r="J54" s="289">
        <f>D54*$B$43</f>
        <v/>
      </c>
      <c r="K54" s="332">
        <f>F54+G54-H54-I54+J54</f>
        <v/>
      </c>
      <c r="L54" s="291">
        <f>K54/D54</f>
        <v/>
      </c>
      <c r="M54" s="333">
        <f>A54-0.5*$B$48</f>
        <v/>
      </c>
      <c r="N54" s="334">
        <f>1/(1+$B$7)^M54</f>
        <v/>
      </c>
      <c r="O54" s="289">
        <f>K54*N54</f>
        <v/>
      </c>
      <c r="Q54" s="335">
        <f>Q53+0.005</f>
        <v/>
      </c>
      <c r="R54" s="245" cm="1">
        <f t="array" ref="R54">_xlfn.LET(_xlpm.gs,Q54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4" s="335">
        <f>S53+0.005</f>
        <v/>
      </c>
      <c r="T54" s="245" cm="1">
        <f t="array" ref="T54">_xlfn.LET(_xlpm.gs,$B$9,_xlpm.om,S54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4" s="335">
        <f>U53-0.0025</f>
        <v/>
      </c>
      <c r="V54" s="245" cm="1">
        <f t="array" ref="V54">_xlfn.LET(_xlpm.gs,$B$9,_xlpm.om,$B$10,_xlpm.w,$B$7,_xlpm.tgr,$B$8,_xlpm.n,$B$11,_xlpm.lcx,U54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5">
      <c r="A55" s="88" t="n">
        <v>4</v>
      </c>
      <c r="B55" s="88">
        <f>TEXT(EDATE(Financials!$E$16,12*A55),"mmm-yy")</f>
        <v/>
      </c>
      <c r="C55" s="291">
        <f>$B$9-($B$9-$B$8)*(A55-1)/9</f>
        <v/>
      </c>
      <c r="D55" s="289">
        <f>IF(A55=1,$B$37,D54)*(1+C55)</f>
        <v/>
      </c>
      <c r="E55" s="291">
        <f>$B$39+($B$10-$B$39)*MIN(1,A55/$B$11)</f>
        <v/>
      </c>
      <c r="F55" s="289">
        <f>D55*E55*(1-$B$31)</f>
        <v/>
      </c>
      <c r="G55" s="289">
        <f>D55*($B$41+($B$19*$B$20-$B$41)*MIN(1,A55/$B$11))</f>
        <v/>
      </c>
      <c r="H55" s="289">
        <f>IF(AND(A55=1,N($B$22)&gt;0),$B$22,D55*($B$40+($B$19-$B$40)*MIN(1,A55/$B$11)))</f>
        <v/>
      </c>
      <c r="I55" s="289">
        <f>$B$21*(D55-IF(A55=1,$B$37,D54))</f>
        <v/>
      </c>
      <c r="J55" s="289">
        <f>D55*$B$43</f>
        <v/>
      </c>
      <c r="K55" s="332">
        <f>F55+G55-H55-I55+J55</f>
        <v/>
      </c>
      <c r="L55" s="291">
        <f>K55/D55</f>
        <v/>
      </c>
      <c r="M55" s="333">
        <f>A55-0.5*$B$48</f>
        <v/>
      </c>
      <c r="N55" s="334">
        <f>1/(1+$B$7)^M55</f>
        <v/>
      </c>
      <c r="O55" s="289">
        <f>K55*N55</f>
        <v/>
      </c>
      <c r="Q55" s="335">
        <f>Q54+0.005</f>
        <v/>
      </c>
      <c r="R55" s="245" cm="1">
        <f t="array" ref="R55">_xlfn.LET(_xlpm.gs,Q55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5" s="335">
        <f>S54+0.005</f>
        <v/>
      </c>
      <c r="T55" s="245" cm="1">
        <f t="array" ref="T55">_xlfn.LET(_xlpm.gs,$B$9,_xlpm.om,S55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5" s="335">
        <f>U54-0.0025</f>
        <v/>
      </c>
      <c r="V55" s="245" cm="1">
        <f t="array" ref="V55">_xlfn.LET(_xlpm.gs,$B$9,_xlpm.om,$B$10,_xlpm.w,$B$7,_xlpm.tgr,$B$8,_xlpm.n,$B$11,_xlpm.lcx,U55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6">
      <c r="A56" s="88" t="n">
        <v>5</v>
      </c>
      <c r="B56" s="88">
        <f>TEXT(EDATE(Financials!$E$16,12*A56),"mmm-yy")</f>
        <v/>
      </c>
      <c r="C56" s="291">
        <f>$B$9-($B$9-$B$8)*(A56-1)/9</f>
        <v/>
      </c>
      <c r="D56" s="289">
        <f>IF(A56=1,$B$37,D55)*(1+C56)</f>
        <v/>
      </c>
      <c r="E56" s="291">
        <f>$B$39+($B$10-$B$39)*MIN(1,A56/$B$11)</f>
        <v/>
      </c>
      <c r="F56" s="289">
        <f>D56*E56*(1-$B$31)</f>
        <v/>
      </c>
      <c r="G56" s="289">
        <f>D56*($B$41+($B$19*$B$20-$B$41)*MIN(1,A56/$B$11))</f>
        <v/>
      </c>
      <c r="H56" s="289">
        <f>IF(AND(A56=1,N($B$22)&gt;0),$B$22,D56*($B$40+($B$19-$B$40)*MIN(1,A56/$B$11)))</f>
        <v/>
      </c>
      <c r="I56" s="289">
        <f>$B$21*(D56-IF(A56=1,$B$37,D55))</f>
        <v/>
      </c>
      <c r="J56" s="289">
        <f>D56*$B$43</f>
        <v/>
      </c>
      <c r="K56" s="332">
        <f>F56+G56-H56-I56+J56</f>
        <v/>
      </c>
      <c r="L56" s="291">
        <f>K56/D56</f>
        <v/>
      </c>
      <c r="M56" s="333">
        <f>A56-0.5*$B$48</f>
        <v/>
      </c>
      <c r="N56" s="334">
        <f>1/(1+$B$7)^M56</f>
        <v/>
      </c>
      <c r="O56" s="289">
        <f>K56*N56</f>
        <v/>
      </c>
      <c r="Q56" s="335">
        <f>Q55+0.005</f>
        <v/>
      </c>
      <c r="R56" s="245" cm="1">
        <f t="array" ref="R56">_xlfn.LET(_xlpm.gs,Q56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6" s="335">
        <f>S55+0.005</f>
        <v/>
      </c>
      <c r="T56" s="245" cm="1">
        <f t="array" ref="T56">_xlfn.LET(_xlpm.gs,$B$9,_xlpm.om,S56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6" s="335">
        <f>U55-0.0025</f>
        <v/>
      </c>
      <c r="V56" s="245" cm="1">
        <f t="array" ref="V56">_xlfn.LET(_xlpm.gs,$B$9,_xlpm.om,$B$10,_xlpm.w,$B$7,_xlpm.tgr,$B$8,_xlpm.n,$B$11,_xlpm.lcx,U56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7">
      <c r="A57" s="88" t="n">
        <v>6</v>
      </c>
      <c r="B57" s="88">
        <f>TEXT(EDATE(Financials!$E$16,12*A57),"mmm-yy")</f>
        <v/>
      </c>
      <c r="C57" s="291">
        <f>$B$9-($B$9-$B$8)*(A57-1)/9</f>
        <v/>
      </c>
      <c r="D57" s="289">
        <f>IF(A57=1,$B$37,D56)*(1+C57)</f>
        <v/>
      </c>
      <c r="E57" s="291">
        <f>$B$39+($B$10-$B$39)*MIN(1,A57/$B$11)</f>
        <v/>
      </c>
      <c r="F57" s="289">
        <f>D57*E57*(1-$B$31)</f>
        <v/>
      </c>
      <c r="G57" s="289">
        <f>D57*($B$41+($B$19*$B$20-$B$41)*MIN(1,A57/$B$11))</f>
        <v/>
      </c>
      <c r="H57" s="289">
        <f>IF(AND(A57=1,N($B$22)&gt;0),$B$22,D57*($B$40+($B$19-$B$40)*MIN(1,A57/$B$11)))</f>
        <v/>
      </c>
      <c r="I57" s="289">
        <f>$B$21*(D57-IF(A57=1,$B$37,D56))</f>
        <v/>
      </c>
      <c r="J57" s="289">
        <f>D57*$B$43</f>
        <v/>
      </c>
      <c r="K57" s="332">
        <f>F57+G57-H57-I57+J57</f>
        <v/>
      </c>
      <c r="L57" s="291">
        <f>K57/D57</f>
        <v/>
      </c>
      <c r="M57" s="333">
        <f>A57-0.5*$B$48</f>
        <v/>
      </c>
      <c r="N57" s="334">
        <f>1/(1+$B$7)^M57</f>
        <v/>
      </c>
      <c r="O57" s="289">
        <f>K57*N57</f>
        <v/>
      </c>
      <c r="Q57" s="335">
        <f>Q56+0.005</f>
        <v/>
      </c>
      <c r="R57" s="245" cm="1">
        <f t="array" ref="R57">_xlfn.LET(_xlpm.gs,Q57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7" s="335">
        <f>S56+0.005</f>
        <v/>
      </c>
      <c r="T57" s="245" cm="1">
        <f t="array" ref="T57">_xlfn.LET(_xlpm.gs,$B$9,_xlpm.om,S57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7" s="335">
        <f>U56-0.0025</f>
        <v/>
      </c>
      <c r="V57" s="245" cm="1">
        <f t="array" ref="V57">_xlfn.LET(_xlpm.gs,$B$9,_xlpm.om,$B$10,_xlpm.w,$B$7,_xlpm.tgr,$B$8,_xlpm.n,$B$11,_xlpm.lcx,U57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8">
      <c r="A58" s="88" t="n">
        <v>7</v>
      </c>
      <c r="B58" s="88">
        <f>TEXT(EDATE(Financials!$E$16,12*A58),"mmm-yy")</f>
        <v/>
      </c>
      <c r="C58" s="291">
        <f>$B$9-($B$9-$B$8)*(A58-1)/9</f>
        <v/>
      </c>
      <c r="D58" s="289">
        <f>IF(A58=1,$B$37,D57)*(1+C58)</f>
        <v/>
      </c>
      <c r="E58" s="291">
        <f>$B$39+($B$10-$B$39)*MIN(1,A58/$B$11)</f>
        <v/>
      </c>
      <c r="F58" s="289">
        <f>D58*E58*(1-$B$31)</f>
        <v/>
      </c>
      <c r="G58" s="289">
        <f>D58*($B$41+($B$19*$B$20-$B$41)*MIN(1,A58/$B$11))</f>
        <v/>
      </c>
      <c r="H58" s="289">
        <f>IF(AND(A58=1,N($B$22)&gt;0),$B$22,D58*($B$40+($B$19-$B$40)*MIN(1,A58/$B$11)))</f>
        <v/>
      </c>
      <c r="I58" s="289">
        <f>$B$21*(D58-IF(A58=1,$B$37,D57))</f>
        <v/>
      </c>
      <c r="J58" s="289">
        <f>D58*$B$43</f>
        <v/>
      </c>
      <c r="K58" s="332">
        <f>F58+G58-H58-I58+J58</f>
        <v/>
      </c>
      <c r="L58" s="291">
        <f>K58/D58</f>
        <v/>
      </c>
      <c r="M58" s="333">
        <f>A58-0.5*$B$48</f>
        <v/>
      </c>
      <c r="N58" s="334">
        <f>1/(1+$B$7)^M58</f>
        <v/>
      </c>
      <c r="O58" s="289">
        <f>K58*N58</f>
        <v/>
      </c>
      <c r="Q58" s="335">
        <f>Q57+0.005</f>
        <v/>
      </c>
      <c r="R58" s="245" cm="1">
        <f t="array" ref="R58">_xlfn.LET(_xlpm.gs,Q58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8" s="335">
        <f>S57+0.005</f>
        <v/>
      </c>
      <c r="T58" s="245" cm="1">
        <f t="array" ref="T58">_xlfn.LET(_xlpm.gs,$B$9,_xlpm.om,S58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8" s="335">
        <f>U57-0.0025</f>
        <v/>
      </c>
      <c r="V58" s="245" cm="1">
        <f t="array" ref="V58">_xlfn.LET(_xlpm.gs,$B$9,_xlpm.om,$B$10,_xlpm.w,$B$7,_xlpm.tgr,$B$8,_xlpm.n,$B$11,_xlpm.lcx,U58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59">
      <c r="A59" s="88" t="n">
        <v>8</v>
      </c>
      <c r="B59" s="88">
        <f>TEXT(EDATE(Financials!$E$16,12*A59),"mmm-yy")</f>
        <v/>
      </c>
      <c r="C59" s="291">
        <f>$B$9-($B$9-$B$8)*(A59-1)/9</f>
        <v/>
      </c>
      <c r="D59" s="289">
        <f>IF(A59=1,$B$37,D58)*(1+C59)</f>
        <v/>
      </c>
      <c r="E59" s="291">
        <f>$B$39+($B$10-$B$39)*MIN(1,A59/$B$11)</f>
        <v/>
      </c>
      <c r="F59" s="289">
        <f>D59*E59*(1-$B$31)</f>
        <v/>
      </c>
      <c r="G59" s="289">
        <f>D59*($B$41+($B$19*$B$20-$B$41)*MIN(1,A59/$B$11))</f>
        <v/>
      </c>
      <c r="H59" s="289">
        <f>IF(AND(A59=1,N($B$22)&gt;0),$B$22,D59*($B$40+($B$19-$B$40)*MIN(1,A59/$B$11)))</f>
        <v/>
      </c>
      <c r="I59" s="289">
        <f>$B$21*(D59-IF(A59=1,$B$37,D58))</f>
        <v/>
      </c>
      <c r="J59" s="289">
        <f>D59*$B$43</f>
        <v/>
      </c>
      <c r="K59" s="332">
        <f>F59+G59-H59-I59+J59</f>
        <v/>
      </c>
      <c r="L59" s="291">
        <f>K59/D59</f>
        <v/>
      </c>
      <c r="M59" s="333">
        <f>A59-0.5*$B$48</f>
        <v/>
      </c>
      <c r="N59" s="334">
        <f>1/(1+$B$7)^M59</f>
        <v/>
      </c>
      <c r="O59" s="289">
        <f>K59*N59</f>
        <v/>
      </c>
      <c r="Q59" s="335">
        <f>Q58+0.005</f>
        <v/>
      </c>
      <c r="R59" s="245" cm="1">
        <f t="array" ref="R59">_xlfn.LET(_xlpm.gs,Q59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59" s="335">
        <f>S58+0.005</f>
        <v/>
      </c>
      <c r="T59" s="245" cm="1">
        <f t="array" ref="T59">_xlfn.LET(_xlpm.gs,$B$9,_xlpm.om,S59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59" s="335">
        <f>U58-0.0025</f>
        <v/>
      </c>
      <c r="V59" s="245" cm="1">
        <f t="array" ref="V59">_xlfn.LET(_xlpm.gs,$B$9,_xlpm.om,$B$10,_xlpm.w,$B$7,_xlpm.tgr,$B$8,_xlpm.n,$B$11,_xlpm.lcx,U59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0">
      <c r="A60" s="88" t="n">
        <v>9</v>
      </c>
      <c r="B60" s="88">
        <f>TEXT(EDATE(Financials!$E$16,12*A60),"mmm-yy")</f>
        <v/>
      </c>
      <c r="C60" s="291">
        <f>$B$9-($B$9-$B$8)*(A60-1)/9</f>
        <v/>
      </c>
      <c r="D60" s="289">
        <f>IF(A60=1,$B$37,D59)*(1+C60)</f>
        <v/>
      </c>
      <c r="E60" s="291">
        <f>$B$39+($B$10-$B$39)*MIN(1,A60/$B$11)</f>
        <v/>
      </c>
      <c r="F60" s="289">
        <f>D60*E60*(1-$B$31)</f>
        <v/>
      </c>
      <c r="G60" s="289">
        <f>D60*($B$41+($B$19*$B$20-$B$41)*MIN(1,A60/$B$11))</f>
        <v/>
      </c>
      <c r="H60" s="289">
        <f>IF(AND(A60=1,N($B$22)&gt;0),$B$22,D60*($B$40+($B$19-$B$40)*MIN(1,A60/$B$11)))</f>
        <v/>
      </c>
      <c r="I60" s="289">
        <f>$B$21*(D60-IF(A60=1,$B$37,D59))</f>
        <v/>
      </c>
      <c r="J60" s="289">
        <f>D60*$B$43</f>
        <v/>
      </c>
      <c r="K60" s="332">
        <f>F60+G60-H60-I60+J60</f>
        <v/>
      </c>
      <c r="L60" s="291">
        <f>K60/D60</f>
        <v/>
      </c>
      <c r="M60" s="333">
        <f>A60-0.5*$B$48</f>
        <v/>
      </c>
      <c r="N60" s="334">
        <f>1/(1+$B$7)^M60</f>
        <v/>
      </c>
      <c r="O60" s="289">
        <f>K60*N60</f>
        <v/>
      </c>
      <c r="Q60" s="335">
        <f>Q59+0.005</f>
        <v/>
      </c>
      <c r="R60" s="245" cm="1">
        <f t="array" ref="R60">_xlfn.LET(_xlpm.gs,Q60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0" s="335">
        <f>S59+0.005</f>
        <v/>
      </c>
      <c r="T60" s="245" cm="1">
        <f t="array" ref="T60">_xlfn.LET(_xlpm.gs,$B$9,_xlpm.om,S60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0" s="335">
        <f>U59-0.0025</f>
        <v/>
      </c>
      <c r="V60" s="245" cm="1">
        <f t="array" ref="V60">_xlfn.LET(_xlpm.gs,$B$9,_xlpm.om,$B$10,_xlpm.w,$B$7,_xlpm.tgr,$B$8,_xlpm.n,$B$11,_xlpm.lcx,U60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1">
      <c r="A61" s="88" t="n">
        <v>10</v>
      </c>
      <c r="B61" s="88">
        <f>TEXT(EDATE(Financials!$E$16,12*A61),"mmm-yy")</f>
        <v/>
      </c>
      <c r="C61" s="291">
        <f>$B$9-($B$9-$B$8)*(A61-1)/9</f>
        <v/>
      </c>
      <c r="D61" s="289">
        <f>IF(A61=1,$B$37,D60)*(1+C61)</f>
        <v/>
      </c>
      <c r="E61" s="291">
        <f>$B$39+($B$10-$B$39)*MIN(1,A61/$B$11)</f>
        <v/>
      </c>
      <c r="F61" s="289">
        <f>D61*E61*(1-$B$31)</f>
        <v/>
      </c>
      <c r="G61" s="289">
        <f>D61*($B$41+($B$19*$B$20-$B$41)*MIN(1,A61/$B$11))</f>
        <v/>
      </c>
      <c r="H61" s="289">
        <f>IF(AND(A61=1,N($B$22)&gt;0),$B$22,D61*($B$40+($B$19-$B$40)*MIN(1,A61/$B$11)))</f>
        <v/>
      </c>
      <c r="I61" s="289">
        <f>$B$21*(D61-IF(A61=1,$B$37,D60))</f>
        <v/>
      </c>
      <c r="J61" s="289">
        <f>D61*$B$43</f>
        <v/>
      </c>
      <c r="K61" s="332">
        <f>F61+G61-H61-I61+J61</f>
        <v/>
      </c>
      <c r="L61" s="291">
        <f>K61/D61</f>
        <v/>
      </c>
      <c r="M61" s="333">
        <f>A61-0.5*$B$48</f>
        <v/>
      </c>
      <c r="N61" s="334">
        <f>1/(1+$B$7)^M61</f>
        <v/>
      </c>
      <c r="O61" s="289">
        <f>K61*N61</f>
        <v/>
      </c>
      <c r="Q61" s="335">
        <f>Q60+0.005</f>
        <v/>
      </c>
      <c r="R61" s="245" cm="1">
        <f t="array" ref="R61">_xlfn.LET(_xlpm.gs,Q61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1" s="335">
        <f>S60+0.005</f>
        <v/>
      </c>
      <c r="T61" s="245" cm="1">
        <f t="array" ref="T61">_xlfn.LET(_xlpm.gs,$B$9,_xlpm.om,S61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1" s="335">
        <f>U60-0.0025</f>
        <v/>
      </c>
      <c r="V61" s="245" cm="1">
        <f t="array" ref="V61">_xlfn.LET(_xlpm.gs,$B$9,_xlpm.om,$B$10,_xlpm.w,$B$7,_xlpm.tgr,$B$8,_xlpm.n,$B$11,_xlpm.lcx,U61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2">
      <c r="Q62" s="335">
        <f>Q61+0.005</f>
        <v/>
      </c>
      <c r="R62" s="245" cm="1">
        <f t="array" ref="R62">_xlfn.LET(_xlpm.gs,Q62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2" s="335">
        <f>S61+0.005</f>
        <v/>
      </c>
      <c r="T62" s="245" cm="1">
        <f t="array" ref="T62">_xlfn.LET(_xlpm.gs,$B$9,_xlpm.om,S62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2" s="335">
        <f>U61-0.0025</f>
        <v/>
      </c>
      <c r="V62" s="245" cm="1">
        <f t="array" ref="V62">_xlfn.LET(_xlpm.gs,$B$9,_xlpm.om,$B$10,_xlpm.w,$B$7,_xlpm.tgr,$B$8,_xlpm.n,$B$11,_xlpm.lcx,U62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3">
      <c r="A63" s="161" t="inlineStr">
        <is>
          <t>Valuation bridge</t>
        </is>
      </c>
      <c r="B63" s="161" t="n"/>
      <c r="C63" s="161" t="n"/>
      <c r="D63" s="161" t="n"/>
      <c r="E63" s="161" t="n"/>
      <c r="F63" s="161" t="n"/>
      <c r="G63" s="161" t="n"/>
      <c r="H63" s="161" t="n"/>
      <c r="I63" s="161" t="n"/>
      <c r="Q63" s="335">
        <f>Q62+0.005</f>
        <v/>
      </c>
      <c r="R63" s="245" cm="1">
        <f t="array" ref="R63">_xlfn.LET(_xlpm.gs,Q63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3" s="335">
        <f>S62+0.005</f>
        <v/>
      </c>
      <c r="T63" s="245" cm="1">
        <f t="array" ref="T63">_xlfn.LET(_xlpm.gs,$B$9,_xlpm.om,S63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3" s="335">
        <f>U62-0.0025</f>
        <v/>
      </c>
      <c r="V63" s="245" cm="1">
        <f t="array" ref="V63">_xlfn.LET(_xlpm.gs,$B$9,_xlpm.om,$B$10,_xlpm.w,$B$7,_xlpm.tgr,$B$8,_xlpm.n,$B$11,_xlpm.lcx,U63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4">
      <c r="A64" t="inlineStr">
        <is>
          <t>PV of forecast FCF ($B)</t>
        </is>
      </c>
      <c r="B64" s="289">
        <f>SUM(O52:O61)</f>
        <v/>
      </c>
      <c r="C64" s="159" t="n"/>
      <c r="Q64" s="335">
        <f>Q63+0.005</f>
        <v/>
      </c>
      <c r="R64" s="245" cm="1">
        <f t="array" ref="R64">_xlfn.LET(_xlpm.gs,Q64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4" s="335">
        <f>S63+0.005</f>
        <v/>
      </c>
      <c r="T64" s="245" cm="1">
        <f t="array" ref="T64">_xlfn.LET(_xlpm.gs,$B$9,_xlpm.om,S64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4" s="335">
        <f>U63-0.0025</f>
        <v/>
      </c>
      <c r="V64" s="245" cm="1">
        <f t="array" ref="V64">_xlfn.LET(_xlpm.gs,$B$9,_xlpm.om,$B$10,_xlpm.w,$B$7,_xlpm.tgr,$B$8,_xlpm.n,$B$11,_xlpm.lcx,U64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5" ht="40" customHeight="1" s="160">
      <c r="A65" t="inlineStr">
        <is>
          <t>Terminal value at year 10 ($B)</t>
        </is>
      </c>
      <c r="B65" s="289">
        <f>K61*(1+B8)/(B7-B8)</f>
        <v/>
      </c>
      <c r="C65" s="159" t="inlineStr">
        <is>
          <t>Gordon growth on year-11 FCF.</t>
        </is>
      </c>
      <c r="Q65" s="335">
        <f>Q64+0.005</f>
        <v/>
      </c>
      <c r="R65" s="245" cm="1">
        <f t="array" ref="R65">_xlfn.LET(_xlpm.gs,Q65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5" s="335">
        <f>S64+0.005</f>
        <v/>
      </c>
      <c r="T65" s="245" cm="1">
        <f t="array" ref="T65">_xlfn.LET(_xlpm.gs,$B$9,_xlpm.om,S65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5" s="335">
        <f>U64-0.0025</f>
        <v/>
      </c>
      <c r="V65" s="245" cm="1">
        <f t="array" ref="V65">_xlfn.LET(_xlpm.gs,$B$9,_xlpm.om,$B$10,_xlpm.w,$B$7,_xlpm.tgr,$B$8,_xlpm.n,$B$11,_xlpm.lcx,U65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6">
      <c r="A66" t="inlineStr">
        <is>
          <t>PV of terminal value ($B)</t>
        </is>
      </c>
      <c r="B66" s="289">
        <f>B65/(1+B7)^A61</f>
        <v/>
      </c>
      <c r="C66" s="159" t="inlineStr">
        <is>
          <t>Discounted a full 10 years.</t>
        </is>
      </c>
      <c r="Q66" s="335">
        <f>Q65+0.005</f>
        <v/>
      </c>
      <c r="R66" s="245" cm="1">
        <f t="array" ref="R66">_xlfn.LET(_xlpm.gs,Q66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6" s="335">
        <f>S65+0.005</f>
        <v/>
      </c>
      <c r="T66" s="245" cm="1">
        <f t="array" ref="T66">_xlfn.LET(_xlpm.gs,$B$9,_xlpm.om,S66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6" s="335">
        <f>U65-0.0025</f>
        <v/>
      </c>
      <c r="V66" s="245" cm="1">
        <f t="array" ref="V66">_xlfn.LET(_xlpm.gs,$B$9,_xlpm.om,$B$10,_xlpm.w,$B$7,_xlpm.tgr,$B$8,_xlpm.n,$B$11,_xlpm.lcx,U66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7">
      <c r="A67" t="inlineStr">
        <is>
          <t>Enterprise value ($B)</t>
        </is>
      </c>
      <c r="B67" s="289">
        <f>B64+B66</f>
        <v/>
      </c>
      <c r="C67" s="159" t="n"/>
      <c r="Q67" s="335">
        <f>Q66+0.005</f>
        <v/>
      </c>
      <c r="R67" s="245" cm="1">
        <f t="array" ref="R67">_xlfn.LET(_xlpm.gs,Q67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7" s="335">
        <f>S66+0.005</f>
        <v/>
      </c>
      <c r="T67" s="245" cm="1">
        <f t="array" ref="T67">_xlfn.LET(_xlpm.gs,$B$9,_xlpm.om,S67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7" s="335">
        <f>U66-0.0025</f>
        <v/>
      </c>
      <c r="V67" s="245" cm="1">
        <f t="array" ref="V67">_xlfn.LET(_xlpm.gs,$B$9,_xlpm.om,$B$10,_xlpm.w,$B$7,_xlpm.tgr,$B$8,_xlpm.n,$B$11,_xlpm.lcx,U67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8">
      <c r="A68" t="inlineStr">
        <is>
          <t>Add: net cash ($B)</t>
        </is>
      </c>
      <c r="B68" s="289">
        <f>B44</f>
        <v/>
      </c>
      <c r="C68" s="159" t="n"/>
      <c r="Q68" s="335">
        <f>Q67+0.005</f>
        <v/>
      </c>
      <c r="R68" s="245" cm="1">
        <f t="array" ref="R68">_xlfn.LET(_xlpm.gs,Q68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8" s="335">
        <f>S67+0.005</f>
        <v/>
      </c>
      <c r="T68" s="245" cm="1">
        <f t="array" ref="T68">_xlfn.LET(_xlpm.gs,$B$9,_xlpm.om,S68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8" s="335">
        <f>U67-0.0025</f>
        <v/>
      </c>
      <c r="V68" s="245" cm="1">
        <f t="array" ref="V68">_xlfn.LET(_xlpm.gs,$B$9,_xlpm.om,$B$10,_xlpm.w,$B$7,_xlpm.tgr,$B$8,_xlpm.n,$B$11,_xlpm.lcx,U68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69">
      <c r="A69" t="inlineStr">
        <is>
          <t>Less: preferred stock ($B)</t>
        </is>
      </c>
      <c r="B69" s="289">
        <f>-B45</f>
        <v/>
      </c>
      <c r="C69" s="159" t="n"/>
      <c r="Q69" s="335">
        <f>Q68+0.005</f>
        <v/>
      </c>
      <c r="R69" s="245" cm="1">
        <f t="array" ref="R69">_xlfn.LET(_xlpm.gs,Q69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69" s="335">
        <f>S68+0.005</f>
        <v/>
      </c>
      <c r="T69" s="245" cm="1">
        <f t="array" ref="T69">_xlfn.LET(_xlpm.gs,$B$9,_xlpm.om,S69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69" s="335">
        <f>U68-0.0025</f>
        <v/>
      </c>
      <c r="V69" s="245" cm="1">
        <f t="array" ref="V69">_xlfn.LET(_xlpm.gs,$B$9,_xlpm.om,$B$10,_xlpm.w,$B$7,_xlpm.tgr,$B$8,_xlpm.n,$B$11,_xlpm.lcx,U69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0">
      <c r="A70" t="inlineStr">
        <is>
          <t>Add: non-marketable investments, after haircut ($B)</t>
        </is>
      </c>
      <c r="B70" s="289">
        <f>B46</f>
        <v/>
      </c>
      <c r="C70" s="159" t="inlineStr">
        <is>
          <t>Toggle in B13; haircut in B15.</t>
        </is>
      </c>
      <c r="Q70" s="335">
        <f>Q69+0.005</f>
        <v/>
      </c>
      <c r="R70" s="245" cm="1">
        <f t="array" ref="R70">_xlfn.LET(_xlpm.gs,Q70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0" s="335">
        <f>S69+0.005</f>
        <v/>
      </c>
      <c r="T70" s="245" cm="1">
        <f t="array" ref="T70">_xlfn.LET(_xlpm.gs,$B$9,_xlpm.om,S70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0" s="335">
        <f>U69-0.0025</f>
        <v/>
      </c>
      <c r="V70" s="245" cm="1">
        <f t="array" ref="V70">_xlfn.LET(_xlpm.gs,$B$9,_xlpm.om,$B$10,_xlpm.w,$B$7,_xlpm.tgr,$B$8,_xlpm.n,$B$11,_xlpm.lcx,U70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1">
      <c r="A71" s="157" t="inlineStr">
        <is>
          <t>Equity value ($B)</t>
        </is>
      </c>
      <c r="B71" s="336">
        <f>SUM(B67:B70)</f>
        <v/>
      </c>
      <c r="C71" s="159" t="n"/>
      <c r="Q71" s="335">
        <f>Q70+0.005</f>
        <v/>
      </c>
      <c r="R71" s="245" cm="1">
        <f t="array" ref="R71">_xlfn.LET(_xlpm.gs,Q71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1" s="335">
        <f>S70+0.005</f>
        <v/>
      </c>
      <c r="T71" s="245" cm="1">
        <f t="array" ref="T71">_xlfn.LET(_xlpm.gs,$B$9,_xlpm.om,S71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1" s="335">
        <f>U70-0.0025</f>
        <v/>
      </c>
      <c r="V71" s="245" cm="1">
        <f t="array" ref="V71">_xlfn.LET(_xlpm.gs,$B$9,_xlpm.om,$B$10,_xlpm.w,$B$7,_xlpm.tgr,$B$8,_xlpm.n,$B$11,_xlpm.lcx,U71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2" ht="15.5" customHeight="1" s="160">
      <c r="A72" s="40" t="inlineStr">
        <is>
          <t>Fair value per share ($)</t>
        </is>
      </c>
      <c r="B72" s="337">
        <f>B71/B6</f>
        <v/>
      </c>
      <c r="C72" s="159" t="n"/>
      <c r="Q72" s="335">
        <f>Q71+0.005</f>
        <v/>
      </c>
      <c r="R72" s="245" cm="1">
        <f t="array" ref="R72">_xlfn.LET(_xlpm.gs,Q72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2" s="335">
        <f>S71+0.005</f>
        <v/>
      </c>
      <c r="T72" s="245" cm="1">
        <f t="array" ref="T72">_xlfn.LET(_xlpm.gs,$B$9,_xlpm.om,S72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2" s="335">
        <f>U71-0.0025</f>
        <v/>
      </c>
      <c r="V72" s="245" cm="1">
        <f t="array" ref="V72">_xlfn.LET(_xlpm.gs,$B$9,_xlpm.om,$B$10,_xlpm.w,$B$7,_xlpm.tgr,$B$8,_xlpm.n,$B$11,_xlpm.lcx,U72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3">
      <c r="A73" t="inlineStr">
        <is>
          <t>Current share price ($)</t>
        </is>
      </c>
      <c r="B73" s="292">
        <f>B5</f>
        <v/>
      </c>
      <c r="C73" s="159" t="n"/>
      <c r="Q73" s="335">
        <f>Q72+0.005</f>
        <v/>
      </c>
      <c r="R73" s="245" cm="1">
        <f t="array" ref="R73">_xlfn.LET(_xlpm.gs,Q73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3" s="335">
        <f>S72+0.005</f>
        <v/>
      </c>
      <c r="T73" s="245" cm="1">
        <f t="array" ref="T73">_xlfn.LET(_xlpm.gs,$B$9,_xlpm.om,S73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3" s="335">
        <f>U72-0.0025</f>
        <v/>
      </c>
      <c r="V73" s="245" cm="1">
        <f t="array" ref="V73">_xlfn.LET(_xlpm.gs,$B$9,_xlpm.om,$B$10,_xlpm.w,$B$7,_xlpm.tgr,$B$8,_xlpm.n,$B$11,_xlpm.lcx,U73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4">
      <c r="A74" s="80" t="inlineStr">
        <is>
          <t>Upside / (downside)</t>
        </is>
      </c>
      <c r="B74" s="295">
        <f>B72/B73-1</f>
        <v/>
      </c>
      <c r="C74" s="159" t="n"/>
      <c r="Q74" s="335">
        <f>Q73+0.005</f>
        <v/>
      </c>
      <c r="R74" s="245" cm="1">
        <f t="array" ref="R74">_xlfn.LET(_xlpm.gs,Q74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4" s="335">
        <f>S73+0.005</f>
        <v/>
      </c>
      <c r="T74" s="245" cm="1">
        <f t="array" ref="T74">_xlfn.LET(_xlpm.gs,$B$9,_xlpm.om,S74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4" s="335">
        <f>U73-0.0025</f>
        <v/>
      </c>
      <c r="V74" s="245" cm="1">
        <f t="array" ref="V74">_xlfn.LET(_xlpm.gs,$B$9,_xlpm.om,$B$10,_xlpm.w,$B$7,_xlpm.tgr,$B$8,_xlpm.n,$B$11,_xlpm.lcx,U74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5">
      <c r="A75" t="inlineStr">
        <is>
          <t>Terminal value as % of EV</t>
        </is>
      </c>
      <c r="B75" s="291">
        <f>B66/B67</f>
        <v/>
      </c>
      <c r="C75" s="159" t="inlineStr">
        <is>
          <t>Above ~75% means the valuation rests mostly on the perpetuity assumption.</t>
        </is>
      </c>
      <c r="Q75" s="335">
        <f>Q74+0.005</f>
        <v/>
      </c>
      <c r="R75" s="245" cm="1">
        <f t="array" ref="R75">_xlfn.LET(_xlpm.gs,Q75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5" s="335">
        <f>S74+0.005</f>
        <v/>
      </c>
      <c r="T75" s="245" cm="1">
        <f t="array" ref="T75">_xlfn.LET(_xlpm.gs,$B$9,_xlpm.om,S75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5" s="335">
        <f>U74-0.0025</f>
        <v/>
      </c>
      <c r="V75" s="245" cm="1">
        <f t="array" ref="V75">_xlfn.LET(_xlpm.gs,$B$9,_xlpm.om,$B$10,_xlpm.w,$B$7,_xlpm.tgr,$B$8,_xlpm.n,$B$11,_xlpm.lcx,U75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6">
      <c r="A76" t="inlineStr">
        <is>
          <t>Model check (closed-form recompute − table)</t>
        </is>
      </c>
      <c r="B76" s="338" cm="1">
        <f t="array" ref="B76">_xlfn.LET(_xlpm.gs,$B$9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-B72</f>
        <v/>
      </c>
      <c r="C76" s="159" t="inlineStr">
        <is>
          <t>Should be 0.00 — the Scenarios and sensitivity grids use this closed form.</t>
        </is>
      </c>
      <c r="Q76" s="335">
        <f>Q75+0.005</f>
        <v/>
      </c>
      <c r="R76" s="245" cm="1">
        <f t="array" ref="R76">_xlfn.LET(_xlpm.gs,Q76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6" s="335">
        <f>S75+0.005</f>
        <v/>
      </c>
      <c r="T76" s="245" cm="1">
        <f t="array" ref="T76">_xlfn.LET(_xlpm.gs,$B$9,_xlpm.om,S76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6" s="335">
        <f>U75-0.0025</f>
        <v/>
      </c>
      <c r="V76" s="245" cm="1">
        <f t="array" ref="V76">_xlfn.LET(_xlpm.gs,$B$9,_xlpm.om,$B$10,_xlpm.w,$B$7,_xlpm.tgr,$B$8,_xlpm.n,$B$11,_xlpm.lcx,U76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7">
      <c r="Q77" s="335">
        <f>Q76+0.005</f>
        <v/>
      </c>
      <c r="R77" s="245" cm="1">
        <f t="array" ref="R77">_xlfn.LET(_xlpm.gs,Q77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7" s="335">
        <f>S76+0.005</f>
        <v/>
      </c>
      <c r="T77" s="245" cm="1">
        <f t="array" ref="T77">_xlfn.LET(_xlpm.gs,$B$9,_xlpm.om,S77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7" s="335">
        <f>U76-0.0025</f>
        <v/>
      </c>
      <c r="V77" s="245" cm="1">
        <f t="array" ref="V77">_xlfn.LET(_xlpm.gs,$B$9,_xlpm.om,$B$10,_xlpm.w,$B$7,_xlpm.tgr,$B$8,_xlpm.n,$B$11,_xlpm.lcx,U77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8">
      <c r="A78" s="161" t="inlineStr">
        <is>
          <t>Reverse DCF — what is the current price discounting?</t>
        </is>
      </c>
      <c r="B78" s="161" t="n"/>
      <c r="C78" s="161" t="n"/>
      <c r="D78" s="161" t="n"/>
      <c r="E78" s="161" t="n"/>
      <c r="F78" s="161" t="n"/>
      <c r="G78" s="161" t="n"/>
      <c r="H78" s="161" t="n"/>
      <c r="I78" s="161" t="n"/>
      <c r="Q78" s="335">
        <f>Q77+0.005</f>
        <v/>
      </c>
      <c r="R78" s="245" cm="1">
        <f t="array" ref="R78">_xlfn.LET(_xlpm.gs,Q78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8" s="335">
        <f>S77+0.005</f>
        <v/>
      </c>
      <c r="T78" s="245" cm="1">
        <f t="array" ref="T78">_xlfn.LET(_xlpm.gs,$B$9,_xlpm.om,S78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8" s="335">
        <f>U77-0.0025</f>
        <v/>
      </c>
      <c r="V78" s="245" cm="1">
        <f t="array" ref="V78">_xlfn.LET(_xlpm.gs,$B$9,_xlpm.om,$B$10,_xlpm.w,$B$7,_xlpm.tgr,$B$8,_xlpm.n,$B$11,_xlpm.lcx,U78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79">
      <c r="A79" s="80" t="inlineStr">
        <is>
          <t>Implied year-1 revenue growth (margin &amp; capex held)</t>
        </is>
      </c>
      <c r="B79" s="295" cm="1">
        <f t="array" ref="B79">IFERROR(_xlfn.LET(_xlpm.p,B5,_xlpm.lo,MATCH(_xlpm.p,R52:R212,1),_xlpm.xlo,INDEX(Q52:Q212,_xlpm.lo),_xlpm.xhi,INDEX(Q52:Q212,_xlpm.lo+1),_xlpm.flo,INDEX(R52:R212,_xlpm.lo),_xlpm.fhi,INDEX(R52:R212,_xlpm.lo+1),_xlpm.xlo+(_xlpm.p-_xlpm.flo)/(_xlpm.fhi-_xlpm.flo)*(_xlpm.xhi-_xlpm.xlo)),"outside range")</f>
        <v/>
      </c>
      <c r="C79" s="159" t="inlineStr">
        <is>
          <t>Growth solved so the DCF equals today's price, holding everything else at base case.</t>
        </is>
      </c>
      <c r="Q79" s="335">
        <f>Q78+0.005</f>
        <v/>
      </c>
      <c r="R79" s="245" cm="1">
        <f t="array" ref="R79">_xlfn.LET(_xlpm.gs,Q79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79" s="335">
        <f>S78+0.005</f>
        <v/>
      </c>
      <c r="T79" s="245" cm="1">
        <f t="array" ref="T79">_xlfn.LET(_xlpm.gs,$B$9,_xlpm.om,S79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79" s="335">
        <f>U78-0.0025</f>
        <v/>
      </c>
      <c r="V79" s="245" cm="1">
        <f t="array" ref="V79">_xlfn.LET(_xlpm.gs,$B$9,_xlpm.om,$B$10,_xlpm.w,$B$7,_xlpm.tgr,$B$8,_xlpm.n,$B$11,_xlpm.lcx,U79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0">
      <c r="A80" t="inlineStr">
        <is>
          <t>Equivalent 10-year revenue CAGR</t>
        </is>
      </c>
      <c r="B80" s="291" cm="1">
        <f t="array" ref="B80">IFERROR(_xlfn.LET(_xlpm.gs,B79,_xlpm.tgr,B8,_xlpm.t,_xlfn.SEQUENCE(10),_xlpm.gg,_xlpm.gs-(_xlpm.gs-_xlpm.tgr)*(_xlpm.t-1)/9,EXP(SUM(LN(1+_xlpm.gg)))^(1/10)-1),"n/a")</f>
        <v/>
      </c>
      <c r="C80" s="159" t="inlineStr">
        <is>
          <t>The single annual rate that reaches the same year-10 revenue.</t>
        </is>
      </c>
      <c r="Q80" s="335">
        <f>Q79+0.005</f>
        <v/>
      </c>
      <c r="R80" s="245" cm="1">
        <f t="array" ref="R80">_xlfn.LET(_xlpm.gs,Q80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0" s="335">
        <f>S79+0.005</f>
        <v/>
      </c>
      <c r="T80" s="245" cm="1">
        <f t="array" ref="T80">_xlfn.LET(_xlpm.gs,$B$9,_xlpm.om,S80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0" s="335">
        <f>U79-0.0025</f>
        <v/>
      </c>
      <c r="V80" s="245" cm="1">
        <f t="array" ref="V80">_xlfn.LET(_xlpm.gs,$B$9,_xlpm.om,$B$10,_xlpm.w,$B$7,_xlpm.tgr,$B$8,_xlpm.n,$B$11,_xlpm.lcx,U80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1">
      <c r="A81" t="inlineStr">
        <is>
          <t>Implied revenue in year 10 ($B)</t>
        </is>
      </c>
      <c r="B81" s="289">
        <f>IFERROR(B37*(1+B80)^10,"n/a")</f>
        <v/>
      </c>
      <c r="C81" s="159" t="inlineStr">
        <is>
          <t>Compare with TTM revenue (B37).</t>
        </is>
      </c>
      <c r="Q81" s="335">
        <f>Q80+0.005</f>
        <v/>
      </c>
      <c r="R81" s="245" cm="1">
        <f t="array" ref="R81">_xlfn.LET(_xlpm.gs,Q81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1" s="335">
        <f>S80+0.005</f>
        <v/>
      </c>
      <c r="T81" s="245" cm="1">
        <f t="array" ref="T81">_xlfn.LET(_xlpm.gs,$B$9,_xlpm.om,S81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1" s="335">
        <f>U80-0.0025</f>
        <v/>
      </c>
      <c r="V81" s="245" cm="1">
        <f t="array" ref="V81">_xlfn.LET(_xlpm.gs,$B$9,_xlpm.om,$B$10,_xlpm.w,$B$7,_xlpm.tgr,$B$8,_xlpm.n,$B$11,_xlpm.lcx,U81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2">
      <c r="A82" s="80" t="inlineStr">
        <is>
          <t>Implied long-run operating margin (base growth held)</t>
        </is>
      </c>
      <c r="B82" s="295" cm="1">
        <f t="array" ref="B82">IFERROR(_xlfn.LET(_xlpm.p,B5,_xlpm.lo,MATCH(_xlpm.p,T52:T212,1),_xlpm.xlo,INDEX(S52:S212,_xlpm.lo),_xlpm.xhi,INDEX(S52:S212,_xlpm.lo+1),_xlpm.flo,INDEX(T52:T212,_xlpm.lo),_xlpm.fhi,INDEX(T52:T212,_xlpm.lo+1),_xlpm.xlo+(_xlpm.p-_xlpm.flo)/(_xlpm.fhi-_xlpm.flo)*(_xlpm.xhi-_xlpm.xlo)),"outside range")</f>
        <v/>
      </c>
      <c r="C82" s="159" t="inlineStr">
        <is>
          <t>Compare with today's margin (B39) and the peer median (Peers tab).</t>
        </is>
      </c>
      <c r="Q82" s="335">
        <f>Q81+0.005</f>
        <v/>
      </c>
      <c r="R82" s="245" cm="1">
        <f t="array" ref="R82">_xlfn.LET(_xlpm.gs,Q82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2" s="335">
        <f>S81+0.005</f>
        <v/>
      </c>
      <c r="T82" s="245" cm="1">
        <f t="array" ref="T82">_xlfn.LET(_xlpm.gs,$B$9,_xlpm.om,S82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2" s="335">
        <f>U81-0.0025</f>
        <v/>
      </c>
      <c r="V82" s="245" cm="1">
        <f t="array" ref="V82">_xlfn.LET(_xlpm.gs,$B$9,_xlpm.om,$B$10,_xlpm.w,$B$7,_xlpm.tgr,$B$8,_xlpm.n,$B$11,_xlpm.lcx,U82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3">
      <c r="A83" t="inlineStr">
        <is>
          <t>Historical 5-yr revenue CAGR (FY2021–FY2026)</t>
        </is>
      </c>
      <c r="B83" s="291">
        <f>Financials!M6</f>
        <v/>
      </c>
      <c r="C83" s="159" t="n"/>
      <c r="Q83" s="335">
        <f>Q82+0.005</f>
        <v/>
      </c>
      <c r="R83" s="245" cm="1">
        <f t="array" ref="R83">_xlfn.LET(_xlpm.gs,Q83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3" s="335">
        <f>S82+0.005</f>
        <v/>
      </c>
      <c r="T83" s="245" cm="1">
        <f t="array" ref="T83">_xlfn.LET(_xlpm.gs,$B$9,_xlpm.om,S83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3" s="335">
        <f>U82-0.0025</f>
        <v/>
      </c>
      <c r="V83" s="245" cm="1">
        <f t="array" ref="V83">_xlfn.LET(_xlpm.gs,$B$9,_xlpm.om,$B$10,_xlpm.w,$B$7,_xlpm.tgr,$B$8,_xlpm.n,$B$11,_xlpm.lcx,U83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4">
      <c r="A84" t="inlineStr">
        <is>
          <t>Latest 3 quarters avg. revenue growth y/y</t>
        </is>
      </c>
      <c r="B84" s="291">
        <f>AVERAGE(Financials!C18:E18)</f>
        <v/>
      </c>
      <c r="C84" s="159" t="inlineStr">
        <is>
          <t>Q2 FY26–Q4 FY26 as reported.</t>
        </is>
      </c>
      <c r="Q84" s="335">
        <f>Q83+0.005</f>
        <v/>
      </c>
      <c r="R84" s="245" cm="1">
        <f t="array" ref="R84">_xlfn.LET(_xlpm.gs,Q84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4" s="335">
        <f>S83+0.005</f>
        <v/>
      </c>
      <c r="T84" s="245" cm="1">
        <f t="array" ref="T84">_xlfn.LET(_xlpm.gs,$B$9,_xlpm.om,S84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4" s="335">
        <f>U83-0.0025</f>
        <v/>
      </c>
      <c r="V84" s="245" cm="1">
        <f t="array" ref="V84">_xlfn.LET(_xlpm.gs,$B$9,_xlpm.om,$B$10,_xlpm.w,$B$7,_xlpm.tgr,$B$8,_xlpm.n,$B$11,_xlpm.lcx,U84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5">
      <c r="A85" t="inlineStr">
        <is>
          <t>Implied long-run capex, % of revenue (base growth &amp; margin held)</t>
        </is>
      </c>
      <c r="B85" s="339" cm="1">
        <f t="array" ref="B85">IFERROR(_xlfn.LET(_xlpm.p,B5,_xlpm.lo,MATCH(_xlpm.p,V52:V212,1),_xlpm.xlo,INDEX(U52:U212,_xlpm.lo),_xlpm.xhi,INDEX(U52:U212,_xlpm.lo+1),_xlpm.flo,INDEX(V52:V212,_xlpm.lo),_xlpm.fhi,INDEX(V52:V212,_xlpm.lo+1),_xlpm.xlo+(_xlpm.p-_xlpm.flo)/(_xlpm.fhi-_xlpm.flo)*(_xlpm.xhi-_xlpm.xlo)),IF(B5&gt;MAX(V52:V212),"Not reachable via capex alone","Above 40%"))</f>
        <v/>
      </c>
      <c r="C85" s="159" t="inlineStr">
        <is>
          <t>Capex intensity the price allows. Compare with TTM (B40) and the long-run input (B19).</t>
        </is>
      </c>
      <c r="Q85" s="335">
        <f>Q84+0.005</f>
        <v/>
      </c>
      <c r="R85" s="245" cm="1">
        <f t="array" ref="R85">_xlfn.LET(_xlpm.gs,Q85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5" s="335">
        <f>S84+0.005</f>
        <v/>
      </c>
      <c r="T85" s="245" cm="1">
        <f t="array" ref="T85">_xlfn.LET(_xlpm.gs,$B$9,_xlpm.om,S85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5" s="335">
        <f>U84-0.0025</f>
        <v/>
      </c>
      <c r="V85" s="245" cm="1">
        <f t="array" ref="V85">_xlfn.LET(_xlpm.gs,$B$9,_xlpm.om,$B$10,_xlpm.w,$B$7,_xlpm.tgr,$B$8,_xlpm.n,$B$11,_xlpm.lcx,U85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6">
      <c r="A86" t="inlineStr">
        <is>
          <t>Implied 10-yr CAGR minus historical 5-yr CAGR</t>
        </is>
      </c>
      <c r="B86" s="291">
        <f>IFERROR(B80-B83,"n/a")</f>
        <v/>
      </c>
      <c r="C86" s="159" t="inlineStr">
        <is>
          <t>Positive = the market expects faster growth than the last five years.</t>
        </is>
      </c>
      <c r="Q86" s="335">
        <f>Q85+0.005</f>
        <v/>
      </c>
      <c r="R86" s="245" cm="1">
        <f t="array" ref="R86">_xlfn.LET(_xlpm.gs,Q86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6" s="335">
        <f>S85+0.005</f>
        <v/>
      </c>
      <c r="T86" s="245" cm="1">
        <f t="array" ref="T86">_xlfn.LET(_xlpm.gs,$B$9,_xlpm.om,S86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6" s="335">
        <f>U85-0.0025</f>
        <v/>
      </c>
      <c r="V86" s="245" cm="1">
        <f t="array" ref="V86">_xlfn.LET(_xlpm.gs,$B$9,_xlpm.om,$B$10,_xlpm.w,$B$7,_xlpm.tgr,$B$8,_xlpm.n,$B$11,_xlpm.lcx,U86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7">
      <c r="Q87" s="335">
        <f>Q86+0.005</f>
        <v/>
      </c>
      <c r="R87" s="245" cm="1">
        <f t="array" ref="R87">_xlfn.LET(_xlpm.gs,Q87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7" s="335">
        <f>S86+0.005</f>
        <v/>
      </c>
      <c r="T87" s="245" cm="1">
        <f t="array" ref="T87">_xlfn.LET(_xlpm.gs,$B$9,_xlpm.om,S87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7" s="335">
        <f>U86-0.0025</f>
        <v/>
      </c>
      <c r="V87" s="245" cm="1">
        <f t="array" ref="V87">_xlfn.LET(_xlpm.gs,$B$9,_xlpm.om,$B$10,_xlpm.w,$B$7,_xlpm.tgr,$B$8,_xlpm.n,$B$11,_xlpm.lcx,U87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8">
      <c r="A88" s="29" t="inlineStr">
        <is>
          <t>Notes: FCF = NOPAT + D&amp;A − capex − working capital (+ SBC add-back unless B12 = Yes), matching reported FCF (CFO − capex). Revenue growth fades linearly from B9 to terminal growth by year 10; operating margin, capex and D&amp;A move linearly from TTM levels to long-run levels over B11 years. Year-1 capex uses guidance (B22) if given. Terminal value = Gordon growth on year-11 FCF.</t>
        </is>
      </c>
      <c r="Q88" s="335">
        <f>Q87+0.005</f>
        <v/>
      </c>
      <c r="R88" s="245" cm="1">
        <f t="array" ref="R88">_xlfn.LET(_xlpm.gs,Q88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8" s="335">
        <f>S87+0.005</f>
        <v/>
      </c>
      <c r="T88" s="245" cm="1">
        <f t="array" ref="T88">_xlfn.LET(_xlpm.gs,$B$9,_xlpm.om,S88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8" s="335">
        <f>U87-0.0025</f>
        <v/>
      </c>
      <c r="V88" s="245" cm="1">
        <f t="array" ref="V88">_xlfn.LET(_xlpm.gs,$B$9,_xlpm.om,$B$10,_xlpm.w,$B$7,_xlpm.tgr,$B$8,_xlpm.n,$B$11,_xlpm.lcx,U88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89">
      <c r="Q89" s="335">
        <f>Q88+0.005</f>
        <v/>
      </c>
      <c r="R89" s="245" cm="1">
        <f t="array" ref="R89">_xlfn.LET(_xlpm.gs,Q89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89" s="335">
        <f>S88+0.005</f>
        <v/>
      </c>
      <c r="T89" s="245" cm="1">
        <f t="array" ref="T89">_xlfn.LET(_xlpm.gs,$B$9,_xlpm.om,S89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89" s="335">
        <f>U88-0.0025</f>
        <v/>
      </c>
      <c r="V89" s="245" cm="1">
        <f t="array" ref="V89">_xlfn.LET(_xlpm.gs,$B$9,_xlpm.om,$B$10,_xlpm.w,$B$7,_xlpm.tgr,$B$8,_xlpm.n,$B$11,_xlpm.lcx,U89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0">
      <c r="Q90" s="335">
        <f>Q89+0.005</f>
        <v/>
      </c>
      <c r="R90" s="245" cm="1">
        <f t="array" ref="R90">_xlfn.LET(_xlpm.gs,Q90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0" s="335">
        <f>S89+0.005</f>
        <v/>
      </c>
      <c r="T90" s="245" cm="1">
        <f t="array" ref="T90">_xlfn.LET(_xlpm.gs,$B$9,_xlpm.om,S90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0" s="335">
        <f>U89-0.0025</f>
        <v/>
      </c>
      <c r="V90" s="245" cm="1">
        <f t="array" ref="V90">_xlfn.LET(_xlpm.gs,$B$9,_xlpm.om,$B$10,_xlpm.w,$B$7,_xlpm.tgr,$B$8,_xlpm.n,$B$11,_xlpm.lcx,U90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1">
      <c r="A91" s="161" t="inlineStr">
        <is>
          <t>Sanity checks — does the answer make sense?</t>
        </is>
      </c>
      <c r="B91" s="161" t="n"/>
      <c r="C91" s="161" t="n"/>
      <c r="D91" s="161" t="n"/>
      <c r="E91" s="161" t="n"/>
      <c r="F91" s="161" t="n"/>
      <c r="G91" s="161" t="n"/>
      <c r="H91" s="161" t="n"/>
      <c r="I91" s="161" t="n"/>
      <c r="Q91" s="335">
        <f>Q90+0.005</f>
        <v/>
      </c>
      <c r="R91" s="245" cm="1">
        <f t="array" ref="R91">_xlfn.LET(_xlpm.gs,Q91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1" s="335">
        <f>S90+0.005</f>
        <v/>
      </c>
      <c r="T91" s="245" cm="1">
        <f t="array" ref="T91">_xlfn.LET(_xlpm.gs,$B$9,_xlpm.om,S91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1" s="335">
        <f>U90-0.0025</f>
        <v/>
      </c>
      <c r="V91" s="245" cm="1">
        <f t="array" ref="V91">_xlfn.LET(_xlpm.gs,$B$9,_xlpm.om,$B$10,_xlpm.w,$B$7,_xlpm.tgr,$B$8,_xlpm.n,$B$11,_xlpm.lcx,U91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2">
      <c r="A92" t="inlineStr">
        <is>
          <t>Year-10 revenue ($B)</t>
        </is>
      </c>
      <c r="B92" s="331">
        <f>D61</f>
        <v/>
      </c>
      <c r="C92" s="159" t="n"/>
      <c r="Q92" s="335">
        <f>Q91+0.005</f>
        <v/>
      </c>
      <c r="R92" s="245" cm="1">
        <f t="array" ref="R92">_xlfn.LET(_xlpm.gs,Q92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2" s="335">
        <f>S91+0.005</f>
        <v/>
      </c>
      <c r="T92" s="245" cm="1">
        <f t="array" ref="T92">_xlfn.LET(_xlpm.gs,$B$9,_xlpm.om,S92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2" s="335">
        <f>U91-0.0025</f>
        <v/>
      </c>
      <c r="V92" s="245" cm="1">
        <f t="array" ref="V92">_xlfn.LET(_xlpm.gs,$B$9,_xlpm.om,$B$10,_xlpm.w,$B$7,_xlpm.tgr,$B$8,_xlpm.n,$B$11,_xlpm.lcx,U92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3">
      <c r="A93" t="inlineStr">
        <is>
          <t>Year-10 free cash flow ($B)</t>
        </is>
      </c>
      <c r="B93" s="331">
        <f>K61</f>
        <v/>
      </c>
      <c r="C93" s="159" t="n"/>
      <c r="Q93" s="335">
        <f>Q92+0.005</f>
        <v/>
      </c>
      <c r="R93" s="245" cm="1">
        <f t="array" ref="R93">_xlfn.LET(_xlpm.gs,Q93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3" s="335">
        <f>S92+0.005</f>
        <v/>
      </c>
      <c r="T93" s="245" cm="1">
        <f t="array" ref="T93">_xlfn.LET(_xlpm.gs,$B$9,_xlpm.om,S93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3" s="335">
        <f>U92-0.0025</f>
        <v/>
      </c>
      <c r="V93" s="245" cm="1">
        <f t="array" ref="V93">_xlfn.LET(_xlpm.gs,$B$9,_xlpm.om,$B$10,_xlpm.w,$B$7,_xlpm.tgr,$B$8,_xlpm.n,$B$11,_xlpm.lcx,U93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4">
      <c r="A94" t="inlineStr">
        <is>
          <t>Implied terminal EV / FCF</t>
        </is>
      </c>
      <c r="B94" s="340">
        <f>B65/K61</f>
        <v/>
      </c>
      <c r="C94" s="159" t="inlineStr">
        <is>
          <t>Mechanically (1+g)/(WACC−g).</t>
        </is>
      </c>
      <c r="Q94" s="335">
        <f>Q93+0.005</f>
        <v/>
      </c>
      <c r="R94" s="245" cm="1">
        <f t="array" ref="R94">_xlfn.LET(_xlpm.gs,Q94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4" s="335">
        <f>S93+0.005</f>
        <v/>
      </c>
      <c r="T94" s="245" cm="1">
        <f t="array" ref="T94">_xlfn.LET(_xlpm.gs,$B$9,_xlpm.om,S94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4" s="335">
        <f>U93-0.0025</f>
        <v/>
      </c>
      <c r="V94" s="245" cm="1">
        <f t="array" ref="V94">_xlfn.LET(_xlpm.gs,$B$9,_xlpm.om,$B$10,_xlpm.w,$B$7,_xlpm.tgr,$B$8,_xlpm.n,$B$11,_xlpm.lcx,U94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5">
      <c r="A95" t="inlineStr">
        <is>
          <t>Implied terminal EV / sales</t>
        </is>
      </c>
      <c r="B95" s="340">
        <f>B65/D61</f>
        <v/>
      </c>
      <c r="C95" s="159" t="n"/>
      <c r="Q95" s="335">
        <f>Q94+0.005</f>
        <v/>
      </c>
      <c r="R95" s="245" cm="1">
        <f t="array" ref="R95">_xlfn.LET(_xlpm.gs,Q95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5" s="335">
        <f>S94+0.005</f>
        <v/>
      </c>
      <c r="T95" s="245" cm="1">
        <f t="array" ref="T95">_xlfn.LET(_xlpm.gs,$B$9,_xlpm.om,S95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5" s="335">
        <f>U94-0.0025</f>
        <v/>
      </c>
      <c r="V95" s="245" cm="1">
        <f t="array" ref="V95">_xlfn.LET(_xlpm.gs,$B$9,_xlpm.om,$B$10,_xlpm.w,$B$7,_xlpm.tgr,$B$8,_xlpm.n,$B$11,_xlpm.lcx,U95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6">
      <c r="A96" t="inlineStr">
        <is>
          <t>Implied terminal EV / EBITDA (year-10 EBITDA)</t>
        </is>
      </c>
      <c r="B96" s="340">
        <f>B65/(D61*E61+G61)</f>
        <v/>
      </c>
      <c r="C96" s="159" t="inlineStr">
        <is>
          <t>Year-10 EBITDA = operating profit + D&amp;A. Mature large-caps typically trade ~8–20x.</t>
        </is>
      </c>
      <c r="Q96" s="335">
        <f>Q95+0.005</f>
        <v/>
      </c>
      <c r="R96" s="245" cm="1">
        <f t="array" ref="R96">_xlfn.LET(_xlpm.gs,Q96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6" s="335">
        <f>S95+0.005</f>
        <v/>
      </c>
      <c r="T96" s="245" cm="1">
        <f t="array" ref="T96">_xlfn.LET(_xlpm.gs,$B$9,_xlpm.om,S96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6" s="335">
        <f>U95-0.0025</f>
        <v/>
      </c>
      <c r="V96" s="245" cm="1">
        <f t="array" ref="V96">_xlfn.LET(_xlpm.gs,$B$9,_xlpm.om,$B$10,_xlpm.w,$B$7,_xlpm.tgr,$B$8,_xlpm.n,$B$11,_xlpm.lcx,U96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7">
      <c r="A97" t="inlineStr">
        <is>
          <t>Implied terminal EV / NOPAT (≈ unlevered P/E)</t>
        </is>
      </c>
      <c r="B97" s="340">
        <f>B65/F61</f>
        <v/>
      </c>
      <c r="C97" s="159" t="inlineStr">
        <is>
          <t>Roughly the P/E a buyer pays in year 10.</t>
        </is>
      </c>
      <c r="Q97" s="335">
        <f>Q96+0.005</f>
        <v/>
      </c>
      <c r="R97" s="245" cm="1">
        <f t="array" ref="R97">_xlfn.LET(_xlpm.gs,Q97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7" s="335">
        <f>S96+0.005</f>
        <v/>
      </c>
      <c r="T97" s="245" cm="1">
        <f t="array" ref="T97">_xlfn.LET(_xlpm.gs,$B$9,_xlpm.om,S97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7" s="335">
        <f>U96-0.0025</f>
        <v/>
      </c>
      <c r="V97" s="245" cm="1">
        <f t="array" ref="V97">_xlfn.LET(_xlpm.gs,$B$9,_xlpm.om,$B$10,_xlpm.w,$B$7,_xlpm.tgr,$B$8,_xlpm.n,$B$11,_xlpm.lcx,U97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8">
      <c r="A98" t="inlineStr">
        <is>
          <t>Year-10 NOPAT ($B)</t>
        </is>
      </c>
      <c r="B98" s="331">
        <f>F61</f>
        <v/>
      </c>
      <c r="C98" s="159" t="inlineStr">
        <is>
          <t>Revenue × operating margin × (1 − tax).</t>
        </is>
      </c>
      <c r="Q98" s="335">
        <f>Q97+0.005</f>
        <v/>
      </c>
      <c r="R98" s="245" cm="1">
        <f t="array" ref="R98">_xlfn.LET(_xlpm.gs,Q98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8" s="335">
        <f>S97+0.005</f>
        <v/>
      </c>
      <c r="T98" s="245" cm="1">
        <f t="array" ref="T98">_xlfn.LET(_xlpm.gs,$B$9,_xlpm.om,S98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8" s="335">
        <f>U97-0.0025</f>
        <v/>
      </c>
      <c r="V98" s="245" cm="1">
        <f t="array" ref="V98">_xlfn.LET(_xlpm.gs,$B$9,_xlpm.om,$B$10,_xlpm.w,$B$7,_xlpm.tgr,$B$8,_xlpm.n,$B$11,_xlpm.lcx,U98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99">
      <c r="A99" t="inlineStr">
        <is>
          <t>Implied reinvestment rate</t>
        </is>
      </c>
      <c r="B99" s="341">
        <f>(H61-G61+I61)/F61</f>
        <v/>
      </c>
      <c r="C99" s="159" t="inlineStr">
        <is>
          <t>Net capex + working capital as a share of NOPAT.</t>
        </is>
      </c>
      <c r="Q99" s="335">
        <f>Q98+0.005</f>
        <v/>
      </c>
      <c r="R99" s="245" cm="1">
        <f t="array" ref="R99">_xlfn.LET(_xlpm.gs,Q99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99" s="335">
        <f>S98+0.005</f>
        <v/>
      </c>
      <c r="T99" s="245" cm="1">
        <f t="array" ref="T99">_xlfn.LET(_xlpm.gs,$B$9,_xlpm.om,S99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99" s="335">
        <f>U98-0.0025</f>
        <v/>
      </c>
      <c r="V99" s="245" cm="1">
        <f t="array" ref="V99">_xlfn.LET(_xlpm.gs,$B$9,_xlpm.om,$B$10,_xlpm.w,$B$7,_xlpm.tgr,$B$8,_xlpm.n,$B$11,_xlpm.lcx,U99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0">
      <c r="A100" t="inlineStr">
        <is>
          <t>Implied return on new capital</t>
        </is>
      </c>
      <c r="B100" s="341">
        <f>IFERROR(B8/B99,"n/a")</f>
        <v/>
      </c>
      <c r="C100" s="159" t="inlineStr">
        <is>
          <t>Terminal growth ÷ reinvestment. Should exceed WACC, but not be implausibly high.</t>
        </is>
      </c>
      <c r="Q100" s="335">
        <f>Q99+0.005</f>
        <v/>
      </c>
      <c r="R100" s="245" cm="1">
        <f t="array" ref="R100">_xlfn.LET(_xlpm.gs,Q100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0" s="335">
        <f>S99+0.005</f>
        <v/>
      </c>
      <c r="T100" s="245" cm="1">
        <f t="array" ref="T100">_xlfn.LET(_xlpm.gs,$B$9,_xlpm.om,S100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0" s="335">
        <f>U99-0.0025</f>
        <v/>
      </c>
      <c r="V100" s="245" cm="1">
        <f t="array" ref="V100">_xlfn.LET(_xlpm.gs,$B$9,_xlpm.om,$B$10,_xlpm.w,$B$7,_xlpm.tgr,$B$8,_xlpm.n,$B$11,_xlpm.lcx,U100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1">
      <c r="A101" t="inlineStr">
        <is>
          <t>Check: terminal growth below WACC</t>
        </is>
      </c>
      <c r="B101" s="216">
        <f>IF(B8&lt;B7,"✓","✗ fix")</f>
        <v/>
      </c>
      <c r="C101" s="159" t="n"/>
      <c r="Q101" s="335">
        <f>Q100+0.005</f>
        <v/>
      </c>
      <c r="R101" s="245" cm="1">
        <f t="array" ref="R101">_xlfn.LET(_xlpm.gs,Q101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1" s="335">
        <f>S100+0.005</f>
        <v/>
      </c>
      <c r="T101" s="245" cm="1">
        <f t="array" ref="T101">_xlfn.LET(_xlpm.gs,$B$9,_xlpm.om,S101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1" s="335">
        <f>U100-0.0025</f>
        <v/>
      </c>
      <c r="V101" s="245" cm="1">
        <f t="array" ref="V101">_xlfn.LET(_xlpm.gs,$B$9,_xlpm.om,$B$10,_xlpm.w,$B$7,_xlpm.tgr,$B$8,_xlpm.n,$B$11,_xlpm.lcx,U101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2">
      <c r="A102" t="inlineStr">
        <is>
          <t>Check: TV share of EV under 75%</t>
        </is>
      </c>
      <c r="B102" s="216">
        <f>IF(B75&lt;0.75,"✓","⚠ high")</f>
        <v/>
      </c>
      <c r="C102" s="159" t="n"/>
      <c r="Q102" s="335">
        <f>Q101+0.005</f>
        <v/>
      </c>
      <c r="R102" s="245" cm="1">
        <f t="array" ref="R102">_xlfn.LET(_xlpm.gs,Q102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2" s="335">
        <f>S101+0.005</f>
        <v/>
      </c>
      <c r="T102" s="245" cm="1">
        <f t="array" ref="T102">_xlfn.LET(_xlpm.gs,$B$9,_xlpm.om,S102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2" s="335">
        <f>U101-0.0025</f>
        <v/>
      </c>
      <c r="V102" s="245" cm="1">
        <f t="array" ref="V102">_xlfn.LET(_xlpm.gs,$B$9,_xlpm.om,$B$10,_xlpm.w,$B$7,_xlpm.tgr,$B$8,_xlpm.n,$B$11,_xlpm.lcx,U102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3">
      <c r="A103" t="inlineStr">
        <is>
          <t>Check: terminal EV/EBITDA in 8–25x</t>
        </is>
      </c>
      <c r="B103" s="216">
        <f>IF(AND(B96&gt;=8,B96&lt;=25),"✓","⚠ review")</f>
        <v/>
      </c>
      <c r="C103" s="159" t="n"/>
      <c r="Q103" s="335">
        <f>Q102+0.005</f>
        <v/>
      </c>
      <c r="R103" s="245" cm="1">
        <f t="array" ref="R103">_xlfn.LET(_xlpm.gs,Q103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3" s="335">
        <f>S102+0.005</f>
        <v/>
      </c>
      <c r="T103" s="245" cm="1">
        <f t="array" ref="T103">_xlfn.LET(_xlpm.gs,$B$9,_xlpm.om,S103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3" s="335">
        <f>U102-0.0025</f>
        <v/>
      </c>
      <c r="V103" s="245" cm="1">
        <f t="array" ref="V103">_xlfn.LET(_xlpm.gs,$B$9,_xlpm.om,$B$10,_xlpm.w,$B$7,_xlpm.tgr,$B$8,_xlpm.n,$B$11,_xlpm.lcx,U103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4">
      <c r="A104" t="inlineStr">
        <is>
          <t>Check: return on new capital between WACC and 50%</t>
        </is>
      </c>
      <c r="B104" s="216">
        <f>IF(ISNUMBER(B100),IF(AND(B100&gt;=B7,B100&lt;=0.5),"✓","⚠ review"),"⚠ review")</f>
        <v/>
      </c>
      <c r="C104" s="159" t="n"/>
      <c r="Q104" s="335">
        <f>Q103+0.005</f>
        <v/>
      </c>
      <c r="R104" s="245" cm="1">
        <f t="array" ref="R104">_xlfn.LET(_xlpm.gs,Q104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4" s="335">
        <f>S103+0.005</f>
        <v/>
      </c>
      <c r="T104" s="245" cm="1">
        <f t="array" ref="T104">_xlfn.LET(_xlpm.gs,$B$9,_xlpm.om,S104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4" s="335">
        <f>U103-0.0025</f>
        <v/>
      </c>
      <c r="V104" s="245" cm="1">
        <f t="array" ref="V104">_xlfn.LET(_xlpm.gs,$B$9,_xlpm.om,$B$10,_xlpm.w,$B$7,_xlpm.tgr,$B$8,_xlpm.n,$B$11,_xlpm.lcx,U104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5">
      <c r="A105" t="inlineStr">
        <is>
          <t>Check: closed-form recompute = table</t>
        </is>
      </c>
      <c r="B105" s="216">
        <f>IF(ABS(B76)&lt;0.01,"✓","✗ fix")</f>
        <v/>
      </c>
      <c r="C105" s="159" t="n"/>
      <c r="Q105" s="335">
        <f>Q104+0.005</f>
        <v/>
      </c>
      <c r="R105" s="245" cm="1">
        <f t="array" ref="R105">_xlfn.LET(_xlpm.gs,Q105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5" s="335">
        <f>S104+0.005</f>
        <v/>
      </c>
      <c r="T105" s="245" cm="1">
        <f t="array" ref="T105">_xlfn.LET(_xlpm.gs,$B$9,_xlpm.om,S105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5" s="335">
        <f>U104-0.0025</f>
        <v/>
      </c>
      <c r="V105" s="245" cm="1">
        <f t="array" ref="V105">_xlfn.LET(_xlpm.gs,$B$9,_xlpm.om,$B$10,_xlpm.w,$B$7,_xlpm.tgr,$B$8,_xlpm.n,$B$11,_xlpm.lcx,U105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6">
      <c r="A106" t="inlineStr">
        <is>
          <t>Check: TTM revenue = sum of quarters</t>
        </is>
      </c>
      <c r="B106" s="216">
        <f>IF(ABS(Financials!F17-SUM(Financials!B17:E17))&lt;0.001,"✓","✗ fix")</f>
        <v/>
      </c>
      <c r="C106" s="159" t="n"/>
      <c r="Q106" s="335">
        <f>Q105+0.005</f>
        <v/>
      </c>
      <c r="R106" s="245" cm="1">
        <f t="array" ref="R106">_xlfn.LET(_xlpm.gs,Q106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6" s="335">
        <f>S105+0.005</f>
        <v/>
      </c>
      <c r="T106" s="245" cm="1">
        <f t="array" ref="T106">_xlfn.LET(_xlpm.gs,$B$9,_xlpm.om,S106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6" s="335">
        <f>U105-0.0025</f>
        <v/>
      </c>
      <c r="V106" s="245" cm="1">
        <f t="array" ref="V106">_xlfn.LET(_xlpm.gs,$B$9,_xlpm.om,$B$10,_xlpm.w,$B$7,_xlpm.tgr,$B$8,_xlpm.n,$B$11,_xlpm.lcx,U106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7">
      <c r="A107" t="inlineStr">
        <is>
          <t>Check: net cash = cash &amp; securities − debt</t>
        </is>
      </c>
      <c r="B107" s="216">
        <f>IF(ABS(Financials!C39-(Financials!C35-Financials!C38))&lt;0.001,"✓","✗ fix")</f>
        <v/>
      </c>
      <c r="C107" s="159" t="n"/>
      <c r="Q107" s="335">
        <f>Q106+0.005</f>
        <v/>
      </c>
      <c r="R107" s="245" cm="1">
        <f t="array" ref="R107">_xlfn.LET(_xlpm.gs,Q107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7" s="335">
        <f>S106+0.005</f>
        <v/>
      </c>
      <c r="T107" s="245" cm="1">
        <f t="array" ref="T107">_xlfn.LET(_xlpm.gs,$B$9,_xlpm.om,S107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7" s="335">
        <f>U106-0.0025</f>
        <v/>
      </c>
      <c r="V107" s="245" cm="1">
        <f t="array" ref="V107">_xlfn.LET(_xlpm.gs,$B$9,_xlpm.om,$B$10,_xlpm.w,$B$7,_xlpm.tgr,$B$8,_xlpm.n,$B$11,_xlpm.lcx,U107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8">
      <c r="A108" t="inlineStr">
        <is>
          <t>Check: latest price is the last Data row</t>
        </is>
      </c>
      <c r="B108" s="216">
        <f>IF(ABS(B5-Data!E1256)&lt;0.005,"✓","✗ fix")</f>
        <v/>
      </c>
      <c r="C108" s="159" t="n"/>
      <c r="Q108" s="335">
        <f>Q107+0.005</f>
        <v/>
      </c>
      <c r="R108" s="245" cm="1">
        <f t="array" ref="R108">_xlfn.LET(_xlpm.gs,Q108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8" s="335">
        <f>S107+0.005</f>
        <v/>
      </c>
      <c r="T108" s="245" cm="1">
        <f t="array" ref="T108">_xlfn.LET(_xlpm.gs,$B$9,_xlpm.om,S108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8" s="335">
        <f>U107-0.0025</f>
        <v/>
      </c>
      <c r="V108" s="245" cm="1">
        <f t="array" ref="V108">_xlfn.LET(_xlpm.gs,$B$9,_xlpm.om,$B$10,_xlpm.w,$B$7,_xlpm.tgr,$B$8,_xlpm.n,$B$11,_xlpm.lcx,U108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09">
      <c r="A109" s="217" t="inlineStr">
        <is>
          <t>Model integrity</t>
        </is>
      </c>
      <c r="B109" s="218">
        <f>IF(COUNTIF(B101:B108,"✗*")&gt;0,"✗ "&amp;COUNTIF(B101:B108,"✗*")&amp;" failed",IF(COUNTIF(B101:B108,"⚠*")&gt;0,"⚠ "&amp;COUNTIF(B101:B108,"⚠*")&amp;" to review","✓ all checks pass"))</f>
        <v/>
      </c>
      <c r="C109" s="159" t="inlineStr">
        <is>
          <t>Rolls up B101:B108; shown on the Summary.</t>
        </is>
      </c>
      <c r="Q109" s="335">
        <f>Q108+0.005</f>
        <v/>
      </c>
      <c r="R109" s="245" cm="1">
        <f t="array" ref="R109">_xlfn.LET(_xlpm.gs,Q109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09" s="335">
        <f>S108+0.005</f>
        <v/>
      </c>
      <c r="T109" s="245" cm="1">
        <f t="array" ref="T109">_xlfn.LET(_xlpm.gs,$B$9,_xlpm.om,S109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09" s="335">
        <f>U108-0.0025</f>
        <v/>
      </c>
      <c r="V109" s="245" cm="1">
        <f t="array" ref="V109">_xlfn.LET(_xlpm.gs,$B$9,_xlpm.om,$B$10,_xlpm.w,$B$7,_xlpm.tgr,$B$8,_xlpm.n,$B$11,_xlpm.lcx,U109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0">
      <c r="Q110" s="335">
        <f>Q109+0.005</f>
        <v/>
      </c>
      <c r="R110" s="245" cm="1">
        <f t="array" ref="R110">_xlfn.LET(_xlpm.gs,Q110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0" s="335">
        <f>S109+0.005</f>
        <v/>
      </c>
      <c r="T110" s="245" cm="1">
        <f t="array" ref="T110">_xlfn.LET(_xlpm.gs,$B$9,_xlpm.om,S110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0" s="335">
        <f>U109-0.0025</f>
        <v/>
      </c>
      <c r="V110" s="245" cm="1">
        <f t="array" ref="V110">_xlfn.LET(_xlpm.gs,$B$9,_xlpm.om,$B$10,_xlpm.w,$B$7,_xlpm.tgr,$B$8,_xlpm.n,$B$11,_xlpm.lcx,U110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1">
      <c r="Q111" s="335">
        <f>Q110+0.005</f>
        <v/>
      </c>
      <c r="R111" s="245" cm="1">
        <f t="array" ref="R111">_xlfn.LET(_xlpm.gs,Q111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1" s="335">
        <f>S110+0.005</f>
        <v/>
      </c>
      <c r="T111" s="245" cm="1">
        <f t="array" ref="T111">_xlfn.LET(_xlpm.gs,$B$9,_xlpm.om,S111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1" s="335">
        <f>U110-0.0025</f>
        <v/>
      </c>
      <c r="V111" s="245" cm="1">
        <f t="array" ref="V111">_xlfn.LET(_xlpm.gs,$B$9,_xlpm.om,$B$10,_xlpm.w,$B$7,_xlpm.tgr,$B$8,_xlpm.n,$B$11,_xlpm.lcx,U111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2">
      <c r="Q112" s="335">
        <f>Q111+0.005</f>
        <v/>
      </c>
      <c r="R112" s="245" cm="1">
        <f t="array" ref="R112">_xlfn.LET(_xlpm.gs,Q112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2" s="335">
        <f>S111+0.005</f>
        <v/>
      </c>
      <c r="T112" s="245" cm="1">
        <f t="array" ref="T112">_xlfn.LET(_xlpm.gs,$B$9,_xlpm.om,S112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2" s="335">
        <f>U111-0.0025</f>
        <v/>
      </c>
      <c r="V112" s="245" cm="1">
        <f t="array" ref="V112">_xlfn.LET(_xlpm.gs,$B$9,_xlpm.om,$B$10,_xlpm.w,$B$7,_xlpm.tgr,$B$8,_xlpm.n,$B$11,_xlpm.lcx,U112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3">
      <c r="Q113" s="335">
        <f>Q112+0.005</f>
        <v/>
      </c>
      <c r="R113" s="245" cm="1">
        <f t="array" ref="R113">_xlfn.LET(_xlpm.gs,Q113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3" s="335">
        <f>S112+0.005</f>
        <v/>
      </c>
      <c r="T113" s="245" cm="1">
        <f t="array" ref="T113">_xlfn.LET(_xlpm.gs,$B$9,_xlpm.om,S113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3" s="335">
        <f>U112-0.0025</f>
        <v/>
      </c>
      <c r="V113" s="245" cm="1">
        <f t="array" ref="V113">_xlfn.LET(_xlpm.gs,$B$9,_xlpm.om,$B$10,_xlpm.w,$B$7,_xlpm.tgr,$B$8,_xlpm.n,$B$11,_xlpm.lcx,U113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4">
      <c r="Q114" s="335">
        <f>Q113+0.005</f>
        <v/>
      </c>
      <c r="R114" s="245" cm="1">
        <f t="array" ref="R114">_xlfn.LET(_xlpm.gs,Q114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4" s="335">
        <f>S113+0.005</f>
        <v/>
      </c>
      <c r="T114" s="245" cm="1">
        <f t="array" ref="T114">_xlfn.LET(_xlpm.gs,$B$9,_xlpm.om,S114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4" s="335">
        <f>U113-0.0025</f>
        <v/>
      </c>
      <c r="V114" s="245" cm="1">
        <f t="array" ref="V114">_xlfn.LET(_xlpm.gs,$B$9,_xlpm.om,$B$10,_xlpm.w,$B$7,_xlpm.tgr,$B$8,_xlpm.n,$B$11,_xlpm.lcx,U114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5">
      <c r="Q115" s="335">
        <f>Q114+0.005</f>
        <v/>
      </c>
      <c r="R115" s="245" cm="1">
        <f t="array" ref="R115">_xlfn.LET(_xlpm.gs,Q115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5" s="335">
        <f>S114+0.005</f>
        <v/>
      </c>
      <c r="T115" s="245" cm="1">
        <f t="array" ref="T115">_xlfn.LET(_xlpm.gs,$B$9,_xlpm.om,S115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5" s="335">
        <f>U114-0.0025</f>
        <v/>
      </c>
      <c r="V115" s="245" cm="1">
        <f t="array" ref="V115">_xlfn.LET(_xlpm.gs,$B$9,_xlpm.om,$B$10,_xlpm.w,$B$7,_xlpm.tgr,$B$8,_xlpm.n,$B$11,_xlpm.lcx,U115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6">
      <c r="Q116" s="335">
        <f>Q115+0.005</f>
        <v/>
      </c>
      <c r="R116" s="245" cm="1">
        <f t="array" ref="R116">_xlfn.LET(_xlpm.gs,Q116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6" s="335">
        <f>S115+0.005</f>
        <v/>
      </c>
      <c r="T116" s="245" cm="1">
        <f t="array" ref="T116">_xlfn.LET(_xlpm.gs,$B$9,_xlpm.om,S116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6" s="335">
        <f>U115-0.0025</f>
        <v/>
      </c>
      <c r="V116" s="245" cm="1">
        <f t="array" ref="V116">_xlfn.LET(_xlpm.gs,$B$9,_xlpm.om,$B$10,_xlpm.w,$B$7,_xlpm.tgr,$B$8,_xlpm.n,$B$11,_xlpm.lcx,U116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7">
      <c r="Q117" s="335">
        <f>Q116+0.005</f>
        <v/>
      </c>
      <c r="R117" s="245" cm="1">
        <f t="array" ref="R117">_xlfn.LET(_xlpm.gs,Q117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7" s="335">
        <f>S116+0.005</f>
        <v/>
      </c>
      <c r="T117" s="245" cm="1">
        <f t="array" ref="T117">_xlfn.LET(_xlpm.gs,$B$9,_xlpm.om,S117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7" s="335">
        <f>U116-0.0025</f>
        <v/>
      </c>
      <c r="V117" s="245" cm="1">
        <f t="array" ref="V117">_xlfn.LET(_xlpm.gs,$B$9,_xlpm.om,$B$10,_xlpm.w,$B$7,_xlpm.tgr,$B$8,_xlpm.n,$B$11,_xlpm.lcx,U117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8">
      <c r="Q118" s="335">
        <f>Q117+0.005</f>
        <v/>
      </c>
      <c r="R118" s="245" cm="1">
        <f t="array" ref="R118">_xlfn.LET(_xlpm.gs,Q118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8" s="335">
        <f>S117+0.005</f>
        <v/>
      </c>
      <c r="T118" s="245" cm="1">
        <f t="array" ref="T118">_xlfn.LET(_xlpm.gs,$B$9,_xlpm.om,S118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8" s="335">
        <f>U117-0.0025</f>
        <v/>
      </c>
      <c r="V118" s="245" cm="1">
        <f t="array" ref="V118">_xlfn.LET(_xlpm.gs,$B$9,_xlpm.om,$B$10,_xlpm.w,$B$7,_xlpm.tgr,$B$8,_xlpm.n,$B$11,_xlpm.lcx,U118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19">
      <c r="Q119" s="335">
        <f>Q118+0.005</f>
        <v/>
      </c>
      <c r="R119" s="245" cm="1">
        <f t="array" ref="R119">_xlfn.LET(_xlpm.gs,Q119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19" s="335">
        <f>S118+0.005</f>
        <v/>
      </c>
      <c r="T119" s="245" cm="1">
        <f t="array" ref="T119">_xlfn.LET(_xlpm.gs,$B$9,_xlpm.om,S119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19" s="335">
        <f>U118-0.0025</f>
        <v/>
      </c>
      <c r="V119" s="245" cm="1">
        <f t="array" ref="V119">_xlfn.LET(_xlpm.gs,$B$9,_xlpm.om,$B$10,_xlpm.w,$B$7,_xlpm.tgr,$B$8,_xlpm.n,$B$11,_xlpm.lcx,U119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0">
      <c r="Q120" s="335">
        <f>Q119+0.005</f>
        <v/>
      </c>
      <c r="R120" s="245" cm="1">
        <f t="array" ref="R120">_xlfn.LET(_xlpm.gs,Q120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0" s="335">
        <f>S119+0.005</f>
        <v/>
      </c>
      <c r="T120" s="245" cm="1">
        <f t="array" ref="T120">_xlfn.LET(_xlpm.gs,$B$9,_xlpm.om,S120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0" s="335">
        <f>U119-0.0025</f>
        <v/>
      </c>
      <c r="V120" s="245" cm="1">
        <f t="array" ref="V120">_xlfn.LET(_xlpm.gs,$B$9,_xlpm.om,$B$10,_xlpm.w,$B$7,_xlpm.tgr,$B$8,_xlpm.n,$B$11,_xlpm.lcx,U120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1">
      <c r="Q121" s="335">
        <f>Q120+0.005</f>
        <v/>
      </c>
      <c r="R121" s="245" cm="1">
        <f t="array" ref="R121">_xlfn.LET(_xlpm.gs,Q121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1" s="335">
        <f>S120+0.005</f>
        <v/>
      </c>
      <c r="T121" s="245" cm="1">
        <f t="array" ref="T121">_xlfn.LET(_xlpm.gs,$B$9,_xlpm.om,S121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1" s="335">
        <f>U120-0.0025</f>
        <v/>
      </c>
      <c r="V121" s="245" cm="1">
        <f t="array" ref="V121">_xlfn.LET(_xlpm.gs,$B$9,_xlpm.om,$B$10,_xlpm.w,$B$7,_xlpm.tgr,$B$8,_xlpm.n,$B$11,_xlpm.lcx,U121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2">
      <c r="Q122" s="335">
        <f>Q121+0.005</f>
        <v/>
      </c>
      <c r="R122" s="245" cm="1">
        <f t="array" ref="R122">_xlfn.LET(_xlpm.gs,Q122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2" s="335">
        <f>S121+0.005</f>
        <v/>
      </c>
      <c r="T122" s="245" cm="1">
        <f t="array" ref="T122">_xlfn.LET(_xlpm.gs,$B$9,_xlpm.om,S122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2" s="335">
        <f>U121-0.0025</f>
        <v/>
      </c>
      <c r="V122" s="245" cm="1">
        <f t="array" ref="V122">_xlfn.LET(_xlpm.gs,$B$9,_xlpm.om,$B$10,_xlpm.w,$B$7,_xlpm.tgr,$B$8,_xlpm.n,$B$11,_xlpm.lcx,U122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3">
      <c r="Q123" s="335">
        <f>Q122+0.005</f>
        <v/>
      </c>
      <c r="R123" s="245" cm="1">
        <f t="array" ref="R123">_xlfn.LET(_xlpm.gs,Q123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3" s="335">
        <f>S122+0.005</f>
        <v/>
      </c>
      <c r="T123" s="245" cm="1">
        <f t="array" ref="T123">_xlfn.LET(_xlpm.gs,$B$9,_xlpm.om,S123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3" s="335">
        <f>U122-0.0025</f>
        <v/>
      </c>
      <c r="V123" s="245" cm="1">
        <f t="array" ref="V123">_xlfn.LET(_xlpm.gs,$B$9,_xlpm.om,$B$10,_xlpm.w,$B$7,_xlpm.tgr,$B$8,_xlpm.n,$B$11,_xlpm.lcx,U123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4">
      <c r="Q124" s="335">
        <f>Q123+0.005</f>
        <v/>
      </c>
      <c r="R124" s="245" cm="1">
        <f t="array" ref="R124">_xlfn.LET(_xlpm.gs,Q124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4" s="335">
        <f>S123+0.005</f>
        <v/>
      </c>
      <c r="T124" s="245" cm="1">
        <f t="array" ref="T124">_xlfn.LET(_xlpm.gs,$B$9,_xlpm.om,S124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4" s="335">
        <f>U123-0.0025</f>
        <v/>
      </c>
      <c r="V124" s="245" cm="1">
        <f t="array" ref="V124">_xlfn.LET(_xlpm.gs,$B$9,_xlpm.om,$B$10,_xlpm.w,$B$7,_xlpm.tgr,$B$8,_xlpm.n,$B$11,_xlpm.lcx,U124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5">
      <c r="Q125" s="335">
        <f>Q124+0.005</f>
        <v/>
      </c>
      <c r="R125" s="245" cm="1">
        <f t="array" ref="R125">_xlfn.LET(_xlpm.gs,Q125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5" s="335">
        <f>S124+0.005</f>
        <v/>
      </c>
      <c r="T125" s="245" cm="1">
        <f t="array" ref="T125">_xlfn.LET(_xlpm.gs,$B$9,_xlpm.om,S125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5" s="335">
        <f>U124-0.0025</f>
        <v/>
      </c>
      <c r="V125" s="245" cm="1">
        <f t="array" ref="V125">_xlfn.LET(_xlpm.gs,$B$9,_xlpm.om,$B$10,_xlpm.w,$B$7,_xlpm.tgr,$B$8,_xlpm.n,$B$11,_xlpm.lcx,U125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6">
      <c r="Q126" s="335">
        <f>Q125+0.005</f>
        <v/>
      </c>
      <c r="R126" s="245" cm="1">
        <f t="array" ref="R126">_xlfn.LET(_xlpm.gs,Q126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6" s="335">
        <f>S125+0.005</f>
        <v/>
      </c>
      <c r="T126" s="245" cm="1">
        <f t="array" ref="T126">_xlfn.LET(_xlpm.gs,$B$9,_xlpm.om,S126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6" s="335">
        <f>U125-0.0025</f>
        <v/>
      </c>
      <c r="V126" s="245" cm="1">
        <f t="array" ref="V126">_xlfn.LET(_xlpm.gs,$B$9,_xlpm.om,$B$10,_xlpm.w,$B$7,_xlpm.tgr,$B$8,_xlpm.n,$B$11,_xlpm.lcx,U126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7">
      <c r="Q127" s="335">
        <f>Q126+0.005</f>
        <v/>
      </c>
      <c r="R127" s="245" cm="1">
        <f t="array" ref="R127">_xlfn.LET(_xlpm.gs,Q127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7" s="335">
        <f>S126+0.005</f>
        <v/>
      </c>
      <c r="T127" s="245" cm="1">
        <f t="array" ref="T127">_xlfn.LET(_xlpm.gs,$B$9,_xlpm.om,S127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7" s="335">
        <f>U126-0.0025</f>
        <v/>
      </c>
      <c r="V127" s="245" cm="1">
        <f t="array" ref="V127">_xlfn.LET(_xlpm.gs,$B$9,_xlpm.om,$B$10,_xlpm.w,$B$7,_xlpm.tgr,$B$8,_xlpm.n,$B$11,_xlpm.lcx,U127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8">
      <c r="Q128" s="335">
        <f>Q127+0.005</f>
        <v/>
      </c>
      <c r="R128" s="245" cm="1">
        <f t="array" ref="R128">_xlfn.LET(_xlpm.gs,Q128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8" s="335">
        <f>S127+0.005</f>
        <v/>
      </c>
      <c r="T128" s="245" cm="1">
        <f t="array" ref="T128">_xlfn.LET(_xlpm.gs,$B$9,_xlpm.om,S128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8" s="335">
        <f>U127-0.0025</f>
        <v/>
      </c>
      <c r="V128" s="245" cm="1">
        <f t="array" ref="V128">_xlfn.LET(_xlpm.gs,$B$9,_xlpm.om,$B$10,_xlpm.w,$B$7,_xlpm.tgr,$B$8,_xlpm.n,$B$11,_xlpm.lcx,U128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29">
      <c r="Q129" s="335">
        <f>Q128+0.005</f>
        <v/>
      </c>
      <c r="R129" s="245" cm="1">
        <f t="array" ref="R129">_xlfn.LET(_xlpm.gs,Q129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29" s="335">
        <f>S128+0.005</f>
        <v/>
      </c>
      <c r="T129" s="245" cm="1">
        <f t="array" ref="T129">_xlfn.LET(_xlpm.gs,$B$9,_xlpm.om,S129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29" s="335">
        <f>U128-0.0025</f>
        <v/>
      </c>
      <c r="V129" s="245" cm="1">
        <f t="array" ref="V129">_xlfn.LET(_xlpm.gs,$B$9,_xlpm.om,$B$10,_xlpm.w,$B$7,_xlpm.tgr,$B$8,_xlpm.n,$B$11,_xlpm.lcx,U129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0">
      <c r="Q130" s="335">
        <f>Q129+0.005</f>
        <v/>
      </c>
      <c r="R130" s="245" cm="1">
        <f t="array" ref="R130">_xlfn.LET(_xlpm.gs,Q130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0" s="335">
        <f>S129+0.005</f>
        <v/>
      </c>
      <c r="T130" s="245" cm="1">
        <f t="array" ref="T130">_xlfn.LET(_xlpm.gs,$B$9,_xlpm.om,S130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0" s="335">
        <f>U129-0.0025</f>
        <v/>
      </c>
      <c r="V130" s="245" cm="1">
        <f t="array" ref="V130">_xlfn.LET(_xlpm.gs,$B$9,_xlpm.om,$B$10,_xlpm.w,$B$7,_xlpm.tgr,$B$8,_xlpm.n,$B$11,_xlpm.lcx,U130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1">
      <c r="Q131" s="335">
        <f>Q130+0.005</f>
        <v/>
      </c>
      <c r="R131" s="245" cm="1">
        <f t="array" ref="R131">_xlfn.LET(_xlpm.gs,Q131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1" s="335">
        <f>S130+0.005</f>
        <v/>
      </c>
      <c r="T131" s="245" cm="1">
        <f t="array" ref="T131">_xlfn.LET(_xlpm.gs,$B$9,_xlpm.om,S131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1" s="335">
        <f>U130-0.0025</f>
        <v/>
      </c>
      <c r="V131" s="245" cm="1">
        <f t="array" ref="V131">_xlfn.LET(_xlpm.gs,$B$9,_xlpm.om,$B$10,_xlpm.w,$B$7,_xlpm.tgr,$B$8,_xlpm.n,$B$11,_xlpm.lcx,U131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2">
      <c r="Q132" s="335">
        <f>Q131+0.005</f>
        <v/>
      </c>
      <c r="R132" s="245" cm="1">
        <f t="array" ref="R132">_xlfn.LET(_xlpm.gs,Q132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2" s="335">
        <f>S131+0.005</f>
        <v/>
      </c>
      <c r="T132" s="245" cm="1">
        <f t="array" ref="T132">_xlfn.LET(_xlpm.gs,$B$9,_xlpm.om,S132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2" s="335">
        <f>U131-0.0025</f>
        <v/>
      </c>
      <c r="V132" s="245" cm="1">
        <f t="array" ref="V132">_xlfn.LET(_xlpm.gs,$B$9,_xlpm.om,$B$10,_xlpm.w,$B$7,_xlpm.tgr,$B$8,_xlpm.n,$B$11,_xlpm.lcx,U132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3">
      <c r="Q133" s="335">
        <f>Q132+0.005</f>
        <v/>
      </c>
      <c r="R133" s="245" cm="1">
        <f t="array" ref="R133">_xlfn.LET(_xlpm.gs,Q133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3" s="335">
        <f>S132+0.005</f>
        <v/>
      </c>
      <c r="T133" s="245" cm="1">
        <f t="array" ref="T133">_xlfn.LET(_xlpm.gs,$B$9,_xlpm.om,S133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3" s="335">
        <f>U132-0.0025</f>
        <v/>
      </c>
      <c r="V133" s="245" cm="1">
        <f t="array" ref="V133">_xlfn.LET(_xlpm.gs,$B$9,_xlpm.om,$B$10,_xlpm.w,$B$7,_xlpm.tgr,$B$8,_xlpm.n,$B$11,_xlpm.lcx,U133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4">
      <c r="Q134" s="335">
        <f>Q133+0.005</f>
        <v/>
      </c>
      <c r="R134" s="245" cm="1">
        <f t="array" ref="R134">_xlfn.LET(_xlpm.gs,Q134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4" s="335">
        <f>S133+0.005</f>
        <v/>
      </c>
      <c r="T134" s="245" cm="1">
        <f t="array" ref="T134">_xlfn.LET(_xlpm.gs,$B$9,_xlpm.om,S134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4" s="335">
        <f>U133-0.0025</f>
        <v/>
      </c>
      <c r="V134" s="245" cm="1">
        <f t="array" ref="V134">_xlfn.LET(_xlpm.gs,$B$9,_xlpm.om,$B$10,_xlpm.w,$B$7,_xlpm.tgr,$B$8,_xlpm.n,$B$11,_xlpm.lcx,U134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5">
      <c r="Q135" s="335">
        <f>Q134+0.005</f>
        <v/>
      </c>
      <c r="R135" s="245" cm="1">
        <f t="array" ref="R135">_xlfn.LET(_xlpm.gs,Q135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5" s="335">
        <f>S134+0.005</f>
        <v/>
      </c>
      <c r="T135" s="245" cm="1">
        <f t="array" ref="T135">_xlfn.LET(_xlpm.gs,$B$9,_xlpm.om,S135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5" s="335">
        <f>U134-0.0025</f>
        <v/>
      </c>
      <c r="V135" s="245" cm="1">
        <f t="array" ref="V135">_xlfn.LET(_xlpm.gs,$B$9,_xlpm.om,$B$10,_xlpm.w,$B$7,_xlpm.tgr,$B$8,_xlpm.n,$B$11,_xlpm.lcx,U135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6">
      <c r="Q136" s="335">
        <f>Q135+0.005</f>
        <v/>
      </c>
      <c r="R136" s="245" cm="1">
        <f t="array" ref="R136">_xlfn.LET(_xlpm.gs,Q136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6" s="335">
        <f>S135+0.005</f>
        <v/>
      </c>
      <c r="T136" s="245" cm="1">
        <f t="array" ref="T136">_xlfn.LET(_xlpm.gs,$B$9,_xlpm.om,S136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6" s="335">
        <f>U135-0.0025</f>
        <v/>
      </c>
      <c r="V136" s="245" cm="1">
        <f t="array" ref="V136">_xlfn.LET(_xlpm.gs,$B$9,_xlpm.om,$B$10,_xlpm.w,$B$7,_xlpm.tgr,$B$8,_xlpm.n,$B$11,_xlpm.lcx,U136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7">
      <c r="Q137" s="335">
        <f>Q136+0.005</f>
        <v/>
      </c>
      <c r="R137" s="245" cm="1">
        <f t="array" ref="R137">_xlfn.LET(_xlpm.gs,Q137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7" s="335">
        <f>S136+0.005</f>
        <v/>
      </c>
      <c r="T137" s="245" cm="1">
        <f t="array" ref="T137">_xlfn.LET(_xlpm.gs,$B$9,_xlpm.om,S137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7" s="335">
        <f>U136-0.0025</f>
        <v/>
      </c>
      <c r="V137" s="245" cm="1">
        <f t="array" ref="V137">_xlfn.LET(_xlpm.gs,$B$9,_xlpm.om,$B$10,_xlpm.w,$B$7,_xlpm.tgr,$B$8,_xlpm.n,$B$11,_xlpm.lcx,U137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8">
      <c r="Q138" s="335">
        <f>Q137+0.005</f>
        <v/>
      </c>
      <c r="R138" s="245" cm="1">
        <f t="array" ref="R138">_xlfn.LET(_xlpm.gs,Q138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8" s="335">
        <f>S137+0.005</f>
        <v/>
      </c>
      <c r="T138" s="245" cm="1">
        <f t="array" ref="T138">_xlfn.LET(_xlpm.gs,$B$9,_xlpm.om,S138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8" s="335">
        <f>U137-0.0025</f>
        <v/>
      </c>
      <c r="V138" s="245" cm="1">
        <f t="array" ref="V138">_xlfn.LET(_xlpm.gs,$B$9,_xlpm.om,$B$10,_xlpm.w,$B$7,_xlpm.tgr,$B$8,_xlpm.n,$B$11,_xlpm.lcx,U138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39">
      <c r="Q139" s="335">
        <f>Q138+0.005</f>
        <v/>
      </c>
      <c r="R139" s="245" cm="1">
        <f t="array" ref="R139">_xlfn.LET(_xlpm.gs,Q139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39" s="335">
        <f>S138+0.005</f>
        <v/>
      </c>
      <c r="T139" s="245" cm="1">
        <f t="array" ref="T139">_xlfn.LET(_xlpm.gs,$B$9,_xlpm.om,S139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39" s="335">
        <f>U138-0.0025</f>
        <v/>
      </c>
      <c r="V139" s="245" cm="1">
        <f t="array" ref="V139">_xlfn.LET(_xlpm.gs,$B$9,_xlpm.om,$B$10,_xlpm.w,$B$7,_xlpm.tgr,$B$8,_xlpm.n,$B$11,_xlpm.lcx,U139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0">
      <c r="Q140" s="335">
        <f>Q139+0.005</f>
        <v/>
      </c>
      <c r="R140" s="245" cm="1">
        <f t="array" ref="R140">_xlfn.LET(_xlpm.gs,Q140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0" s="335">
        <f>S139+0.005</f>
        <v/>
      </c>
      <c r="T140" s="245" cm="1">
        <f t="array" ref="T140">_xlfn.LET(_xlpm.gs,$B$9,_xlpm.om,S140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0" s="335">
        <f>U139-0.0025</f>
        <v/>
      </c>
      <c r="V140" s="245" cm="1">
        <f t="array" ref="V140">_xlfn.LET(_xlpm.gs,$B$9,_xlpm.om,$B$10,_xlpm.w,$B$7,_xlpm.tgr,$B$8,_xlpm.n,$B$11,_xlpm.lcx,U140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1">
      <c r="Q141" s="335">
        <f>Q140+0.005</f>
        <v/>
      </c>
      <c r="R141" s="245" cm="1">
        <f t="array" ref="R141">_xlfn.LET(_xlpm.gs,Q141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1" s="335">
        <f>S140+0.005</f>
        <v/>
      </c>
      <c r="T141" s="245" cm="1">
        <f t="array" ref="T141">_xlfn.LET(_xlpm.gs,$B$9,_xlpm.om,S141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1" s="335">
        <f>U140-0.0025</f>
        <v/>
      </c>
      <c r="V141" s="245" cm="1">
        <f t="array" ref="V141">_xlfn.LET(_xlpm.gs,$B$9,_xlpm.om,$B$10,_xlpm.w,$B$7,_xlpm.tgr,$B$8,_xlpm.n,$B$11,_xlpm.lcx,U141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2">
      <c r="Q142" s="335">
        <f>Q141+0.005</f>
        <v/>
      </c>
      <c r="R142" s="245" cm="1">
        <f t="array" ref="R142">_xlfn.LET(_xlpm.gs,Q142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2" s="335">
        <f>S141+0.005</f>
        <v/>
      </c>
      <c r="T142" s="245" cm="1">
        <f t="array" ref="T142">_xlfn.LET(_xlpm.gs,$B$9,_xlpm.om,S142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2" s="335">
        <f>U141-0.0025</f>
        <v/>
      </c>
      <c r="V142" s="245" cm="1">
        <f t="array" ref="V142">_xlfn.LET(_xlpm.gs,$B$9,_xlpm.om,$B$10,_xlpm.w,$B$7,_xlpm.tgr,$B$8,_xlpm.n,$B$11,_xlpm.lcx,U142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3">
      <c r="Q143" s="335">
        <f>Q142+0.005</f>
        <v/>
      </c>
      <c r="R143" s="245" cm="1">
        <f t="array" ref="R143">_xlfn.LET(_xlpm.gs,Q143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3" s="335">
        <f>S142+0.005</f>
        <v/>
      </c>
      <c r="T143" s="245" cm="1">
        <f t="array" ref="T143">_xlfn.LET(_xlpm.gs,$B$9,_xlpm.om,S143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3" s="335">
        <f>U142-0.0025</f>
        <v/>
      </c>
      <c r="V143" s="245" cm="1">
        <f t="array" ref="V143">_xlfn.LET(_xlpm.gs,$B$9,_xlpm.om,$B$10,_xlpm.w,$B$7,_xlpm.tgr,$B$8,_xlpm.n,$B$11,_xlpm.lcx,U143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4">
      <c r="Q144" s="335">
        <f>Q143+0.005</f>
        <v/>
      </c>
      <c r="R144" s="245" cm="1">
        <f t="array" ref="R144">_xlfn.LET(_xlpm.gs,Q144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4" s="335">
        <f>S143+0.005</f>
        <v/>
      </c>
      <c r="T144" s="245" cm="1">
        <f t="array" ref="T144">_xlfn.LET(_xlpm.gs,$B$9,_xlpm.om,S144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4" s="335">
        <f>U143-0.0025</f>
        <v/>
      </c>
      <c r="V144" s="245" cm="1">
        <f t="array" ref="V144">_xlfn.LET(_xlpm.gs,$B$9,_xlpm.om,$B$10,_xlpm.w,$B$7,_xlpm.tgr,$B$8,_xlpm.n,$B$11,_xlpm.lcx,U144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5">
      <c r="Q145" s="335">
        <f>Q144+0.005</f>
        <v/>
      </c>
      <c r="R145" s="245" cm="1">
        <f t="array" ref="R145">_xlfn.LET(_xlpm.gs,Q145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5" s="335">
        <f>S144+0.005</f>
        <v/>
      </c>
      <c r="T145" s="245" cm="1">
        <f t="array" ref="T145">_xlfn.LET(_xlpm.gs,$B$9,_xlpm.om,S145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5" s="335">
        <f>U144-0.0025</f>
        <v/>
      </c>
      <c r="V145" s="245" cm="1">
        <f t="array" ref="V145">_xlfn.LET(_xlpm.gs,$B$9,_xlpm.om,$B$10,_xlpm.w,$B$7,_xlpm.tgr,$B$8,_xlpm.n,$B$11,_xlpm.lcx,U145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6">
      <c r="Q146" s="335">
        <f>Q145+0.005</f>
        <v/>
      </c>
      <c r="R146" s="245" cm="1">
        <f t="array" ref="R146">_xlfn.LET(_xlpm.gs,Q146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6" s="335">
        <f>S145+0.005</f>
        <v/>
      </c>
      <c r="T146" s="245" cm="1">
        <f t="array" ref="T146">_xlfn.LET(_xlpm.gs,$B$9,_xlpm.om,S146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6" s="335">
        <f>U145-0.0025</f>
        <v/>
      </c>
      <c r="V146" s="245" cm="1">
        <f t="array" ref="V146">_xlfn.LET(_xlpm.gs,$B$9,_xlpm.om,$B$10,_xlpm.w,$B$7,_xlpm.tgr,$B$8,_xlpm.n,$B$11,_xlpm.lcx,U146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7">
      <c r="Q147" s="335">
        <f>Q146+0.005</f>
        <v/>
      </c>
      <c r="R147" s="245" cm="1">
        <f t="array" ref="R147">_xlfn.LET(_xlpm.gs,Q147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7" s="335">
        <f>S146+0.005</f>
        <v/>
      </c>
      <c r="T147" s="245" cm="1">
        <f t="array" ref="T147">_xlfn.LET(_xlpm.gs,$B$9,_xlpm.om,S147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7" s="335">
        <f>U146-0.0025</f>
        <v/>
      </c>
      <c r="V147" s="245" cm="1">
        <f t="array" ref="V147">_xlfn.LET(_xlpm.gs,$B$9,_xlpm.om,$B$10,_xlpm.w,$B$7,_xlpm.tgr,$B$8,_xlpm.n,$B$11,_xlpm.lcx,U147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8">
      <c r="Q148" s="335">
        <f>Q147+0.005</f>
        <v/>
      </c>
      <c r="R148" s="245" cm="1">
        <f t="array" ref="R148">_xlfn.LET(_xlpm.gs,Q148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8" s="335">
        <f>S147+0.005</f>
        <v/>
      </c>
      <c r="T148" s="245" cm="1">
        <f t="array" ref="T148">_xlfn.LET(_xlpm.gs,$B$9,_xlpm.om,S148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8" s="335">
        <f>U147-0.0025</f>
        <v/>
      </c>
      <c r="V148" s="245" cm="1">
        <f t="array" ref="V148">_xlfn.LET(_xlpm.gs,$B$9,_xlpm.om,$B$10,_xlpm.w,$B$7,_xlpm.tgr,$B$8,_xlpm.n,$B$11,_xlpm.lcx,U148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49">
      <c r="Q149" s="335">
        <f>Q148+0.005</f>
        <v/>
      </c>
      <c r="R149" s="245" cm="1">
        <f t="array" ref="R149">_xlfn.LET(_xlpm.gs,Q149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49" s="335">
        <f>S148+0.005</f>
        <v/>
      </c>
      <c r="T149" s="245" cm="1">
        <f t="array" ref="T149">_xlfn.LET(_xlpm.gs,$B$9,_xlpm.om,S149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49" s="335">
        <f>U148-0.0025</f>
        <v/>
      </c>
      <c r="V149" s="245" cm="1">
        <f t="array" ref="V149">_xlfn.LET(_xlpm.gs,$B$9,_xlpm.om,$B$10,_xlpm.w,$B$7,_xlpm.tgr,$B$8,_xlpm.n,$B$11,_xlpm.lcx,U149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0">
      <c r="Q150" s="335">
        <f>Q149+0.005</f>
        <v/>
      </c>
      <c r="R150" s="245" cm="1">
        <f t="array" ref="R150">_xlfn.LET(_xlpm.gs,Q150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0" s="335">
        <f>S149+0.005</f>
        <v/>
      </c>
      <c r="T150" s="245" cm="1">
        <f t="array" ref="T150">_xlfn.LET(_xlpm.gs,$B$9,_xlpm.om,S150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0" s="335">
        <f>U149-0.0025</f>
        <v/>
      </c>
      <c r="V150" s="245" cm="1">
        <f t="array" ref="V150">_xlfn.LET(_xlpm.gs,$B$9,_xlpm.om,$B$10,_xlpm.w,$B$7,_xlpm.tgr,$B$8,_xlpm.n,$B$11,_xlpm.lcx,U150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1">
      <c r="Q151" s="335">
        <f>Q150+0.005</f>
        <v/>
      </c>
      <c r="R151" s="245" cm="1">
        <f t="array" ref="R151">_xlfn.LET(_xlpm.gs,Q151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1" s="335">
        <f>S150+0.005</f>
        <v/>
      </c>
      <c r="T151" s="245" cm="1">
        <f t="array" ref="T151">_xlfn.LET(_xlpm.gs,$B$9,_xlpm.om,S151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1" s="335">
        <f>U150-0.0025</f>
        <v/>
      </c>
      <c r="V151" s="245" cm="1">
        <f t="array" ref="V151">_xlfn.LET(_xlpm.gs,$B$9,_xlpm.om,$B$10,_xlpm.w,$B$7,_xlpm.tgr,$B$8,_xlpm.n,$B$11,_xlpm.lcx,U151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2">
      <c r="Q152" s="335">
        <f>Q151+0.005</f>
        <v/>
      </c>
      <c r="R152" s="245" cm="1">
        <f t="array" ref="R152">_xlfn.LET(_xlpm.gs,Q152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2" s="335">
        <f>S151+0.005</f>
        <v/>
      </c>
      <c r="T152" s="245" cm="1">
        <f t="array" ref="T152">_xlfn.LET(_xlpm.gs,$B$9,_xlpm.om,S152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2" s="335">
        <f>U151-0.0025</f>
        <v/>
      </c>
      <c r="V152" s="245" cm="1">
        <f t="array" ref="V152">_xlfn.LET(_xlpm.gs,$B$9,_xlpm.om,$B$10,_xlpm.w,$B$7,_xlpm.tgr,$B$8,_xlpm.n,$B$11,_xlpm.lcx,U152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3">
      <c r="Q153" s="335">
        <f>Q152+0.005</f>
        <v/>
      </c>
      <c r="R153" s="245" cm="1">
        <f t="array" ref="R153">_xlfn.LET(_xlpm.gs,Q153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3" s="335">
        <f>S152+0.005</f>
        <v/>
      </c>
      <c r="T153" s="245" cm="1">
        <f t="array" ref="T153">_xlfn.LET(_xlpm.gs,$B$9,_xlpm.om,S153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3" s="335">
        <f>U152-0.0025</f>
        <v/>
      </c>
      <c r="V153" s="245" cm="1">
        <f t="array" ref="V153">_xlfn.LET(_xlpm.gs,$B$9,_xlpm.om,$B$10,_xlpm.w,$B$7,_xlpm.tgr,$B$8,_xlpm.n,$B$11,_xlpm.lcx,U153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4">
      <c r="Q154" s="335">
        <f>Q153+0.005</f>
        <v/>
      </c>
      <c r="R154" s="245" cm="1">
        <f t="array" ref="R154">_xlfn.LET(_xlpm.gs,Q154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4" s="335">
        <f>S153+0.005</f>
        <v/>
      </c>
      <c r="T154" s="245" cm="1">
        <f t="array" ref="T154">_xlfn.LET(_xlpm.gs,$B$9,_xlpm.om,S154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4" s="335">
        <f>U153-0.0025</f>
        <v/>
      </c>
      <c r="V154" s="245" cm="1">
        <f t="array" ref="V154">_xlfn.LET(_xlpm.gs,$B$9,_xlpm.om,$B$10,_xlpm.w,$B$7,_xlpm.tgr,$B$8,_xlpm.n,$B$11,_xlpm.lcx,U154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5">
      <c r="Q155" s="335">
        <f>Q154+0.005</f>
        <v/>
      </c>
      <c r="R155" s="245" cm="1">
        <f t="array" ref="R155">_xlfn.LET(_xlpm.gs,Q155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5" s="335">
        <f>S154+0.005</f>
        <v/>
      </c>
      <c r="T155" s="245" cm="1">
        <f t="array" ref="T155">_xlfn.LET(_xlpm.gs,$B$9,_xlpm.om,S155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5" s="335">
        <f>U154-0.0025</f>
        <v/>
      </c>
      <c r="V155" s="245" cm="1">
        <f t="array" ref="V155">_xlfn.LET(_xlpm.gs,$B$9,_xlpm.om,$B$10,_xlpm.w,$B$7,_xlpm.tgr,$B$8,_xlpm.n,$B$11,_xlpm.lcx,U155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6">
      <c r="Q156" s="335">
        <f>Q155+0.005</f>
        <v/>
      </c>
      <c r="R156" s="245" cm="1">
        <f t="array" ref="R156">_xlfn.LET(_xlpm.gs,Q156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6" s="335">
        <f>S155+0.005</f>
        <v/>
      </c>
      <c r="T156" s="245" cm="1">
        <f t="array" ref="T156">_xlfn.LET(_xlpm.gs,$B$9,_xlpm.om,S156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6" s="335">
        <f>U155-0.0025</f>
        <v/>
      </c>
      <c r="V156" s="245" cm="1">
        <f t="array" ref="V156">_xlfn.LET(_xlpm.gs,$B$9,_xlpm.om,$B$10,_xlpm.w,$B$7,_xlpm.tgr,$B$8,_xlpm.n,$B$11,_xlpm.lcx,U156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7">
      <c r="Q157" s="335">
        <f>Q156+0.005</f>
        <v/>
      </c>
      <c r="R157" s="245" cm="1">
        <f t="array" ref="R157">_xlfn.LET(_xlpm.gs,Q157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7" s="335">
        <f>S156+0.005</f>
        <v/>
      </c>
      <c r="T157" s="245" cm="1">
        <f t="array" ref="T157">_xlfn.LET(_xlpm.gs,$B$9,_xlpm.om,S157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7" s="335">
        <f>U156-0.0025</f>
        <v/>
      </c>
      <c r="V157" s="245" cm="1">
        <f t="array" ref="V157">_xlfn.LET(_xlpm.gs,$B$9,_xlpm.om,$B$10,_xlpm.w,$B$7,_xlpm.tgr,$B$8,_xlpm.n,$B$11,_xlpm.lcx,U157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8">
      <c r="Q158" s="335">
        <f>Q157+0.005</f>
        <v/>
      </c>
      <c r="R158" s="245" cm="1">
        <f t="array" ref="R158">_xlfn.LET(_xlpm.gs,Q158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8" s="335">
        <f>S157+0.005</f>
        <v/>
      </c>
      <c r="T158" s="245" cm="1">
        <f t="array" ref="T158">_xlfn.LET(_xlpm.gs,$B$9,_xlpm.om,S158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8" s="335">
        <f>U157-0.0025</f>
        <v/>
      </c>
      <c r="V158" s="245" cm="1">
        <f t="array" ref="V158">_xlfn.LET(_xlpm.gs,$B$9,_xlpm.om,$B$10,_xlpm.w,$B$7,_xlpm.tgr,$B$8,_xlpm.n,$B$11,_xlpm.lcx,U158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59">
      <c r="Q159" s="335">
        <f>Q158+0.005</f>
        <v/>
      </c>
      <c r="R159" s="245" cm="1">
        <f t="array" ref="R159">_xlfn.LET(_xlpm.gs,Q159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59" s="335">
        <f>S158+0.005</f>
        <v/>
      </c>
      <c r="T159" s="245" cm="1">
        <f t="array" ref="T159">_xlfn.LET(_xlpm.gs,$B$9,_xlpm.om,S159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59" s="335">
        <f>U158-0.0025</f>
        <v/>
      </c>
      <c r="V159" s="245" cm="1">
        <f t="array" ref="V159">_xlfn.LET(_xlpm.gs,$B$9,_xlpm.om,$B$10,_xlpm.w,$B$7,_xlpm.tgr,$B$8,_xlpm.n,$B$11,_xlpm.lcx,U159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0">
      <c r="Q160" s="335">
        <f>Q159+0.005</f>
        <v/>
      </c>
      <c r="R160" s="245" cm="1">
        <f t="array" ref="R160">_xlfn.LET(_xlpm.gs,Q160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0" s="335">
        <f>S159+0.005</f>
        <v/>
      </c>
      <c r="T160" s="245" cm="1">
        <f t="array" ref="T160">_xlfn.LET(_xlpm.gs,$B$9,_xlpm.om,S160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0" s="335">
        <f>U159-0.0025</f>
        <v/>
      </c>
      <c r="V160" s="245" cm="1">
        <f t="array" ref="V160">_xlfn.LET(_xlpm.gs,$B$9,_xlpm.om,$B$10,_xlpm.w,$B$7,_xlpm.tgr,$B$8,_xlpm.n,$B$11,_xlpm.lcx,U160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1">
      <c r="Q161" s="335">
        <f>Q160+0.005</f>
        <v/>
      </c>
      <c r="R161" s="245" cm="1">
        <f t="array" ref="R161">_xlfn.LET(_xlpm.gs,Q161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1" s="335">
        <f>S160+0.005</f>
        <v/>
      </c>
      <c r="T161" s="245" cm="1">
        <f t="array" ref="T161">_xlfn.LET(_xlpm.gs,$B$9,_xlpm.om,S161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1" s="335">
        <f>U160-0.0025</f>
        <v/>
      </c>
      <c r="V161" s="245" cm="1">
        <f t="array" ref="V161">_xlfn.LET(_xlpm.gs,$B$9,_xlpm.om,$B$10,_xlpm.w,$B$7,_xlpm.tgr,$B$8,_xlpm.n,$B$11,_xlpm.lcx,U161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2">
      <c r="Q162" s="335">
        <f>Q161+0.005</f>
        <v/>
      </c>
      <c r="R162" s="245" cm="1">
        <f t="array" ref="R162">_xlfn.LET(_xlpm.gs,Q162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2" s="335">
        <f>S161+0.005</f>
        <v/>
      </c>
      <c r="T162" s="245" cm="1">
        <f t="array" ref="T162">_xlfn.LET(_xlpm.gs,$B$9,_xlpm.om,S162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2" s="335">
        <f>U161-0.0025</f>
        <v/>
      </c>
      <c r="V162" s="245" cm="1">
        <f t="array" ref="V162">_xlfn.LET(_xlpm.gs,$B$9,_xlpm.om,$B$10,_xlpm.w,$B$7,_xlpm.tgr,$B$8,_xlpm.n,$B$11,_xlpm.lcx,U162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3">
      <c r="Q163" s="335">
        <f>Q162+0.005</f>
        <v/>
      </c>
      <c r="R163" s="245" cm="1">
        <f t="array" ref="R163">_xlfn.LET(_xlpm.gs,Q163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3" s="335">
        <f>S162+0.005</f>
        <v/>
      </c>
      <c r="T163" s="245" cm="1">
        <f t="array" ref="T163">_xlfn.LET(_xlpm.gs,$B$9,_xlpm.om,S163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3" s="335">
        <f>U162-0.0025</f>
        <v/>
      </c>
      <c r="V163" s="245" cm="1">
        <f t="array" ref="V163">_xlfn.LET(_xlpm.gs,$B$9,_xlpm.om,$B$10,_xlpm.w,$B$7,_xlpm.tgr,$B$8,_xlpm.n,$B$11,_xlpm.lcx,U163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4">
      <c r="Q164" s="335">
        <f>Q163+0.005</f>
        <v/>
      </c>
      <c r="R164" s="245" cm="1">
        <f t="array" ref="R164">_xlfn.LET(_xlpm.gs,Q164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4" s="335">
        <f>S163+0.005</f>
        <v/>
      </c>
      <c r="T164" s="245" cm="1">
        <f t="array" ref="T164">_xlfn.LET(_xlpm.gs,$B$9,_xlpm.om,S164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4" s="335">
        <f>U163-0.0025</f>
        <v/>
      </c>
      <c r="V164" s="245" cm="1">
        <f t="array" ref="V164">_xlfn.LET(_xlpm.gs,$B$9,_xlpm.om,$B$10,_xlpm.w,$B$7,_xlpm.tgr,$B$8,_xlpm.n,$B$11,_xlpm.lcx,U164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5">
      <c r="Q165" s="335">
        <f>Q164+0.005</f>
        <v/>
      </c>
      <c r="R165" s="245" cm="1">
        <f t="array" ref="R165">_xlfn.LET(_xlpm.gs,Q165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5" s="335">
        <f>S164+0.005</f>
        <v/>
      </c>
      <c r="T165" s="245" cm="1">
        <f t="array" ref="T165">_xlfn.LET(_xlpm.gs,$B$9,_xlpm.om,S165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5" s="335">
        <f>U164-0.0025</f>
        <v/>
      </c>
      <c r="V165" s="245" cm="1">
        <f t="array" ref="V165">_xlfn.LET(_xlpm.gs,$B$9,_xlpm.om,$B$10,_xlpm.w,$B$7,_xlpm.tgr,$B$8,_xlpm.n,$B$11,_xlpm.lcx,U165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6">
      <c r="Q166" s="335">
        <f>Q165+0.005</f>
        <v/>
      </c>
      <c r="R166" s="245" cm="1">
        <f t="array" ref="R166">_xlfn.LET(_xlpm.gs,Q166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6" s="335">
        <f>S165+0.005</f>
        <v/>
      </c>
      <c r="T166" s="245" cm="1">
        <f t="array" ref="T166">_xlfn.LET(_xlpm.gs,$B$9,_xlpm.om,S166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6" s="335">
        <f>U165-0.0025</f>
        <v/>
      </c>
      <c r="V166" s="245" cm="1">
        <f t="array" ref="V166">_xlfn.LET(_xlpm.gs,$B$9,_xlpm.om,$B$10,_xlpm.w,$B$7,_xlpm.tgr,$B$8,_xlpm.n,$B$11,_xlpm.lcx,U166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7">
      <c r="Q167" s="335">
        <f>Q166+0.005</f>
        <v/>
      </c>
      <c r="R167" s="245" cm="1">
        <f t="array" ref="R167">_xlfn.LET(_xlpm.gs,Q167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7" s="335">
        <f>S166+0.005</f>
        <v/>
      </c>
      <c r="T167" s="245" cm="1">
        <f t="array" ref="T167">_xlfn.LET(_xlpm.gs,$B$9,_xlpm.om,S167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7" s="335">
        <f>U166-0.0025</f>
        <v/>
      </c>
      <c r="V167" s="245" cm="1">
        <f t="array" ref="V167">_xlfn.LET(_xlpm.gs,$B$9,_xlpm.om,$B$10,_xlpm.w,$B$7,_xlpm.tgr,$B$8,_xlpm.n,$B$11,_xlpm.lcx,U167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8">
      <c r="Q168" s="335">
        <f>Q167+0.005</f>
        <v/>
      </c>
      <c r="R168" s="245" cm="1">
        <f t="array" ref="R168">_xlfn.LET(_xlpm.gs,Q168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8" s="335">
        <f>S167+0.005</f>
        <v/>
      </c>
      <c r="T168" s="245" cm="1">
        <f t="array" ref="T168">_xlfn.LET(_xlpm.gs,$B$9,_xlpm.om,S168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8" s="335">
        <f>U167-0.0025</f>
        <v/>
      </c>
      <c r="V168" s="245" cm="1">
        <f t="array" ref="V168">_xlfn.LET(_xlpm.gs,$B$9,_xlpm.om,$B$10,_xlpm.w,$B$7,_xlpm.tgr,$B$8,_xlpm.n,$B$11,_xlpm.lcx,U168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69">
      <c r="Q169" s="335">
        <f>Q168+0.005</f>
        <v/>
      </c>
      <c r="R169" s="245" cm="1">
        <f t="array" ref="R169">_xlfn.LET(_xlpm.gs,Q169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69" s="335">
        <f>S168+0.005</f>
        <v/>
      </c>
      <c r="T169" s="245" cm="1">
        <f t="array" ref="T169">_xlfn.LET(_xlpm.gs,$B$9,_xlpm.om,S169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69" s="335">
        <f>U168-0.0025</f>
        <v/>
      </c>
      <c r="V169" s="245" cm="1">
        <f t="array" ref="V169">_xlfn.LET(_xlpm.gs,$B$9,_xlpm.om,$B$10,_xlpm.w,$B$7,_xlpm.tgr,$B$8,_xlpm.n,$B$11,_xlpm.lcx,U169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0">
      <c r="Q170" s="335">
        <f>Q169+0.005</f>
        <v/>
      </c>
      <c r="R170" s="245" cm="1">
        <f t="array" ref="R170">_xlfn.LET(_xlpm.gs,Q170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0" s="335">
        <f>S169+0.005</f>
        <v/>
      </c>
      <c r="T170" s="245" cm="1">
        <f t="array" ref="T170">_xlfn.LET(_xlpm.gs,$B$9,_xlpm.om,S170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0" s="335">
        <f>U169-0.0025</f>
        <v/>
      </c>
      <c r="V170" s="245" cm="1">
        <f t="array" ref="V170">_xlfn.LET(_xlpm.gs,$B$9,_xlpm.om,$B$10,_xlpm.w,$B$7,_xlpm.tgr,$B$8,_xlpm.n,$B$11,_xlpm.lcx,U170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1">
      <c r="Q171" s="335">
        <f>Q170+0.005</f>
        <v/>
      </c>
      <c r="R171" s="245" cm="1">
        <f t="array" ref="R171">_xlfn.LET(_xlpm.gs,Q171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1" s="335">
        <f>S170+0.005</f>
        <v/>
      </c>
      <c r="T171" s="245" cm="1">
        <f t="array" ref="T171">_xlfn.LET(_xlpm.gs,$B$9,_xlpm.om,S171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1" s="335">
        <f>U170-0.0025</f>
        <v/>
      </c>
      <c r="V171" s="245" cm="1">
        <f t="array" ref="V171">_xlfn.LET(_xlpm.gs,$B$9,_xlpm.om,$B$10,_xlpm.w,$B$7,_xlpm.tgr,$B$8,_xlpm.n,$B$11,_xlpm.lcx,U171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2">
      <c r="Q172" s="335">
        <f>Q171+0.005</f>
        <v/>
      </c>
      <c r="R172" s="245" cm="1">
        <f t="array" ref="R172">_xlfn.LET(_xlpm.gs,Q172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2" s="335">
        <f>S171+0.005</f>
        <v/>
      </c>
      <c r="T172" s="245" cm="1">
        <f t="array" ref="T172">_xlfn.LET(_xlpm.gs,$B$9,_xlpm.om,S172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2" s="335">
        <f>U171-0.0025</f>
        <v/>
      </c>
      <c r="V172" s="245" cm="1">
        <f t="array" ref="V172">_xlfn.LET(_xlpm.gs,$B$9,_xlpm.om,$B$10,_xlpm.w,$B$7,_xlpm.tgr,$B$8,_xlpm.n,$B$11,_xlpm.lcx,U172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3">
      <c r="Q173" s="335">
        <f>Q172+0.005</f>
        <v/>
      </c>
      <c r="R173" s="245" cm="1">
        <f t="array" ref="R173">_xlfn.LET(_xlpm.gs,Q173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3" s="335">
        <f>S172+0.005</f>
        <v/>
      </c>
      <c r="T173" s="245" cm="1">
        <f t="array" ref="T173">_xlfn.LET(_xlpm.gs,$B$9,_xlpm.om,S173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3" s="335">
        <f>U172-0.0025</f>
        <v/>
      </c>
      <c r="V173" s="245" cm="1">
        <f t="array" ref="V173">_xlfn.LET(_xlpm.gs,$B$9,_xlpm.om,$B$10,_xlpm.w,$B$7,_xlpm.tgr,$B$8,_xlpm.n,$B$11,_xlpm.lcx,U173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4">
      <c r="Q174" s="335">
        <f>Q173+0.005</f>
        <v/>
      </c>
      <c r="R174" s="245" cm="1">
        <f t="array" ref="R174">_xlfn.LET(_xlpm.gs,Q174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4" s="335">
        <f>S173+0.005</f>
        <v/>
      </c>
      <c r="T174" s="245" cm="1">
        <f t="array" ref="T174">_xlfn.LET(_xlpm.gs,$B$9,_xlpm.om,S174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4" s="335">
        <f>U173-0.0025</f>
        <v/>
      </c>
      <c r="V174" s="245" cm="1">
        <f t="array" ref="V174">_xlfn.LET(_xlpm.gs,$B$9,_xlpm.om,$B$10,_xlpm.w,$B$7,_xlpm.tgr,$B$8,_xlpm.n,$B$11,_xlpm.lcx,U174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5">
      <c r="Q175" s="335">
        <f>Q174+0.005</f>
        <v/>
      </c>
      <c r="R175" s="245" cm="1">
        <f t="array" ref="R175">_xlfn.LET(_xlpm.gs,Q175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5" s="335">
        <f>S174+0.005</f>
        <v/>
      </c>
      <c r="T175" s="245" cm="1">
        <f t="array" ref="T175">_xlfn.LET(_xlpm.gs,$B$9,_xlpm.om,S175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5" s="335">
        <f>U174-0.0025</f>
        <v/>
      </c>
      <c r="V175" s="245" cm="1">
        <f t="array" ref="V175">_xlfn.LET(_xlpm.gs,$B$9,_xlpm.om,$B$10,_xlpm.w,$B$7,_xlpm.tgr,$B$8,_xlpm.n,$B$11,_xlpm.lcx,U175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6">
      <c r="Q176" s="335">
        <f>Q175+0.005</f>
        <v/>
      </c>
      <c r="R176" s="245" cm="1">
        <f t="array" ref="R176">_xlfn.LET(_xlpm.gs,Q176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6" s="335">
        <f>S175+0.005</f>
        <v/>
      </c>
      <c r="T176" s="245" cm="1">
        <f t="array" ref="T176">_xlfn.LET(_xlpm.gs,$B$9,_xlpm.om,S176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6" s="335">
        <f>U175-0.0025</f>
        <v/>
      </c>
      <c r="V176" s="245" cm="1">
        <f t="array" ref="V176">_xlfn.LET(_xlpm.gs,$B$9,_xlpm.om,$B$10,_xlpm.w,$B$7,_xlpm.tgr,$B$8,_xlpm.n,$B$11,_xlpm.lcx,U176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7">
      <c r="Q177" s="335">
        <f>Q176+0.005</f>
        <v/>
      </c>
      <c r="R177" s="245" cm="1">
        <f t="array" ref="R177">_xlfn.LET(_xlpm.gs,Q177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7" s="335">
        <f>S176+0.005</f>
        <v/>
      </c>
      <c r="T177" s="245" cm="1">
        <f t="array" ref="T177">_xlfn.LET(_xlpm.gs,$B$9,_xlpm.om,S177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7" s="335">
        <f>U176-0.0025</f>
        <v/>
      </c>
      <c r="V177" s="245" cm="1">
        <f t="array" ref="V177">_xlfn.LET(_xlpm.gs,$B$9,_xlpm.om,$B$10,_xlpm.w,$B$7,_xlpm.tgr,$B$8,_xlpm.n,$B$11,_xlpm.lcx,U177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8">
      <c r="Q178" s="335">
        <f>Q177+0.005</f>
        <v/>
      </c>
      <c r="R178" s="245" cm="1">
        <f t="array" ref="R178">_xlfn.LET(_xlpm.gs,Q178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8" s="335">
        <f>S177+0.005</f>
        <v/>
      </c>
      <c r="T178" s="245" cm="1">
        <f t="array" ref="T178">_xlfn.LET(_xlpm.gs,$B$9,_xlpm.om,S178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8" s="335">
        <f>U177-0.0025</f>
        <v/>
      </c>
      <c r="V178" s="245" cm="1">
        <f t="array" ref="V178">_xlfn.LET(_xlpm.gs,$B$9,_xlpm.om,$B$10,_xlpm.w,$B$7,_xlpm.tgr,$B$8,_xlpm.n,$B$11,_xlpm.lcx,U178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79">
      <c r="Q179" s="335">
        <f>Q178+0.005</f>
        <v/>
      </c>
      <c r="R179" s="245" cm="1">
        <f t="array" ref="R179">_xlfn.LET(_xlpm.gs,Q179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79" s="335">
        <f>S178+0.005</f>
        <v/>
      </c>
      <c r="T179" s="245" cm="1">
        <f t="array" ref="T179">_xlfn.LET(_xlpm.gs,$B$9,_xlpm.om,S179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79" s="335">
        <f>U178-0.0025</f>
        <v/>
      </c>
      <c r="V179" s="245" cm="1">
        <f t="array" ref="V179">_xlfn.LET(_xlpm.gs,$B$9,_xlpm.om,$B$10,_xlpm.w,$B$7,_xlpm.tgr,$B$8,_xlpm.n,$B$11,_xlpm.lcx,U179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0">
      <c r="Q180" s="335">
        <f>Q179+0.005</f>
        <v/>
      </c>
      <c r="R180" s="245" cm="1">
        <f t="array" ref="R180">_xlfn.LET(_xlpm.gs,Q180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0" s="335">
        <f>S179+0.005</f>
        <v/>
      </c>
      <c r="T180" s="245" cm="1">
        <f t="array" ref="T180">_xlfn.LET(_xlpm.gs,$B$9,_xlpm.om,S180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0" s="335">
        <f>U179-0.0025</f>
        <v/>
      </c>
      <c r="V180" s="245" cm="1">
        <f t="array" ref="V180">_xlfn.LET(_xlpm.gs,$B$9,_xlpm.om,$B$10,_xlpm.w,$B$7,_xlpm.tgr,$B$8,_xlpm.n,$B$11,_xlpm.lcx,U180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1">
      <c r="Q181" s="335">
        <f>Q180+0.005</f>
        <v/>
      </c>
      <c r="R181" s="245" cm="1">
        <f t="array" ref="R181">_xlfn.LET(_xlpm.gs,Q181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1" s="335">
        <f>S180+0.005</f>
        <v/>
      </c>
      <c r="T181" s="245" cm="1">
        <f t="array" ref="T181">_xlfn.LET(_xlpm.gs,$B$9,_xlpm.om,S181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1" s="335">
        <f>U180-0.0025</f>
        <v/>
      </c>
      <c r="V181" s="245" cm="1">
        <f t="array" ref="V181">_xlfn.LET(_xlpm.gs,$B$9,_xlpm.om,$B$10,_xlpm.w,$B$7,_xlpm.tgr,$B$8,_xlpm.n,$B$11,_xlpm.lcx,U181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2">
      <c r="Q182" s="335">
        <f>Q181+0.005</f>
        <v/>
      </c>
      <c r="R182" s="245" cm="1">
        <f t="array" ref="R182">_xlfn.LET(_xlpm.gs,Q182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2" s="335">
        <f>S181+0.005</f>
        <v/>
      </c>
      <c r="T182" s="245" cm="1">
        <f t="array" ref="T182">_xlfn.LET(_xlpm.gs,$B$9,_xlpm.om,S182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2" s="335">
        <f>U181-0.0025</f>
        <v/>
      </c>
      <c r="V182" s="245" cm="1">
        <f t="array" ref="V182">_xlfn.LET(_xlpm.gs,$B$9,_xlpm.om,$B$10,_xlpm.w,$B$7,_xlpm.tgr,$B$8,_xlpm.n,$B$11,_xlpm.lcx,U182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3">
      <c r="Q183" s="335">
        <f>Q182+0.005</f>
        <v/>
      </c>
      <c r="R183" s="245" cm="1">
        <f t="array" ref="R183">_xlfn.LET(_xlpm.gs,Q183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3" s="335">
        <f>S182+0.005</f>
        <v/>
      </c>
      <c r="T183" s="245" cm="1">
        <f t="array" ref="T183">_xlfn.LET(_xlpm.gs,$B$9,_xlpm.om,S183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3" s="335">
        <f>U182-0.0025</f>
        <v/>
      </c>
      <c r="V183" s="245" cm="1">
        <f t="array" ref="V183">_xlfn.LET(_xlpm.gs,$B$9,_xlpm.om,$B$10,_xlpm.w,$B$7,_xlpm.tgr,$B$8,_xlpm.n,$B$11,_xlpm.lcx,U183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4">
      <c r="Q184" s="335">
        <f>Q183+0.005</f>
        <v/>
      </c>
      <c r="R184" s="245" cm="1">
        <f t="array" ref="R184">_xlfn.LET(_xlpm.gs,Q184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4" s="335">
        <f>S183+0.005</f>
        <v/>
      </c>
      <c r="T184" s="245" cm="1">
        <f t="array" ref="T184">_xlfn.LET(_xlpm.gs,$B$9,_xlpm.om,S184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4" s="335">
        <f>U183-0.0025</f>
        <v/>
      </c>
      <c r="V184" s="245" cm="1">
        <f t="array" ref="V184">_xlfn.LET(_xlpm.gs,$B$9,_xlpm.om,$B$10,_xlpm.w,$B$7,_xlpm.tgr,$B$8,_xlpm.n,$B$11,_xlpm.lcx,U184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5">
      <c r="Q185" s="335">
        <f>Q184+0.005</f>
        <v/>
      </c>
      <c r="R185" s="245" cm="1">
        <f t="array" ref="R185">_xlfn.LET(_xlpm.gs,Q185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5" s="335">
        <f>S184+0.005</f>
        <v/>
      </c>
      <c r="T185" s="245" cm="1">
        <f t="array" ref="T185">_xlfn.LET(_xlpm.gs,$B$9,_xlpm.om,S185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5" s="335">
        <f>U184-0.0025</f>
        <v/>
      </c>
      <c r="V185" s="245" cm="1">
        <f t="array" ref="V185">_xlfn.LET(_xlpm.gs,$B$9,_xlpm.om,$B$10,_xlpm.w,$B$7,_xlpm.tgr,$B$8,_xlpm.n,$B$11,_xlpm.lcx,U185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6">
      <c r="Q186" s="335">
        <f>Q185+0.005</f>
        <v/>
      </c>
      <c r="R186" s="245" cm="1">
        <f t="array" ref="R186">_xlfn.LET(_xlpm.gs,Q186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6" s="335">
        <f>S185+0.005</f>
        <v/>
      </c>
      <c r="T186" s="245" cm="1">
        <f t="array" ref="T186">_xlfn.LET(_xlpm.gs,$B$9,_xlpm.om,S186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6" s="335">
        <f>U185-0.0025</f>
        <v/>
      </c>
      <c r="V186" s="245" cm="1">
        <f t="array" ref="V186">_xlfn.LET(_xlpm.gs,$B$9,_xlpm.om,$B$10,_xlpm.w,$B$7,_xlpm.tgr,$B$8,_xlpm.n,$B$11,_xlpm.lcx,U186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7">
      <c r="Q187" s="335">
        <f>Q186+0.005</f>
        <v/>
      </c>
      <c r="R187" s="245" cm="1">
        <f t="array" ref="R187">_xlfn.LET(_xlpm.gs,Q187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7" s="335">
        <f>S186+0.005</f>
        <v/>
      </c>
      <c r="T187" s="245" cm="1">
        <f t="array" ref="T187">_xlfn.LET(_xlpm.gs,$B$9,_xlpm.om,S187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7" s="335">
        <f>U186-0.0025</f>
        <v/>
      </c>
      <c r="V187" s="245" cm="1">
        <f t="array" ref="V187">_xlfn.LET(_xlpm.gs,$B$9,_xlpm.om,$B$10,_xlpm.w,$B$7,_xlpm.tgr,$B$8,_xlpm.n,$B$11,_xlpm.lcx,U187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8">
      <c r="Q188" s="335">
        <f>Q187+0.005</f>
        <v/>
      </c>
      <c r="R188" s="245" cm="1">
        <f t="array" ref="R188">_xlfn.LET(_xlpm.gs,Q188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8" s="335">
        <f>S187+0.005</f>
        <v/>
      </c>
      <c r="T188" s="245" cm="1">
        <f t="array" ref="T188">_xlfn.LET(_xlpm.gs,$B$9,_xlpm.om,S188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8" s="335">
        <f>U187-0.0025</f>
        <v/>
      </c>
      <c r="V188" s="245" cm="1">
        <f t="array" ref="V188">_xlfn.LET(_xlpm.gs,$B$9,_xlpm.om,$B$10,_xlpm.w,$B$7,_xlpm.tgr,$B$8,_xlpm.n,$B$11,_xlpm.lcx,U188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89">
      <c r="Q189" s="335">
        <f>Q188+0.005</f>
        <v/>
      </c>
      <c r="R189" s="245" cm="1">
        <f t="array" ref="R189">_xlfn.LET(_xlpm.gs,Q189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89" s="335">
        <f>S188+0.005</f>
        <v/>
      </c>
      <c r="T189" s="245" cm="1">
        <f t="array" ref="T189">_xlfn.LET(_xlpm.gs,$B$9,_xlpm.om,S189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89" s="335">
        <f>U188-0.0025</f>
        <v/>
      </c>
      <c r="V189" s="245" cm="1">
        <f t="array" ref="V189">_xlfn.LET(_xlpm.gs,$B$9,_xlpm.om,$B$10,_xlpm.w,$B$7,_xlpm.tgr,$B$8,_xlpm.n,$B$11,_xlpm.lcx,U189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0">
      <c r="Q190" s="335">
        <f>Q189+0.005</f>
        <v/>
      </c>
      <c r="R190" s="245" cm="1">
        <f t="array" ref="R190">_xlfn.LET(_xlpm.gs,Q190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0" s="335">
        <f>S189+0.005</f>
        <v/>
      </c>
      <c r="T190" s="245" cm="1">
        <f t="array" ref="T190">_xlfn.LET(_xlpm.gs,$B$9,_xlpm.om,S190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0" s="335">
        <f>U189-0.0025</f>
        <v/>
      </c>
      <c r="V190" s="245" cm="1">
        <f t="array" ref="V190">_xlfn.LET(_xlpm.gs,$B$9,_xlpm.om,$B$10,_xlpm.w,$B$7,_xlpm.tgr,$B$8,_xlpm.n,$B$11,_xlpm.lcx,U190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1">
      <c r="Q191" s="335">
        <f>Q190+0.005</f>
        <v/>
      </c>
      <c r="R191" s="245" cm="1">
        <f t="array" ref="R191">_xlfn.LET(_xlpm.gs,Q191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1" s="335">
        <f>S190+0.005</f>
        <v/>
      </c>
      <c r="T191" s="245" cm="1">
        <f t="array" ref="T191">_xlfn.LET(_xlpm.gs,$B$9,_xlpm.om,S191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1" s="335">
        <f>U190-0.0025</f>
        <v/>
      </c>
      <c r="V191" s="245" cm="1">
        <f t="array" ref="V191">_xlfn.LET(_xlpm.gs,$B$9,_xlpm.om,$B$10,_xlpm.w,$B$7,_xlpm.tgr,$B$8,_xlpm.n,$B$11,_xlpm.lcx,U191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2">
      <c r="Q192" s="335">
        <f>Q191+0.005</f>
        <v/>
      </c>
      <c r="R192" s="245" cm="1">
        <f t="array" ref="R192">_xlfn.LET(_xlpm.gs,Q192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2" s="335">
        <f>S191+0.005</f>
        <v/>
      </c>
      <c r="T192" s="245" cm="1">
        <f t="array" ref="T192">_xlfn.LET(_xlpm.gs,$B$9,_xlpm.om,S192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2" s="335">
        <f>U191-0.0025</f>
        <v/>
      </c>
      <c r="V192" s="245" cm="1">
        <f t="array" ref="V192">_xlfn.LET(_xlpm.gs,$B$9,_xlpm.om,$B$10,_xlpm.w,$B$7,_xlpm.tgr,$B$8,_xlpm.n,$B$11,_xlpm.lcx,U192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3">
      <c r="Q193" s="335">
        <f>Q192+0.005</f>
        <v/>
      </c>
      <c r="R193" s="245" cm="1">
        <f t="array" ref="R193">_xlfn.LET(_xlpm.gs,Q193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3" s="335">
        <f>S192+0.005</f>
        <v/>
      </c>
      <c r="T193" s="245" cm="1">
        <f t="array" ref="T193">_xlfn.LET(_xlpm.gs,$B$9,_xlpm.om,S193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3" s="335">
        <f>U192-0.0025</f>
        <v/>
      </c>
      <c r="V193" s="245" cm="1">
        <f t="array" ref="V193">_xlfn.LET(_xlpm.gs,$B$9,_xlpm.om,$B$10,_xlpm.w,$B$7,_xlpm.tgr,$B$8,_xlpm.n,$B$11,_xlpm.lcx,U193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4">
      <c r="Q194" s="335">
        <f>Q193+0.005</f>
        <v/>
      </c>
      <c r="R194" s="245" cm="1">
        <f t="array" ref="R194">_xlfn.LET(_xlpm.gs,Q194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4" s="335">
        <f>S193+0.005</f>
        <v/>
      </c>
      <c r="T194" s="245" cm="1">
        <f t="array" ref="T194">_xlfn.LET(_xlpm.gs,$B$9,_xlpm.om,S194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4" s="335">
        <f>U193-0.0025</f>
        <v/>
      </c>
      <c r="V194" s="245" cm="1">
        <f t="array" ref="V194">_xlfn.LET(_xlpm.gs,$B$9,_xlpm.om,$B$10,_xlpm.w,$B$7,_xlpm.tgr,$B$8,_xlpm.n,$B$11,_xlpm.lcx,U194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5">
      <c r="Q195" s="335">
        <f>Q194+0.005</f>
        <v/>
      </c>
      <c r="R195" s="245" cm="1">
        <f t="array" ref="R195">_xlfn.LET(_xlpm.gs,Q195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5" s="335">
        <f>S194+0.005</f>
        <v/>
      </c>
      <c r="T195" s="245" cm="1">
        <f t="array" ref="T195">_xlfn.LET(_xlpm.gs,$B$9,_xlpm.om,S195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5" s="335">
        <f>U194-0.0025</f>
        <v/>
      </c>
      <c r="V195" s="245" cm="1">
        <f t="array" ref="V195">_xlfn.LET(_xlpm.gs,$B$9,_xlpm.om,$B$10,_xlpm.w,$B$7,_xlpm.tgr,$B$8,_xlpm.n,$B$11,_xlpm.lcx,U195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6">
      <c r="Q196" s="335">
        <f>Q195+0.005</f>
        <v/>
      </c>
      <c r="R196" s="245" cm="1">
        <f t="array" ref="R196">_xlfn.LET(_xlpm.gs,Q196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6" s="335">
        <f>S195+0.005</f>
        <v/>
      </c>
      <c r="T196" s="245" cm="1">
        <f t="array" ref="T196">_xlfn.LET(_xlpm.gs,$B$9,_xlpm.om,S196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6" s="335">
        <f>U195-0.0025</f>
        <v/>
      </c>
      <c r="V196" s="245" cm="1">
        <f t="array" ref="V196">_xlfn.LET(_xlpm.gs,$B$9,_xlpm.om,$B$10,_xlpm.w,$B$7,_xlpm.tgr,$B$8,_xlpm.n,$B$11,_xlpm.lcx,U196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7">
      <c r="Q197" s="335">
        <f>Q196+0.005</f>
        <v/>
      </c>
      <c r="R197" s="245" cm="1">
        <f t="array" ref="R197">_xlfn.LET(_xlpm.gs,Q197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7" s="335">
        <f>S196+0.005</f>
        <v/>
      </c>
      <c r="T197" s="245" cm="1">
        <f t="array" ref="T197">_xlfn.LET(_xlpm.gs,$B$9,_xlpm.om,S197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7" s="335">
        <f>U196-0.0025</f>
        <v/>
      </c>
      <c r="V197" s="245" cm="1">
        <f t="array" ref="V197">_xlfn.LET(_xlpm.gs,$B$9,_xlpm.om,$B$10,_xlpm.w,$B$7,_xlpm.tgr,$B$8,_xlpm.n,$B$11,_xlpm.lcx,U197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8">
      <c r="Q198" s="335">
        <f>Q197+0.005</f>
        <v/>
      </c>
      <c r="R198" s="245" cm="1">
        <f t="array" ref="R198">_xlfn.LET(_xlpm.gs,Q198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8" s="335">
        <f>S197+0.005</f>
        <v/>
      </c>
      <c r="T198" s="245" cm="1">
        <f t="array" ref="T198">_xlfn.LET(_xlpm.gs,$B$9,_xlpm.om,S198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8" s="335">
        <f>U197-0.0025</f>
        <v/>
      </c>
      <c r="V198" s="245" cm="1">
        <f t="array" ref="V198">_xlfn.LET(_xlpm.gs,$B$9,_xlpm.om,$B$10,_xlpm.w,$B$7,_xlpm.tgr,$B$8,_xlpm.n,$B$11,_xlpm.lcx,U198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199">
      <c r="Q199" s="335">
        <f>Q198+0.005</f>
        <v/>
      </c>
      <c r="R199" s="245" cm="1">
        <f t="array" ref="R199">_xlfn.LET(_xlpm.gs,Q199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199" s="335">
        <f>S198+0.005</f>
        <v/>
      </c>
      <c r="T199" s="245" cm="1">
        <f t="array" ref="T199">_xlfn.LET(_xlpm.gs,$B$9,_xlpm.om,S199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199" s="335">
        <f>U198-0.0025</f>
        <v/>
      </c>
      <c r="V199" s="245" cm="1">
        <f t="array" ref="V199">_xlfn.LET(_xlpm.gs,$B$9,_xlpm.om,$B$10,_xlpm.w,$B$7,_xlpm.tgr,$B$8,_xlpm.n,$B$11,_xlpm.lcx,U199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0">
      <c r="Q200" s="335">
        <f>Q199+0.005</f>
        <v/>
      </c>
      <c r="R200" s="245" cm="1">
        <f t="array" ref="R200">_xlfn.LET(_xlpm.gs,Q200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0" s="335">
        <f>S199+0.005</f>
        <v/>
      </c>
      <c r="T200" s="245" cm="1">
        <f t="array" ref="T200">_xlfn.LET(_xlpm.gs,$B$9,_xlpm.om,S200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0" s="335">
        <f>U199-0.0025</f>
        <v/>
      </c>
      <c r="V200" s="245" cm="1">
        <f t="array" ref="V200">_xlfn.LET(_xlpm.gs,$B$9,_xlpm.om,$B$10,_xlpm.w,$B$7,_xlpm.tgr,$B$8,_xlpm.n,$B$11,_xlpm.lcx,U200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1">
      <c r="Q201" s="335">
        <f>Q200+0.005</f>
        <v/>
      </c>
      <c r="R201" s="245" cm="1">
        <f t="array" ref="R201">_xlfn.LET(_xlpm.gs,Q201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1" s="335">
        <f>S200+0.005</f>
        <v/>
      </c>
      <c r="T201" s="245" cm="1">
        <f t="array" ref="T201">_xlfn.LET(_xlpm.gs,$B$9,_xlpm.om,S201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1" s="335">
        <f>U200-0.0025</f>
        <v/>
      </c>
      <c r="V201" s="245" cm="1">
        <f t="array" ref="V201">_xlfn.LET(_xlpm.gs,$B$9,_xlpm.om,$B$10,_xlpm.w,$B$7,_xlpm.tgr,$B$8,_xlpm.n,$B$11,_xlpm.lcx,U201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2">
      <c r="Q202" s="335">
        <f>Q201+0.005</f>
        <v/>
      </c>
      <c r="R202" s="245" cm="1">
        <f t="array" ref="R202">_xlfn.LET(_xlpm.gs,Q202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2" s="335">
        <f>S201+0.005</f>
        <v/>
      </c>
      <c r="T202" s="245" cm="1">
        <f t="array" ref="T202">_xlfn.LET(_xlpm.gs,$B$9,_xlpm.om,S202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2" s="335">
        <f>U201-0.0025</f>
        <v/>
      </c>
      <c r="V202" s="245" cm="1">
        <f t="array" ref="V202">_xlfn.LET(_xlpm.gs,$B$9,_xlpm.om,$B$10,_xlpm.w,$B$7,_xlpm.tgr,$B$8,_xlpm.n,$B$11,_xlpm.lcx,U202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3">
      <c r="Q203" s="335">
        <f>Q202+0.005</f>
        <v/>
      </c>
      <c r="R203" s="245" cm="1">
        <f t="array" ref="R203">_xlfn.LET(_xlpm.gs,Q203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3" s="335">
        <f>S202+0.005</f>
        <v/>
      </c>
      <c r="T203" s="245" cm="1">
        <f t="array" ref="T203">_xlfn.LET(_xlpm.gs,$B$9,_xlpm.om,S203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3" s="335">
        <f>U202-0.0025</f>
        <v/>
      </c>
      <c r="V203" s="245" cm="1">
        <f t="array" ref="V203">_xlfn.LET(_xlpm.gs,$B$9,_xlpm.om,$B$10,_xlpm.w,$B$7,_xlpm.tgr,$B$8,_xlpm.n,$B$11,_xlpm.lcx,U203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4">
      <c r="Q204" s="335">
        <f>Q203+0.005</f>
        <v/>
      </c>
      <c r="R204" s="245" cm="1">
        <f t="array" ref="R204">_xlfn.LET(_xlpm.gs,Q204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4" s="335">
        <f>S203+0.005</f>
        <v/>
      </c>
      <c r="T204" s="245" cm="1">
        <f t="array" ref="T204">_xlfn.LET(_xlpm.gs,$B$9,_xlpm.om,S204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4" s="335">
        <f>U203-0.0025</f>
        <v/>
      </c>
      <c r="V204" s="245" cm="1">
        <f t="array" ref="V204">_xlfn.LET(_xlpm.gs,$B$9,_xlpm.om,$B$10,_xlpm.w,$B$7,_xlpm.tgr,$B$8,_xlpm.n,$B$11,_xlpm.lcx,U204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5">
      <c r="Q205" s="335">
        <f>Q204+0.005</f>
        <v/>
      </c>
      <c r="R205" s="245" cm="1">
        <f t="array" ref="R205">_xlfn.LET(_xlpm.gs,Q205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5" s="335">
        <f>S204+0.005</f>
        <v/>
      </c>
      <c r="T205" s="245" cm="1">
        <f t="array" ref="T205">_xlfn.LET(_xlpm.gs,$B$9,_xlpm.om,S205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5" s="335">
        <f>U204-0.0025</f>
        <v/>
      </c>
      <c r="V205" s="245" cm="1">
        <f t="array" ref="V205">_xlfn.LET(_xlpm.gs,$B$9,_xlpm.om,$B$10,_xlpm.w,$B$7,_xlpm.tgr,$B$8,_xlpm.n,$B$11,_xlpm.lcx,U205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6">
      <c r="Q206" s="335">
        <f>Q205+0.005</f>
        <v/>
      </c>
      <c r="R206" s="245" cm="1">
        <f t="array" ref="R206">_xlfn.LET(_xlpm.gs,Q206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6" s="335">
        <f>S205+0.005</f>
        <v/>
      </c>
      <c r="T206" s="245" cm="1">
        <f t="array" ref="T206">_xlfn.LET(_xlpm.gs,$B$9,_xlpm.om,S206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6" s="335">
        <f>U205-0.0025</f>
        <v/>
      </c>
      <c r="V206" s="245" cm="1">
        <f t="array" ref="V206">_xlfn.LET(_xlpm.gs,$B$9,_xlpm.om,$B$10,_xlpm.w,$B$7,_xlpm.tgr,$B$8,_xlpm.n,$B$11,_xlpm.lcx,U206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7">
      <c r="Q207" s="335">
        <f>Q206+0.005</f>
        <v/>
      </c>
      <c r="R207" s="245" cm="1">
        <f t="array" ref="R207">_xlfn.LET(_xlpm.gs,Q207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7" s="335">
        <f>S206+0.005</f>
        <v/>
      </c>
      <c r="T207" s="245" cm="1">
        <f t="array" ref="T207">_xlfn.LET(_xlpm.gs,$B$9,_xlpm.om,S207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7" s="335">
        <f>U206-0.0025</f>
        <v/>
      </c>
      <c r="V207" s="245" cm="1">
        <f t="array" ref="V207">_xlfn.LET(_xlpm.gs,$B$9,_xlpm.om,$B$10,_xlpm.w,$B$7,_xlpm.tgr,$B$8,_xlpm.n,$B$11,_xlpm.lcx,U207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8">
      <c r="Q208" s="335">
        <f>Q207+0.005</f>
        <v/>
      </c>
      <c r="R208" s="245" cm="1">
        <f t="array" ref="R208">_xlfn.LET(_xlpm.gs,Q208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8" s="335">
        <f>S207+0.005</f>
        <v/>
      </c>
      <c r="T208" s="245" cm="1">
        <f t="array" ref="T208">_xlfn.LET(_xlpm.gs,$B$9,_xlpm.om,S208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8" s="335">
        <f>U207-0.0025</f>
        <v/>
      </c>
      <c r="V208" s="245" cm="1">
        <f t="array" ref="V208">_xlfn.LET(_xlpm.gs,$B$9,_xlpm.om,$B$10,_xlpm.w,$B$7,_xlpm.tgr,$B$8,_xlpm.n,$B$11,_xlpm.lcx,U208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09">
      <c r="Q209" s="335">
        <f>Q208+0.005</f>
        <v/>
      </c>
      <c r="R209" s="245" cm="1">
        <f t="array" ref="R209">_xlfn.LET(_xlpm.gs,Q209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09" s="335">
        <f>S208+0.005</f>
        <v/>
      </c>
      <c r="T209" s="245" cm="1">
        <f t="array" ref="T209">_xlfn.LET(_xlpm.gs,$B$9,_xlpm.om,S209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09" s="335">
        <f>U208-0.0025</f>
        <v/>
      </c>
      <c r="V209" s="245" cm="1">
        <f t="array" ref="V209">_xlfn.LET(_xlpm.gs,$B$9,_xlpm.om,$B$10,_xlpm.w,$B$7,_xlpm.tgr,$B$8,_xlpm.n,$B$11,_xlpm.lcx,U209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0">
      <c r="Q210" s="335">
        <f>Q209+0.005</f>
        <v/>
      </c>
      <c r="R210" s="245" cm="1">
        <f t="array" ref="R210">_xlfn.LET(_xlpm.gs,Q210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0" s="335">
        <f>S209+0.005</f>
        <v/>
      </c>
      <c r="T210" s="245" cm="1">
        <f t="array" ref="T210">_xlfn.LET(_xlpm.gs,$B$9,_xlpm.om,S210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0" s="335">
        <f>U209-0.0025</f>
        <v/>
      </c>
      <c r="V210" s="245" cm="1">
        <f t="array" ref="V210">_xlfn.LET(_xlpm.gs,$B$9,_xlpm.om,$B$10,_xlpm.w,$B$7,_xlpm.tgr,$B$8,_xlpm.n,$B$11,_xlpm.lcx,U210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1">
      <c r="Q211" s="335">
        <f>Q210+0.005</f>
        <v/>
      </c>
      <c r="R211" s="245" cm="1">
        <f t="array" ref="R211">_xlfn.LET(_xlpm.gs,Q211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1" s="335">
        <f>S210+0.005</f>
        <v/>
      </c>
      <c r="T211" s="245" cm="1">
        <f t="array" ref="T211">_xlfn.LET(_xlpm.gs,$B$9,_xlpm.om,S211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1" s="335">
        <f>U210-0.0025</f>
        <v/>
      </c>
      <c r="V211" s="245" cm="1">
        <f t="array" ref="V211">_xlfn.LET(_xlpm.gs,$B$9,_xlpm.om,$B$10,_xlpm.w,$B$7,_xlpm.tgr,$B$8,_xlpm.n,$B$11,_xlpm.lcx,U211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  <row r="212">
      <c r="Q212" s="335">
        <f>Q211+0.005</f>
        <v/>
      </c>
      <c r="R212" s="245" cm="1">
        <f t="array" ref="R212">_xlfn.LET(_xlpm.gs,Q212,_xlpm.om,$B$10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S212" s="335">
        <f>S211+0.005</f>
        <v/>
      </c>
      <c r="T212" s="245" cm="1">
        <f t="array" ref="T212">_xlfn.LET(_xlpm.gs,$B$9,_xlpm.om,S212,_xlpm.w,$B$7,_xlpm.tgr,$B$8,_xlpm.n,$B$11,_xlpm.lcx,$B$19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  <c r="U212" s="335">
        <f>U211-0.0025</f>
        <v/>
      </c>
      <c r="V212" s="245" cm="1">
        <f t="array" ref="V212">_xlfn.LET(_xlpm.gs,$B$9,_xlpm.om,$B$10,_xlpm.w,$B$7,_xlpm.tgr,$B$8,_xlpm.n,$B$11,_xlpm.lcx,U212,_xlpm.r0,DCF!$B$37,_xlpm.om0,DCF!$B$39,_xlpm.cx0,DCF!$B$40,_xlpm.da0,DCF!$B$41,_xlpm.dar,DCF!$B$20,_xlpm.tx,DCF!$B$31,_xlpm.sb,DCF!$B$43,_xlpm.nw,DCF!$B$21,_xlpm.gd,N(DCF!$B$22),_xlpm.nc,DCF!$B$47,_xlpm.shs,DCF!$B$6,_xlpm.m,DCF!$B$48,_xlpm.t,_xlfn.SEQUENCE(10),_xlpm.g,_xlpm.gs-(_xlpm.gs-_xlpm.tgr)*(_xlpm.t-1)/9,_xlpm.cum,MMULT(--(_xlpm.t&gt;=TRANSPOSE(_xlpm.t)),LN(1+_xlpm.g)),_xlpm.rev,_xlpm.r0*EXP(_xlpm.cum),_xlpm.prv,_xlpm.r0*EXP(_xlpm.cum-LN(1+_xlpm.g)),_xlpm.lp,IF(_xlpm.t&gt;=_xlpm.n,1,_xlpm.t/_xlpm.n),_xlpm.omt,_xlpm.om0+(_xlpm.om-_xlpm.om0)*_xlpm.lp,_xlpm.dat,_xlpm.da0+(_xlpm.lcx*_xlpm.dar-_xlpm.da0)*_xlpm.lp,_xlpm.cpx,IF((_xlpm.t=1)*(_xlpm.gd&gt;0),_xlpm.gd/_xlpm.rev,_xlpm.cx0+(_xlpm.lcx-_xlpm.cx0)*_xlpm.lp),_xlpm.f,_xlpm.rev*(_xlpm.omt*(1-_xlpm.tx)+_xlpm.dat-_xlpm.cpx+_xlpm.sb)-_xlpm.nw*(_xlpm.rev-_xlpm.prv),_xlpm.pv,SUM(_xlpm.f/(1+_xlpm.w)^(_xlpm.t-0.5*_xlpm.m)),_xlpm.tv,INDEX(_xlpm.f,10)*(1+_xlpm.tgr)/(_xlpm.w-_xlpm.tgr)/(1+_xlpm.w)^10,(_xlpm.pv+_xlpm.tv+_xlpm.nc)/_xlpm.shs)</f>
        <v/>
      </c>
    </row>
  </sheetData>
  <conditionalFormatting sqref="B101:B109">
    <cfRule type="beginsWith" priority="1" operator="beginsWith" dxfId="1" text="✗">
      <formula>LEFT(B101,LEN("✗"))="✗"</formula>
    </cfRule>
    <cfRule type="beginsWith" priority="2" operator="beginsWith" dxfId="6" text="⚠">
      <formula>LEFT(B101,LEN("⚠"))="⚠"</formula>
    </cfRule>
    <cfRule type="beginsWith" priority="3" operator="beginsWith" dxfId="5" text="✓">
      <formula>LEFT(B101,LEN("✓"))="✓"</formula>
    </cfRule>
  </conditionalFormatting>
  <dataValidations count="7">
    <dataValidation sqref="B12 B13 B16" showDropDown="0" showInputMessage="1" showErrorMessage="1" allowBlank="1" type="list">
      <formula1>"Yes,No"</formula1>
    </dataValidation>
    <dataValidation sqref="B8" showDropDown="0" showInputMessage="1" showErrorMessage="1" allowBlank="1" errorTitle="Check terminal growth" error="Terminal growth must be at least 1 point below the discount rate (B7)." type="decimal">
      <formula1>0</formula1>
      <formula2>B7-0.01</formula2>
    </dataValidation>
    <dataValidation sqref="B11" showDropDown="0" showInputMessage="1" showErrorMessage="1" allowBlank="1" type="whole">
      <formula1>1</formula1>
      <formula2>10</formula2>
    </dataValidation>
    <dataValidation sqref="B15" showDropDown="0" showInputMessage="1" showErrorMessage="1" allowBlank="1" type="decimal">
      <formula1>0</formula1>
      <formula2>1</formula2>
    </dataValidation>
    <dataValidation sqref="B17" showDropDown="0" showInputMessage="1" showErrorMessage="1" allowBlank="1" type="list">
      <formula1>"TTM,Last FY,Peer median,Custom"</formula1>
    </dataValidation>
    <dataValidation sqref="B18:B21" showDropDown="0" showInputMessage="0" showErrorMessage="1" allowBlank="1" errorTitle="Out of range" error="Enter a fraction between 0 and 1 (e.g. 0.12 for 12%)." type="decimal" operator="between">
      <formula1>0</formula1>
      <formula2>1</formula2>
    </dataValidation>
    <dataValidation sqref="B22" showDropDown="0" showInputMessage="0" showErrorMessage="1" allowBlank="1" errorTitle="Capex guidance" error="Enter next year's capex in $ billions, or leave blank." type="decimal" operator="greaterThanOrEqual">
      <formula1>0</formula1>
    </dataValidation>
  </dataValidations>
  <hyperlinks>
    <hyperlink ref="G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0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E47"/>
  <sheetViews>
    <sheetView showGridLines="0" workbookViewId="0">
      <pane ySplit="2" topLeftCell="A24" activePane="bottomLeft" state="frozen"/>
      <selection pane="bottomLeft" activeCell="A1" sqref="A1"/>
    </sheetView>
  </sheetViews>
  <sheetFormatPr baseColWidth="8" defaultRowHeight="14.5"/>
  <cols>
    <col width="40" customWidth="1" style="117" min="1" max="1"/>
    <col width="16.36328125" customWidth="1" style="117" min="2" max="3"/>
    <col width="69.08984375" customWidth="1" style="117" min="4" max="4"/>
    <col width="3.6328125" customWidth="1" style="117" min="5" max="5"/>
    <col width="8.7265625" customWidth="1" style="117" min="6" max="26"/>
  </cols>
  <sheetData>
    <row r="1" ht="30" customHeight="1" s="160">
      <c r="A1" s="2">
        <f>Data!$Q$2&amp;" ("&amp;Data!$Q$3&amp;") — Multiples &amp; Quality Metrics"</f>
        <v/>
      </c>
      <c r="B1" s="2" t="n"/>
      <c r="C1" s="2" t="n"/>
      <c r="D1" s="2" t="n"/>
      <c r="E1" s="2" t="n"/>
    </row>
    <row r="2">
      <c r="A2" s="3" t="inlineStr">
        <is>
          <t>FY2026 = last audited fiscal year (ended 31-May-2026) · TTM = four quarters to 31-May-2026 · $ in billions except per share</t>
        </is>
      </c>
      <c r="B2" s="3" t="n"/>
      <c r="C2" s="3" t="n"/>
      <c r="D2" s="4" t="inlineStr">
        <is>
          <t>← Back to Summary</t>
        </is>
      </c>
      <c r="E2" s="3" t="n"/>
    </row>
    <row r="4">
      <c r="A4" s="5" t="inlineStr">
        <is>
          <t>Market value</t>
        </is>
      </c>
      <c r="B4" s="5" t="n"/>
      <c r="C4" s="5" t="n"/>
      <c r="D4" s="5" t="n"/>
      <c r="E4" s="5" t="n"/>
    </row>
    <row r="5">
      <c r="A5" s="117" t="inlineStr">
        <is>
          <t>Share price ($)</t>
        </is>
      </c>
      <c r="B5" s="342">
        <f>IFERROR(DCF!B5,"n/a")</f>
        <v/>
      </c>
      <c r="C5" s="159" t="inlineStr">
        <is>
          <t>Report price, 24-Sep-2026</t>
        </is>
      </c>
    </row>
    <row r="6">
      <c r="A6" s="117" t="inlineStr">
        <is>
          <t>Shares outstanding (B)</t>
        </is>
      </c>
      <c r="B6" s="343">
        <f>IFERROR(Financials!B48,"n/a")</f>
        <v/>
      </c>
      <c r="C6" s="159" t="inlineStr">
        <is>
          <t>All share classes, filing cover (08-Jul-2026)</t>
        </is>
      </c>
    </row>
    <row r="7">
      <c r="A7" s="117" t="inlineStr">
        <is>
          <t>Market capitalisation ($B)</t>
        </is>
      </c>
      <c r="B7" s="344">
        <f>IFERROR(B5*B6,"n/a")</f>
        <v/>
      </c>
      <c r="C7" s="159" t="inlineStr">
        <is>
          <t>Price × shares — one price, one share count, one moment</t>
        </is>
      </c>
    </row>
    <row r="8">
      <c r="A8" s="117" t="inlineStr">
        <is>
          <t>Net debt / (net cash) + preferred ($B)</t>
        </is>
      </c>
      <c r="B8" s="345">
        <f>IFERROR(-Financials!C39+Financials!C55,"n/a")</f>
        <v/>
      </c>
      <c r="C8" s="159" t="inlineStr">
        <is>
          <t>Net cash at 31-May-2026</t>
        </is>
      </c>
    </row>
    <row r="9">
      <c r="A9" s="117" t="inlineStr">
        <is>
          <t>Enterprise value ($B)</t>
        </is>
      </c>
      <c r="B9" s="344">
        <f>IFERROR(B7+B8,"n/a")</f>
        <v/>
      </c>
      <c r="C9" s="159" t="n"/>
    </row>
    <row r="10">
      <c r="A10" s="117" t="inlineStr">
        <is>
          <t>Quarterly dividend per share ($)</t>
        </is>
      </c>
      <c r="B10" s="346" t="n">
        <v>0.4099999999999999</v>
      </c>
      <c r="C10" s="159" t="inlineStr">
        <is>
          <t>Declared for the quarter to May-2026</t>
        </is>
      </c>
    </row>
    <row r="11">
      <c r="A11" s="117" t="inlineStr">
        <is>
          <t>Dividend yield (run-rate)</t>
        </is>
      </c>
      <c r="B11" s="69">
        <f>IFERROR(B10*4/B5,"n/a")</f>
        <v/>
      </c>
      <c r="C11" s="159" t="inlineStr">
        <is>
          <t>Quarterly dividend × 4 ÷ price</t>
        </is>
      </c>
    </row>
    <row r="13">
      <c r="A13" s="5" t="inlineStr">
        <is>
          <t>Valuation multiples</t>
        </is>
      </c>
      <c r="B13" s="5" t="n"/>
      <c r="C13" s="5" t="n"/>
      <c r="D13" s="5" t="n"/>
      <c r="E13" s="5" t="n"/>
    </row>
    <row r="14">
      <c r="A14" s="9" t="inlineStr">
        <is>
          <t>Metric</t>
        </is>
      </c>
      <c r="B14" s="8" t="inlineStr">
        <is>
          <t>FY2026</t>
        </is>
      </c>
      <c r="C14" s="8" t="inlineStr">
        <is>
          <t>TTM (May-26)</t>
        </is>
      </c>
      <c r="D14" s="7" t="inlineStr">
        <is>
          <t>Definition</t>
        </is>
      </c>
    </row>
    <row r="15">
      <c r="A15" s="6" t="inlineStr">
        <is>
          <t>P/E (GAAP)</t>
        </is>
      </c>
      <c r="B15" s="347">
        <f>IFERROR(B7/Financials!K8,"n/a")</f>
        <v/>
      </c>
      <c r="C15" s="347">
        <f>IFERROR(B5/Financials!F19,"n/a")</f>
        <v/>
      </c>
      <c r="D15" s="159">
        <f>"Market cap ÷ net income (FY) · price ÷ diluted EPS, last 4 qtrs (TTM)."&amp;IF(Financials!F26&gt;0.005," TTM is flattered by $"&amp;TEXT(Financials!F26,"0.00")&amp;" of equity-security gains.","")</f>
        <v/>
      </c>
    </row>
    <row r="16">
      <c r="A16" s="6" t="inlineStr">
        <is>
          <t>P/E excl. equity-security gains</t>
        </is>
      </c>
      <c r="B16" s="347" t="inlineStr">
        <is>
          <t>n/a</t>
        </is>
      </c>
      <c r="C16" s="347">
        <f>IFERROR(B5/Financials!F27,"n/a")</f>
        <v/>
      </c>
      <c r="D16" s="159" t="inlineStr">
        <is>
          <t>Price ÷ TTM diluted EPS; equity-security gains are immaterial, so this equals the GAAP P/E.</t>
        </is>
      </c>
    </row>
    <row r="17">
      <c r="A17" s="117" t="inlineStr">
        <is>
          <t>EV / Sales</t>
        </is>
      </c>
      <c r="B17" s="348">
        <f>IFERROR(B9/Financials!K6,"n/a")</f>
        <v/>
      </c>
      <c r="C17" s="348">
        <f>IFERROR(B9/Financials!F17,"n/a")</f>
        <v/>
      </c>
      <c r="D17" s="159" t="inlineStr">
        <is>
          <t>Enterprise value ÷ revenue</t>
        </is>
      </c>
    </row>
    <row r="18">
      <c r="A18" s="117" t="inlineStr">
        <is>
          <t>Price / Sales</t>
        </is>
      </c>
      <c r="B18" s="348">
        <f>IFERROR(B7/Financials!K6,"n/a")</f>
        <v/>
      </c>
      <c r="C18" s="348">
        <f>IFERROR(B7/Financials!F17,"n/a")</f>
        <v/>
      </c>
      <c r="D18" s="159" t="inlineStr">
        <is>
          <t>Market cap ÷ revenue</t>
        </is>
      </c>
    </row>
    <row r="19">
      <c r="A19" s="117" t="inlineStr">
        <is>
          <t>EV / EBITDA</t>
        </is>
      </c>
      <c r="B19" s="348">
        <f>IFERROR(B9/(Financials!B47+Financials!B46),"n/a")</f>
        <v/>
      </c>
      <c r="C19" s="348">
        <f>IFERROR(B9/(Financials!C47+Financials!C46),"n/a")</f>
        <v/>
      </c>
      <c r="D19" s="159" t="inlineStr">
        <is>
          <t>EBITDA = operating income + D&amp;A</t>
        </is>
      </c>
    </row>
    <row r="20">
      <c r="A20" s="117" t="inlineStr">
        <is>
          <t>Price / FCF</t>
        </is>
      </c>
      <c r="B20" s="348">
        <f>IFERROR(B7/Financials!K10,"n/a")</f>
        <v/>
      </c>
      <c r="C20" s="348">
        <f>IFERROR(B7/(Financials!C42-Financials!C43),"n/a")</f>
        <v/>
      </c>
      <c r="D20" s="159" t="inlineStr">
        <is>
          <t>Market cap ÷ (CFO − capex)</t>
        </is>
      </c>
    </row>
    <row r="21">
      <c r="A21" s="117" t="inlineStr">
        <is>
          <t>FCF yield</t>
        </is>
      </c>
      <c r="B21" s="349">
        <f>IFERROR(Financials!K10/B7,"n/a")</f>
        <v/>
      </c>
      <c r="C21" s="349">
        <f>IFERROR((Financials!C42-Financials!C43)/B7,"n/a")</f>
        <v/>
      </c>
      <c r="D21" s="159" t="inlineStr">
        <is>
          <t>Inverse of P/FCF</t>
        </is>
      </c>
    </row>
    <row r="22">
      <c r="A22" s="117" t="inlineStr">
        <is>
          <t>FCF yield after SBC</t>
        </is>
      </c>
      <c r="B22" s="349">
        <f>IFERROR(Financials!B45/B7,"n/a")</f>
        <v/>
      </c>
      <c r="C22" s="349">
        <f>IFERROR(Financials!C45/B7,"n/a")</f>
        <v/>
      </c>
      <c r="D22" s="159" t="inlineStr">
        <is>
          <t>Treats stock comp as a cash-equivalent cost</t>
        </is>
      </c>
    </row>
    <row r="23">
      <c r="A23" s="117" t="inlineStr">
        <is>
          <t>Earnings yield</t>
        </is>
      </c>
      <c r="B23" s="349">
        <f>IFERROR(1/B15,"n/a")</f>
        <v/>
      </c>
      <c r="C23" s="349">
        <f>IFERROR(1/C16,"n/a")</f>
        <v/>
      </c>
      <c r="D23" s="159" t="inlineStr">
        <is>
          <t>Inverse of P/E (TTM uses EPS excl. gains)</t>
        </is>
      </c>
    </row>
    <row r="24">
      <c r="A24" s="117" t="inlineStr">
        <is>
          <t>Earnings yield − risk-free rate</t>
        </is>
      </c>
      <c r="B24" s="349">
        <f>IFERROR(B23-DCF!$B$14,"n/a")</f>
        <v/>
      </c>
      <c r="C24" s="349">
        <f>IFERROR(C23-DCF!$B$14,"n/a")</f>
        <v/>
      </c>
      <c r="D24" s="159">
        <f>"Equity 'spread' over T-bills (risk-free "&amp;TEXT(DCF!$B$14,"0.00%")&amp;")"</f>
        <v/>
      </c>
    </row>
    <row r="25">
      <c r="A25" s="117" t="inlineStr">
        <is>
          <t>Price / Book</t>
        </is>
      </c>
      <c r="B25" s="348">
        <f>IFERROR(B7/Financials!B40,"n/a")</f>
        <v/>
      </c>
      <c r="C25" s="348">
        <f>IFERROR(B7/Financials!C40,"n/a")</f>
        <v/>
      </c>
      <c r="D25" s="159" t="inlineStr">
        <is>
          <t>Book equity; distorted where buybacks have shrunk equity</t>
        </is>
      </c>
    </row>
    <row r="26">
      <c r="D26" s="159" t="n"/>
    </row>
    <row r="27">
      <c r="A27" s="5" t="inlineStr">
        <is>
          <t>Profitability, cash quality &amp; balance sheet (FY2026 unless stated)</t>
        </is>
      </c>
      <c r="B27" s="5" t="n"/>
      <c r="C27" s="5" t="inlineStr">
        <is>
          <t>TTM (May-26)</t>
        </is>
      </c>
      <c r="D27" s="43" t="n"/>
      <c r="E27" s="5" t="n"/>
    </row>
    <row r="28">
      <c r="A28" s="117" t="inlineStr">
        <is>
          <t>Gross margin</t>
        </is>
      </c>
      <c r="B28" s="350" t="n">
        <v>0.4291348765032976</v>
      </c>
      <c r="C28" s="351">
        <f>IFERROR(Peers!G6,"n/a")</f>
        <v/>
      </c>
      <c r="D28" s="159" t="n"/>
    </row>
    <row r="29">
      <c r="A29" s="117" t="inlineStr">
        <is>
          <t>Operating margin</t>
        </is>
      </c>
      <c r="B29" s="349">
        <f>IFERROR(Financials!B47/Financials!K6,"n/a")</f>
        <v/>
      </c>
      <c r="C29" s="349">
        <f>IFERROR(Financials!F23,"n/a")</f>
        <v/>
      </c>
      <c r="D29" s="159" t="n"/>
    </row>
    <row r="30">
      <c r="A30" s="117" t="inlineStr">
        <is>
          <t>Net margin (FY: GAAP · TTM: excl. equity-security gains)</t>
        </is>
      </c>
      <c r="B30" s="349">
        <f>IFERROR(Financials!K9,"n/a")</f>
        <v/>
      </c>
      <c r="C30" s="349">
        <f>IFERROR((Financials!F21-Financials!F25)/Financials!F17,"n/a")</f>
        <v/>
      </c>
      <c r="D30" s="159" t="n"/>
    </row>
    <row r="31">
      <c r="A31" s="117" t="inlineStr">
        <is>
          <t>FCF margin</t>
        </is>
      </c>
      <c r="B31" s="349">
        <f>IFERROR(Financials!K11,"n/a")</f>
        <v/>
      </c>
      <c r="C31" s="349">
        <f>IFERROR(DCF!B38,"n/a")</f>
        <v/>
      </c>
      <c r="D31" s="159" t="n"/>
    </row>
    <row r="32">
      <c r="A32" s="117" t="inlineStr">
        <is>
          <t>FCF ÷ net income (cash conversion)</t>
        </is>
      </c>
      <c r="B32" s="352">
        <f>IFERROR(Financials!K12,"n/a")</f>
        <v/>
      </c>
      <c r="C32" s="352">
        <f>IFERROR((Financials!C42-Financials!C43)/((Financials!F21-Financials!F25)),"n/a")</f>
        <v/>
      </c>
      <c r="D32" s="159">
        <f>IF(C32&lt;1,"FCF below earnings: capex is running well ahead of depreciation","")</f>
        <v/>
      </c>
    </row>
    <row r="33">
      <c r="A33" s="117" t="inlineStr">
        <is>
          <t>Return on assets</t>
        </is>
      </c>
      <c r="B33" s="349">
        <f>IFERROR(Financials!K8/Financials!B41,"n/a")</f>
        <v/>
      </c>
      <c r="C33" s="349">
        <f>IFERROR((Financials!F21-Financials!F25)/Financials!C41,"n/a")</f>
        <v/>
      </c>
      <c r="D33" s="159" t="n"/>
    </row>
    <row r="34">
      <c r="A34" s="117" t="inlineStr">
        <is>
          <t>Stock-based comp as % of revenue</t>
        </is>
      </c>
      <c r="B34" s="349">
        <f>IFERROR(Financials!B44/Financials!K6,"n/a")</f>
        <v/>
      </c>
      <c r="C34" s="349">
        <f>IFERROR(Financials!C44/Financials!F17,"n/a")</f>
        <v/>
      </c>
      <c r="D34" s="159" t="n"/>
    </row>
    <row r="35">
      <c r="A35" s="117" t="inlineStr">
        <is>
          <t>Stock-based comp as % of FCF</t>
        </is>
      </c>
      <c r="B35" s="349">
        <f>IFERROR(Financials!B44/Financials!K10,"n/a")</f>
        <v/>
      </c>
      <c r="C35" s="349">
        <f>IFERROR(Financials!C44/(Financials!C42-Financials!C43),"n/a")</f>
        <v/>
      </c>
      <c r="D35" s="159" t="n"/>
    </row>
    <row r="36">
      <c r="A36" s="117" t="inlineStr">
        <is>
          <t>Net cash as % of market cap</t>
        </is>
      </c>
      <c r="B36" s="349">
        <f>IFERROR(Financials!B39/B7,"n/a")</f>
        <v/>
      </c>
      <c r="C36" s="349">
        <f>IFERROR(Financials!C39/B7,"n/a")</f>
        <v/>
      </c>
      <c r="D36" s="159" t="n"/>
    </row>
    <row r="37">
      <c r="A37" s="117" t="inlineStr">
        <is>
          <t>Total debt ÷ EBITDA</t>
        </is>
      </c>
      <c r="B37" s="352">
        <f>IFERROR(Financials!B38/(Financials!B47+Financials!B46),"n/a")</f>
        <v/>
      </c>
      <c r="C37" s="352">
        <f>IFERROR(Financials!C38/(Financials!C47+Financials!C46),"n/a")</f>
        <v/>
      </c>
      <c r="D37" s="159" t="n"/>
    </row>
    <row r="39">
      <c r="A39" s="5" t="inlineStr">
        <is>
          <t>Peer comparison</t>
        </is>
      </c>
      <c r="B39" s="5" t="n"/>
      <c r="C39" s="5" t="n"/>
      <c r="D39" s="5" t="n"/>
      <c r="E39" s="5" t="n"/>
    </row>
    <row r="40">
      <c r="A40" s="9" t="inlineStr">
        <is>
          <t>Ticker</t>
        </is>
      </c>
      <c r="B40" s="8" t="inlineStr">
        <is>
          <t>P/E (TTM)</t>
        </is>
      </c>
      <c r="C40" s="8" t="inlineStr">
        <is>
          <t>EV / EBITDA</t>
        </is>
      </c>
      <c r="D40" s="7" t="inlineStr">
        <is>
          <t>Revenue growth</t>
        </is>
      </c>
      <c r="E40" s="7" t="inlineStr">
        <is>
          <t>FCF yield</t>
        </is>
      </c>
    </row>
    <row r="41">
      <c r="A41" s="166">
        <f>Peers!A6</f>
        <v/>
      </c>
      <c r="B41" s="353">
        <f>Peers!C6</f>
        <v/>
      </c>
      <c r="C41" s="353">
        <f>Peers!D6</f>
        <v/>
      </c>
      <c r="D41" s="354">
        <f>Peers!F6</f>
        <v/>
      </c>
      <c r="E41" s="354">
        <f>Peers!J6</f>
        <v/>
      </c>
    </row>
    <row r="42">
      <c r="A42" s="167">
        <f>Peers!A7</f>
        <v/>
      </c>
      <c r="B42" s="355">
        <f>Peers!C7</f>
        <v/>
      </c>
      <c r="C42" s="355">
        <f>Peers!D7</f>
        <v/>
      </c>
      <c r="D42" s="356">
        <f>Peers!F7</f>
        <v/>
      </c>
      <c r="E42" s="356">
        <f>Peers!J7</f>
        <v/>
      </c>
    </row>
    <row r="43">
      <c r="A43" s="167">
        <f>Peers!A8</f>
        <v/>
      </c>
      <c r="B43" s="355">
        <f>Peers!C8</f>
        <v/>
      </c>
      <c r="C43" s="355">
        <f>Peers!D8</f>
        <v/>
      </c>
      <c r="D43" s="356">
        <f>Peers!F8</f>
        <v/>
      </c>
      <c r="E43" s="356">
        <f>Peers!J8</f>
        <v/>
      </c>
    </row>
    <row r="44">
      <c r="A44" s="167">
        <f>Peers!A9</f>
        <v/>
      </c>
      <c r="B44" s="355">
        <f>Peers!C9</f>
        <v/>
      </c>
      <c r="C44" s="355">
        <f>Peers!D9</f>
        <v/>
      </c>
      <c r="D44" s="356">
        <f>Peers!F9</f>
        <v/>
      </c>
      <c r="E44" s="356">
        <f>Peers!J9</f>
        <v/>
      </c>
    </row>
    <row r="45">
      <c r="A45" s="167">
        <f>Peers!A10</f>
        <v/>
      </c>
      <c r="B45" s="355">
        <f>Peers!C10</f>
        <v/>
      </c>
      <c r="C45" s="355">
        <f>Peers!D10</f>
        <v/>
      </c>
      <c r="D45" s="356">
        <f>Peers!F10</f>
        <v/>
      </c>
      <c r="E45" s="356">
        <f>Peers!J10</f>
        <v/>
      </c>
    </row>
    <row r="46">
      <c r="A46" s="166">
        <f>Peers!A11</f>
        <v/>
      </c>
      <c r="B46" s="353">
        <f>Peers!C11</f>
        <v/>
      </c>
      <c r="C46" s="353">
        <f>Peers!D11</f>
        <v/>
      </c>
      <c r="D46" s="354">
        <f>Peers!F11</f>
        <v/>
      </c>
      <c r="E46" s="354">
        <f>Peers!J11</f>
        <v/>
      </c>
    </row>
    <row r="47">
      <c r="A47" s="113">
        <f>"Linked from the Peers tab. "&amp;Data!$Q$3&amp;" P/E uses EPS excluding equity-security gains; peer P/Es are GAAP from each company's filings."</f>
        <v/>
      </c>
    </row>
  </sheetData>
  <hyperlinks>
    <hyperlink ref="D2" location="'Summary'!A1" display="← Back to Summary"/>
  </hyperlinks>
  <printOptions horizontalCentered="1"/>
  <pageMargins left="0.5" right="0.5" top="0.5555555555555556" bottom="0.5555555555555556" header="0.3" footer="0.3"/>
  <pageSetup orientation="landscape" scale="78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4" customWidth="1" style="160" min="1" max="2"/>
    <col width="9" customWidth="1" style="160" min="3" max="3"/>
    <col width="11" customWidth="1" style="160" min="4" max="4"/>
    <col width="9" customWidth="1" style="160" min="5" max="5"/>
    <col width="13" customWidth="1" style="160" min="6" max="6"/>
    <col width="12" customWidth="1" style="160" min="7" max="7"/>
    <col width="11" customWidth="1" style="160" min="8" max="9"/>
    <col width="10" customWidth="1" style="160" min="10" max="11"/>
    <col width="20" customWidth="1" style="160" min="12" max="12"/>
  </cols>
  <sheetData>
    <row r="1" ht="30" customHeight="1" s="160">
      <c r="A1" s="77">
        <f>Data!$Q$2&amp;" ("&amp;Data!$Q$3&amp;") — Valuation vs Peers"</f>
        <v/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</row>
    <row r="2">
      <c r="A2" s="78" t="inlineStr">
        <is>
          <t>Peer group: Apparel &amp; footwear · each company on its own latest filings (TTM where a 10-Q is newer than the 10-K) and its own market cap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183" t="inlineStr">
        <is>
          <t>← Back to Summary</t>
        </is>
      </c>
    </row>
    <row r="4">
      <c r="A4" s="79" t="inlineStr">
        <is>
          <t>Peer comparison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</row>
    <row r="5">
      <c r="A5" s="9" t="inlineStr">
        <is>
          <t>Ticker</t>
        </is>
      </c>
      <c r="B5" s="8" t="inlineStr">
        <is>
          <t>Market cap ($B)</t>
        </is>
      </c>
      <c r="C5" s="8" t="inlineStr">
        <is>
          <t>P/E</t>
        </is>
      </c>
      <c r="D5" s="8" t="inlineStr">
        <is>
          <t>EV / EBITDA</t>
        </is>
      </c>
      <c r="E5" s="8" t="inlineStr">
        <is>
          <t>P/S</t>
        </is>
      </c>
      <c r="F5" s="8" t="inlineStr">
        <is>
          <t>Revenue growth</t>
        </is>
      </c>
      <c r="G5" s="8" t="inlineStr">
        <is>
          <t>Gross margin</t>
        </is>
      </c>
      <c r="H5" s="8" t="inlineStr">
        <is>
          <t>Op. margin</t>
        </is>
      </c>
      <c r="I5" s="8" t="inlineStr">
        <is>
          <t>Net margin</t>
        </is>
      </c>
      <c r="J5" s="8" t="inlineStr">
        <is>
          <t>FCF yield</t>
        </is>
      </c>
      <c r="K5" s="8" t="inlineStr">
        <is>
          <t>Div. yield</t>
        </is>
      </c>
      <c r="L5" s="8" t="inlineStr">
        <is>
          <t>Figures as of</t>
        </is>
      </c>
    </row>
    <row r="6">
      <c r="A6" s="117">
        <f>Data!$Q$3</f>
        <v/>
      </c>
      <c r="B6" s="345">
        <f>IFERROR(Multiples!B7,"n/a")</f>
        <v/>
      </c>
      <c r="C6" s="357">
        <f>IFERROR(Multiples!C16,"n/a")</f>
        <v/>
      </c>
      <c r="D6" s="357">
        <f>IFERROR(Multiples!C19,"n/a")</f>
        <v/>
      </c>
      <c r="E6" s="357">
        <f>IFERROR(Multiples!C18,"n/a")</f>
        <v/>
      </c>
      <c r="F6" s="349" t="n">
        <v>0.001921872638148026</v>
      </c>
      <c r="G6" s="349" t="n">
        <v>0.4291348765032976</v>
      </c>
      <c r="H6" s="351">
        <f>IFERROR(Financials!F23,"n/a")</f>
        <v/>
      </c>
      <c r="I6" s="351">
        <f>IFERROR(Multiples!C30,"n/a")</f>
        <v/>
      </c>
      <c r="J6" s="351">
        <f>IFERROR(Multiples!C21,"n/a")</f>
        <v/>
      </c>
      <c r="K6" s="351">
        <f>IFERROR(Multiples!B11,"n/a")</f>
        <v/>
      </c>
      <c r="L6" s="344" t="inlineStr">
        <is>
          <t>TTM to 31-May-2026</t>
        </is>
      </c>
    </row>
    <row r="7">
      <c r="A7" s="117" t="inlineStr">
        <is>
          <t>UAA</t>
        </is>
      </c>
      <c r="B7" s="344" t="n">
        <v>1.9329549345</v>
      </c>
      <c r="C7" s="348" t="n"/>
      <c r="D7" s="348" t="n"/>
      <c r="E7" s="348" t="n">
        <v>0.39</v>
      </c>
      <c r="F7" s="349" t="n">
        <v>-0.036</v>
      </c>
      <c r="G7" s="349" t="n">
        <v>0.468</v>
      </c>
      <c r="H7" s="349" t="n">
        <v>-0.024</v>
      </c>
      <c r="I7" s="349" t="n">
        <v>-0.1</v>
      </c>
      <c r="J7" s="349" t="n">
        <v>-0.042</v>
      </c>
      <c r="K7" s="349" t="n"/>
      <c r="L7" s="344" t="inlineStr">
        <is>
          <t>TTM to 30 Jun 2026</t>
        </is>
      </c>
    </row>
    <row r="8">
      <c r="A8" s="117" t="inlineStr">
        <is>
          <t>LULU</t>
        </is>
      </c>
      <c r="B8" s="344" t="n">
        <v>10.7325806005105</v>
      </c>
      <c r="C8" s="348" t="n">
        <v>7.57</v>
      </c>
      <c r="D8" s="348" t="n">
        <v>3.71</v>
      </c>
      <c r="E8" s="348" t="n">
        <v>0.97</v>
      </c>
      <c r="F8" s="349" t="n">
        <v>0.017</v>
      </c>
      <c r="G8" s="349" t="n">
        <v>0.5610000000000001</v>
      </c>
      <c r="H8" s="349" t="n">
        <v>0.178</v>
      </c>
      <c r="I8" s="349" t="n">
        <v>0.128</v>
      </c>
      <c r="J8" s="349" t="n">
        <v>0.126</v>
      </c>
      <c r="K8" s="349" t="n"/>
      <c r="L8" s="344" t="inlineStr">
        <is>
          <t>TTM to 2 Aug 2026</t>
        </is>
      </c>
    </row>
    <row r="9">
      <c r="A9" s="117" t="n"/>
      <c r="B9" s="344" t="n"/>
      <c r="C9" s="348" t="n"/>
      <c r="D9" s="348" t="n"/>
      <c r="E9" s="348" t="n"/>
      <c r="F9" s="349" t="n"/>
      <c r="G9" s="349" t="n"/>
      <c r="H9" s="349" t="n"/>
      <c r="I9" s="349" t="n"/>
      <c r="J9" s="349" t="n"/>
      <c r="K9" s="344" t="n"/>
      <c r="L9" s="344" t="n"/>
    </row>
    <row r="10">
      <c r="A10" s="117" t="n"/>
      <c r="B10" s="344" t="n"/>
      <c r="C10" s="348" t="n"/>
      <c r="D10" s="348" t="n"/>
      <c r="E10" s="348" t="n"/>
      <c r="F10" s="349" t="n"/>
      <c r="G10" s="349" t="n"/>
      <c r="H10" s="349" t="n"/>
      <c r="I10" s="349" t="n"/>
      <c r="J10" s="349" t="n"/>
      <c r="K10" s="349" t="n"/>
      <c r="L10" s="344" t="n"/>
    </row>
    <row r="11">
      <c r="A11" s="117" t="inlineStr">
        <is>
          <t>Peer median</t>
        </is>
      </c>
      <c r="B11" s="344">
        <f>IFERROR(MEDIAN(B7:B10),"n/a")</f>
        <v/>
      </c>
      <c r="C11" s="348">
        <f>IFERROR(MEDIAN(C7:C10),"n/a")</f>
        <v/>
      </c>
      <c r="D11" s="348">
        <f>IFERROR(MEDIAN(D7:D10),"n/a")</f>
        <v/>
      </c>
      <c r="E11" s="348">
        <f>IFERROR(MEDIAN(E7:E10),"n/a")</f>
        <v/>
      </c>
      <c r="F11" s="349">
        <f>IFERROR(MEDIAN(F7:F10),"n/a")</f>
        <v/>
      </c>
      <c r="G11" s="349">
        <f>IFERROR(MEDIAN(G7:G10),"n/a")</f>
        <v/>
      </c>
      <c r="H11" s="349">
        <f>IFERROR(MEDIAN(H7:H10),"n/a")</f>
        <v/>
      </c>
      <c r="I11" s="349">
        <f>IFERROR(MEDIAN(I7:I10),"n/a")</f>
        <v/>
      </c>
      <c r="J11" s="349">
        <f>IFERROR(MEDIAN(J7:J10),"n/a")</f>
        <v/>
      </c>
      <c r="K11" s="349">
        <f>IFERROR(MEDIAN(K7:K10),"n/a")</f>
        <v/>
      </c>
      <c r="L11" s="344" t="inlineStr">
        <is>
          <t>median of peers</t>
        </is>
      </c>
    </row>
  </sheetData>
  <hyperlinks>
    <hyperlink ref="L2" location="'Summary'!A1" display="← Back to Summary"/>
  </hyperlinks>
  <printOptions horizontalCentered="1"/>
  <pageMargins left="0.5" right="0.5" top="0.5555555555555556" bottom="0.5555555555555556" header="0.5" footer="0.5"/>
  <pageSetup orientation="landscape" scale="88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style="160" min="1" max="1"/>
    <col width="12" customWidth="1" style="160" min="2" max="2"/>
    <col width="11" customWidth="1" style="160" min="3" max="3"/>
    <col width="12" customWidth="1" style="160" min="4" max="4"/>
    <col width="11" customWidth="1" style="160" min="5" max="6"/>
  </cols>
  <sheetData>
    <row r="1" ht="30" customHeight="1" s="160">
      <c r="A1" s="77">
        <f>Data!$Q$2&amp;" ("&amp;Data!$Q$3&amp;") — What the Market Has Paid Before"</f>
        <v/>
      </c>
      <c r="B1" s="77" t="n"/>
      <c r="C1" s="77" t="n"/>
      <c r="D1" s="77" t="n"/>
      <c r="E1" s="77" t="n"/>
      <c r="F1" s="77" t="n"/>
    </row>
    <row r="2">
      <c r="A2" s="78" t="inlineStr">
        <is>
          <t>Each fiscal year's EPS (on today's share basis) against the stock's average, high and low price that calendar year</t>
        </is>
      </c>
      <c r="B2" s="78" t="n"/>
      <c r="C2" s="78" t="n"/>
      <c r="D2" s="78" t="n"/>
      <c r="E2" s="78" t="n"/>
      <c r="F2" s="4" t="inlineStr">
        <is>
          <t>← Back to Summary</t>
        </is>
      </c>
    </row>
    <row r="4">
      <c r="A4" s="79" t="inlineStr">
        <is>
          <t>P/E history</t>
        </is>
      </c>
      <c r="B4" s="79" t="n"/>
      <c r="C4" s="79" t="n"/>
      <c r="D4" s="79" t="n"/>
      <c r="E4" s="79" t="n"/>
      <c r="F4" s="79" t="n"/>
    </row>
    <row r="5">
      <c r="A5" s="9" t="inlineStr">
        <is>
          <t>Fiscal year</t>
        </is>
      </c>
      <c r="B5" s="8" t="inlineStr">
        <is>
          <t>EPS ($)</t>
        </is>
      </c>
      <c r="C5" s="8" t="inlineStr">
        <is>
          <t>P/E low</t>
        </is>
      </c>
      <c r="D5" s="8" t="inlineStr">
        <is>
          <t>P/E average</t>
        </is>
      </c>
      <c r="E5" s="8" t="inlineStr">
        <is>
          <t>P/E high</t>
        </is>
      </c>
      <c r="F5" s="8" t="inlineStr">
        <is>
          <t>FCF yield</t>
        </is>
      </c>
    </row>
    <row r="6">
      <c r="A6" s="117" t="n">
        <v>2018</v>
      </c>
      <c r="B6" s="358" t="n">
        <v>1.17</v>
      </c>
      <c r="C6" s="348" t="n">
        <v>53.06837619879308</v>
      </c>
      <c r="D6" s="348" t="n">
        <v>63.36823433552712</v>
      </c>
      <c r="E6" s="348" t="n">
        <v>73.53846232096355</v>
      </c>
      <c r="F6" s="344" t="n">
        <v>0.03205955138771271</v>
      </c>
    </row>
    <row r="7">
      <c r="A7" s="117" t="n">
        <v>2019</v>
      </c>
      <c r="B7" s="358" t="n">
        <v>2.49</v>
      </c>
      <c r="C7" s="348" t="n">
        <v>28.59839320661552</v>
      </c>
      <c r="D7" s="348" t="n">
        <v>35.12516711131636</v>
      </c>
      <c r="E7" s="348" t="n">
        <v>40.87951843997082</v>
      </c>
      <c r="F7" s="349" t="n">
        <v>0.03380457688637052</v>
      </c>
    </row>
    <row r="8">
      <c r="A8" s="117" t="n">
        <v>2020</v>
      </c>
      <c r="B8" s="358" t="n">
        <v>1.6</v>
      </c>
      <c r="C8" s="348" t="n">
        <v>37.5</v>
      </c>
      <c r="D8" s="348" t="n">
        <v>66.850000222524</v>
      </c>
      <c r="E8" s="348" t="n">
        <v>92.46874809265137</v>
      </c>
      <c r="F8" s="349" t="n">
        <v>0.008242398363204262</v>
      </c>
    </row>
    <row r="9">
      <c r="A9" s="117" t="n">
        <v>2021</v>
      </c>
      <c r="B9" s="358" t="n">
        <v>3.56</v>
      </c>
      <c r="C9" s="348" t="n">
        <v>35.23595574196805</v>
      </c>
      <c r="D9" s="348" t="n">
        <v>42.26381073283792</v>
      </c>
      <c r="E9" s="348" t="n">
        <v>50.30899047851562</v>
      </c>
      <c r="F9" s="349" t="n">
        <v>0.02463179921465539</v>
      </c>
    </row>
    <row r="10">
      <c r="A10" s="117" t="n">
        <v>2022</v>
      </c>
      <c r="B10" s="358" t="n">
        <v>3.75</v>
      </c>
      <c r="C10" s="348" t="n">
        <v>21.92533365885417</v>
      </c>
      <c r="D10" s="348" t="n">
        <v>30.86222229003906</v>
      </c>
      <c r="E10" s="348" t="n">
        <v>44.7760009765625</v>
      </c>
      <c r="F10" s="349" t="n">
        <v>0.02374151278870764</v>
      </c>
    </row>
    <row r="11">
      <c r="A11" s="117" t="n">
        <v>2023</v>
      </c>
      <c r="B11" s="358" t="n">
        <v>3.23</v>
      </c>
      <c r="C11" s="348" t="n">
        <v>27.44891754244872</v>
      </c>
      <c r="D11" s="348" t="n">
        <v>34.5830753983851</v>
      </c>
      <c r="E11" s="348" t="n">
        <v>40.65325001814048</v>
      </c>
      <c r="F11" s="349" t="n">
        <v>0.02778661916247631</v>
      </c>
    </row>
    <row r="12">
      <c r="A12" s="117" t="n">
        <v>2024</v>
      </c>
      <c r="B12" s="358" t="n">
        <v>3.73</v>
      </c>
      <c r="C12" s="348" t="n">
        <v>18.96782841823056</v>
      </c>
      <c r="D12" s="348" t="n">
        <v>23.24106354496115</v>
      </c>
      <c r="E12" s="348" t="n">
        <v>28.91420870619869</v>
      </c>
      <c r="F12" s="349" t="n">
        <v>0.04994940058301006</v>
      </c>
    </row>
    <row r="13">
      <c r="A13" s="117" t="n">
        <v>2025</v>
      </c>
      <c r="B13" s="358" t="n">
        <v>2.16</v>
      </c>
      <c r="C13" s="348" t="n">
        <v>24.20370313856337</v>
      </c>
      <c r="D13" s="348" t="n">
        <v>31.73456810138843</v>
      </c>
      <c r="E13" s="348" t="n">
        <v>38.16666779694734</v>
      </c>
      <c r="F13" s="349" t="n">
        <v>0.03199104885961807</v>
      </c>
    </row>
    <row r="14">
      <c r="A14" s="117" t="n">
        <v>2026</v>
      </c>
      <c r="B14" s="358" t="n">
        <v>2.1</v>
      </c>
      <c r="C14" s="348" t="n">
        <v>16.83333260672433</v>
      </c>
      <c r="D14" s="348" t="n">
        <v>22.49788375127883</v>
      </c>
      <c r="E14" s="348" t="n">
        <v>32.61428469703311</v>
      </c>
      <c r="F14" s="349" t="n">
        <v>0.03123416897657139</v>
      </c>
    </row>
    <row r="15">
      <c r="A15" s="6" t="inlineStr">
        <is>
          <t>Today — TTM EPS</t>
        </is>
      </c>
      <c r="B15" s="359">
        <f>IFERROR(Financials!F27,"n/a")</f>
        <v/>
      </c>
      <c r="C15" s="360" t="n"/>
      <c r="D15" s="360">
        <f>IFERROR(Multiples!C16,"n/a")</f>
        <v/>
      </c>
      <c r="E15" s="360" t="n"/>
      <c r="F15" s="361">
        <f>IFERROR(Multiples!C21,"n/a")</f>
        <v/>
      </c>
    </row>
    <row r="16">
      <c r="A16" s="6" t="inlineStr">
        <is>
          <t>Today — FY2026 GAAP EPS</t>
        </is>
      </c>
      <c r="B16" s="359">
        <f>B14</f>
        <v/>
      </c>
      <c r="C16" s="360" t="n"/>
      <c r="D16" s="360">
        <f>IFERROR(Multiples!B5/B16,"n/a")</f>
        <v/>
      </c>
      <c r="E16" s="360" t="n"/>
      <c r="F16" s="361">
        <f>IFERROR(Multiples!B21,"n/a")</f>
        <v/>
      </c>
    </row>
    <row r="17">
      <c r="A17" s="6" t="inlineStr">
        <is>
          <t>Average P/E, FY2018–FY2026</t>
        </is>
      </c>
      <c r="B17" s="362" t="n"/>
      <c r="C17" s="363">
        <f>IFERROR(AVERAGE(C6:C14),"n/a")</f>
        <v/>
      </c>
      <c r="D17" s="363">
        <f>IFERROR(AVERAGE(D6:D14),"n/a")</f>
        <v/>
      </c>
      <c r="E17" s="363">
        <f>IFERROR(AVERAGE(E6:E14),"n/a")</f>
        <v/>
      </c>
      <c r="F17" s="364">
        <f>IFERROR(AVERAGE(F6:F14),"n/a")</f>
        <v/>
      </c>
    </row>
    <row r="19">
      <c r="A19" s="29">
        <f>IFERROR("On clean earnings the stock trades at "&amp;TEXT(D15,"0.0")&amp;"x, versus a "&amp;TEXT(D17,"0.0")&amp;"x average for the years above — "&amp;IF(D15&gt;D17,"above","below")&amp;" its own history."&amp;IF(Financials!F26&gt;0.005," The GAAP TTM P/E of "&amp;TEXT(Multiples!C15,"0.0")&amp;"x is flattered by one-off investment gains.",""),"Not enough price and earnings history for a P/E comparison.")</f>
        <v/>
      </c>
    </row>
  </sheetData>
  <hyperlinks>
    <hyperlink ref="F2" location="'Summary'!A1" display="← Back to Summary"/>
  </hyperlinks>
  <printOptions horizontalCentered="1"/>
  <pageMargins left="0.5" right="0.5" top="0.5555555555555556" bottom="0.5555555555555556" header="0.5" footer="0.5"/>
  <pageSetup orientation="landscape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M56"/>
  <sheetViews>
    <sheetView showGridLines="0" workbookViewId="0">
      <pane ySplit="2" topLeftCell="A36" activePane="bottomLeft" state="frozen"/>
      <selection pane="bottomLeft" activeCell="H18" sqref="H18"/>
    </sheetView>
  </sheetViews>
  <sheetFormatPr baseColWidth="8" defaultRowHeight="14.5"/>
  <cols>
    <col width="45.453125" customWidth="1" style="117" min="1" max="1"/>
    <col width="12.7265625" customWidth="1" style="117" min="2" max="13"/>
    <col width="8.7265625" customWidth="1" style="117" min="14" max="26"/>
  </cols>
  <sheetData>
    <row r="1" ht="30" customHeight="1" s="160">
      <c r="A1" s="2">
        <f>Data!$Q$2&amp;" ("&amp;Data!$Q$3&amp;") — Historical Financials"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>
        <f>"$ in billions except per-share data · "&amp;Data!$Q$2&amp;"'s fiscal year ends "&amp;Data!$Q$6</f>
        <v/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183" t="inlineStr">
        <is>
          <t>← Back to Summary</t>
        </is>
      </c>
      <c r="M2" s="3" t="n"/>
    </row>
    <row r="4">
      <c r="A4" s="5" t="inlineStr">
        <is>
          <t>Annual income &amp; cash flow ($B)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Fiscal year</t>
        </is>
      </c>
      <c r="B5" s="8" t="inlineStr">
        <is>
          <t>FY2017</t>
        </is>
      </c>
      <c r="C5" s="8" t="inlineStr">
        <is>
          <t>FY2018</t>
        </is>
      </c>
      <c r="D5" s="8" t="inlineStr">
        <is>
          <t>FY2019</t>
        </is>
      </c>
      <c r="E5" s="8" t="inlineStr">
        <is>
          <t>FY2020</t>
        </is>
      </c>
      <c r="F5" s="8" t="inlineStr">
        <is>
          <t>FY2021</t>
        </is>
      </c>
      <c r="G5" s="8" t="inlineStr">
        <is>
          <t>FY2022</t>
        </is>
      </c>
      <c r="H5" s="8" t="inlineStr">
        <is>
          <t>FY2023</t>
        </is>
      </c>
      <c r="I5" s="8" t="inlineStr">
        <is>
          <t>FY2024</t>
        </is>
      </c>
      <c r="J5" s="8" t="inlineStr">
        <is>
          <t>FY2025</t>
        </is>
      </c>
      <c r="K5" s="8" t="inlineStr">
        <is>
          <t>FY2026</t>
        </is>
      </c>
      <c r="L5" s="8" t="inlineStr">
        <is>
          <t>9-yr CAGR</t>
        </is>
      </c>
      <c r="M5" s="8" t="inlineStr">
        <is>
          <t>5-yr CAGR</t>
        </is>
      </c>
    </row>
    <row r="6">
      <c r="A6" s="6" t="inlineStr">
        <is>
          <t>Revenue</t>
        </is>
      </c>
      <c r="B6" s="365" t="n">
        <v>34.35</v>
      </c>
      <c r="C6" s="365" t="n">
        <v>36.397</v>
      </c>
      <c r="D6" s="365" t="n">
        <v>39.117</v>
      </c>
      <c r="E6" s="365" t="n">
        <v>37.403</v>
      </c>
      <c r="F6" s="365" t="n">
        <v>44.538</v>
      </c>
      <c r="G6" s="365" t="n">
        <v>46.71</v>
      </c>
      <c r="H6" s="365" t="n">
        <v>51.217</v>
      </c>
      <c r="I6" s="365" t="n">
        <v>51.362</v>
      </c>
      <c r="J6" s="365" t="n">
        <v>46.309</v>
      </c>
      <c r="K6" s="365" t="n">
        <v>46.398</v>
      </c>
      <c r="L6" s="366">
        <f>IFERROR((K6/B6)^(1/9)-1,"n/a")</f>
        <v/>
      </c>
      <c r="M6" s="366">
        <f>IFERROR((K6/F6)^(1/5)-1,"n/a")</f>
        <v/>
      </c>
    </row>
    <row r="7">
      <c r="A7" s="12" t="inlineStr">
        <is>
          <t xml:space="preserve">  Growth y/y</t>
        </is>
      </c>
      <c r="B7" s="367" t="n"/>
      <c r="C7" s="367">
        <f>IFERROR(C6/B6-1,"")</f>
        <v/>
      </c>
      <c r="D7" s="367">
        <f>IFERROR(D6/C6-1,"")</f>
        <v/>
      </c>
      <c r="E7" s="367">
        <f>IFERROR(E6/D6-1,"")</f>
        <v/>
      </c>
      <c r="F7" s="367">
        <f>IFERROR(F6/E6-1,"")</f>
        <v/>
      </c>
      <c r="G7" s="367">
        <f>IFERROR(G6/F6-1,"")</f>
        <v/>
      </c>
      <c r="H7" s="367">
        <f>IFERROR(H6/G6-1,"")</f>
        <v/>
      </c>
      <c r="I7" s="367">
        <f>IFERROR(I6/H6-1,"")</f>
        <v/>
      </c>
      <c r="J7" s="367">
        <f>IFERROR(J6/I6-1,"")</f>
        <v/>
      </c>
      <c r="K7" s="367">
        <f>IFERROR(K6/J6-1,"")</f>
        <v/>
      </c>
      <c r="L7" s="367" t="n"/>
      <c r="M7" s="367" t="n"/>
    </row>
    <row r="8">
      <c r="A8" s="6" t="inlineStr">
        <is>
          <t>Net income</t>
        </is>
      </c>
      <c r="B8" s="365" t="n">
        <v>4.24</v>
      </c>
      <c r="C8" s="365" t="n">
        <v>1.933</v>
      </c>
      <c r="D8" s="365" t="n">
        <v>4.029</v>
      </c>
      <c r="E8" s="365" t="n">
        <v>2.539</v>
      </c>
      <c r="F8" s="365" t="n">
        <v>5.727</v>
      </c>
      <c r="G8" s="365" t="n">
        <v>6.046</v>
      </c>
      <c r="H8" s="365" t="n">
        <v>5.07</v>
      </c>
      <c r="I8" s="365" t="n">
        <v>5.7</v>
      </c>
      <c r="J8" s="365" t="n">
        <v>3.219</v>
      </c>
      <c r="K8" s="365" t="n">
        <v>3.108</v>
      </c>
      <c r="L8" s="366">
        <f>IFERROR((K8/B8)^(1/9)-1,"n/a")</f>
        <v/>
      </c>
      <c r="M8" s="366">
        <f>IFERROR((K8/F8)^(1/5)-1,"n/a")</f>
        <v/>
      </c>
    </row>
    <row r="9">
      <c r="A9" s="12" t="inlineStr">
        <is>
          <t xml:space="preserve">  Net margin</t>
        </is>
      </c>
      <c r="B9" s="367">
        <f>IFERROR(B8/B6,"")</f>
        <v/>
      </c>
      <c r="C9" s="367">
        <f>IFERROR(C8/C6,"")</f>
        <v/>
      </c>
      <c r="D9" s="367">
        <f>IFERROR(D8/D6,"")</f>
        <v/>
      </c>
      <c r="E9" s="367">
        <f>IFERROR(E8/E6,"")</f>
        <v/>
      </c>
      <c r="F9" s="367">
        <f>IFERROR(F8/F6,"")</f>
        <v/>
      </c>
      <c r="G9" s="367">
        <f>IFERROR(G8/G6,"")</f>
        <v/>
      </c>
      <c r="H9" s="367">
        <f>IFERROR(H8/H6,"")</f>
        <v/>
      </c>
      <c r="I9" s="367">
        <f>IFERROR(I8/I6,"")</f>
        <v/>
      </c>
      <c r="J9" s="367">
        <f>IFERROR(J8/J6,"")</f>
        <v/>
      </c>
      <c r="K9" s="367">
        <f>IFERROR(K8/K6,"")</f>
        <v/>
      </c>
      <c r="L9" s="367" t="n"/>
      <c r="M9" s="367" t="n"/>
    </row>
    <row r="10">
      <c r="A10" s="6" t="inlineStr">
        <is>
          <t>Free cash flow (CFO − capex)</t>
        </is>
      </c>
      <c r="B10" s="365" t="n">
        <v>2.535</v>
      </c>
      <c r="C10" s="365" t="n">
        <v>3.927</v>
      </c>
      <c r="D10" s="365" t="n">
        <v>4.784</v>
      </c>
      <c r="E10" s="365" t="n">
        <v>1.399</v>
      </c>
      <c r="F10" s="365" t="n">
        <v>5.962</v>
      </c>
      <c r="G10" s="365" t="n">
        <v>4.43</v>
      </c>
      <c r="H10" s="365" t="n">
        <v>4.872</v>
      </c>
      <c r="I10" s="365" t="n">
        <v>6.617</v>
      </c>
      <c r="J10" s="365" t="n">
        <v>3.268</v>
      </c>
      <c r="K10" s="365" t="n">
        <v>2.184</v>
      </c>
      <c r="L10" s="366">
        <f>IFERROR((K10/B10)^(1/9)-1,"n/a")</f>
        <v/>
      </c>
      <c r="M10" s="366">
        <f>IFERROR((K10/F10)^(1/5)-1,"n/a")</f>
        <v/>
      </c>
    </row>
    <row r="11">
      <c r="A11" s="12" t="inlineStr">
        <is>
          <t xml:space="preserve">  FCF margin</t>
        </is>
      </c>
      <c r="B11" s="367">
        <f>IFERROR(B10/B6,"")</f>
        <v/>
      </c>
      <c r="C11" s="367">
        <f>IFERROR(C10/C6,"")</f>
        <v/>
      </c>
      <c r="D11" s="367">
        <f>IFERROR(D10/D6,"")</f>
        <v/>
      </c>
      <c r="E11" s="367">
        <f>IFERROR(E10/E6,"")</f>
        <v/>
      </c>
      <c r="F11" s="367">
        <f>IFERROR(F10/F6,"")</f>
        <v/>
      </c>
      <c r="G11" s="367">
        <f>IFERROR(G10/G6,"")</f>
        <v/>
      </c>
      <c r="H11" s="367">
        <f>IFERROR(H10/H6,"")</f>
        <v/>
      </c>
      <c r="I11" s="367">
        <f>IFERROR(I10/I6,"")</f>
        <v/>
      </c>
      <c r="J11" s="367">
        <f>IFERROR(J10/J6,"")</f>
        <v/>
      </c>
      <c r="K11" s="367">
        <f>IFERROR(K10/K6,"")</f>
        <v/>
      </c>
      <c r="L11" s="367" t="n"/>
      <c r="M11" s="367" t="n"/>
    </row>
    <row r="12">
      <c r="A12" s="12" t="inlineStr">
        <is>
          <t xml:space="preserve">  FCF ÷ net income</t>
        </is>
      </c>
      <c r="B12" s="368">
        <f>IFERROR(B10/B8,"")</f>
        <v/>
      </c>
      <c r="C12" s="368">
        <f>IFERROR(C10/C8,"")</f>
        <v/>
      </c>
      <c r="D12" s="368">
        <f>IFERROR(D10/D8,"")</f>
        <v/>
      </c>
      <c r="E12" s="368">
        <f>IFERROR(E10/E8,"")</f>
        <v/>
      </c>
      <c r="F12" s="368">
        <f>IFERROR(F10/F8,"")</f>
        <v/>
      </c>
      <c r="G12" s="368">
        <f>IFERROR(G10/G8,"")</f>
        <v/>
      </c>
      <c r="H12" s="368">
        <f>IFERROR(H10/H8,"")</f>
        <v/>
      </c>
      <c r="I12" s="368">
        <f>IFERROR(I10/I8,"")</f>
        <v/>
      </c>
      <c r="J12" s="368">
        <f>IFERROR(J10/J8,"")</f>
        <v/>
      </c>
      <c r="K12" s="368">
        <f>IFERROR(K10/K8,"")</f>
        <v/>
      </c>
      <c r="L12" s="367" t="n"/>
      <c r="M12" s="367" t="n"/>
    </row>
    <row r="14">
      <c r="A14" s="5">
        <f>"Latest four quarters — "&amp;Data!$Q$2&amp;" 10-Q / 10-K filings ($B except per share)"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9" t="inlineStr">
        <is>
          <t>Fiscal quarter</t>
        </is>
      </c>
      <c r="B15" s="8" t="inlineStr">
        <is>
          <t>Q1 FY26</t>
        </is>
      </c>
      <c r="C15" s="8" t="inlineStr">
        <is>
          <t>Q2 FY26</t>
        </is>
      </c>
      <c r="D15" s="8" t="inlineStr">
        <is>
          <t>Q3 FY26</t>
        </is>
      </c>
      <c r="E15" s="8" t="inlineStr">
        <is>
          <t>Q4 FY26</t>
        </is>
      </c>
      <c r="F15" s="8" t="inlineStr">
        <is>
          <t>TTM</t>
        </is>
      </c>
    </row>
    <row r="16">
      <c r="A16" s="16" t="inlineStr">
        <is>
          <t>Quarter ended</t>
        </is>
      </c>
      <c r="B16" s="17" t="n">
        <v>45900</v>
      </c>
      <c r="C16" s="17" t="n">
        <v>45991</v>
      </c>
      <c r="D16" s="17" t="n">
        <v>46081</v>
      </c>
      <c r="E16" s="17" t="n">
        <v>46173</v>
      </c>
      <c r="F16" s="17" t="n">
        <v>46173</v>
      </c>
    </row>
    <row r="17">
      <c r="A17" s="6" t="inlineStr">
        <is>
          <t>Revenue</t>
        </is>
      </c>
      <c r="B17" s="365" t="n">
        <v>11.72</v>
      </c>
      <c r="C17" s="365" t="n">
        <v>12.427</v>
      </c>
      <c r="D17" s="365" t="n">
        <v>11.279</v>
      </c>
      <c r="E17" s="365" t="n">
        <v>10.972</v>
      </c>
      <c r="F17" s="369">
        <f>SUM(B17:E17)</f>
        <v/>
      </c>
    </row>
    <row r="18">
      <c r="A18" s="117" t="inlineStr">
        <is>
          <t xml:space="preserve">  Revenue growth y/y (as reported)</t>
        </is>
      </c>
      <c r="B18" s="370" t="n">
        <v>0.01130382259038742</v>
      </c>
      <c r="C18" s="370" t="n">
        <v>0.00590901732232485</v>
      </c>
      <c r="D18" s="370" t="n">
        <v>0.000887390185464465</v>
      </c>
      <c r="E18" s="370" t="n">
        <v>-0.01126430566819858</v>
      </c>
      <c r="F18" s="371" t="n"/>
    </row>
    <row r="19">
      <c r="A19" s="6" t="inlineStr">
        <is>
          <t>Diluted EPS ($)</t>
        </is>
      </c>
      <c r="B19" s="372" t="n">
        <v>0.49</v>
      </c>
      <c r="C19" s="372" t="n">
        <v>0.53</v>
      </c>
      <c r="D19" s="372" t="n">
        <v>0.35</v>
      </c>
      <c r="E19" s="372" t="n">
        <v>0.72</v>
      </c>
      <c r="F19" s="373">
        <f>SUM(B19:E19)</f>
        <v/>
      </c>
    </row>
    <row r="20">
      <c r="A20" s="117" t="inlineStr">
        <is>
          <t xml:space="preserve">  Diluted EPS growth y/y (as reported)</t>
        </is>
      </c>
      <c r="B20" s="370" t="n">
        <v>-0.2999999999999999</v>
      </c>
      <c r="C20" s="370" t="n">
        <v>-0.3205128205128205</v>
      </c>
      <c r="D20" s="370" t="n">
        <v>-0.351851851851852</v>
      </c>
      <c r="E20" s="370" t="n">
        <v>4.14285714285714</v>
      </c>
      <c r="F20" s="371" t="n"/>
    </row>
    <row r="21">
      <c r="A21" s="6" t="inlineStr">
        <is>
          <t>Net income ($B)</t>
        </is>
      </c>
      <c r="B21" s="374" t="n">
        <v>0.727</v>
      </c>
      <c r="C21" s="374" t="n">
        <v>0.792</v>
      </c>
      <c r="D21" s="374" t="n">
        <v>0.52</v>
      </c>
      <c r="E21" s="374" t="n">
        <v>1.069</v>
      </c>
      <c r="F21" s="375">
        <f>SUM(B21:E21)</f>
        <v/>
      </c>
    </row>
    <row r="22">
      <c r="A22" s="6" t="inlineStr">
        <is>
          <t>Operating income ($B)</t>
        </is>
      </c>
      <c r="B22" s="374" t="n">
        <v>0.927</v>
      </c>
      <c r="C22" s="374" t="n">
        <v>1.006</v>
      </c>
      <c r="D22" s="374" t="n">
        <v>0.553</v>
      </c>
      <c r="E22" s="374" t="n">
        <v>1.311</v>
      </c>
      <c r="F22" s="375">
        <f>SUM(B22:E22)</f>
        <v/>
      </c>
    </row>
    <row r="23">
      <c r="A23" s="117" t="inlineStr">
        <is>
          <t xml:space="preserve">  Operating margin</t>
        </is>
      </c>
      <c r="B23" s="376">
        <f>IFERROR(B22/B17,"n/a")</f>
        <v/>
      </c>
      <c r="C23" s="376">
        <f>IFERROR(C22/C17,"n/a")</f>
        <v/>
      </c>
      <c r="D23" s="376">
        <f>IFERROR(D22/D17,"n/a")</f>
        <v/>
      </c>
      <c r="E23" s="376">
        <f>IFERROR(E22/E17,"n/a")</f>
        <v/>
      </c>
      <c r="F23" s="377">
        <f>IFERROR(F22/F17,"n/a")</f>
        <v/>
      </c>
    </row>
    <row r="24">
      <c r="A24" s="6" t="inlineStr">
        <is>
          <t>Other income (expense), net ($B)</t>
        </is>
      </c>
      <c r="B24" s="374" t="n"/>
      <c r="C24" s="374" t="n"/>
      <c r="D24" s="374" t="n"/>
      <c r="E24" s="374" t="n"/>
      <c r="F24" s="375">
        <f>SUM(B24:E24)</f>
        <v/>
      </c>
    </row>
    <row r="25">
      <c r="A25" s="6" t="inlineStr">
        <is>
          <t xml:space="preserve">  Net-income effect of equity-security gains ($B)</t>
        </is>
      </c>
      <c r="B25" s="374" t="n">
        <v>0</v>
      </c>
      <c r="C25" s="374" t="n">
        <v>0</v>
      </c>
      <c r="D25" s="374" t="n">
        <v>0</v>
      </c>
      <c r="E25" s="374" t="n">
        <v>0</v>
      </c>
      <c r="F25" s="375">
        <f>SUM(B25:E25)</f>
        <v/>
      </c>
    </row>
    <row r="26">
      <c r="A26" s="6" t="inlineStr">
        <is>
          <t xml:space="preserve">  EPS effect of equity-security gains ($)</t>
        </is>
      </c>
      <c r="B26" s="378" t="n">
        <v>0</v>
      </c>
      <c r="C26" s="378" t="n">
        <v>0</v>
      </c>
      <c r="D26" s="378" t="n">
        <v>0</v>
      </c>
      <c r="E26" s="378" t="n">
        <v>0</v>
      </c>
      <c r="F26" s="379">
        <f>SUM(B26:E26)</f>
        <v/>
      </c>
    </row>
    <row r="27">
      <c r="A27" s="6" t="inlineStr">
        <is>
          <t>Diluted EPS excl. equity-security gains ($)</t>
        </is>
      </c>
      <c r="B27" s="380">
        <f>B19-B26</f>
        <v/>
      </c>
      <c r="C27" s="380">
        <f>C19-C26</f>
        <v/>
      </c>
      <c r="D27" s="380">
        <f>D19-D26</f>
        <v/>
      </c>
      <c r="E27" s="380">
        <f>E19-E26</f>
        <v/>
      </c>
      <c r="F27" s="379">
        <f>IFERROR(F19-F26,"n/a")</f>
        <v/>
      </c>
    </row>
    <row r="28">
      <c r="A28" s="29" t="inlineStr">
        <is>
          <t>Q4 FY26 EPS is the full year less the first nine months (the 10-K reports the year, not the quarter). Equity-security gains are immaterial (&lt; 5% of trailing net income), so clean EPS equals GAAP EPS.</t>
        </is>
      </c>
    </row>
    <row r="30">
      <c r="A30" s="5" t="inlineStr">
        <is>
          <t>Balance sheet &amp; other items ($B)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8" customHeight="1" s="160">
      <c r="A31" s="9" t="n"/>
      <c r="B31" s="37" t="inlineStr">
        <is>
          <t>FY2026 · 31-May-2026 (10-K)</t>
        </is>
      </c>
      <c r="C31" s="37" t="inlineStr">
        <is>
          <t>Latest · 31-May-2026 (10-K)</t>
        </is>
      </c>
    </row>
    <row r="32">
      <c r="A32" s="117" t="inlineStr">
        <is>
          <t>Cash &amp; cash equivalents</t>
        </is>
      </c>
      <c r="B32" s="381" t="n">
        <v>7.563</v>
      </c>
      <c r="C32" s="382" t="n">
        <v>7.563</v>
      </c>
    </row>
    <row r="33">
      <c r="A33" s="117" t="inlineStr">
        <is>
          <t>Current marketable securities</t>
        </is>
      </c>
      <c r="B33" s="381" t="n">
        <v>0</v>
      </c>
      <c r="C33" s="382" t="n">
        <v>0</v>
      </c>
    </row>
    <row r="34">
      <c r="A34" s="117" t="inlineStr">
        <is>
          <t>Non-current marketable securities</t>
        </is>
      </c>
      <c r="B34" s="381" t="n">
        <v>0</v>
      </c>
      <c r="C34" s="382" t="n">
        <v>0</v>
      </c>
    </row>
    <row r="35">
      <c r="A35" s="6" t="inlineStr">
        <is>
          <t>Total cash &amp; marketable securities</t>
        </is>
      </c>
      <c r="B35" s="383">
        <f>SUM(B32:B34)</f>
        <v/>
      </c>
      <c r="C35" s="384">
        <f>SUM(C32:C34)</f>
        <v/>
      </c>
    </row>
    <row r="36">
      <c r="A36" s="117" t="inlineStr">
        <is>
          <t>Short-term debt &amp; current maturities</t>
        </is>
      </c>
      <c r="B36" s="381" t="n">
        <v>2</v>
      </c>
      <c r="C36" s="382" t="n">
        <v>2</v>
      </c>
    </row>
    <row r="37">
      <c r="A37" s="117" t="inlineStr">
        <is>
          <t>Long-term debt (carrying amount)</t>
        </is>
      </c>
      <c r="B37" s="381" t="n">
        <v>5.942</v>
      </c>
      <c r="C37" s="382" t="n">
        <v>5.942</v>
      </c>
    </row>
    <row r="38">
      <c r="A38" s="6" t="inlineStr">
        <is>
          <t>Total debt</t>
        </is>
      </c>
      <c r="B38" s="383">
        <f>B36+B37</f>
        <v/>
      </c>
      <c r="C38" s="384">
        <f>C36+C37</f>
        <v/>
      </c>
    </row>
    <row r="39">
      <c r="A39" s="33" t="inlineStr">
        <is>
          <t>Net cash / (net debt) — all securities</t>
        </is>
      </c>
      <c r="B39" s="385">
        <f>B35-B38</f>
        <v/>
      </c>
      <c r="C39" s="386">
        <f>C35-C38</f>
        <v/>
      </c>
    </row>
    <row r="40">
      <c r="A40" s="117" t="inlineStr">
        <is>
          <t>Shareholders' equity</t>
        </is>
      </c>
      <c r="B40" s="381" t="n">
        <v>14.865</v>
      </c>
      <c r="C40" s="382" t="n">
        <v>14.865</v>
      </c>
    </row>
    <row r="41">
      <c r="A41" s="117" t="inlineStr">
        <is>
          <t>Total assets</t>
        </is>
      </c>
      <c r="B41" s="381" t="n">
        <v>38.41</v>
      </c>
      <c r="C41" s="382" t="n">
        <v>38.41</v>
      </c>
    </row>
    <row r="42">
      <c r="A42" s="117" t="inlineStr">
        <is>
          <t>Cash from operations</t>
        </is>
      </c>
      <c r="B42" s="381" t="n">
        <v>2.868</v>
      </c>
      <c r="C42" s="382" t="n">
        <v>2.868</v>
      </c>
    </row>
    <row r="43">
      <c r="A43" s="117" t="inlineStr">
        <is>
          <t>Capital expenditures</t>
        </is>
      </c>
      <c r="B43" s="387">
        <f>B42-K10</f>
        <v/>
      </c>
      <c r="C43" s="382" t="n">
        <v>0.6840000000000001</v>
      </c>
    </row>
    <row r="44">
      <c r="A44" s="117" t="inlineStr">
        <is>
          <t>Share-based compensation</t>
        </is>
      </c>
      <c r="B44" s="381" t="n">
        <v>0.715</v>
      </c>
      <c r="C44" s="382" t="n">
        <v>0.715</v>
      </c>
    </row>
    <row r="45">
      <c r="A45" s="117" t="inlineStr">
        <is>
          <t>FCF after SBC</t>
        </is>
      </c>
      <c r="B45" s="387">
        <f>K10-B44</f>
        <v/>
      </c>
      <c r="C45" s="344">
        <f>C42-C43-C44</f>
        <v/>
      </c>
    </row>
    <row r="46">
      <c r="A46" s="117" t="inlineStr">
        <is>
          <t>Depreciation &amp; amortisation</t>
        </is>
      </c>
      <c r="B46" s="381" t="n">
        <v>0.747</v>
      </c>
      <c r="C46" s="382" t="n">
        <v>0.747</v>
      </c>
    </row>
    <row r="47">
      <c r="A47" s="117" t="inlineStr">
        <is>
          <t>Operating income</t>
        </is>
      </c>
      <c r="B47" s="381" t="n">
        <v>3.797</v>
      </c>
      <c r="C47" s="382" t="n">
        <v>3.797</v>
      </c>
    </row>
    <row r="48">
      <c r="A48" s="117" t="inlineStr">
        <is>
          <t>Shares outstanding (B) — A+B+C, filing cover</t>
        </is>
      </c>
      <c r="B48" s="388">
        <f>C56</f>
        <v/>
      </c>
      <c r="C48" s="344" t="n"/>
    </row>
    <row r="50">
      <c r="A50" s="29" t="inlineStr">
        <is>
          <t>Annual figures are SEC XBRL company-facts values (10-K filings) supplied by QuantWizard; quarterly, balance-sheet and TTM figures are from the XBRL in each 10-Q / 10-K (hover for the filing). Blue = hard-coded source input · Green = link to another tab · Black = formula.</t>
        </is>
      </c>
    </row>
    <row r="52">
      <c r="A52" s="5" t="inlineStr">
        <is>
          <t>Capital structure &amp; non-operating assets ($B)</t>
        </is>
      </c>
      <c r="B52" s="5" t="n"/>
      <c r="C52" s="5" t="n"/>
    </row>
    <row r="53" ht="26.5" customHeight="1" s="160">
      <c r="A53" s="9" t="n"/>
      <c r="B53" s="37" t="inlineStr">
        <is>
          <t>FY2026 · 31-May-2026</t>
        </is>
      </c>
      <c r="C53" s="37" t="inlineStr">
        <is>
          <t>Latest · 31-May-2026</t>
        </is>
      </c>
    </row>
    <row r="54">
      <c r="A54" s="117" t="inlineStr">
        <is>
          <t>Non-marketable securities (private equity stakes)</t>
        </is>
      </c>
      <c r="B54" s="381" t="n">
        <v>0</v>
      </c>
      <c r="C54" s="382" t="n">
        <v>0</v>
      </c>
    </row>
    <row r="55">
      <c r="A55" s="117" t="inlineStr">
        <is>
          <t>Preferred stock (carrying value)</t>
        </is>
      </c>
      <c r="B55" s="381" t="n">
        <v>0</v>
      </c>
      <c r="C55" s="382" t="n">
        <v>0</v>
      </c>
    </row>
    <row r="56">
      <c r="A56" s="117" t="inlineStr">
        <is>
          <t>Shares outstanding (B) — all classes, filing cover</t>
        </is>
      </c>
      <c r="B56" s="389" t="n">
        <v>1.481</v>
      </c>
      <c r="C56" s="390" t="n">
        <v>1.483498703</v>
      </c>
    </row>
  </sheetData>
  <hyperlinks>
    <hyperlink ref="L2" location="'Summary'!A1" display="← Back to Summary"/>
  </hyperlinks>
  <printOptions horizontalCentered="1"/>
  <pageMargins left="0.5" right="0.5" top="0.5555555555555556" bottom="0.5555555555555556" header="0.3" footer="0.3"/>
  <pageSetup orientation="landscape" scale="64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548235"/>
    <outlinePr summaryBelow="1" summaryRight="1"/>
    <pageSetUpPr/>
  </sheetPr>
  <dimension ref="A1:J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41.81640625" customWidth="1" style="160" min="1" max="1"/>
    <col width="14.90625" customWidth="1" style="160" min="2" max="10"/>
  </cols>
  <sheetData>
    <row r="1" ht="21" customHeight="1" s="160">
      <c r="A1" s="219">
        <f>Data!$Q$2&amp;" ("&amp;Data!$Q$3&amp;") — Segments, Sum-of-the-Parts &amp; Street Estimates"</f>
        <v/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</row>
    <row r="2">
      <c r="A2" s="220" t="inlineStr">
        <is>
          <t>Latest reported quarter vs the same quarter a year earlier · $ in billions · blue = QuantWizard inputs or house assumptions</t>
        </is>
      </c>
      <c r="B2" s="220" t="n"/>
      <c r="C2" s="220" t="n"/>
      <c r="D2" s="220" t="n"/>
      <c r="E2" s="220" t="n"/>
      <c r="F2" s="220" t="n"/>
      <c r="G2" s="220" t="n"/>
      <c r="H2" s="220" t="n"/>
      <c r="I2" s="221" t="inlineStr">
        <is>
          <t>← Back to Summary</t>
        </is>
      </c>
      <c r="J2" s="220" t="n"/>
    </row>
    <row r="4">
      <c r="A4" s="161" t="inlineStr">
        <is>
          <t>Segment results</t>
        </is>
      </c>
      <c r="B4" s="161">
        <f>"Fiscal year: "&amp;Financials!K5</f>
        <v/>
      </c>
      <c r="C4" s="161" t="n"/>
      <c r="D4" s="161" t="n"/>
      <c r="E4" s="161" t="n"/>
      <c r="F4" s="161" t="n"/>
      <c r="G4" s="161" t="n"/>
      <c r="H4" s="161" t="n"/>
      <c r="I4" s="161" t="n"/>
      <c r="J4" s="161" t="n"/>
    </row>
    <row r="5" ht="30" customHeight="1" s="160">
      <c r="A5" s="253" t="inlineStr">
        <is>
          <t>Segment</t>
        </is>
      </c>
      <c r="B5" s="253" t="inlineStr">
        <is>
          <t>Revenue, yr-ago qtr</t>
        </is>
      </c>
      <c r="C5" s="253" t="inlineStr">
        <is>
          <t>Revenue, latest qtr</t>
        </is>
      </c>
      <c r="D5" s="253" t="inlineStr">
        <is>
          <t>Growth y/y</t>
        </is>
      </c>
      <c r="E5" s="253" t="inlineStr">
        <is>
          <t>Op. income, yr-ago qtr</t>
        </is>
      </c>
      <c r="F5" s="253" t="inlineStr">
        <is>
          <t>Op. income, latest qtr</t>
        </is>
      </c>
      <c r="G5" s="253" t="inlineStr">
        <is>
          <t>Op. margin, latest</t>
        </is>
      </c>
      <c r="H5" s="253" t="inlineStr">
        <is>
          <t>Operating income, full year</t>
        </is>
      </c>
      <c r="I5" s="253" t="inlineStr">
        <is>
          <t>EV / EBIT multiple</t>
        </is>
      </c>
      <c r="J5" s="253" t="inlineStr">
        <is>
          <t>Implied EV</t>
        </is>
      </c>
    </row>
    <row r="6">
      <c r="A6" t="inlineStr">
        <is>
          <t>NIKE Brand</t>
        </is>
      </c>
      <c r="B6" s="391" t="n">
        <v>44.714</v>
      </c>
      <c r="C6" s="391" t="n">
        <v>45.222</v>
      </c>
      <c r="D6" s="392">
        <f>IF(N(B6)&gt;0,C6/B6-1,"–")</f>
        <v/>
      </c>
      <c r="E6" s="391" t="n"/>
      <c r="F6" s="391" t="n"/>
      <c r="G6" s="392">
        <f>IF(N(C6)&gt;0,F6/C6,"–")</f>
        <v/>
      </c>
      <c r="H6" s="393">
        <f>N(F6)</f>
        <v/>
      </c>
      <c r="I6" s="394" t="n">
        <v>0</v>
      </c>
      <c r="J6" s="393">
        <f>H6*N(I6)</f>
        <v/>
      </c>
    </row>
    <row r="7">
      <c r="A7" t="inlineStr">
        <is>
          <t>Converse</t>
        </is>
      </c>
      <c r="B7" s="391" t="n">
        <v>1.692</v>
      </c>
      <c r="C7" s="391" t="n">
        <v>1.174</v>
      </c>
      <c r="D7" s="392">
        <f>IF(N(B7)&gt;0,C7/B7-1,"–")</f>
        <v/>
      </c>
      <c r="E7" s="391" t="n"/>
      <c r="F7" s="391" t="n"/>
      <c r="G7" s="392">
        <f>IF(N(C7)&gt;0,F7/C7,"–")</f>
        <v/>
      </c>
      <c r="H7" s="393">
        <f>N(F7)</f>
        <v/>
      </c>
      <c r="I7" s="394" t="n">
        <v>0</v>
      </c>
      <c r="J7" s="393">
        <f>H7*N(I7)</f>
        <v/>
      </c>
    </row>
    <row r="8">
      <c r="B8" s="391" t="n"/>
      <c r="C8" s="391" t="n"/>
      <c r="D8" s="392">
        <f>IF(N(B8)&gt;0,C8/B8-1,"–")</f>
        <v/>
      </c>
      <c r="E8" s="391" t="n"/>
      <c r="F8" s="391" t="n"/>
      <c r="G8" s="392">
        <f>IF(N(C8)&gt;0,F8/C8,"–")</f>
        <v/>
      </c>
      <c r="H8" s="393">
        <f>N(F8)</f>
        <v/>
      </c>
      <c r="I8" s="394" t="n"/>
      <c r="J8" s="393">
        <f>H8*N(I8)</f>
        <v/>
      </c>
    </row>
    <row r="9">
      <c r="B9" s="391" t="n"/>
      <c r="C9" s="391" t="n"/>
      <c r="D9" s="392">
        <f>IF(N(B9)&gt;0,C9/B9-1,"–")</f>
        <v/>
      </c>
      <c r="E9" s="391" t="n"/>
      <c r="F9" s="391" t="n"/>
      <c r="G9" s="392">
        <f>IF(N(C9)&gt;0,F9/C9,"–")</f>
        <v/>
      </c>
      <c r="H9" s="393">
        <f>N(F9)</f>
        <v/>
      </c>
      <c r="I9" s="394" t="n"/>
      <c r="J9" s="393">
        <f>H9*N(I9)</f>
        <v/>
      </c>
    </row>
    <row r="10">
      <c r="B10" s="391" t="n"/>
      <c r="C10" s="391" t="n"/>
      <c r="D10" s="392">
        <f>IF(N(B10)&gt;0,C10/B10-1,"–")</f>
        <v/>
      </c>
      <c r="E10" s="391" t="n"/>
      <c r="F10" s="391" t="n"/>
      <c r="G10" s="392">
        <f>IF(N(C10)&gt;0,F10/C10,"–")</f>
        <v/>
      </c>
      <c r="H10" s="393">
        <f>N(F10)</f>
        <v/>
      </c>
      <c r="I10" s="394" t="n"/>
      <c r="J10" s="393">
        <f>H10*N(I10)</f>
        <v/>
      </c>
    </row>
    <row r="11">
      <c r="B11" s="391" t="n"/>
      <c r="C11" s="391" t="n"/>
      <c r="D11" s="392">
        <f>IF(N(B11)&gt;0,C11/B11-1,"–")</f>
        <v/>
      </c>
      <c r="E11" s="391" t="n"/>
      <c r="F11" s="391" t="n"/>
      <c r="G11" s="392">
        <f>IF(N(C11)&gt;0,F11/C11,"–")</f>
        <v/>
      </c>
      <c r="H11" s="393">
        <f>N(F11)</f>
        <v/>
      </c>
      <c r="I11" s="394" t="n"/>
      <c r="J11" s="393">
        <f>H11*N(I11)</f>
        <v/>
      </c>
    </row>
    <row r="12">
      <c r="A12" s="255" t="inlineStr">
        <is>
          <t>Total</t>
        </is>
      </c>
      <c r="B12" s="395">
        <f>SUM(B6:B11)</f>
        <v/>
      </c>
      <c r="C12" s="395">
        <f>SUM(C6:C11)</f>
        <v/>
      </c>
      <c r="D12" s="396">
        <f>IF(B12&gt;0,C12/B12-1,"–")</f>
        <v/>
      </c>
      <c r="E12" s="395">
        <f>SUM(E6:E11)</f>
        <v/>
      </c>
      <c r="F12" s="395">
        <f>SUM(F6:F11)</f>
        <v/>
      </c>
      <c r="G12" s="396">
        <f>IF(C12&gt;0,F12/C12,"–")</f>
        <v/>
      </c>
      <c r="H12" s="395">
        <f>SUM(H6:H11)</f>
        <v/>
      </c>
      <c r="I12" s="255" t="n"/>
      <c r="J12" s="395">
        <f>SUM(J6:J11)</f>
        <v/>
      </c>
    </row>
    <row r="13">
      <c r="A13" s="29">
        <f>IF(ABS(C12-Financials!K6)&lt;0.05,"✓ segment revenue ties to reported annual revenue","⚠ segment revenue differs from Financials!K6 by $"&amp;TEXT(C12-Financials!K6,"0.00")&amp;"B")</f>
        <v/>
      </c>
    </row>
    <row r="15">
      <c r="A15" s="161" t="inlineStr">
        <is>
          <t>Sum-of-the-parts (SOTP)</t>
        </is>
      </c>
      <c r="B15" s="161" t="n"/>
      <c r="C15" s="161" t="n"/>
      <c r="D15" s="161" t="n"/>
      <c r="E15" s="161" t="n"/>
      <c r="F15" s="161" t="n"/>
      <c r="G15" s="161" t="n"/>
      <c r="H15" s="161" t="n"/>
      <c r="I15" s="161" t="n"/>
      <c r="J15" s="161" t="n"/>
    </row>
    <row r="16">
      <c r="A16" t="inlineStr">
        <is>
          <t>Operating EV from segments ($B)</t>
        </is>
      </c>
      <c r="B16" s="393">
        <f>IFERROR(J12,"n/a")</f>
        <v/>
      </c>
      <c r="C16" s="159" t="inlineStr">
        <is>
          <t>Annualised latest-quarter segment profit × EV/EBIT multiples above. Loss-making segments at 0x = no value, no penalty.</t>
        </is>
      </c>
    </row>
    <row r="17">
      <c r="A17" t="inlineStr">
        <is>
          <t>Add: non-operating adjustments ($B)</t>
        </is>
      </c>
      <c r="B17" s="393">
        <f>IFERROR(DCF!B47,"n/a")</f>
        <v/>
      </c>
      <c r="C17" s="159" t="inlineStr">
        <is>
          <t>Net cash − preferred + non-marketable stakes (same as the DCF).</t>
        </is>
      </c>
    </row>
    <row r="18">
      <c r="A18" t="inlineStr">
        <is>
          <t>Equity value ($B)</t>
        </is>
      </c>
      <c r="B18" s="393">
        <f>IFERROR(B16+B17,"n/a")</f>
        <v/>
      </c>
      <c r="C18" s="159" t="n"/>
    </row>
    <row r="19">
      <c r="A19" s="217" t="inlineStr">
        <is>
          <t>SOTP value per share ($)</t>
        </is>
      </c>
      <c r="B19" s="397">
        <f>IFERROR(B18/DCF!B6,"n/a")</f>
        <v/>
      </c>
      <c r="C19" s="159" t="n"/>
    </row>
    <row r="20">
      <c r="A20" t="inlineStr">
        <is>
          <t>vs current price</t>
        </is>
      </c>
      <c r="B20" s="398">
        <f>IFERROR(B19/DCF!B5-1,"n/a")</f>
        <v/>
      </c>
      <c r="C20" s="159" t="n"/>
    </row>
    <row r="21">
      <c r="A21" t="inlineStr">
        <is>
          <t>Blended EV / EBIT implied</t>
        </is>
      </c>
      <c r="B21" s="399">
        <f>IF(H12&lt;&gt;0,J12/H12,"–")</f>
        <v/>
      </c>
      <c r="C21" s="159" t="inlineStr">
        <is>
          <t>Sanity check vs the market's current EV / EBIT.</t>
        </is>
      </c>
    </row>
    <row r="23">
      <c r="A23" s="161" t="inlineStr">
        <is>
          <t>Operating drivers (latest qtr vs yr-ago)</t>
        </is>
      </c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</row>
    <row r="24" ht="29" customHeight="1" s="160">
      <c r="A24" s="253" t="inlineStr">
        <is>
          <t>Driver</t>
        </is>
      </c>
      <c r="B24" s="253" t="inlineStr">
        <is>
          <t>Yr-ago qtr</t>
        </is>
      </c>
      <c r="C24" s="253" t="inlineStr">
        <is>
          <t>Latest qtr</t>
        </is>
      </c>
      <c r="D24" s="253" t="inlineStr">
        <is>
          <t>Change</t>
        </is>
      </c>
    </row>
    <row r="25">
      <c r="A25" t="inlineStr">
        <is>
          <t>Revenue, quarter ($B)</t>
        </is>
      </c>
      <c r="B25" s="391" t="n">
        <v>11.097</v>
      </c>
      <c r="C25" s="391" t="n">
        <v>10.972</v>
      </c>
      <c r="D25" s="392">
        <f>IF(AND(N(B25)&lt;&gt;0,N(C25)&lt;&gt;0),C25/B25-1,"–")</f>
        <v/>
      </c>
    </row>
    <row r="26">
      <c r="B26" s="391" t="n"/>
      <c r="C26" s="391" t="n"/>
      <c r="D26" s="392">
        <f>IF(AND(N(B26)&lt;&gt;0,N(C26)&lt;&gt;0),C26/B26-1,"–")</f>
        <v/>
      </c>
    </row>
    <row r="27">
      <c r="B27" s="391" t="n"/>
      <c r="C27" s="391" t="n"/>
      <c r="D27" s="392">
        <f>IF(AND(N(B27)&lt;&gt;0,N(C27)&lt;&gt;0),C27/B27-1,"–")</f>
        <v/>
      </c>
    </row>
    <row r="28">
      <c r="B28" s="207" t="n"/>
      <c r="C28" s="207" t="n"/>
      <c r="D28" s="392">
        <f>IF(AND(N(B28)&lt;&gt;0,N(C28)&lt;&gt;0),C28/B28-1,"–")</f>
        <v/>
      </c>
    </row>
    <row r="29">
      <c r="B29" s="224" t="n"/>
      <c r="C29" s="224" t="n"/>
      <c r="D29" s="392">
        <f>IF(AND(N(B29)&lt;&gt;0,N(C29)&lt;&gt;0),C29/B29-1,"–")</f>
        <v/>
      </c>
    </row>
    <row r="30">
      <c r="B30" s="392" t="n"/>
      <c r="C30" s="392" t="n"/>
      <c r="D30" s="400" t="n"/>
    </row>
    <row r="32">
      <c r="A32" s="161" t="inlineStr">
        <is>
          <t>Street estimates vs model (consensus from QuantWizard / Yahoo — unofficial)</t>
        </is>
      </c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</row>
    <row r="33" ht="29" customHeight="1" s="160">
      <c r="A33" s="253" t="inlineStr">
        <is>
          <t>Metric</t>
        </is>
      </c>
      <c r="B33" s="253" t="inlineStr">
        <is>
          <t>Consensus</t>
        </is>
      </c>
      <c r="C33" s="253" t="inlineStr">
        <is>
          <t>Model</t>
        </is>
      </c>
      <c r="D33" s="253" t="inlineStr">
        <is>
          <t>Model vs Street</t>
        </is>
      </c>
      <c r="E33" s="253" t="inlineStr">
        <is>
          <t>Model basis</t>
        </is>
      </c>
    </row>
    <row r="34">
      <c r="A34" t="inlineStr">
        <is>
          <t>Revenue, next 12 months ($B)</t>
        </is>
      </c>
      <c r="B34" s="401" t="n">
        <v>45.49832914</v>
      </c>
      <c r="C34" s="393">
        <f>DCF!D52</f>
        <v/>
      </c>
      <c r="D34" s="402">
        <f>IF(N(B34)&gt;0,C34/B34-1,"awaiting input")</f>
        <v/>
      </c>
      <c r="E34" s="29" t="inlineStr">
        <is>
          <t>DCF year 1</t>
        </is>
      </c>
    </row>
    <row r="35">
      <c r="A35" t="inlineStr">
        <is>
          <t>Revenue, year 2 ($B)</t>
        </is>
      </c>
      <c r="B35" s="401" t="n">
        <v>47.08989319</v>
      </c>
      <c r="C35" s="393">
        <f>DCF!D53</f>
        <v/>
      </c>
      <c r="D35" s="402">
        <f>IF(N(B35)&gt;0,C35/B35-1,"awaiting input")</f>
        <v/>
      </c>
      <c r="E35" s="29" t="inlineStr">
        <is>
          <t>DCF year 2</t>
        </is>
      </c>
    </row>
    <row r="36">
      <c r="A36" t="inlineStr">
        <is>
          <t>Operating margin, next 12 months</t>
        </is>
      </c>
      <c r="B36" s="327" t="n"/>
      <c r="C36" s="392">
        <f>DCF!E52</f>
        <v/>
      </c>
      <c r="D36" s="402">
        <f>IF(N(B36)&gt;0,C36-B36,"awaiting input")</f>
        <v/>
      </c>
      <c r="E36" s="29" t="inlineStr">
        <is>
          <t>DCF year 1 (pts difference)</t>
        </is>
      </c>
    </row>
    <row r="37">
      <c r="A37" t="inlineStr">
        <is>
          <t>Revenue growth, next 12 months</t>
        </is>
      </c>
      <c r="B37" s="327" t="n">
        <v>-0.01939029397818859</v>
      </c>
      <c r="C37" s="392">
        <f>DCF!C52</f>
        <v/>
      </c>
      <c r="D37" s="402">
        <f>IF(N(B37)&gt;0,C37-B37,"awaiting input")</f>
        <v/>
      </c>
      <c r="E37" s="29" t="inlineStr">
        <is>
          <t>DCF year 1 (pts difference)</t>
        </is>
      </c>
    </row>
    <row r="38">
      <c r="A38" s="29" t="inlineStr">
        <is>
          <t>Consensus is optional and unofficial: when blank the comparison shows 'awaiting input'. Model year 1 = the twelve months after the latest reported quarter.</t>
        </is>
      </c>
    </row>
  </sheetData>
  <hyperlinks>
    <hyperlink ref="I2" location="Summary!A1" display="← Back to Summary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style="160" min="1" max="1"/>
    <col width="14" customWidth="1" style="160" min="2" max="2"/>
    <col width="12" customWidth="1" style="160" min="3" max="4"/>
    <col width="14" customWidth="1" style="160" min="5" max="6"/>
    <col width="15" customWidth="1" style="160" min="7" max="7"/>
    <col width="16" customWidth="1" style="160" min="8" max="8"/>
  </cols>
  <sheetData>
    <row r="1" ht="30" customHeight="1" s="160">
      <c r="A1" s="77">
        <f>Data!$Q$2&amp;" ("&amp;Data!$Q$3&amp;") — Where the Cash Goes"</f>
        <v/>
      </c>
      <c r="B1" s="77" t="n"/>
      <c r="C1" s="77" t="n"/>
      <c r="D1" s="77" t="n"/>
      <c r="E1" s="77" t="n"/>
      <c r="F1" s="77" t="n"/>
      <c r="G1" s="77" t="n"/>
      <c r="H1" s="77" t="n"/>
    </row>
    <row r="2">
      <c r="A2" s="78" t="inlineStr">
        <is>
          <t>Free cash flow against buybacks, dividends and stock-based pay, per fiscal year as filed</t>
        </is>
      </c>
      <c r="B2" s="78" t="n"/>
      <c r="C2" s="78" t="n"/>
      <c r="D2" s="78" t="n"/>
      <c r="E2" s="78" t="n"/>
      <c r="F2" s="78" t="n"/>
      <c r="G2" s="78" t="n"/>
      <c r="H2" s="4" t="inlineStr">
        <is>
          <t>← Back to Summary</t>
        </is>
      </c>
    </row>
    <row r="4">
      <c r="A4" s="79" t="inlineStr">
        <is>
          <t>Capital returned ($B)</t>
        </is>
      </c>
      <c r="B4" s="79" t="n"/>
      <c r="C4" s="79" t="n"/>
      <c r="D4" s="79" t="n"/>
      <c r="E4" s="79" t="n"/>
      <c r="F4" s="79" t="n"/>
      <c r="G4" s="79" t="n"/>
      <c r="H4" s="79" t="n"/>
    </row>
    <row r="5">
      <c r="A5" s="9" t="inlineStr">
        <is>
          <t>Fiscal year</t>
        </is>
      </c>
      <c r="B5" s="8" t="inlineStr">
        <is>
          <t>Free cash flow</t>
        </is>
      </c>
      <c r="C5" s="8" t="inlineStr">
        <is>
          <t>Buybacks</t>
        </is>
      </c>
      <c r="D5" s="8" t="inlineStr">
        <is>
          <t>Dividends</t>
        </is>
      </c>
      <c r="E5" s="8" t="inlineStr">
        <is>
          <t>Total returned</t>
        </is>
      </c>
      <c r="F5" s="8" t="inlineStr">
        <is>
          <t>Returned / FCF</t>
        </is>
      </c>
      <c r="G5" s="8" t="inlineStr">
        <is>
          <t>Stock-based pay</t>
        </is>
      </c>
      <c r="H5" s="8" t="inlineStr">
        <is>
          <t>Diluted shares (B)</t>
        </is>
      </c>
    </row>
    <row r="6">
      <c r="A6" s="117" t="inlineStr">
        <is>
          <t>FY2017</t>
        </is>
      </c>
      <c r="B6" s="345">
        <f>IFERROR(Financials!B10,"n/a")</f>
        <v/>
      </c>
      <c r="C6" s="344" t="n">
        <v>3.223</v>
      </c>
      <c r="D6" s="344" t="n">
        <v>1.133</v>
      </c>
      <c r="E6" s="403" t="n"/>
      <c r="F6" s="404">
        <f>IFERROR(E6/B6,"")</f>
        <v/>
      </c>
      <c r="G6" s="344" t="n">
        <v>0.215</v>
      </c>
      <c r="H6" s="344" t="n">
        <v>1.692</v>
      </c>
    </row>
    <row r="7">
      <c r="A7" s="117" t="inlineStr">
        <is>
          <t>FY2018</t>
        </is>
      </c>
      <c r="B7" s="345">
        <f>IFERROR(Financials!C10,"n/a")</f>
        <v/>
      </c>
      <c r="C7" s="344" t="n">
        <v>4.254</v>
      </c>
      <c r="D7" s="344" t="n">
        <v>1.243</v>
      </c>
      <c r="E7" s="403" t="n"/>
      <c r="F7" s="404">
        <f>IFERROR(E7/B7,"")</f>
        <v/>
      </c>
      <c r="G7" s="344" t="n">
        <v>0.218</v>
      </c>
      <c r="H7" s="344" t="n">
        <v>1.6591</v>
      </c>
    </row>
    <row r="8">
      <c r="A8" s="117" t="inlineStr">
        <is>
          <t>FY2019</t>
        </is>
      </c>
      <c r="B8" s="345">
        <f>IFERROR(Financials!D10,"n/a")</f>
        <v/>
      </c>
      <c r="C8" s="344" t="n">
        <v>4.286</v>
      </c>
      <c r="D8" s="344" t="n">
        <v>1.332</v>
      </c>
      <c r="E8" s="403" t="n"/>
      <c r="F8" s="404">
        <f>IFERROR(E8/B8,"")</f>
        <v/>
      </c>
      <c r="G8" s="344" t="n">
        <v>0.325</v>
      </c>
      <c r="H8" s="344" t="n">
        <v>1.6184</v>
      </c>
    </row>
    <row r="9">
      <c r="A9" s="117" t="inlineStr">
        <is>
          <t>FY2020</t>
        </is>
      </c>
      <c r="B9" s="345">
        <f>IFERROR(Financials!E10,"n/a")</f>
        <v/>
      </c>
      <c r="C9" s="344" t="n">
        <v>3.067</v>
      </c>
      <c r="D9" s="344" t="n">
        <v>1.452</v>
      </c>
      <c r="E9" s="403" t="n"/>
      <c r="F9" s="404">
        <f>IFERROR(E9/B9,"")</f>
        <v/>
      </c>
      <c r="G9" s="344" t="n">
        <v>0.429</v>
      </c>
      <c r="H9" s="344" t="n">
        <v>1.5916</v>
      </c>
    </row>
    <row r="10">
      <c r="A10" s="117" t="inlineStr">
        <is>
          <t>FY2021</t>
        </is>
      </c>
      <c r="B10" s="345">
        <f>IFERROR(Financials!F10,"n/a")</f>
        <v/>
      </c>
      <c r="C10" s="344" t="n">
        <v>0.608</v>
      </c>
      <c r="D10" s="344" t="n">
        <v>1.638</v>
      </c>
      <c r="E10" s="403" t="n"/>
      <c r="F10" s="404">
        <f>IFERROR(E10/B10,"")</f>
        <v/>
      </c>
      <c r="G10" s="344" t="n">
        <v>0.611</v>
      </c>
      <c r="H10" s="344" t="n">
        <v>1.6094</v>
      </c>
    </row>
    <row r="11">
      <c r="A11" s="117" t="inlineStr">
        <is>
          <t>FY2022</t>
        </is>
      </c>
      <c r="B11" s="345">
        <f>IFERROR(Financials!G10,"n/a")</f>
        <v/>
      </c>
      <c r="C11" s="344" t="n">
        <v>4.014</v>
      </c>
      <c r="D11" s="344" t="n">
        <v>1.837</v>
      </c>
      <c r="E11" s="403" t="n"/>
      <c r="F11" s="404">
        <f>IFERROR(E11/B11,"")</f>
        <v/>
      </c>
      <c r="G11" s="344" t="n">
        <v>0.638</v>
      </c>
      <c r="H11" s="344" t="n">
        <v>1.6108</v>
      </c>
    </row>
    <row r="12">
      <c r="A12" s="117" t="inlineStr">
        <is>
          <t>FY2023</t>
        </is>
      </c>
      <c r="B12" s="345">
        <f>IFERROR(Financials!H10,"n/a")</f>
        <v/>
      </c>
      <c r="C12" s="344" t="n">
        <v>5.48</v>
      </c>
      <c r="D12" s="344" t="n">
        <v>2.012</v>
      </c>
      <c r="E12" s="403" t="n"/>
      <c r="F12" s="404">
        <f>IFERROR(E12/B12,"")</f>
        <v/>
      </c>
      <c r="G12" s="344" t="n">
        <v>0.755</v>
      </c>
      <c r="H12" s="344" t="n">
        <v>1.5698</v>
      </c>
    </row>
    <row r="13">
      <c r="A13" s="117" t="inlineStr">
        <is>
          <t>FY2024</t>
        </is>
      </c>
      <c r="B13" s="345">
        <f>IFERROR(Financials!I10,"n/a")</f>
        <v/>
      </c>
      <c r="C13" s="344" t="n">
        <v>4.25</v>
      </c>
      <c r="D13" s="344" t="n">
        <v>2.169</v>
      </c>
      <c r="E13" s="403" t="n"/>
      <c r="F13" s="404">
        <f>IFERROR(E13/B13,"")</f>
        <v/>
      </c>
      <c r="G13" s="344" t="n">
        <v>0.804</v>
      </c>
      <c r="H13" s="344" t="n">
        <v>1.5297</v>
      </c>
    </row>
    <row r="14">
      <c r="A14" s="117" t="inlineStr">
        <is>
          <t>FY2025</t>
        </is>
      </c>
      <c r="B14" s="345">
        <f>IFERROR(Financials!J10,"n/a")</f>
        <v/>
      </c>
      <c r="C14" s="344" t="n">
        <v>2.985</v>
      </c>
      <c r="D14" s="344" t="n">
        <v>2.3</v>
      </c>
      <c r="E14" s="403" t="n"/>
      <c r="F14" s="404">
        <f>IFERROR(E14/B14,"")</f>
        <v/>
      </c>
      <c r="G14" s="344" t="n">
        <v>0.709</v>
      </c>
      <c r="H14" s="405" t="n">
        <v>1.4876</v>
      </c>
    </row>
    <row r="15">
      <c r="A15" s="117" t="inlineStr">
        <is>
          <t>FY2026</t>
        </is>
      </c>
      <c r="B15" s="345">
        <f>IFERROR(Financials!K10,"n/a")</f>
        <v/>
      </c>
      <c r="C15" s="344" t="n">
        <v>0.146</v>
      </c>
      <c r="D15" s="344" t="n">
        <v>2.407</v>
      </c>
      <c r="E15" s="403" t="n"/>
      <c r="F15" s="404">
        <f>IFERROR(E15/B15,"")</f>
        <v/>
      </c>
      <c r="G15" s="344" t="n">
        <v>0.715</v>
      </c>
      <c r="H15" s="405" t="n">
        <v>1.481</v>
      </c>
    </row>
    <row r="16">
      <c r="A16" s="174" t="inlineStr">
        <is>
          <t>FY17–FY26 total</t>
        </is>
      </c>
      <c r="B16" s="406">
        <f>IFERROR(SUM(B6:B15),"n/a")</f>
        <v/>
      </c>
      <c r="C16" s="406">
        <f>IFERROR(SUM(C6:C15),"n/a")</f>
        <v/>
      </c>
      <c r="D16" s="406">
        <f>IFERROR(SUM(D6:D15),"n/a")</f>
        <v/>
      </c>
      <c r="E16" s="406">
        <f>IFERROR(SUM(E6:E15),"n/a")</f>
        <v/>
      </c>
      <c r="F16" s="407">
        <f>IFERROR(E16/B16,"n/a")</f>
        <v/>
      </c>
      <c r="G16" s="406">
        <f>IFERROR(SUM(G6:G15),"n/a")</f>
        <v/>
      </c>
      <c r="H16" s="408" t="n"/>
    </row>
    <row r="18">
      <c r="A18" s="29">
        <f>IFERROR("Over "&amp;COUNT(B6:B15)&amp;" fiscal years "&amp;Data!$Q$2&amp;" returned "&amp;TEXT(F16,"0%")&amp;" of free cash flow to shareholders"&amp;IF(C16&gt;0,"; stock-based pay of $"&amp;TEXT(G16,"0")&amp;"B equalled "&amp;TEXT(G16/C16,"0%")&amp;" of buybacks, so part of the buyback only offsets dilution",""),"")&amp;"."&amp;IF(SUM(D6:D15)=0," No dividends were paid.",IF(N(D6)&gt;0,"",IFERROR(" Dividends began in "&amp;INDEX(A6:A15,MATCH(TRUE,INDEX(D6:D15&gt;0,0),0))&amp;".","")))</f>
        <v/>
      </c>
    </row>
  </sheetData>
  <hyperlinks>
    <hyperlink ref="H2" location="'Summary'!A1" display="← Back to Summary"/>
  </hyperlinks>
  <printOptions horizontalCentered="1"/>
  <pageMargins left="0.5" right="0.5" top="0.5555555555555556" bottom="0.5555555555555556" header="0.5" footer="0.5"/>
  <pageSetup orientation="landscape" scale="91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71"/>
  <sheetViews>
    <sheetView showGridLines="0" zoomScale="6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38.1796875" customWidth="1" style="117" min="1" max="1"/>
    <col width="17.26953125" customWidth="1" style="117" min="2" max="2"/>
    <col width="54.54296875" customWidth="1" style="117" min="3" max="3"/>
    <col width="15.453125" customWidth="1" style="117" min="4" max="4"/>
    <col width="3.6328125" customWidth="1" style="117" min="5" max="5"/>
    <col width="14.54296875" customWidth="1" style="117" min="6" max="6"/>
    <col width="16.36328125" customWidth="1" style="117" min="7" max="8"/>
    <col width="8.7265625" customWidth="1" style="117" min="9" max="26"/>
  </cols>
  <sheetData>
    <row r="1" ht="30" customHeight="1" s="160">
      <c r="A1" s="2">
        <f>Data!$Q$2&amp;" ("&amp;Data!$Q$3&amp;") — Price Performance &amp; Risk"</f>
        <v/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All statistics computed live from the Data tab (daily adjusted closes, total return basis) — nothing here is typed in.</t>
        </is>
      </c>
      <c r="B2" s="3" t="n"/>
      <c r="C2" s="3" t="n"/>
      <c r="D2" s="3" t="n"/>
      <c r="E2" s="3" t="n"/>
      <c r="F2" s="3" t="n"/>
      <c r="G2" s="3" t="n"/>
      <c r="H2" s="4" t="inlineStr">
        <is>
          <t>← Back to Summary</t>
        </is>
      </c>
      <c r="I2" s="3" t="n"/>
    </row>
    <row r="4">
      <c r="A4" s="5" t="inlineStr">
        <is>
          <t>Performance window</t>
        </is>
      </c>
      <c r="B4" s="5" t="n"/>
      <c r="C4" s="5" t="n"/>
      <c r="D4" s="5" t="n"/>
      <c r="F4" s="5" t="inlineStr">
        <is>
          <t>Monthly price returns</t>
        </is>
      </c>
      <c r="G4" s="5" t="n"/>
      <c r="H4" s="5" t="n"/>
      <c r="I4" s="5" t="n"/>
    </row>
    <row r="5">
      <c r="A5" s="117" t="inlineStr">
        <is>
          <t>First observation</t>
        </is>
      </c>
      <c r="B5" s="409">
        <f>MIN(Data!A2:A1256)</f>
        <v/>
      </c>
      <c r="C5" s="159" t="n"/>
      <c r="F5" s="9" t="inlineStr">
        <is>
          <t>Month</t>
        </is>
      </c>
      <c r="G5" s="8" t="inlineStr">
        <is>
          <t>Month-end close</t>
        </is>
      </c>
      <c r="H5" s="8" t="inlineStr">
        <is>
          <t>Return</t>
        </is>
      </c>
    </row>
    <row r="6">
      <c r="A6" s="117" t="inlineStr">
        <is>
          <t>Last observation</t>
        </is>
      </c>
      <c r="B6" s="409">
        <f>MAX(Data!A2:A1256)</f>
        <v/>
      </c>
      <c r="C6" s="159" t="n"/>
      <c r="F6" s="410">
        <f>EOMONTH(B5,1)</f>
        <v/>
      </c>
      <c r="G6" s="316">
        <f>_xlfn.XLOOKUP(F6+0.99,Data!$A$2:$A$1256,Data!$E$2:$E$1256,,-1)</f>
        <v/>
      </c>
      <c r="H6" s="305">
        <f>G6/_xlfn.XLOOKUP(EOMONTH(F6,-1)+0.99,Data!$A$2:$A$1256,Data!$E$2:$E$1256,,1)-1</f>
        <v/>
      </c>
    </row>
    <row r="7">
      <c r="A7" s="117" t="inlineStr">
        <is>
          <t>Length of window (years)</t>
        </is>
      </c>
      <c r="B7" s="73">
        <f>(B6-B5)/365.25</f>
        <v/>
      </c>
      <c r="C7" s="159" t="inlineStr">
        <is>
          <t>Report period: 5Y</t>
        </is>
      </c>
      <c r="F7" s="410">
        <f>EOMONTH(F6,1)</f>
        <v/>
      </c>
      <c r="G7" s="316">
        <f>_xlfn.XLOOKUP(F7+0.99,Data!$A$2:$A$1256,Data!$E$2:$E$1256,,-1)</f>
        <v/>
      </c>
      <c r="H7" s="305">
        <f>G7/G6-1</f>
        <v/>
      </c>
    </row>
    <row r="8">
      <c r="A8" s="117" t="inlineStr">
        <is>
          <t>Starting close ($)</t>
        </is>
      </c>
      <c r="B8" s="411">
        <f>Data!E2</f>
        <v/>
      </c>
      <c r="C8" s="159" t="n"/>
      <c r="F8" s="410">
        <f>EOMONTH(F7,1)</f>
        <v/>
      </c>
      <c r="G8" s="316">
        <f>_xlfn.XLOOKUP(F8+0.99,Data!$A$2:$A$1256,Data!$E$2:$E$1256,,-1)</f>
        <v/>
      </c>
      <c r="H8" s="305">
        <f>G8/G7-1</f>
        <v/>
      </c>
    </row>
    <row r="9">
      <c r="A9" s="117" t="inlineStr">
        <is>
          <t>Latest close ($)</t>
        </is>
      </c>
      <c r="B9" s="411">
        <f>Data!E1256</f>
        <v/>
      </c>
      <c r="C9" s="159" t="n"/>
      <c r="F9" s="410">
        <f>EOMONTH(F8,1)</f>
        <v/>
      </c>
      <c r="G9" s="316">
        <f>_xlfn.XLOOKUP(F9+0.99,Data!$A$2:$A$1256,Data!$E$2:$E$1256,,-1)</f>
        <v/>
      </c>
      <c r="H9" s="305">
        <f>G9/G8-1</f>
        <v/>
      </c>
    </row>
    <row r="10">
      <c r="A10" s="117" t="inlineStr">
        <is>
          <t>Total return over window</t>
        </is>
      </c>
      <c r="B10" s="349">
        <f>B9/B8-1</f>
        <v/>
      </c>
      <c r="C10" s="159" t="inlineStr">
        <is>
          <t>Adjusted closes, so dividends are included</t>
        </is>
      </c>
      <c r="F10" s="410">
        <f>EOMONTH(F9,1)</f>
        <v/>
      </c>
      <c r="G10" s="316">
        <f>_xlfn.XLOOKUP(F10+0.99,Data!$A$2:$A$1256,Data!$E$2:$E$1256,,-1)</f>
        <v/>
      </c>
      <c r="H10" s="305">
        <f>G10/G9-1</f>
        <v/>
      </c>
    </row>
    <row r="11">
      <c r="A11" s="117" t="inlineStr">
        <is>
          <t>Annualised return (CAGR)</t>
        </is>
      </c>
      <c r="B11" s="349">
        <f>(1+B10)^(1/B7)-1</f>
        <v/>
      </c>
      <c r="C11" s="159" t="n"/>
      <c r="F11" s="410">
        <f>EOMONTH(F10,1)</f>
        <v/>
      </c>
      <c r="G11" s="316">
        <f>_xlfn.XLOOKUP(F11+0.99,Data!$A$2:$A$1256,Data!$E$2:$E$1256,,-1)</f>
        <v/>
      </c>
      <c r="H11" s="305">
        <f>G11/G10-1</f>
        <v/>
      </c>
    </row>
    <row r="12">
      <c r="A12" s="117" t="inlineStr">
        <is>
          <t>Trading days</t>
        </is>
      </c>
      <c r="B12" s="74">
        <f>COUNT(Data!E2:E1256)</f>
        <v/>
      </c>
      <c r="C12" s="159" t="n"/>
      <c r="F12" s="410">
        <f>EOMONTH(F11,1)</f>
        <v/>
      </c>
      <c r="G12" s="316">
        <f>_xlfn.XLOOKUP(F12+0.99,Data!$A$2:$A$1256,Data!$E$2:$E$1256,,-1)</f>
        <v/>
      </c>
      <c r="H12" s="305">
        <f>G12/G11-1</f>
        <v/>
      </c>
    </row>
    <row r="13">
      <c r="B13" s="39" t="n"/>
      <c r="C13" s="159" t="n"/>
      <c r="F13" s="410">
        <f>EOMONTH(F12,1)</f>
        <v/>
      </c>
      <c r="G13" s="316">
        <f>_xlfn.XLOOKUP(F13+0.99,Data!$A$2:$A$1256,Data!$E$2:$E$1256,,-1)</f>
        <v/>
      </c>
      <c r="H13" s="305">
        <f>G13/G12-1</f>
        <v/>
      </c>
    </row>
    <row r="14">
      <c r="A14" s="5" t="inlineStr">
        <is>
          <t>Risk statistics (window above)</t>
        </is>
      </c>
      <c r="B14" s="48" t="n"/>
      <c r="C14" s="43" t="n"/>
      <c r="D14" s="5" t="n"/>
      <c r="F14" s="410">
        <f>EOMONTH(F13,1)</f>
        <v/>
      </c>
      <c r="G14" s="316">
        <f>_xlfn.XLOOKUP(F14+0.99,Data!$A$2:$A$1256,Data!$E$2:$E$1256,,-1)</f>
        <v/>
      </c>
      <c r="H14" s="305">
        <f>G14/G13-1</f>
        <v/>
      </c>
    </row>
    <row r="15">
      <c r="A15" s="117" t="inlineStr">
        <is>
          <t>Annualised volatility</t>
        </is>
      </c>
      <c r="B15" s="349">
        <f>_xlfn.STDEV.S(Data!H3:H1256)*SQRT(252)</f>
        <v/>
      </c>
      <c r="C15" s="159" t="inlineStr">
        <is>
          <t>Sample st. dev. of daily returns × √252</t>
        </is>
      </c>
      <c r="F15" s="410">
        <f>EOMONTH(F14,1)</f>
        <v/>
      </c>
      <c r="G15" s="316">
        <f>_xlfn.XLOOKUP(F15+0.99,Data!$A$2:$A$1256,Data!$E$2:$E$1256,,-1)</f>
        <v/>
      </c>
      <c r="H15" s="305">
        <f>G15/G14-1</f>
        <v/>
      </c>
    </row>
    <row r="16">
      <c r="A16" s="117" t="inlineStr">
        <is>
          <t>Arithmetic annualised return</t>
        </is>
      </c>
      <c r="B16" s="349">
        <f>AVERAGE(Data!H3:H1256)*252</f>
        <v/>
      </c>
      <c r="C16" s="159" t="inlineStr">
        <is>
          <t>Mean daily return × 252 (used in Sharpe)</t>
        </is>
      </c>
      <c r="F16" s="410">
        <f>EOMONTH(F15,1)</f>
        <v/>
      </c>
      <c r="G16" s="316">
        <f>_xlfn.XLOOKUP(F16+0.99,Data!$A$2:$A$1256,Data!$E$2:$E$1256,,-1)</f>
        <v/>
      </c>
      <c r="H16" s="305">
        <f>G16/G15-1</f>
        <v/>
      </c>
    </row>
    <row r="17">
      <c r="A17" s="117" t="inlineStr">
        <is>
          <t>Risk-free rate</t>
        </is>
      </c>
      <c r="B17" s="69">
        <f>DCF!B14</f>
        <v/>
      </c>
      <c r="C17" s="159" t="inlineStr">
        <is>
          <t>3-month T-bill (FRED DGS3MO)</t>
        </is>
      </c>
      <c r="F17" s="410">
        <f>EOMONTH(F16,1)</f>
        <v/>
      </c>
      <c r="G17" s="316">
        <f>_xlfn.XLOOKUP(F17+0.99,Data!$A$2:$A$1256,Data!$E$2:$E$1256,,-1)</f>
        <v/>
      </c>
      <c r="H17" s="305">
        <f>G17/G16-1</f>
        <v/>
      </c>
    </row>
    <row r="18">
      <c r="A18" s="117" t="inlineStr">
        <is>
          <t>Sharpe ratio</t>
        </is>
      </c>
      <c r="B18" s="73">
        <f>(B16-B17)/B15</f>
        <v/>
      </c>
      <c r="C18" s="159" t="n"/>
      <c r="F18" s="410">
        <f>EOMONTH(F17,1)</f>
        <v/>
      </c>
      <c r="G18" s="316">
        <f>_xlfn.XLOOKUP(F18+0.99,Data!$A$2:$A$1256,Data!$E$2:$E$1256,,-1)</f>
        <v/>
      </c>
      <c r="H18" s="305">
        <f>G18/G17-1</f>
        <v/>
      </c>
    </row>
    <row r="19">
      <c r="A19" s="117" t="inlineStr">
        <is>
          <t>Downside deviation (annualised)</t>
        </is>
      </c>
      <c r="B19" s="349">
        <f>SQRT(SUMPRODUCT((Data!H3:H1256&lt;0)*Data!H3:H1256^2)/COUNT(Data!H3:H1256))*SQRT(252)</f>
        <v/>
      </c>
      <c r="C19" s="159" t="inlineStr">
        <is>
          <t>Target return 0%</t>
        </is>
      </c>
      <c r="F19" s="410">
        <f>EOMONTH(F18,1)</f>
        <v/>
      </c>
      <c r="G19" s="316">
        <f>_xlfn.XLOOKUP(F19+0.99,Data!$A$2:$A$1256,Data!$E$2:$E$1256,,-1)</f>
        <v/>
      </c>
      <c r="H19" s="305">
        <f>G19/G18-1</f>
        <v/>
      </c>
    </row>
    <row r="20">
      <c r="A20" s="117" t="inlineStr">
        <is>
          <t>Sortino ratio</t>
        </is>
      </c>
      <c r="B20" s="73">
        <f>(B16-B17)/B19</f>
        <v/>
      </c>
      <c r="C20" s="159" t="n"/>
      <c r="F20" s="410">
        <f>EOMONTH(F19,1)</f>
        <v/>
      </c>
      <c r="G20" s="316">
        <f>_xlfn.XLOOKUP(F20+0.99,Data!$A$2:$A$1256,Data!$E$2:$E$1256,,-1)</f>
        <v/>
      </c>
      <c r="H20" s="305">
        <f>G20/G19-1</f>
        <v/>
      </c>
    </row>
    <row r="21">
      <c r="A21" s="117" t="inlineStr">
        <is>
          <t>Maximum drawdown (peak to trough)</t>
        </is>
      </c>
      <c r="B21" s="349">
        <f>MIN(Data!N2:N1256)</f>
        <v/>
      </c>
      <c r="C21" s="159" t="n"/>
      <c r="F21" s="410">
        <f>EOMONTH(F20,1)</f>
        <v/>
      </c>
      <c r="G21" s="316">
        <f>_xlfn.XLOOKUP(F21+0.99,Data!$A$2:$A$1256,Data!$E$2:$E$1256,,-1)</f>
        <v/>
      </c>
      <c r="H21" s="305">
        <f>G21/G20-1</f>
        <v/>
      </c>
    </row>
    <row r="22">
      <c r="A22" s="117" t="inlineStr">
        <is>
          <t xml:space="preserve">  Trough date</t>
        </is>
      </c>
      <c r="B22" s="409">
        <f>INDEX(Data!A2:A1256,MATCH(B21,Data!N2:N1256,0))</f>
        <v/>
      </c>
      <c r="C22" s="159" t="n"/>
      <c r="F22" s="410">
        <f>EOMONTH(F21,1)</f>
        <v/>
      </c>
      <c r="G22" s="316">
        <f>_xlfn.XLOOKUP(F22+0.99,Data!$A$2:$A$1256,Data!$E$2:$E$1256,,-1)</f>
        <v/>
      </c>
      <c r="H22" s="305">
        <f>G22/G21-1</f>
        <v/>
      </c>
    </row>
    <row r="23">
      <c r="A23" s="117" t="inlineStr">
        <is>
          <t>Current drawdown from peak</t>
        </is>
      </c>
      <c r="B23" s="349">
        <f>Data!N1256</f>
        <v/>
      </c>
      <c r="C23" s="159" t="n"/>
      <c r="F23" s="410">
        <f>EOMONTH(F22,1)</f>
        <v/>
      </c>
      <c r="G23" s="316">
        <f>_xlfn.XLOOKUP(F23+0.99,Data!$A$2:$A$1256,Data!$E$2:$E$1256,,-1)</f>
        <v/>
      </c>
      <c r="H23" s="305">
        <f>G23/G22-1</f>
        <v/>
      </c>
    </row>
    <row r="24">
      <c r="A24" s="117" t="inlineStr">
        <is>
          <t>20-day volatility (latest)</t>
        </is>
      </c>
      <c r="B24" s="349">
        <f>Data!K1256</f>
        <v/>
      </c>
      <c r="C24" s="159" t="n"/>
      <c r="F24" s="410">
        <f>EOMONTH(F23,1)</f>
        <v/>
      </c>
      <c r="G24" s="316">
        <f>_xlfn.XLOOKUP(F24+0.99,Data!$A$2:$A$1256,Data!$E$2:$E$1256,,-1)</f>
        <v/>
      </c>
      <c r="H24" s="305">
        <f>G24/G23-1</f>
        <v/>
      </c>
    </row>
    <row r="25">
      <c r="A25" s="117" t="inlineStr">
        <is>
          <t>Beta vs S&amp;P 500</t>
        </is>
      </c>
      <c r="B25" s="73">
        <f>SLOPE(Data!H3:H1256,Data!G3:G1256)</f>
        <v/>
      </c>
      <c r="C25" s="159" t="inlineStr">
        <is>
          <t>Regression of daily returns on SPY over the window (raw, not Blume-adjusted)</t>
        </is>
      </c>
      <c r="F25" s="410">
        <f>EOMONTH(F24,1)</f>
        <v/>
      </c>
      <c r="G25" s="316">
        <f>_xlfn.XLOOKUP(F25+0.99,Data!$A$2:$A$1256,Data!$E$2:$E$1256,,-1)</f>
        <v/>
      </c>
      <c r="H25" s="305">
        <f>G25/G24-1</f>
        <v/>
      </c>
    </row>
    <row r="26">
      <c r="A26" s="117" t="inlineStr">
        <is>
          <t>RSI (14)</t>
        </is>
      </c>
      <c r="B26" s="412">
        <f>Data!L1256</f>
        <v/>
      </c>
      <c r="C26" s="159" t="inlineStr">
        <is>
          <t>Simple 14-day RSI (Data tab)</t>
        </is>
      </c>
      <c r="F26" s="410">
        <f>EOMONTH(F25,1)</f>
        <v/>
      </c>
      <c r="G26" s="316">
        <f>_xlfn.XLOOKUP(F26+0.99,Data!$A$2:$A$1256,Data!$E$2:$E$1256,,-1)</f>
        <v/>
      </c>
      <c r="H26" s="305">
        <f>G26/G25-1</f>
        <v/>
      </c>
    </row>
    <row r="27">
      <c r="B27" s="39" t="n"/>
      <c r="C27" s="159" t="n"/>
      <c r="F27" s="410">
        <f>EOMONTH(F26,1)</f>
        <v/>
      </c>
      <c r="G27" s="316">
        <f>_xlfn.XLOOKUP(F27+0.99,Data!$A$2:$A$1256,Data!$E$2:$E$1256,,-1)</f>
        <v/>
      </c>
      <c r="H27" s="305">
        <f>G27/G26-1</f>
        <v/>
      </c>
    </row>
    <row r="28">
      <c r="A28" s="5" t="inlineStr">
        <is>
          <t>Trend (latest)</t>
        </is>
      </c>
      <c r="B28" s="48" t="n"/>
      <c r="C28" s="43" t="n"/>
      <c r="D28" s="5" t="n"/>
      <c r="F28" s="410">
        <f>EOMONTH(F27,1)</f>
        <v/>
      </c>
      <c r="G28" s="316">
        <f>_xlfn.XLOOKUP(F28+0.99,Data!$A$2:$A$1256,Data!$E$2:$E$1256,,-1)</f>
        <v/>
      </c>
      <c r="H28" s="305">
        <f>G28/G27-1</f>
        <v/>
      </c>
    </row>
    <row r="29">
      <c r="A29" s="117" t="inlineStr">
        <is>
          <t>52-week high ($)</t>
        </is>
      </c>
      <c r="B29" s="411">
        <f>MAX(Data!C1004:C1256)</f>
        <v/>
      </c>
      <c r="C29" s="159" t="inlineStr">
        <is>
          <t>Intraday</t>
        </is>
      </c>
      <c r="F29" s="410">
        <f>EOMONTH(F28,1)</f>
        <v/>
      </c>
      <c r="G29" s="316">
        <f>_xlfn.XLOOKUP(F29+0.99,Data!$A$2:$A$1256,Data!$E$2:$E$1256,,-1)</f>
        <v/>
      </c>
      <c r="H29" s="305">
        <f>G29/G28-1</f>
        <v/>
      </c>
    </row>
    <row r="30">
      <c r="A30" s="117" t="inlineStr">
        <is>
          <t>52-week low ($)</t>
        </is>
      </c>
      <c r="B30" s="411">
        <f>MIN(Data!D1004:D1256)</f>
        <v/>
      </c>
      <c r="C30" s="159" t="inlineStr">
        <is>
          <t>Intraday</t>
        </is>
      </c>
      <c r="F30" s="410">
        <f>EOMONTH(F29,1)</f>
        <v/>
      </c>
      <c r="G30" s="316">
        <f>_xlfn.XLOOKUP(F30+0.99,Data!$A$2:$A$1256,Data!$E$2:$E$1256,,-1)</f>
        <v/>
      </c>
      <c r="H30" s="305">
        <f>G30/G29-1</f>
        <v/>
      </c>
    </row>
    <row r="31">
      <c r="A31" s="117" t="inlineStr">
        <is>
          <t>% below 52-week high</t>
        </is>
      </c>
      <c r="B31" s="349">
        <f>B9/B29-1</f>
        <v/>
      </c>
      <c r="C31" s="159" t="n"/>
      <c r="F31" s="410">
        <f>EOMONTH(F30,1)</f>
        <v/>
      </c>
      <c r="G31" s="316">
        <f>_xlfn.XLOOKUP(F31+0.99,Data!$A$2:$A$1256,Data!$E$2:$E$1256,,-1)</f>
        <v/>
      </c>
      <c r="H31" s="305">
        <f>G31/G30-1</f>
        <v/>
      </c>
    </row>
    <row r="32">
      <c r="A32" s="117" t="inlineStr">
        <is>
          <t>50-day moving average ($)</t>
        </is>
      </c>
      <c r="B32" s="411">
        <f>Data!I1256</f>
        <v/>
      </c>
      <c r="C32" s="159" t="n"/>
      <c r="F32" s="410">
        <f>EOMONTH(F31,1)</f>
        <v/>
      </c>
      <c r="G32" s="316">
        <f>_xlfn.XLOOKUP(F32+0.99,Data!$A$2:$A$1256,Data!$E$2:$E$1256,,-1)</f>
        <v/>
      </c>
      <c r="H32" s="305">
        <f>G32/G31-1</f>
        <v/>
      </c>
    </row>
    <row r="33">
      <c r="A33" s="117" t="inlineStr">
        <is>
          <t>200-day moving average ($)</t>
        </is>
      </c>
      <c r="B33" s="411">
        <f>Data!J1256</f>
        <v/>
      </c>
      <c r="C33" s="159" t="n"/>
      <c r="F33" s="410">
        <f>EOMONTH(F32,1)</f>
        <v/>
      </c>
      <c r="G33" s="316">
        <f>_xlfn.XLOOKUP(F33+0.99,Data!$A$2:$A$1256,Data!$E$2:$E$1256,,-1)</f>
        <v/>
      </c>
      <c r="H33" s="305">
        <f>G33/G32-1</f>
        <v/>
      </c>
    </row>
    <row r="34">
      <c r="A34" s="117" t="inlineStr">
        <is>
          <t>Price vs 200-day average</t>
        </is>
      </c>
      <c r="B34" s="349">
        <f>B9/B33-1</f>
        <v/>
      </c>
      <c r="C34" s="159" t="n"/>
      <c r="F34" s="410">
        <f>EOMONTH(F33,1)</f>
        <v/>
      </c>
      <c r="G34" s="316">
        <f>_xlfn.XLOOKUP(F34+0.99,Data!$A$2:$A$1256,Data!$E$2:$E$1256,,-1)</f>
        <v/>
      </c>
      <c r="H34" s="305">
        <f>G34/G33-1</f>
        <v/>
      </c>
    </row>
    <row r="35">
      <c r="B35" s="409" t="n"/>
      <c r="C35" s="159" t="n"/>
      <c r="F35" s="410">
        <f>EOMONTH(F34,1)</f>
        <v/>
      </c>
      <c r="G35" s="316">
        <f>_xlfn.XLOOKUP(F35+0.99,Data!$A$2:$A$1256,Data!$E$2:$E$1256,,-1)</f>
        <v/>
      </c>
      <c r="H35" s="305">
        <f>G35/G34-1</f>
        <v/>
      </c>
    </row>
    <row r="36">
      <c r="A36" s="5" t="inlineStr">
        <is>
          <t>Calendar-year returns</t>
        </is>
      </c>
      <c r="B36" s="5" t="n"/>
      <c r="C36" s="5" t="n"/>
      <c r="D36" s="5" t="n"/>
      <c r="F36" s="410">
        <f>EOMONTH(F35,1)</f>
        <v/>
      </c>
      <c r="G36" s="316">
        <f>_xlfn.XLOOKUP(F36+0.99,Data!$A$2:$A$1256,Data!$E$2:$E$1256,,-1)</f>
        <v/>
      </c>
      <c r="H36" s="305">
        <f>G36/G35-1</f>
        <v/>
      </c>
    </row>
    <row r="37">
      <c r="A37" s="9" t="inlineStr">
        <is>
          <t>Year</t>
        </is>
      </c>
      <c r="B37" s="8" t="inlineStr">
        <is>
          <t>Coverage</t>
        </is>
      </c>
      <c r="C37" s="44" t="inlineStr">
        <is>
          <t>Total return</t>
        </is>
      </c>
      <c r="D37" s="8" t="inlineStr">
        <is>
          <t>Ann. volatility</t>
        </is>
      </c>
      <c r="F37" s="410">
        <f>EOMONTH(F36,1)</f>
        <v/>
      </c>
      <c r="G37" s="316">
        <f>_xlfn.XLOOKUP(F37+0.99,Data!$A$2:$A$1256,Data!$E$2:$E$1256,,-1)</f>
        <v/>
      </c>
      <c r="H37" s="305">
        <f>G37/G36-1</f>
        <v/>
      </c>
    </row>
    <row r="38">
      <c r="A38" s="70">
        <f>YEAR(B5)</f>
        <v/>
      </c>
      <c r="B38" s="39">
        <f>"Partial: from "&amp;TEXT(B5,"d-mmm")</f>
        <v/>
      </c>
      <c r="C38" s="413">
        <f>_xlfn.XLOOKUP(DATE(A38,12,31)+0.99,Data!$A$2:$A$1256,Data!$E$2:$E$1256,,-1)/Data!E2-1</f>
        <v/>
      </c>
      <c r="D38" s="305" cm="1">
        <f t="array" ref="D38">_xlfn.STDEV.S(_xlfn._xlws.FILTER(Data!$H$3:$H$1256,YEAR(Data!$A$3:$A$1256)=A38))*SQRT(252)</f>
        <v/>
      </c>
      <c r="F38" s="410">
        <f>EOMONTH(F37,1)</f>
        <v/>
      </c>
      <c r="G38" s="316">
        <f>_xlfn.XLOOKUP(F38+0.99,Data!$A$2:$A$1256,Data!$E$2:$E$1256,,-1)</f>
        <v/>
      </c>
      <c r="H38" s="305">
        <f>G38/G37-1</f>
        <v/>
      </c>
    </row>
    <row r="39">
      <c r="A39" s="70">
        <f>A38+1</f>
        <v/>
      </c>
      <c r="B39" s="39" t="inlineStr">
        <is>
          <t>Full year</t>
        </is>
      </c>
      <c r="C39" s="413">
        <f>_xlfn.XLOOKUP(DATE(A39,12,31)+0.99,Data!$A$2:$A$1256,Data!$E$2:$E$1256,,-1)/_xlfn.XLOOKUP(DATE(A38,12,31)+0.99,Data!$A$2:$A$1256,Data!$E$2:$E$1256,,-1)-1</f>
        <v/>
      </c>
      <c r="D39" s="305" cm="1">
        <f t="array" ref="D39">_xlfn.STDEV.S(_xlfn._xlws.FILTER(Data!$H$3:$H$1256,YEAR(Data!$A$3:$A$1256)=A39))*SQRT(252)</f>
        <v/>
      </c>
      <c r="F39" s="410">
        <f>EOMONTH(F38,1)</f>
        <v/>
      </c>
      <c r="G39" s="316">
        <f>_xlfn.XLOOKUP(F39+0.99,Data!$A$2:$A$1256,Data!$E$2:$E$1256,,-1)</f>
        <v/>
      </c>
      <c r="H39" s="305">
        <f>G39/G38-1</f>
        <v/>
      </c>
    </row>
    <row r="40">
      <c r="A40" s="70">
        <f>A39+1</f>
        <v/>
      </c>
      <c r="B40" s="39" t="inlineStr">
        <is>
          <t>Full year</t>
        </is>
      </c>
      <c r="C40" s="413">
        <f>_xlfn.XLOOKUP(DATE(A40,12,31)+0.99,Data!$A$2:$A$1256,Data!$E$2:$E$1256,,-1)/_xlfn.XLOOKUP(DATE(A39,12,31)+0.99,Data!$A$2:$A$1256,Data!$E$2:$E$1256,,-1)-1</f>
        <v/>
      </c>
      <c r="D40" s="305" cm="1">
        <f t="array" ref="D40">_xlfn.STDEV.S(_xlfn._xlws.FILTER(Data!$H$3:$H$1256,YEAR(Data!$A$3:$A$1256)=A40))*SQRT(252)</f>
        <v/>
      </c>
      <c r="F40" s="410">
        <f>EOMONTH(F39,1)</f>
        <v/>
      </c>
      <c r="G40" s="316">
        <f>_xlfn.XLOOKUP(F40+0.99,Data!$A$2:$A$1256,Data!$E$2:$E$1256,,-1)</f>
        <v/>
      </c>
      <c r="H40" s="305">
        <f>G40/G39-1</f>
        <v/>
      </c>
    </row>
    <row r="41">
      <c r="A41" s="70">
        <f>A40+1</f>
        <v/>
      </c>
      <c r="B41" s="39" t="inlineStr">
        <is>
          <t>Full year</t>
        </is>
      </c>
      <c r="C41" s="413">
        <f>_xlfn.XLOOKUP(DATE(A41,12,31)+0.99,Data!$A$2:$A$1256,Data!$E$2:$E$1256,,-1)/_xlfn.XLOOKUP(DATE(A40,12,31)+0.99,Data!$A$2:$A$1256,Data!$E$2:$E$1256,,-1)-1</f>
        <v/>
      </c>
      <c r="D41" s="305" cm="1">
        <f t="array" ref="D41">_xlfn.STDEV.S(_xlfn._xlws.FILTER(Data!$H$3:$H$1256,YEAR(Data!$A$3:$A$1256)=A41))*SQRT(252)</f>
        <v/>
      </c>
      <c r="F41" s="410">
        <f>EOMONTH(F40,1)</f>
        <v/>
      </c>
      <c r="G41" s="316">
        <f>_xlfn.XLOOKUP(F41+0.99,Data!$A$2:$A$1256,Data!$E$2:$E$1256,,-1)</f>
        <v/>
      </c>
      <c r="H41" s="305">
        <f>G41/G40-1</f>
        <v/>
      </c>
    </row>
    <row r="42">
      <c r="A42" s="70">
        <f>A41+1</f>
        <v/>
      </c>
      <c r="B42" s="39" t="inlineStr">
        <is>
          <t>Full year</t>
        </is>
      </c>
      <c r="C42" s="413">
        <f>_xlfn.XLOOKUP(DATE(A42,12,31)+0.99,Data!$A$2:$A$1256,Data!$E$2:$E$1256,,-1)/_xlfn.XLOOKUP(DATE(A41,12,31)+0.99,Data!$A$2:$A$1256,Data!$E$2:$E$1256,,-1)-1</f>
        <v/>
      </c>
      <c r="D42" s="305" cm="1">
        <f t="array" ref="D42">_xlfn.STDEV.S(_xlfn._xlws.FILTER(Data!$H$3:$H$1256,YEAR(Data!$A$3:$A$1256)=A42))*SQRT(252)</f>
        <v/>
      </c>
      <c r="F42" s="410">
        <f>EOMONTH(F41,1)</f>
        <v/>
      </c>
      <c r="G42" s="316">
        <f>_xlfn.XLOOKUP(F42+0.99,Data!$A$2:$A$1256,Data!$E$2:$E$1256,,-1)</f>
        <v/>
      </c>
      <c r="H42" s="305">
        <f>G42/G41-1</f>
        <v/>
      </c>
    </row>
    <row r="43">
      <c r="A43" s="70">
        <f>A42+1</f>
        <v/>
      </c>
      <c r="B43" s="39">
        <f>"YTD to "&amp;TEXT(B6,"d-mmm")</f>
        <v/>
      </c>
      <c r="C43" s="413">
        <f>B9/_xlfn.XLOOKUP(DATE(A42,12,31)+0.99,Data!$A$2:$A$1256,Data!$E$2:$E$1256,,-1)-1</f>
        <v/>
      </c>
      <c r="D43" s="305" cm="1">
        <f t="array" ref="D43">_xlfn.STDEV.S(_xlfn._xlws.FILTER(Data!$H$3:$H$1256,YEAR(Data!$A$3:$A$1256)=A43))*SQRT(252)</f>
        <v/>
      </c>
      <c r="F43" s="410">
        <f>EOMONTH(F42,1)</f>
        <v/>
      </c>
      <c r="G43" s="316">
        <f>_xlfn.XLOOKUP(F43+0.99,Data!$A$2:$A$1256,Data!$E$2:$E$1256,,-1)</f>
        <v/>
      </c>
      <c r="H43" s="305">
        <f>G43/G42-1</f>
        <v/>
      </c>
    </row>
    <row r="44">
      <c r="B44" s="409" t="n"/>
      <c r="C44" s="159" t="n"/>
      <c r="F44" s="410">
        <f>EOMONTH(F43,1)</f>
        <v/>
      </c>
      <c r="G44" s="316">
        <f>_xlfn.XLOOKUP(F44+0.99,Data!$A$2:$A$1256,Data!$E$2:$E$1256,,-1)</f>
        <v/>
      </c>
      <c r="H44" s="305">
        <f>G44/G43-1</f>
        <v/>
      </c>
    </row>
    <row r="45">
      <c r="A45" s="5" t="inlineStr">
        <is>
          <t>1-year price range implied by volatility</t>
        </is>
      </c>
      <c r="B45" s="5" t="n"/>
      <c r="C45" s="5" t="n"/>
      <c r="D45" s="5" t="n"/>
      <c r="F45" s="410">
        <f>EOMONTH(F44,1)</f>
        <v/>
      </c>
      <c r="G45" s="316">
        <f>_xlfn.XLOOKUP(F45+0.99,Data!$A$2:$A$1256,Data!$E$2:$E$1256,,-1)</f>
        <v/>
      </c>
      <c r="H45" s="305">
        <f>G45/G44-1</f>
        <v/>
      </c>
    </row>
    <row r="46">
      <c r="A46" s="117" t="inlineStr">
        <is>
          <t>Confidence band</t>
        </is>
      </c>
      <c r="B46" s="201" t="n">
        <v>0.9</v>
      </c>
      <c r="C46" s="159" t="inlineStr">
        <is>
          <t>Two-sided; editable</t>
        </is>
      </c>
      <c r="F46" s="410">
        <f>EOMONTH(F45,1)</f>
        <v/>
      </c>
      <c r="G46" s="316">
        <f>_xlfn.XLOOKUP(F46+0.99,Data!$A$2:$A$1256,Data!$E$2:$E$1256,,-1)</f>
        <v/>
      </c>
      <c r="H46" s="305">
        <f>G46/G45-1</f>
        <v/>
      </c>
    </row>
    <row r="47">
      <c r="A47" s="117" t="inlineStr">
        <is>
          <t>z-score</t>
        </is>
      </c>
      <c r="B47" s="202">
        <f>_xlfn.NORM.S.INV(1-(1-B46)/2)</f>
        <v/>
      </c>
      <c r="C47" s="159" t="n"/>
      <c r="F47" s="410">
        <f>EOMONTH(F46,1)</f>
        <v/>
      </c>
      <c r="G47" s="316">
        <f>_xlfn.XLOOKUP(F47+0.99,Data!$A$2:$A$1256,Data!$E$2:$E$1256,,-1)</f>
        <v/>
      </c>
      <c r="H47" s="305">
        <f>G47/G46-1</f>
        <v/>
      </c>
    </row>
    <row r="48">
      <c r="A48" s="117" t="inlineStr">
        <is>
          <t>Low end, 1 year ahead ($)</t>
        </is>
      </c>
      <c r="B48" s="414">
        <f>B9*EXP(-B47*B15)</f>
        <v/>
      </c>
      <c r="C48" s="204" t="inlineStr">
        <is>
          <t>Latest close × e^(−z·σ); zero drift, lognormal</t>
        </is>
      </c>
      <c r="F48" s="410">
        <f>EOMONTH(F47,1)</f>
        <v/>
      </c>
      <c r="G48" s="316">
        <f>_xlfn.XLOOKUP(F48+0.99,Data!$A$2:$A$1256,Data!$E$2:$E$1256,,-1)</f>
        <v/>
      </c>
      <c r="H48" s="305">
        <f>G48/G47-1</f>
        <v/>
      </c>
    </row>
    <row r="49">
      <c r="A49" s="117" t="inlineStr">
        <is>
          <t>High end, 1 year ahead ($)</t>
        </is>
      </c>
      <c r="B49" s="414">
        <f>B9*EXP(B47*B15)</f>
        <v/>
      </c>
      <c r="C49" s="204" t="inlineStr">
        <is>
          <t>Latest close × e^(+z·σ)</t>
        </is>
      </c>
      <c r="F49" s="410">
        <f>EOMONTH(F48,1)</f>
        <v/>
      </c>
      <c r="G49" s="316">
        <f>_xlfn.XLOOKUP(F49+0.99,Data!$A$2:$A$1256,Data!$E$2:$E$1256,,-1)</f>
        <v/>
      </c>
      <c r="H49" s="305">
        <f>G49/G48-1</f>
        <v/>
      </c>
    </row>
    <row r="50">
      <c r="A50" s="29" t="inlineStr">
        <is>
          <t>A statistical range for the price, not a valuation — it says how far the stock typically moves, not what it is worth.</t>
        </is>
      </c>
      <c r="B50" s="351" t="n"/>
      <c r="C50" s="159" t="n"/>
      <c r="F50" s="410">
        <f>EOMONTH(F49,1)</f>
        <v/>
      </c>
      <c r="G50" s="316">
        <f>_xlfn.XLOOKUP(F50+0.99,Data!$A$2:$A$1256,Data!$E$2:$E$1256,,-1)</f>
        <v/>
      </c>
      <c r="H50" s="305">
        <f>G50/G49-1</f>
        <v/>
      </c>
    </row>
    <row r="51">
      <c r="B51" s="342" t="n"/>
      <c r="C51" s="159" t="n"/>
      <c r="F51" s="410">
        <f>EOMONTH(F50,1)</f>
        <v/>
      </c>
      <c r="G51" s="316">
        <f>_xlfn.XLOOKUP(F51+0.99,Data!$A$2:$A$1256,Data!$E$2:$E$1256,,-1)</f>
        <v/>
      </c>
      <c r="H51" s="305">
        <f>G51/G50-1</f>
        <v/>
      </c>
    </row>
    <row r="52">
      <c r="B52" s="76" t="n"/>
      <c r="C52" s="159" t="n"/>
      <c r="F52" s="410">
        <f>EOMONTH(F51,1)</f>
        <v/>
      </c>
      <c r="G52" s="316">
        <f>_xlfn.XLOOKUP(F52+0.99,Data!$A$2:$A$1256,Data!$E$2:$E$1256,,-1)</f>
        <v/>
      </c>
      <c r="H52" s="305">
        <f>G52/G51-1</f>
        <v/>
      </c>
    </row>
    <row r="53">
      <c r="A53" s="28" t="n"/>
      <c r="F53" s="410">
        <f>EOMONTH(F52,1)</f>
        <v/>
      </c>
      <c r="G53" s="316">
        <f>_xlfn.XLOOKUP(F53+0.99,Data!$A$2:$A$1256,Data!$E$2:$E$1256,,-1)</f>
        <v/>
      </c>
      <c r="H53" s="305">
        <f>G53/G52-1</f>
        <v/>
      </c>
    </row>
    <row r="54">
      <c r="F54" s="410">
        <f>EOMONTH(F53,1)</f>
        <v/>
      </c>
      <c r="G54" s="316">
        <f>_xlfn.XLOOKUP(F54+0.99,Data!$A$2:$A$1256,Data!$E$2:$E$1256,,-1)</f>
        <v/>
      </c>
      <c r="H54" s="305">
        <f>G54/G53-1</f>
        <v/>
      </c>
    </row>
    <row r="55">
      <c r="F55" s="410">
        <f>EOMONTH(F54,1)</f>
        <v/>
      </c>
      <c r="G55" s="316">
        <f>_xlfn.XLOOKUP(F55+0.99,Data!$A$2:$A$1256,Data!$E$2:$E$1256,,-1)</f>
        <v/>
      </c>
      <c r="H55" s="305">
        <f>G55/G54-1</f>
        <v/>
      </c>
    </row>
    <row r="56">
      <c r="F56" s="410">
        <f>EOMONTH(F55,1)</f>
        <v/>
      </c>
      <c r="G56" s="316">
        <f>_xlfn.XLOOKUP(F56+0.99,Data!$A$2:$A$1256,Data!$E$2:$E$1256,,-1)</f>
        <v/>
      </c>
      <c r="H56" s="305">
        <f>G56/G55-1</f>
        <v/>
      </c>
    </row>
    <row r="57">
      <c r="F57" s="410">
        <f>EOMONTH(F56,1)</f>
        <v/>
      </c>
      <c r="G57" s="316">
        <f>_xlfn.XLOOKUP(F57+0.99,Data!$A$2:$A$1256,Data!$E$2:$E$1256,,-1)</f>
        <v/>
      </c>
      <c r="H57" s="305">
        <f>G57/G56-1</f>
        <v/>
      </c>
    </row>
    <row r="58">
      <c r="F58" s="410">
        <f>EOMONTH(F57,1)</f>
        <v/>
      </c>
      <c r="G58" s="316">
        <f>_xlfn.XLOOKUP(F58+0.99,Data!$A$2:$A$1256,Data!$E$2:$E$1256,,-1)</f>
        <v/>
      </c>
      <c r="H58" s="305">
        <f>G58/G57-1</f>
        <v/>
      </c>
    </row>
    <row r="59">
      <c r="F59" s="410">
        <f>EOMONTH(F58,1)</f>
        <v/>
      </c>
      <c r="G59" s="316">
        <f>_xlfn.XLOOKUP(F59+0.99,Data!$A$2:$A$1256,Data!$E$2:$E$1256,,-1)</f>
        <v/>
      </c>
      <c r="H59" s="305">
        <f>G59/G58-1</f>
        <v/>
      </c>
    </row>
    <row r="60">
      <c r="F60" s="410">
        <f>EOMONTH(F59,1)</f>
        <v/>
      </c>
      <c r="G60" s="316">
        <f>_xlfn.XLOOKUP(F60+0.99,Data!$A$2:$A$1256,Data!$E$2:$E$1256,,-1)</f>
        <v/>
      </c>
      <c r="H60" s="305">
        <f>G60/G59-1</f>
        <v/>
      </c>
    </row>
    <row r="61">
      <c r="F61" s="410">
        <f>EOMONTH(F60,1)</f>
        <v/>
      </c>
      <c r="G61" s="316">
        <f>_xlfn.XLOOKUP(F61+0.99,Data!$A$2:$A$1256,Data!$E$2:$E$1256,,-1)</f>
        <v/>
      </c>
      <c r="H61" s="305">
        <f>G61/G60-1</f>
        <v/>
      </c>
    </row>
    <row r="62">
      <c r="F62" s="410">
        <f>EOMONTH(F61,1)</f>
        <v/>
      </c>
      <c r="G62" s="316">
        <f>_xlfn.XLOOKUP(F62+0.99,Data!$A$2:$A$1256,Data!$E$2:$E$1256,,-1)</f>
        <v/>
      </c>
      <c r="H62" s="305">
        <f>G62/G61-1</f>
        <v/>
      </c>
    </row>
    <row r="63">
      <c r="F63" s="410">
        <f>EOMONTH(F62,1)</f>
        <v/>
      </c>
      <c r="G63" s="316">
        <f>_xlfn.XLOOKUP(F63+0.99,Data!$A$2:$A$1256,Data!$E$2:$E$1256,,-1)</f>
        <v/>
      </c>
      <c r="H63" s="305">
        <f>G63/G62-1</f>
        <v/>
      </c>
    </row>
    <row r="64">
      <c r="F64" s="410">
        <f>EOMONTH(F63,1)</f>
        <v/>
      </c>
      <c r="G64" s="316">
        <f>_xlfn.XLOOKUP(F64+0.99,Data!$A$2:$A$1256,Data!$E$2:$E$1256,,-1)</f>
        <v/>
      </c>
      <c r="H64" s="305">
        <f>G64/G63-1</f>
        <v/>
      </c>
    </row>
    <row r="65">
      <c r="F65" s="410">
        <f>EOMONTH(F64,1)</f>
        <v/>
      </c>
      <c r="G65" s="316">
        <f>_xlfn.XLOOKUP(F65+0.99,Data!$A$2:$A$1256,Data!$E$2:$E$1256,,-1)</f>
        <v/>
      </c>
      <c r="H65" s="305">
        <f>G65/G64-1</f>
        <v/>
      </c>
    </row>
    <row r="66"/>
    <row r="67">
      <c r="F67" s="6" t="inlineStr">
        <is>
          <t>Best month</t>
        </is>
      </c>
      <c r="H67" s="366">
        <f>MAX(H6:H65)</f>
        <v/>
      </c>
    </row>
    <row r="68">
      <c r="F68" s="6" t="inlineStr">
        <is>
          <t>Worst month</t>
        </is>
      </c>
      <c r="H68" s="366">
        <f>MIN(H6:H65)</f>
        <v/>
      </c>
    </row>
    <row r="69">
      <c r="F69" s="6" t="inlineStr">
        <is>
          <t>Positive months</t>
        </is>
      </c>
      <c r="H69" s="366">
        <f>COUNTIF(H6:H65,"&gt;0")&amp;" of "&amp;COUNT(H6:H65)</f>
        <v/>
      </c>
    </row>
    <row r="71">
      <c r="F71" s="117" t="inlineStr">
        <is>
          <t>First month is partial (starts 24-Sep-2021 → Oct uses the full month); the last row (Sep-2026) is month-to-date to 24-Sep.</t>
        </is>
      </c>
    </row>
  </sheetData>
  <conditionalFormatting sqref="H6:H65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hyperlinks>
    <hyperlink ref="H2" location="'Summary'!A1" display="← Back to Summary"/>
  </hyperlinks>
  <printOptions horizontalCentered="1"/>
  <pageMargins left="0.5" right="0.5" top="0.5555555555555556" bottom="0.5555555555555556" header="0.3" footer="0.3"/>
  <pageSetup orientation="landscape" scale="57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25"/>
  <sheetViews>
    <sheetView showGridLines="0" workbookViewId="0">
      <pane ySplit="2" topLeftCell="A13" activePane="bottomLeft" state="frozen"/>
      <selection pane="bottomLeft" activeCell="A1" sqref="A1"/>
    </sheetView>
  </sheetViews>
  <sheetFormatPr baseColWidth="8" defaultRowHeight="14.5"/>
  <cols>
    <col width="15.453125" customWidth="1" style="117" min="1" max="1"/>
    <col width="60" customWidth="1" style="117" min="2" max="2"/>
    <col width="47.26953125" customWidth="1" style="117" min="3" max="3"/>
    <col width="20" customWidth="1" style="117" min="4" max="4"/>
    <col width="17.26953125" customWidth="1" style="117" min="5" max="5"/>
    <col width="36.36328125" customWidth="1" style="117" min="6" max="6"/>
    <col width="8.7265625" customWidth="1" style="117" min="7" max="26"/>
  </cols>
  <sheetData>
    <row r="1" ht="30" customHeight="1" s="160">
      <c r="A1" s="2">
        <f>Data!$Q$2&amp;" ("&amp;Data!$Q$3&amp;") — Catalysts &amp; News"</f>
        <v/>
      </c>
      <c r="B1" s="2" t="n"/>
      <c r="C1" s="2" t="n"/>
      <c r="D1" s="2" t="n"/>
      <c r="E1" s="2" t="n"/>
      <c r="F1" s="2" t="n"/>
    </row>
    <row r="2">
      <c r="A2" s="3" t="inlineStr">
        <is>
          <t>Upcoming events and a filtered list of recent headlines (QuantWizard feed, cleaned)</t>
        </is>
      </c>
      <c r="B2" s="3" t="n"/>
      <c r="C2" s="3" t="n"/>
      <c r="D2" s="3" t="n"/>
      <c r="E2" s="3" t="n"/>
      <c r="F2" s="4" t="inlineStr">
        <is>
          <t>← Back to Summary</t>
        </is>
      </c>
    </row>
    <row r="4">
      <c r="A4" s="5" t="inlineStr">
        <is>
          <t>Upcoming catalysts</t>
        </is>
      </c>
      <c r="B4" s="5" t="n"/>
      <c r="C4" s="5" t="n"/>
      <c r="D4" s="5" t="n"/>
      <c r="E4" s="5" t="n"/>
      <c r="F4" s="5" t="n"/>
    </row>
    <row r="5">
      <c r="A5" s="9" t="inlineStr">
        <is>
          <t>Timing</t>
        </is>
      </c>
      <c r="B5" s="8" t="inlineStr">
        <is>
          <t>Event</t>
        </is>
      </c>
      <c r="C5" s="8" t="inlineStr">
        <is>
          <t>Why it matters</t>
        </is>
      </c>
      <c r="D5" s="8" t="inlineStr">
        <is>
          <t>Status</t>
        </is>
      </c>
    </row>
    <row r="6" ht="24" customHeight="1" s="160">
      <c r="A6" s="53" t="inlineStr">
        <is>
          <t>Mid Oct-2026</t>
        </is>
      </c>
      <c r="B6" s="53" t="inlineStr">
        <is>
          <t>Q1 FY27 earnings</t>
        </is>
      </c>
      <c r="C6" s="53" t="inlineStr">
        <is>
          <t>Refreshes revenue, margins and the trailing-twelve-month figures in this report; tests whether recent growth is holding.</t>
        </is>
      </c>
      <c r="D6" s="53" t="inlineStr">
        <is>
          <t>Date not yet announced</t>
        </is>
      </c>
      <c r="E6" s="53" t="n"/>
      <c r="F6" s="53" t="n"/>
    </row>
    <row r="7" ht="24" customHeight="1" s="160">
      <c r="A7" s="53" t="inlineStr">
        <is>
          <t>Mid Jan-2027</t>
        </is>
      </c>
      <c r="B7" s="53" t="inlineStr">
        <is>
          <t>Q2 FY27 earnings</t>
        </is>
      </c>
      <c r="C7" s="53" t="inlineStr">
        <is>
          <t>Refreshes revenue, margins and the trailing-twelve-month figures in this report; tests whether recent growth is holding.</t>
        </is>
      </c>
      <c r="D7" s="53" t="inlineStr">
        <is>
          <t>Expected</t>
        </is>
      </c>
      <c r="E7" s="53" t="n"/>
      <c r="F7" s="53" t="n"/>
    </row>
    <row r="8" ht="24" customHeight="1" s="160">
      <c r="A8" s="53" t="inlineStr">
        <is>
          <t>With results</t>
        </is>
      </c>
      <c r="B8" s="53" t="inlineStr">
        <is>
          <t>Dividend declaration</t>
        </is>
      </c>
      <c r="C8" s="53" t="inlineStr">
        <is>
          <t>Last declared $0.41 a share a quarter.</t>
        </is>
      </c>
      <c r="D8" s="53" t="inlineStr">
        <is>
          <t>Expected</t>
        </is>
      </c>
      <c r="E8" s="53" t="n"/>
      <c r="F8" s="53" t="n"/>
    </row>
    <row r="9">
      <c r="A9" s="53" t="inlineStr">
        <is>
          <t>Every call</t>
        </is>
      </c>
      <c r="B9" s="53" t="inlineStr">
        <is>
          <t>Guidance on growth, margins and capex</t>
        </is>
      </c>
      <c r="C9" s="53" t="inlineStr">
        <is>
          <t>The DCF rests on 1% year-one revenue growth and a long-run operating margin anchored to TTM; guidance moves both.</t>
        </is>
      </c>
      <c r="D9" s="53" t="inlineStr">
        <is>
          <t>Monitor</t>
        </is>
      </c>
      <c r="E9" s="53" t="n"/>
      <c r="F9" s="53" t="n"/>
    </row>
    <row r="10" ht="24" customHeight="1" s="160">
      <c r="A10" s="53" t="inlineStr">
        <is>
          <t>Ongoing</t>
        </is>
      </c>
      <c r="B10" s="53" t="inlineStr">
        <is>
          <t>Product launches and demand</t>
        </is>
      </c>
      <c r="C10" s="53" t="inlineStr">
        <is>
          <t>Recent headlines concern new products and demand.</t>
        </is>
      </c>
      <c r="D10" s="53" t="inlineStr">
        <is>
          <t>Monitor</t>
        </is>
      </c>
      <c r="E10" s="53" t="n"/>
      <c r="F10" s="53" t="n"/>
    </row>
    <row r="11" ht="24" customHeight="1" s="160">
      <c r="A11" s="53" t="n"/>
      <c r="B11" s="53" t="n"/>
      <c r="C11" s="53" t="n"/>
      <c r="D11" s="53" t="n"/>
      <c r="E11" s="53" t="n"/>
      <c r="F11" s="53" t="n"/>
    </row>
    <row r="13" ht="24" customHeight="1" s="160">
      <c r="A13" s="104" t="inlineStr">
        <is>
          <t>Recent headlines (filtered)</t>
        </is>
      </c>
      <c r="B13" s="104" t="n"/>
      <c r="C13" s="104" t="n"/>
      <c r="D13" s="104" t="n"/>
      <c r="E13" s="104" t="n"/>
      <c r="F13" s="104" t="n"/>
    </row>
    <row r="14">
      <c r="A14" s="105" t="inlineStr">
        <is>
          <t>Date</t>
        </is>
      </c>
      <c r="B14" s="106" t="inlineStr">
        <is>
          <t>Headline</t>
        </is>
      </c>
      <c r="C14" s="106" t="inlineStr">
        <is>
          <t>Publisher</t>
        </is>
      </c>
      <c r="D14" s="106" t="inlineStr">
        <is>
          <t>Theme</t>
        </is>
      </c>
      <c r="E14" s="106" t="inlineStr">
        <is>
          <t>Tone (reviewed)</t>
        </is>
      </c>
      <c r="F14" s="106" t="inlineStr">
        <is>
          <t>Note</t>
        </is>
      </c>
    </row>
    <row r="15" ht="24" customHeight="1" s="160">
      <c r="A15" s="415" t="n">
        <v>46281</v>
      </c>
      <c r="B15" s="53" t="inlineStr">
        <is>
          <t>8-K filing — 8-K</t>
        </is>
      </c>
      <c r="C15" s="53" t="inlineStr">
        <is>
          <t>SEC EDGAR</t>
        </is>
      </c>
      <c r="D15" s="53" t="inlineStr">
        <is>
          <t>General</t>
        </is>
      </c>
      <c r="E15" s="53" t="inlineStr">
        <is>
          <t>Neutral</t>
        </is>
      </c>
      <c r="F15" s="53" t="inlineStr">
        <is>
          <t>SEC filing</t>
        </is>
      </c>
    </row>
    <row r="16">
      <c r="A16" s="415" t="n">
        <v>46289</v>
      </c>
      <c r="B16" s="53" t="inlineStr">
        <is>
          <t>Nike Offers a Second Life to Its Used Sneakers, Apparel at SoHo Pop-up</t>
        </is>
      </c>
      <c r="C16" s="53" t="inlineStr">
        <is>
          <t>Yahoo</t>
        </is>
      </c>
      <c r="D16" s="53" t="inlineStr">
        <is>
          <t>General</t>
        </is>
      </c>
      <c r="E16" s="53" t="inlineStr">
        <is>
          <t>Neutral</t>
        </is>
      </c>
      <c r="F16" s="53" t="n"/>
    </row>
    <row r="17">
      <c r="A17" s="415" t="n">
        <v>46289</v>
      </c>
      <c r="B17" s="53" t="inlineStr">
        <is>
          <t>Nike Gears Up For Q1 Print; Here Are The Recent Forecast Changes From Wall Street's Most Accurate Analysts</t>
        </is>
      </c>
      <c r="C17" s="53" t="inlineStr">
        <is>
          <t>Benzinga</t>
        </is>
      </c>
      <c r="D17" s="53" t="inlineStr">
        <is>
          <t>Earnings</t>
        </is>
      </c>
      <c r="E17" s="53" t="inlineStr">
        <is>
          <t>Negative</t>
        </is>
      </c>
      <c r="F17" s="53" t="n"/>
    </row>
    <row r="18" ht="24" customHeight="1" s="160">
      <c r="A18" s="415" t="n">
        <v>46288</v>
      </c>
      <c r="B18" s="53" t="inlineStr">
        <is>
          <t>Nike Stock: Buy or Sell?</t>
        </is>
      </c>
      <c r="C18" s="53" t="inlineStr">
        <is>
          <t>The Motley Fool</t>
        </is>
      </c>
      <c r="D18" s="53" t="inlineStr">
        <is>
          <t>General</t>
        </is>
      </c>
      <c r="E18" s="53" t="inlineStr">
        <is>
          <t>Neutral</t>
        </is>
      </c>
      <c r="F18" s="53" t="n"/>
    </row>
    <row r="19">
      <c r="A19" s="415" t="n">
        <v>46286</v>
      </c>
      <c r="B19" s="53" t="inlineStr">
        <is>
          <t>NIKE's Marketplace Strategy: Balancing Reach and Profitability?</t>
        </is>
      </c>
      <c r="C19" s="53" t="inlineStr">
        <is>
          <t>Zacks Investment Research</t>
        </is>
      </c>
      <c r="D19" s="53" t="inlineStr">
        <is>
          <t>Earnings</t>
        </is>
      </c>
      <c r="E19" s="53" t="inlineStr">
        <is>
          <t>Neutral</t>
        </is>
      </c>
      <c r="F19" s="53" t="n"/>
    </row>
    <row r="20" ht="24" customHeight="1" s="160">
      <c r="A20" s="415" t="n">
        <v>46285</v>
      </c>
      <c r="B20" s="53" t="inlineStr">
        <is>
          <t>Converse reviews ad approvals after campaign draws racism backlash (NKE:NYSE)</t>
        </is>
      </c>
      <c r="C20" s="53" t="inlineStr">
        <is>
          <t>Seeking Alpha</t>
        </is>
      </c>
      <c r="D20" s="53" t="inlineStr">
        <is>
          <t>Product</t>
        </is>
      </c>
      <c r="E20" s="53" t="inlineStr">
        <is>
          <t>Positive</t>
        </is>
      </c>
      <c r="F20" s="53" t="n"/>
    </row>
    <row r="21">
      <c r="A21" s="415" t="n">
        <v>46289</v>
      </c>
      <c r="B21" s="53" t="inlineStr">
        <is>
          <t>NKE Stock Slips Premarket: Analyst Says Nike's Recovery Story Remains Intact Despite Short-Term Sales Pressure</t>
        </is>
      </c>
      <c r="C21" s="53" t="inlineStr">
        <is>
          <t>Stocktwits</t>
        </is>
      </c>
      <c r="D21" s="53" t="inlineStr">
        <is>
          <t>Analyst</t>
        </is>
      </c>
      <c r="E21" s="53" t="inlineStr">
        <is>
          <t>Negative</t>
        </is>
      </c>
      <c r="F21" s="53" t="n"/>
    </row>
    <row r="22">
      <c r="A22" s="415" t="n">
        <v>46288</v>
      </c>
      <c r="B22" s="53" t="inlineStr">
        <is>
          <t>Don’t Buy Nike Stock Yet</t>
        </is>
      </c>
      <c r="C22" s="53" t="inlineStr">
        <is>
          <t>Barchart.com</t>
        </is>
      </c>
      <c r="D22" s="53" t="inlineStr">
        <is>
          <t>General</t>
        </is>
      </c>
      <c r="E22" s="53" t="inlineStr">
        <is>
          <t>Neutral</t>
        </is>
      </c>
      <c r="F22" s="53" t="n"/>
    </row>
    <row r="23">
      <c r="A23" s="415" t="n">
        <v>46288</v>
      </c>
      <c r="B23" s="53" t="inlineStr">
        <is>
          <t>Nike Stock In Focus As Barclays Cuts Price Target To $48 Ahead Of Q1 Earnings</t>
        </is>
      </c>
      <c r="C23" s="53" t="inlineStr">
        <is>
          <t>TradingView</t>
        </is>
      </c>
      <c r="D23" s="53" t="inlineStr">
        <is>
          <t>Earnings</t>
        </is>
      </c>
      <c r="E23" s="53" t="inlineStr">
        <is>
          <t>Negative</t>
        </is>
      </c>
      <c r="F23" s="53" t="n"/>
    </row>
    <row r="25">
      <c r="A25" s="103" t="inlineStr">
        <is>
          <t>Filtered from the aggregated feed: quote and option-chain pages, headlines about other companies and off-topic press releases are removed; tone is scored on the headline. The unfiltered feed stays in QuantWizard.</t>
        </is>
      </c>
    </row>
  </sheetData>
  <conditionalFormatting sqref="E15:E23">
    <cfRule type="expression" priority="1" dxfId="1">
      <formula>NOT(ISERROR(SEARCH("Negative",E15)))</formula>
    </cfRule>
    <cfRule type="expression" priority="2" dxfId="0">
      <formula>NOT(ISERROR(SEARCH("Positive",E15)))</formula>
    </cfRule>
  </conditionalFormatting>
  <hyperlinks>
    <hyperlink ref="F2" location="'Summary'!A1" display="← Back to Summary"/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  <hyperlink xmlns:r="http://schemas.openxmlformats.org/officeDocument/2006/relationships" ref="B21" r:id="rId7"/>
    <hyperlink xmlns:r="http://schemas.openxmlformats.org/officeDocument/2006/relationships" ref="B22" r:id="rId8"/>
    <hyperlink xmlns:r="http://schemas.openxmlformats.org/officeDocument/2006/relationships" ref="B23" r:id="rId9"/>
  </hyperlinks>
  <printOptions horizontalCentered="1"/>
  <pageMargins left="0.5" right="0.5" top="0.5555555555555556" bottom="0.5555555555555556" header="0.3" footer="0.3"/>
  <pageSetup orientation="landscape" scale="64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C34"/>
  <sheetViews>
    <sheetView showGridLines="0" workbookViewId="0">
      <pane ySplit="4" topLeftCell="A17" activePane="bottomLeft" state="frozen"/>
      <selection pane="bottomLeft" activeCell="A1" sqref="A1"/>
    </sheetView>
  </sheetViews>
  <sheetFormatPr baseColWidth="8" defaultRowHeight="14.5"/>
  <cols>
    <col width="21.81640625" customWidth="1" style="117" min="1" max="1"/>
    <col width="76.36328125" customWidth="1" style="117" min="2" max="2"/>
    <col width="69.08984375" customWidth="1" style="117" min="3" max="3"/>
    <col width="8.7265625" customWidth="1" style="117" min="4" max="26"/>
  </cols>
  <sheetData>
    <row r="1" ht="30" customHeight="1" s="160">
      <c r="A1" s="2">
        <f>Data!$Q$2&amp;" ("&amp;Data!$Q$3&amp;") — Methodology"</f>
        <v/>
      </c>
      <c r="B1" s="2" t="n"/>
      <c r="C1" s="2" t="n"/>
    </row>
    <row r="2">
      <c r="A2" s="3" t="inlineStr">
        <is>
          <t>How each number in this report is built — and its known limitations</t>
        </is>
      </c>
      <c r="B2" s="3" t="n"/>
      <c r="C2" s="4" t="inlineStr">
        <is>
          <t>← Back to Summary</t>
        </is>
      </c>
    </row>
    <row r="4">
      <c r="A4" s="109" t="inlineStr">
        <is>
          <t>Item</t>
        </is>
      </c>
      <c r="B4" s="108" t="inlineStr">
        <is>
          <t>Method</t>
        </is>
      </c>
      <c r="C4" s="108" t="inlineStr">
        <is>
          <t>Limitations</t>
        </is>
      </c>
    </row>
    <row r="5">
      <c r="A5" s="110" t="inlineStr">
        <is>
          <t>Fundamentals</t>
        </is>
      </c>
      <c r="B5" s="110" t="n"/>
      <c r="C5" s="110" t="n"/>
    </row>
    <row r="6" ht="30" customHeight="1" s="160">
      <c r="A6" s="111" t="inlineStr">
        <is>
          <t>Fiscal periods</t>
        </is>
      </c>
      <c r="B6" s="53" t="inlineStr">
        <is>
          <t>FY = Nike's fiscal year, ending late May. TTM = the four quarters to 31-May-2026, rebuilt from the cumulative figures in each 10-Q / 10-K.</t>
        </is>
      </c>
      <c r="C6" s="53" t="inlineStr">
        <is>
          <t>Quarterly figures are reviewed, not audited; the fourth quarter is the full year less nine months.</t>
        </is>
      </c>
    </row>
    <row r="7" ht="30" customHeight="1" s="160">
      <c r="A7" s="111" t="inlineStr">
        <is>
          <t>Free cash flow</t>
        </is>
      </c>
      <c r="B7" s="53" t="inlineStr">
        <is>
          <t>Cash from operations minus capital expenditures.</t>
        </is>
      </c>
      <c r="C7" s="53" t="inlineStr">
        <is>
          <t>After interest and tax; not a strict unlevered FCF. Optional SBC deduction on the DCF tab.</t>
        </is>
      </c>
    </row>
    <row r="8" ht="30" customHeight="1" s="160">
      <c r="A8" s="111" t="inlineStr">
        <is>
          <t>Clean EPS</t>
        </is>
      </c>
      <c r="B8" s="53" t="inlineStr">
        <is>
          <t>TTM diluted EPS. Gains on equity securities were checked and are immaterial (under 5% of trailing net income), so no adjustment is made.</t>
        </is>
      </c>
      <c r="C8" s="53" t="inlineStr">
        <is>
          <t>Other one-off items (tax, litigation, impairments) are not adjusted.</t>
        </is>
      </c>
    </row>
    <row r="9" ht="30" customHeight="1" s="160">
      <c r="A9" s="111" t="inlineStr">
        <is>
          <t>Units</t>
        </is>
      </c>
      <c r="B9" s="53" t="inlineStr">
        <is>
          <t>$ billions unless stated; per-share figures in $; shares in billions.</t>
        </is>
      </c>
      <c r="C9" s="53" t="n"/>
    </row>
    <row r="10">
      <c r="A10" s="104" t="inlineStr">
        <is>
          <t>DCF</t>
        </is>
      </c>
      <c r="B10" s="104" t="n"/>
      <c r="C10" s="104" t="n"/>
    </row>
    <row r="11" ht="30" customHeight="1" s="160">
      <c r="A11" s="111" t="inlineStr">
        <is>
          <t>Structure</t>
        </is>
      </c>
      <c r="B11" s="53" t="inlineStr">
        <is>
          <t>10-year revenue × operating-margin model. Revenue starts from TTM ($46B) and year-1 growth (default: 5-yr revenue CAGR) fades linearly to terminal growth. Operating margin, capex and D&amp;A move in a straight line from today's level to their long-run level over 5 years; FCF = NOPAT + D&amp;A − capex − working capital (+ SBC unless deducted).</t>
        </is>
      </c>
      <c r="C11" s="53" t="inlineStr">
        <is>
          <t>Paths are linear; the model does not time an investment cycle explicitly.</t>
        </is>
      </c>
    </row>
    <row r="12" ht="30" customHeight="1" s="160">
      <c r="A12" s="111" t="inlineStr">
        <is>
          <t>Discounting</t>
        </is>
      </c>
      <c r="B12" s="53" t="inlineStr">
        <is>
          <t>Mid-year convention (toggle on DCF tab); terminal value (Gordon growth) discounted a full 10 years.</t>
        </is>
      </c>
      <c r="C12" s="53" t="inlineStr">
        <is>
          <t>Valuation date ≈ 31-May-2026, the TTM end.</t>
        </is>
      </c>
    </row>
    <row r="13" ht="30" customHeight="1" s="160">
      <c r="A13" s="111" t="inlineStr">
        <is>
          <t>WACC</t>
        </is>
      </c>
      <c r="B13" s="53" t="inlineStr">
        <is>
          <t>CAPM: 10-year Treasury (5.11%) + Blume-adjusted beta (⅔ × live raw beta from the Risk tab + ⅓) × 5.0% ERP, blended with an after-tax cost of debt at market weights. Built line by line on the DCF tab.</t>
        </is>
      </c>
      <c r="C13" s="53" t="inlineStr">
        <is>
          <t>ERP, cost of debt and tax rate are assumptions. Beta is the live regression on the Data tab, Blume-adjusted.</t>
        </is>
      </c>
    </row>
    <row r="14" ht="30" customHeight="1" s="160">
      <c r="A14" s="111" t="inlineStr">
        <is>
          <t>Equity bridge</t>
        </is>
      </c>
      <c r="B14" s="53" t="inlineStr">
        <is>
          <t>Enterprise value + net cash (cash + marketable securities − debt) + non-marketable equity stakes after a 20% haircut (toggle).</t>
        </is>
      </c>
      <c r="C14" s="53" t="inlineStr">
        <is>
          <t>Balance sheet at 31-May-2026. Private stakes are carried at the company's own valuation marks.</t>
        </is>
      </c>
    </row>
    <row r="15" ht="30" customHeight="1" s="160">
      <c r="A15" s="111" t="inlineStr">
        <is>
          <t>Share count</t>
        </is>
      </c>
      <c r="B15" s="53" t="inlineStr">
        <is>
          <t>All share classes outstanding from the latest filing cover (1.483B at 08-Jul-2026).</t>
        </is>
      </c>
      <c r="C15" s="53" t="inlineStr">
        <is>
          <t>Basic count; options and convertibles are not converted into shares.</t>
        </is>
      </c>
    </row>
    <row r="16" ht="30" customHeight="1" s="160">
      <c r="A16" s="111" t="inlineStr">
        <is>
          <t>Reverse DCF</t>
        </is>
      </c>
      <c r="B16" s="53" t="inlineStr">
        <is>
          <t>Solves the year-1 revenue growth (margin and capex held), the long-run operating margin (growth held) and the long-run capex share (growth and margin held) at which the DCF equals the price.</t>
        </is>
      </c>
      <c r="C16" s="53" t="inlineStr">
        <is>
          <t>Linear interpolation on 161-point grids (DCF columns Q:V).</t>
        </is>
      </c>
    </row>
    <row r="17" ht="30" customHeight="1" s="160">
      <c r="A17" s="111" t="inlineStr">
        <is>
          <t>Scenarios</t>
        </is>
      </c>
      <c r="B17" s="53" t="inlineStr">
        <is>
          <t>Bear / base / bull flex revenue growth, target FCF margin, WACC and terminal growth together; probability-weighted. Narrative text updates with the inputs.</t>
        </is>
      </c>
      <c r="C17" s="53" t="inlineStr">
        <is>
          <t>Sensitivity grids are live formulas using the same closed form as the model check.</t>
        </is>
      </c>
    </row>
    <row r="18">
      <c r="A18" s="104" t="inlineStr">
        <is>
          <t>Market &amp; risk statistics</t>
        </is>
      </c>
      <c r="B18" s="104" t="n"/>
      <c r="C18" s="104" t="n"/>
    </row>
    <row r="19" ht="30" customHeight="1" s="160">
      <c r="A19" s="111" t="inlineStr">
        <is>
          <t>Price data</t>
        </is>
      </c>
      <c r="B19" s="53" t="inlineStr">
        <is>
          <t>Daily closes 24-Sep-2021 to 24-Sep-2026 (5.0 years), Yahoo Finance.</t>
        </is>
      </c>
      <c r="C19" s="53" t="inlineStr">
        <is>
          <t>Yahoo closes are dividend-adjusted (total return).</t>
        </is>
      </c>
    </row>
    <row r="20" ht="30" customHeight="1" s="160">
      <c r="A20" s="111" t="inlineStr">
        <is>
          <t>Volatility</t>
        </is>
      </c>
      <c r="B20" s="53" t="inlineStr">
        <is>
          <t>Sample standard deviation of daily returns × √252.</t>
        </is>
      </c>
      <c r="C20" s="53" t="n"/>
    </row>
    <row r="21" ht="30" customHeight="1" s="160">
      <c r="A21" s="111" t="inlineStr">
        <is>
          <t>Sharpe / Sortino</t>
        </is>
      </c>
      <c r="B21" s="53" t="inlineStr">
        <is>
          <t>(Annualised arithmetic mean return − 4.19% risk-free) ÷ annualised volatility (downside deviation for Sortino).</t>
        </is>
      </c>
      <c r="C21" s="53" t="inlineStr">
        <is>
          <t>A 5.0-year window; a single sample, highly period-dependent.</t>
        </is>
      </c>
    </row>
    <row r="22" ht="30" customHeight="1" s="160">
      <c r="A22" s="111" t="inlineStr">
        <is>
          <t>Maximum drawdown</t>
        </is>
      </c>
      <c r="B22" s="53" t="inlineStr">
        <is>
          <t>Largest peak-to-trough decline in daily closes over the full window.</t>
        </is>
      </c>
      <c r="C22" s="53" t="n"/>
    </row>
    <row r="23" ht="30" customHeight="1" s="160">
      <c r="A23" s="111" t="inlineStr">
        <is>
          <t>Calendar-year rows</t>
        </is>
      </c>
      <c r="B23" s="53" t="inlineStr">
        <is>
          <t>The first and last years may be partial and are labelled so.</t>
        </is>
      </c>
      <c r="C23" s="53" t="inlineStr">
        <is>
          <t>Not comparable with full-year figures.</t>
        </is>
      </c>
    </row>
    <row r="24" ht="30" customHeight="1" s="160">
      <c r="A24" s="111" t="inlineStr">
        <is>
          <t>Beta / correlation</t>
        </is>
      </c>
      <c r="B24" s="53" t="inlineStr">
        <is>
          <t>Regression of daily returns on SPY over the window.</t>
        </is>
      </c>
      <c r="C24" s="53" t="inlineStr">
        <is>
          <t>The WACC uses a Blume-adjusted beta (⅔ raw + ⅓).</t>
        </is>
      </c>
    </row>
    <row r="25" ht="30" customHeight="1" s="160">
      <c r="A25" s="111" t="inlineStr">
        <is>
          <t>1-year price range</t>
        </is>
      </c>
      <c r="B25" s="53" t="inlineStr">
        <is>
          <t>Latest close × e^(±z·σ) using the live annualised volatility; zero drift, lognormal, 90% band by default.</t>
        </is>
      </c>
      <c r="C25" s="53" t="inlineStr">
        <is>
          <t>A statistical range for the price, not a valuation or a forecast.</t>
        </is>
      </c>
    </row>
    <row r="26">
      <c r="A26" s="104" t="inlineStr">
        <is>
          <t>General</t>
        </is>
      </c>
      <c r="B26" s="104" t="n"/>
      <c r="C26" s="104" t="n"/>
    </row>
    <row r="27" ht="30" customHeight="1" s="160">
      <c r="A27" s="111" t="inlineStr">
        <is>
          <t>Colour code</t>
        </is>
      </c>
      <c r="B27" s="53" t="inlineStr">
        <is>
          <t>Blue text on yellow = input you can change. Black = formula. Green = link from another tab.</t>
        </is>
      </c>
      <c r="C27" s="53" t="n"/>
    </row>
    <row r="28" ht="30" customHeight="1" s="160">
      <c r="A28" s="111" t="inlineStr">
        <is>
          <t>Disclaimer</t>
        </is>
      </c>
      <c r="B28" s="53" t="inlineStr">
        <is>
          <t>For information only; not investment advice. Figures from company filings and third-party feeds may contain errors — check the Sources tab.</t>
        </is>
      </c>
      <c r="C28" s="53" t="n"/>
    </row>
    <row r="30">
      <c r="A30" s="109" t="inlineStr">
        <is>
          <t>Model changes &amp; disclaimer</t>
        </is>
      </c>
      <c r="B30" s="108" t="n"/>
      <c r="C30" s="108" t="n"/>
    </row>
    <row r="31" ht="48" customHeight="1" s="160">
      <c r="A31" s="111" t="inlineStr">
        <is>
          <t>Model v2 (25-Sep-2026)</t>
        </is>
      </c>
      <c r="B31" s="53" t="inlineStr">
        <is>
          <t>DCF on explicit drivers: revenue → operating margin → tax → + D&amp;A − capex − working capital (+ SBC unless deducted). Long-run operating margin chosen by anchor (DCF!B17); capex and D&amp;A normalise over DCF!B11 years. Replaces the earlier free-cash-flow growth model, so base values differ from reports before this date.</t>
        </is>
      </c>
      <c r="C31" s="53" t="n"/>
    </row>
    <row r="32" ht="24" customHeight="1" s="160">
      <c r="A32" s="111" t="inlineStr">
        <is>
          <t>Not investment advice</t>
        </is>
      </c>
      <c r="B32" s="53" t="inlineStr">
        <is>
          <t>This report is a model-driven valuation for information only. It is not a recommendation to buy, sell or hold any security, and carries no rating or price target.</t>
        </is>
      </c>
      <c r="C32" s="53" t="n"/>
    </row>
    <row r="33" ht="36" customHeight="1" s="160">
      <c r="A33" s="111" t="inlineStr">
        <is>
          <t>Data</t>
        </is>
      </c>
      <c r="B33" s="53" t="inlineStr">
        <is>
          <t>Prices from Yahoo Finance; fundamentals from SEC filings (XBRL, 10-K/10-Q); consensus (where shown) from Yahoo Finance — unofficial. Figures may contain errors; check the Sources tab before relying on them.</t>
        </is>
      </c>
      <c r="C33" s="53" t="n"/>
    </row>
    <row r="34" ht="36" customHeight="1" s="160">
      <c r="A34" s="111" t="inlineStr">
        <is>
          <t>Limitations</t>
        </is>
      </c>
      <c r="B34" s="53" t="inlineStr">
        <is>
          <t>DCF outputs are highly sensitive to long-run margin, discount rate and terminal growth (see Scenarios sensitivities). Quarterly figures are unaudited. Segment multiples and several WACC inputs are house assumptions (blue cells).</t>
        </is>
      </c>
      <c r="C34" s="53" t="n"/>
    </row>
  </sheetData>
  <hyperlinks>
    <hyperlink ref="C2" location="'Summary'!A1" display="← Back to Summary"/>
  </hyperlinks>
  <printOptions horizontalCentered="1"/>
  <pageMargins left="0.5" right="0.5" top="0.5555555555555556" bottom="0.5555555555555556" header="0.3" footer="0.3"/>
  <pageSetup orientation="landscape" scale="76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6"/>
  <sheetViews>
    <sheetView showGridLines="0" workbookViewId="0">
      <pane ySplit="4" topLeftCell="A19" activePane="bottomLeft" state="frozen"/>
      <selection pane="bottomLeft" activeCell="A1" sqref="A1"/>
    </sheetView>
  </sheetViews>
  <sheetFormatPr baseColWidth="8" defaultRowHeight="14.5"/>
  <cols>
    <col width="34.54296875" customWidth="1" style="117" min="1" max="1"/>
    <col width="27.26953125" customWidth="1" style="117" min="2" max="2"/>
    <col width="30.90625" customWidth="1" style="117" min="3" max="3"/>
    <col width="60" customWidth="1" style="117" min="4" max="4"/>
    <col width="20" customWidth="1" style="117" min="5" max="5"/>
    <col width="15.453125" customWidth="1" style="117" min="6" max="6"/>
    <col width="8.7265625" customWidth="1" style="117" min="7" max="26"/>
  </cols>
  <sheetData>
    <row r="1" ht="30" customHeight="1" s="160">
      <c r="A1" s="2">
        <f>Data!$Q$2&amp;" ("&amp;Data!$Q$3&amp;") — Sources &amp; Data Log"</f>
        <v/>
      </c>
      <c r="B1" s="2" t="n"/>
      <c r="C1" s="2" t="n"/>
      <c r="D1" s="2" t="n"/>
      <c r="E1" s="2" t="n"/>
      <c r="F1" s="2" t="n"/>
    </row>
    <row r="2">
      <c r="A2" s="3" t="inlineStr">
        <is>
          <t>Every externally sourced figure used in this report, with where it lives and how reliable the source is</t>
        </is>
      </c>
      <c r="B2" s="3" t="n"/>
      <c r="C2" s="3" t="n"/>
      <c r="D2" s="3" t="n"/>
      <c r="E2" s="3" t="n"/>
      <c r="F2" s="4" t="inlineStr">
        <is>
          <t>← Back to Summary</t>
        </is>
      </c>
    </row>
    <row r="4">
      <c r="A4" s="109" t="inlineStr">
        <is>
          <t>Figure</t>
        </is>
      </c>
      <c r="B4" s="108" t="inlineStr">
        <is>
          <t>Used in</t>
        </is>
      </c>
      <c r="C4" s="108" t="inlineStr">
        <is>
          <t>Value</t>
        </is>
      </c>
      <c r="D4" s="108" t="inlineStr">
        <is>
          <t>Source</t>
        </is>
      </c>
      <c r="E4" s="108" t="inlineStr">
        <is>
          <t>Type</t>
        </is>
      </c>
      <c r="F4" s="108" t="inlineStr">
        <is>
          <t>Link</t>
        </is>
      </c>
    </row>
    <row r="5" ht="30" customHeight="1" s="160">
      <c r="A5" s="53" t="inlineStr">
        <is>
          <t>Q1 FY26 revenue / diluted EPS</t>
        </is>
      </c>
      <c r="B5" s="53" t="inlineStr">
        <is>
          <t>Financials quarters</t>
        </is>
      </c>
      <c r="C5" s="53" t="inlineStr">
        <is>
          <t>$11.7B / $0.49</t>
        </is>
      </c>
      <c r="D5" s="53" t="inlineStr">
        <is>
          <t>Form 10-Q for the period ended 31-Aug-2025</t>
        </is>
      </c>
      <c r="E5" s="53" t="inlineStr">
        <is>
          <t>SEC filing</t>
        </is>
      </c>
      <c r="F5" s="112" t="inlineStr">
        <is>
          <t>Open source</t>
        </is>
      </c>
    </row>
    <row r="6" ht="30" customHeight="1" s="160">
      <c r="A6" s="53" t="inlineStr">
        <is>
          <t>Q2 FY26 revenue / diluted EPS</t>
        </is>
      </c>
      <c r="B6" s="53" t="inlineStr">
        <is>
          <t>Financials quarters</t>
        </is>
      </c>
      <c r="C6" s="53" t="inlineStr">
        <is>
          <t>$12.4B / $0.53</t>
        </is>
      </c>
      <c r="D6" s="53" t="inlineStr">
        <is>
          <t>Form 10-Q for the period ended 30-Nov-2025</t>
        </is>
      </c>
      <c r="E6" s="53" t="inlineStr">
        <is>
          <t>SEC filing</t>
        </is>
      </c>
      <c r="F6" s="112" t="inlineStr">
        <is>
          <t>Open source</t>
        </is>
      </c>
    </row>
    <row r="7" ht="30" customHeight="1" s="160">
      <c r="A7" s="53" t="inlineStr">
        <is>
          <t>Q3 FY26 revenue / diluted EPS</t>
        </is>
      </c>
      <c r="B7" s="53" t="inlineStr">
        <is>
          <t>Financials quarters</t>
        </is>
      </c>
      <c r="C7" s="53" t="inlineStr">
        <is>
          <t>$11.3B / $0.35</t>
        </is>
      </c>
      <c r="D7" s="53" t="inlineStr">
        <is>
          <t>Form 10-Q for the period ended 28-Feb-2026</t>
        </is>
      </c>
      <c r="E7" s="53" t="inlineStr">
        <is>
          <t>SEC filing</t>
        </is>
      </c>
      <c r="F7" s="112" t="inlineStr">
        <is>
          <t>Open source</t>
        </is>
      </c>
    </row>
    <row r="8" ht="30" customHeight="1" s="160">
      <c r="A8" s="53" t="inlineStr">
        <is>
          <t>Q4 FY26 revenue / diluted EPS</t>
        </is>
      </c>
      <c r="B8" s="53" t="inlineStr">
        <is>
          <t>Financials quarters</t>
        </is>
      </c>
      <c r="C8" s="53" t="inlineStr">
        <is>
          <t>$11.0B / $0.72</t>
        </is>
      </c>
      <c r="D8" s="53" t="inlineStr">
        <is>
          <t>Form 10-K for the period ended 31-May-2026</t>
        </is>
      </c>
      <c r="E8" s="53" t="inlineStr">
        <is>
          <t>SEC filing</t>
        </is>
      </c>
      <c r="F8" s="112" t="inlineStr">
        <is>
          <t>Open source</t>
        </is>
      </c>
    </row>
    <row r="9" ht="30" customHeight="1" s="160">
      <c r="A9" s="53" t="inlineStr">
        <is>
          <t>FY2026 balance sheet, cash flow, SBC, D&amp;A</t>
        </is>
      </c>
      <c r="B9" s="53" t="inlineStr">
        <is>
          <t>Financials column B</t>
        </is>
      </c>
      <c r="C9" s="53" t="inlineStr">
        <is>
          <t>FY ended 31-May-2026</t>
        </is>
      </c>
      <c r="D9" s="53" t="inlineStr">
        <is>
          <t>Form 10-K filed 15-Jul-2026</t>
        </is>
      </c>
      <c r="E9" s="53" t="inlineStr">
        <is>
          <t>SEC filing</t>
        </is>
      </c>
      <c r="F9" s="112" t="inlineStr">
        <is>
          <t>Open source</t>
        </is>
      </c>
    </row>
    <row r="10" ht="30" customHeight="1" s="160">
      <c r="A10" s="53" t="inlineStr">
        <is>
          <t>Quarterly dividend</t>
        </is>
      </c>
      <c r="B10" s="53" t="inlineStr">
        <is>
          <t>Multiples B10</t>
        </is>
      </c>
      <c r="C10" s="53" t="inlineStr">
        <is>
          <t>$0.41</t>
        </is>
      </c>
      <c r="D10" s="53" t="inlineStr">
        <is>
          <t>Dividends declared per share</t>
        </is>
      </c>
      <c r="E10" s="53" t="inlineStr">
        <is>
          <t>SEC filing</t>
        </is>
      </c>
      <c r="F10" s="112" t="inlineStr">
        <is>
          <t>Open source</t>
        </is>
      </c>
    </row>
    <row r="11" ht="30" customHeight="1" s="160">
      <c r="A11" s="53" t="inlineStr">
        <is>
          <t>FY2017–FY2026 revenue, net income, FCF</t>
        </is>
      </c>
      <c r="B11" s="53" t="inlineStr">
        <is>
          <t>Financials B6:K12</t>
        </is>
      </c>
      <c r="C11" s="53" t="inlineStr">
        <is>
          <t>Various</t>
        </is>
      </c>
      <c r="D11" s="53" t="inlineStr">
        <is>
          <t>SEC EDGAR XBRL company facts (10-K)</t>
        </is>
      </c>
      <c r="E11" s="53" t="inlineStr">
        <is>
          <t>SEC filing</t>
        </is>
      </c>
      <c r="F11" s="112" t="inlineStr">
        <is>
          <t>Open source</t>
        </is>
      </c>
    </row>
    <row r="12" ht="30" customHeight="1" s="160">
      <c r="A12" s="53" t="inlineStr">
        <is>
          <t>Price history &amp; current price</t>
        </is>
      </c>
      <c r="B12" s="53" t="inlineStr">
        <is>
          <t>Data; Risk; DCF B5</t>
        </is>
      </c>
      <c r="C12" s="53" t="inlineStr">
        <is>
          <t>$35.99 (24-Sep-2026)</t>
        </is>
      </c>
      <c r="D12" s="53" t="inlineStr">
        <is>
          <t>Yahoo Finance</t>
        </is>
      </c>
      <c r="E12" s="53" t="inlineStr">
        <is>
          <t>Feed</t>
        </is>
      </c>
      <c r="F12" s="112" t="inlineStr">
        <is>
          <t>Open source</t>
        </is>
      </c>
    </row>
    <row r="13" ht="30" customHeight="1" s="160">
      <c r="A13" s="53" t="inlineStr">
        <is>
          <t>Risk-free rate</t>
        </is>
      </c>
      <c r="B13" s="53" t="inlineStr">
        <is>
          <t>DCF B14; Risk</t>
        </is>
      </c>
      <c r="C13" s="53" t="inlineStr">
        <is>
          <t>4.19%</t>
        </is>
      </c>
      <c r="D13" s="53" t="inlineStr">
        <is>
          <t>US Treasury 3-month (FRED DGS3MO)</t>
        </is>
      </c>
      <c r="E13" s="53" t="inlineStr">
        <is>
          <t>Government data</t>
        </is>
      </c>
      <c r="F13" s="112" t="inlineStr">
        <is>
          <t>Open source</t>
        </is>
      </c>
    </row>
    <row r="14" ht="30" customHeight="1" s="160">
      <c r="A14" s="53" t="inlineStr">
        <is>
          <t>10-year Treasury (WACC)</t>
        </is>
      </c>
      <c r="B14" s="53" t="inlineStr">
        <is>
          <t>DCF B25</t>
        </is>
      </c>
      <c r="C14" s="53" t="inlineStr">
        <is>
          <t>5.11%</t>
        </is>
      </c>
      <c r="D14" s="53" t="inlineStr">
        <is>
          <t>US Treasury 10-year (FRED DGS10)</t>
        </is>
      </c>
      <c r="E14" s="53" t="inlineStr">
        <is>
          <t>Government data</t>
        </is>
      </c>
      <c r="F14" s="112" t="inlineStr">
        <is>
          <t>Open source</t>
        </is>
      </c>
    </row>
    <row r="15" ht="30" customHeight="1" s="160">
      <c r="A15" s="53" t="inlineStr">
        <is>
          <t>Peer multiples</t>
        </is>
      </c>
      <c r="B15" s="53" t="inlineStr">
        <is>
          <t>Peers; Multiples peer table</t>
        </is>
      </c>
      <c r="C15" s="53" t="inlineStr">
        <is>
          <t>NKE, UAA, LULU</t>
        </is>
      </c>
      <c r="D15" s="53" t="inlineStr">
        <is>
          <t>Each peer's own 10-Q / 10-K XBRL; market caps from the data feed</t>
        </is>
      </c>
      <c r="E15" s="53" t="inlineStr">
        <is>
          <t>SEC filing / feed</t>
        </is>
      </c>
      <c r="F15" s="112" t="n"/>
    </row>
    <row r="16" ht="30" customHeight="1" s="160">
      <c r="A16" s="53" t="inlineStr">
        <is>
          <t>Headlines</t>
        </is>
      </c>
      <c r="B16" s="53" t="inlineStr">
        <is>
          <t>Catalysts_News</t>
        </is>
      </c>
      <c r="C16" s="53" t="inlineStr">
        <is>
          <t>—</t>
        </is>
      </c>
      <c r="D16" s="53" t="inlineStr">
        <is>
          <t>QuantWizard news feed (aggregators + SEC 8-Ks)</t>
        </is>
      </c>
      <c r="E16" s="53" t="inlineStr">
        <is>
          <t>Third-party</t>
        </is>
      </c>
      <c r="F16" s="53" t="n"/>
    </row>
    <row r="17" ht="30" customHeight="1" s="160">
      <c r="A17" s="53" t="inlineStr">
        <is>
          <t>Daily prices &amp; SPY returns</t>
        </is>
      </c>
      <c r="B17" s="53" t="inlineStr">
        <is>
          <t>Data (A:G)</t>
        </is>
      </c>
      <c r="C17" s="53" t="inlineStr">
        <is>
          <t>Last 1,255 trading days</t>
        </is>
      </c>
      <c r="D17" s="53" t="inlineStr">
        <is>
          <t>Yahoo Finance via QuantWizard</t>
        </is>
      </c>
      <c r="E17" s="53" t="inlineStr">
        <is>
          <t>Adjusted close</t>
        </is>
      </c>
      <c r="F17" s="53" t="n"/>
    </row>
    <row r="18" ht="30" customHeight="1" s="160">
      <c r="A18" s="53" t="inlineStr">
        <is>
          <t>Quarterly operating income, other income, net income, gain effects</t>
        </is>
      </c>
      <c r="B18" s="53" t="inlineStr">
        <is>
          <t>Financials rows 21–27</t>
        </is>
      </c>
      <c r="C18" s="53" t="inlineStr">
        <is>
          <t>Q1 FY26–Q4 FY26</t>
        </is>
      </c>
      <c r="D18" s="53" t="inlineStr">
        <is>
          <t>XBRL in each 10-Q / 10-K (gain effect estimated)</t>
        </is>
      </c>
      <c r="E18" s="53" t="inlineStr">
        <is>
          <t>SEC filing</t>
        </is>
      </c>
      <c r="F18" s="53" t="inlineStr">
        <is>
          <t>Open source</t>
        </is>
      </c>
    </row>
    <row r="19" ht="24" customHeight="1" s="160">
      <c r="A19" s="53" t="inlineStr">
        <is>
          <t>Shares outstanding, non-marketable securities, preferred stock</t>
        </is>
      </c>
      <c r="B19" s="53" t="inlineStr">
        <is>
          <t>Financials rows 54–56; DCF B6</t>
        </is>
      </c>
      <c r="C19" s="53" t="inlineStr">
        <is>
          <t>1.483B shares · $0.0B · $0.0B</t>
        </is>
      </c>
      <c r="D19" s="53" t="inlineStr">
        <is>
          <t>10-K filing cover &amp; balance sheet</t>
        </is>
      </c>
      <c r="E19" s="53" t="inlineStr">
        <is>
          <t>SEC filing</t>
        </is>
      </c>
      <c r="F19" s="183" t="inlineStr">
        <is>
          <t>Open source</t>
        </is>
      </c>
    </row>
    <row r="20">
      <c r="A20" s="53" t="inlineStr">
        <is>
          <t>Segment revenue &amp; operating income</t>
        </is>
      </c>
      <c r="B20" s="53" t="inlineStr">
        <is>
          <t>Segments rows 6–11</t>
        </is>
      </c>
      <c r="C20" s="53" t="inlineStr">
        <is>
          <t>Period to 31-May-2026</t>
        </is>
      </c>
      <c r="D20" s="53" t="inlineStr">
        <is>
          <t>Latest filing's XBRL instance</t>
        </is>
      </c>
      <c r="E20" s="53" t="inlineStr">
        <is>
          <t>SEC filing</t>
        </is>
      </c>
      <c r="F20" s="183" t="inlineStr">
        <is>
          <t>Open source</t>
        </is>
      </c>
    </row>
    <row r="21" ht="24" customHeight="1" s="160">
      <c r="A21" s="53" t="inlineStr">
        <is>
          <t>Revenue consensus</t>
        </is>
      </c>
      <c r="B21" s="53" t="inlineStr">
        <is>
          <t>Segments B34:B37</t>
        </is>
      </c>
      <c r="C21" s="53" t="inlineStr">
        <is>
          <t>—</t>
        </is>
      </c>
      <c r="D21" s="53" t="inlineStr">
        <is>
          <t>Yahoo Finance analyst estimates (unofficial)</t>
        </is>
      </c>
      <c r="E21" s="53" t="inlineStr">
        <is>
          <t>Third-party (unofficial)</t>
        </is>
      </c>
      <c r="F21" s="183" t="inlineStr">
        <is>
          <t>Open source</t>
        </is>
      </c>
    </row>
    <row r="22">
      <c r="A22" s="53" t="n"/>
      <c r="B22" s="53" t="n"/>
      <c r="C22" s="53" t="n"/>
      <c r="D22" s="53" t="n"/>
      <c r="E22" s="53" t="n"/>
      <c r="F22" s="183" t="n"/>
    </row>
    <row r="23">
      <c r="A23" s="53" t="n"/>
      <c r="B23" s="53" t="n"/>
      <c r="C23" s="53" t="n"/>
      <c r="D23" s="53" t="n"/>
      <c r="E23" s="53" t="n"/>
      <c r="F23" s="183" t="n"/>
    </row>
    <row r="24">
      <c r="A24" s="53" t="n"/>
      <c r="B24" s="53" t="n"/>
      <c r="C24" s="53" t="n"/>
      <c r="D24" s="53" t="n"/>
      <c r="E24" s="53" t="n"/>
      <c r="F24" s="183" t="n"/>
    </row>
    <row r="26" ht="36" customHeight="1" s="160">
      <c r="A26" s="53" t="inlineStr">
        <is>
          <t>Source priority: SEC filings &gt; data feeds &gt; third-party sites. Every filing figure comes from the XBRL the company filed; the link opens that filing.</t>
        </is>
      </c>
    </row>
  </sheetData>
  <conditionalFormatting sqref="E5:E24">
    <cfRule type="expression" priority="1" dxfId="2">
      <formula>NOT(ISERROR(SEARCH("verif",E5)))</formula>
    </cfRule>
  </conditionalFormatting>
  <hyperlinks>
    <hyperlink ref="F2" location="'Summary'!A1" display="← Back to Summary"/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</hyperlinks>
  <printOptions horizontalCentered="1"/>
  <pageMargins left="0.5" right="0.5" top="0.5555555555555556" bottom="0.5555555555555556" header="0.3" footer="0.3"/>
  <pageSetup orientation="landscape" scale="67" fitToHeight="0"/>
  <headerFooter>
    <oddHeader/>
    <oddFooter>&amp;CNike (NKE) equity research · &amp;A · page &amp;P of &amp;N&amp;RValuation view only — not investment advice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BF8F00"/>
    <outlinePr summaryBelow="1" summaryRight="1"/>
    <pageSetUpPr/>
  </sheetPr>
  <dimension ref="A1:J7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16.36328125" customWidth="1" style="160" min="1" max="1"/>
    <col width="14.1796875" customWidth="1" style="160" min="2" max="7"/>
    <col width="27.26953125" customWidth="1" style="160" min="8" max="8"/>
    <col width="20" customWidth="1" style="160" min="9" max="10"/>
  </cols>
  <sheetData>
    <row r="1" ht="21" customHeight="1" s="160">
      <c r="A1" s="219">
        <f>Data!$Q$2&amp;" ("&amp;Data!$Q$3&amp;") — one row per published report"</f>
        <v/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</row>
    <row r="2">
      <c r="A2" s="220" t="inlineStr">
        <is>
          <t>QuantWizard appends a row each time it publishes (values, not formulas), so the track record builds over time. Row 5 is the live current model.</t>
        </is>
      </c>
      <c r="B2" s="220" t="n"/>
      <c r="C2" s="220" t="n"/>
      <c r="D2" s="220" t="n"/>
      <c r="E2" s="220" t="n"/>
      <c r="F2" s="220" t="n"/>
      <c r="G2" s="220" t="n"/>
      <c r="H2" s="221" t="inlineStr">
        <is>
          <t>← Back to Summary</t>
        </is>
      </c>
      <c r="I2" s="220" t="n"/>
      <c r="J2" s="220" t="n"/>
    </row>
    <row r="4" ht="32" customHeight="1" s="160">
      <c r="A4" s="222" t="inlineStr">
        <is>
          <t>Report date</t>
        </is>
      </c>
      <c r="B4" s="222" t="inlineStr">
        <is>
          <t>Price ($)</t>
        </is>
      </c>
      <c r="C4" s="222" t="inlineStr">
        <is>
          <t>Bear ($)</t>
        </is>
      </c>
      <c r="D4" s="222" t="inlineStr">
        <is>
          <t>Base ($)</t>
        </is>
      </c>
      <c r="E4" s="222" t="inlineStr">
        <is>
          <t>Bull ($)</t>
        </is>
      </c>
      <c r="F4" s="222" t="inlineStr">
        <is>
          <t>Prob.-weighted ($)</t>
        </is>
      </c>
      <c r="G4" s="222" t="inlineStr">
        <is>
          <t>Upside to PW</t>
        </is>
      </c>
      <c r="H4" s="222" t="inlineStr">
        <is>
          <t>Verdict</t>
        </is>
      </c>
      <c r="I4" s="222" t="inlineStr">
        <is>
          <t>Implied 10-yr rev CAGR</t>
        </is>
      </c>
      <c r="J4" s="222" t="inlineStr">
        <is>
          <t>Model integrity</t>
        </is>
      </c>
    </row>
    <row r="5">
      <c r="A5" s="416">
        <f>Data!A1256</f>
        <v/>
      </c>
      <c r="B5" s="417">
        <f>DCF!B5</f>
        <v/>
      </c>
      <c r="C5" s="417">
        <f>Scenarios!B11</f>
        <v/>
      </c>
      <c r="D5" s="417">
        <f>Scenarios!C11</f>
        <v/>
      </c>
      <c r="E5" s="417">
        <f>Scenarios!D11</f>
        <v/>
      </c>
      <c r="F5" s="417">
        <f>Scenarios!B13</f>
        <v/>
      </c>
      <c r="G5" s="418">
        <f>Scenarios!B14</f>
        <v/>
      </c>
      <c r="H5" s="223">
        <f>Summary!A5</f>
        <v/>
      </c>
      <c r="I5" s="419">
        <f>DCF!B80</f>
        <v/>
      </c>
      <c r="J5" s="223">
        <f>DCF!B109</f>
        <v/>
      </c>
    </row>
    <row r="6">
      <c r="A6" s="420" t="n"/>
      <c r="B6" s="421" t="n"/>
      <c r="C6" s="421" t="n"/>
      <c r="D6" s="421" t="n"/>
      <c r="E6" s="421" t="n"/>
      <c r="F6" s="421" t="n"/>
      <c r="G6" s="422" t="n"/>
      <c r="H6" s="224" t="n"/>
      <c r="I6" s="423" t="n"/>
      <c r="J6" s="224" t="n"/>
    </row>
    <row r="7">
      <c r="A7" s="29" t="inlineStr">
        <is>
          <t>Row 5 = live model (updates automatically). Row 6 onward = frozen snapshots, newest at the top. Compare Base / PW with later prices to judge the model's track record.</t>
        </is>
      </c>
    </row>
  </sheetData>
  <hyperlinks>
    <hyperlink ref="H2" location="Summary!A1" display="← Back to Summary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Q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style="160" min="1" max="1"/>
    <col width="11" customWidth="1" style="160" min="2" max="4"/>
    <col width="9" customWidth="1" style="160" min="5" max="5"/>
    <col width="19" customWidth="1" style="160" min="6" max="7"/>
    <col width="26" customWidth="1" style="160" min="8" max="8"/>
    <col width="21" customWidth="1" style="160" min="9" max="10"/>
    <col width="22" customWidth="1" style="160" min="11" max="11"/>
    <col width="21" customWidth="1" style="160" min="12" max="12"/>
    <col width="17" customWidth="1" style="160" min="13" max="14"/>
    <col width="3.6328125" customWidth="1" style="160" min="15" max="15"/>
    <col width="30.90625" customWidth="1" style="160" min="16" max="16"/>
    <col width="76.36328125" customWidth="1" style="160" min="17" max="17"/>
  </cols>
  <sheetData>
    <row r="1" ht="26" customHeight="1" s="160">
      <c r="A1" s="214" t="inlineStr">
        <is>
          <t>Date</t>
        </is>
      </c>
      <c r="B1" s="214" t="inlineStr">
        <is>
          <t>Open</t>
        </is>
      </c>
      <c r="C1" s="214" t="inlineStr">
        <is>
          <t>High</t>
        </is>
      </c>
      <c r="D1" s="214" t="inlineStr">
        <is>
          <t>Low</t>
        </is>
      </c>
      <c r="E1" s="214" t="inlineStr">
        <is>
          <t>Close</t>
        </is>
      </c>
      <c r="F1" s="214" t="inlineStr">
        <is>
          <t>Volume</t>
        </is>
      </c>
      <c r="G1" s="214" t="inlineStr">
        <is>
          <t>SPY_Return</t>
        </is>
      </c>
      <c r="H1" s="213" t="inlineStr">
        <is>
          <t>Daily_Return</t>
        </is>
      </c>
      <c r="I1" s="213" t="inlineStr">
        <is>
          <t>MA50</t>
        </is>
      </c>
      <c r="J1" s="213" t="inlineStr">
        <is>
          <t>MA200</t>
        </is>
      </c>
      <c r="K1" s="213" t="inlineStr">
        <is>
          <t>Volatility_20d</t>
        </is>
      </c>
      <c r="L1" s="213" t="inlineStr">
        <is>
          <t>RSI14</t>
        </is>
      </c>
      <c r="M1" s="213" t="inlineStr">
        <is>
          <t>Running_Peak</t>
        </is>
      </c>
      <c r="N1" s="213" t="inlineStr">
        <is>
          <t>Drawdown_From_Peak</t>
        </is>
      </c>
      <c r="P1" s="161" t="inlineStr">
        <is>
          <t>Company profile &amp; text inputs (QuantWizard writes column Q)</t>
        </is>
      </c>
      <c r="Q1" s="134" t="n"/>
    </row>
    <row r="2">
      <c r="A2" s="424" t="n">
        <v>44463</v>
      </c>
      <c r="B2" s="425" t="n">
        <v>137.8154104188345</v>
      </c>
      <c r="C2" s="425" t="n">
        <v>138.554501082462</v>
      </c>
      <c r="D2" s="425" t="n">
        <v>135.0415893050769</v>
      </c>
      <c r="E2" s="425" t="n">
        <v>136.4923706054688</v>
      </c>
      <c r="F2" s="207" t="n">
        <v>26913300</v>
      </c>
      <c r="G2" s="208" t="n"/>
      <c r="H2" s="209" cm="1">
        <f t="array" ref="H2">IF(ROW()&lt;3,"",E2/INDEX(E:E,ROW()-1)-1)</f>
        <v/>
      </c>
      <c r="I2" s="211">
        <f>IF(ROW()&lt;51,NA(),AVERAGE(INDEX(E:E,ROW()-49):E2))</f>
        <v/>
      </c>
      <c r="J2" s="211">
        <f>IF(ROW()&lt;201,NA(),AVERAGE(INDEX(E:E,ROW()-199):E2))</f>
        <v/>
      </c>
      <c r="K2" s="341">
        <f>IF(ROW()&lt;22,NA(),_xlfn.STDEV.S(INDEX(H:H,ROW()-19):H2)*SQRT(252))</f>
        <v/>
      </c>
      <c r="L2" s="426" cm="1">
        <f t="array" ref="L2">IF(ROW()&lt;17,NA(),_xlfn.LET(_xlpm.d,INDEX(E:E,ROW()-13):E2-INDEX(E:E,ROW()-14):INDEX(E:E,ROW()-1),_xlpm.g,SUM(IF(_xlpm.d&gt;0,_xlpm.d,0)),_xlpm.l,-SUM(IF(_xlpm.d&lt;0,_xlpm.d,0)),IF(_xlpm.l=0,100,100-100/(1+_xlpm.g/_xlpm.l))))</f>
        <v/>
      </c>
      <c r="M2" s="211">
        <f>MAX($E$2:E2)</f>
        <v/>
      </c>
      <c r="N2" s="341">
        <f>E2/M2-1</f>
        <v/>
      </c>
      <c r="P2" s="80" t="inlineStr">
        <is>
          <t>Company name</t>
        </is>
      </c>
      <c r="Q2" s="251" t="inlineStr">
        <is>
          <t>Nike, Inc.</t>
        </is>
      </c>
    </row>
    <row r="3">
      <c r="A3" s="424" t="n">
        <v>44466</v>
      </c>
      <c r="B3" s="425" t="n">
        <v>136.4193871923967</v>
      </c>
      <c r="C3" s="425" t="n">
        <v>136.7843728511398</v>
      </c>
      <c r="D3" s="425" t="n">
        <v>134.3937620354053</v>
      </c>
      <c r="E3" s="425" t="n">
        <v>135.0780944824219</v>
      </c>
      <c r="F3" s="207" t="n">
        <v>11479300</v>
      </c>
      <c r="G3" s="208" t="n">
        <v>-0.002860650194278613</v>
      </c>
      <c r="H3" s="209" cm="1">
        <f t="array" ref="H3">IF(ROW()&lt;3,"",E3/INDEX(E:E,ROW()-1)-1)</f>
        <v/>
      </c>
      <c r="I3" s="211">
        <f>IF(ROW()&lt;51,NA(),AVERAGE(INDEX(E:E,ROW()-49):E3))</f>
        <v/>
      </c>
      <c r="J3" s="211">
        <f>IF(ROW()&lt;201,NA(),AVERAGE(INDEX(E:E,ROW()-199):E3))</f>
        <v/>
      </c>
      <c r="K3" s="341">
        <f>IF(ROW()&lt;22,NA(),_xlfn.STDEV.S(INDEX(H:H,ROW()-19):H3)*SQRT(252))</f>
        <v/>
      </c>
      <c r="L3" s="426" cm="1">
        <f t="array" ref="L3">IF(ROW()&lt;17,NA(),_xlfn.LET(_xlpm.d,INDEX(E:E,ROW()-13):E3-INDEX(E:E,ROW()-14):INDEX(E:E,ROW()-1),_xlpm.g,SUM(IF(_xlpm.d&gt;0,_xlpm.d,0)),_xlpm.l,-SUM(IF(_xlpm.d&lt;0,_xlpm.d,0)),IF(_xlpm.l=0,100,100-100/(1+_xlpm.g/_xlpm.l))))</f>
        <v/>
      </c>
      <c r="M3" s="211">
        <f>MAX($E$2:E3)</f>
        <v/>
      </c>
      <c r="N3" s="341">
        <f>E3/M3-1</f>
        <v/>
      </c>
      <c r="P3" s="80" t="inlineStr">
        <is>
          <t>Ticker</t>
        </is>
      </c>
      <c r="Q3" s="251" t="inlineStr">
        <is>
          <t>NKE</t>
        </is>
      </c>
    </row>
    <row r="4">
      <c r="A4" s="424" t="n">
        <v>44467</v>
      </c>
      <c r="B4" s="425" t="n">
        <v>134.4393964494044</v>
      </c>
      <c r="C4" s="425" t="n">
        <v>134.6127629091672</v>
      </c>
      <c r="D4" s="425" t="n">
        <v>132.3042824058394</v>
      </c>
      <c r="E4" s="425" t="n">
        <v>132.5780181884766</v>
      </c>
      <c r="F4" s="207" t="n">
        <v>10692300</v>
      </c>
      <c r="G4" s="208" t="n">
        <v>-0.02015217421751236</v>
      </c>
      <c r="H4" s="209" cm="1">
        <f t="array" ref="H4">IF(ROW()&lt;3,"",E4/INDEX(E:E,ROW()-1)-1)</f>
        <v/>
      </c>
      <c r="I4" s="211">
        <f>IF(ROW()&lt;51,NA(),AVERAGE(INDEX(E:E,ROW()-49):E4))</f>
        <v/>
      </c>
      <c r="J4" s="211">
        <f>IF(ROW()&lt;201,NA(),AVERAGE(INDEX(E:E,ROW()-199):E4))</f>
        <v/>
      </c>
      <c r="K4" s="341">
        <f>IF(ROW()&lt;22,NA(),_xlfn.STDEV.S(INDEX(H:H,ROW()-19):H4)*SQRT(252))</f>
        <v/>
      </c>
      <c r="L4" s="426" cm="1">
        <f t="array" ref="L4">IF(ROW()&lt;17,NA(),_xlfn.LET(_xlpm.d,INDEX(E:E,ROW()-13):E4-INDEX(E:E,ROW()-14):INDEX(E:E,ROW()-1),_xlpm.g,SUM(IF(_xlpm.d&gt;0,_xlpm.d,0)),_xlpm.l,-SUM(IF(_xlpm.d&lt;0,_xlpm.d,0)),IF(_xlpm.l=0,100,100-100/(1+_xlpm.g/_xlpm.l))))</f>
        <v/>
      </c>
      <c r="M4" s="211">
        <f>MAX($E$2:E4)</f>
        <v/>
      </c>
      <c r="N4" s="341">
        <f>E4/M4-1</f>
        <v/>
      </c>
      <c r="P4" s="80" t="inlineStr">
        <is>
          <t>Exchange</t>
        </is>
      </c>
      <c r="Q4" s="251" t="inlineStr">
        <is>
          <t>NYSE</t>
        </is>
      </c>
    </row>
    <row r="5">
      <c r="A5" s="424" t="n">
        <v>44468</v>
      </c>
      <c r="B5" s="425" t="n">
        <v>132.9520844541214</v>
      </c>
      <c r="C5" s="425" t="n">
        <v>134.9868285803935</v>
      </c>
      <c r="D5" s="425" t="n">
        <v>132.9338316945365</v>
      </c>
      <c r="E5" s="425" t="n">
        <v>133.2349395751953</v>
      </c>
      <c r="F5" s="207" t="n">
        <v>7794900</v>
      </c>
      <c r="G5" s="208" t="n">
        <v>0.00168333691300715</v>
      </c>
      <c r="H5" s="209" cm="1">
        <f t="array" ref="H5">IF(ROW()&lt;3,"",E5/INDEX(E:E,ROW()-1)-1)</f>
        <v/>
      </c>
      <c r="I5" s="211">
        <f>IF(ROW()&lt;51,NA(),AVERAGE(INDEX(E:E,ROW()-49):E5))</f>
        <v/>
      </c>
      <c r="J5" s="211">
        <f>IF(ROW()&lt;201,NA(),AVERAGE(INDEX(E:E,ROW()-199):E5))</f>
        <v/>
      </c>
      <c r="K5" s="341">
        <f>IF(ROW()&lt;22,NA(),_xlfn.STDEV.S(INDEX(H:H,ROW()-19):H5)*SQRT(252))</f>
        <v/>
      </c>
      <c r="L5" s="426" cm="1">
        <f t="array" ref="L5">IF(ROW()&lt;17,NA(),_xlfn.LET(_xlpm.d,INDEX(E:E,ROW()-13):E5-INDEX(E:E,ROW()-14):INDEX(E:E,ROW()-1),_xlpm.g,SUM(IF(_xlpm.d&gt;0,_xlpm.d,0)),_xlpm.l,-SUM(IF(_xlpm.d&lt;0,_xlpm.d,0)),IF(_xlpm.l=0,100,100-100/(1+_xlpm.g/_xlpm.l))))</f>
        <v/>
      </c>
      <c r="M5" s="211">
        <f>MAX($E$2:E5)</f>
        <v/>
      </c>
      <c r="N5" s="341">
        <f>E5/M5-1</f>
        <v/>
      </c>
      <c r="P5" s="80" t="inlineStr">
        <is>
          <t>Report date</t>
        </is>
      </c>
      <c r="Q5" s="427" t="n">
        <v>46290</v>
      </c>
    </row>
    <row r="6">
      <c r="A6" s="424" t="n">
        <v>44469</v>
      </c>
      <c r="B6" s="425" t="n">
        <v>133.107226106359</v>
      </c>
      <c r="C6" s="425" t="n">
        <v>134.5671269564324</v>
      </c>
      <c r="D6" s="425" t="n">
        <v>131.7750528319227</v>
      </c>
      <c r="E6" s="425" t="n">
        <v>132.5141296386719</v>
      </c>
      <c r="F6" s="207" t="n">
        <v>10133600</v>
      </c>
      <c r="G6" s="208" t="n">
        <v>-0.01222236149683875</v>
      </c>
      <c r="H6" s="209" cm="1">
        <f t="array" ref="H6">IF(ROW()&lt;3,"",E6/INDEX(E:E,ROW()-1)-1)</f>
        <v/>
      </c>
      <c r="I6" s="211">
        <f>IF(ROW()&lt;51,NA(),AVERAGE(INDEX(E:E,ROW()-49):E6))</f>
        <v/>
      </c>
      <c r="J6" s="211">
        <f>IF(ROW()&lt;201,NA(),AVERAGE(INDEX(E:E,ROW()-199):E6))</f>
        <v/>
      </c>
      <c r="K6" s="341">
        <f>IF(ROW()&lt;22,NA(),_xlfn.STDEV.S(INDEX(H:H,ROW()-19):H6)*SQRT(252))</f>
        <v/>
      </c>
      <c r="L6" s="426" cm="1">
        <f t="array" ref="L6">IF(ROW()&lt;17,NA(),_xlfn.LET(_xlpm.d,INDEX(E:E,ROW()-13):E6-INDEX(E:E,ROW()-14):INDEX(E:E,ROW()-1),_xlpm.g,SUM(IF(_xlpm.d&gt;0,_xlpm.d,0)),_xlpm.l,-SUM(IF(_xlpm.d&lt;0,_xlpm.d,0)),IF(_xlpm.l=0,100,100-100/(1+_xlpm.g/_xlpm.l))))</f>
        <v/>
      </c>
      <c r="M6" s="211">
        <f>MAX($E$2:E6)</f>
        <v/>
      </c>
      <c r="N6" s="341">
        <f>E6/M6-1</f>
        <v/>
      </c>
      <c r="P6" s="80" t="inlineStr">
        <is>
          <t>Fiscal year ends</t>
        </is>
      </c>
      <c r="Q6" s="251" t="inlineStr">
        <is>
          <t>late May</t>
        </is>
      </c>
    </row>
    <row r="7">
      <c r="A7" s="424" t="n">
        <v>44470</v>
      </c>
      <c r="B7" s="425" t="n">
        <v>132.5049916593078</v>
      </c>
      <c r="C7" s="425" t="n">
        <v>135.0415824317028</v>
      </c>
      <c r="D7" s="425" t="n">
        <v>131.7294094343392</v>
      </c>
      <c r="E7" s="425" t="n">
        <v>134.1838836669922</v>
      </c>
      <c r="F7" s="207" t="n">
        <v>8112300</v>
      </c>
      <c r="G7" s="208" t="n">
        <v>0.01188394711791418</v>
      </c>
      <c r="H7" s="209" cm="1">
        <f t="array" ref="H7">IF(ROW()&lt;3,"",E7/INDEX(E:E,ROW()-1)-1)</f>
        <v/>
      </c>
      <c r="I7" s="211">
        <f>IF(ROW()&lt;51,NA(),AVERAGE(INDEX(E:E,ROW()-49):E7))</f>
        <v/>
      </c>
      <c r="J7" s="211">
        <f>IF(ROW()&lt;201,NA(),AVERAGE(INDEX(E:E,ROW()-199):E7))</f>
        <v/>
      </c>
      <c r="K7" s="341">
        <f>IF(ROW()&lt;22,NA(),_xlfn.STDEV.S(INDEX(H:H,ROW()-19):H7)*SQRT(252))</f>
        <v/>
      </c>
      <c r="L7" s="426" cm="1">
        <f t="array" ref="L7">IF(ROW()&lt;17,NA(),_xlfn.LET(_xlpm.d,INDEX(E:E,ROW()-13):E7-INDEX(E:E,ROW()-14):INDEX(E:E,ROW()-1),_xlpm.g,SUM(IF(_xlpm.d&gt;0,_xlpm.d,0)),_xlpm.l,-SUM(IF(_xlpm.d&lt;0,_xlpm.d,0)),IF(_xlpm.l=0,100,100-100/(1+_xlpm.g/_xlpm.l))))</f>
        <v/>
      </c>
      <c r="M7" s="211">
        <f>MAX($E$2:E7)</f>
        <v/>
      </c>
      <c r="N7" s="341">
        <f>E7/M7-1</f>
        <v/>
      </c>
      <c r="P7" s="80" t="inlineStr">
        <is>
          <t>Peer group label</t>
        </is>
      </c>
      <c r="Q7" s="251" t="inlineStr">
        <is>
          <t>Apparel &amp; footwear</t>
        </is>
      </c>
    </row>
    <row r="8">
      <c r="A8" s="424" t="n">
        <v>44473</v>
      </c>
      <c r="B8" s="425" t="n">
        <v>134.1838998431599</v>
      </c>
      <c r="C8" s="425" t="n">
        <v>134.6948658268552</v>
      </c>
      <c r="D8" s="425" t="n">
        <v>132.9977208537079</v>
      </c>
      <c r="E8" s="425" t="n">
        <v>134.2568969726562</v>
      </c>
      <c r="F8" s="207" t="n">
        <v>7951000</v>
      </c>
      <c r="G8" s="208" t="n">
        <v>-0.01289573997408133</v>
      </c>
      <c r="H8" s="209" cm="1">
        <f t="array" ref="H8">IF(ROW()&lt;3,"",E8/INDEX(E:E,ROW()-1)-1)</f>
        <v/>
      </c>
      <c r="I8" s="211">
        <f>IF(ROW()&lt;51,NA(),AVERAGE(INDEX(E:E,ROW()-49):E8))</f>
        <v/>
      </c>
      <c r="J8" s="211">
        <f>IF(ROW()&lt;201,NA(),AVERAGE(INDEX(E:E,ROW()-199):E8))</f>
        <v/>
      </c>
      <c r="K8" s="341">
        <f>IF(ROW()&lt;22,NA(),_xlfn.STDEV.S(INDEX(H:H,ROW()-19):H8)*SQRT(252))</f>
        <v/>
      </c>
      <c r="L8" s="426" cm="1">
        <f t="array" ref="L8">IF(ROW()&lt;17,NA(),_xlfn.LET(_xlpm.d,INDEX(E:E,ROW()-13):E8-INDEX(E:E,ROW()-14):INDEX(E:E,ROW()-1),_xlpm.g,SUM(IF(_xlpm.d&gt;0,_xlpm.d,0)),_xlpm.l,-SUM(IF(_xlpm.d&lt;0,_xlpm.d,0)),IF(_xlpm.l=0,100,100-100/(1+_xlpm.g/_xlpm.l))))</f>
        <v/>
      </c>
      <c r="M8" s="211">
        <f>MAX($E$2:E8)</f>
        <v/>
      </c>
      <c r="N8" s="341">
        <f>E8/M8-1</f>
        <v/>
      </c>
      <c r="P8" s="80" t="inlineStr">
        <is>
          <t>Bull: key growth fact</t>
        </is>
      </c>
      <c r="Q8" s="251" t="inlineStr">
        <is>
          <t>Revenue reached $46.4B over the last twelve months, +0% on the year before.</t>
        </is>
      </c>
    </row>
    <row r="9">
      <c r="A9" s="424" t="n">
        <v>44474</v>
      </c>
      <c r="B9" s="425" t="n">
        <v>135.0416361962228</v>
      </c>
      <c r="C9" s="425" t="n">
        <v>137.7789666596597</v>
      </c>
      <c r="D9" s="425" t="n">
        <v>134.8774030513522</v>
      </c>
      <c r="E9" s="425" t="n">
        <v>136.3738098144531</v>
      </c>
      <c r="F9" s="207" t="n">
        <v>10881900</v>
      </c>
      <c r="G9" s="208" t="n">
        <v>0.0104048448967291</v>
      </c>
      <c r="H9" s="209" cm="1">
        <f t="array" ref="H9">IF(ROW()&lt;3,"",E9/INDEX(E:E,ROW()-1)-1)</f>
        <v/>
      </c>
      <c r="I9" s="211">
        <f>IF(ROW()&lt;51,NA(),AVERAGE(INDEX(E:E,ROW()-49):E9))</f>
        <v/>
      </c>
      <c r="J9" s="211">
        <f>IF(ROW()&lt;201,NA(),AVERAGE(INDEX(E:E,ROW()-199):E9))</f>
        <v/>
      </c>
      <c r="K9" s="341">
        <f>IF(ROW()&lt;22,NA(),_xlfn.STDEV.S(INDEX(H:H,ROW()-19):H9)*SQRT(252))</f>
        <v/>
      </c>
      <c r="L9" s="426" cm="1">
        <f t="array" ref="L9">IF(ROW()&lt;17,NA(),_xlfn.LET(_xlpm.d,INDEX(E:E,ROW()-13):E9-INDEX(E:E,ROW()-14):INDEX(E:E,ROW()-1),_xlpm.g,SUM(IF(_xlpm.d&gt;0,_xlpm.d,0)),_xlpm.l,-SUM(IF(_xlpm.d&lt;0,_xlpm.d,0)),IF(_xlpm.l=0,100,100-100/(1+_xlpm.g/_xlpm.l))))</f>
        <v/>
      </c>
      <c r="M9" s="211">
        <f>MAX($E$2:E9)</f>
        <v/>
      </c>
      <c r="N9" s="341">
        <f>E9/M9-1</f>
        <v/>
      </c>
      <c r="P9" s="80" t="inlineStr">
        <is>
          <t>Bull: growth driver (short)</t>
        </is>
      </c>
      <c r="Q9" s="251" t="inlineStr"/>
    </row>
    <row r="10">
      <c r="A10" s="424" t="n">
        <v>44475</v>
      </c>
      <c r="B10" s="425" t="n">
        <v>135.0416032721078</v>
      </c>
      <c r="C10" s="425" t="n">
        <v>136.3737765655447</v>
      </c>
      <c r="D10" s="425" t="n">
        <v>134.5945010598847</v>
      </c>
      <c r="E10" s="425" t="n">
        <v>135.7715606689453</v>
      </c>
      <c r="F10" s="207" t="n">
        <v>7610700</v>
      </c>
      <c r="G10" s="208" t="n">
        <v>0.004155979762906048</v>
      </c>
      <c r="H10" s="209" cm="1">
        <f t="array" ref="H10">IF(ROW()&lt;3,"",E10/INDEX(E:E,ROW()-1)-1)</f>
        <v/>
      </c>
      <c r="I10" s="211">
        <f>IF(ROW()&lt;51,NA(),AVERAGE(INDEX(E:E,ROW()-49):E10))</f>
        <v/>
      </c>
      <c r="J10" s="211">
        <f>IF(ROW()&lt;201,NA(),AVERAGE(INDEX(E:E,ROW()-199):E10))</f>
        <v/>
      </c>
      <c r="K10" s="341">
        <f>IF(ROW()&lt;22,NA(),_xlfn.STDEV.S(INDEX(H:H,ROW()-19):H10)*SQRT(252))</f>
        <v/>
      </c>
      <c r="L10" s="426" cm="1">
        <f t="array" ref="L10">IF(ROW()&lt;17,NA(),_xlfn.LET(_xlpm.d,INDEX(E:E,ROW()-13):E10-INDEX(E:E,ROW()-14):INDEX(E:E,ROW()-1),_xlpm.g,SUM(IF(_xlpm.d&gt;0,_xlpm.d,0)),_xlpm.l,-SUM(IF(_xlpm.d&lt;0,_xlpm.d,0)),IF(_xlpm.l=0,100,100-100/(1+_xlpm.g/_xlpm.l))))</f>
        <v/>
      </c>
      <c r="M10" s="211">
        <f>MAX($E$2:E10)</f>
        <v/>
      </c>
      <c r="N10" s="341">
        <f>E10/M10-1</f>
        <v/>
      </c>
      <c r="P10" s="80" t="inlineStr">
        <is>
          <t>Bear: key business risk</t>
        </is>
      </c>
      <c r="Q10" s="251" t="inlineStr">
        <is>
          <t>NIKE Brand is 97% of revenue, so the result rests on one business.</t>
        </is>
      </c>
    </row>
    <row r="11">
      <c r="A11" s="424" t="n">
        <v>44476</v>
      </c>
      <c r="B11" s="425" t="n">
        <v>137.1401995581129</v>
      </c>
      <c r="C11" s="425" t="n">
        <v>140.2060089051714</v>
      </c>
      <c r="D11" s="425" t="n">
        <v>137.1036940376657</v>
      </c>
      <c r="E11" s="425" t="n">
        <v>138.5544891357422</v>
      </c>
      <c r="F11" s="207" t="n">
        <v>7958000</v>
      </c>
      <c r="G11" s="208" t="n">
        <v>0.008645858107362958</v>
      </c>
      <c r="H11" s="209" cm="1">
        <f t="array" ref="H11">IF(ROW()&lt;3,"",E11/INDEX(E:E,ROW()-1)-1)</f>
        <v/>
      </c>
      <c r="I11" s="211">
        <f>IF(ROW()&lt;51,NA(),AVERAGE(INDEX(E:E,ROW()-49):E11))</f>
        <v/>
      </c>
      <c r="J11" s="211">
        <f>IF(ROW()&lt;201,NA(),AVERAGE(INDEX(E:E,ROW()-199):E11))</f>
        <v/>
      </c>
      <c r="K11" s="341">
        <f>IF(ROW()&lt;22,NA(),_xlfn.STDEV.S(INDEX(H:H,ROW()-19):H11)*SQRT(252))</f>
        <v/>
      </c>
      <c r="L11" s="426" cm="1">
        <f t="array" ref="L11">IF(ROW()&lt;17,NA(),_xlfn.LET(_xlpm.d,INDEX(E:E,ROW()-13):E11-INDEX(E:E,ROW()-14):INDEX(E:E,ROW()-1),_xlpm.g,SUM(IF(_xlpm.d&gt;0,_xlpm.d,0)),_xlpm.l,-SUM(IF(_xlpm.d&lt;0,_xlpm.d,0)),IF(_xlpm.l=0,100,100-100/(1+_xlpm.g/_xlpm.l))))</f>
        <v/>
      </c>
      <c r="M11" s="211">
        <f>MAX($E$2:E11)</f>
        <v/>
      </c>
      <c r="N11" s="341">
        <f>E11/M11-1</f>
        <v/>
      </c>
      <c r="P11" s="80" t="inlineStr">
        <is>
          <t>Bear: capital-structure note</t>
        </is>
      </c>
      <c r="Q11" s="251" t="inlineStr">
        <is>
          <t>stock issued for employee pay outpacing buybacks</t>
        </is>
      </c>
    </row>
    <row r="12">
      <c r="A12" s="424" t="n">
        <v>44477</v>
      </c>
      <c r="B12" s="425" t="n">
        <v>138.8920880464922</v>
      </c>
      <c r="C12" s="425" t="n">
        <v>139.4851704849117</v>
      </c>
      <c r="D12" s="425" t="n">
        <v>137.4777984747497</v>
      </c>
      <c r="E12" s="425" t="n">
        <v>139.1293182373047</v>
      </c>
      <c r="F12" s="207" t="n">
        <v>6333700</v>
      </c>
      <c r="G12" s="208" t="n">
        <v>-0.001823855298355381</v>
      </c>
      <c r="H12" s="209" cm="1">
        <f t="array" ref="H12">IF(ROW()&lt;3,"",E12/INDEX(E:E,ROW()-1)-1)</f>
        <v/>
      </c>
      <c r="I12" s="211">
        <f>IF(ROW()&lt;51,NA(),AVERAGE(INDEX(E:E,ROW()-49):E12))</f>
        <v/>
      </c>
      <c r="J12" s="211">
        <f>IF(ROW()&lt;201,NA(),AVERAGE(INDEX(E:E,ROW()-199):E12))</f>
        <v/>
      </c>
      <c r="K12" s="341">
        <f>IF(ROW()&lt;22,NA(),_xlfn.STDEV.S(INDEX(H:H,ROW()-19):H12)*SQRT(252))</f>
        <v/>
      </c>
      <c r="L12" s="426" cm="1">
        <f t="array" ref="L12">IF(ROW()&lt;17,NA(),_xlfn.LET(_xlpm.d,INDEX(E:E,ROW()-13):E12-INDEX(E:E,ROW()-14):INDEX(E:E,ROW()-1),_xlpm.g,SUM(IF(_xlpm.d&gt;0,_xlpm.d,0)),_xlpm.l,-SUM(IF(_xlpm.d&lt;0,_xlpm.d,0)),IF(_xlpm.l=0,100,100-100/(1+_xlpm.g/_xlpm.l))))</f>
        <v/>
      </c>
      <c r="M12" s="211">
        <f>MAX($E$2:E12)</f>
        <v/>
      </c>
      <c r="N12" s="341">
        <f>E12/M12-1</f>
        <v/>
      </c>
      <c r="P12" s="80" t="inlineStr">
        <is>
          <t>Capex guidance note</t>
        </is>
      </c>
      <c r="Q12" s="251" t="inlineStr"/>
    </row>
    <row r="13">
      <c r="A13" s="424" t="n">
        <v>44480</v>
      </c>
      <c r="B13" s="425" t="n">
        <v>138.6822629373182</v>
      </c>
      <c r="C13" s="425" t="n">
        <v>140.1421638716309</v>
      </c>
      <c r="D13" s="425" t="n">
        <v>136.9212401188459</v>
      </c>
      <c r="E13" s="425" t="n">
        <v>137.1219787597656</v>
      </c>
      <c r="F13" s="207" t="n">
        <v>5551200</v>
      </c>
      <c r="G13" s="208" t="n">
        <v>-0.00723967286780336</v>
      </c>
      <c r="H13" s="209" cm="1">
        <f t="array" ref="H13">IF(ROW()&lt;3,"",E13/INDEX(E:E,ROW()-1)-1)</f>
        <v/>
      </c>
      <c r="I13" s="211">
        <f>IF(ROW()&lt;51,NA(),AVERAGE(INDEX(E:E,ROW()-49):E13))</f>
        <v/>
      </c>
      <c r="J13" s="211">
        <f>IF(ROW()&lt;201,NA(),AVERAGE(INDEX(E:E,ROW()-199):E13))</f>
        <v/>
      </c>
      <c r="K13" s="341">
        <f>IF(ROW()&lt;22,NA(),_xlfn.STDEV.S(INDEX(H:H,ROW()-19):H13)*SQRT(252))</f>
        <v/>
      </c>
      <c r="L13" s="426" cm="1">
        <f t="array" ref="L13">IF(ROW()&lt;17,NA(),_xlfn.LET(_xlpm.d,INDEX(E:E,ROW()-13):E13-INDEX(E:E,ROW()-14):INDEX(E:E,ROW()-1),_xlpm.g,SUM(IF(_xlpm.d&gt;0,_xlpm.d,0)),_xlpm.l,-SUM(IF(_xlpm.d&lt;0,_xlpm.d,0)),IF(_xlpm.l=0,100,100-100/(1+_xlpm.g/_xlpm.l))))</f>
        <v/>
      </c>
      <c r="M13" s="211">
        <f>MAX($E$2:E13)</f>
        <v/>
      </c>
      <c r="N13" s="341">
        <f>E13/M13-1</f>
        <v/>
      </c>
      <c r="P13" s="80" t="inlineStr">
        <is>
          <t>Catalyst 1</t>
        </is>
      </c>
      <c r="Q13" s="251" t="inlineStr">
        <is>
          <t>Q1 FY27 earnings (mid Oct-2026): refreshes revenue, margins and the trailing-twelve-month figures in this report; tests whether recent growth is…</t>
        </is>
      </c>
    </row>
    <row r="14">
      <c r="A14" s="424" t="n">
        <v>44481</v>
      </c>
      <c r="B14" s="425" t="n">
        <v>139.074577404617</v>
      </c>
      <c r="C14" s="425" t="n">
        <v>140.1512675161899</v>
      </c>
      <c r="D14" s="425" t="n">
        <v>138.0526455748749</v>
      </c>
      <c r="E14" s="425" t="n">
        <v>139.9231567382812</v>
      </c>
      <c r="F14" s="207" t="n">
        <v>7408600</v>
      </c>
      <c r="G14" s="208" t="n">
        <v>-0.002461647982311854</v>
      </c>
      <c r="H14" s="209" cm="1">
        <f t="array" ref="H14">IF(ROW()&lt;3,"",E14/INDEX(E:E,ROW()-1)-1)</f>
        <v/>
      </c>
      <c r="I14" s="211">
        <f>IF(ROW()&lt;51,NA(),AVERAGE(INDEX(E:E,ROW()-49):E14))</f>
        <v/>
      </c>
      <c r="J14" s="211">
        <f>IF(ROW()&lt;201,NA(),AVERAGE(INDEX(E:E,ROW()-199):E14))</f>
        <v/>
      </c>
      <c r="K14" s="341">
        <f>IF(ROW()&lt;22,NA(),_xlfn.STDEV.S(INDEX(H:H,ROW()-19):H14)*SQRT(252))</f>
        <v/>
      </c>
      <c r="L14" s="426" cm="1">
        <f t="array" ref="L14">IF(ROW()&lt;17,NA(),_xlfn.LET(_xlpm.d,INDEX(E:E,ROW()-13):E14-INDEX(E:E,ROW()-14):INDEX(E:E,ROW()-1),_xlpm.g,SUM(IF(_xlpm.d&gt;0,_xlpm.d,0)),_xlpm.l,-SUM(IF(_xlpm.d&lt;0,_xlpm.d,0)),IF(_xlpm.l=0,100,100-100/(1+_xlpm.g/_xlpm.l))))</f>
        <v/>
      </c>
      <c r="M14" s="211">
        <f>MAX($E$2:E14)</f>
        <v/>
      </c>
      <c r="N14" s="341">
        <f>E14/M14-1</f>
        <v/>
      </c>
      <c r="P14" s="80" t="inlineStr">
        <is>
          <t>Catalyst 2</t>
        </is>
      </c>
      <c r="Q14" s="251" t="inlineStr">
        <is>
          <t>Q2 FY27 earnings (mid Jan-2027): refreshes revenue, margins and the trailing-twelve-month figures in this report; tests whether recent growth is…</t>
        </is>
      </c>
    </row>
    <row r="15">
      <c r="A15" s="424" t="n">
        <v>44482</v>
      </c>
      <c r="B15" s="425" t="n">
        <v>140.8082496778271</v>
      </c>
      <c r="C15" s="425" t="n">
        <v>142.9524829716324</v>
      </c>
      <c r="D15" s="425" t="n">
        <v>139.7498121614374</v>
      </c>
      <c r="E15" s="425" t="n">
        <v>142.6148834228516</v>
      </c>
      <c r="F15" s="207" t="n">
        <v>8456300</v>
      </c>
      <c r="G15" s="208" t="n">
        <v>0.003597856094936347</v>
      </c>
      <c r="H15" s="209" cm="1">
        <f t="array" ref="H15">IF(ROW()&lt;3,"",E15/INDEX(E:E,ROW()-1)-1)</f>
        <v/>
      </c>
      <c r="I15" s="211">
        <f>IF(ROW()&lt;51,NA(),AVERAGE(INDEX(E:E,ROW()-49):E15))</f>
        <v/>
      </c>
      <c r="J15" s="211">
        <f>IF(ROW()&lt;201,NA(),AVERAGE(INDEX(E:E,ROW()-199):E15))</f>
        <v/>
      </c>
      <c r="K15" s="341">
        <f>IF(ROW()&lt;22,NA(),_xlfn.STDEV.S(INDEX(H:H,ROW()-19):H15)*SQRT(252))</f>
        <v/>
      </c>
      <c r="L15" s="426" cm="1">
        <f t="array" ref="L15">IF(ROW()&lt;17,NA(),_xlfn.LET(_xlpm.d,INDEX(E:E,ROW()-13):E15-INDEX(E:E,ROW()-14):INDEX(E:E,ROW()-1),_xlpm.g,SUM(IF(_xlpm.d&gt;0,_xlpm.d,0)),_xlpm.l,-SUM(IF(_xlpm.d&lt;0,_xlpm.d,0)),IF(_xlpm.l=0,100,100-100/(1+_xlpm.g/_xlpm.l))))</f>
        <v/>
      </c>
      <c r="M15" s="211">
        <f>MAX($E$2:E15)</f>
        <v/>
      </c>
      <c r="N15" s="341">
        <f>E15/M15-1</f>
        <v/>
      </c>
      <c r="P15" s="80" t="inlineStr">
        <is>
          <t>Catalyst 3</t>
        </is>
      </c>
      <c r="Q15" s="251" t="inlineStr">
        <is>
          <t>Dividend declaration (with results): last declared $0.41 a share a quarter.</t>
        </is>
      </c>
    </row>
    <row r="16">
      <c r="A16" s="424" t="n">
        <v>44483</v>
      </c>
      <c r="B16" s="425" t="n">
        <v>144.3302365361845</v>
      </c>
      <c r="C16" s="425" t="n">
        <v>144.5857334019179</v>
      </c>
      <c r="D16" s="425" t="n">
        <v>142.5692281134596</v>
      </c>
      <c r="E16" s="425" t="n">
        <v>143.3813018798828</v>
      </c>
      <c r="F16" s="207" t="n">
        <v>6024500</v>
      </c>
      <c r="G16" s="208" t="n">
        <v>0.01682022613861256</v>
      </c>
      <c r="H16" s="209" cm="1">
        <f t="array" ref="H16">IF(ROW()&lt;3,"",E16/INDEX(E:E,ROW()-1)-1)</f>
        <v/>
      </c>
      <c r="I16" s="211">
        <f>IF(ROW()&lt;51,NA(),AVERAGE(INDEX(E:E,ROW()-49):E16))</f>
        <v/>
      </c>
      <c r="J16" s="211">
        <f>IF(ROW()&lt;201,NA(),AVERAGE(INDEX(E:E,ROW()-199):E16))</f>
        <v/>
      </c>
      <c r="K16" s="341">
        <f>IF(ROW()&lt;22,NA(),_xlfn.STDEV.S(INDEX(H:H,ROW()-19):H16)*SQRT(252))</f>
        <v/>
      </c>
      <c r="L16" s="426" cm="1">
        <f t="array" ref="L16">IF(ROW()&lt;17,NA(),_xlfn.LET(_xlpm.d,INDEX(E:E,ROW()-13):E16-INDEX(E:E,ROW()-14):INDEX(E:E,ROW()-1),_xlpm.g,SUM(IF(_xlpm.d&gt;0,_xlpm.d,0)),_xlpm.l,-SUM(IF(_xlpm.d&lt;0,_xlpm.d,0)),IF(_xlpm.l=0,100,100-100/(1+_xlpm.g/_xlpm.l))))</f>
        <v/>
      </c>
      <c r="M16" s="211">
        <f>MAX($E$2:E16)</f>
        <v/>
      </c>
      <c r="N16" s="341">
        <f>E16/M16-1</f>
        <v/>
      </c>
      <c r="P16" s="80" t="inlineStr">
        <is>
          <t>Catalyst 4</t>
        </is>
      </c>
      <c r="Q16" s="251" t="inlineStr">
        <is>
          <t>Guidance on growth, margins and capex (every call): the DCF rests on 1% year-one revenue growth and a long-run operating margin anchored to TTM…</t>
        </is>
      </c>
    </row>
    <row r="17">
      <c r="A17" s="424" t="n">
        <v>44484</v>
      </c>
      <c r="B17" s="425" t="n">
        <v>143.9835655888013</v>
      </c>
      <c r="C17" s="425" t="n">
        <v>144.4671594577814</v>
      </c>
      <c r="D17" s="425" t="n">
        <v>142.8521308055149</v>
      </c>
      <c r="E17" s="425" t="n">
        <v>144.1751708984375</v>
      </c>
      <c r="F17" s="207" t="n">
        <v>5532100</v>
      </c>
      <c r="G17" s="208" t="n">
        <v>0.007615914573749549</v>
      </c>
      <c r="H17" s="209" cm="1">
        <f t="array" ref="H17">IF(ROW()&lt;3,"",E17/INDEX(E:E,ROW()-1)-1)</f>
        <v/>
      </c>
      <c r="I17" s="211">
        <f>IF(ROW()&lt;51,NA(),AVERAGE(INDEX(E:E,ROW()-49):E17))</f>
        <v/>
      </c>
      <c r="J17" s="211">
        <f>IF(ROW()&lt;201,NA(),AVERAGE(INDEX(E:E,ROW()-199):E17))</f>
        <v/>
      </c>
      <c r="K17" s="341">
        <f>IF(ROW()&lt;22,NA(),_xlfn.STDEV.S(INDEX(H:H,ROW()-19):H17)*SQRT(252))</f>
        <v/>
      </c>
      <c r="L17" s="426" cm="1">
        <f t="array" ref="L17">IF(ROW()&lt;17,NA(),_xlfn.LET(_xlpm.d,INDEX(E:E,ROW()-13):E17-INDEX(E:E,ROW()-14):INDEX(E:E,ROW()-1),_xlpm.g,SUM(IF(_xlpm.d&gt;0,_xlpm.d,0)),_xlpm.l,-SUM(IF(_xlpm.d&lt;0,_xlpm.d,0)),IF(_xlpm.l=0,100,100-100/(1+_xlpm.g/_xlpm.l))))</f>
        <v/>
      </c>
      <c r="M17" s="211">
        <f>MAX($E$2:E17)</f>
        <v/>
      </c>
      <c r="N17" s="341">
        <f>E17/M17-1</f>
        <v/>
      </c>
    </row>
    <row r="18">
      <c r="A18" s="424" t="n">
        <v>44487</v>
      </c>
      <c r="B18" s="425" t="n">
        <v>143.5364499003549</v>
      </c>
      <c r="C18" s="425" t="n">
        <v>145.5073307232058</v>
      </c>
      <c r="D18" s="425" t="n">
        <v>142.2955264847947</v>
      </c>
      <c r="E18" s="425" t="n">
        <v>145.4708251953125</v>
      </c>
      <c r="F18" s="207" t="n">
        <v>5765300</v>
      </c>
      <c r="G18" s="208" t="n">
        <v>0.002960552265646399</v>
      </c>
      <c r="H18" s="209" cm="1">
        <f t="array" ref="H18">IF(ROW()&lt;3,"",E18/INDEX(E:E,ROW()-1)-1)</f>
        <v/>
      </c>
      <c r="I18" s="211">
        <f>IF(ROW()&lt;51,NA(),AVERAGE(INDEX(E:E,ROW()-49):E18))</f>
        <v/>
      </c>
      <c r="J18" s="211">
        <f>IF(ROW()&lt;201,NA(),AVERAGE(INDEX(E:E,ROW()-199):E18))</f>
        <v/>
      </c>
      <c r="K18" s="341">
        <f>IF(ROW()&lt;22,NA(),_xlfn.STDEV.S(INDEX(H:H,ROW()-19):H18)*SQRT(252))</f>
        <v/>
      </c>
      <c r="L18" s="426" cm="1">
        <f t="array" ref="L18">IF(ROW()&lt;17,NA(),_xlfn.LET(_xlpm.d,INDEX(E:E,ROW()-13):E18-INDEX(E:E,ROW()-14):INDEX(E:E,ROW()-1),_xlpm.g,SUM(IF(_xlpm.d&gt;0,_xlpm.d,0)),_xlpm.l,-SUM(IF(_xlpm.d&lt;0,_xlpm.d,0)),IF(_xlpm.l=0,100,100-100/(1+_xlpm.g/_xlpm.l))))</f>
        <v/>
      </c>
      <c r="M18" s="211">
        <f>MAX($E$2:E18)</f>
        <v/>
      </c>
      <c r="N18" s="341">
        <f>E18/M18-1</f>
        <v/>
      </c>
    </row>
    <row r="19">
      <c r="A19" s="424" t="n">
        <v>44488</v>
      </c>
      <c r="B19" s="425" t="n">
        <v>145.6989316178817</v>
      </c>
      <c r="C19" s="425" t="n">
        <v>145.9270424306022</v>
      </c>
      <c r="D19" s="425" t="n">
        <v>143.0711045228317</v>
      </c>
      <c r="E19" s="425" t="n">
        <v>144.0018005371094</v>
      </c>
      <c r="F19" s="207" t="n">
        <v>6198200</v>
      </c>
      <c r="G19" s="208" t="n">
        <v>0.007714873633702934</v>
      </c>
      <c r="H19" s="209" cm="1">
        <f t="array" ref="H19">IF(ROW()&lt;3,"",E19/INDEX(E:E,ROW()-1)-1)</f>
        <v/>
      </c>
      <c r="I19" s="211">
        <f>IF(ROW()&lt;51,NA(),AVERAGE(INDEX(E:E,ROW()-49):E19))</f>
        <v/>
      </c>
      <c r="J19" s="211">
        <f>IF(ROW()&lt;201,NA(),AVERAGE(INDEX(E:E,ROW()-199):E19))</f>
        <v/>
      </c>
      <c r="K19" s="341">
        <f>IF(ROW()&lt;22,NA(),_xlfn.STDEV.S(INDEX(H:H,ROW()-19):H19)*SQRT(252))</f>
        <v/>
      </c>
      <c r="L19" s="426" cm="1">
        <f t="array" ref="L19">IF(ROW()&lt;17,NA(),_xlfn.LET(_xlpm.d,INDEX(E:E,ROW()-13):E19-INDEX(E:E,ROW()-14):INDEX(E:E,ROW()-1),_xlpm.g,SUM(IF(_xlpm.d&gt;0,_xlpm.d,0)),_xlpm.l,-SUM(IF(_xlpm.d&lt;0,_xlpm.d,0)),IF(_xlpm.l=0,100,100-100/(1+_xlpm.g/_xlpm.l))))</f>
        <v/>
      </c>
      <c r="M19" s="211">
        <f>MAX($E$2:E19)</f>
        <v/>
      </c>
      <c r="N19" s="341">
        <f>E19/M19-1</f>
        <v/>
      </c>
    </row>
    <row r="20">
      <c r="A20" s="424" t="n">
        <v>44489</v>
      </c>
      <c r="B20" s="425" t="n">
        <v>144.6222851127663</v>
      </c>
      <c r="C20" s="425" t="n">
        <v>144.8960209290818</v>
      </c>
      <c r="D20" s="425" t="n">
        <v>143.5456085374488</v>
      </c>
      <c r="E20" s="425" t="n">
        <v>144.57666015625</v>
      </c>
      <c r="F20" s="207" t="n">
        <v>4487000</v>
      </c>
      <c r="G20" s="208" t="n">
        <v>0.003927751442487581</v>
      </c>
      <c r="H20" s="209" cm="1">
        <f t="array" ref="H20">IF(ROW()&lt;3,"",E20/INDEX(E:E,ROW()-1)-1)</f>
        <v/>
      </c>
      <c r="I20" s="211">
        <f>IF(ROW()&lt;51,NA(),AVERAGE(INDEX(E:E,ROW()-49):E20))</f>
        <v/>
      </c>
      <c r="J20" s="211">
        <f>IF(ROW()&lt;201,NA(),AVERAGE(INDEX(E:E,ROW()-199):E20))</f>
        <v/>
      </c>
      <c r="K20" s="341">
        <f>IF(ROW()&lt;22,NA(),_xlfn.STDEV.S(INDEX(H:H,ROW()-19):H20)*SQRT(252))</f>
        <v/>
      </c>
      <c r="L20" s="426" cm="1">
        <f t="array" ref="L20">IF(ROW()&lt;17,NA(),_xlfn.LET(_xlpm.d,INDEX(E:E,ROW()-13):E20-INDEX(E:E,ROW()-14):INDEX(E:E,ROW()-1),_xlpm.g,SUM(IF(_xlpm.d&gt;0,_xlpm.d,0)),_xlpm.l,-SUM(IF(_xlpm.d&lt;0,_xlpm.d,0)),IF(_xlpm.l=0,100,100-100/(1+_xlpm.g/_xlpm.l))))</f>
        <v/>
      </c>
      <c r="M20" s="211">
        <f>MAX($E$2:E20)</f>
        <v/>
      </c>
      <c r="N20" s="341">
        <f>E20/M20-1</f>
        <v/>
      </c>
    </row>
    <row r="21">
      <c r="A21" s="424" t="n">
        <v>44490</v>
      </c>
      <c r="B21" s="425" t="n">
        <v>144.5766320360437</v>
      </c>
      <c r="C21" s="425" t="n">
        <v>148.1260357672495</v>
      </c>
      <c r="D21" s="425" t="n">
        <v>144.4215183522837</v>
      </c>
      <c r="E21" s="425" t="n">
        <v>147.9800415039062</v>
      </c>
      <c r="F21" s="207" t="n">
        <v>6121700</v>
      </c>
      <c r="G21" s="208" t="n">
        <v>0.002608280419462483</v>
      </c>
      <c r="H21" s="209" cm="1">
        <f t="array" ref="H21">IF(ROW()&lt;3,"",E21/INDEX(E:E,ROW()-1)-1)</f>
        <v/>
      </c>
      <c r="I21" s="211">
        <f>IF(ROW()&lt;51,NA(),AVERAGE(INDEX(E:E,ROW()-49):E21))</f>
        <v/>
      </c>
      <c r="J21" s="211">
        <f>IF(ROW()&lt;201,NA(),AVERAGE(INDEX(E:E,ROW()-199):E21))</f>
        <v/>
      </c>
      <c r="K21" s="341">
        <f>IF(ROW()&lt;22,NA(),_xlfn.STDEV.S(INDEX(H:H,ROW()-19):H21)*SQRT(252))</f>
        <v/>
      </c>
      <c r="L21" s="426" cm="1">
        <f t="array" ref="L21">IF(ROW()&lt;17,NA(),_xlfn.LET(_xlpm.d,INDEX(E:E,ROW()-13):E21-INDEX(E:E,ROW()-14):INDEX(E:E,ROW()-1),_xlpm.g,SUM(IF(_xlpm.d&gt;0,_xlpm.d,0)),_xlpm.l,-SUM(IF(_xlpm.d&lt;0,_xlpm.d,0)),IF(_xlpm.l=0,100,100-100/(1+_xlpm.g/_xlpm.l))))</f>
        <v/>
      </c>
      <c r="M21" s="211">
        <f>MAX($E$2:E21)</f>
        <v/>
      </c>
      <c r="N21" s="341">
        <f>E21/M21-1</f>
        <v/>
      </c>
    </row>
    <row r="22">
      <c r="A22" s="424" t="n">
        <v>44491</v>
      </c>
      <c r="B22" s="425" t="n">
        <v>148.0712849077433</v>
      </c>
      <c r="C22" s="425" t="n">
        <v>150.2063987051134</v>
      </c>
      <c r="D22" s="425" t="n">
        <v>148.0712849077433</v>
      </c>
      <c r="E22" s="425" t="n">
        <v>149.1662139892578</v>
      </c>
      <c r="F22" s="207" t="n">
        <v>5323000</v>
      </c>
      <c r="G22" s="208" t="n">
        <v>-0.001036210019233708</v>
      </c>
      <c r="H22" s="209" cm="1">
        <f t="array" ref="H22">IF(ROW()&lt;3,"",E22/INDEX(E:E,ROW()-1)-1)</f>
        <v/>
      </c>
      <c r="I22" s="211">
        <f>IF(ROW()&lt;51,NA(),AVERAGE(INDEX(E:E,ROW()-49):E22))</f>
        <v/>
      </c>
      <c r="J22" s="211">
        <f>IF(ROW()&lt;201,NA(),AVERAGE(INDEX(E:E,ROW()-199):E22))</f>
        <v/>
      </c>
      <c r="K22" s="341">
        <f>IF(ROW()&lt;22,NA(),_xlfn.STDEV.S(INDEX(H:H,ROW()-19):H22)*SQRT(252))</f>
        <v/>
      </c>
      <c r="L22" s="426" cm="1">
        <f t="array" ref="L22">IF(ROW()&lt;17,NA(),_xlfn.LET(_xlpm.d,INDEX(E:E,ROW()-13):E22-INDEX(E:E,ROW()-14):INDEX(E:E,ROW()-1),_xlpm.g,SUM(IF(_xlpm.d&gt;0,_xlpm.d,0)),_xlpm.l,-SUM(IF(_xlpm.d&lt;0,_xlpm.d,0)),IF(_xlpm.l=0,100,100-100/(1+_xlpm.g/_xlpm.l))))</f>
        <v/>
      </c>
      <c r="M22" s="211">
        <f>MAX($E$2:E22)</f>
        <v/>
      </c>
      <c r="N22" s="341">
        <f>E22/M22-1</f>
        <v/>
      </c>
    </row>
    <row r="23">
      <c r="A23" s="424" t="n">
        <v>44494</v>
      </c>
      <c r="B23" s="425" t="n">
        <v>148.9380916733772</v>
      </c>
      <c r="C23" s="425" t="n">
        <v>150.3067564001898</v>
      </c>
      <c r="D23" s="425" t="n">
        <v>148.4180063170327</v>
      </c>
      <c r="E23" s="425" t="n">
        <v>149.8414154052734</v>
      </c>
      <c r="F23" s="207" t="n">
        <v>3878200</v>
      </c>
      <c r="G23" s="208" t="n">
        <v>0.005362773549228761</v>
      </c>
      <c r="H23" s="209" cm="1">
        <f t="array" ref="H23">IF(ROW()&lt;3,"",E23/INDEX(E:E,ROW()-1)-1)</f>
        <v/>
      </c>
      <c r="I23" s="211">
        <f>IF(ROW()&lt;51,NA(),AVERAGE(INDEX(E:E,ROW()-49):E23))</f>
        <v/>
      </c>
      <c r="J23" s="211">
        <f>IF(ROW()&lt;201,NA(),AVERAGE(INDEX(E:E,ROW()-199):E23))</f>
        <v/>
      </c>
      <c r="K23" s="341">
        <f>IF(ROW()&lt;22,NA(),_xlfn.STDEV.S(INDEX(H:H,ROW()-19):H23)*SQRT(252))</f>
        <v/>
      </c>
      <c r="L23" s="426" cm="1">
        <f t="array" ref="L23">IF(ROW()&lt;17,NA(),_xlfn.LET(_xlpm.d,INDEX(E:E,ROW()-13):E23-INDEX(E:E,ROW()-14):INDEX(E:E,ROW()-1),_xlpm.g,SUM(IF(_xlpm.d&gt;0,_xlpm.d,0)),_xlpm.l,-SUM(IF(_xlpm.d&lt;0,_xlpm.d,0)),IF(_xlpm.l=0,100,100-100/(1+_xlpm.g/_xlpm.l))))</f>
        <v/>
      </c>
      <c r="M23" s="211">
        <f>MAX($E$2:E23)</f>
        <v/>
      </c>
      <c r="N23" s="341">
        <f>E23/M23-1</f>
        <v/>
      </c>
    </row>
    <row r="24">
      <c r="A24" s="424" t="n">
        <v>44495</v>
      </c>
      <c r="B24" s="425" t="n">
        <v>150.388880115842</v>
      </c>
      <c r="C24" s="425" t="n">
        <v>150.9637098078169</v>
      </c>
      <c r="D24" s="425" t="n">
        <v>148.8377156901799</v>
      </c>
      <c r="E24" s="425" t="n">
        <v>149.4490509033203</v>
      </c>
      <c r="F24" s="207" t="n">
        <v>4711200</v>
      </c>
      <c r="G24" s="208" t="n">
        <v>0.0009001058682647223</v>
      </c>
      <c r="H24" s="209" cm="1">
        <f t="array" ref="H24">IF(ROW()&lt;3,"",E24/INDEX(E:E,ROW()-1)-1)</f>
        <v/>
      </c>
      <c r="I24" s="211">
        <f>IF(ROW()&lt;51,NA(),AVERAGE(INDEX(E:E,ROW()-49):E24))</f>
        <v/>
      </c>
      <c r="J24" s="211">
        <f>IF(ROW()&lt;201,NA(),AVERAGE(INDEX(E:E,ROW()-199):E24))</f>
        <v/>
      </c>
      <c r="K24" s="341">
        <f>IF(ROW()&lt;22,NA(),_xlfn.STDEV.S(INDEX(H:H,ROW()-19):H24)*SQRT(252))</f>
        <v/>
      </c>
      <c r="L24" s="426" cm="1">
        <f t="array" ref="L24">IF(ROW()&lt;17,NA(),_xlfn.LET(_xlpm.d,INDEX(E:E,ROW()-13):E24-INDEX(E:E,ROW()-14):INDEX(E:E,ROW()-1),_xlpm.g,SUM(IF(_xlpm.d&gt;0,_xlpm.d,0)),_xlpm.l,-SUM(IF(_xlpm.d&lt;0,_xlpm.d,0)),IF(_xlpm.l=0,100,100-100/(1+_xlpm.g/_xlpm.l))))</f>
        <v/>
      </c>
      <c r="M24" s="211">
        <f>MAX($E$2:E24)</f>
        <v/>
      </c>
      <c r="N24" s="341">
        <f>E24/M24-1</f>
        <v/>
      </c>
    </row>
    <row r="25">
      <c r="A25" s="424" t="n">
        <v>44496</v>
      </c>
      <c r="B25" s="425" t="n">
        <v>149.3213120204611</v>
      </c>
      <c r="C25" s="425" t="n">
        <v>149.6954170436369</v>
      </c>
      <c r="D25" s="425" t="n">
        <v>147.5055591100593</v>
      </c>
      <c r="E25" s="425" t="n">
        <v>148.1351470947266</v>
      </c>
      <c r="F25" s="207" t="n">
        <v>4163900</v>
      </c>
      <c r="G25" s="208" t="n">
        <v>-0.004430288892619538</v>
      </c>
      <c r="H25" s="209" cm="1">
        <f t="array" ref="H25">IF(ROW()&lt;3,"",E25/INDEX(E:E,ROW()-1)-1)</f>
        <v/>
      </c>
      <c r="I25" s="211">
        <f>IF(ROW()&lt;51,NA(),AVERAGE(INDEX(E:E,ROW()-49):E25))</f>
        <v/>
      </c>
      <c r="J25" s="211">
        <f>IF(ROW()&lt;201,NA(),AVERAGE(INDEX(E:E,ROW()-199):E25))</f>
        <v/>
      </c>
      <c r="K25" s="341">
        <f>IF(ROW()&lt;22,NA(),_xlfn.STDEV.S(INDEX(H:H,ROW()-19):H25)*SQRT(252))</f>
        <v/>
      </c>
      <c r="L25" s="426" cm="1">
        <f t="array" ref="L25">IF(ROW()&lt;17,NA(),_xlfn.LET(_xlpm.d,INDEX(E:E,ROW()-13):E25-INDEX(E:E,ROW()-14):INDEX(E:E,ROW()-1),_xlpm.g,SUM(IF(_xlpm.d&gt;0,_xlpm.d,0)),_xlpm.l,-SUM(IF(_xlpm.d&lt;0,_xlpm.d,0)),IF(_xlpm.l=0,100,100-100/(1+_xlpm.g/_xlpm.l))))</f>
        <v/>
      </c>
      <c r="M25" s="211">
        <f>MAX($E$2:E25)</f>
        <v/>
      </c>
      <c r="N25" s="341">
        <f>E25/M25-1</f>
        <v/>
      </c>
    </row>
    <row r="26">
      <c r="A26" s="424" t="n">
        <v>44497</v>
      </c>
      <c r="B26" s="425" t="n">
        <v>148.7373406897275</v>
      </c>
      <c r="C26" s="425" t="n">
        <v>150.188135760738</v>
      </c>
      <c r="D26" s="425" t="n">
        <v>148.5548548592261</v>
      </c>
      <c r="E26" s="425" t="n">
        <v>150.0603942871094</v>
      </c>
      <c r="F26" s="207" t="n">
        <v>3762000</v>
      </c>
      <c r="G26" s="208" t="n">
        <v>0.009648982328504196</v>
      </c>
      <c r="H26" s="209" cm="1">
        <f t="array" ref="H26">IF(ROW()&lt;3,"",E26/INDEX(E:E,ROW()-1)-1)</f>
        <v/>
      </c>
      <c r="I26" s="211">
        <f>IF(ROW()&lt;51,NA(),AVERAGE(INDEX(E:E,ROW()-49):E26))</f>
        <v/>
      </c>
      <c r="J26" s="211">
        <f>IF(ROW()&lt;201,NA(),AVERAGE(INDEX(E:E,ROW()-199):E26))</f>
        <v/>
      </c>
      <c r="K26" s="341">
        <f>IF(ROW()&lt;22,NA(),_xlfn.STDEV.S(INDEX(H:H,ROW()-19):H26)*SQRT(252))</f>
        <v/>
      </c>
      <c r="L26" s="426" cm="1">
        <f t="array" ref="L26">IF(ROW()&lt;17,NA(),_xlfn.LET(_xlpm.d,INDEX(E:E,ROW()-13):E26-INDEX(E:E,ROW()-14):INDEX(E:E,ROW()-1),_xlpm.g,SUM(IF(_xlpm.d&gt;0,_xlpm.d,0)),_xlpm.l,-SUM(IF(_xlpm.d&lt;0,_xlpm.d,0)),IF(_xlpm.l=0,100,100-100/(1+_xlpm.g/_xlpm.l))))</f>
        <v/>
      </c>
      <c r="M26" s="211">
        <f>MAX($E$2:E26)</f>
        <v/>
      </c>
      <c r="N26" s="341">
        <f>E26/M26-1</f>
        <v/>
      </c>
    </row>
    <row r="27">
      <c r="A27" s="424" t="n">
        <v>44498</v>
      </c>
      <c r="B27" s="425" t="n">
        <v>148.7829928842341</v>
      </c>
      <c r="C27" s="425" t="n">
        <v>152.952865185108</v>
      </c>
      <c r="D27" s="425" t="n">
        <v>148.7282485173325</v>
      </c>
      <c r="E27" s="425" t="n">
        <v>152.6426239013672</v>
      </c>
      <c r="F27" s="207" t="n">
        <v>6740600</v>
      </c>
      <c r="G27" s="208" t="n">
        <v>0.002029033669955993</v>
      </c>
      <c r="H27" s="209" cm="1">
        <f t="array" ref="H27">IF(ROW()&lt;3,"",E27/INDEX(E:E,ROW()-1)-1)</f>
        <v/>
      </c>
      <c r="I27" s="211">
        <f>IF(ROW()&lt;51,NA(),AVERAGE(INDEX(E:E,ROW()-49):E27))</f>
        <v/>
      </c>
      <c r="J27" s="211">
        <f>IF(ROW()&lt;201,NA(),AVERAGE(INDEX(E:E,ROW()-199):E27))</f>
        <v/>
      </c>
      <c r="K27" s="341">
        <f>IF(ROW()&lt;22,NA(),_xlfn.STDEV.S(INDEX(H:H,ROW()-19):H27)*SQRT(252))</f>
        <v/>
      </c>
      <c r="L27" s="426" cm="1">
        <f t="array" ref="L27">IF(ROW()&lt;17,NA(),_xlfn.LET(_xlpm.d,INDEX(E:E,ROW()-13):E27-INDEX(E:E,ROW()-14):INDEX(E:E,ROW()-1),_xlpm.g,SUM(IF(_xlpm.d&gt;0,_xlpm.d,0)),_xlpm.l,-SUM(IF(_xlpm.d&lt;0,_xlpm.d,0)),IF(_xlpm.l=0,100,100-100/(1+_xlpm.g/_xlpm.l))))</f>
        <v/>
      </c>
      <c r="M27" s="211">
        <f>MAX($E$2:E27)</f>
        <v/>
      </c>
      <c r="N27" s="341">
        <f>E27/M27-1</f>
        <v/>
      </c>
    </row>
    <row r="28">
      <c r="A28" s="424" t="n">
        <v>44501</v>
      </c>
      <c r="B28" s="425" t="n">
        <v>153.1079396757528</v>
      </c>
      <c r="C28" s="425" t="n">
        <v>154.0203826846395</v>
      </c>
      <c r="D28" s="425" t="n">
        <v>151.365170187313</v>
      </c>
      <c r="E28" s="425" t="n">
        <v>151.7666473388672</v>
      </c>
      <c r="F28" s="207" t="n">
        <v>3610800</v>
      </c>
      <c r="G28" s="208" t="n">
        <v>0.001720344361588078</v>
      </c>
      <c r="H28" s="209" cm="1">
        <f t="array" ref="H28">IF(ROW()&lt;3,"",E28/INDEX(E:E,ROW()-1)-1)</f>
        <v/>
      </c>
      <c r="I28" s="211">
        <f>IF(ROW()&lt;51,NA(),AVERAGE(INDEX(E:E,ROW()-49):E28))</f>
        <v/>
      </c>
      <c r="J28" s="211">
        <f>IF(ROW()&lt;201,NA(),AVERAGE(INDEX(E:E,ROW()-199):E28))</f>
        <v/>
      </c>
      <c r="K28" s="341">
        <f>IF(ROW()&lt;22,NA(),_xlfn.STDEV.S(INDEX(H:H,ROW()-19):H28)*SQRT(252))</f>
        <v/>
      </c>
      <c r="L28" s="426" cm="1">
        <f t="array" ref="L28">IF(ROW()&lt;17,NA(),_xlfn.LET(_xlpm.d,INDEX(E:E,ROW()-13):E28-INDEX(E:E,ROW()-14):INDEX(E:E,ROW()-1),_xlpm.g,SUM(IF(_xlpm.d&gt;0,_xlpm.d,0)),_xlpm.l,-SUM(IF(_xlpm.d&lt;0,_xlpm.d,0)),IF(_xlpm.l=0,100,100-100/(1+_xlpm.g/_xlpm.l))))</f>
        <v/>
      </c>
      <c r="M28" s="211">
        <f>MAX($E$2:E28)</f>
        <v/>
      </c>
      <c r="N28" s="341">
        <f>E28/M28-1</f>
        <v/>
      </c>
    </row>
    <row r="29">
      <c r="A29" s="424" t="n">
        <v>44502</v>
      </c>
      <c r="B29" s="425" t="n">
        <v>152.1590245422819</v>
      </c>
      <c r="C29" s="425" t="n">
        <v>153.4364533887306</v>
      </c>
      <c r="D29" s="425" t="n">
        <v>151.5659420254589</v>
      </c>
      <c r="E29" s="425" t="n">
        <v>153.1353454589844</v>
      </c>
      <c r="F29" s="207" t="n">
        <v>5038000</v>
      </c>
      <c r="G29" s="208" t="n">
        <v>0.004042965811856147</v>
      </c>
      <c r="H29" s="209" cm="1">
        <f t="array" ref="H29">IF(ROW()&lt;3,"",E29/INDEX(E:E,ROW()-1)-1)</f>
        <v/>
      </c>
      <c r="I29" s="211">
        <f>IF(ROW()&lt;51,NA(),AVERAGE(INDEX(E:E,ROW()-49):E29))</f>
        <v/>
      </c>
      <c r="J29" s="211">
        <f>IF(ROW()&lt;201,NA(),AVERAGE(INDEX(E:E,ROW()-199):E29))</f>
        <v/>
      </c>
      <c r="K29" s="341">
        <f>IF(ROW()&lt;22,NA(),_xlfn.STDEV.S(INDEX(H:H,ROW()-19):H29)*SQRT(252))</f>
        <v/>
      </c>
      <c r="L29" s="426" cm="1">
        <f t="array" ref="L29">IF(ROW()&lt;17,NA(),_xlfn.LET(_xlpm.d,INDEX(E:E,ROW()-13):E29-INDEX(E:E,ROW()-14):INDEX(E:E,ROW()-1),_xlpm.g,SUM(IF(_xlpm.d&gt;0,_xlpm.d,0)),_xlpm.l,-SUM(IF(_xlpm.d&lt;0,_xlpm.d,0)),IF(_xlpm.l=0,100,100-100/(1+_xlpm.g/_xlpm.l))))</f>
        <v/>
      </c>
      <c r="M29" s="211">
        <f>MAX($E$2:E29)</f>
        <v/>
      </c>
      <c r="N29" s="341">
        <f>E29/M29-1</f>
        <v/>
      </c>
    </row>
    <row r="30">
      <c r="A30" s="424" t="n">
        <v>44503</v>
      </c>
      <c r="B30" s="425" t="n">
        <v>154.2029026197351</v>
      </c>
      <c r="C30" s="425" t="n">
        <v>157.7340533901168</v>
      </c>
      <c r="D30" s="425" t="n">
        <v>153.883541926855</v>
      </c>
      <c r="E30" s="425" t="n">
        <v>157.3964538574219</v>
      </c>
      <c r="F30" s="207" t="n">
        <v>7176700</v>
      </c>
      <c r="G30" s="208" t="n">
        <v>0.006105123751916741</v>
      </c>
      <c r="H30" s="209" cm="1">
        <f t="array" ref="H30">IF(ROW()&lt;3,"",E30/INDEX(E:E,ROW()-1)-1)</f>
        <v/>
      </c>
      <c r="I30" s="211">
        <f>IF(ROW()&lt;51,NA(),AVERAGE(INDEX(E:E,ROW()-49):E30))</f>
        <v/>
      </c>
      <c r="J30" s="211">
        <f>IF(ROW()&lt;201,NA(),AVERAGE(INDEX(E:E,ROW()-199):E30))</f>
        <v/>
      </c>
      <c r="K30" s="341">
        <f>IF(ROW()&lt;22,NA(),_xlfn.STDEV.S(INDEX(H:H,ROW()-19):H30)*SQRT(252))</f>
        <v/>
      </c>
      <c r="L30" s="426" cm="1">
        <f t="array" ref="L30">IF(ROW()&lt;17,NA(),_xlfn.LET(_xlpm.d,INDEX(E:E,ROW()-13):E30-INDEX(E:E,ROW()-14):INDEX(E:E,ROW()-1),_xlpm.g,SUM(IF(_xlpm.d&gt;0,_xlpm.d,0)),_xlpm.l,-SUM(IF(_xlpm.d&lt;0,_xlpm.d,0)),IF(_xlpm.l=0,100,100-100/(1+_xlpm.g/_xlpm.l))))</f>
        <v/>
      </c>
      <c r="M30" s="211">
        <f>MAX($E$2:E30)</f>
        <v/>
      </c>
      <c r="N30" s="341">
        <f>E30/M30-1</f>
        <v/>
      </c>
    </row>
    <row r="31">
      <c r="A31" s="424" t="n">
        <v>44504</v>
      </c>
      <c r="B31" s="425" t="n">
        <v>157.1318528291188</v>
      </c>
      <c r="C31" s="425" t="n">
        <v>160.2524069665532</v>
      </c>
      <c r="D31" s="425" t="n">
        <v>156.9402336271561</v>
      </c>
      <c r="E31" s="425" t="n">
        <v>160.0790405273438</v>
      </c>
      <c r="F31" s="207" t="n">
        <v>5460100</v>
      </c>
      <c r="G31" s="208" t="n">
        <v>0.00471257901924993</v>
      </c>
      <c r="H31" s="209" cm="1">
        <f t="array" ref="H31">IF(ROW()&lt;3,"",E31/INDEX(E:E,ROW()-1)-1)</f>
        <v/>
      </c>
      <c r="I31" s="211">
        <f>IF(ROW()&lt;51,NA(),AVERAGE(INDEX(E:E,ROW()-49):E31))</f>
        <v/>
      </c>
      <c r="J31" s="211">
        <f>IF(ROW()&lt;201,NA(),AVERAGE(INDEX(E:E,ROW()-199):E31))</f>
        <v/>
      </c>
      <c r="K31" s="341">
        <f>IF(ROW()&lt;22,NA(),_xlfn.STDEV.S(INDEX(H:H,ROW()-19):H31)*SQRT(252))</f>
        <v/>
      </c>
      <c r="L31" s="426" cm="1">
        <f t="array" ref="L31">IF(ROW()&lt;17,NA(),_xlfn.LET(_xlpm.d,INDEX(E:E,ROW()-13):E31-INDEX(E:E,ROW()-14):INDEX(E:E,ROW()-1),_xlpm.g,SUM(IF(_xlpm.d&gt;0,_xlpm.d,0)),_xlpm.l,-SUM(IF(_xlpm.d&lt;0,_xlpm.d,0)),IF(_xlpm.l=0,100,100-100/(1+_xlpm.g/_xlpm.l))))</f>
        <v/>
      </c>
      <c r="M31" s="211">
        <f>MAX($E$2:E31)</f>
        <v/>
      </c>
      <c r="N31" s="341">
        <f>E31/M31-1</f>
        <v/>
      </c>
    </row>
    <row r="32">
      <c r="A32" s="424" t="n">
        <v>44505</v>
      </c>
      <c r="B32" s="425" t="n">
        <v>160.3436257955311</v>
      </c>
      <c r="C32" s="425" t="n">
        <v>163.4185685815678</v>
      </c>
      <c r="D32" s="425" t="n">
        <v>160.1337677760256</v>
      </c>
      <c r="E32" s="425" t="n">
        <v>161.9677734375</v>
      </c>
      <c r="F32" s="207" t="n">
        <v>5892200</v>
      </c>
      <c r="G32" s="208" t="n">
        <v>0.003469707443515047</v>
      </c>
      <c r="H32" s="209" cm="1">
        <f t="array" ref="H32">IF(ROW()&lt;3,"",E32/INDEX(E:E,ROW()-1)-1)</f>
        <v/>
      </c>
      <c r="I32" s="211">
        <f>IF(ROW()&lt;51,NA(),AVERAGE(INDEX(E:E,ROW()-49):E32))</f>
        <v/>
      </c>
      <c r="J32" s="211">
        <f>IF(ROW()&lt;201,NA(),AVERAGE(INDEX(E:E,ROW()-199):E32))</f>
        <v/>
      </c>
      <c r="K32" s="341">
        <f>IF(ROW()&lt;22,NA(),_xlfn.STDEV.S(INDEX(H:H,ROW()-19):H32)*SQRT(252))</f>
        <v/>
      </c>
      <c r="L32" s="426" cm="1">
        <f t="array" ref="L32">IF(ROW()&lt;17,NA(),_xlfn.LET(_xlpm.d,INDEX(E:E,ROW()-13):E32-INDEX(E:E,ROW()-14):INDEX(E:E,ROW()-1),_xlpm.g,SUM(IF(_xlpm.d&gt;0,_xlpm.d,0)),_xlpm.l,-SUM(IF(_xlpm.d&lt;0,_xlpm.d,0)),IF(_xlpm.l=0,100,100-100/(1+_xlpm.g/_xlpm.l))))</f>
        <v/>
      </c>
      <c r="M32" s="211">
        <f>MAX($E$2:E32)</f>
        <v/>
      </c>
      <c r="N32" s="341">
        <f>E32/M32-1</f>
        <v/>
      </c>
    </row>
    <row r="33">
      <c r="A33" s="424" t="n">
        <v>44508</v>
      </c>
      <c r="B33" s="425" t="n">
        <v>160.9093384781397</v>
      </c>
      <c r="C33" s="425" t="n">
        <v>161.0826909636299</v>
      </c>
      <c r="D33" s="425" t="n">
        <v>155.4437995610631</v>
      </c>
      <c r="E33" s="425" t="n">
        <v>156.8033447265625</v>
      </c>
      <c r="F33" s="207" t="n">
        <v>8301100</v>
      </c>
      <c r="G33" s="208" t="n">
        <v>0.0008536507147913763</v>
      </c>
      <c r="H33" s="209" cm="1">
        <f t="array" ref="H33">IF(ROW()&lt;3,"",E33/INDEX(E:E,ROW()-1)-1)</f>
        <v/>
      </c>
      <c r="I33" s="211">
        <f>IF(ROW()&lt;51,NA(),AVERAGE(INDEX(E:E,ROW()-49):E33))</f>
        <v/>
      </c>
      <c r="J33" s="211">
        <f>IF(ROW()&lt;201,NA(),AVERAGE(INDEX(E:E,ROW()-199):E33))</f>
        <v/>
      </c>
      <c r="K33" s="341">
        <f>IF(ROW()&lt;22,NA(),_xlfn.STDEV.S(INDEX(H:H,ROW()-19):H33)*SQRT(252))</f>
        <v/>
      </c>
      <c r="L33" s="426" cm="1">
        <f t="array" ref="L33">IF(ROW()&lt;17,NA(),_xlfn.LET(_xlpm.d,INDEX(E:E,ROW()-13):E33-INDEX(E:E,ROW()-14):INDEX(E:E,ROW()-1),_xlpm.g,SUM(IF(_xlpm.d&gt;0,_xlpm.d,0)),_xlpm.l,-SUM(IF(_xlpm.d&lt;0,_xlpm.d,0)),IF(_xlpm.l=0,100,100-100/(1+_xlpm.g/_xlpm.l))))</f>
        <v/>
      </c>
      <c r="M33" s="211">
        <f>MAX($E$2:E33)</f>
        <v/>
      </c>
      <c r="N33" s="341">
        <f>E33/M33-1</f>
        <v/>
      </c>
    </row>
    <row r="34">
      <c r="A34" s="424" t="n">
        <v>44509</v>
      </c>
      <c r="B34" s="425" t="n">
        <v>156.2559052968415</v>
      </c>
      <c r="C34" s="425" t="n">
        <v>158.7012465041005</v>
      </c>
      <c r="D34" s="425" t="n">
        <v>155.9821695395029</v>
      </c>
      <c r="E34" s="425" t="n">
        <v>158.6008911132812</v>
      </c>
      <c r="F34" s="207" t="n">
        <v>4343000</v>
      </c>
      <c r="G34" s="208" t="n">
        <v>-0.003305301277971462</v>
      </c>
      <c r="H34" s="209" cm="1">
        <f t="array" ref="H34">IF(ROW()&lt;3,"",E34/INDEX(E:E,ROW()-1)-1)</f>
        <v/>
      </c>
      <c r="I34" s="211">
        <f>IF(ROW()&lt;51,NA(),AVERAGE(INDEX(E:E,ROW()-49):E34))</f>
        <v/>
      </c>
      <c r="J34" s="211">
        <f>IF(ROW()&lt;201,NA(),AVERAGE(INDEX(E:E,ROW()-199):E34))</f>
        <v/>
      </c>
      <c r="K34" s="341">
        <f>IF(ROW()&lt;22,NA(),_xlfn.STDEV.S(INDEX(H:H,ROW()-19):H34)*SQRT(252))</f>
        <v/>
      </c>
      <c r="L34" s="426" cm="1">
        <f t="array" ref="L34">IF(ROW()&lt;17,NA(),_xlfn.LET(_xlpm.d,INDEX(E:E,ROW()-13):E34-INDEX(E:E,ROW()-14):INDEX(E:E,ROW()-1),_xlpm.g,SUM(IF(_xlpm.d&gt;0,_xlpm.d,0)),_xlpm.l,-SUM(IF(_xlpm.d&lt;0,_xlpm.d,0)),IF(_xlpm.l=0,100,100-100/(1+_xlpm.g/_xlpm.l))))</f>
        <v/>
      </c>
      <c r="M34" s="211">
        <f>MAX($E$2:E34)</f>
        <v/>
      </c>
      <c r="N34" s="341">
        <f>E34/M34-1</f>
        <v/>
      </c>
    </row>
    <row r="35">
      <c r="A35" s="424" t="n">
        <v>44510</v>
      </c>
      <c r="B35" s="425" t="n">
        <v>156.237621185201</v>
      </c>
      <c r="C35" s="425" t="n">
        <v>157.0953198888047</v>
      </c>
      <c r="D35" s="425" t="n">
        <v>152.8798374090576</v>
      </c>
      <c r="E35" s="425" t="n">
        <v>153.5276641845703</v>
      </c>
      <c r="F35" s="207" t="n">
        <v>8185200</v>
      </c>
      <c r="G35" s="208" t="n">
        <v>-0.008044954230788104</v>
      </c>
      <c r="H35" s="209" cm="1">
        <f t="array" ref="H35">IF(ROW()&lt;3,"",E35/INDEX(E:E,ROW()-1)-1)</f>
        <v/>
      </c>
      <c r="I35" s="211">
        <f>IF(ROW()&lt;51,NA(),AVERAGE(INDEX(E:E,ROW()-49):E35))</f>
        <v/>
      </c>
      <c r="J35" s="211">
        <f>IF(ROW()&lt;201,NA(),AVERAGE(INDEX(E:E,ROW()-199):E35))</f>
        <v/>
      </c>
      <c r="K35" s="341">
        <f>IF(ROW()&lt;22,NA(),_xlfn.STDEV.S(INDEX(H:H,ROW()-19):H35)*SQRT(252))</f>
        <v/>
      </c>
      <c r="L35" s="426" cm="1">
        <f t="array" ref="L35">IF(ROW()&lt;17,NA(),_xlfn.LET(_xlpm.d,INDEX(E:E,ROW()-13):E35-INDEX(E:E,ROW()-14):INDEX(E:E,ROW()-1),_xlpm.g,SUM(IF(_xlpm.d&gt;0,_xlpm.d,0)),_xlpm.l,-SUM(IF(_xlpm.d&lt;0,_xlpm.d,0)),IF(_xlpm.l=0,100,100-100/(1+_xlpm.g/_xlpm.l))))</f>
        <v/>
      </c>
      <c r="M35" s="211">
        <f>MAX($E$2:E35)</f>
        <v/>
      </c>
      <c r="N35" s="341">
        <f>E35/M35-1</f>
        <v/>
      </c>
    </row>
    <row r="36">
      <c r="A36" s="424" t="n">
        <v>44511</v>
      </c>
      <c r="B36" s="425" t="n">
        <v>154.7503461205689</v>
      </c>
      <c r="C36" s="425" t="n">
        <v>154.7503461205689</v>
      </c>
      <c r="D36" s="425" t="n">
        <v>152.0403891610049</v>
      </c>
      <c r="E36" s="425" t="n">
        <v>152.3506164550781</v>
      </c>
      <c r="F36" s="207" t="n">
        <v>4994900</v>
      </c>
      <c r="G36" s="208" t="n">
        <v>0.0003237380199339057</v>
      </c>
      <c r="H36" s="209" cm="1">
        <f t="array" ref="H36">IF(ROW()&lt;3,"",E36/INDEX(E:E,ROW()-1)-1)</f>
        <v/>
      </c>
      <c r="I36" s="211">
        <f>IF(ROW()&lt;51,NA(),AVERAGE(INDEX(E:E,ROW()-49):E36))</f>
        <v/>
      </c>
      <c r="J36" s="211">
        <f>IF(ROW()&lt;201,NA(),AVERAGE(INDEX(E:E,ROW()-199):E36))</f>
        <v/>
      </c>
      <c r="K36" s="341">
        <f>IF(ROW()&lt;22,NA(),_xlfn.STDEV.S(INDEX(H:H,ROW()-19):H36)*SQRT(252))</f>
        <v/>
      </c>
      <c r="L36" s="426" cm="1">
        <f t="array" ref="L36">IF(ROW()&lt;17,NA(),_xlfn.LET(_xlpm.d,INDEX(E:E,ROW()-13):E36-INDEX(E:E,ROW()-14):INDEX(E:E,ROW()-1),_xlpm.g,SUM(IF(_xlpm.d&gt;0,_xlpm.d,0)),_xlpm.l,-SUM(IF(_xlpm.d&lt;0,_xlpm.d,0)),IF(_xlpm.l=0,100,100-100/(1+_xlpm.g/_xlpm.l))))</f>
        <v/>
      </c>
      <c r="M36" s="211">
        <f>MAX($E$2:E36)</f>
        <v/>
      </c>
      <c r="N36" s="341">
        <f>E36/M36-1</f>
        <v/>
      </c>
    </row>
    <row r="37">
      <c r="A37" s="424" t="n">
        <v>44512</v>
      </c>
      <c r="B37" s="425" t="n">
        <v>152.8342224442543</v>
      </c>
      <c r="C37" s="425" t="n">
        <v>154.8233417608943</v>
      </c>
      <c r="D37" s="425" t="n">
        <v>152.7429725632365</v>
      </c>
      <c r="E37" s="425" t="n">
        <v>154.2850036621094</v>
      </c>
      <c r="F37" s="207" t="n">
        <v>5126300</v>
      </c>
      <c r="G37" s="208" t="n">
        <v>0.007546634847420908</v>
      </c>
      <c r="H37" s="209" cm="1">
        <f t="array" ref="H37">IF(ROW()&lt;3,"",E37/INDEX(E:E,ROW()-1)-1)</f>
        <v/>
      </c>
      <c r="I37" s="211">
        <f>IF(ROW()&lt;51,NA(),AVERAGE(INDEX(E:E,ROW()-49):E37))</f>
        <v/>
      </c>
      <c r="J37" s="211">
        <f>IF(ROW()&lt;201,NA(),AVERAGE(INDEX(E:E,ROW()-199):E37))</f>
        <v/>
      </c>
      <c r="K37" s="341">
        <f>IF(ROW()&lt;22,NA(),_xlfn.STDEV.S(INDEX(H:H,ROW()-19):H37)*SQRT(252))</f>
        <v/>
      </c>
      <c r="L37" s="426" cm="1">
        <f t="array" ref="L37">IF(ROW()&lt;17,NA(),_xlfn.LET(_xlpm.d,INDEX(E:E,ROW()-13):E37-INDEX(E:E,ROW()-14):INDEX(E:E,ROW()-1),_xlpm.g,SUM(IF(_xlpm.d&gt;0,_xlpm.d,0)),_xlpm.l,-SUM(IF(_xlpm.d&lt;0,_xlpm.d,0)),IF(_xlpm.l=0,100,100-100/(1+_xlpm.g/_xlpm.l))))</f>
        <v/>
      </c>
      <c r="M37" s="211">
        <f>MAX($E$2:E37)</f>
        <v/>
      </c>
      <c r="N37" s="341">
        <f>E37/M37-1</f>
        <v/>
      </c>
    </row>
    <row r="38">
      <c r="A38" s="424" t="n">
        <v>44515</v>
      </c>
      <c r="B38" s="425" t="n">
        <v>154.8416084061504</v>
      </c>
      <c r="C38" s="425" t="n">
        <v>155.4438242602033</v>
      </c>
      <c r="D38" s="425" t="n">
        <v>153.764932112036</v>
      </c>
      <c r="E38" s="425" t="n">
        <v>154.0660400390625</v>
      </c>
      <c r="F38" s="207" t="n">
        <v>3856700</v>
      </c>
      <c r="G38" s="208" t="n">
        <v>0.0003425765935554104</v>
      </c>
      <c r="H38" s="209" cm="1">
        <f t="array" ref="H38">IF(ROW()&lt;3,"",E38/INDEX(E:E,ROW()-1)-1)</f>
        <v/>
      </c>
      <c r="I38" s="211">
        <f>IF(ROW()&lt;51,NA(),AVERAGE(INDEX(E:E,ROW()-49):E38))</f>
        <v/>
      </c>
      <c r="J38" s="211">
        <f>IF(ROW()&lt;201,NA(),AVERAGE(INDEX(E:E,ROW()-199):E38))</f>
        <v/>
      </c>
      <c r="K38" s="341">
        <f>IF(ROW()&lt;22,NA(),_xlfn.STDEV.S(INDEX(H:H,ROW()-19):H38)*SQRT(252))</f>
        <v/>
      </c>
      <c r="L38" s="426" cm="1">
        <f t="array" ref="L38">IF(ROW()&lt;17,NA(),_xlfn.LET(_xlpm.d,INDEX(E:E,ROW()-13):E38-INDEX(E:E,ROW()-14):INDEX(E:E,ROW()-1),_xlpm.g,SUM(IF(_xlpm.d&gt;0,_xlpm.d,0)),_xlpm.l,-SUM(IF(_xlpm.d&lt;0,_xlpm.d,0)),IF(_xlpm.l=0,100,100-100/(1+_xlpm.g/_xlpm.l))))</f>
        <v/>
      </c>
      <c r="M38" s="211">
        <f>MAX($E$2:E38)</f>
        <v/>
      </c>
      <c r="N38" s="341">
        <f>E38/M38-1</f>
        <v/>
      </c>
    </row>
    <row r="39">
      <c r="A39" s="424" t="n">
        <v>44516</v>
      </c>
      <c r="B39" s="425" t="n">
        <v>154.4309904111082</v>
      </c>
      <c r="C39" s="425" t="n">
        <v>158.7650950164421</v>
      </c>
      <c r="D39" s="425" t="n">
        <v>154.4309904111082</v>
      </c>
      <c r="E39" s="425" t="n">
        <v>156.7850952148438</v>
      </c>
      <c r="F39" s="207" t="n">
        <v>4401000</v>
      </c>
      <c r="G39" s="208" t="n">
        <v>0.003957896635515601</v>
      </c>
      <c r="H39" s="209" cm="1">
        <f t="array" ref="H39">IF(ROW()&lt;3,"",E39/INDEX(E:E,ROW()-1)-1)</f>
        <v/>
      </c>
      <c r="I39" s="211">
        <f>IF(ROW()&lt;51,NA(),AVERAGE(INDEX(E:E,ROW()-49):E39))</f>
        <v/>
      </c>
      <c r="J39" s="211">
        <f>IF(ROW()&lt;201,NA(),AVERAGE(INDEX(E:E,ROW()-199):E39))</f>
        <v/>
      </c>
      <c r="K39" s="341">
        <f>IF(ROW()&lt;22,NA(),_xlfn.STDEV.S(INDEX(H:H,ROW()-19):H39)*SQRT(252))</f>
        <v/>
      </c>
      <c r="L39" s="426" cm="1">
        <f t="array" ref="L39">IF(ROW()&lt;17,NA(),_xlfn.LET(_xlpm.d,INDEX(E:E,ROW()-13):E39-INDEX(E:E,ROW()-14):INDEX(E:E,ROW()-1),_xlpm.g,SUM(IF(_xlpm.d&gt;0,_xlpm.d,0)),_xlpm.l,-SUM(IF(_xlpm.d&lt;0,_xlpm.d,0)),IF(_xlpm.l=0,100,100-100/(1+_xlpm.g/_xlpm.l))))</f>
        <v/>
      </c>
      <c r="M39" s="211">
        <f>MAX($E$2:E39)</f>
        <v/>
      </c>
      <c r="N39" s="341">
        <f>E39/M39-1</f>
        <v/>
      </c>
    </row>
    <row r="40">
      <c r="A40" s="424" t="n">
        <v>44517</v>
      </c>
      <c r="B40" s="425" t="n">
        <v>156.5752614363573</v>
      </c>
      <c r="C40" s="425" t="n">
        <v>157.6154461456971</v>
      </c>
      <c r="D40" s="425" t="n">
        <v>155.3434575256329</v>
      </c>
      <c r="E40" s="425" t="n">
        <v>156.7030029296875</v>
      </c>
      <c r="F40" s="207" t="n">
        <v>3940200</v>
      </c>
      <c r="G40" s="208" t="n">
        <v>-0.002429273204481719</v>
      </c>
      <c r="H40" s="209" cm="1">
        <f t="array" ref="H40">IF(ROW()&lt;3,"",E40/INDEX(E:E,ROW()-1)-1)</f>
        <v/>
      </c>
      <c r="I40" s="211">
        <f>IF(ROW()&lt;51,NA(),AVERAGE(INDEX(E:E,ROW()-49):E40))</f>
        <v/>
      </c>
      <c r="J40" s="211">
        <f>IF(ROW()&lt;201,NA(),AVERAGE(INDEX(E:E,ROW()-199):E40))</f>
        <v/>
      </c>
      <c r="K40" s="341">
        <f>IF(ROW()&lt;22,NA(),_xlfn.STDEV.S(INDEX(H:H,ROW()-19):H40)*SQRT(252))</f>
        <v/>
      </c>
      <c r="L40" s="426" cm="1">
        <f t="array" ref="L40">IF(ROW()&lt;17,NA(),_xlfn.LET(_xlpm.d,INDEX(E:E,ROW()-13):E40-INDEX(E:E,ROW()-14):INDEX(E:E,ROW()-1),_xlpm.g,SUM(IF(_xlpm.d&gt;0,_xlpm.d,0)),_xlpm.l,-SUM(IF(_xlpm.d&lt;0,_xlpm.d,0)),IF(_xlpm.l=0,100,100-100/(1+_xlpm.g/_xlpm.l))))</f>
        <v/>
      </c>
      <c r="M40" s="211">
        <f>MAX($E$2:E40)</f>
        <v/>
      </c>
      <c r="N40" s="341">
        <f>E40/M40-1</f>
        <v/>
      </c>
    </row>
    <row r="41">
      <c r="A41" s="424" t="n">
        <v>44518</v>
      </c>
      <c r="B41" s="425" t="n">
        <v>157.2413431751547</v>
      </c>
      <c r="C41" s="425" t="n">
        <v>158.2724084782359</v>
      </c>
      <c r="D41" s="425" t="n">
        <v>155.4438289019074</v>
      </c>
      <c r="E41" s="425" t="n">
        <v>156.3471527099609</v>
      </c>
      <c r="F41" s="207" t="n">
        <v>4044200</v>
      </c>
      <c r="G41" s="208" t="n">
        <v>0.003396258818229025</v>
      </c>
      <c r="H41" s="209" cm="1">
        <f t="array" ref="H41">IF(ROW()&lt;3,"",E41/INDEX(E:E,ROW()-1)-1)</f>
        <v/>
      </c>
      <c r="I41" s="211">
        <f>IF(ROW()&lt;51,NA(),AVERAGE(INDEX(E:E,ROW()-49):E41))</f>
        <v/>
      </c>
      <c r="J41" s="211">
        <f>IF(ROW()&lt;201,NA(),AVERAGE(INDEX(E:E,ROW()-199):E41))</f>
        <v/>
      </c>
      <c r="K41" s="341">
        <f>IF(ROW()&lt;22,NA(),_xlfn.STDEV.S(INDEX(H:H,ROW()-19):H41)*SQRT(252))</f>
        <v/>
      </c>
      <c r="L41" s="426" cm="1">
        <f t="array" ref="L41">IF(ROW()&lt;17,NA(),_xlfn.LET(_xlpm.d,INDEX(E:E,ROW()-13):E41-INDEX(E:E,ROW()-14):INDEX(E:E,ROW()-1),_xlpm.g,SUM(IF(_xlpm.d&gt;0,_xlpm.d,0)),_xlpm.l,-SUM(IF(_xlpm.d&lt;0,_xlpm.d,0)),IF(_xlpm.l=0,100,100-100/(1+_xlpm.g/_xlpm.l))))</f>
        <v/>
      </c>
      <c r="M41" s="211">
        <f>MAX($E$2:E41)</f>
        <v/>
      </c>
      <c r="N41" s="341">
        <f>E41/M41-1</f>
        <v/>
      </c>
    </row>
    <row r="42">
      <c r="A42" s="424" t="n">
        <v>44519</v>
      </c>
      <c r="B42" s="425" t="n">
        <v>157.0771195670895</v>
      </c>
      <c r="C42" s="425" t="n">
        <v>161.684961340538</v>
      </c>
      <c r="D42" s="425" t="n">
        <v>155.5989657724772</v>
      </c>
      <c r="E42" s="425" t="n">
        <v>159.5680999755859</v>
      </c>
      <c r="F42" s="207" t="n">
        <v>6145600</v>
      </c>
      <c r="G42" s="208" t="n">
        <v>-0.00178823973971054</v>
      </c>
      <c r="H42" s="209" cm="1">
        <f t="array" ref="H42">IF(ROW()&lt;3,"",E42/INDEX(E:E,ROW()-1)-1)</f>
        <v/>
      </c>
      <c r="I42" s="211">
        <f>IF(ROW()&lt;51,NA(),AVERAGE(INDEX(E:E,ROW()-49):E42))</f>
        <v/>
      </c>
      <c r="J42" s="211">
        <f>IF(ROW()&lt;201,NA(),AVERAGE(INDEX(E:E,ROW()-199):E42))</f>
        <v/>
      </c>
      <c r="K42" s="341">
        <f>IF(ROW()&lt;22,NA(),_xlfn.STDEV.S(INDEX(H:H,ROW()-19):H42)*SQRT(252))</f>
        <v/>
      </c>
      <c r="L42" s="426" cm="1">
        <f t="array" ref="L42">IF(ROW()&lt;17,NA(),_xlfn.LET(_xlpm.d,INDEX(E:E,ROW()-13):E42-INDEX(E:E,ROW()-14):INDEX(E:E,ROW()-1),_xlpm.g,SUM(IF(_xlpm.d&gt;0,_xlpm.d,0)),_xlpm.l,-SUM(IF(_xlpm.d&lt;0,_xlpm.d,0)),IF(_xlpm.l=0,100,100-100/(1+_xlpm.g/_xlpm.l))))</f>
        <v/>
      </c>
      <c r="M42" s="211">
        <f>MAX($E$2:E42)</f>
        <v/>
      </c>
      <c r="N42" s="341">
        <f>E42/M42-1</f>
        <v/>
      </c>
    </row>
    <row r="43">
      <c r="A43" s="424" t="n">
        <v>44522</v>
      </c>
      <c r="B43" s="425" t="n">
        <v>159.6593146895219</v>
      </c>
      <c r="C43" s="425" t="n">
        <v>162.1867863698664</v>
      </c>
      <c r="D43" s="425" t="n">
        <v>158.9749822575815</v>
      </c>
      <c r="E43" s="425" t="n">
        <v>158.9841156005859</v>
      </c>
      <c r="F43" s="207" t="n">
        <v>5906400</v>
      </c>
      <c r="G43" s="208" t="n">
        <v>-0.002815204665991611</v>
      </c>
      <c r="H43" s="209" cm="1">
        <f t="array" ref="H43">IF(ROW()&lt;3,"",E43/INDEX(E:E,ROW()-1)-1)</f>
        <v/>
      </c>
      <c r="I43" s="211">
        <f>IF(ROW()&lt;51,NA(),AVERAGE(INDEX(E:E,ROW()-49):E43))</f>
        <v/>
      </c>
      <c r="J43" s="211">
        <f>IF(ROW()&lt;201,NA(),AVERAGE(INDEX(E:E,ROW()-199):E43))</f>
        <v/>
      </c>
      <c r="K43" s="341">
        <f>IF(ROW()&lt;22,NA(),_xlfn.STDEV.S(INDEX(H:H,ROW()-19):H43)*SQRT(252))</f>
        <v/>
      </c>
      <c r="L43" s="426" cm="1">
        <f t="array" ref="L43">IF(ROW()&lt;17,NA(),_xlfn.LET(_xlpm.d,INDEX(E:E,ROW()-13):E43-INDEX(E:E,ROW()-14):INDEX(E:E,ROW()-1),_xlpm.g,SUM(IF(_xlpm.d&gt;0,_xlpm.d,0)),_xlpm.l,-SUM(IF(_xlpm.d&lt;0,_xlpm.d,0)),IF(_xlpm.l=0,100,100-100/(1+_xlpm.g/_xlpm.l))))</f>
        <v/>
      </c>
      <c r="M43" s="211">
        <f>MAX($E$2:E43)</f>
        <v/>
      </c>
      <c r="N43" s="341">
        <f>E43/M43-1</f>
        <v/>
      </c>
    </row>
    <row r="44">
      <c r="A44" s="424" t="n">
        <v>44523</v>
      </c>
      <c r="B44" s="425" t="n">
        <v>157.8982946155767</v>
      </c>
      <c r="C44" s="425" t="n">
        <v>158.24501355546</v>
      </c>
      <c r="D44" s="425" t="n">
        <v>155.4894451844272</v>
      </c>
      <c r="E44" s="425" t="n">
        <v>157.0770874023438</v>
      </c>
      <c r="F44" s="207" t="n">
        <v>5302100</v>
      </c>
      <c r="G44" s="208" t="n">
        <v>0.001326091689648701</v>
      </c>
      <c r="H44" s="209" cm="1">
        <f t="array" ref="H44">IF(ROW()&lt;3,"",E44/INDEX(E:E,ROW()-1)-1)</f>
        <v/>
      </c>
      <c r="I44" s="211">
        <f>IF(ROW()&lt;51,NA(),AVERAGE(INDEX(E:E,ROW()-49):E44))</f>
        <v/>
      </c>
      <c r="J44" s="211">
        <f>IF(ROW()&lt;201,NA(),AVERAGE(INDEX(E:E,ROW()-199):E44))</f>
        <v/>
      </c>
      <c r="K44" s="341">
        <f>IF(ROW()&lt;22,NA(),_xlfn.STDEV.S(INDEX(H:H,ROW()-19):H44)*SQRT(252))</f>
        <v/>
      </c>
      <c r="L44" s="426" cm="1">
        <f t="array" ref="L44">IF(ROW()&lt;17,NA(),_xlfn.LET(_xlpm.d,INDEX(E:E,ROW()-13):E44-INDEX(E:E,ROW()-14):INDEX(E:E,ROW()-1),_xlpm.g,SUM(IF(_xlpm.d&gt;0,_xlpm.d,0)),_xlpm.l,-SUM(IF(_xlpm.d&lt;0,_xlpm.d,0)),IF(_xlpm.l=0,100,100-100/(1+_xlpm.g/_xlpm.l))))</f>
        <v/>
      </c>
      <c r="M44" s="211">
        <f>MAX($E$2:E44)</f>
        <v/>
      </c>
      <c r="N44" s="341">
        <f>E44/M44-1</f>
        <v/>
      </c>
    </row>
    <row r="45">
      <c r="A45" s="424" t="n">
        <v>44524</v>
      </c>
      <c r="B45" s="425" t="n">
        <v>153.7375926165261</v>
      </c>
      <c r="C45" s="425" t="n">
        <v>157.3326078972403</v>
      </c>
      <c r="D45" s="425" t="n">
        <v>152.9893823497847</v>
      </c>
      <c r="E45" s="425" t="n">
        <v>156.9676361083984</v>
      </c>
      <c r="F45" s="207" t="n">
        <v>4637600</v>
      </c>
      <c r="G45" s="208" t="n">
        <v>0.002669926712389969</v>
      </c>
      <c r="H45" s="209" cm="1">
        <f t="array" ref="H45">IF(ROW()&lt;3,"",E45/INDEX(E:E,ROW()-1)-1)</f>
        <v/>
      </c>
      <c r="I45" s="211">
        <f>IF(ROW()&lt;51,NA(),AVERAGE(INDEX(E:E,ROW()-49):E45))</f>
        <v/>
      </c>
      <c r="J45" s="211">
        <f>IF(ROW()&lt;201,NA(),AVERAGE(INDEX(E:E,ROW()-199):E45))</f>
        <v/>
      </c>
      <c r="K45" s="341">
        <f>IF(ROW()&lt;22,NA(),_xlfn.STDEV.S(INDEX(H:H,ROW()-19):H45)*SQRT(252))</f>
        <v/>
      </c>
      <c r="L45" s="426" cm="1">
        <f t="array" ref="L45">IF(ROW()&lt;17,NA(),_xlfn.LET(_xlpm.d,INDEX(E:E,ROW()-13):E45-INDEX(E:E,ROW()-14):INDEX(E:E,ROW()-1),_xlpm.g,SUM(IF(_xlpm.d&gt;0,_xlpm.d,0)),_xlpm.l,-SUM(IF(_xlpm.d&lt;0,_xlpm.d,0)),IF(_xlpm.l=0,100,100-100/(1+_xlpm.g/_xlpm.l))))</f>
        <v/>
      </c>
      <c r="M45" s="211">
        <f>MAX($E$2:E45)</f>
        <v/>
      </c>
      <c r="N45" s="341">
        <f>E45/M45-1</f>
        <v/>
      </c>
    </row>
    <row r="46">
      <c r="A46" s="424" t="n">
        <v>44526</v>
      </c>
      <c r="B46" s="425" t="n">
        <v>153.345176898747</v>
      </c>
      <c r="C46" s="425" t="n">
        <v>154.8233301858409</v>
      </c>
      <c r="D46" s="425" t="n">
        <v>152.8707026139261</v>
      </c>
      <c r="E46" s="425" t="n">
        <v>153.3086853027344</v>
      </c>
      <c r="F46" s="207" t="n">
        <v>4751100</v>
      </c>
      <c r="G46" s="208" t="n">
        <v>-0.02230334416364765</v>
      </c>
      <c r="H46" s="209" cm="1">
        <f t="array" ref="H46">IF(ROW()&lt;3,"",E46/INDEX(E:E,ROW()-1)-1)</f>
        <v/>
      </c>
      <c r="I46" s="211">
        <f>IF(ROW()&lt;51,NA(),AVERAGE(INDEX(E:E,ROW()-49):E46))</f>
        <v/>
      </c>
      <c r="J46" s="211">
        <f>IF(ROW()&lt;201,NA(),AVERAGE(INDEX(E:E,ROW()-199):E46))</f>
        <v/>
      </c>
      <c r="K46" s="341">
        <f>IF(ROW()&lt;22,NA(),_xlfn.STDEV.S(INDEX(H:H,ROW()-19):H46)*SQRT(252))</f>
        <v/>
      </c>
      <c r="L46" s="426" cm="1">
        <f t="array" ref="L46">IF(ROW()&lt;17,NA(),_xlfn.LET(_xlpm.d,INDEX(E:E,ROW()-13):E46-INDEX(E:E,ROW()-14):INDEX(E:E,ROW()-1),_xlpm.g,SUM(IF(_xlpm.d&gt;0,_xlpm.d,0)),_xlpm.l,-SUM(IF(_xlpm.d&lt;0,_xlpm.d,0)),IF(_xlpm.l=0,100,100-100/(1+_xlpm.g/_xlpm.l))))</f>
        <v/>
      </c>
      <c r="M46" s="211">
        <f>MAX($E$2:E46)</f>
        <v/>
      </c>
      <c r="N46" s="341">
        <f>E46/M46-1</f>
        <v/>
      </c>
    </row>
    <row r="47">
      <c r="A47" s="424" t="n">
        <v>44529</v>
      </c>
      <c r="B47" s="425" t="n">
        <v>154.9602430141753</v>
      </c>
      <c r="C47" s="425" t="n">
        <v>156.1646608969428</v>
      </c>
      <c r="D47" s="425" t="n">
        <v>154.4127714802395</v>
      </c>
      <c r="E47" s="425" t="n">
        <v>154.9967346191406</v>
      </c>
      <c r="F47" s="207" t="n">
        <v>5448700</v>
      </c>
      <c r="G47" s="208" t="n">
        <v>0.01226665582294162</v>
      </c>
      <c r="H47" s="209" cm="1">
        <f t="array" ref="H47">IF(ROW()&lt;3,"",E47/INDEX(E:E,ROW()-1)-1)</f>
        <v/>
      </c>
      <c r="I47" s="211">
        <f>IF(ROW()&lt;51,NA(),AVERAGE(INDEX(E:E,ROW()-49):E47))</f>
        <v/>
      </c>
      <c r="J47" s="211">
        <f>IF(ROW()&lt;201,NA(),AVERAGE(INDEX(E:E,ROW()-199):E47))</f>
        <v/>
      </c>
      <c r="K47" s="341">
        <f>IF(ROW()&lt;22,NA(),_xlfn.STDEV.S(INDEX(H:H,ROW()-19):H47)*SQRT(252))</f>
        <v/>
      </c>
      <c r="L47" s="426" cm="1">
        <f t="array" ref="L47">IF(ROW()&lt;17,NA(),_xlfn.LET(_xlpm.d,INDEX(E:E,ROW()-13):E47-INDEX(E:E,ROW()-14):INDEX(E:E,ROW()-1),_xlpm.g,SUM(IF(_xlpm.d&gt;0,_xlpm.d,0)),_xlpm.l,-SUM(IF(_xlpm.d&lt;0,_xlpm.d,0)),IF(_xlpm.l=0,100,100-100/(1+_xlpm.g/_xlpm.l))))</f>
        <v/>
      </c>
      <c r="M47" s="211">
        <f>MAX($E$2:E47)</f>
        <v/>
      </c>
      <c r="N47" s="341">
        <f>E47/M47-1</f>
        <v/>
      </c>
    </row>
    <row r="48">
      <c r="A48" s="424" t="n">
        <v>44530</v>
      </c>
      <c r="B48" s="425" t="n">
        <v>154.0112949038912</v>
      </c>
      <c r="C48" s="425" t="n">
        <v>156.5296472639787</v>
      </c>
      <c r="D48" s="425" t="n">
        <v>152.8616213847943</v>
      </c>
      <c r="E48" s="425" t="n">
        <v>154.4219055175781</v>
      </c>
      <c r="F48" s="207" t="n">
        <v>11033700</v>
      </c>
      <c r="G48" s="208" t="n">
        <v>-0.01945761011123204</v>
      </c>
      <c r="H48" s="209" cm="1">
        <f t="array" ref="H48">IF(ROW()&lt;3,"",E48/INDEX(E:E,ROW()-1)-1)</f>
        <v/>
      </c>
      <c r="I48" s="211">
        <f>IF(ROW()&lt;51,NA(),AVERAGE(INDEX(E:E,ROW()-49):E48))</f>
        <v/>
      </c>
      <c r="J48" s="211">
        <f>IF(ROW()&lt;201,NA(),AVERAGE(INDEX(E:E,ROW()-199):E48))</f>
        <v/>
      </c>
      <c r="K48" s="341">
        <f>IF(ROW()&lt;22,NA(),_xlfn.STDEV.S(INDEX(H:H,ROW()-19):H48)*SQRT(252))</f>
        <v/>
      </c>
      <c r="L48" s="426" cm="1">
        <f t="array" ref="L48">IF(ROW()&lt;17,NA(),_xlfn.LET(_xlpm.d,INDEX(E:E,ROW()-13):E48-INDEX(E:E,ROW()-14):INDEX(E:E,ROW()-1),_xlpm.g,SUM(IF(_xlpm.d&gt;0,_xlpm.d,0)),_xlpm.l,-SUM(IF(_xlpm.d&lt;0,_xlpm.d,0)),IF(_xlpm.l=0,100,100-100/(1+_xlpm.g/_xlpm.l))))</f>
        <v/>
      </c>
      <c r="M48" s="211">
        <f>MAX($E$2:E48)</f>
        <v/>
      </c>
      <c r="N48" s="341">
        <f>E48/M48-1</f>
        <v/>
      </c>
    </row>
    <row r="49">
      <c r="A49" s="424" t="n">
        <v>44531</v>
      </c>
      <c r="B49" s="425" t="n">
        <v>155.9273865131735</v>
      </c>
      <c r="C49" s="425" t="n">
        <v>158.1902412954319</v>
      </c>
      <c r="D49" s="425" t="n">
        <v>152.0859952881702</v>
      </c>
      <c r="E49" s="425" t="n">
        <v>152.104248046875</v>
      </c>
      <c r="F49" s="207" t="n">
        <v>6618200</v>
      </c>
      <c r="G49" s="208" t="n">
        <v>-0.01110714956412395</v>
      </c>
      <c r="H49" s="209" cm="1">
        <f t="array" ref="H49">IF(ROW()&lt;3,"",E49/INDEX(E:E,ROW()-1)-1)</f>
        <v/>
      </c>
      <c r="I49" s="211">
        <f>IF(ROW()&lt;51,NA(),AVERAGE(INDEX(E:E,ROW()-49):E49))</f>
        <v/>
      </c>
      <c r="J49" s="211">
        <f>IF(ROW()&lt;201,NA(),AVERAGE(INDEX(E:E,ROW()-199):E49))</f>
        <v/>
      </c>
      <c r="K49" s="341">
        <f>IF(ROW()&lt;22,NA(),_xlfn.STDEV.S(INDEX(H:H,ROW()-19):H49)*SQRT(252))</f>
        <v/>
      </c>
      <c r="L49" s="426" cm="1">
        <f t="array" ref="L49">IF(ROW()&lt;17,NA(),_xlfn.LET(_xlpm.d,INDEX(E:E,ROW()-13):E49-INDEX(E:E,ROW()-14):INDEX(E:E,ROW()-1),_xlpm.g,SUM(IF(_xlpm.d&gt;0,_xlpm.d,0)),_xlpm.l,-SUM(IF(_xlpm.d&lt;0,_xlpm.d,0)),IF(_xlpm.l=0,100,100-100/(1+_xlpm.g/_xlpm.l))))</f>
        <v/>
      </c>
      <c r="M49" s="211">
        <f>MAX($E$2:E49)</f>
        <v/>
      </c>
      <c r="N49" s="341">
        <f>E49/M49-1</f>
        <v/>
      </c>
    </row>
    <row r="50">
      <c r="A50" s="424" t="n">
        <v>44532</v>
      </c>
      <c r="B50" s="425" t="n">
        <v>152.6334795990685</v>
      </c>
      <c r="C50" s="425" t="n">
        <v>155.6171724138206</v>
      </c>
      <c r="D50" s="425" t="n">
        <v>152.3779966466567</v>
      </c>
      <c r="E50" s="425" t="n">
        <v>155.1153259277344</v>
      </c>
      <c r="F50" s="207" t="n">
        <v>4398900</v>
      </c>
      <c r="G50" s="208" t="n">
        <v>0.01531630515712412</v>
      </c>
      <c r="H50" s="209" cm="1">
        <f t="array" ref="H50">IF(ROW()&lt;3,"",E50/INDEX(E:E,ROW()-1)-1)</f>
        <v/>
      </c>
      <c r="I50" s="211">
        <f>IF(ROW()&lt;51,NA(),AVERAGE(INDEX(E:E,ROW()-49):E50))</f>
        <v/>
      </c>
      <c r="J50" s="211">
        <f>IF(ROW()&lt;201,NA(),AVERAGE(INDEX(E:E,ROW()-199):E50))</f>
        <v/>
      </c>
      <c r="K50" s="341">
        <f>IF(ROW()&lt;22,NA(),_xlfn.STDEV.S(INDEX(H:H,ROW()-19):H50)*SQRT(252))</f>
        <v/>
      </c>
      <c r="L50" s="426" cm="1">
        <f t="array" ref="L50">IF(ROW()&lt;17,NA(),_xlfn.LET(_xlpm.d,INDEX(E:E,ROW()-13):E50-INDEX(E:E,ROW()-14):INDEX(E:E,ROW()-1),_xlpm.g,SUM(IF(_xlpm.d&gt;0,_xlpm.d,0)),_xlpm.l,-SUM(IF(_xlpm.d&lt;0,_xlpm.d,0)),IF(_xlpm.l=0,100,100-100/(1+_xlpm.g/_xlpm.l))))</f>
        <v/>
      </c>
      <c r="M50" s="211">
        <f>MAX($E$2:E50)</f>
        <v/>
      </c>
      <c r="N50" s="341">
        <f>E50/M50-1</f>
        <v/>
      </c>
    </row>
    <row r="51">
      <c r="A51" s="424" t="n">
        <v>44533</v>
      </c>
      <c r="B51" s="425" t="n">
        <v>155.960836928391</v>
      </c>
      <c r="C51" s="425" t="n">
        <v>157.2862684360501</v>
      </c>
      <c r="D51" s="425" t="n">
        <v>152.4324759920245</v>
      </c>
      <c r="E51" s="425" t="n">
        <v>155.6134948730469</v>
      </c>
      <c r="F51" s="207" t="n">
        <v>4878500</v>
      </c>
      <c r="G51" s="208" t="n">
        <v>-0.008701497910851508</v>
      </c>
      <c r="H51" s="209" cm="1">
        <f t="array" ref="H51">IF(ROW()&lt;3,"",E51/INDEX(E:E,ROW()-1)-1)</f>
        <v/>
      </c>
      <c r="I51" s="211">
        <f>IF(ROW()&lt;51,NA(),AVERAGE(INDEX(E:E,ROW()-49):E51))</f>
        <v/>
      </c>
      <c r="J51" s="211">
        <f>IF(ROW()&lt;201,NA(),AVERAGE(INDEX(E:E,ROW()-199):E51))</f>
        <v/>
      </c>
      <c r="K51" s="341">
        <f>IF(ROW()&lt;22,NA(),_xlfn.STDEV.S(INDEX(H:H,ROW()-19):H51)*SQRT(252))</f>
        <v/>
      </c>
      <c r="L51" s="426" cm="1">
        <f t="array" ref="L51">IF(ROW()&lt;17,NA(),_xlfn.LET(_xlpm.d,INDEX(E:E,ROW()-13):E51-INDEX(E:E,ROW()-14):INDEX(E:E,ROW()-1),_xlpm.g,SUM(IF(_xlpm.d&gt;0,_xlpm.d,0)),_xlpm.l,-SUM(IF(_xlpm.d&lt;0,_xlpm.d,0)),IF(_xlpm.l=0,100,100-100/(1+_xlpm.g/_xlpm.l))))</f>
        <v/>
      </c>
      <c r="M51" s="211">
        <f>MAX($E$2:E51)</f>
        <v/>
      </c>
      <c r="N51" s="341">
        <f>E51/M51-1</f>
        <v/>
      </c>
    </row>
    <row r="52">
      <c r="A52" s="424" t="n">
        <v>44536</v>
      </c>
      <c r="B52" s="425" t="n">
        <v>156.1528192685622</v>
      </c>
      <c r="C52" s="425" t="n">
        <v>156.5001753134663</v>
      </c>
      <c r="D52" s="425" t="n">
        <v>153.62080514988</v>
      </c>
      <c r="E52" s="425" t="n">
        <v>154.3977813720703</v>
      </c>
      <c r="F52" s="207" t="n">
        <v>5636900</v>
      </c>
      <c r="G52" s="208" t="n">
        <v>0.01184370639611232</v>
      </c>
      <c r="H52" s="209" cm="1">
        <f t="array" ref="H52">IF(ROW()&lt;3,"",E52/INDEX(E:E,ROW()-1)-1)</f>
        <v/>
      </c>
      <c r="I52" s="211">
        <f>IF(ROW()&lt;51,NA(),AVERAGE(INDEX(E:E,ROW()-49):E52))</f>
        <v/>
      </c>
      <c r="J52" s="211">
        <f>IF(ROW()&lt;201,NA(),AVERAGE(INDEX(E:E,ROW()-199):E52))</f>
        <v/>
      </c>
      <c r="K52" s="341">
        <f>IF(ROW()&lt;22,NA(),_xlfn.STDEV.S(INDEX(H:H,ROW()-19):H52)*SQRT(252))</f>
        <v/>
      </c>
      <c r="L52" s="426" cm="1">
        <f t="array" ref="L52">IF(ROW()&lt;17,NA(),_xlfn.LET(_xlpm.d,INDEX(E:E,ROW()-13):E52-INDEX(E:E,ROW()-14):INDEX(E:E,ROW()-1),_xlpm.g,SUM(IF(_xlpm.d&gt;0,_xlpm.d,0)),_xlpm.l,-SUM(IF(_xlpm.d&lt;0,_xlpm.d,0)),IF(_xlpm.l=0,100,100-100/(1+_xlpm.g/_xlpm.l))))</f>
        <v/>
      </c>
      <c r="M52" s="211">
        <f>MAX($E$2:E52)</f>
        <v/>
      </c>
      <c r="N52" s="341">
        <f>E52/M52-1</f>
        <v/>
      </c>
    </row>
    <row r="53">
      <c r="A53" s="424" t="n">
        <v>44537</v>
      </c>
      <c r="B53" s="425" t="n">
        <v>156.4087749436699</v>
      </c>
      <c r="C53" s="425" t="n">
        <v>158.4563263071387</v>
      </c>
      <c r="D53" s="425" t="n">
        <v>155.7597697427954</v>
      </c>
      <c r="E53" s="425" t="n">
        <v>156.5733032226562</v>
      </c>
      <c r="F53" s="207" t="n">
        <v>5898700</v>
      </c>
      <c r="G53" s="208" t="n">
        <v>0.0206845959336448</v>
      </c>
      <c r="H53" s="209" cm="1">
        <f t="array" ref="H53">IF(ROW()&lt;3,"",E53/INDEX(E:E,ROW()-1)-1)</f>
        <v/>
      </c>
      <c r="I53" s="211">
        <f>IF(ROW()&lt;51,NA(),AVERAGE(INDEX(E:E,ROW()-49):E53))</f>
        <v/>
      </c>
      <c r="J53" s="211">
        <f>IF(ROW()&lt;201,NA(),AVERAGE(INDEX(E:E,ROW()-199):E53))</f>
        <v/>
      </c>
      <c r="K53" s="341">
        <f>IF(ROW()&lt;22,NA(),_xlfn.STDEV.S(INDEX(H:H,ROW()-19):H53)*SQRT(252))</f>
        <v/>
      </c>
      <c r="L53" s="426" cm="1">
        <f t="array" ref="L53">IF(ROW()&lt;17,NA(),_xlfn.LET(_xlpm.d,INDEX(E:E,ROW()-13):E53-INDEX(E:E,ROW()-14):INDEX(E:E,ROW()-1),_xlpm.g,SUM(IF(_xlpm.d&gt;0,_xlpm.d,0)),_xlpm.l,-SUM(IF(_xlpm.d&lt;0,_xlpm.d,0)),IF(_xlpm.l=0,100,100-100/(1+_xlpm.g/_xlpm.l))))</f>
        <v/>
      </c>
      <c r="M53" s="211">
        <f>MAX($E$2:E53)</f>
        <v/>
      </c>
      <c r="N53" s="341">
        <f>E53/M53-1</f>
        <v/>
      </c>
    </row>
    <row r="54">
      <c r="A54" s="424" t="n">
        <v>44538</v>
      </c>
      <c r="B54" s="425" t="n">
        <v>156.50931188282</v>
      </c>
      <c r="C54" s="425" t="n">
        <v>157.0303320049031</v>
      </c>
      <c r="D54" s="425" t="n">
        <v>155.247872722301</v>
      </c>
      <c r="E54" s="425" t="n">
        <v>155.6226501464844</v>
      </c>
      <c r="F54" s="207" t="n">
        <v>5614400</v>
      </c>
      <c r="G54" s="208" t="n">
        <v>0.00264781361499189</v>
      </c>
      <c r="H54" s="209" cm="1">
        <f t="array" ref="H54">IF(ROW()&lt;3,"",E54/INDEX(E:E,ROW()-1)-1)</f>
        <v/>
      </c>
      <c r="I54" s="211">
        <f>IF(ROW()&lt;51,NA(),AVERAGE(INDEX(E:E,ROW()-49):E54))</f>
        <v/>
      </c>
      <c r="J54" s="211">
        <f>IF(ROW()&lt;201,NA(),AVERAGE(INDEX(E:E,ROW()-199):E54))</f>
        <v/>
      </c>
      <c r="K54" s="341">
        <f>IF(ROW()&lt;22,NA(),_xlfn.STDEV.S(INDEX(H:H,ROW()-19):H54)*SQRT(252))</f>
        <v/>
      </c>
      <c r="L54" s="426" cm="1">
        <f t="array" ref="L54">IF(ROW()&lt;17,NA(),_xlfn.LET(_xlpm.d,INDEX(E:E,ROW()-13):E54-INDEX(E:E,ROW()-14):INDEX(E:E,ROW()-1),_xlpm.g,SUM(IF(_xlpm.d&gt;0,_xlpm.d,0)),_xlpm.l,-SUM(IF(_xlpm.d&lt;0,_xlpm.d,0)),IF(_xlpm.l=0,100,100-100/(1+_xlpm.g/_xlpm.l))))</f>
        <v/>
      </c>
      <c r="M54" s="211">
        <f>MAX($E$2:E54)</f>
        <v/>
      </c>
      <c r="N54" s="341">
        <f>E54/M54-1</f>
        <v/>
      </c>
    </row>
    <row r="55">
      <c r="A55" s="424" t="n">
        <v>44539</v>
      </c>
      <c r="B55" s="425" t="n">
        <v>154.7451263548191</v>
      </c>
      <c r="C55" s="425" t="n">
        <v>156.4636070960097</v>
      </c>
      <c r="D55" s="425" t="n">
        <v>153.5568294485592</v>
      </c>
      <c r="E55" s="425" t="n">
        <v>153.6573791503906</v>
      </c>
      <c r="F55" s="207" t="n">
        <v>5171600</v>
      </c>
      <c r="G55" s="208" t="n">
        <v>-0.006751429237374484</v>
      </c>
      <c r="H55" s="209" cm="1">
        <f t="array" ref="H55">IF(ROW()&lt;3,"",E55/INDEX(E:E,ROW()-1)-1)</f>
        <v/>
      </c>
      <c r="I55" s="211">
        <f>IF(ROW()&lt;51,NA(),AVERAGE(INDEX(E:E,ROW()-49):E55))</f>
        <v/>
      </c>
      <c r="J55" s="211">
        <f>IF(ROW()&lt;201,NA(),AVERAGE(INDEX(E:E,ROW()-199):E55))</f>
        <v/>
      </c>
      <c r="K55" s="341">
        <f>IF(ROW()&lt;22,NA(),_xlfn.STDEV.S(INDEX(H:H,ROW()-19):H55)*SQRT(252))</f>
        <v/>
      </c>
      <c r="L55" s="426" cm="1">
        <f t="array" ref="L55">IF(ROW()&lt;17,NA(),_xlfn.LET(_xlpm.d,INDEX(E:E,ROW()-13):E55-INDEX(E:E,ROW()-14):INDEX(E:E,ROW()-1),_xlpm.g,SUM(IF(_xlpm.d&gt;0,_xlpm.d,0)),_xlpm.l,-SUM(IF(_xlpm.d&lt;0,_xlpm.d,0)),IF(_xlpm.l=0,100,100-100/(1+_xlpm.g/_xlpm.l))))</f>
        <v/>
      </c>
      <c r="M55" s="211">
        <f>MAX($E$2:E55)</f>
        <v/>
      </c>
      <c r="N55" s="341">
        <f>E55/M55-1</f>
        <v/>
      </c>
    </row>
    <row r="56">
      <c r="A56" s="424" t="n">
        <v>44540</v>
      </c>
      <c r="B56" s="425" t="n">
        <v>154.0229973042144</v>
      </c>
      <c r="C56" s="425" t="n">
        <v>155.6135068673178</v>
      </c>
      <c r="D56" s="425" t="n">
        <v>152.9535217859865</v>
      </c>
      <c r="E56" s="425" t="n">
        <v>154.5348815917969</v>
      </c>
      <c r="F56" s="207" t="n">
        <v>4791100</v>
      </c>
      <c r="G56" s="208" t="n">
        <v>0.009413553361893312</v>
      </c>
      <c r="H56" s="209" cm="1">
        <f t="array" ref="H56">IF(ROW()&lt;3,"",E56/INDEX(E:E,ROW()-1)-1)</f>
        <v/>
      </c>
      <c r="I56" s="211">
        <f>IF(ROW()&lt;51,NA(),AVERAGE(INDEX(E:E,ROW()-49):E56))</f>
        <v/>
      </c>
      <c r="J56" s="211">
        <f>IF(ROW()&lt;201,NA(),AVERAGE(INDEX(E:E,ROW()-199):E56))</f>
        <v/>
      </c>
      <c r="K56" s="341">
        <f>IF(ROW()&lt;22,NA(),_xlfn.STDEV.S(INDEX(H:H,ROW()-19):H56)*SQRT(252))</f>
        <v/>
      </c>
      <c r="L56" s="426" cm="1">
        <f t="array" ref="L56">IF(ROW()&lt;17,NA(),_xlfn.LET(_xlpm.d,INDEX(E:E,ROW()-13):E56-INDEX(E:E,ROW()-14):INDEX(E:E,ROW()-1),_xlpm.g,SUM(IF(_xlpm.d&gt;0,_xlpm.d,0)),_xlpm.l,-SUM(IF(_xlpm.d&lt;0,_xlpm.d,0)),IF(_xlpm.l=0,100,100-100/(1+_xlpm.g/_xlpm.l))))</f>
        <v/>
      </c>
      <c r="M56" s="211">
        <f>MAX($E$2:E56)</f>
        <v/>
      </c>
      <c r="N56" s="341">
        <f>E56/M56-1</f>
        <v/>
      </c>
    </row>
    <row r="57">
      <c r="A57" s="424" t="n">
        <v>44543</v>
      </c>
      <c r="B57" s="425" t="n">
        <v>154.3064217442954</v>
      </c>
      <c r="C57" s="425" t="n">
        <v>154.8365918079739</v>
      </c>
      <c r="D57" s="425" t="n">
        <v>151.061422774919</v>
      </c>
      <c r="E57" s="425" t="n">
        <v>152.5056762695312</v>
      </c>
      <c r="F57" s="207" t="n">
        <v>5972300</v>
      </c>
      <c r="G57" s="208" t="n">
        <v>-0.008858454166720042</v>
      </c>
      <c r="H57" s="209" cm="1">
        <f t="array" ref="H57">IF(ROW()&lt;3,"",E57/INDEX(E:E,ROW()-1)-1)</f>
        <v/>
      </c>
      <c r="I57" s="211">
        <f>IF(ROW()&lt;51,NA(),AVERAGE(INDEX(E:E,ROW()-49):E57))</f>
        <v/>
      </c>
      <c r="J57" s="211">
        <f>IF(ROW()&lt;201,NA(),AVERAGE(INDEX(E:E,ROW()-199):E57))</f>
        <v/>
      </c>
      <c r="K57" s="341">
        <f>IF(ROW()&lt;22,NA(),_xlfn.STDEV.S(INDEX(H:H,ROW()-19):H57)*SQRT(252))</f>
        <v/>
      </c>
      <c r="L57" s="426" cm="1">
        <f t="array" ref="L57">IF(ROW()&lt;17,NA(),_xlfn.LET(_xlpm.d,INDEX(E:E,ROW()-13):E57-INDEX(E:E,ROW()-14):INDEX(E:E,ROW()-1),_xlpm.g,SUM(IF(_xlpm.d&gt;0,_xlpm.d,0)),_xlpm.l,-SUM(IF(_xlpm.d&lt;0,_xlpm.d,0)),IF(_xlpm.l=0,100,100-100/(1+_xlpm.g/_xlpm.l))))</f>
        <v/>
      </c>
      <c r="M57" s="211">
        <f>MAX($E$2:E57)</f>
        <v/>
      </c>
      <c r="N57" s="341">
        <f>E57/M57-1</f>
        <v/>
      </c>
    </row>
    <row r="58">
      <c r="A58" s="424" t="n">
        <v>44544</v>
      </c>
      <c r="B58" s="425" t="n">
        <v>152.0028950939468</v>
      </c>
      <c r="C58" s="425" t="n">
        <v>152.7250286607602</v>
      </c>
      <c r="D58" s="425" t="n">
        <v>150.1016142381776</v>
      </c>
      <c r="E58" s="425" t="n">
        <v>151.1893615722656</v>
      </c>
      <c r="F58" s="207" t="n">
        <v>4872200</v>
      </c>
      <c r="G58" s="208" t="n">
        <v>-0.006879923622141071</v>
      </c>
      <c r="H58" s="209" cm="1">
        <f t="array" ref="H58">IF(ROW()&lt;3,"",E58/INDEX(E:E,ROW()-1)-1)</f>
        <v/>
      </c>
      <c r="I58" s="211">
        <f>IF(ROW()&lt;51,NA(),AVERAGE(INDEX(E:E,ROW()-49):E58))</f>
        <v/>
      </c>
      <c r="J58" s="211">
        <f>IF(ROW()&lt;201,NA(),AVERAGE(INDEX(E:E,ROW()-199):E58))</f>
        <v/>
      </c>
      <c r="K58" s="341">
        <f>IF(ROW()&lt;22,NA(),_xlfn.STDEV.S(INDEX(H:H,ROW()-19):H58)*SQRT(252))</f>
        <v/>
      </c>
      <c r="L58" s="426" cm="1">
        <f t="array" ref="L58">IF(ROW()&lt;17,NA(),_xlfn.LET(_xlpm.d,INDEX(E:E,ROW()-13):E58-INDEX(E:E,ROW()-14):INDEX(E:E,ROW()-1),_xlpm.g,SUM(IF(_xlpm.d&gt;0,_xlpm.d,0)),_xlpm.l,-SUM(IF(_xlpm.d&lt;0,_xlpm.d,0)),IF(_xlpm.l=0,100,100-100/(1+_xlpm.g/_xlpm.l))))</f>
        <v/>
      </c>
      <c r="M58" s="211">
        <f>MAX($E$2:E58)</f>
        <v/>
      </c>
      <c r="N58" s="341">
        <f>E58/M58-1</f>
        <v/>
      </c>
    </row>
    <row r="59">
      <c r="A59" s="424" t="n">
        <v>44545</v>
      </c>
      <c r="B59" s="425" t="n">
        <v>150.8237037243922</v>
      </c>
      <c r="C59" s="425" t="n">
        <v>151.4361376960825</v>
      </c>
      <c r="D59" s="425" t="n">
        <v>147.9169263111936</v>
      </c>
      <c r="E59" s="425" t="n">
        <v>149.8182067871094</v>
      </c>
      <c r="F59" s="207" t="n">
        <v>7144600</v>
      </c>
      <c r="G59" s="208" t="n">
        <v>0.01562503850946828</v>
      </c>
      <c r="H59" s="209" cm="1">
        <f t="array" ref="H59">IF(ROW()&lt;3,"",E59/INDEX(E:E,ROW()-1)-1)</f>
        <v/>
      </c>
      <c r="I59" s="211">
        <f>IF(ROW()&lt;51,NA(),AVERAGE(INDEX(E:E,ROW()-49):E59))</f>
        <v/>
      </c>
      <c r="J59" s="211">
        <f>IF(ROW()&lt;201,NA(),AVERAGE(INDEX(E:E,ROW()-199):E59))</f>
        <v/>
      </c>
      <c r="K59" s="341">
        <f>IF(ROW()&lt;22,NA(),_xlfn.STDEV.S(INDEX(H:H,ROW()-19):H59)*SQRT(252))</f>
        <v/>
      </c>
      <c r="L59" s="426" cm="1">
        <f t="array" ref="L59">IF(ROW()&lt;17,NA(),_xlfn.LET(_xlpm.d,INDEX(E:E,ROW()-13):E59-INDEX(E:E,ROW()-14):INDEX(E:E,ROW()-1),_xlpm.g,SUM(IF(_xlpm.d&gt;0,_xlpm.d,0)),_xlpm.l,-SUM(IF(_xlpm.d&lt;0,_xlpm.d,0)),IF(_xlpm.l=0,100,100-100/(1+_xlpm.g/_xlpm.l))))</f>
        <v/>
      </c>
      <c r="M59" s="211">
        <f>MAX($E$2:E59)</f>
        <v/>
      </c>
      <c r="N59" s="341">
        <f>E59/M59-1</f>
        <v/>
      </c>
    </row>
    <row r="60">
      <c r="A60" s="424" t="n">
        <v>44546</v>
      </c>
      <c r="B60" s="425" t="n">
        <v>148.7213079396604</v>
      </c>
      <c r="C60" s="425" t="n">
        <v>151.6829420128825</v>
      </c>
      <c r="D60" s="425" t="n">
        <v>148.5659154964698</v>
      </c>
      <c r="E60" s="425" t="n">
        <v>148.7395935058594</v>
      </c>
      <c r="F60" s="207" t="n">
        <v>7138100</v>
      </c>
      <c r="G60" s="208" t="n">
        <v>-0.008818448659410394</v>
      </c>
      <c r="H60" s="209" cm="1">
        <f t="array" ref="H60">IF(ROW()&lt;3,"",E60/INDEX(E:E,ROW()-1)-1)</f>
        <v/>
      </c>
      <c r="I60" s="211">
        <f>IF(ROW()&lt;51,NA(),AVERAGE(INDEX(E:E,ROW()-49):E60))</f>
        <v/>
      </c>
      <c r="J60" s="211">
        <f>IF(ROW()&lt;201,NA(),AVERAGE(INDEX(E:E,ROW()-199):E60))</f>
        <v/>
      </c>
      <c r="K60" s="341">
        <f>IF(ROW()&lt;22,NA(),_xlfn.STDEV.S(INDEX(H:H,ROW()-19):H60)*SQRT(252))</f>
        <v/>
      </c>
      <c r="L60" s="426" cm="1">
        <f t="array" ref="L60">IF(ROW()&lt;17,NA(),_xlfn.LET(_xlpm.d,INDEX(E:E,ROW()-13):E60-INDEX(E:E,ROW()-14):INDEX(E:E,ROW()-1),_xlpm.g,SUM(IF(_xlpm.d&gt;0,_xlpm.d,0)),_xlpm.l,-SUM(IF(_xlpm.d&lt;0,_xlpm.d,0)),IF(_xlpm.l=0,100,100-100/(1+_xlpm.g/_xlpm.l))))</f>
        <v/>
      </c>
      <c r="M60" s="211">
        <f>MAX($E$2:E60)</f>
        <v/>
      </c>
      <c r="N60" s="341">
        <f>E60/M60-1</f>
        <v/>
      </c>
    </row>
    <row r="61">
      <c r="A61" s="424" t="n">
        <v>44547</v>
      </c>
      <c r="B61" s="425" t="n">
        <v>147.7432357520592</v>
      </c>
      <c r="C61" s="425" t="n">
        <v>148.8675539062261</v>
      </c>
      <c r="D61" s="425" t="n">
        <v>146.7560244650592</v>
      </c>
      <c r="E61" s="425" t="n">
        <v>147.4964294433594</v>
      </c>
      <c r="F61" s="207" t="n">
        <v>7705100</v>
      </c>
      <c r="G61" s="208" t="n">
        <v>-0.01064315796638127</v>
      </c>
      <c r="H61" s="209" cm="1">
        <f t="array" ref="H61">IF(ROW()&lt;3,"",E61/INDEX(E:E,ROW()-1)-1)</f>
        <v/>
      </c>
      <c r="I61" s="211">
        <f>IF(ROW()&lt;51,NA(),AVERAGE(INDEX(E:E,ROW()-49):E61))</f>
        <v/>
      </c>
      <c r="J61" s="211">
        <f>IF(ROW()&lt;201,NA(),AVERAGE(INDEX(E:E,ROW()-199):E61))</f>
        <v/>
      </c>
      <c r="K61" s="341">
        <f>IF(ROW()&lt;22,NA(),_xlfn.STDEV.S(INDEX(H:H,ROW()-19):H61)*SQRT(252))</f>
        <v/>
      </c>
      <c r="L61" s="426" cm="1">
        <f t="array" ref="L61">IF(ROW()&lt;17,NA(),_xlfn.LET(_xlpm.d,INDEX(E:E,ROW()-13):E61-INDEX(E:E,ROW()-14):INDEX(E:E,ROW()-1),_xlpm.g,SUM(IF(_xlpm.d&gt;0,_xlpm.d,0)),_xlpm.l,-SUM(IF(_xlpm.d&lt;0,_xlpm.d,0)),IF(_xlpm.l=0,100,100-100/(1+_xlpm.g/_xlpm.l))))</f>
        <v/>
      </c>
      <c r="M61" s="211">
        <f>MAX($E$2:E61)</f>
        <v/>
      </c>
      <c r="N61" s="341">
        <f>E61/M61-1</f>
        <v/>
      </c>
    </row>
    <row r="62">
      <c r="A62" s="424" t="n">
        <v>44550</v>
      </c>
      <c r="B62" s="425" t="n">
        <v>145.6500041011264</v>
      </c>
      <c r="C62" s="425" t="n">
        <v>145.8876746439906</v>
      </c>
      <c r="D62" s="425" t="n">
        <v>142.1125068145417</v>
      </c>
      <c r="E62" s="425" t="n">
        <v>143.4927673339844</v>
      </c>
      <c r="F62" s="207" t="n">
        <v>8411900</v>
      </c>
      <c r="G62" s="208" t="n">
        <v>-0.01063321550623053</v>
      </c>
      <c r="H62" s="209" cm="1">
        <f t="array" ref="H62">IF(ROW()&lt;3,"",E62/INDEX(E:E,ROW()-1)-1)</f>
        <v/>
      </c>
      <c r="I62" s="211">
        <f>IF(ROW()&lt;51,NA(),AVERAGE(INDEX(E:E,ROW()-49):E62))</f>
        <v/>
      </c>
      <c r="J62" s="211">
        <f>IF(ROW()&lt;201,NA(),AVERAGE(INDEX(E:E,ROW()-199):E62))</f>
        <v/>
      </c>
      <c r="K62" s="341">
        <f>IF(ROW()&lt;22,NA(),_xlfn.STDEV.S(INDEX(H:H,ROW()-19):H62)*SQRT(252))</f>
        <v/>
      </c>
      <c r="L62" s="426" cm="1">
        <f t="array" ref="L62">IF(ROW()&lt;17,NA(),_xlfn.LET(_xlpm.d,INDEX(E:E,ROW()-13):E62-INDEX(E:E,ROW()-14):INDEX(E:E,ROW()-1),_xlpm.g,SUM(IF(_xlpm.d&gt;0,_xlpm.d,0)),_xlpm.l,-SUM(IF(_xlpm.d&lt;0,_xlpm.d,0)),IF(_xlpm.l=0,100,100-100/(1+_xlpm.g/_xlpm.l))))</f>
        <v/>
      </c>
      <c r="M62" s="211">
        <f>MAX($E$2:E62)</f>
        <v/>
      </c>
      <c r="N62" s="341">
        <f>E62/M62-1</f>
        <v/>
      </c>
    </row>
    <row r="63">
      <c r="A63" s="424" t="n">
        <v>44551</v>
      </c>
      <c r="B63" s="425" t="n">
        <v>152.3685176823736</v>
      </c>
      <c r="C63" s="425" t="n">
        <v>156.4818917271769</v>
      </c>
      <c r="D63" s="425" t="n">
        <v>150.5586370080446</v>
      </c>
      <c r="E63" s="425" t="n">
        <v>152.3136749267578</v>
      </c>
      <c r="F63" s="207" t="n">
        <v>13862900</v>
      </c>
      <c r="G63" s="208" t="n">
        <v>0.01775896643608577</v>
      </c>
      <c r="H63" s="209" cm="1">
        <f t="array" ref="H63">IF(ROW()&lt;3,"",E63/INDEX(E:E,ROW()-1)-1)</f>
        <v/>
      </c>
      <c r="I63" s="211">
        <f>IF(ROW()&lt;51,NA(),AVERAGE(INDEX(E:E,ROW()-49):E63))</f>
        <v/>
      </c>
      <c r="J63" s="211">
        <f>IF(ROW()&lt;201,NA(),AVERAGE(INDEX(E:E,ROW()-199):E63))</f>
        <v/>
      </c>
      <c r="K63" s="341">
        <f>IF(ROW()&lt;22,NA(),_xlfn.STDEV.S(INDEX(H:H,ROW()-19):H63)*SQRT(252))</f>
        <v/>
      </c>
      <c r="L63" s="426" cm="1">
        <f t="array" ref="L63">IF(ROW()&lt;17,NA(),_xlfn.LET(_xlpm.d,INDEX(E:E,ROW()-13):E63-INDEX(E:E,ROW()-14):INDEX(E:E,ROW()-1),_xlpm.g,SUM(IF(_xlpm.d&gt;0,_xlpm.d,0)),_xlpm.l,-SUM(IF(_xlpm.d&lt;0,_xlpm.d,0)),IF(_xlpm.l=0,100,100-100/(1+_xlpm.g/_xlpm.l))))</f>
        <v/>
      </c>
      <c r="M63" s="211">
        <f>MAX($E$2:E63)</f>
        <v/>
      </c>
      <c r="N63" s="341">
        <f>E63/M63-1</f>
        <v/>
      </c>
    </row>
    <row r="64">
      <c r="A64" s="424" t="n">
        <v>44552</v>
      </c>
      <c r="B64" s="425" t="n">
        <v>152.8712432741355</v>
      </c>
      <c r="C64" s="425" t="n">
        <v>154.48002430486</v>
      </c>
      <c r="D64" s="425" t="n">
        <v>149.9918735056907</v>
      </c>
      <c r="E64" s="425" t="n">
        <v>151.2258911132812</v>
      </c>
      <c r="F64" s="207" t="n">
        <v>5811300</v>
      </c>
      <c r="G64" s="208" t="n">
        <v>0.009998653252367484</v>
      </c>
      <c r="H64" s="209" cm="1">
        <f t="array" ref="H64">IF(ROW()&lt;3,"",E64/INDEX(E:E,ROW()-1)-1)</f>
        <v/>
      </c>
      <c r="I64" s="211">
        <f>IF(ROW()&lt;51,NA(),AVERAGE(INDEX(E:E,ROW()-49):E64))</f>
        <v/>
      </c>
      <c r="J64" s="211">
        <f>IF(ROW()&lt;201,NA(),AVERAGE(INDEX(E:E,ROW()-199):E64))</f>
        <v/>
      </c>
      <c r="K64" s="341">
        <f>IF(ROW()&lt;22,NA(),_xlfn.STDEV.S(INDEX(H:H,ROW()-19):H64)*SQRT(252))</f>
        <v/>
      </c>
      <c r="L64" s="426" cm="1">
        <f t="array" ref="L64">IF(ROW()&lt;17,NA(),_xlfn.LET(_xlpm.d,INDEX(E:E,ROW()-13):E64-INDEX(E:E,ROW()-14):INDEX(E:E,ROW()-1),_xlpm.g,SUM(IF(_xlpm.d&gt;0,_xlpm.d,0)),_xlpm.l,-SUM(IF(_xlpm.d&lt;0,_xlpm.d,0)),IF(_xlpm.l=0,100,100-100/(1+_xlpm.g/_xlpm.l))))</f>
        <v/>
      </c>
      <c r="M64" s="211">
        <f>MAX($E$2:E64)</f>
        <v/>
      </c>
      <c r="N64" s="341">
        <f>E64/M64-1</f>
        <v/>
      </c>
    </row>
    <row r="65">
      <c r="A65" s="424" t="n">
        <v>44553</v>
      </c>
      <c r="B65" s="425" t="n">
        <v>151.9663424515506</v>
      </c>
      <c r="C65" s="425" t="n">
        <v>152.7981615682319</v>
      </c>
      <c r="D65" s="425" t="n">
        <v>151.2259372402773</v>
      </c>
      <c r="E65" s="425" t="n">
        <v>151.4361724853516</v>
      </c>
      <c r="F65" s="207" t="n">
        <v>3876900</v>
      </c>
      <c r="G65" s="208" t="n">
        <v>0.006222002102875157</v>
      </c>
      <c r="H65" s="209" cm="1">
        <f t="array" ref="H65">IF(ROW()&lt;3,"",E65/INDEX(E:E,ROW()-1)-1)</f>
        <v/>
      </c>
      <c r="I65" s="211">
        <f>IF(ROW()&lt;51,NA(),AVERAGE(INDEX(E:E,ROW()-49):E65))</f>
        <v/>
      </c>
      <c r="J65" s="211">
        <f>IF(ROW()&lt;201,NA(),AVERAGE(INDEX(E:E,ROW()-199):E65))</f>
        <v/>
      </c>
      <c r="K65" s="341">
        <f>IF(ROW()&lt;22,NA(),_xlfn.STDEV.S(INDEX(H:H,ROW()-19):H65)*SQRT(252))</f>
        <v/>
      </c>
      <c r="L65" s="426" cm="1">
        <f t="array" ref="L65">IF(ROW()&lt;17,NA(),_xlfn.LET(_xlpm.d,INDEX(E:E,ROW()-13):E65-INDEX(E:E,ROW()-14):INDEX(E:E,ROW()-1),_xlpm.g,SUM(IF(_xlpm.d&gt;0,_xlpm.d,0)),_xlpm.l,-SUM(IF(_xlpm.d&lt;0,_xlpm.d,0)),IF(_xlpm.l=0,100,100-100/(1+_xlpm.g/_xlpm.l))))</f>
        <v/>
      </c>
      <c r="M65" s="211">
        <f>MAX($E$2:E65)</f>
        <v/>
      </c>
      <c r="N65" s="341">
        <f>E65/M65-1</f>
        <v/>
      </c>
    </row>
    <row r="66">
      <c r="A66" s="424" t="n">
        <v>44557</v>
      </c>
      <c r="B66" s="425" t="n">
        <v>152.213141888342</v>
      </c>
      <c r="C66" s="425" t="n">
        <v>153.2826175833304</v>
      </c>
      <c r="D66" s="425" t="n">
        <v>151.2624875275946</v>
      </c>
      <c r="E66" s="425" t="n">
        <v>153.1820678710938</v>
      </c>
      <c r="F66" s="207" t="n">
        <v>3769300</v>
      </c>
      <c r="G66" s="208" t="n">
        <v>0.01415237410642556</v>
      </c>
      <c r="H66" s="209" cm="1">
        <f t="array" ref="H66">IF(ROW()&lt;3,"",E66/INDEX(E:E,ROW()-1)-1)</f>
        <v/>
      </c>
      <c r="I66" s="211">
        <f>IF(ROW()&lt;51,NA(),AVERAGE(INDEX(E:E,ROW()-49):E66))</f>
        <v/>
      </c>
      <c r="J66" s="211">
        <f>IF(ROW()&lt;201,NA(),AVERAGE(INDEX(E:E,ROW()-199):E66))</f>
        <v/>
      </c>
      <c r="K66" s="341">
        <f>IF(ROW()&lt;22,NA(),_xlfn.STDEV.S(INDEX(H:H,ROW()-19):H66)*SQRT(252))</f>
        <v/>
      </c>
      <c r="L66" s="426" cm="1">
        <f t="array" ref="L66">IF(ROW()&lt;17,NA(),_xlfn.LET(_xlpm.d,INDEX(E:E,ROW()-13):E66-INDEX(E:E,ROW()-14):INDEX(E:E,ROW()-1),_xlpm.g,SUM(IF(_xlpm.d&gt;0,_xlpm.d,0)),_xlpm.l,-SUM(IF(_xlpm.d&lt;0,_xlpm.d,0)),IF(_xlpm.l=0,100,100-100/(1+_xlpm.g/_xlpm.l))))</f>
        <v/>
      </c>
      <c r="M66" s="211">
        <f>MAX($E$2:E66)</f>
        <v/>
      </c>
      <c r="N66" s="341">
        <f>E66/M66-1</f>
        <v/>
      </c>
    </row>
    <row r="67">
      <c r="A67" s="424" t="n">
        <v>44558</v>
      </c>
      <c r="B67" s="425" t="n">
        <v>153.3831432119559</v>
      </c>
      <c r="C67" s="425" t="n">
        <v>153.7944778073188</v>
      </c>
      <c r="D67" s="425" t="n">
        <v>152.012018595546</v>
      </c>
      <c r="E67" s="425" t="n">
        <v>152.1217041015625</v>
      </c>
      <c r="F67" s="207" t="n">
        <v>2658600</v>
      </c>
      <c r="G67" s="208" t="n">
        <v>-0.0008172525028187216</v>
      </c>
      <c r="H67" s="209" cm="1">
        <f t="array" ref="H67">IF(ROW()&lt;3,"",E67/INDEX(E:E,ROW()-1)-1)</f>
        <v/>
      </c>
      <c r="I67" s="211">
        <f>IF(ROW()&lt;51,NA(),AVERAGE(INDEX(E:E,ROW()-49):E67))</f>
        <v/>
      </c>
      <c r="J67" s="211">
        <f>IF(ROW()&lt;201,NA(),AVERAGE(INDEX(E:E,ROW()-199):E67))</f>
        <v/>
      </c>
      <c r="K67" s="341">
        <f>IF(ROW()&lt;22,NA(),_xlfn.STDEV.S(INDEX(H:H,ROW()-19):H67)*SQRT(252))</f>
        <v/>
      </c>
      <c r="L67" s="426" cm="1">
        <f t="array" ref="L67">IF(ROW()&lt;17,NA(),_xlfn.LET(_xlpm.d,INDEX(E:E,ROW()-13):E67-INDEX(E:E,ROW()-14):INDEX(E:E,ROW()-1),_xlpm.g,SUM(IF(_xlpm.d&gt;0,_xlpm.d,0)),_xlpm.l,-SUM(IF(_xlpm.d&lt;0,_xlpm.d,0)),IF(_xlpm.l=0,100,100-100/(1+_xlpm.g/_xlpm.l))))</f>
        <v/>
      </c>
      <c r="M67" s="211">
        <f>MAX($E$2:E67)</f>
        <v/>
      </c>
      <c r="N67" s="341">
        <f>E67/M67-1</f>
        <v/>
      </c>
    </row>
    <row r="68">
      <c r="A68" s="424" t="n">
        <v>44559</v>
      </c>
      <c r="B68" s="425" t="n">
        <v>152.7158716182267</v>
      </c>
      <c r="C68" s="425" t="n">
        <v>155.2113145988216</v>
      </c>
      <c r="D68" s="425" t="n">
        <v>152.2862514414464</v>
      </c>
      <c r="E68" s="425" t="n">
        <v>154.2789459228516</v>
      </c>
      <c r="F68" s="207" t="n">
        <v>3830900</v>
      </c>
      <c r="G68" s="208" t="n">
        <v>0.001279245821791619</v>
      </c>
      <c r="H68" s="209" cm="1">
        <f t="array" ref="H68">IF(ROW()&lt;3,"",E68/INDEX(E:E,ROW()-1)-1)</f>
        <v/>
      </c>
      <c r="I68" s="211">
        <f>IF(ROW()&lt;51,NA(),AVERAGE(INDEX(E:E,ROW()-49):E68))</f>
        <v/>
      </c>
      <c r="J68" s="211">
        <f>IF(ROW()&lt;201,NA(),AVERAGE(INDEX(E:E,ROW()-199):E68))</f>
        <v/>
      </c>
      <c r="K68" s="341">
        <f>IF(ROW()&lt;22,NA(),_xlfn.STDEV.S(INDEX(H:H,ROW()-19):H68)*SQRT(252))</f>
        <v/>
      </c>
      <c r="L68" s="426" cm="1">
        <f t="array" ref="L68">IF(ROW()&lt;17,NA(),_xlfn.LET(_xlpm.d,INDEX(E:E,ROW()-13):E68-INDEX(E:E,ROW()-14):INDEX(E:E,ROW()-1),_xlpm.g,SUM(IF(_xlpm.d&gt;0,_xlpm.d,0)),_xlpm.l,-SUM(IF(_xlpm.d&lt;0,_xlpm.d,0)),IF(_xlpm.l=0,100,100-100/(1+_xlpm.g/_xlpm.l))))</f>
        <v/>
      </c>
      <c r="M68" s="211">
        <f>MAX($E$2:E68)</f>
        <v/>
      </c>
      <c r="N68" s="341">
        <f>E68/M68-1</f>
        <v/>
      </c>
    </row>
    <row r="69">
      <c r="A69" s="424" t="n">
        <v>44560</v>
      </c>
      <c r="B69" s="425" t="n">
        <v>153.8493027468861</v>
      </c>
      <c r="C69" s="425" t="n">
        <v>155.5037906941411</v>
      </c>
      <c r="D69" s="425" t="n">
        <v>152.8346700903099</v>
      </c>
      <c r="E69" s="425" t="n">
        <v>153.0997619628906</v>
      </c>
      <c r="F69" s="207" t="n">
        <v>2666800</v>
      </c>
      <c r="G69" s="208" t="n">
        <v>-0.002764412862568677</v>
      </c>
      <c r="H69" s="209" cm="1">
        <f t="array" ref="H69">IF(ROW()&lt;3,"",E69/INDEX(E:E,ROW()-1)-1)</f>
        <v/>
      </c>
      <c r="I69" s="211">
        <f>IF(ROW()&lt;51,NA(),AVERAGE(INDEX(E:E,ROW()-49):E69))</f>
        <v/>
      </c>
      <c r="J69" s="211">
        <f>IF(ROW()&lt;201,NA(),AVERAGE(INDEX(E:E,ROW()-199):E69))</f>
        <v/>
      </c>
      <c r="K69" s="341">
        <f>IF(ROW()&lt;22,NA(),_xlfn.STDEV.S(INDEX(H:H,ROW()-19):H69)*SQRT(252))</f>
        <v/>
      </c>
      <c r="L69" s="426" cm="1">
        <f t="array" ref="L69">IF(ROW()&lt;17,NA(),_xlfn.LET(_xlpm.d,INDEX(E:E,ROW()-13):E69-INDEX(E:E,ROW()-14):INDEX(E:E,ROW()-1),_xlpm.g,SUM(IF(_xlpm.d&gt;0,_xlpm.d,0)),_xlpm.l,-SUM(IF(_xlpm.d&lt;0,_xlpm.d,0)),IF(_xlpm.l=0,100,100-100/(1+_xlpm.g/_xlpm.l))))</f>
        <v/>
      </c>
      <c r="M69" s="211">
        <f>MAX($E$2:E69)</f>
        <v/>
      </c>
      <c r="N69" s="341">
        <f>E69/M69-1</f>
        <v/>
      </c>
    </row>
    <row r="70">
      <c r="A70" s="424" t="n">
        <v>44561</v>
      </c>
      <c r="B70" s="425" t="n">
        <v>153.1637223997112</v>
      </c>
      <c r="C70" s="425" t="n">
        <v>153.3099790053649</v>
      </c>
      <c r="D70" s="425" t="n">
        <v>151.9297189024771</v>
      </c>
      <c r="E70" s="425" t="n">
        <v>152.3501892089844</v>
      </c>
      <c r="F70" s="207" t="n">
        <v>2752000</v>
      </c>
      <c r="G70" s="208" t="n">
        <v>-0.002520379497726766</v>
      </c>
      <c r="H70" s="209" cm="1">
        <f t="array" ref="H70">IF(ROW()&lt;3,"",E70/INDEX(E:E,ROW()-1)-1)</f>
        <v/>
      </c>
      <c r="I70" s="211">
        <f>IF(ROW()&lt;51,NA(),AVERAGE(INDEX(E:E,ROW()-49):E70))</f>
        <v/>
      </c>
      <c r="J70" s="211">
        <f>IF(ROW()&lt;201,NA(),AVERAGE(INDEX(E:E,ROW()-199):E70))</f>
        <v/>
      </c>
      <c r="K70" s="341">
        <f>IF(ROW()&lt;22,NA(),_xlfn.STDEV.S(INDEX(H:H,ROW()-19):H70)*SQRT(252))</f>
        <v/>
      </c>
      <c r="L70" s="426" cm="1">
        <f t="array" ref="L70">IF(ROW()&lt;17,NA(),_xlfn.LET(_xlpm.d,INDEX(E:E,ROW()-13):E70-INDEX(E:E,ROW()-14):INDEX(E:E,ROW()-1),_xlpm.g,SUM(IF(_xlpm.d&gt;0,_xlpm.d,0)),_xlpm.l,-SUM(IF(_xlpm.d&lt;0,_xlpm.d,0)),IF(_xlpm.l=0,100,100-100/(1+_xlpm.g/_xlpm.l))))</f>
        <v/>
      </c>
      <c r="M70" s="211">
        <f>MAX($E$2:E70)</f>
        <v/>
      </c>
      <c r="N70" s="341">
        <f>E70/M70-1</f>
        <v/>
      </c>
    </row>
    <row r="71">
      <c r="A71" s="424" t="n">
        <v>44564</v>
      </c>
      <c r="B71" s="425" t="n">
        <v>153.1363579880631</v>
      </c>
      <c r="C71" s="425" t="n">
        <v>153.4837140687389</v>
      </c>
      <c r="D71" s="425" t="n">
        <v>149.2789257529265</v>
      </c>
      <c r="E71" s="425" t="n">
        <v>150.5220794677734</v>
      </c>
      <c r="F71" s="207" t="n">
        <v>5670500</v>
      </c>
      <c r="G71" s="208" t="n">
        <v>0.005790024582908559</v>
      </c>
      <c r="H71" s="209" cm="1">
        <f t="array" ref="H71">IF(ROW()&lt;3,"",E71/INDEX(E:E,ROW()-1)-1)</f>
        <v/>
      </c>
      <c r="I71" s="211">
        <f>IF(ROW()&lt;51,NA(),AVERAGE(INDEX(E:E,ROW()-49):E71))</f>
        <v/>
      </c>
      <c r="J71" s="211">
        <f>IF(ROW()&lt;201,NA(),AVERAGE(INDEX(E:E,ROW()-199):E71))</f>
        <v/>
      </c>
      <c r="K71" s="341">
        <f>IF(ROW()&lt;22,NA(),_xlfn.STDEV.S(INDEX(H:H,ROW()-19):H71)*SQRT(252))</f>
        <v/>
      </c>
      <c r="L71" s="426" cm="1">
        <f t="array" ref="L71">IF(ROW()&lt;17,NA(),_xlfn.LET(_xlpm.d,INDEX(E:E,ROW()-13):E71-INDEX(E:E,ROW()-14):INDEX(E:E,ROW()-1),_xlpm.g,SUM(IF(_xlpm.d&gt;0,_xlpm.d,0)),_xlpm.l,-SUM(IF(_xlpm.d&lt;0,_xlpm.d,0)),IF(_xlpm.l=0,100,100-100/(1+_xlpm.g/_xlpm.l))))</f>
        <v/>
      </c>
      <c r="M71" s="211">
        <f>MAX($E$2:E71)</f>
        <v/>
      </c>
      <c r="N71" s="341">
        <f>E71/M71-1</f>
        <v/>
      </c>
    </row>
    <row r="72">
      <c r="A72" s="424" t="n">
        <v>44565</v>
      </c>
      <c r="B72" s="425" t="n">
        <v>151.6281371292018</v>
      </c>
      <c r="C72" s="425" t="n">
        <v>152.8164342206916</v>
      </c>
      <c r="D72" s="425" t="n">
        <v>150.8237393891624</v>
      </c>
      <c r="E72" s="425" t="n">
        <v>152.0943145751953</v>
      </c>
      <c r="F72" s="207" t="n">
        <v>6064200</v>
      </c>
      <c r="G72" s="208" t="n">
        <v>-0.0003349375988996872</v>
      </c>
      <c r="H72" s="209" cm="1">
        <f t="array" ref="H72">IF(ROW()&lt;3,"",E72/INDEX(E:E,ROW()-1)-1)</f>
        <v/>
      </c>
      <c r="I72" s="211">
        <f>IF(ROW()&lt;51,NA(),AVERAGE(INDEX(E:E,ROW()-49):E72))</f>
        <v/>
      </c>
      <c r="J72" s="211">
        <f>IF(ROW()&lt;201,NA(),AVERAGE(INDEX(E:E,ROW()-199):E72))</f>
        <v/>
      </c>
      <c r="K72" s="341">
        <f>IF(ROW()&lt;22,NA(),_xlfn.STDEV.S(INDEX(H:H,ROW()-19):H72)*SQRT(252))</f>
        <v/>
      </c>
      <c r="L72" s="426" cm="1">
        <f t="array" ref="L72">IF(ROW()&lt;17,NA(),_xlfn.LET(_xlpm.d,INDEX(E:E,ROW()-13):E72-INDEX(E:E,ROW()-14):INDEX(E:E,ROW()-1),_xlpm.g,SUM(IF(_xlpm.d&gt;0,_xlpm.d,0)),_xlpm.l,-SUM(IF(_xlpm.d&lt;0,_xlpm.d,0)),IF(_xlpm.l=0,100,100-100/(1+_xlpm.g/_xlpm.l))))</f>
        <v/>
      </c>
      <c r="M72" s="211">
        <f>MAX($E$2:E72)</f>
        <v/>
      </c>
      <c r="N72" s="341">
        <f>E72/M72-1</f>
        <v/>
      </c>
    </row>
    <row r="73">
      <c r="A73" s="424" t="n">
        <v>44566</v>
      </c>
      <c r="B73" s="425" t="n">
        <v>152.1856996473686</v>
      </c>
      <c r="C73" s="425" t="n">
        <v>152.6610128147878</v>
      </c>
      <c r="D73" s="425" t="n">
        <v>148.1728754145494</v>
      </c>
      <c r="E73" s="425" t="n">
        <v>148.3099822998047</v>
      </c>
      <c r="F73" s="207" t="n">
        <v>5021000</v>
      </c>
      <c r="G73" s="208" t="n">
        <v>-0.01920221512799303</v>
      </c>
      <c r="H73" s="209" cm="1">
        <f t="array" ref="H73">IF(ROW()&lt;3,"",E73/INDEX(E:E,ROW()-1)-1)</f>
        <v/>
      </c>
      <c r="I73" s="211">
        <f>IF(ROW()&lt;51,NA(),AVERAGE(INDEX(E:E,ROW()-49):E73))</f>
        <v/>
      </c>
      <c r="J73" s="211">
        <f>IF(ROW()&lt;201,NA(),AVERAGE(INDEX(E:E,ROW()-199):E73))</f>
        <v/>
      </c>
      <c r="K73" s="341">
        <f>IF(ROW()&lt;22,NA(),_xlfn.STDEV.S(INDEX(H:H,ROW()-19):H73)*SQRT(252))</f>
        <v/>
      </c>
      <c r="L73" s="426" cm="1">
        <f t="array" ref="L73">IF(ROW()&lt;17,NA(),_xlfn.LET(_xlpm.d,INDEX(E:E,ROW()-13):E73-INDEX(E:E,ROW()-14):INDEX(E:E,ROW()-1),_xlpm.g,SUM(IF(_xlpm.d&gt;0,_xlpm.d,0)),_xlpm.l,-SUM(IF(_xlpm.d&lt;0,_xlpm.d,0)),IF(_xlpm.l=0,100,100-100/(1+_xlpm.g/_xlpm.l))))</f>
        <v/>
      </c>
      <c r="M73" s="211">
        <f>MAX($E$2:E73)</f>
        <v/>
      </c>
      <c r="N73" s="341">
        <f>E73/M73-1</f>
        <v/>
      </c>
    </row>
    <row r="74">
      <c r="A74" s="424" t="n">
        <v>44567</v>
      </c>
      <c r="B74" s="425" t="n">
        <v>148.1637391018948</v>
      </c>
      <c r="C74" s="425" t="n">
        <v>149.16923617768</v>
      </c>
      <c r="D74" s="425" t="n">
        <v>145.3940681859985</v>
      </c>
      <c r="E74" s="425" t="n">
        <v>147.2039489746094</v>
      </c>
      <c r="F74" s="207" t="n">
        <v>4144600</v>
      </c>
      <c r="G74" s="208" t="n">
        <v>-0.0009394434202099067</v>
      </c>
      <c r="H74" s="209" cm="1">
        <f t="array" ref="H74">IF(ROW()&lt;3,"",E74/INDEX(E:E,ROW()-1)-1)</f>
        <v/>
      </c>
      <c r="I74" s="211">
        <f>IF(ROW()&lt;51,NA(),AVERAGE(INDEX(E:E,ROW()-49):E74))</f>
        <v/>
      </c>
      <c r="J74" s="211">
        <f>IF(ROW()&lt;201,NA(),AVERAGE(INDEX(E:E,ROW()-199):E74))</f>
        <v/>
      </c>
      <c r="K74" s="341">
        <f>IF(ROW()&lt;22,NA(),_xlfn.STDEV.S(INDEX(H:H,ROW()-19):H74)*SQRT(252))</f>
        <v/>
      </c>
      <c r="L74" s="426" cm="1">
        <f t="array" ref="L74">IF(ROW()&lt;17,NA(),_xlfn.LET(_xlpm.d,INDEX(E:E,ROW()-13):E74-INDEX(E:E,ROW()-14):INDEX(E:E,ROW()-1),_xlpm.g,SUM(IF(_xlpm.d&gt;0,_xlpm.d,0)),_xlpm.l,-SUM(IF(_xlpm.d&lt;0,_xlpm.d,0)),IF(_xlpm.l=0,100,100-100/(1+_xlpm.g/_xlpm.l))))</f>
        <v/>
      </c>
      <c r="M74" s="211">
        <f>MAX($E$2:E74)</f>
        <v/>
      </c>
      <c r="N74" s="341">
        <f>E74/M74-1</f>
        <v/>
      </c>
    </row>
    <row r="75">
      <c r="A75" s="424" t="n">
        <v>44568</v>
      </c>
      <c r="B75" s="425" t="n">
        <v>146.9571459372287</v>
      </c>
      <c r="C75" s="425" t="n">
        <v>147.2953522256383</v>
      </c>
      <c r="D75" s="425" t="n">
        <v>143.3830776190248</v>
      </c>
      <c r="E75" s="425" t="n">
        <v>143.4836273193359</v>
      </c>
      <c r="F75" s="207" t="n">
        <v>5108000</v>
      </c>
      <c r="G75" s="208" t="n">
        <v>-0.003953430441838268</v>
      </c>
      <c r="H75" s="209" cm="1">
        <f t="array" ref="H75">IF(ROW()&lt;3,"",E75/INDEX(E:E,ROW()-1)-1)</f>
        <v/>
      </c>
      <c r="I75" s="211">
        <f>IF(ROW()&lt;51,NA(),AVERAGE(INDEX(E:E,ROW()-49):E75))</f>
        <v/>
      </c>
      <c r="J75" s="211">
        <f>IF(ROW()&lt;201,NA(),AVERAGE(INDEX(E:E,ROW()-199):E75))</f>
        <v/>
      </c>
      <c r="K75" s="341">
        <f>IF(ROW()&lt;22,NA(),_xlfn.STDEV.S(INDEX(H:H,ROW()-19):H75)*SQRT(252))</f>
        <v/>
      </c>
      <c r="L75" s="426" cm="1">
        <f t="array" ref="L75">IF(ROW()&lt;17,NA(),_xlfn.LET(_xlpm.d,INDEX(E:E,ROW()-13):E75-INDEX(E:E,ROW()-14):INDEX(E:E,ROW()-1),_xlpm.g,SUM(IF(_xlpm.d&gt;0,_xlpm.d,0)),_xlpm.l,-SUM(IF(_xlpm.d&lt;0,_xlpm.d,0)),IF(_xlpm.l=0,100,100-100/(1+_xlpm.g/_xlpm.l))))</f>
        <v/>
      </c>
      <c r="M75" s="211">
        <f>MAX($E$2:E75)</f>
        <v/>
      </c>
      <c r="N75" s="341">
        <f>E75/M75-1</f>
        <v/>
      </c>
    </row>
    <row r="76">
      <c r="A76" s="424" t="n">
        <v>44571</v>
      </c>
      <c r="B76" s="425" t="n">
        <v>137.5877920179724</v>
      </c>
      <c r="C76" s="425" t="n">
        <v>138.3281970967892</v>
      </c>
      <c r="D76" s="425" t="n">
        <v>135.9972824039131</v>
      </c>
      <c r="E76" s="425" t="n">
        <v>137.5146636962891</v>
      </c>
      <c r="F76" s="207" t="n">
        <v>10439000</v>
      </c>
      <c r="G76" s="208" t="n">
        <v>-0.00124444468007745</v>
      </c>
      <c r="H76" s="209" cm="1">
        <f t="array" ref="H76">IF(ROW()&lt;3,"",E76/INDEX(E:E,ROW()-1)-1)</f>
        <v/>
      </c>
      <c r="I76" s="211">
        <f>IF(ROW()&lt;51,NA(),AVERAGE(INDEX(E:E,ROW()-49):E76))</f>
        <v/>
      </c>
      <c r="J76" s="211">
        <f>IF(ROW()&lt;201,NA(),AVERAGE(INDEX(E:E,ROW()-199):E76))</f>
        <v/>
      </c>
      <c r="K76" s="341">
        <f>IF(ROW()&lt;22,NA(),_xlfn.STDEV.S(INDEX(H:H,ROW()-19):H76)*SQRT(252))</f>
        <v/>
      </c>
      <c r="L76" s="426" cm="1">
        <f t="array" ref="L76">IF(ROW()&lt;17,NA(),_xlfn.LET(_xlpm.d,INDEX(E:E,ROW()-13):E76-INDEX(E:E,ROW()-14):INDEX(E:E,ROW()-1),_xlpm.g,SUM(IF(_xlpm.d&gt;0,_xlpm.d,0)),_xlpm.l,-SUM(IF(_xlpm.d&lt;0,_xlpm.d,0)),IF(_xlpm.l=0,100,100-100/(1+_xlpm.g/_xlpm.l))))</f>
        <v/>
      </c>
      <c r="M76" s="211">
        <f>MAX($E$2:E76)</f>
        <v/>
      </c>
      <c r="N76" s="341">
        <f>E76/M76-1</f>
        <v/>
      </c>
    </row>
    <row r="77">
      <c r="A77" s="424" t="n">
        <v>44572</v>
      </c>
      <c r="B77" s="425" t="n">
        <v>137.551231767166</v>
      </c>
      <c r="C77" s="425" t="n">
        <v>137.8803022668785</v>
      </c>
      <c r="D77" s="425" t="n">
        <v>134.9186817172687</v>
      </c>
      <c r="E77" s="425" t="n">
        <v>137.3867034912109</v>
      </c>
      <c r="F77" s="207" t="n">
        <v>8175400</v>
      </c>
      <c r="G77" s="208" t="n">
        <v>0.009108358701072072</v>
      </c>
      <c r="H77" s="209" cm="1">
        <f t="array" ref="H77">IF(ROW()&lt;3,"",E77/INDEX(E:E,ROW()-1)-1)</f>
        <v/>
      </c>
      <c r="I77" s="211">
        <f>IF(ROW()&lt;51,NA(),AVERAGE(INDEX(E:E,ROW()-49):E77))</f>
        <v/>
      </c>
      <c r="J77" s="211">
        <f>IF(ROW()&lt;201,NA(),AVERAGE(INDEX(E:E,ROW()-199):E77))</f>
        <v/>
      </c>
      <c r="K77" s="341">
        <f>IF(ROW()&lt;22,NA(),_xlfn.STDEV.S(INDEX(H:H,ROW()-19):H77)*SQRT(252))</f>
        <v/>
      </c>
      <c r="L77" s="426" cm="1">
        <f t="array" ref="L77">IF(ROW()&lt;17,NA(),_xlfn.LET(_xlpm.d,INDEX(E:E,ROW()-13):E77-INDEX(E:E,ROW()-14):INDEX(E:E,ROW()-1),_xlpm.g,SUM(IF(_xlpm.d&gt;0,_xlpm.d,0)),_xlpm.l,-SUM(IF(_xlpm.d&lt;0,_xlpm.d,0)),IF(_xlpm.l=0,100,100-100/(1+_xlpm.g/_xlpm.l))))</f>
        <v/>
      </c>
      <c r="M77" s="211">
        <f>MAX($E$2:E77)</f>
        <v/>
      </c>
      <c r="N77" s="341">
        <f>E77/M77-1</f>
        <v/>
      </c>
    </row>
    <row r="78">
      <c r="A78" s="424" t="n">
        <v>44573</v>
      </c>
      <c r="B78" s="425" t="n">
        <v>139.0594705530678</v>
      </c>
      <c r="C78" s="425" t="n">
        <v>140.2752027855327</v>
      </c>
      <c r="D78" s="425" t="n">
        <v>137.7888955646394</v>
      </c>
      <c r="E78" s="425" t="n">
        <v>139.1325988769531</v>
      </c>
      <c r="F78" s="207" t="n">
        <v>6351200</v>
      </c>
      <c r="G78" s="208" t="n">
        <v>0.002703517583765747</v>
      </c>
      <c r="H78" s="209" cm="1">
        <f t="array" ref="H78">IF(ROW()&lt;3,"",E78/INDEX(E:E,ROW()-1)-1)</f>
        <v/>
      </c>
      <c r="I78" s="211">
        <f>IF(ROW()&lt;51,NA(),AVERAGE(INDEX(E:E,ROW()-49):E78))</f>
        <v/>
      </c>
      <c r="J78" s="211">
        <f>IF(ROW()&lt;201,NA(),AVERAGE(INDEX(E:E,ROW()-199):E78))</f>
        <v/>
      </c>
      <c r="K78" s="341">
        <f>IF(ROW()&lt;22,NA(),_xlfn.STDEV.S(INDEX(H:H,ROW()-19):H78)*SQRT(252))</f>
        <v/>
      </c>
      <c r="L78" s="426" cm="1">
        <f t="array" ref="L78">IF(ROW()&lt;17,NA(),_xlfn.LET(_xlpm.d,INDEX(E:E,ROW()-13):E78-INDEX(E:E,ROW()-14):INDEX(E:E,ROW()-1),_xlpm.g,SUM(IF(_xlpm.d&gt;0,_xlpm.d,0)),_xlpm.l,-SUM(IF(_xlpm.d&lt;0,_xlpm.d,0)),IF(_xlpm.l=0,100,100-100/(1+_xlpm.g/_xlpm.l))))</f>
        <v/>
      </c>
      <c r="M78" s="211">
        <f>MAX($E$2:E78)</f>
        <v/>
      </c>
      <c r="N78" s="341">
        <f>E78/M78-1</f>
        <v/>
      </c>
    </row>
    <row r="79">
      <c r="A79" s="424" t="n">
        <v>44574</v>
      </c>
      <c r="B79" s="425" t="n">
        <v>140.0375422987903</v>
      </c>
      <c r="C79" s="425" t="n">
        <v>140.403183944465</v>
      </c>
      <c r="D79" s="425" t="n">
        <v>136.2166812491578</v>
      </c>
      <c r="E79" s="425" t="n">
        <v>136.7377014160156</v>
      </c>
      <c r="F79" s="207" t="n">
        <v>4990900</v>
      </c>
      <c r="G79" s="208" t="n">
        <v>-0.01377865911740239</v>
      </c>
      <c r="H79" s="209" cm="1">
        <f t="array" ref="H79">IF(ROW()&lt;3,"",E79/INDEX(E:E,ROW()-1)-1)</f>
        <v/>
      </c>
      <c r="I79" s="211">
        <f>IF(ROW()&lt;51,NA(),AVERAGE(INDEX(E:E,ROW()-49):E79))</f>
        <v/>
      </c>
      <c r="J79" s="211">
        <f>IF(ROW()&lt;201,NA(),AVERAGE(INDEX(E:E,ROW()-199):E79))</f>
        <v/>
      </c>
      <c r="K79" s="341">
        <f>IF(ROW()&lt;22,NA(),_xlfn.STDEV.S(INDEX(H:H,ROW()-19):H79)*SQRT(252))</f>
        <v/>
      </c>
      <c r="L79" s="426" cm="1">
        <f t="array" ref="L79">IF(ROW()&lt;17,NA(),_xlfn.LET(_xlpm.d,INDEX(E:E,ROW()-13):E79-INDEX(E:E,ROW()-14):INDEX(E:E,ROW()-1),_xlpm.g,SUM(IF(_xlpm.d&gt;0,_xlpm.d,0)),_xlpm.l,-SUM(IF(_xlpm.d&lt;0,_xlpm.d,0)),IF(_xlpm.l=0,100,100-100/(1+_xlpm.g/_xlpm.l))))</f>
        <v/>
      </c>
      <c r="M79" s="211">
        <f>MAX($E$2:E79)</f>
        <v/>
      </c>
      <c r="N79" s="341">
        <f>E79/M79-1</f>
        <v/>
      </c>
    </row>
    <row r="80">
      <c r="A80" s="424" t="n">
        <v>44575</v>
      </c>
      <c r="B80" s="425" t="n">
        <v>135.6407856023718</v>
      </c>
      <c r="C80" s="425" t="n">
        <v>136.0521201925011</v>
      </c>
      <c r="D80" s="425" t="n">
        <v>134.2331038178</v>
      </c>
      <c r="E80" s="425" t="n">
        <v>135.4488220214844</v>
      </c>
      <c r="F80" s="207" t="n">
        <v>6030500</v>
      </c>
      <c r="G80" s="208" t="n">
        <v>0.0004089752534623958</v>
      </c>
      <c r="H80" s="209" cm="1">
        <f t="array" ref="H80">IF(ROW()&lt;3,"",E80/INDEX(E:E,ROW()-1)-1)</f>
        <v/>
      </c>
      <c r="I80" s="211">
        <f>IF(ROW()&lt;51,NA(),AVERAGE(INDEX(E:E,ROW()-49):E80))</f>
        <v/>
      </c>
      <c r="J80" s="211">
        <f>IF(ROW()&lt;201,NA(),AVERAGE(INDEX(E:E,ROW()-199):E80))</f>
        <v/>
      </c>
      <c r="K80" s="341">
        <f>IF(ROW()&lt;22,NA(),_xlfn.STDEV.S(INDEX(H:H,ROW()-19):H80)*SQRT(252))</f>
        <v/>
      </c>
      <c r="L80" s="426" cm="1">
        <f t="array" ref="L80">IF(ROW()&lt;17,NA(),_xlfn.LET(_xlpm.d,INDEX(E:E,ROW()-13):E80-INDEX(E:E,ROW()-14):INDEX(E:E,ROW()-1),_xlpm.g,SUM(IF(_xlpm.d&gt;0,_xlpm.d,0)),_xlpm.l,-SUM(IF(_xlpm.d&lt;0,_xlpm.d,0)),IF(_xlpm.l=0,100,100-100/(1+_xlpm.g/_xlpm.l))))</f>
        <v/>
      </c>
      <c r="M80" s="211">
        <f>MAX($E$2:E80)</f>
        <v/>
      </c>
      <c r="N80" s="341">
        <f>E80/M80-1</f>
        <v/>
      </c>
    </row>
    <row r="81">
      <c r="A81" s="424" t="n">
        <v>44579</v>
      </c>
      <c r="B81" s="425" t="n">
        <v>135.3391722133316</v>
      </c>
      <c r="C81" s="425" t="n">
        <v>136.0430202651618</v>
      </c>
      <c r="D81" s="425" t="n">
        <v>133.7303906140957</v>
      </c>
      <c r="E81" s="425" t="n">
        <v>134.3245391845703</v>
      </c>
      <c r="F81" s="207" t="n">
        <v>6931000</v>
      </c>
      <c r="G81" s="208" t="n">
        <v>-0.01770937210146306</v>
      </c>
      <c r="H81" s="209" cm="1">
        <f t="array" ref="H81">IF(ROW()&lt;3,"",E81/INDEX(E:E,ROW()-1)-1)</f>
        <v/>
      </c>
      <c r="I81" s="211">
        <f>IF(ROW()&lt;51,NA(),AVERAGE(INDEX(E:E,ROW()-49):E81))</f>
        <v/>
      </c>
      <c r="J81" s="211">
        <f>IF(ROW()&lt;201,NA(),AVERAGE(INDEX(E:E,ROW()-199):E81))</f>
        <v/>
      </c>
      <c r="K81" s="341">
        <f>IF(ROW()&lt;22,NA(),_xlfn.STDEV.S(INDEX(H:H,ROW()-19):H81)*SQRT(252))</f>
        <v/>
      </c>
      <c r="L81" s="426" cm="1">
        <f t="array" ref="L81">IF(ROW()&lt;17,NA(),_xlfn.LET(_xlpm.d,INDEX(E:E,ROW()-13):E81-INDEX(E:E,ROW()-14):INDEX(E:E,ROW()-1),_xlpm.g,SUM(IF(_xlpm.d&gt;0,_xlpm.d,0)),_xlpm.l,-SUM(IF(_xlpm.d&lt;0,_xlpm.d,0)),IF(_xlpm.l=0,100,100-100/(1+_xlpm.g/_xlpm.l))))</f>
        <v/>
      </c>
      <c r="M81" s="211">
        <f>MAX($E$2:E81)</f>
        <v/>
      </c>
      <c r="N81" s="341">
        <f>E81/M81-1</f>
        <v/>
      </c>
    </row>
    <row r="82">
      <c r="A82" s="424" t="n">
        <v>44580</v>
      </c>
      <c r="B82" s="425" t="n">
        <v>135.0649234509175</v>
      </c>
      <c r="C82" s="425" t="n">
        <v>136.2898054924536</v>
      </c>
      <c r="D82" s="425" t="n">
        <v>132.5603445051935</v>
      </c>
      <c r="E82" s="425" t="n">
        <v>132.6426086425781</v>
      </c>
      <c r="F82" s="207" t="n">
        <v>4823800</v>
      </c>
      <c r="G82" s="208" t="n">
        <v>-0.01038373093925737</v>
      </c>
      <c r="H82" s="209" cm="1">
        <f t="array" ref="H82">IF(ROW()&lt;3,"",E82/INDEX(E:E,ROW()-1)-1)</f>
        <v/>
      </c>
      <c r="I82" s="211">
        <f>IF(ROW()&lt;51,NA(),AVERAGE(INDEX(E:E,ROW()-49):E82))</f>
        <v/>
      </c>
      <c r="J82" s="211">
        <f>IF(ROW()&lt;201,NA(),AVERAGE(INDEX(E:E,ROW()-199):E82))</f>
        <v/>
      </c>
      <c r="K82" s="341">
        <f>IF(ROW()&lt;22,NA(),_xlfn.STDEV.S(INDEX(H:H,ROW()-19):H82)*SQRT(252))</f>
        <v/>
      </c>
      <c r="L82" s="426" cm="1">
        <f t="array" ref="L82">IF(ROW()&lt;17,NA(),_xlfn.LET(_xlpm.d,INDEX(E:E,ROW()-13):E82-INDEX(E:E,ROW()-14):INDEX(E:E,ROW()-1),_xlpm.g,SUM(IF(_xlpm.d&gt;0,_xlpm.d,0)),_xlpm.l,-SUM(IF(_xlpm.d&lt;0,_xlpm.d,0)),IF(_xlpm.l=0,100,100-100/(1+_xlpm.g/_xlpm.l))))</f>
        <v/>
      </c>
      <c r="M82" s="211">
        <f>MAX($E$2:E82)</f>
        <v/>
      </c>
      <c r="N82" s="341">
        <f>E82/M82-1</f>
        <v/>
      </c>
    </row>
    <row r="83">
      <c r="A83" s="424" t="n">
        <v>44581</v>
      </c>
      <c r="B83" s="425" t="n">
        <v>132.9625438855122</v>
      </c>
      <c r="C83" s="425" t="n">
        <v>134.7175818960677</v>
      </c>
      <c r="D83" s="425" t="n">
        <v>130.2568515685294</v>
      </c>
      <c r="E83" s="425" t="n">
        <v>130.4670867919922</v>
      </c>
      <c r="F83" s="207" t="n">
        <v>5366500</v>
      </c>
      <c r="G83" s="208" t="n">
        <v>-0.01106811773335159</v>
      </c>
      <c r="H83" s="209" cm="1">
        <f t="array" ref="H83">IF(ROW()&lt;3,"",E83/INDEX(E:E,ROW()-1)-1)</f>
        <v/>
      </c>
      <c r="I83" s="211">
        <f>IF(ROW()&lt;51,NA(),AVERAGE(INDEX(E:E,ROW()-49):E83))</f>
        <v/>
      </c>
      <c r="J83" s="211">
        <f>IF(ROW()&lt;201,NA(),AVERAGE(INDEX(E:E,ROW()-199):E83))</f>
        <v/>
      </c>
      <c r="K83" s="341">
        <f>IF(ROW()&lt;22,NA(),_xlfn.STDEV.S(INDEX(H:H,ROW()-19):H83)*SQRT(252))</f>
        <v/>
      </c>
      <c r="L83" s="426" cm="1">
        <f t="array" ref="L83">IF(ROW()&lt;17,NA(),_xlfn.LET(_xlpm.d,INDEX(E:E,ROW()-13):E83-INDEX(E:E,ROW()-14):INDEX(E:E,ROW()-1),_xlpm.g,SUM(IF(_xlpm.d&gt;0,_xlpm.d,0)),_xlpm.l,-SUM(IF(_xlpm.d&lt;0,_xlpm.d,0)),IF(_xlpm.l=0,100,100-100/(1+_xlpm.g/_xlpm.l))))</f>
        <v/>
      </c>
      <c r="M83" s="211">
        <f>MAX($E$2:E83)</f>
        <v/>
      </c>
      <c r="N83" s="341">
        <f>E83/M83-1</f>
        <v/>
      </c>
    </row>
    <row r="84">
      <c r="A84" s="424" t="n">
        <v>44582</v>
      </c>
      <c r="B84" s="425" t="n">
        <v>131.9204703571966</v>
      </c>
      <c r="C84" s="425" t="n">
        <v>133.7851936122861</v>
      </c>
      <c r="D84" s="425" t="n">
        <v>130.5767671794026</v>
      </c>
      <c r="E84" s="425" t="n">
        <v>130.6681671142578</v>
      </c>
      <c r="F84" s="207" t="n">
        <v>7553400</v>
      </c>
      <c r="G84" s="208" t="n">
        <v>-0.01963050902424812</v>
      </c>
      <c r="H84" s="209" cm="1">
        <f t="array" ref="H84">IF(ROW()&lt;3,"",E84/INDEX(E:E,ROW()-1)-1)</f>
        <v/>
      </c>
      <c r="I84" s="211">
        <f>IF(ROW()&lt;51,NA(),AVERAGE(INDEX(E:E,ROW()-49):E84))</f>
        <v/>
      </c>
      <c r="J84" s="211">
        <f>IF(ROW()&lt;201,NA(),AVERAGE(INDEX(E:E,ROW()-199):E84))</f>
        <v/>
      </c>
      <c r="K84" s="341">
        <f>IF(ROW()&lt;22,NA(),_xlfn.STDEV.S(INDEX(H:H,ROW()-19):H84)*SQRT(252))</f>
        <v/>
      </c>
      <c r="L84" s="426" cm="1">
        <f t="array" ref="L84">IF(ROW()&lt;17,NA(),_xlfn.LET(_xlpm.d,INDEX(E:E,ROW()-13):E84-INDEX(E:E,ROW()-14):INDEX(E:E,ROW()-1),_xlpm.g,SUM(IF(_xlpm.d&gt;0,_xlpm.d,0)),_xlpm.l,-SUM(IF(_xlpm.d&lt;0,_xlpm.d,0)),IF(_xlpm.l=0,100,100-100/(1+_xlpm.g/_xlpm.l))))</f>
        <v/>
      </c>
      <c r="M84" s="211">
        <f>MAX($E$2:E84)</f>
        <v/>
      </c>
      <c r="N84" s="341">
        <f>E84/M84-1</f>
        <v/>
      </c>
    </row>
    <row r="85">
      <c r="A85" s="424" t="n">
        <v>44585</v>
      </c>
      <c r="B85" s="425" t="n">
        <v>128.7120228019632</v>
      </c>
      <c r="C85" s="425" t="n">
        <v>133.7394792161729</v>
      </c>
      <c r="D85" s="425" t="n">
        <v>127.569419071461</v>
      </c>
      <c r="E85" s="425" t="n">
        <v>133.4561157226562</v>
      </c>
      <c r="F85" s="207" t="n">
        <v>9733200</v>
      </c>
      <c r="G85" s="208" t="n">
        <v>0.004246803372172314</v>
      </c>
      <c r="H85" s="209" cm="1">
        <f t="array" ref="H85">IF(ROW()&lt;3,"",E85/INDEX(E:E,ROW()-1)-1)</f>
        <v/>
      </c>
      <c r="I85" s="211">
        <f>IF(ROW()&lt;51,NA(),AVERAGE(INDEX(E:E,ROW()-49):E85))</f>
        <v/>
      </c>
      <c r="J85" s="211">
        <f>IF(ROW()&lt;201,NA(),AVERAGE(INDEX(E:E,ROW()-199):E85))</f>
        <v/>
      </c>
      <c r="K85" s="341">
        <f>IF(ROW()&lt;22,NA(),_xlfn.STDEV.S(INDEX(H:H,ROW()-19):H85)*SQRT(252))</f>
        <v/>
      </c>
      <c r="L85" s="426" cm="1">
        <f t="array" ref="L85">IF(ROW()&lt;17,NA(),_xlfn.LET(_xlpm.d,INDEX(E:E,ROW()-13):E85-INDEX(E:E,ROW()-14):INDEX(E:E,ROW()-1),_xlpm.g,SUM(IF(_xlpm.d&gt;0,_xlpm.d,0)),_xlpm.l,-SUM(IF(_xlpm.d&lt;0,_xlpm.d,0)),IF(_xlpm.l=0,100,100-100/(1+_xlpm.g/_xlpm.l))))</f>
        <v/>
      </c>
      <c r="M85" s="211">
        <f>MAX($E$2:E85)</f>
        <v/>
      </c>
      <c r="N85" s="341">
        <f>E85/M85-1</f>
        <v/>
      </c>
    </row>
    <row r="86">
      <c r="A86" s="424" t="n">
        <v>44586</v>
      </c>
      <c r="B86" s="425" t="n">
        <v>132.5145966766153</v>
      </c>
      <c r="C86" s="425" t="n">
        <v>135.2477095182458</v>
      </c>
      <c r="D86" s="425" t="n">
        <v>130.2659466471958</v>
      </c>
      <c r="E86" s="425" t="n">
        <v>132.9807739257812</v>
      </c>
      <c r="F86" s="207" t="n">
        <v>8195400</v>
      </c>
      <c r="G86" s="208" t="n">
        <v>-0.01220913758883435</v>
      </c>
      <c r="H86" s="209" cm="1">
        <f t="array" ref="H86">IF(ROW()&lt;3,"",E86/INDEX(E:E,ROW()-1)-1)</f>
        <v/>
      </c>
      <c r="I86" s="211">
        <f>IF(ROW()&lt;51,NA(),AVERAGE(INDEX(E:E,ROW()-49):E86))</f>
        <v/>
      </c>
      <c r="J86" s="211">
        <f>IF(ROW()&lt;201,NA(),AVERAGE(INDEX(E:E,ROW()-199):E86))</f>
        <v/>
      </c>
      <c r="K86" s="341">
        <f>IF(ROW()&lt;22,NA(),_xlfn.STDEV.S(INDEX(H:H,ROW()-19):H86)*SQRT(252))</f>
        <v/>
      </c>
      <c r="L86" s="426" cm="1">
        <f t="array" ref="L86">IF(ROW()&lt;17,NA(),_xlfn.LET(_xlpm.d,INDEX(E:E,ROW()-13):E86-INDEX(E:E,ROW()-14):INDEX(E:E,ROW()-1),_xlpm.g,SUM(IF(_xlpm.d&gt;0,_xlpm.d,0)),_xlpm.l,-SUM(IF(_xlpm.d&lt;0,_xlpm.d,0)),IF(_xlpm.l=0,100,100-100/(1+_xlpm.g/_xlpm.l))))</f>
        <v/>
      </c>
      <c r="M86" s="211">
        <f>MAX($E$2:E86)</f>
        <v/>
      </c>
      <c r="N86" s="341">
        <f>E86/M86-1</f>
        <v/>
      </c>
    </row>
    <row r="87">
      <c r="A87" s="424" t="n">
        <v>44587</v>
      </c>
      <c r="B87" s="425" t="n">
        <v>135.0831730682432</v>
      </c>
      <c r="C87" s="425" t="n">
        <v>136.1709339768367</v>
      </c>
      <c r="D87" s="425" t="n">
        <v>130.4670515235777</v>
      </c>
      <c r="E87" s="425" t="n">
        <v>131.6188049316406</v>
      </c>
      <c r="F87" s="207" t="n">
        <v>7444600</v>
      </c>
      <c r="G87" s="208" t="n">
        <v>-0.002508678634614903</v>
      </c>
      <c r="H87" s="209" cm="1">
        <f t="array" ref="H87">IF(ROW()&lt;3,"",E87/INDEX(E:E,ROW()-1)-1)</f>
        <v/>
      </c>
      <c r="I87" s="211">
        <f>IF(ROW()&lt;51,NA(),AVERAGE(INDEX(E:E,ROW()-49):E87))</f>
        <v/>
      </c>
      <c r="J87" s="211">
        <f>IF(ROW()&lt;201,NA(),AVERAGE(INDEX(E:E,ROW()-199):E87))</f>
        <v/>
      </c>
      <c r="K87" s="341">
        <f>IF(ROW()&lt;22,NA(),_xlfn.STDEV.S(INDEX(H:H,ROW()-19):H87)*SQRT(252))</f>
        <v/>
      </c>
      <c r="L87" s="426" cm="1">
        <f t="array" ref="L87">IF(ROW()&lt;17,NA(),_xlfn.LET(_xlpm.d,INDEX(E:E,ROW()-13):E87-INDEX(E:E,ROW()-14):INDEX(E:E,ROW()-1),_xlpm.g,SUM(IF(_xlpm.d&gt;0,_xlpm.d,0)),_xlpm.l,-SUM(IF(_xlpm.d&lt;0,_xlpm.d,0)),IF(_xlpm.l=0,100,100-100/(1+_xlpm.g/_xlpm.l))))</f>
        <v/>
      </c>
      <c r="M87" s="211">
        <f>MAX($E$2:E87)</f>
        <v/>
      </c>
      <c r="N87" s="341">
        <f>E87/M87-1</f>
        <v/>
      </c>
    </row>
    <row r="88">
      <c r="A88" s="424" t="n">
        <v>44588</v>
      </c>
      <c r="B88" s="425" t="n">
        <v>132.5329474409072</v>
      </c>
      <c r="C88" s="425" t="n">
        <v>134.690184664179</v>
      </c>
      <c r="D88" s="425" t="n">
        <v>131.244086594215</v>
      </c>
      <c r="E88" s="425" t="n">
        <v>132.2130126953125</v>
      </c>
      <c r="F88" s="207" t="n">
        <v>6396400</v>
      </c>
      <c r="G88" s="208" t="n">
        <v>-0.004938070241552683</v>
      </c>
      <c r="H88" s="209" cm="1">
        <f t="array" ref="H88">IF(ROW()&lt;3,"",E88/INDEX(E:E,ROW()-1)-1)</f>
        <v/>
      </c>
      <c r="I88" s="211">
        <f>IF(ROW()&lt;51,NA(),AVERAGE(INDEX(E:E,ROW()-49):E88))</f>
        <v/>
      </c>
      <c r="J88" s="211">
        <f>IF(ROW()&lt;201,NA(),AVERAGE(INDEX(E:E,ROW()-199):E88))</f>
        <v/>
      </c>
      <c r="K88" s="341">
        <f>IF(ROW()&lt;22,NA(),_xlfn.STDEV.S(INDEX(H:H,ROW()-19):H88)*SQRT(252))</f>
        <v/>
      </c>
      <c r="L88" s="426" cm="1">
        <f t="array" ref="L88">IF(ROW()&lt;17,NA(),_xlfn.LET(_xlpm.d,INDEX(E:E,ROW()-13):E88-INDEX(E:E,ROW()-14):INDEX(E:E,ROW()-1),_xlpm.g,SUM(IF(_xlpm.d&gt;0,_xlpm.d,0)),_xlpm.l,-SUM(IF(_xlpm.d&lt;0,_xlpm.d,0)),IF(_xlpm.l=0,100,100-100/(1+_xlpm.g/_xlpm.l))))</f>
        <v/>
      </c>
      <c r="M88" s="211">
        <f>MAX($E$2:E88)</f>
        <v/>
      </c>
      <c r="N88" s="341">
        <f>E88/M88-1</f>
        <v/>
      </c>
    </row>
    <row r="89">
      <c r="A89" s="424" t="n">
        <v>44589</v>
      </c>
      <c r="B89" s="425" t="n">
        <v>131.7376391890333</v>
      </c>
      <c r="C89" s="425" t="n">
        <v>133.4835410889335</v>
      </c>
      <c r="D89" s="425" t="n">
        <v>128.5292128390251</v>
      </c>
      <c r="E89" s="425" t="n">
        <v>133.3738555908203</v>
      </c>
      <c r="F89" s="207" t="n">
        <v>6130200</v>
      </c>
      <c r="G89" s="208" t="n">
        <v>0.02483542274369022</v>
      </c>
      <c r="H89" s="209" cm="1">
        <f t="array" ref="H89">IF(ROW()&lt;3,"",E89/INDEX(E:E,ROW()-1)-1)</f>
        <v/>
      </c>
      <c r="I89" s="211">
        <f>IF(ROW()&lt;51,NA(),AVERAGE(INDEX(E:E,ROW()-49):E89))</f>
        <v/>
      </c>
      <c r="J89" s="211">
        <f>IF(ROW()&lt;201,NA(),AVERAGE(INDEX(E:E,ROW()-199):E89))</f>
        <v/>
      </c>
      <c r="K89" s="341">
        <f>IF(ROW()&lt;22,NA(),_xlfn.STDEV.S(INDEX(H:H,ROW()-19):H89)*SQRT(252))</f>
        <v/>
      </c>
      <c r="L89" s="426" cm="1">
        <f t="array" ref="L89">IF(ROW()&lt;17,NA(),_xlfn.LET(_xlpm.d,INDEX(E:E,ROW()-13):E89-INDEX(E:E,ROW()-14):INDEX(E:E,ROW()-1),_xlpm.g,SUM(IF(_xlpm.d&gt;0,_xlpm.d,0)),_xlpm.l,-SUM(IF(_xlpm.d&lt;0,_xlpm.d,0)),IF(_xlpm.l=0,100,100-100/(1+_xlpm.g/_xlpm.l))))</f>
        <v/>
      </c>
      <c r="M89" s="211">
        <f>MAX($E$2:E89)</f>
        <v/>
      </c>
      <c r="N89" s="341">
        <f>E89/M89-1</f>
        <v/>
      </c>
    </row>
    <row r="90">
      <c r="A90" s="424" t="n">
        <v>44592</v>
      </c>
      <c r="B90" s="425" t="n">
        <v>133.7029597522822</v>
      </c>
      <c r="C90" s="425" t="n">
        <v>135.4488481446882</v>
      </c>
      <c r="D90" s="425" t="n">
        <v>132.7431695583376</v>
      </c>
      <c r="E90" s="425" t="n">
        <v>135.3483123779297</v>
      </c>
      <c r="F90" s="207" t="n">
        <v>6932200</v>
      </c>
      <c r="G90" s="208" t="n">
        <v>0.01801108055006351</v>
      </c>
      <c r="H90" s="209" cm="1">
        <f t="array" ref="H90">IF(ROW()&lt;3,"",E90/INDEX(E:E,ROW()-1)-1)</f>
        <v/>
      </c>
      <c r="I90" s="211">
        <f>IF(ROW()&lt;51,NA(),AVERAGE(INDEX(E:E,ROW()-49):E90))</f>
        <v/>
      </c>
      <c r="J90" s="211">
        <f>IF(ROW()&lt;201,NA(),AVERAGE(INDEX(E:E,ROW()-199):E90))</f>
        <v/>
      </c>
      <c r="K90" s="341">
        <f>IF(ROW()&lt;22,NA(),_xlfn.STDEV.S(INDEX(H:H,ROW()-19):H90)*SQRT(252))</f>
        <v/>
      </c>
      <c r="L90" s="426" cm="1">
        <f t="array" ref="L90">IF(ROW()&lt;17,NA(),_xlfn.LET(_xlpm.d,INDEX(E:E,ROW()-13):E90-INDEX(E:E,ROW()-14):INDEX(E:E,ROW()-1),_xlpm.g,SUM(IF(_xlpm.d&gt;0,_xlpm.d,0)),_xlpm.l,-SUM(IF(_xlpm.d&lt;0,_xlpm.d,0)),IF(_xlpm.l=0,100,100-100/(1+_xlpm.g/_xlpm.l))))</f>
        <v/>
      </c>
      <c r="M90" s="211">
        <f>MAX($E$2:E90)</f>
        <v/>
      </c>
      <c r="N90" s="341">
        <f>E90/M90-1</f>
        <v/>
      </c>
    </row>
    <row r="91">
      <c r="A91" s="424" t="n">
        <v>44593</v>
      </c>
      <c r="B91" s="425" t="n">
        <v>136.6554071930643</v>
      </c>
      <c r="C91" s="425" t="n">
        <v>136.819935436547</v>
      </c>
      <c r="D91" s="425" t="n">
        <v>134.1873859062278</v>
      </c>
      <c r="E91" s="425" t="n">
        <v>135.4853820800781</v>
      </c>
      <c r="F91" s="207" t="n">
        <v>6695000</v>
      </c>
      <c r="G91" s="208" t="n">
        <v>0.006756963308037101</v>
      </c>
      <c r="H91" s="209" cm="1">
        <f t="array" ref="H91">IF(ROW()&lt;3,"",E91/INDEX(E:E,ROW()-1)-1)</f>
        <v/>
      </c>
      <c r="I91" s="211">
        <f>IF(ROW()&lt;51,NA(),AVERAGE(INDEX(E:E,ROW()-49):E91))</f>
        <v/>
      </c>
      <c r="J91" s="211">
        <f>IF(ROW()&lt;201,NA(),AVERAGE(INDEX(E:E,ROW()-199):E91))</f>
        <v/>
      </c>
      <c r="K91" s="341">
        <f>IF(ROW()&lt;22,NA(),_xlfn.STDEV.S(INDEX(H:H,ROW()-19):H91)*SQRT(252))</f>
        <v/>
      </c>
      <c r="L91" s="426" cm="1">
        <f t="array" ref="L91">IF(ROW()&lt;17,NA(),_xlfn.LET(_xlpm.d,INDEX(E:E,ROW()-13):E91-INDEX(E:E,ROW()-14):INDEX(E:E,ROW()-1),_xlpm.g,SUM(IF(_xlpm.d&gt;0,_xlpm.d,0)),_xlpm.l,-SUM(IF(_xlpm.d&lt;0,_xlpm.d,0)),IF(_xlpm.l=0,100,100-100/(1+_xlpm.g/_xlpm.l))))</f>
        <v/>
      </c>
      <c r="M91" s="211">
        <f>MAX($E$2:E91)</f>
        <v/>
      </c>
      <c r="N91" s="341">
        <f>E91/M91-1</f>
        <v/>
      </c>
    </row>
    <row r="92">
      <c r="A92" s="424" t="n">
        <v>44594</v>
      </c>
      <c r="B92" s="425" t="n">
        <v>135.60423335935</v>
      </c>
      <c r="C92" s="425" t="n">
        <v>136.6188661574782</v>
      </c>
      <c r="D92" s="425" t="n">
        <v>134.8546785229846</v>
      </c>
      <c r="E92" s="425" t="n">
        <v>135.9333038330078</v>
      </c>
      <c r="F92" s="207" t="n">
        <v>5491700</v>
      </c>
      <c r="G92" s="208" t="n">
        <v>0.009714029631795906</v>
      </c>
      <c r="H92" s="209" cm="1">
        <f t="array" ref="H92">IF(ROW()&lt;3,"",E92/INDEX(E:E,ROW()-1)-1)</f>
        <v/>
      </c>
      <c r="I92" s="211">
        <f>IF(ROW()&lt;51,NA(),AVERAGE(INDEX(E:E,ROW()-49):E92))</f>
        <v/>
      </c>
      <c r="J92" s="211">
        <f>IF(ROW()&lt;201,NA(),AVERAGE(INDEX(E:E,ROW()-199):E92))</f>
        <v/>
      </c>
      <c r="K92" s="341">
        <f>IF(ROW()&lt;22,NA(),_xlfn.STDEV.S(INDEX(H:H,ROW()-19):H92)*SQRT(252))</f>
        <v/>
      </c>
      <c r="L92" s="426" cm="1">
        <f t="array" ref="L92">IF(ROW()&lt;17,NA(),_xlfn.LET(_xlpm.d,INDEX(E:E,ROW()-13):E92-INDEX(E:E,ROW()-14):INDEX(E:E,ROW()-1),_xlpm.g,SUM(IF(_xlpm.d&gt;0,_xlpm.d,0)),_xlpm.l,-SUM(IF(_xlpm.d&lt;0,_xlpm.d,0)),IF(_xlpm.l=0,100,100-100/(1+_xlpm.g/_xlpm.l))))</f>
        <v/>
      </c>
      <c r="M92" s="211">
        <f>MAX($E$2:E92)</f>
        <v/>
      </c>
      <c r="N92" s="341">
        <f>E92/M92-1</f>
        <v/>
      </c>
    </row>
    <row r="93">
      <c r="A93" s="424" t="n">
        <v>44595</v>
      </c>
      <c r="B93" s="425" t="n">
        <v>134.7358701647063</v>
      </c>
      <c r="C93" s="425" t="n">
        <v>135.7048101596165</v>
      </c>
      <c r="D93" s="425" t="n">
        <v>132.5146544847709</v>
      </c>
      <c r="E93" s="425" t="n">
        <v>132.825439453125</v>
      </c>
      <c r="F93" s="207" t="n">
        <v>5240200</v>
      </c>
      <c r="G93" s="208" t="n">
        <v>-0.02350487551527247</v>
      </c>
      <c r="H93" s="209" cm="1">
        <f t="array" ref="H93">IF(ROW()&lt;3,"",E93/INDEX(E:E,ROW()-1)-1)</f>
        <v/>
      </c>
      <c r="I93" s="211">
        <f>IF(ROW()&lt;51,NA(),AVERAGE(INDEX(E:E,ROW()-49):E93))</f>
        <v/>
      </c>
      <c r="J93" s="211">
        <f>IF(ROW()&lt;201,NA(),AVERAGE(INDEX(E:E,ROW()-199):E93))</f>
        <v/>
      </c>
      <c r="K93" s="341">
        <f>IF(ROW()&lt;22,NA(),_xlfn.STDEV.S(INDEX(H:H,ROW()-19):H93)*SQRT(252))</f>
        <v/>
      </c>
      <c r="L93" s="426" cm="1">
        <f t="array" ref="L93">IF(ROW()&lt;17,NA(),_xlfn.LET(_xlpm.d,INDEX(E:E,ROW()-13):E93-INDEX(E:E,ROW()-14):INDEX(E:E,ROW()-1),_xlpm.g,SUM(IF(_xlpm.d&gt;0,_xlpm.d,0)),_xlpm.l,-SUM(IF(_xlpm.d&lt;0,_xlpm.d,0)),IF(_xlpm.l=0,100,100-100/(1+_xlpm.g/_xlpm.l))))</f>
        <v/>
      </c>
      <c r="M93" s="211">
        <f>MAX($E$2:E93)</f>
        <v/>
      </c>
      <c r="N93" s="341">
        <f>E93/M93-1</f>
        <v/>
      </c>
    </row>
    <row r="94">
      <c r="A94" s="424" t="n">
        <v>44596</v>
      </c>
      <c r="B94" s="425" t="n">
        <v>132.8802740004214</v>
      </c>
      <c r="C94" s="425" t="n">
        <v>133.8949069384307</v>
      </c>
      <c r="D94" s="425" t="n">
        <v>131.2989139260151</v>
      </c>
      <c r="E94" s="425" t="n">
        <v>132.8985595703125</v>
      </c>
      <c r="F94" s="207" t="n">
        <v>4313400</v>
      </c>
      <c r="G94" s="208" t="n">
        <v>0.004702128742342548</v>
      </c>
      <c r="H94" s="209" cm="1">
        <f t="array" ref="H94">IF(ROW()&lt;3,"",E94/INDEX(E:E,ROW()-1)-1)</f>
        <v/>
      </c>
      <c r="I94" s="211">
        <f>IF(ROW()&lt;51,NA(),AVERAGE(INDEX(E:E,ROW()-49):E94))</f>
        <v/>
      </c>
      <c r="J94" s="211">
        <f>IF(ROW()&lt;201,NA(),AVERAGE(INDEX(E:E,ROW()-199):E94))</f>
        <v/>
      </c>
      <c r="K94" s="341">
        <f>IF(ROW()&lt;22,NA(),_xlfn.STDEV.S(INDEX(H:H,ROW()-19):H94)*SQRT(252))</f>
        <v/>
      </c>
      <c r="L94" s="426" cm="1">
        <f t="array" ref="L94">IF(ROW()&lt;17,NA(),_xlfn.LET(_xlpm.d,INDEX(E:E,ROW()-13):E94-INDEX(E:E,ROW()-14):INDEX(E:E,ROW()-1),_xlpm.g,SUM(IF(_xlpm.d&gt;0,_xlpm.d,0)),_xlpm.l,-SUM(IF(_xlpm.d&lt;0,_xlpm.d,0)),IF(_xlpm.l=0,100,100-100/(1+_xlpm.g/_xlpm.l))))</f>
        <v/>
      </c>
      <c r="M94" s="211">
        <f>MAX($E$2:E94)</f>
        <v/>
      </c>
      <c r="N94" s="341">
        <f>E94/M94-1</f>
        <v/>
      </c>
    </row>
    <row r="95">
      <c r="A95" s="424" t="n">
        <v>44599</v>
      </c>
      <c r="B95" s="425" t="n">
        <v>132.8162547877158</v>
      </c>
      <c r="C95" s="425" t="n">
        <v>133.5657955502663</v>
      </c>
      <c r="D95" s="425" t="n">
        <v>131.8290435327135</v>
      </c>
      <c r="E95" s="425" t="n">
        <v>132.6699981689453</v>
      </c>
      <c r="F95" s="207" t="n">
        <v>3877500</v>
      </c>
      <c r="G95" s="208" t="n">
        <v>-0.003209404707962604</v>
      </c>
      <c r="H95" s="209" cm="1">
        <f t="array" ref="H95">IF(ROW()&lt;3,"",E95/INDEX(E:E,ROW()-1)-1)</f>
        <v/>
      </c>
      <c r="I95" s="211">
        <f>IF(ROW()&lt;51,NA(),AVERAGE(INDEX(E:E,ROW()-49):E95))</f>
        <v/>
      </c>
      <c r="J95" s="211">
        <f>IF(ROW()&lt;201,NA(),AVERAGE(INDEX(E:E,ROW()-199):E95))</f>
        <v/>
      </c>
      <c r="K95" s="341">
        <f>IF(ROW()&lt;22,NA(),_xlfn.STDEV.S(INDEX(H:H,ROW()-19):H95)*SQRT(252))</f>
        <v/>
      </c>
      <c r="L95" s="426" cm="1">
        <f t="array" ref="L95">IF(ROW()&lt;17,NA(),_xlfn.LET(_xlpm.d,INDEX(E:E,ROW()-13):E95-INDEX(E:E,ROW()-14):INDEX(E:E,ROW()-1),_xlpm.g,SUM(IF(_xlpm.d&gt;0,_xlpm.d,0)),_xlpm.l,-SUM(IF(_xlpm.d&lt;0,_xlpm.d,0)),IF(_xlpm.l=0,100,100-100/(1+_xlpm.g/_xlpm.l))))</f>
        <v/>
      </c>
      <c r="M95" s="211">
        <f>MAX($E$2:E95)</f>
        <v/>
      </c>
      <c r="N95" s="341">
        <f>E95/M95-1</f>
        <v/>
      </c>
    </row>
    <row r="96">
      <c r="A96" s="424" t="n">
        <v>44600</v>
      </c>
      <c r="B96" s="425" t="n">
        <v>132.3043649355719</v>
      </c>
      <c r="C96" s="425" t="n">
        <v>132.9990629234492</v>
      </c>
      <c r="D96" s="425" t="n">
        <v>130.0740004115997</v>
      </c>
      <c r="E96" s="425" t="n">
        <v>131.1983184814453</v>
      </c>
      <c r="F96" s="207" t="n">
        <v>5829400</v>
      </c>
      <c r="G96" s="208" t="n">
        <v>0.008227961241302539</v>
      </c>
      <c r="H96" s="209" cm="1">
        <f t="array" ref="H96">IF(ROW()&lt;3,"",E96/INDEX(E:E,ROW()-1)-1)</f>
        <v/>
      </c>
      <c r="I96" s="211">
        <f>IF(ROW()&lt;51,NA(),AVERAGE(INDEX(E:E,ROW()-49):E96))</f>
        <v/>
      </c>
      <c r="J96" s="211">
        <f>IF(ROW()&lt;201,NA(),AVERAGE(INDEX(E:E,ROW()-199):E96))</f>
        <v/>
      </c>
      <c r="K96" s="341">
        <f>IF(ROW()&lt;22,NA(),_xlfn.STDEV.S(INDEX(H:H,ROW()-19):H96)*SQRT(252))</f>
        <v/>
      </c>
      <c r="L96" s="426" cm="1">
        <f t="array" ref="L96">IF(ROW()&lt;17,NA(),_xlfn.LET(_xlpm.d,INDEX(E:E,ROW()-13):E96-INDEX(E:E,ROW()-14):INDEX(E:E,ROW()-1),_xlpm.g,SUM(IF(_xlpm.d&gt;0,_xlpm.d,0)),_xlpm.l,-SUM(IF(_xlpm.d&lt;0,_xlpm.d,0)),IF(_xlpm.l=0,100,100-100/(1+_xlpm.g/_xlpm.l))))</f>
        <v/>
      </c>
      <c r="M96" s="211">
        <f>MAX($E$2:E96)</f>
        <v/>
      </c>
      <c r="N96" s="341">
        <f>E96/M96-1</f>
        <v/>
      </c>
    </row>
    <row r="97">
      <c r="A97" s="424" t="n">
        <v>44601</v>
      </c>
      <c r="B97" s="425" t="n">
        <v>133.5566644947027</v>
      </c>
      <c r="C97" s="425" t="n">
        <v>134.6992682173841</v>
      </c>
      <c r="D97" s="425" t="n">
        <v>133.1544657526709</v>
      </c>
      <c r="E97" s="425" t="n">
        <v>133.6937713623047</v>
      </c>
      <c r="F97" s="207" t="n">
        <v>4551000</v>
      </c>
      <c r="G97" s="208" t="n">
        <v>0.01463599394878878</v>
      </c>
      <c r="H97" s="209" cm="1">
        <f t="array" ref="H97">IF(ROW()&lt;3,"",E97/INDEX(E:E,ROW()-1)-1)</f>
        <v/>
      </c>
      <c r="I97" s="211">
        <f>IF(ROW()&lt;51,NA(),AVERAGE(INDEX(E:E,ROW()-49):E97))</f>
        <v/>
      </c>
      <c r="J97" s="211">
        <f>IF(ROW()&lt;201,NA(),AVERAGE(INDEX(E:E,ROW()-199):E97))</f>
        <v/>
      </c>
      <c r="K97" s="341">
        <f>IF(ROW()&lt;22,NA(),_xlfn.STDEV.S(INDEX(H:H,ROW()-19):H97)*SQRT(252))</f>
        <v/>
      </c>
      <c r="L97" s="426" cm="1">
        <f t="array" ref="L97">IF(ROW()&lt;17,NA(),_xlfn.LET(_xlpm.d,INDEX(E:E,ROW()-13):E97-INDEX(E:E,ROW()-14):INDEX(E:E,ROW()-1),_xlpm.g,SUM(IF(_xlpm.d&gt;0,_xlpm.d,0)),_xlpm.l,-SUM(IF(_xlpm.d&lt;0,_xlpm.d,0)),IF(_xlpm.l=0,100,100-100/(1+_xlpm.g/_xlpm.l))))</f>
        <v/>
      </c>
      <c r="M97" s="211">
        <f>MAX($E$2:E97)</f>
        <v/>
      </c>
      <c r="N97" s="341">
        <f>E97/M97-1</f>
        <v/>
      </c>
    </row>
    <row r="98">
      <c r="A98" s="424" t="n">
        <v>44602</v>
      </c>
      <c r="B98" s="425" t="n">
        <v>131.5914056972859</v>
      </c>
      <c r="C98" s="425" t="n">
        <v>134.8638108337915</v>
      </c>
      <c r="D98" s="425" t="n">
        <v>131.4908560010603</v>
      </c>
      <c r="E98" s="425" t="n">
        <v>132.3775177001953</v>
      </c>
      <c r="F98" s="207" t="n">
        <v>5142600</v>
      </c>
      <c r="G98" s="208" t="n">
        <v>-0.01796553354920016</v>
      </c>
      <c r="H98" s="209" cm="1">
        <f t="array" ref="H98">IF(ROW()&lt;3,"",E98/INDEX(E:E,ROW()-1)-1)</f>
        <v/>
      </c>
      <c r="I98" s="211">
        <f>IF(ROW()&lt;51,NA(),AVERAGE(INDEX(E:E,ROW()-49):E98))</f>
        <v/>
      </c>
      <c r="J98" s="211">
        <f>IF(ROW()&lt;201,NA(),AVERAGE(INDEX(E:E,ROW()-199):E98))</f>
        <v/>
      </c>
      <c r="K98" s="341">
        <f>IF(ROW()&lt;22,NA(),_xlfn.STDEV.S(INDEX(H:H,ROW()-19):H98)*SQRT(252))</f>
        <v/>
      </c>
      <c r="L98" s="426" cm="1">
        <f t="array" ref="L98">IF(ROW()&lt;17,NA(),_xlfn.LET(_xlpm.d,INDEX(E:E,ROW()-13):E98-INDEX(E:E,ROW()-14):INDEX(E:E,ROW()-1),_xlpm.g,SUM(IF(_xlpm.d&gt;0,_xlpm.d,0)),_xlpm.l,-SUM(IF(_xlpm.d&lt;0,_xlpm.d,0)),IF(_xlpm.l=0,100,100-100/(1+_xlpm.g/_xlpm.l))))</f>
        <v/>
      </c>
      <c r="M98" s="211">
        <f>MAX($E$2:E98)</f>
        <v/>
      </c>
      <c r="N98" s="341">
        <f>E98/M98-1</f>
        <v/>
      </c>
    </row>
    <row r="99">
      <c r="A99" s="424" t="n">
        <v>44603</v>
      </c>
      <c r="B99" s="425" t="n">
        <v>132.3226719396078</v>
      </c>
      <c r="C99" s="425" t="n">
        <v>132.5968996745139</v>
      </c>
      <c r="D99" s="425" t="n">
        <v>127.5694423431759</v>
      </c>
      <c r="E99" s="425" t="n">
        <v>128.1361694335938</v>
      </c>
      <c r="F99" s="207" t="n">
        <v>6710500</v>
      </c>
      <c r="G99" s="208" t="n">
        <v>-0.01971881742236403</v>
      </c>
      <c r="H99" s="209" cm="1">
        <f t="array" ref="H99">IF(ROW()&lt;3,"",E99/INDEX(E:E,ROW()-1)-1)</f>
        <v/>
      </c>
      <c r="I99" s="211">
        <f>IF(ROW()&lt;51,NA(),AVERAGE(INDEX(E:E,ROW()-49):E99))</f>
        <v/>
      </c>
      <c r="J99" s="211">
        <f>IF(ROW()&lt;201,NA(),AVERAGE(INDEX(E:E,ROW()-199):E99))</f>
        <v/>
      </c>
      <c r="K99" s="341">
        <f>IF(ROW()&lt;22,NA(),_xlfn.STDEV.S(INDEX(H:H,ROW()-19):H99)*SQRT(252))</f>
        <v/>
      </c>
      <c r="L99" s="426" cm="1">
        <f t="array" ref="L99">IF(ROW()&lt;17,NA(),_xlfn.LET(_xlpm.d,INDEX(E:E,ROW()-13):E99-INDEX(E:E,ROW()-14):INDEX(E:E,ROW()-1),_xlpm.g,SUM(IF(_xlpm.d&gt;0,_xlpm.d,0)),_xlpm.l,-SUM(IF(_xlpm.d&lt;0,_xlpm.d,0)),IF(_xlpm.l=0,100,100-100/(1+_xlpm.g/_xlpm.l))))</f>
        <v/>
      </c>
      <c r="M99" s="211">
        <f>MAX($E$2:E99)</f>
        <v/>
      </c>
      <c r="N99" s="341">
        <f>E99/M99-1</f>
        <v/>
      </c>
    </row>
    <row r="100">
      <c r="A100" s="424" t="n">
        <v>44606</v>
      </c>
      <c r="B100" s="425" t="n">
        <v>128.0447729944972</v>
      </c>
      <c r="C100" s="425" t="n">
        <v>130.9058577992701</v>
      </c>
      <c r="D100" s="425" t="n">
        <v>127.7796810626326</v>
      </c>
      <c r="E100" s="425" t="n">
        <v>129.4250335693359</v>
      </c>
      <c r="F100" s="207" t="n">
        <v>6841200</v>
      </c>
      <c r="G100" s="208" t="n">
        <v>-0.00326915061877342</v>
      </c>
      <c r="H100" s="209" cm="1">
        <f t="array" ref="H100">IF(ROW()&lt;3,"",E100/INDEX(E:E,ROW()-1)-1)</f>
        <v/>
      </c>
      <c r="I100" s="211">
        <f>IF(ROW()&lt;51,NA(),AVERAGE(INDEX(E:E,ROW()-49):E100))</f>
        <v/>
      </c>
      <c r="J100" s="211">
        <f>IF(ROW()&lt;201,NA(),AVERAGE(INDEX(E:E,ROW()-199):E100))</f>
        <v/>
      </c>
      <c r="K100" s="341">
        <f>IF(ROW()&lt;22,NA(),_xlfn.STDEV.S(INDEX(H:H,ROW()-19):H100)*SQRT(252))</f>
        <v/>
      </c>
      <c r="L100" s="426" cm="1">
        <f t="array" ref="L100">IF(ROW()&lt;17,NA(),_xlfn.LET(_xlpm.d,INDEX(E:E,ROW()-13):E100-INDEX(E:E,ROW()-14):INDEX(E:E,ROW()-1),_xlpm.g,SUM(IF(_xlpm.d&gt;0,_xlpm.d,0)),_xlpm.l,-SUM(IF(_xlpm.d&lt;0,_xlpm.d,0)),IF(_xlpm.l=0,100,100-100/(1+_xlpm.g/_xlpm.l))))</f>
        <v/>
      </c>
      <c r="M100" s="211">
        <f>MAX($E$2:E100)</f>
        <v/>
      </c>
      <c r="N100" s="341">
        <f>E100/M100-1</f>
        <v/>
      </c>
    </row>
    <row r="101">
      <c r="A101" s="424" t="n">
        <v>44607</v>
      </c>
      <c r="B101" s="425" t="n">
        <v>131.8290965027502</v>
      </c>
      <c r="C101" s="425" t="n">
        <v>133.748677038969</v>
      </c>
      <c r="D101" s="425" t="n">
        <v>131.7194109684992</v>
      </c>
      <c r="E101" s="425" t="n">
        <v>133.0722503662109</v>
      </c>
      <c r="F101" s="207" t="n">
        <v>7820200</v>
      </c>
      <c r="G101" s="208" t="n">
        <v>0.01612659779570258</v>
      </c>
      <c r="H101" s="209" cm="1">
        <f t="array" ref="H101">IF(ROW()&lt;3,"",E101/INDEX(E:E,ROW()-1)-1)</f>
        <v/>
      </c>
      <c r="I101" s="211">
        <f>IF(ROW()&lt;51,NA(),AVERAGE(INDEX(E:E,ROW()-49):E101))</f>
        <v/>
      </c>
      <c r="J101" s="211">
        <f>IF(ROW()&lt;201,NA(),AVERAGE(INDEX(E:E,ROW()-199):E101))</f>
        <v/>
      </c>
      <c r="K101" s="341">
        <f>IF(ROW()&lt;22,NA(),_xlfn.STDEV.S(INDEX(H:H,ROW()-19):H101)*SQRT(252))</f>
        <v/>
      </c>
      <c r="L101" s="426" cm="1">
        <f t="array" ref="L101">IF(ROW()&lt;17,NA(),_xlfn.LET(_xlpm.d,INDEX(E:E,ROW()-13):E101-INDEX(E:E,ROW()-14):INDEX(E:E,ROW()-1),_xlpm.g,SUM(IF(_xlpm.d&gt;0,_xlpm.d,0)),_xlpm.l,-SUM(IF(_xlpm.d&lt;0,_xlpm.d,0)),IF(_xlpm.l=0,100,100-100/(1+_xlpm.g/_xlpm.l))))</f>
        <v/>
      </c>
      <c r="M101" s="211">
        <f>MAX($E$2:E101)</f>
        <v/>
      </c>
      <c r="N101" s="341">
        <f>E101/M101-1</f>
        <v/>
      </c>
    </row>
    <row r="102">
      <c r="A102" s="424" t="n">
        <v>44608</v>
      </c>
      <c r="B102" s="425" t="n">
        <v>132.5603040000985</v>
      </c>
      <c r="C102" s="425" t="n">
        <v>134.3244772746963</v>
      </c>
      <c r="D102" s="425" t="n">
        <v>132.1855266694603</v>
      </c>
      <c r="E102" s="425" t="n">
        <v>133.9040069580078</v>
      </c>
      <c r="F102" s="207" t="n">
        <v>4817500</v>
      </c>
      <c r="G102" s="208" t="n">
        <v>0.001121128936460325</v>
      </c>
      <c r="H102" s="209" cm="1">
        <f t="array" ref="H102">IF(ROW()&lt;3,"",E102/INDEX(E:E,ROW()-1)-1)</f>
        <v/>
      </c>
      <c r="I102" s="211">
        <f>IF(ROW()&lt;51,NA(),AVERAGE(INDEX(E:E,ROW()-49):E102))</f>
        <v/>
      </c>
      <c r="J102" s="211">
        <f>IF(ROW()&lt;201,NA(),AVERAGE(INDEX(E:E,ROW()-199):E102))</f>
        <v/>
      </c>
      <c r="K102" s="341">
        <f>IF(ROW()&lt;22,NA(),_xlfn.STDEV.S(INDEX(H:H,ROW()-19):H102)*SQRT(252))</f>
        <v/>
      </c>
      <c r="L102" s="426" cm="1">
        <f t="array" ref="L102">IF(ROW()&lt;17,NA(),_xlfn.LET(_xlpm.d,INDEX(E:E,ROW()-13):E102-INDEX(E:E,ROW()-14):INDEX(E:E,ROW()-1),_xlpm.g,SUM(IF(_xlpm.d&gt;0,_xlpm.d,0)),_xlpm.l,-SUM(IF(_xlpm.d&lt;0,_xlpm.d,0)),IF(_xlpm.l=0,100,100-100/(1+_xlpm.g/_xlpm.l))))</f>
        <v/>
      </c>
      <c r="M102" s="211">
        <f>MAX($E$2:E102)</f>
        <v/>
      </c>
      <c r="N102" s="341">
        <f>E102/M102-1</f>
        <v/>
      </c>
    </row>
    <row r="103">
      <c r="A103" s="424" t="n">
        <v>44609</v>
      </c>
      <c r="B103" s="425" t="n">
        <v>133.0356611640985</v>
      </c>
      <c r="C103" s="425" t="n">
        <v>134.2879646172902</v>
      </c>
      <c r="D103" s="425" t="n">
        <v>130.3848254956362</v>
      </c>
      <c r="E103" s="425" t="n">
        <v>130.5310821533203</v>
      </c>
      <c r="F103" s="207" t="n">
        <v>5202300</v>
      </c>
      <c r="G103" s="208" t="n">
        <v>-0.02136153804879493</v>
      </c>
      <c r="H103" s="209" cm="1">
        <f t="array" ref="H103">IF(ROW()&lt;3,"",E103/INDEX(E:E,ROW()-1)-1)</f>
        <v/>
      </c>
      <c r="I103" s="211">
        <f>IF(ROW()&lt;51,NA(),AVERAGE(INDEX(E:E,ROW()-49):E103))</f>
        <v/>
      </c>
      <c r="J103" s="211">
        <f>IF(ROW()&lt;201,NA(),AVERAGE(INDEX(E:E,ROW()-199):E103))</f>
        <v/>
      </c>
      <c r="K103" s="341">
        <f>IF(ROW()&lt;22,NA(),_xlfn.STDEV.S(INDEX(H:H,ROW()-19):H103)*SQRT(252))</f>
        <v/>
      </c>
      <c r="L103" s="426" cm="1">
        <f t="array" ref="L103">IF(ROW()&lt;17,NA(),_xlfn.LET(_xlpm.d,INDEX(E:E,ROW()-13):E103-INDEX(E:E,ROW()-14):INDEX(E:E,ROW()-1),_xlpm.g,SUM(IF(_xlpm.d&gt;0,_xlpm.d,0)),_xlpm.l,-SUM(IF(_xlpm.d&lt;0,_xlpm.d,0)),IF(_xlpm.l=0,100,100-100/(1+_xlpm.g/_xlpm.l))))</f>
        <v/>
      </c>
      <c r="M103" s="211">
        <f>MAX($E$2:E103)</f>
        <v/>
      </c>
      <c r="N103" s="341">
        <f>E103/M103-1</f>
        <v/>
      </c>
    </row>
    <row r="104">
      <c r="A104" s="424" t="n">
        <v>44610</v>
      </c>
      <c r="B104" s="425" t="n">
        <v>131.0520803153703</v>
      </c>
      <c r="C104" s="425" t="n">
        <v>131.5731143404661</v>
      </c>
      <c r="D104" s="425" t="n">
        <v>129.6261130118666</v>
      </c>
      <c r="E104" s="425" t="n">
        <v>130.6681671142578</v>
      </c>
      <c r="F104" s="207" t="n">
        <v>5177400</v>
      </c>
      <c r="G104" s="208" t="n">
        <v>-0.006474895607596176</v>
      </c>
      <c r="H104" s="209" cm="1">
        <f t="array" ref="H104">IF(ROW()&lt;3,"",E104/INDEX(E:E,ROW()-1)-1)</f>
        <v/>
      </c>
      <c r="I104" s="211">
        <f>IF(ROW()&lt;51,NA(),AVERAGE(INDEX(E:E,ROW()-49):E104))</f>
        <v/>
      </c>
      <c r="J104" s="211">
        <f>IF(ROW()&lt;201,NA(),AVERAGE(INDEX(E:E,ROW()-199):E104))</f>
        <v/>
      </c>
      <c r="K104" s="341">
        <f>IF(ROW()&lt;22,NA(),_xlfn.STDEV.S(INDEX(H:H,ROW()-19):H104)*SQRT(252))</f>
        <v/>
      </c>
      <c r="L104" s="426" cm="1">
        <f t="array" ref="L104">IF(ROW()&lt;17,NA(),_xlfn.LET(_xlpm.d,INDEX(E:E,ROW()-13):E104-INDEX(E:E,ROW()-14):INDEX(E:E,ROW()-1),_xlpm.g,SUM(IF(_xlpm.d&gt;0,_xlpm.d,0)),_xlpm.l,-SUM(IF(_xlpm.d&lt;0,_xlpm.d,0)),IF(_xlpm.l=0,100,100-100/(1+_xlpm.g/_xlpm.l))))</f>
        <v/>
      </c>
      <c r="M104" s="211">
        <f>MAX($E$2:E104)</f>
        <v/>
      </c>
      <c r="N104" s="341">
        <f>E104/M104-1</f>
        <v/>
      </c>
    </row>
    <row r="105">
      <c r="A105" s="424" t="n">
        <v>44614</v>
      </c>
      <c r="B105" s="425" t="n">
        <v>129.4250076397615</v>
      </c>
      <c r="C105" s="425" t="n">
        <v>129.4707145789743</v>
      </c>
      <c r="D105" s="425" t="n">
        <v>124.4615436823945</v>
      </c>
      <c r="E105" s="425" t="n">
        <v>126.3171310424805</v>
      </c>
      <c r="F105" s="207" t="n">
        <v>9604500</v>
      </c>
      <c r="G105" s="208" t="n">
        <v>-0.01073168364827826</v>
      </c>
      <c r="H105" s="209" cm="1">
        <f t="array" ref="H105">IF(ROW()&lt;3,"",E105/INDEX(E:E,ROW()-1)-1)</f>
        <v/>
      </c>
      <c r="I105" s="211">
        <f>IF(ROW()&lt;51,NA(),AVERAGE(INDEX(E:E,ROW()-49):E105))</f>
        <v/>
      </c>
      <c r="J105" s="211">
        <f>IF(ROW()&lt;201,NA(),AVERAGE(INDEX(E:E,ROW()-199):E105))</f>
        <v/>
      </c>
      <c r="K105" s="341">
        <f>IF(ROW()&lt;22,NA(),_xlfn.STDEV.S(INDEX(H:H,ROW()-19):H105)*SQRT(252))</f>
        <v/>
      </c>
      <c r="L105" s="426" cm="1">
        <f t="array" ref="L105">IF(ROW()&lt;17,NA(),_xlfn.LET(_xlpm.d,INDEX(E:E,ROW()-13):E105-INDEX(E:E,ROW()-14):INDEX(E:E,ROW()-1),_xlpm.g,SUM(IF(_xlpm.d&gt;0,_xlpm.d,0)),_xlpm.l,-SUM(IF(_xlpm.d&lt;0,_xlpm.d,0)),IF(_xlpm.l=0,100,100-100/(1+_xlpm.g/_xlpm.l))))</f>
        <v/>
      </c>
      <c r="M105" s="211">
        <f>MAX($E$2:E105)</f>
        <v/>
      </c>
      <c r="N105" s="341">
        <f>E105/M105-1</f>
        <v/>
      </c>
    </row>
    <row r="106">
      <c r="A106" s="424" t="n">
        <v>44615</v>
      </c>
      <c r="B106" s="425" t="n">
        <v>127.6608077297534</v>
      </c>
      <c r="C106" s="425" t="n">
        <v>128.8582539711175</v>
      </c>
      <c r="D106" s="425" t="n">
        <v>124.7814385290248</v>
      </c>
      <c r="E106" s="425" t="n">
        <v>125.0739517211914</v>
      </c>
      <c r="F106" s="207" t="n">
        <v>7636600</v>
      </c>
      <c r="G106" s="208" t="n">
        <v>-0.01773880629550506</v>
      </c>
      <c r="H106" s="209" cm="1">
        <f t="array" ref="H106">IF(ROW()&lt;3,"",E106/INDEX(E:E,ROW()-1)-1)</f>
        <v/>
      </c>
      <c r="I106" s="211">
        <f>IF(ROW()&lt;51,NA(),AVERAGE(INDEX(E:E,ROW()-49):E106))</f>
        <v/>
      </c>
      <c r="J106" s="211">
        <f>IF(ROW()&lt;201,NA(),AVERAGE(INDEX(E:E,ROW()-199):E106))</f>
        <v/>
      </c>
      <c r="K106" s="341">
        <f>IF(ROW()&lt;22,NA(),_xlfn.STDEV.S(INDEX(H:H,ROW()-19):H106)*SQRT(252))</f>
        <v/>
      </c>
      <c r="L106" s="426" cm="1">
        <f t="array" ref="L106">IF(ROW()&lt;17,NA(),_xlfn.LET(_xlpm.d,INDEX(E:E,ROW()-13):E106-INDEX(E:E,ROW()-14):INDEX(E:E,ROW()-1),_xlpm.g,SUM(IF(_xlpm.d&gt;0,_xlpm.d,0)),_xlpm.l,-SUM(IF(_xlpm.d&lt;0,_xlpm.d,0)),IF(_xlpm.l=0,100,100-100/(1+_xlpm.g/_xlpm.l))))</f>
        <v/>
      </c>
      <c r="M106" s="211">
        <f>MAX($E$2:E106)</f>
        <v/>
      </c>
      <c r="N106" s="341">
        <f>E106/M106-1</f>
        <v/>
      </c>
    </row>
    <row r="107">
      <c r="A107" s="424" t="n">
        <v>44616</v>
      </c>
      <c r="B107" s="425" t="n">
        <v>121.5730707120349</v>
      </c>
      <c r="C107" s="425" t="n">
        <v>125.6133169521872</v>
      </c>
      <c r="D107" s="425" t="n">
        <v>119.6809117135261</v>
      </c>
      <c r="E107" s="425" t="n">
        <v>125.3847961425781</v>
      </c>
      <c r="F107" s="207" t="n">
        <v>8417200</v>
      </c>
      <c r="G107" s="208" t="n">
        <v>0.01504921805311277</v>
      </c>
      <c r="H107" s="209" cm="1">
        <f t="array" ref="H107">IF(ROW()&lt;3,"",E107/INDEX(E:E,ROW()-1)-1)</f>
        <v/>
      </c>
      <c r="I107" s="211">
        <f>IF(ROW()&lt;51,NA(),AVERAGE(INDEX(E:E,ROW()-49):E107))</f>
        <v/>
      </c>
      <c r="J107" s="211">
        <f>IF(ROW()&lt;201,NA(),AVERAGE(INDEX(E:E,ROW()-199):E107))</f>
        <v/>
      </c>
      <c r="K107" s="341">
        <f>IF(ROW()&lt;22,NA(),_xlfn.STDEV.S(INDEX(H:H,ROW()-19):H107)*SQRT(252))</f>
        <v/>
      </c>
      <c r="L107" s="426" cm="1">
        <f t="array" ref="L107">IF(ROW()&lt;17,NA(),_xlfn.LET(_xlpm.d,INDEX(E:E,ROW()-13):E107-INDEX(E:E,ROW()-14):INDEX(E:E,ROW()-1),_xlpm.g,SUM(IF(_xlpm.d&gt;0,_xlpm.d,0)),_xlpm.l,-SUM(IF(_xlpm.d&lt;0,_xlpm.d,0)),IF(_xlpm.l=0,100,100-100/(1+_xlpm.g/_xlpm.l))))</f>
        <v/>
      </c>
      <c r="M107" s="211">
        <f>MAX($E$2:E107)</f>
        <v/>
      </c>
      <c r="N107" s="341">
        <f>E107/M107-1</f>
        <v/>
      </c>
    </row>
    <row r="108">
      <c r="A108" s="424" t="n">
        <v>44617</v>
      </c>
      <c r="B108" s="425" t="n">
        <v>126.2622913951438</v>
      </c>
      <c r="C108" s="425" t="n">
        <v>127.2586385345734</v>
      </c>
      <c r="D108" s="425" t="n">
        <v>124.4889681134141</v>
      </c>
      <c r="E108" s="425" t="n">
        <v>126.8747253417969</v>
      </c>
      <c r="F108" s="207" t="n">
        <v>5424500</v>
      </c>
      <c r="G108" s="208" t="n">
        <v>0.0220638199554517</v>
      </c>
      <c r="H108" s="209" cm="1">
        <f t="array" ref="H108">IF(ROW()&lt;3,"",E108/INDEX(E:E,ROW()-1)-1)</f>
        <v/>
      </c>
      <c r="I108" s="211">
        <f>IF(ROW()&lt;51,NA(),AVERAGE(INDEX(E:E,ROW()-49):E108))</f>
        <v/>
      </c>
      <c r="J108" s="211">
        <f>IF(ROW()&lt;201,NA(),AVERAGE(INDEX(E:E,ROW()-199):E108))</f>
        <v/>
      </c>
      <c r="K108" s="341">
        <f>IF(ROW()&lt;22,NA(),_xlfn.STDEV.S(INDEX(H:H,ROW()-19):H108)*SQRT(252))</f>
        <v/>
      </c>
      <c r="L108" s="426" cm="1">
        <f t="array" ref="L108">IF(ROW()&lt;17,NA(),_xlfn.LET(_xlpm.d,INDEX(E:E,ROW()-13):E108-INDEX(E:E,ROW()-14):INDEX(E:E,ROW()-1),_xlpm.g,SUM(IF(_xlpm.d&gt;0,_xlpm.d,0)),_xlpm.l,-SUM(IF(_xlpm.d&lt;0,_xlpm.d,0)),IF(_xlpm.l=0,100,100-100/(1+_xlpm.g/_xlpm.l))))</f>
        <v/>
      </c>
      <c r="M108" s="211">
        <f>MAX($E$2:E108)</f>
        <v/>
      </c>
      <c r="N108" s="341">
        <f>E108/M108-1</f>
        <v/>
      </c>
    </row>
    <row r="109">
      <c r="A109" s="424" t="n">
        <v>44620</v>
      </c>
      <c r="B109" s="425" t="n">
        <v>125.2842622058975</v>
      </c>
      <c r="C109" s="425" t="n">
        <v>126.4908589275298</v>
      </c>
      <c r="D109" s="425" t="n">
        <v>123.4378099263413</v>
      </c>
      <c r="E109" s="425" t="n">
        <v>124.8180847167969</v>
      </c>
      <c r="F109" s="207" t="n">
        <v>6613300</v>
      </c>
      <c r="G109" s="208" t="n">
        <v>-0.002558438539168373</v>
      </c>
      <c r="H109" s="209" cm="1">
        <f t="array" ref="H109">IF(ROW()&lt;3,"",E109/INDEX(E:E,ROW()-1)-1)</f>
        <v/>
      </c>
      <c r="I109" s="211">
        <f>IF(ROW()&lt;51,NA(),AVERAGE(INDEX(E:E,ROW()-49):E109))</f>
        <v/>
      </c>
      <c r="J109" s="211">
        <f>IF(ROW()&lt;201,NA(),AVERAGE(INDEX(E:E,ROW()-199):E109))</f>
        <v/>
      </c>
      <c r="K109" s="341">
        <f>IF(ROW()&lt;22,NA(),_xlfn.STDEV.S(INDEX(H:H,ROW()-19):H109)*SQRT(252))</f>
        <v/>
      </c>
      <c r="L109" s="426" cm="1">
        <f t="array" ref="L109">IF(ROW()&lt;17,NA(),_xlfn.LET(_xlpm.d,INDEX(E:E,ROW()-13):E109-INDEX(E:E,ROW()-14):INDEX(E:E,ROW()-1),_xlpm.g,SUM(IF(_xlpm.d&gt;0,_xlpm.d,0)),_xlpm.l,-SUM(IF(_xlpm.d&lt;0,_xlpm.d,0)),IF(_xlpm.l=0,100,100-100/(1+_xlpm.g/_xlpm.l))))</f>
        <v/>
      </c>
      <c r="M109" s="211">
        <f>MAX($E$2:E109)</f>
        <v/>
      </c>
      <c r="N109" s="341">
        <f>E109/M109-1</f>
        <v/>
      </c>
    </row>
    <row r="110">
      <c r="A110" s="424" t="n">
        <v>44621</v>
      </c>
      <c r="B110" s="425" t="n">
        <v>124.9734432479462</v>
      </c>
      <c r="C110" s="425" t="n">
        <v>125.0008646252757</v>
      </c>
      <c r="D110" s="425" t="n">
        <v>119.8819936574784</v>
      </c>
      <c r="E110" s="425" t="n">
        <v>120.8600692749023</v>
      </c>
      <c r="F110" s="207" t="n">
        <v>6534000</v>
      </c>
      <c r="G110" s="208" t="n">
        <v>-0.01523020036347134</v>
      </c>
      <c r="H110" s="209" cm="1">
        <f t="array" ref="H110">IF(ROW()&lt;3,"",E110/INDEX(E:E,ROW()-1)-1)</f>
        <v/>
      </c>
      <c r="I110" s="211">
        <f>IF(ROW()&lt;51,NA(),AVERAGE(INDEX(E:E,ROW()-49):E110))</f>
        <v/>
      </c>
      <c r="J110" s="211">
        <f>IF(ROW()&lt;201,NA(),AVERAGE(INDEX(E:E,ROW()-199):E110))</f>
        <v/>
      </c>
      <c r="K110" s="341">
        <f>IF(ROW()&lt;22,NA(),_xlfn.STDEV.S(INDEX(H:H,ROW()-19):H110)*SQRT(252))</f>
        <v/>
      </c>
      <c r="L110" s="426" cm="1">
        <f t="array" ref="L110">IF(ROW()&lt;17,NA(),_xlfn.LET(_xlpm.d,INDEX(E:E,ROW()-13):E110-INDEX(E:E,ROW()-14):INDEX(E:E,ROW()-1),_xlpm.g,SUM(IF(_xlpm.d&gt;0,_xlpm.d,0)),_xlpm.l,-SUM(IF(_xlpm.d&lt;0,_xlpm.d,0)),IF(_xlpm.l=0,100,100-100/(1+_xlpm.g/_xlpm.l))))</f>
        <v/>
      </c>
      <c r="M110" s="211">
        <f>MAX($E$2:E110)</f>
        <v/>
      </c>
      <c r="N110" s="341">
        <f>E110/M110-1</f>
        <v/>
      </c>
    </row>
    <row r="111">
      <c r="A111" s="424" t="n">
        <v>44622</v>
      </c>
      <c r="B111" s="425" t="n">
        <v>121.5547524521828</v>
      </c>
      <c r="C111" s="425" t="n">
        <v>124.8728781786609</v>
      </c>
      <c r="D111" s="425" t="n">
        <v>121.362802834502</v>
      </c>
      <c r="E111" s="425" t="n">
        <v>124.0227737426758</v>
      </c>
      <c r="F111" s="207" t="n">
        <v>7743900</v>
      </c>
      <c r="G111" s="208" t="n">
        <v>0.01839625641271114</v>
      </c>
      <c r="H111" s="209" cm="1">
        <f t="array" ref="H111">IF(ROW()&lt;3,"",E111/INDEX(E:E,ROW()-1)-1)</f>
        <v/>
      </c>
      <c r="I111" s="211">
        <f>IF(ROW()&lt;51,NA(),AVERAGE(INDEX(E:E,ROW()-49):E111))</f>
        <v/>
      </c>
      <c r="J111" s="211">
        <f>IF(ROW()&lt;201,NA(),AVERAGE(INDEX(E:E,ROW()-199):E111))</f>
        <v/>
      </c>
      <c r="K111" s="341">
        <f>IF(ROW()&lt;22,NA(),_xlfn.STDEV.S(INDEX(H:H,ROW()-19):H111)*SQRT(252))</f>
        <v/>
      </c>
      <c r="L111" s="426" cm="1">
        <f t="array" ref="L111">IF(ROW()&lt;17,NA(),_xlfn.LET(_xlpm.d,INDEX(E:E,ROW()-13):E111-INDEX(E:E,ROW()-14):INDEX(E:E,ROW()-1),_xlpm.g,SUM(IF(_xlpm.d&gt;0,_xlpm.d,0)),_xlpm.l,-SUM(IF(_xlpm.d&lt;0,_xlpm.d,0)),IF(_xlpm.l=0,100,100-100/(1+_xlpm.g/_xlpm.l))))</f>
        <v/>
      </c>
      <c r="M111" s="211">
        <f>MAX($E$2:E111)</f>
        <v/>
      </c>
      <c r="N111" s="341">
        <f>E111/M111-1</f>
        <v/>
      </c>
    </row>
    <row r="112">
      <c r="A112" s="424" t="n">
        <v>44623</v>
      </c>
      <c r="B112" s="425" t="n">
        <v>124.9917387337587</v>
      </c>
      <c r="C112" s="425" t="n">
        <v>125.0465814927696</v>
      </c>
      <c r="D112" s="425" t="n">
        <v>121.9843972685042</v>
      </c>
      <c r="E112" s="425" t="n">
        <v>122.4597244262695</v>
      </c>
      <c r="F112" s="207" t="n">
        <v>4576500</v>
      </c>
      <c r="G112" s="208" t="n">
        <v>-0.004978467208594517</v>
      </c>
      <c r="H112" s="209" cm="1">
        <f t="array" ref="H112">IF(ROW()&lt;3,"",E112/INDEX(E:E,ROW()-1)-1)</f>
        <v/>
      </c>
      <c r="I112" s="211">
        <f>IF(ROW()&lt;51,NA(),AVERAGE(INDEX(E:E,ROW()-49):E112))</f>
        <v/>
      </c>
      <c r="J112" s="211">
        <f>IF(ROW()&lt;201,NA(),AVERAGE(INDEX(E:E,ROW()-199):E112))</f>
        <v/>
      </c>
      <c r="K112" s="341">
        <f>IF(ROW()&lt;22,NA(),_xlfn.STDEV.S(INDEX(H:H,ROW()-19):H112)*SQRT(252))</f>
        <v/>
      </c>
      <c r="L112" s="426" cm="1">
        <f t="array" ref="L112">IF(ROW()&lt;17,NA(),_xlfn.LET(_xlpm.d,INDEX(E:E,ROW()-13):E112-INDEX(E:E,ROW()-14):INDEX(E:E,ROW()-1),_xlpm.g,SUM(IF(_xlpm.d&gt;0,_xlpm.d,0)),_xlpm.l,-SUM(IF(_xlpm.d&lt;0,_xlpm.d,0)),IF(_xlpm.l=0,100,100-100/(1+_xlpm.g/_xlpm.l))))</f>
        <v/>
      </c>
      <c r="M112" s="211">
        <f>MAX($E$2:E112)</f>
        <v/>
      </c>
      <c r="N112" s="341">
        <f>E112/M112-1</f>
        <v/>
      </c>
    </row>
    <row r="113">
      <c r="A113" s="424" t="n">
        <v>44624</v>
      </c>
      <c r="B113" s="425" t="n">
        <v>121.4015431918795</v>
      </c>
      <c r="C113" s="425" t="n">
        <v>122.4184912910937</v>
      </c>
      <c r="D113" s="425" t="n">
        <v>119.7432796201044</v>
      </c>
      <c r="E113" s="425" t="n">
        <v>120.1830368041992</v>
      </c>
      <c r="F113" s="207" t="n">
        <v>7084500</v>
      </c>
      <c r="G113" s="208" t="n">
        <v>-0.008124665918587959</v>
      </c>
      <c r="H113" s="209" cm="1">
        <f t="array" ref="H113">IF(ROW()&lt;3,"",E113/INDEX(E:E,ROW()-1)-1)</f>
        <v/>
      </c>
      <c r="I113" s="211">
        <f>IF(ROW()&lt;51,NA(),AVERAGE(INDEX(E:E,ROW()-49):E113))</f>
        <v/>
      </c>
      <c r="J113" s="211">
        <f>IF(ROW()&lt;201,NA(),AVERAGE(INDEX(E:E,ROW()-199):E113))</f>
        <v/>
      </c>
      <c r="K113" s="341">
        <f>IF(ROW()&lt;22,NA(),_xlfn.STDEV.S(INDEX(H:H,ROW()-19):H113)*SQRT(252))</f>
        <v/>
      </c>
      <c r="L113" s="426" cm="1">
        <f t="array" ref="L113">IF(ROW()&lt;17,NA(),_xlfn.LET(_xlpm.d,INDEX(E:E,ROW()-13):E113-INDEX(E:E,ROW()-14):INDEX(E:E,ROW()-1),_xlpm.g,SUM(IF(_xlpm.d&gt;0,_xlpm.d,0)),_xlpm.l,-SUM(IF(_xlpm.d&lt;0,_xlpm.d,0)),IF(_xlpm.l=0,100,100-100/(1+_xlpm.g/_xlpm.l))))</f>
        <v/>
      </c>
      <c r="M113" s="211">
        <f>MAX($E$2:E113)</f>
        <v/>
      </c>
      <c r="N113" s="341">
        <f>E113/M113-1</f>
        <v/>
      </c>
    </row>
    <row r="114">
      <c r="A114" s="424" t="n">
        <v>44627</v>
      </c>
      <c r="B114" s="425" t="n">
        <v>120.0181302343261</v>
      </c>
      <c r="C114" s="425" t="n">
        <v>120.0456141839485</v>
      </c>
      <c r="D114" s="425" t="n">
        <v>113.7606947437902</v>
      </c>
      <c r="E114" s="425" t="n">
        <v>114.0080642700195</v>
      </c>
      <c r="F114" s="207" t="n">
        <v>11383400</v>
      </c>
      <c r="G114" s="208" t="n">
        <v>-0.02947927710546061</v>
      </c>
      <c r="H114" s="209" cm="1">
        <f t="array" ref="H114">IF(ROW()&lt;3,"",E114/INDEX(E:E,ROW()-1)-1)</f>
        <v/>
      </c>
      <c r="I114" s="211">
        <f>IF(ROW()&lt;51,NA(),AVERAGE(INDEX(E:E,ROW()-49):E114))</f>
        <v/>
      </c>
      <c r="J114" s="211">
        <f>IF(ROW()&lt;201,NA(),AVERAGE(INDEX(E:E,ROW()-199):E114))</f>
        <v/>
      </c>
      <c r="K114" s="341">
        <f>IF(ROW()&lt;22,NA(),_xlfn.STDEV.S(INDEX(H:H,ROW()-19):H114)*SQRT(252))</f>
        <v/>
      </c>
      <c r="L114" s="426" cm="1">
        <f t="array" ref="L114">IF(ROW()&lt;17,NA(),_xlfn.LET(_xlpm.d,INDEX(E:E,ROW()-13):E114-INDEX(E:E,ROW()-14):INDEX(E:E,ROW()-1),_xlpm.g,SUM(IF(_xlpm.d&gt;0,_xlpm.d,0)),_xlpm.l,-SUM(IF(_xlpm.d&lt;0,_xlpm.d,0)),IF(_xlpm.l=0,100,100-100/(1+_xlpm.g/_xlpm.l))))</f>
        <v/>
      </c>
      <c r="M114" s="211">
        <f>MAX($E$2:E114)</f>
        <v/>
      </c>
      <c r="N114" s="341">
        <f>E114/M114-1</f>
        <v/>
      </c>
    </row>
    <row r="115">
      <c r="A115" s="424" t="n">
        <v>44628</v>
      </c>
      <c r="B115" s="425" t="n">
        <v>114.7409954434699</v>
      </c>
      <c r="C115" s="425" t="n">
        <v>114.9517173740037</v>
      </c>
      <c r="D115" s="425" t="n">
        <v>110.6732101258094</v>
      </c>
      <c r="E115" s="425" t="n">
        <v>111.0488357543945</v>
      </c>
      <c r="F115" s="207" t="n">
        <v>9089400</v>
      </c>
      <c r="G115" s="208" t="n">
        <v>-0.007581562789078067</v>
      </c>
      <c r="H115" s="209" cm="1">
        <f t="array" ref="H115">IF(ROW()&lt;3,"",E115/INDEX(E:E,ROW()-1)-1)</f>
        <v/>
      </c>
      <c r="I115" s="211">
        <f>IF(ROW()&lt;51,NA(),AVERAGE(INDEX(E:E,ROW()-49):E115))</f>
        <v/>
      </c>
      <c r="J115" s="211">
        <f>IF(ROW()&lt;201,NA(),AVERAGE(INDEX(E:E,ROW()-199):E115))</f>
        <v/>
      </c>
      <c r="K115" s="341">
        <f>IF(ROW()&lt;22,NA(),_xlfn.STDEV.S(INDEX(H:H,ROW()-19):H115)*SQRT(252))</f>
        <v/>
      </c>
      <c r="L115" s="426" cm="1">
        <f t="array" ref="L115">IF(ROW()&lt;17,NA(),_xlfn.LET(_xlpm.d,INDEX(E:E,ROW()-13):E115-INDEX(E:E,ROW()-14):INDEX(E:E,ROW()-1),_xlpm.g,SUM(IF(_xlpm.d&gt;0,_xlpm.d,0)),_xlpm.l,-SUM(IF(_xlpm.d&lt;0,_xlpm.d,0)),IF(_xlpm.l=0,100,100-100/(1+_xlpm.g/_xlpm.l))))</f>
        <v/>
      </c>
      <c r="M115" s="211">
        <f>MAX($E$2:E115)</f>
        <v/>
      </c>
      <c r="N115" s="341">
        <f>E115/M115-1</f>
        <v/>
      </c>
    </row>
    <row r="116">
      <c r="A116" s="424" t="n">
        <v>44629</v>
      </c>
      <c r="B116" s="425" t="n">
        <v>116.7016082961926</v>
      </c>
      <c r="C116" s="425" t="n">
        <v>118.7813089146954</v>
      </c>
      <c r="D116" s="425" t="n">
        <v>116.0144815250402</v>
      </c>
      <c r="E116" s="425" t="n">
        <v>116.3076553344727</v>
      </c>
      <c r="F116" s="207" t="n">
        <v>8845100</v>
      </c>
      <c r="G116" s="208" t="n">
        <v>0.02681071447485817</v>
      </c>
      <c r="H116" s="209" cm="1">
        <f t="array" ref="H116">IF(ROW()&lt;3,"",E116/INDEX(E:E,ROW()-1)-1)</f>
        <v/>
      </c>
      <c r="I116" s="211">
        <f>IF(ROW()&lt;51,NA(),AVERAGE(INDEX(E:E,ROW()-49):E116))</f>
        <v/>
      </c>
      <c r="J116" s="211">
        <f>IF(ROW()&lt;201,NA(),AVERAGE(INDEX(E:E,ROW()-199):E116))</f>
        <v/>
      </c>
      <c r="K116" s="341">
        <f>IF(ROW()&lt;22,NA(),_xlfn.STDEV.S(INDEX(H:H,ROW()-19):H116)*SQRT(252))</f>
        <v/>
      </c>
      <c r="L116" s="426" cm="1">
        <f t="array" ref="L116">IF(ROW()&lt;17,NA(),_xlfn.LET(_xlpm.d,INDEX(E:E,ROW()-13):E116-INDEX(E:E,ROW()-14):INDEX(E:E,ROW()-1),_xlpm.g,SUM(IF(_xlpm.d&gt;0,_xlpm.d,0)),_xlpm.l,-SUM(IF(_xlpm.d&lt;0,_xlpm.d,0)),IF(_xlpm.l=0,100,100-100/(1+_xlpm.g/_xlpm.l))))</f>
        <v/>
      </c>
      <c r="M116" s="211">
        <f>MAX($E$2:E116)</f>
        <v/>
      </c>
      <c r="N116" s="341">
        <f>E116/M116-1</f>
        <v/>
      </c>
    </row>
    <row r="117">
      <c r="A117" s="424" t="n">
        <v>44630</v>
      </c>
      <c r="B117" s="425" t="n">
        <v>113.6232584685799</v>
      </c>
      <c r="C117" s="425" t="n">
        <v>115.9869757950932</v>
      </c>
      <c r="D117" s="425" t="n">
        <v>113.6049381669742</v>
      </c>
      <c r="E117" s="425" t="n">
        <v>115.4647598266602</v>
      </c>
      <c r="F117" s="207" t="n">
        <v>7167400</v>
      </c>
      <c r="G117" s="208" t="n">
        <v>-0.004515537822783244</v>
      </c>
      <c r="H117" s="209" cm="1">
        <f t="array" ref="H117">IF(ROW()&lt;3,"",E117/INDEX(E:E,ROW()-1)-1)</f>
        <v/>
      </c>
      <c r="I117" s="211">
        <f>IF(ROW()&lt;51,NA(),AVERAGE(INDEX(E:E,ROW()-49):E117))</f>
        <v/>
      </c>
      <c r="J117" s="211">
        <f>IF(ROW()&lt;201,NA(),AVERAGE(INDEX(E:E,ROW()-199):E117))</f>
        <v/>
      </c>
      <c r="K117" s="341">
        <f>IF(ROW()&lt;22,NA(),_xlfn.STDEV.S(INDEX(H:H,ROW()-19):H117)*SQRT(252))</f>
        <v/>
      </c>
      <c r="L117" s="426" cm="1">
        <f t="array" ref="L117">IF(ROW()&lt;17,NA(),_xlfn.LET(_xlpm.d,INDEX(E:E,ROW()-13):E117-INDEX(E:E,ROW()-14):INDEX(E:E,ROW()-1),_xlpm.g,SUM(IF(_xlpm.d&gt;0,_xlpm.d,0)),_xlpm.l,-SUM(IF(_xlpm.d&lt;0,_xlpm.d,0)),IF(_xlpm.l=0,100,100-100/(1+_xlpm.g/_xlpm.l))))</f>
        <v/>
      </c>
      <c r="M117" s="211">
        <f>MAX($E$2:E117)</f>
        <v/>
      </c>
      <c r="N117" s="341">
        <f>E117/M117-1</f>
        <v/>
      </c>
    </row>
    <row r="118">
      <c r="A118" s="424" t="n">
        <v>44631</v>
      </c>
      <c r="B118" s="425" t="n">
        <v>116.3626168355937</v>
      </c>
      <c r="C118" s="425" t="n">
        <v>117.1505226683436</v>
      </c>
      <c r="D118" s="425" t="n">
        <v>112.2398566832198</v>
      </c>
      <c r="E118" s="425" t="n">
        <v>112.3497924804688</v>
      </c>
      <c r="F118" s="207" t="n">
        <v>5882000</v>
      </c>
      <c r="G118" s="208" t="n">
        <v>-0.01271488745155103</v>
      </c>
      <c r="H118" s="209" cm="1">
        <f t="array" ref="H118">IF(ROW()&lt;3,"",E118/INDEX(E:E,ROW()-1)-1)</f>
        <v/>
      </c>
      <c r="I118" s="211">
        <f>IF(ROW()&lt;51,NA(),AVERAGE(INDEX(E:E,ROW()-49):E118))</f>
        <v/>
      </c>
      <c r="J118" s="211">
        <f>IF(ROW()&lt;201,NA(),AVERAGE(INDEX(E:E,ROW()-199):E118))</f>
        <v/>
      </c>
      <c r="K118" s="341">
        <f>IF(ROW()&lt;22,NA(),_xlfn.STDEV.S(INDEX(H:H,ROW()-19):H118)*SQRT(252))</f>
        <v/>
      </c>
      <c r="L118" s="426" cm="1">
        <f t="array" ref="L118">IF(ROW()&lt;17,NA(),_xlfn.LET(_xlpm.d,INDEX(E:E,ROW()-13):E118-INDEX(E:E,ROW()-14):INDEX(E:E,ROW()-1),_xlpm.g,SUM(IF(_xlpm.d&gt;0,_xlpm.d,0)),_xlpm.l,-SUM(IF(_xlpm.d&lt;0,_xlpm.d,0)),IF(_xlpm.l=0,100,100-100/(1+_xlpm.g/_xlpm.l))))</f>
        <v/>
      </c>
      <c r="M118" s="211">
        <f>MAX($E$2:E118)</f>
        <v/>
      </c>
      <c r="N118" s="341">
        <f>E118/M118-1</f>
        <v/>
      </c>
    </row>
    <row r="119">
      <c r="A119" s="424" t="n">
        <v>44634</v>
      </c>
      <c r="B119" s="425" t="n">
        <v>111.3420176660206</v>
      </c>
      <c r="C119" s="425" t="n">
        <v>112.184891470088</v>
      </c>
      <c r="D119" s="425" t="n">
        <v>106.9627309559585</v>
      </c>
      <c r="E119" s="425" t="n">
        <v>107.7139892578125</v>
      </c>
      <c r="F119" s="207" t="n">
        <v>13884900</v>
      </c>
      <c r="G119" s="208" t="n">
        <v>-0.007308467937001462</v>
      </c>
      <c r="H119" s="209" cm="1">
        <f t="array" ref="H119">IF(ROW()&lt;3,"",E119/INDEX(E:E,ROW()-1)-1)</f>
        <v/>
      </c>
      <c r="I119" s="211">
        <f>IF(ROW()&lt;51,NA(),AVERAGE(INDEX(E:E,ROW()-49):E119))</f>
        <v/>
      </c>
      <c r="J119" s="211">
        <f>IF(ROW()&lt;201,NA(),AVERAGE(INDEX(E:E,ROW()-199):E119))</f>
        <v/>
      </c>
      <c r="K119" s="341">
        <f>IF(ROW()&lt;22,NA(),_xlfn.STDEV.S(INDEX(H:H,ROW()-19):H119)*SQRT(252))</f>
        <v/>
      </c>
      <c r="L119" s="426" cm="1">
        <f t="array" ref="L119">IF(ROW()&lt;17,NA(),_xlfn.LET(_xlpm.d,INDEX(E:E,ROW()-13):E119-INDEX(E:E,ROW()-14):INDEX(E:E,ROW()-1),_xlpm.g,SUM(IF(_xlpm.d&gt;0,_xlpm.d,0)),_xlpm.l,-SUM(IF(_xlpm.d&lt;0,_xlpm.d,0)),IF(_xlpm.l=0,100,100-100/(1+_xlpm.g/_xlpm.l))))</f>
        <v/>
      </c>
      <c r="M119" s="211">
        <f>MAX($E$2:E119)</f>
        <v/>
      </c>
      <c r="N119" s="341">
        <f>E119/M119-1</f>
        <v/>
      </c>
    </row>
    <row r="120">
      <c r="A120" s="424" t="n">
        <v>44635</v>
      </c>
      <c r="B120" s="425" t="n">
        <v>109.7936888277053</v>
      </c>
      <c r="C120" s="425" t="n">
        <v>110.3250685214995</v>
      </c>
      <c r="D120" s="425" t="n">
        <v>107.8788989863704</v>
      </c>
      <c r="E120" s="425" t="n">
        <v>109.3905792236328</v>
      </c>
      <c r="F120" s="207" t="n">
        <v>10431300</v>
      </c>
      <c r="G120" s="208" t="n">
        <v>0.02199045123348631</v>
      </c>
      <c r="H120" s="209" cm="1">
        <f t="array" ref="H120">IF(ROW()&lt;3,"",E120/INDEX(E:E,ROW()-1)-1)</f>
        <v/>
      </c>
      <c r="I120" s="211">
        <f>IF(ROW()&lt;51,NA(),AVERAGE(INDEX(E:E,ROW()-49):E120))</f>
        <v/>
      </c>
      <c r="J120" s="211">
        <f>IF(ROW()&lt;201,NA(),AVERAGE(INDEX(E:E,ROW()-199):E120))</f>
        <v/>
      </c>
      <c r="K120" s="341">
        <f>IF(ROW()&lt;22,NA(),_xlfn.STDEV.S(INDEX(H:H,ROW()-19):H120)*SQRT(252))</f>
        <v/>
      </c>
      <c r="L120" s="426" cm="1">
        <f t="array" ref="L120">IF(ROW()&lt;17,NA(),_xlfn.LET(_xlpm.d,INDEX(E:E,ROW()-13):E120-INDEX(E:E,ROW()-14):INDEX(E:E,ROW()-1),_xlpm.g,SUM(IF(_xlpm.d&gt;0,_xlpm.d,0)),_xlpm.l,-SUM(IF(_xlpm.d&lt;0,_xlpm.d,0)),IF(_xlpm.l=0,100,100-100/(1+_xlpm.g/_xlpm.l))))</f>
        <v/>
      </c>
      <c r="M120" s="211">
        <f>MAX($E$2:E120)</f>
        <v/>
      </c>
      <c r="N120" s="341">
        <f>E120/M120-1</f>
        <v/>
      </c>
    </row>
    <row r="121">
      <c r="A121" s="424" t="n">
        <v>44636</v>
      </c>
      <c r="B121" s="425" t="n">
        <v>112.5513589884468</v>
      </c>
      <c r="C121" s="425" t="n">
        <v>115.5380718520637</v>
      </c>
      <c r="D121" s="425" t="n">
        <v>111.7084851954651</v>
      </c>
      <c r="E121" s="425" t="n">
        <v>114.695198059082</v>
      </c>
      <c r="F121" s="207" t="n">
        <v>11100400</v>
      </c>
      <c r="G121" s="208" t="n">
        <v>0.02217409409312876</v>
      </c>
      <c r="H121" s="209" cm="1">
        <f t="array" ref="H121">IF(ROW()&lt;3,"",E121/INDEX(E:E,ROW()-1)-1)</f>
        <v/>
      </c>
      <c r="I121" s="211">
        <f>IF(ROW()&lt;51,NA(),AVERAGE(INDEX(E:E,ROW()-49):E121))</f>
        <v/>
      </c>
      <c r="J121" s="211">
        <f>IF(ROW()&lt;201,NA(),AVERAGE(INDEX(E:E,ROW()-199):E121))</f>
        <v/>
      </c>
      <c r="K121" s="341">
        <f>IF(ROW()&lt;22,NA(),_xlfn.STDEV.S(INDEX(H:H,ROW()-19):H121)*SQRT(252))</f>
        <v/>
      </c>
      <c r="L121" s="426" cm="1">
        <f t="array" ref="L121">IF(ROW()&lt;17,NA(),_xlfn.LET(_xlpm.d,INDEX(E:E,ROW()-13):E121-INDEX(E:E,ROW()-14):INDEX(E:E,ROW()-1),_xlpm.g,SUM(IF(_xlpm.d&gt;0,_xlpm.d,0)),_xlpm.l,-SUM(IF(_xlpm.d&lt;0,_xlpm.d,0)),IF(_xlpm.l=0,100,100-100/(1+_xlpm.g/_xlpm.l))))</f>
        <v/>
      </c>
      <c r="M121" s="211">
        <f>MAX($E$2:E121)</f>
        <v/>
      </c>
      <c r="N121" s="341">
        <f>E121/M121-1</f>
        <v/>
      </c>
    </row>
    <row r="122">
      <c r="A122" s="424" t="n">
        <v>44637</v>
      </c>
      <c r="B122" s="425" t="n">
        <v>114.4661569142223</v>
      </c>
      <c r="C122" s="425" t="n">
        <v>116.7290954589844</v>
      </c>
      <c r="D122" s="425" t="n">
        <v>113.3301023233672</v>
      </c>
      <c r="E122" s="425" t="n">
        <v>116.7290954589844</v>
      </c>
      <c r="F122" s="207" t="n">
        <v>6845300</v>
      </c>
      <c r="G122" s="208" t="n">
        <v>0.01251102701260765</v>
      </c>
      <c r="H122" s="209" cm="1">
        <f t="array" ref="H122">IF(ROW()&lt;3,"",E122/INDEX(E:E,ROW()-1)-1)</f>
        <v/>
      </c>
      <c r="I122" s="211">
        <f>IF(ROW()&lt;51,NA(),AVERAGE(INDEX(E:E,ROW()-49):E122))</f>
        <v/>
      </c>
      <c r="J122" s="211">
        <f>IF(ROW()&lt;201,NA(),AVERAGE(INDEX(E:E,ROW()-199):E122))</f>
        <v/>
      </c>
      <c r="K122" s="341">
        <f>IF(ROW()&lt;22,NA(),_xlfn.STDEV.S(INDEX(H:H,ROW()-19):H122)*SQRT(252))</f>
        <v/>
      </c>
      <c r="L122" s="426" cm="1">
        <f t="array" ref="L122">IF(ROW()&lt;17,NA(),_xlfn.LET(_xlpm.d,INDEX(E:E,ROW()-13):E122-INDEX(E:E,ROW()-14):INDEX(E:E,ROW()-1),_xlpm.g,SUM(IF(_xlpm.d&gt;0,_xlpm.d,0)),_xlpm.l,-SUM(IF(_xlpm.d&lt;0,_xlpm.d,0)),IF(_xlpm.l=0,100,100-100/(1+_xlpm.g/_xlpm.l))))</f>
        <v/>
      </c>
      <c r="M122" s="211">
        <f>MAX($E$2:E122)</f>
        <v/>
      </c>
      <c r="N122" s="341">
        <f>E122/M122-1</f>
        <v/>
      </c>
    </row>
    <row r="123">
      <c r="A123" s="424" t="n">
        <v>44638</v>
      </c>
      <c r="B123" s="425" t="n">
        <v>116.2160188533003</v>
      </c>
      <c r="C123" s="425" t="n">
        <v>120.4395648599919</v>
      </c>
      <c r="D123" s="425" t="n">
        <v>116.0785921259116</v>
      </c>
      <c r="E123" s="425" t="n">
        <v>120.2380065917969</v>
      </c>
      <c r="F123" s="207" t="n">
        <v>10350900</v>
      </c>
      <c r="G123" s="208" t="n">
        <v>0.01095286457068245</v>
      </c>
      <c r="H123" s="209" cm="1">
        <f t="array" ref="H123">IF(ROW()&lt;3,"",E123/INDEX(E:E,ROW()-1)-1)</f>
        <v/>
      </c>
      <c r="I123" s="211">
        <f>IF(ROW()&lt;51,NA(),AVERAGE(INDEX(E:E,ROW()-49):E123))</f>
        <v/>
      </c>
      <c r="J123" s="211">
        <f>IF(ROW()&lt;201,NA(),AVERAGE(INDEX(E:E,ROW()-199):E123))</f>
        <v/>
      </c>
      <c r="K123" s="341">
        <f>IF(ROW()&lt;22,NA(),_xlfn.STDEV.S(INDEX(H:H,ROW()-19):H123)*SQRT(252))</f>
        <v/>
      </c>
      <c r="L123" s="426" cm="1">
        <f t="array" ref="L123">IF(ROW()&lt;17,NA(),_xlfn.LET(_xlpm.d,INDEX(E:E,ROW()-13):E123-INDEX(E:E,ROW()-14):INDEX(E:E,ROW()-1),_xlpm.g,SUM(IF(_xlpm.d&gt;0,_xlpm.d,0)),_xlpm.l,-SUM(IF(_xlpm.d&lt;0,_xlpm.d,0)),IF(_xlpm.l=0,100,100-100/(1+_xlpm.g/_xlpm.l))))</f>
        <v/>
      </c>
      <c r="M123" s="211">
        <f>MAX($E$2:E123)</f>
        <v/>
      </c>
      <c r="N123" s="341">
        <f>E123/M123-1</f>
        <v/>
      </c>
    </row>
    <row r="124">
      <c r="A124" s="424" t="n">
        <v>44641</v>
      </c>
      <c r="B124" s="425" t="n">
        <v>118.8454385940212</v>
      </c>
      <c r="C124" s="425" t="n">
        <v>121.2183128449998</v>
      </c>
      <c r="D124" s="425" t="n">
        <v>117.8376471463015</v>
      </c>
      <c r="E124" s="425" t="n">
        <v>119.2760391235352</v>
      </c>
      <c r="F124" s="207" t="n">
        <v>14388500</v>
      </c>
      <c r="G124" s="208" t="n">
        <v>-0.0002923294118607478</v>
      </c>
      <c r="H124" s="209" cm="1">
        <f t="array" ref="H124">IF(ROW()&lt;3,"",E124/INDEX(E:E,ROW()-1)-1)</f>
        <v/>
      </c>
      <c r="I124" s="211">
        <f>IF(ROW()&lt;51,NA(),AVERAGE(INDEX(E:E,ROW()-49):E124))</f>
        <v/>
      </c>
      <c r="J124" s="211">
        <f>IF(ROW()&lt;201,NA(),AVERAGE(INDEX(E:E,ROW()-199):E124))</f>
        <v/>
      </c>
      <c r="K124" s="341">
        <f>IF(ROW()&lt;22,NA(),_xlfn.STDEV.S(INDEX(H:H,ROW()-19):H124)*SQRT(252))</f>
        <v/>
      </c>
      <c r="L124" s="426" cm="1">
        <f t="array" ref="L124">IF(ROW()&lt;17,NA(),_xlfn.LET(_xlpm.d,INDEX(E:E,ROW()-13):E124-INDEX(E:E,ROW()-14):INDEX(E:E,ROW()-1),_xlpm.g,SUM(IF(_xlpm.d&gt;0,_xlpm.d,0)),_xlpm.l,-SUM(IF(_xlpm.d&lt;0,_xlpm.d,0)),IF(_xlpm.l=0,100,100-100/(1+_xlpm.g/_xlpm.l))))</f>
        <v/>
      </c>
      <c r="M124" s="211">
        <f>MAX($E$2:E124)</f>
        <v/>
      </c>
      <c r="N124" s="341">
        <f>E124/M124-1</f>
        <v/>
      </c>
    </row>
    <row r="125">
      <c r="A125" s="424" t="n">
        <v>44642</v>
      </c>
      <c r="B125" s="425" t="n">
        <v>125.7716803752368</v>
      </c>
      <c r="C125" s="425" t="n">
        <v>127.3474921883115</v>
      </c>
      <c r="D125" s="425" t="n">
        <v>121.8413214795987</v>
      </c>
      <c r="E125" s="425" t="n">
        <v>121.9329299926758</v>
      </c>
      <c r="F125" s="207" t="n">
        <v>19731200</v>
      </c>
      <c r="G125" s="208" t="n">
        <v>0.01170126386837267</v>
      </c>
      <c r="H125" s="209" cm="1">
        <f t="array" ref="H125">IF(ROW()&lt;3,"",E125/INDEX(E:E,ROW()-1)-1)</f>
        <v/>
      </c>
      <c r="I125" s="211">
        <f>IF(ROW()&lt;51,NA(),AVERAGE(INDEX(E:E,ROW()-49):E125))</f>
        <v/>
      </c>
      <c r="J125" s="211">
        <f>IF(ROW()&lt;201,NA(),AVERAGE(INDEX(E:E,ROW()-199):E125))</f>
        <v/>
      </c>
      <c r="K125" s="341">
        <f>IF(ROW()&lt;22,NA(),_xlfn.STDEV.S(INDEX(H:H,ROW()-19):H125)*SQRT(252))</f>
        <v/>
      </c>
      <c r="L125" s="426" cm="1">
        <f t="array" ref="L125">IF(ROW()&lt;17,NA(),_xlfn.LET(_xlpm.d,INDEX(E:E,ROW()-13):E125-INDEX(E:E,ROW()-14):INDEX(E:E,ROW()-1),_xlpm.g,SUM(IF(_xlpm.d&gt;0,_xlpm.d,0)),_xlpm.l,-SUM(IF(_xlpm.d&lt;0,_xlpm.d,0)),IF(_xlpm.l=0,100,100-100/(1+_xlpm.g/_xlpm.l))))</f>
        <v/>
      </c>
      <c r="M125" s="211">
        <f>MAX($E$2:E125)</f>
        <v/>
      </c>
      <c r="N125" s="341">
        <f>E125/M125-1</f>
        <v/>
      </c>
    </row>
    <row r="126">
      <c r="A126" s="424" t="n">
        <v>44643</v>
      </c>
      <c r="B126" s="425" t="n">
        <v>121.5206577210368</v>
      </c>
      <c r="C126" s="425" t="n">
        <v>124.0492791724881</v>
      </c>
      <c r="D126" s="425" t="n">
        <v>120.201372101278</v>
      </c>
      <c r="E126" s="425" t="n">
        <v>121.8504791259766</v>
      </c>
      <c r="F126" s="207" t="n">
        <v>8068800</v>
      </c>
      <c r="G126" s="208" t="n">
        <v>-0.01287836338630854</v>
      </c>
      <c r="H126" s="209" cm="1">
        <f t="array" ref="H126">IF(ROW()&lt;3,"",E126/INDEX(E:E,ROW()-1)-1)</f>
        <v/>
      </c>
      <c r="I126" s="211">
        <f>IF(ROW()&lt;51,NA(),AVERAGE(INDEX(E:E,ROW()-49):E126))</f>
        <v/>
      </c>
      <c r="J126" s="211">
        <f>IF(ROW()&lt;201,NA(),AVERAGE(INDEX(E:E,ROW()-199):E126))</f>
        <v/>
      </c>
      <c r="K126" s="341">
        <f>IF(ROW()&lt;22,NA(),_xlfn.STDEV.S(INDEX(H:H,ROW()-19):H126)*SQRT(252))</f>
        <v/>
      </c>
      <c r="L126" s="426" cm="1">
        <f t="array" ref="L126">IF(ROW()&lt;17,NA(),_xlfn.LET(_xlpm.d,INDEX(E:E,ROW()-13):E126-INDEX(E:E,ROW()-14):INDEX(E:E,ROW()-1),_xlpm.g,SUM(IF(_xlpm.d&gt;0,_xlpm.d,0)),_xlpm.l,-SUM(IF(_xlpm.d&lt;0,_xlpm.d,0)),IF(_xlpm.l=0,100,100-100/(1+_xlpm.g/_xlpm.l))))</f>
        <v/>
      </c>
      <c r="M126" s="211">
        <f>MAX($E$2:E126)</f>
        <v/>
      </c>
      <c r="N126" s="341">
        <f>E126/M126-1</f>
        <v/>
      </c>
    </row>
    <row r="127">
      <c r="A127" s="424" t="n">
        <v>44644</v>
      </c>
      <c r="B127" s="425" t="n">
        <v>122.537607100628</v>
      </c>
      <c r="C127" s="425" t="n">
        <v>122.9407237083914</v>
      </c>
      <c r="D127" s="425" t="n">
        <v>120.2013732908208</v>
      </c>
      <c r="E127" s="425" t="n">
        <v>121.0076065063477</v>
      </c>
      <c r="F127" s="207" t="n">
        <v>5853800</v>
      </c>
      <c r="G127" s="208" t="n">
        <v>0.01507424022960357</v>
      </c>
      <c r="H127" s="209" cm="1">
        <f t="array" ref="H127">IF(ROW()&lt;3,"",E127/INDEX(E:E,ROW()-1)-1)</f>
        <v/>
      </c>
      <c r="I127" s="211">
        <f>IF(ROW()&lt;51,NA(),AVERAGE(INDEX(E:E,ROW()-49):E127))</f>
        <v/>
      </c>
      <c r="J127" s="211">
        <f>IF(ROW()&lt;201,NA(),AVERAGE(INDEX(E:E,ROW()-199):E127))</f>
        <v/>
      </c>
      <c r="K127" s="341">
        <f>IF(ROW()&lt;22,NA(),_xlfn.STDEV.S(INDEX(H:H,ROW()-19):H127)*SQRT(252))</f>
        <v/>
      </c>
      <c r="L127" s="426" cm="1">
        <f t="array" ref="L127">IF(ROW()&lt;17,NA(),_xlfn.LET(_xlpm.d,INDEX(E:E,ROW()-13):E127-INDEX(E:E,ROW()-14):INDEX(E:E,ROW()-1),_xlpm.g,SUM(IF(_xlpm.d&gt;0,_xlpm.d,0)),_xlpm.l,-SUM(IF(_xlpm.d&lt;0,_xlpm.d,0)),IF(_xlpm.l=0,100,100-100/(1+_xlpm.g/_xlpm.l))))</f>
        <v/>
      </c>
      <c r="M127" s="211">
        <f>MAX($E$2:E127)</f>
        <v/>
      </c>
      <c r="N127" s="341">
        <f>E127/M127-1</f>
        <v/>
      </c>
    </row>
    <row r="128">
      <c r="A128" s="424" t="n">
        <v>44645</v>
      </c>
      <c r="B128" s="425" t="n">
        <v>121.8962485602414</v>
      </c>
      <c r="C128" s="425" t="n">
        <v>122.6474996262497</v>
      </c>
      <c r="D128" s="425" t="n">
        <v>120.6685858550419</v>
      </c>
      <c r="E128" s="425" t="n">
        <v>122.4917526245117</v>
      </c>
      <c r="F128" s="207" t="n">
        <v>6287000</v>
      </c>
      <c r="G128" s="208" t="n">
        <v>0.004883667702511252</v>
      </c>
      <c r="H128" s="209" cm="1">
        <f t="array" ref="H128">IF(ROW()&lt;3,"",E128/INDEX(E:E,ROW()-1)-1)</f>
        <v/>
      </c>
      <c r="I128" s="211">
        <f>IF(ROW()&lt;51,NA(),AVERAGE(INDEX(E:E,ROW()-49):E128))</f>
        <v/>
      </c>
      <c r="J128" s="211">
        <f>IF(ROW()&lt;201,NA(),AVERAGE(INDEX(E:E,ROW()-199):E128))</f>
        <v/>
      </c>
      <c r="K128" s="341">
        <f>IF(ROW()&lt;22,NA(),_xlfn.STDEV.S(INDEX(H:H,ROW()-19):H128)*SQRT(252))</f>
        <v/>
      </c>
      <c r="L128" s="426" cm="1">
        <f t="array" ref="L128">IF(ROW()&lt;17,NA(),_xlfn.LET(_xlpm.d,INDEX(E:E,ROW()-13):E128-INDEX(E:E,ROW()-14):INDEX(E:E,ROW()-1),_xlpm.g,SUM(IF(_xlpm.d&gt;0,_xlpm.d,0)),_xlpm.l,-SUM(IF(_xlpm.d&lt;0,_xlpm.d,0)),IF(_xlpm.l=0,100,100-100/(1+_xlpm.g/_xlpm.l))))</f>
        <v/>
      </c>
      <c r="M128" s="211">
        <f>MAX($E$2:E128)</f>
        <v/>
      </c>
      <c r="N128" s="341">
        <f>E128/M128-1</f>
        <v/>
      </c>
    </row>
    <row r="129">
      <c r="A129" s="424" t="n">
        <v>44648</v>
      </c>
      <c r="B129" s="425" t="n">
        <v>122.5467554497291</v>
      </c>
      <c r="C129" s="425" t="n">
        <v>123.5545469008109</v>
      </c>
      <c r="D129" s="425" t="n">
        <v>121.0900501537709</v>
      </c>
      <c r="E129" s="425" t="n">
        <v>123.5087356567383</v>
      </c>
      <c r="F129" s="207" t="n">
        <v>5804100</v>
      </c>
      <c r="G129" s="208" t="n">
        <v>0.007113114065659953</v>
      </c>
      <c r="H129" s="209" cm="1">
        <f t="array" ref="H129">IF(ROW()&lt;3,"",E129/INDEX(E:E,ROW()-1)-1)</f>
        <v/>
      </c>
      <c r="I129" s="211">
        <f>IF(ROW()&lt;51,NA(),AVERAGE(INDEX(E:E,ROW()-49):E129))</f>
        <v/>
      </c>
      <c r="J129" s="211">
        <f>IF(ROW()&lt;201,NA(),AVERAGE(INDEX(E:E,ROW()-199):E129))</f>
        <v/>
      </c>
      <c r="K129" s="341">
        <f>IF(ROW()&lt;22,NA(),_xlfn.STDEV.S(INDEX(H:H,ROW()-19):H129)*SQRT(252))</f>
        <v/>
      </c>
      <c r="L129" s="426" cm="1">
        <f t="array" ref="L129">IF(ROW()&lt;17,NA(),_xlfn.LET(_xlpm.d,INDEX(E:E,ROW()-13):E129-INDEX(E:E,ROW()-14):INDEX(E:E,ROW()-1),_xlpm.g,SUM(IF(_xlpm.d&gt;0,_xlpm.d,0)),_xlpm.l,-SUM(IF(_xlpm.d&lt;0,_xlpm.d,0)),IF(_xlpm.l=0,100,100-100/(1+_xlpm.g/_xlpm.l))))</f>
        <v/>
      </c>
      <c r="M129" s="211">
        <f>MAX($E$2:E129)</f>
        <v/>
      </c>
      <c r="N129" s="341">
        <f>E129/M129-1</f>
        <v/>
      </c>
    </row>
    <row r="130">
      <c r="A130" s="424" t="n">
        <v>44649</v>
      </c>
      <c r="B130" s="425" t="n">
        <v>126.2938716935084</v>
      </c>
      <c r="C130" s="425" t="n">
        <v>128.0345867806072</v>
      </c>
      <c r="D130" s="425" t="n">
        <v>125.4693114051778</v>
      </c>
      <c r="E130" s="425" t="n">
        <v>127.4757232666016</v>
      </c>
      <c r="F130" s="207" t="n">
        <v>7275900</v>
      </c>
      <c r="G130" s="208" t="n">
        <v>0.01237058914240263</v>
      </c>
      <c r="H130" s="209" cm="1">
        <f t="array" ref="H130">IF(ROW()&lt;3,"",E130/INDEX(E:E,ROW()-1)-1)</f>
        <v/>
      </c>
      <c r="I130" s="211">
        <f>IF(ROW()&lt;51,NA(),AVERAGE(INDEX(E:E,ROW()-49):E130))</f>
        <v/>
      </c>
      <c r="J130" s="211">
        <f>IF(ROW()&lt;201,NA(),AVERAGE(INDEX(E:E,ROW()-199):E130))</f>
        <v/>
      </c>
      <c r="K130" s="341">
        <f>IF(ROW()&lt;22,NA(),_xlfn.STDEV.S(INDEX(H:H,ROW()-19):H130)*SQRT(252))</f>
        <v/>
      </c>
      <c r="L130" s="426" cm="1">
        <f t="array" ref="L130">IF(ROW()&lt;17,NA(),_xlfn.LET(_xlpm.d,INDEX(E:E,ROW()-13):E130-INDEX(E:E,ROW()-14):INDEX(E:E,ROW()-1),_xlpm.g,SUM(IF(_xlpm.d&gt;0,_xlpm.d,0)),_xlpm.l,-SUM(IF(_xlpm.d&lt;0,_xlpm.d,0)),IF(_xlpm.l=0,100,100-100/(1+_xlpm.g/_xlpm.l))))</f>
        <v/>
      </c>
      <c r="M130" s="211">
        <f>MAX($E$2:E130)</f>
        <v/>
      </c>
      <c r="N130" s="341">
        <f>E130/M130-1</f>
        <v/>
      </c>
    </row>
    <row r="131">
      <c r="A131" s="424" t="n">
        <v>44650</v>
      </c>
      <c r="B131" s="425" t="n">
        <v>127.3291725328902</v>
      </c>
      <c r="C131" s="425" t="n">
        <v>128.1354057822643</v>
      </c>
      <c r="D131" s="425" t="n">
        <v>126.0282141402559</v>
      </c>
      <c r="E131" s="425" t="n">
        <v>126.9260559082031</v>
      </c>
      <c r="F131" s="207" t="n">
        <v>5545800</v>
      </c>
      <c r="G131" s="208" t="n">
        <v>-0.006174569191033208</v>
      </c>
      <c r="H131" s="209" cm="1">
        <f t="array" ref="H131">IF(ROW()&lt;3,"",E131/INDEX(E:E,ROW()-1)-1)</f>
        <v/>
      </c>
      <c r="I131" s="211">
        <f>IF(ROW()&lt;51,NA(),AVERAGE(INDEX(E:E,ROW()-49):E131))</f>
        <v/>
      </c>
      <c r="J131" s="211">
        <f>IF(ROW()&lt;201,NA(),AVERAGE(INDEX(E:E,ROW()-199):E131))</f>
        <v/>
      </c>
      <c r="K131" s="341">
        <f>IF(ROW()&lt;22,NA(),_xlfn.STDEV.S(INDEX(H:H,ROW()-19):H131)*SQRT(252))</f>
        <v/>
      </c>
      <c r="L131" s="426" cm="1">
        <f t="array" ref="L131">IF(ROW()&lt;17,NA(),_xlfn.LET(_xlpm.d,INDEX(E:E,ROW()-13):E131-INDEX(E:E,ROW()-14):INDEX(E:E,ROW()-1),_xlpm.g,SUM(IF(_xlpm.d&gt;0,_xlpm.d,0)),_xlpm.l,-SUM(IF(_xlpm.d&lt;0,_xlpm.d,0)),IF(_xlpm.l=0,100,100-100/(1+_xlpm.g/_xlpm.l))))</f>
        <v/>
      </c>
      <c r="M131" s="211">
        <f>MAX($E$2:E131)</f>
        <v/>
      </c>
      <c r="N131" s="341">
        <f>E131/M131-1</f>
        <v/>
      </c>
    </row>
    <row r="132">
      <c r="A132" s="424" t="n">
        <v>44651</v>
      </c>
      <c r="B132" s="425" t="n">
        <v>126.2755700311711</v>
      </c>
      <c r="C132" s="425" t="n">
        <v>127.0818031932629</v>
      </c>
      <c r="D132" s="425" t="n">
        <v>123.2247257023965</v>
      </c>
      <c r="E132" s="425" t="n">
        <v>123.2796936035156</v>
      </c>
      <c r="F132" s="207" t="n">
        <v>7206500</v>
      </c>
      <c r="G132" s="208" t="n">
        <v>-0.0153913534809007</v>
      </c>
      <c r="H132" s="209" cm="1">
        <f t="array" ref="H132">IF(ROW()&lt;3,"",E132/INDEX(E:E,ROW()-1)-1)</f>
        <v/>
      </c>
      <c r="I132" s="211">
        <f>IF(ROW()&lt;51,NA(),AVERAGE(INDEX(E:E,ROW()-49):E132))</f>
        <v/>
      </c>
      <c r="J132" s="211">
        <f>IF(ROW()&lt;201,NA(),AVERAGE(INDEX(E:E,ROW()-199):E132))</f>
        <v/>
      </c>
      <c r="K132" s="341">
        <f>IF(ROW()&lt;22,NA(),_xlfn.STDEV.S(INDEX(H:H,ROW()-19):H132)*SQRT(252))</f>
        <v/>
      </c>
      <c r="L132" s="426" cm="1">
        <f t="array" ref="L132">IF(ROW()&lt;17,NA(),_xlfn.LET(_xlpm.d,INDEX(E:E,ROW()-13):E132-INDEX(E:E,ROW()-14):INDEX(E:E,ROW()-1),_xlpm.g,SUM(IF(_xlpm.d&gt;0,_xlpm.d,0)),_xlpm.l,-SUM(IF(_xlpm.d&lt;0,_xlpm.d,0)),IF(_xlpm.l=0,100,100-100/(1+_xlpm.g/_xlpm.l))))</f>
        <v/>
      </c>
      <c r="M132" s="211">
        <f>MAX($E$2:E132)</f>
        <v/>
      </c>
      <c r="N132" s="341">
        <f>E132/M132-1</f>
        <v/>
      </c>
    </row>
    <row r="133">
      <c r="A133" s="424" t="n">
        <v>44652</v>
      </c>
      <c r="B133" s="425" t="n">
        <v>123.1789118170271</v>
      </c>
      <c r="C133" s="425" t="n">
        <v>123.9393337186714</v>
      </c>
      <c r="D133" s="425" t="n">
        <v>121.6214274069876</v>
      </c>
      <c r="E133" s="425" t="n">
        <v>122.3268814086914</v>
      </c>
      <c r="F133" s="207" t="n">
        <v>5807500</v>
      </c>
      <c r="G133" s="208" t="n">
        <v>0.002834004203638996</v>
      </c>
      <c r="H133" s="209" cm="1">
        <f t="array" ref="H133">IF(ROW()&lt;3,"",E133/INDEX(E:E,ROW()-1)-1)</f>
        <v/>
      </c>
      <c r="I133" s="211">
        <f>IF(ROW()&lt;51,NA(),AVERAGE(INDEX(E:E,ROW()-49):E133))</f>
        <v/>
      </c>
      <c r="J133" s="211">
        <f>IF(ROW()&lt;201,NA(),AVERAGE(INDEX(E:E,ROW()-199):E133))</f>
        <v/>
      </c>
      <c r="K133" s="341">
        <f>IF(ROW()&lt;22,NA(),_xlfn.STDEV.S(INDEX(H:H,ROW()-19):H133)*SQRT(252))</f>
        <v/>
      </c>
      <c r="L133" s="426" cm="1">
        <f t="array" ref="L133">IF(ROW()&lt;17,NA(),_xlfn.LET(_xlpm.d,INDEX(E:E,ROW()-13):E133-INDEX(E:E,ROW()-14):INDEX(E:E,ROW()-1),_xlpm.g,SUM(IF(_xlpm.d&gt;0,_xlpm.d,0)),_xlpm.l,-SUM(IF(_xlpm.d&lt;0,_xlpm.d,0)),IF(_xlpm.l=0,100,100-100/(1+_xlpm.g/_xlpm.l))))</f>
        <v/>
      </c>
      <c r="M133" s="211">
        <f>MAX($E$2:E133)</f>
        <v/>
      </c>
      <c r="N133" s="341">
        <f>E133/M133-1</f>
        <v/>
      </c>
    </row>
    <row r="134">
      <c r="A134" s="424" t="n">
        <v>44655</v>
      </c>
      <c r="B134" s="425" t="n">
        <v>121.8962732860809</v>
      </c>
      <c r="C134" s="425" t="n">
        <v>123.875201438326</v>
      </c>
      <c r="D134" s="425" t="n">
        <v>121.7221989607037</v>
      </c>
      <c r="E134" s="425" t="n">
        <v>123.078125</v>
      </c>
      <c r="F134" s="207" t="n">
        <v>5307300</v>
      </c>
      <c r="G134" s="208" t="n">
        <v>0.008566656146475449</v>
      </c>
      <c r="H134" s="209" cm="1">
        <f t="array" ref="H134">IF(ROW()&lt;3,"",E134/INDEX(E:E,ROW()-1)-1)</f>
        <v/>
      </c>
      <c r="I134" s="211">
        <f>IF(ROW()&lt;51,NA(),AVERAGE(INDEX(E:E,ROW()-49):E134))</f>
        <v/>
      </c>
      <c r="J134" s="211">
        <f>IF(ROW()&lt;201,NA(),AVERAGE(INDEX(E:E,ROW()-199):E134))</f>
        <v/>
      </c>
      <c r="K134" s="341">
        <f>IF(ROW()&lt;22,NA(),_xlfn.STDEV.S(INDEX(H:H,ROW()-19):H134)*SQRT(252))</f>
        <v/>
      </c>
      <c r="L134" s="426" cm="1">
        <f t="array" ref="L134">IF(ROW()&lt;17,NA(),_xlfn.LET(_xlpm.d,INDEX(E:E,ROW()-13):E134-INDEX(E:E,ROW()-14):INDEX(E:E,ROW()-1),_xlpm.g,SUM(IF(_xlpm.d&gt;0,_xlpm.d,0)),_xlpm.l,-SUM(IF(_xlpm.d&lt;0,_xlpm.d,0)),IF(_xlpm.l=0,100,100-100/(1+_xlpm.g/_xlpm.l))))</f>
        <v/>
      </c>
      <c r="M134" s="211">
        <f>MAX($E$2:E134)</f>
        <v/>
      </c>
      <c r="N134" s="341">
        <f>E134/M134-1</f>
        <v/>
      </c>
    </row>
    <row r="135">
      <c r="A135" s="424" t="n">
        <v>44656</v>
      </c>
      <c r="B135" s="425" t="n">
        <v>122.8032772127433</v>
      </c>
      <c r="C135" s="425" t="n">
        <v>123.3896247686941</v>
      </c>
      <c r="D135" s="425" t="n">
        <v>120.952626039678</v>
      </c>
      <c r="E135" s="425" t="n">
        <v>121.2091522216797</v>
      </c>
      <c r="F135" s="207" t="n">
        <v>5707800</v>
      </c>
      <c r="G135" s="208" t="n">
        <v>-0.01263138504515027</v>
      </c>
      <c r="H135" s="209" cm="1">
        <f t="array" ref="H135">IF(ROW()&lt;3,"",E135/INDEX(E:E,ROW()-1)-1)</f>
        <v/>
      </c>
      <c r="I135" s="211">
        <f>IF(ROW()&lt;51,NA(),AVERAGE(INDEX(E:E,ROW()-49):E135))</f>
        <v/>
      </c>
      <c r="J135" s="211">
        <f>IF(ROW()&lt;201,NA(),AVERAGE(INDEX(E:E,ROW()-199):E135))</f>
        <v/>
      </c>
      <c r="K135" s="341">
        <f>IF(ROW()&lt;22,NA(),_xlfn.STDEV.S(INDEX(H:H,ROW()-19):H135)*SQRT(252))</f>
        <v/>
      </c>
      <c r="L135" s="426" cm="1">
        <f t="array" ref="L135">IF(ROW()&lt;17,NA(),_xlfn.LET(_xlpm.d,INDEX(E:E,ROW()-13):E135-INDEX(E:E,ROW()-14):INDEX(E:E,ROW()-1),_xlpm.g,SUM(IF(_xlpm.d&gt;0,_xlpm.d,0)),_xlpm.l,-SUM(IF(_xlpm.d&lt;0,_xlpm.d,0)),IF(_xlpm.l=0,100,100-100/(1+_xlpm.g/_xlpm.l))))</f>
        <v/>
      </c>
      <c r="M135" s="211">
        <f>MAX($E$2:E135)</f>
        <v/>
      </c>
      <c r="N135" s="341">
        <f>E135/M135-1</f>
        <v/>
      </c>
    </row>
    <row r="136">
      <c r="A136" s="424" t="n">
        <v>44657</v>
      </c>
      <c r="B136" s="425" t="n">
        <v>119.1477846784559</v>
      </c>
      <c r="C136" s="425" t="n">
        <v>119.3768269350544</v>
      </c>
      <c r="D136" s="425" t="n">
        <v>115.7396347819001</v>
      </c>
      <c r="E136" s="425" t="n">
        <v>117.5994567871094</v>
      </c>
      <c r="F136" s="207" t="n">
        <v>6961000</v>
      </c>
      <c r="G136" s="208" t="n">
        <v>-0.009999266249993477</v>
      </c>
      <c r="H136" s="209" cm="1">
        <f t="array" ref="H136">IF(ROW()&lt;3,"",E136/INDEX(E:E,ROW()-1)-1)</f>
        <v/>
      </c>
      <c r="I136" s="211">
        <f>IF(ROW()&lt;51,NA(),AVERAGE(INDEX(E:E,ROW()-49):E136))</f>
        <v/>
      </c>
      <c r="J136" s="211">
        <f>IF(ROW()&lt;201,NA(),AVERAGE(INDEX(E:E,ROW()-199):E136))</f>
        <v/>
      </c>
      <c r="K136" s="341">
        <f>IF(ROW()&lt;22,NA(),_xlfn.STDEV.S(INDEX(H:H,ROW()-19):H136)*SQRT(252))</f>
        <v/>
      </c>
      <c r="L136" s="426" cm="1">
        <f t="array" ref="L136">IF(ROW()&lt;17,NA(),_xlfn.LET(_xlpm.d,INDEX(E:E,ROW()-13):E136-INDEX(E:E,ROW()-14):INDEX(E:E,ROW()-1),_xlpm.g,SUM(IF(_xlpm.d&gt;0,_xlpm.d,0)),_xlpm.l,-SUM(IF(_xlpm.d&lt;0,_xlpm.d,0)),IF(_xlpm.l=0,100,100-100/(1+_xlpm.g/_xlpm.l))))</f>
        <v/>
      </c>
      <c r="M136" s="211">
        <f>MAX($E$2:E136)</f>
        <v/>
      </c>
      <c r="N136" s="341">
        <f>E136/M136-1</f>
        <v/>
      </c>
    </row>
    <row r="137">
      <c r="A137" s="424" t="n">
        <v>44658</v>
      </c>
      <c r="B137" s="425" t="n">
        <v>116.7474095306076</v>
      </c>
      <c r="C137" s="425" t="n">
        <v>119.0836361582687</v>
      </c>
      <c r="D137" s="425" t="n">
        <v>116.4359084530308</v>
      </c>
      <c r="E137" s="425" t="n">
        <v>118.5339431762695</v>
      </c>
      <c r="F137" s="207" t="n">
        <v>5320500</v>
      </c>
      <c r="G137" s="208" t="n">
        <v>0.005038806424334741</v>
      </c>
      <c r="H137" s="209" cm="1">
        <f t="array" ref="H137">IF(ROW()&lt;3,"",E137/INDEX(E:E,ROW()-1)-1)</f>
        <v/>
      </c>
      <c r="I137" s="211">
        <f>IF(ROW()&lt;51,NA(),AVERAGE(INDEX(E:E,ROW()-49):E137))</f>
        <v/>
      </c>
      <c r="J137" s="211">
        <f>IF(ROW()&lt;201,NA(),AVERAGE(INDEX(E:E,ROW()-199):E137))</f>
        <v/>
      </c>
      <c r="K137" s="341">
        <f>IF(ROW()&lt;22,NA(),_xlfn.STDEV.S(INDEX(H:H,ROW()-19):H137)*SQRT(252))</f>
        <v/>
      </c>
      <c r="L137" s="426" cm="1">
        <f t="array" ref="L137">IF(ROW()&lt;17,NA(),_xlfn.LET(_xlpm.d,INDEX(E:E,ROW()-13):E137-INDEX(E:E,ROW()-14):INDEX(E:E,ROW()-1),_xlpm.g,SUM(IF(_xlpm.d&gt;0,_xlpm.d,0)),_xlpm.l,-SUM(IF(_xlpm.d&lt;0,_xlpm.d,0)),IF(_xlpm.l=0,100,100-100/(1+_xlpm.g/_xlpm.l))))</f>
        <v/>
      </c>
      <c r="M137" s="211">
        <f>MAX($E$2:E137)</f>
        <v/>
      </c>
      <c r="N137" s="341">
        <f>E137/M137-1</f>
        <v/>
      </c>
    </row>
    <row r="138">
      <c r="A138" s="424" t="n">
        <v>44659</v>
      </c>
      <c r="B138" s="425" t="n">
        <v>118.5888937996714</v>
      </c>
      <c r="C138" s="425" t="n">
        <v>119.0378075726256</v>
      </c>
      <c r="D138" s="425" t="n">
        <v>117.1596656933986</v>
      </c>
      <c r="E138" s="425" t="n">
        <v>117.4070281982422</v>
      </c>
      <c r="F138" s="207" t="n">
        <v>4877400</v>
      </c>
      <c r="G138" s="208" t="n">
        <v>-0.00267379872266682</v>
      </c>
      <c r="H138" s="209" cm="1">
        <f t="array" ref="H138">IF(ROW()&lt;3,"",E138/INDEX(E:E,ROW()-1)-1)</f>
        <v/>
      </c>
      <c r="I138" s="211">
        <f>IF(ROW()&lt;51,NA(),AVERAGE(INDEX(E:E,ROW()-49):E138))</f>
        <v/>
      </c>
      <c r="J138" s="211">
        <f>IF(ROW()&lt;201,NA(),AVERAGE(INDEX(E:E,ROW()-199):E138))</f>
        <v/>
      </c>
      <c r="K138" s="341">
        <f>IF(ROW()&lt;22,NA(),_xlfn.STDEV.S(INDEX(H:H,ROW()-19):H138)*SQRT(252))</f>
        <v/>
      </c>
      <c r="L138" s="426" cm="1">
        <f t="array" ref="L138">IF(ROW()&lt;17,NA(),_xlfn.LET(_xlpm.d,INDEX(E:E,ROW()-13):E138-INDEX(E:E,ROW()-14):INDEX(E:E,ROW()-1),_xlpm.g,SUM(IF(_xlpm.d&gt;0,_xlpm.d,0)),_xlpm.l,-SUM(IF(_xlpm.d&lt;0,_xlpm.d,0)),IF(_xlpm.l=0,100,100-100/(1+_xlpm.g/_xlpm.l))))</f>
        <v/>
      </c>
      <c r="M138" s="211">
        <f>MAX($E$2:E138)</f>
        <v/>
      </c>
      <c r="N138" s="341">
        <f>E138/M138-1</f>
        <v/>
      </c>
    </row>
    <row r="139">
      <c r="A139" s="424" t="n">
        <v>44662</v>
      </c>
      <c r="B139" s="425" t="n">
        <v>114.6127205163523</v>
      </c>
      <c r="C139" s="425" t="n">
        <v>116.2343432778768</v>
      </c>
      <c r="D139" s="425" t="n">
        <v>113.8981099393335</v>
      </c>
      <c r="E139" s="425" t="n">
        <v>114.5027847290039</v>
      </c>
      <c r="F139" s="207" t="n">
        <v>6365400</v>
      </c>
      <c r="G139" s="208" t="n">
        <v>-0.01709238730346019</v>
      </c>
      <c r="H139" s="209" cm="1">
        <f t="array" ref="H139">IF(ROW()&lt;3,"",E139/INDEX(E:E,ROW()-1)-1)</f>
        <v/>
      </c>
      <c r="I139" s="211">
        <f>IF(ROW()&lt;51,NA(),AVERAGE(INDEX(E:E,ROW()-49):E139))</f>
        <v/>
      </c>
      <c r="J139" s="211">
        <f>IF(ROW()&lt;201,NA(),AVERAGE(INDEX(E:E,ROW()-199):E139))</f>
        <v/>
      </c>
      <c r="K139" s="341">
        <f>IF(ROW()&lt;22,NA(),_xlfn.STDEV.S(INDEX(H:H,ROW()-19):H139)*SQRT(252))</f>
        <v/>
      </c>
      <c r="L139" s="426" cm="1">
        <f t="array" ref="L139">IF(ROW()&lt;17,NA(),_xlfn.LET(_xlpm.d,INDEX(E:E,ROW()-13):E139-INDEX(E:E,ROW()-14):INDEX(E:E,ROW()-1),_xlpm.g,SUM(IF(_xlpm.d&gt;0,_xlpm.d,0)),_xlpm.l,-SUM(IF(_xlpm.d&lt;0,_xlpm.d,0)),IF(_xlpm.l=0,100,100-100/(1+_xlpm.g/_xlpm.l))))</f>
        <v/>
      </c>
      <c r="M139" s="211">
        <f>MAX($E$2:E139)</f>
        <v/>
      </c>
      <c r="N139" s="341">
        <f>E139/M139-1</f>
        <v/>
      </c>
    </row>
    <row r="140">
      <c r="A140" s="424" t="n">
        <v>44663</v>
      </c>
      <c r="B140" s="425" t="n">
        <v>114.7043455379175</v>
      </c>
      <c r="C140" s="425" t="n">
        <v>117.3612437832675</v>
      </c>
      <c r="D140" s="425" t="n">
        <v>113.9164397106245</v>
      </c>
      <c r="E140" s="425" t="n">
        <v>114.5577621459961</v>
      </c>
      <c r="F140" s="207" t="n">
        <v>5146800</v>
      </c>
      <c r="G140" s="208" t="n">
        <v>-0.003705184414102392</v>
      </c>
      <c r="H140" s="209" cm="1">
        <f t="array" ref="H140">IF(ROW()&lt;3,"",E140/INDEX(E:E,ROW()-1)-1)</f>
        <v/>
      </c>
      <c r="I140" s="211">
        <f>IF(ROW()&lt;51,NA(),AVERAGE(INDEX(E:E,ROW()-49):E140))</f>
        <v/>
      </c>
      <c r="J140" s="211">
        <f>IF(ROW()&lt;201,NA(),AVERAGE(INDEX(E:E,ROW()-199):E140))</f>
        <v/>
      </c>
      <c r="K140" s="341">
        <f>IF(ROW()&lt;22,NA(),_xlfn.STDEV.S(INDEX(H:H,ROW()-19):H140)*SQRT(252))</f>
        <v/>
      </c>
      <c r="L140" s="426" cm="1">
        <f t="array" ref="L140">IF(ROW()&lt;17,NA(),_xlfn.LET(_xlpm.d,INDEX(E:E,ROW()-13):E140-INDEX(E:E,ROW()-14):INDEX(E:E,ROW()-1),_xlpm.g,SUM(IF(_xlpm.d&gt;0,_xlpm.d,0)),_xlpm.l,-SUM(IF(_xlpm.d&lt;0,_xlpm.d,0)),IF(_xlpm.l=0,100,100-100/(1+_xlpm.g/_xlpm.l))))</f>
        <v/>
      </c>
      <c r="M140" s="211">
        <f>MAX($E$2:E140)</f>
        <v/>
      </c>
      <c r="N140" s="341">
        <f>E140/M140-1</f>
        <v/>
      </c>
    </row>
    <row r="141">
      <c r="A141" s="424" t="n">
        <v>44664</v>
      </c>
      <c r="B141" s="425" t="n">
        <v>114.5577721770409</v>
      </c>
      <c r="C141" s="425" t="n">
        <v>117.1413684679369</v>
      </c>
      <c r="D141" s="425" t="n">
        <v>114.5577721770409</v>
      </c>
      <c r="E141" s="425" t="n">
        <v>116.8023834228516</v>
      </c>
      <c r="F141" s="207" t="n">
        <v>5119300</v>
      </c>
      <c r="G141" s="208" t="n">
        <v>0.01145367210241677</v>
      </c>
      <c r="H141" s="209" cm="1">
        <f t="array" ref="H141">IF(ROW()&lt;3,"",E141/INDEX(E:E,ROW()-1)-1)</f>
        <v/>
      </c>
      <c r="I141" s="211">
        <f>IF(ROW()&lt;51,NA(),AVERAGE(INDEX(E:E,ROW()-49):E141))</f>
        <v/>
      </c>
      <c r="J141" s="211">
        <f>IF(ROW()&lt;201,NA(),AVERAGE(INDEX(E:E,ROW()-199):E141))</f>
        <v/>
      </c>
      <c r="K141" s="341">
        <f>IF(ROW()&lt;22,NA(),_xlfn.STDEV.S(INDEX(H:H,ROW()-19):H141)*SQRT(252))</f>
        <v/>
      </c>
      <c r="L141" s="426" cm="1">
        <f t="array" ref="L141">IF(ROW()&lt;17,NA(),_xlfn.LET(_xlpm.d,INDEX(E:E,ROW()-13):E141-INDEX(E:E,ROW()-14):INDEX(E:E,ROW()-1),_xlpm.g,SUM(IF(_xlpm.d&gt;0,_xlpm.d,0)),_xlpm.l,-SUM(IF(_xlpm.d&lt;0,_xlpm.d,0)),IF(_xlpm.l=0,100,100-100/(1+_xlpm.g/_xlpm.l))))</f>
        <v/>
      </c>
      <c r="M141" s="211">
        <f>MAX($E$2:E141)</f>
        <v/>
      </c>
      <c r="N141" s="341">
        <f>E141/M141-1</f>
        <v/>
      </c>
    </row>
    <row r="142">
      <c r="A142" s="424" t="n">
        <v>44665</v>
      </c>
      <c r="B142" s="425" t="n">
        <v>118.2591093688608</v>
      </c>
      <c r="C142" s="425" t="n">
        <v>123.1148084055983</v>
      </c>
      <c r="D142" s="425" t="n">
        <v>118.0850350027323</v>
      </c>
      <c r="E142" s="425" t="n">
        <v>122.2719345092773</v>
      </c>
      <c r="F142" s="207" t="n">
        <v>12811300</v>
      </c>
      <c r="G142" s="208" t="n">
        <v>-0.01245195187038117</v>
      </c>
      <c r="H142" s="209" cm="1">
        <f t="array" ref="H142">IF(ROW()&lt;3,"",E142/INDEX(E:E,ROW()-1)-1)</f>
        <v/>
      </c>
      <c r="I142" s="211">
        <f>IF(ROW()&lt;51,NA(),AVERAGE(INDEX(E:E,ROW()-49):E142))</f>
        <v/>
      </c>
      <c r="J142" s="211">
        <f>IF(ROW()&lt;201,NA(),AVERAGE(INDEX(E:E,ROW()-199):E142))</f>
        <v/>
      </c>
      <c r="K142" s="341">
        <f>IF(ROW()&lt;22,NA(),_xlfn.STDEV.S(INDEX(H:H,ROW()-19):H142)*SQRT(252))</f>
        <v/>
      </c>
      <c r="L142" s="426" cm="1">
        <f t="array" ref="L142">IF(ROW()&lt;17,NA(),_xlfn.LET(_xlpm.d,INDEX(E:E,ROW()-13):E142-INDEX(E:E,ROW()-14):INDEX(E:E,ROW()-1),_xlpm.g,SUM(IF(_xlpm.d&gt;0,_xlpm.d,0)),_xlpm.l,-SUM(IF(_xlpm.d&lt;0,_xlpm.d,0)),IF(_xlpm.l=0,100,100-100/(1+_xlpm.g/_xlpm.l))))</f>
        <v/>
      </c>
      <c r="M142" s="211">
        <f>MAX($E$2:E142)</f>
        <v/>
      </c>
      <c r="N142" s="341">
        <f>E142/M142-1</f>
        <v/>
      </c>
    </row>
    <row r="143">
      <c r="A143" s="424" t="n">
        <v>44669</v>
      </c>
      <c r="B143" s="425" t="n">
        <v>120.9343073393347</v>
      </c>
      <c r="C143" s="425" t="n">
        <v>122.2077816831925</v>
      </c>
      <c r="D143" s="425" t="n">
        <v>119.3859795010525</v>
      </c>
      <c r="E143" s="425" t="n">
        <v>120.595329284668</v>
      </c>
      <c r="F143" s="207" t="n">
        <v>5298200</v>
      </c>
      <c r="G143" s="208" t="n">
        <v>0.0004113620630297188</v>
      </c>
      <c r="H143" s="209" cm="1">
        <f t="array" ref="H143">IF(ROW()&lt;3,"",E143/INDEX(E:E,ROW()-1)-1)</f>
        <v/>
      </c>
      <c r="I143" s="211">
        <f>IF(ROW()&lt;51,NA(),AVERAGE(INDEX(E:E,ROW()-49):E143))</f>
        <v/>
      </c>
      <c r="J143" s="211">
        <f>IF(ROW()&lt;201,NA(),AVERAGE(INDEX(E:E,ROW()-199):E143))</f>
        <v/>
      </c>
      <c r="K143" s="341">
        <f>IF(ROW()&lt;22,NA(),_xlfn.STDEV.S(INDEX(H:H,ROW()-19):H143)*SQRT(252))</f>
        <v/>
      </c>
      <c r="L143" s="426" cm="1">
        <f t="array" ref="L143">IF(ROW()&lt;17,NA(),_xlfn.LET(_xlpm.d,INDEX(E:E,ROW()-13):E143-INDEX(E:E,ROW()-14):INDEX(E:E,ROW()-1),_xlpm.g,SUM(IF(_xlpm.d&gt;0,_xlpm.d,0)),_xlpm.l,-SUM(IF(_xlpm.d&lt;0,_xlpm.d,0)),IF(_xlpm.l=0,100,100-100/(1+_xlpm.g/_xlpm.l))))</f>
        <v/>
      </c>
      <c r="M143" s="211">
        <f>MAX($E$2:E143)</f>
        <v/>
      </c>
      <c r="N143" s="341">
        <f>E143/M143-1</f>
        <v/>
      </c>
    </row>
    <row r="144">
      <c r="A144" s="424" t="n">
        <v>44670</v>
      </c>
      <c r="B144" s="425" t="n">
        <v>121.9329162178792</v>
      </c>
      <c r="C144" s="425" t="n">
        <v>125.9548971518598</v>
      </c>
      <c r="D144" s="425" t="n">
        <v>121.6489060940545</v>
      </c>
      <c r="E144" s="425" t="n">
        <v>125.5609512329102</v>
      </c>
      <c r="F144" s="207" t="n">
        <v>7346100</v>
      </c>
      <c r="G144" s="208" t="n">
        <v>0.01614257825653898</v>
      </c>
      <c r="H144" s="209" cm="1">
        <f t="array" ref="H144">IF(ROW()&lt;3,"",E144/INDEX(E:E,ROW()-1)-1)</f>
        <v/>
      </c>
      <c r="I144" s="211">
        <f>IF(ROW()&lt;51,NA(),AVERAGE(INDEX(E:E,ROW()-49):E144))</f>
        <v/>
      </c>
      <c r="J144" s="211">
        <f>IF(ROW()&lt;201,NA(),AVERAGE(INDEX(E:E,ROW()-199):E144))</f>
        <v/>
      </c>
      <c r="K144" s="341">
        <f>IF(ROW()&lt;22,NA(),_xlfn.STDEV.S(INDEX(H:H,ROW()-19):H144)*SQRT(252))</f>
        <v/>
      </c>
      <c r="L144" s="426" cm="1">
        <f t="array" ref="L144">IF(ROW()&lt;17,NA(),_xlfn.LET(_xlpm.d,INDEX(E:E,ROW()-13):E144-INDEX(E:E,ROW()-14):INDEX(E:E,ROW()-1),_xlpm.g,SUM(IF(_xlpm.d&gt;0,_xlpm.d,0)),_xlpm.l,-SUM(IF(_xlpm.d&lt;0,_xlpm.d,0)),IF(_xlpm.l=0,100,100-100/(1+_xlpm.g/_xlpm.l))))</f>
        <v/>
      </c>
      <c r="M144" s="211">
        <f>MAX($E$2:E144)</f>
        <v/>
      </c>
      <c r="N144" s="341">
        <f>E144/M144-1</f>
        <v/>
      </c>
    </row>
    <row r="145">
      <c r="A145" s="424" t="n">
        <v>44671</v>
      </c>
      <c r="B145" s="425" t="n">
        <v>126.3947084187772</v>
      </c>
      <c r="C145" s="425" t="n">
        <v>127.0268534210638</v>
      </c>
      <c r="D145" s="425" t="n">
        <v>124.2875164722578</v>
      </c>
      <c r="E145" s="425" t="n">
        <v>124.4799041748047</v>
      </c>
      <c r="F145" s="207" t="n">
        <v>5309700</v>
      </c>
      <c r="G145" s="208" t="n">
        <v>-0.0007415136886514961</v>
      </c>
      <c r="H145" s="209" cm="1">
        <f t="array" ref="H145">IF(ROW()&lt;3,"",E145/INDEX(E:E,ROW()-1)-1)</f>
        <v/>
      </c>
      <c r="I145" s="211">
        <f>IF(ROW()&lt;51,NA(),AVERAGE(INDEX(E:E,ROW()-49):E145))</f>
        <v/>
      </c>
      <c r="J145" s="211">
        <f>IF(ROW()&lt;201,NA(),AVERAGE(INDEX(E:E,ROW()-199):E145))</f>
        <v/>
      </c>
      <c r="K145" s="341">
        <f>IF(ROW()&lt;22,NA(),_xlfn.STDEV.S(INDEX(H:H,ROW()-19):H145)*SQRT(252))</f>
        <v/>
      </c>
      <c r="L145" s="426" cm="1">
        <f t="array" ref="L145">IF(ROW()&lt;17,NA(),_xlfn.LET(_xlpm.d,INDEX(E:E,ROW()-13):E145-INDEX(E:E,ROW()-14):INDEX(E:E,ROW()-1),_xlpm.g,SUM(IF(_xlpm.d&gt;0,_xlpm.d,0)),_xlpm.l,-SUM(IF(_xlpm.d&lt;0,_xlpm.d,0)),IF(_xlpm.l=0,100,100-100/(1+_xlpm.g/_xlpm.l))))</f>
        <v/>
      </c>
      <c r="M145" s="211">
        <f>MAX($E$2:E145)</f>
        <v/>
      </c>
      <c r="N145" s="341">
        <f>E145/M145-1</f>
        <v/>
      </c>
    </row>
    <row r="146">
      <c r="A146" s="424" t="n">
        <v>44672</v>
      </c>
      <c r="B146" s="425" t="n">
        <v>126.9352456715446</v>
      </c>
      <c r="C146" s="425" t="n">
        <v>127.475782145351</v>
      </c>
      <c r="D146" s="425" t="n">
        <v>123.7561374237739</v>
      </c>
      <c r="E146" s="425" t="n">
        <v>124.1042861938477</v>
      </c>
      <c r="F146" s="207" t="n">
        <v>6562400</v>
      </c>
      <c r="G146" s="208" t="n">
        <v>-0.01495359786213279</v>
      </c>
      <c r="H146" s="209" cm="1">
        <f t="array" ref="H146">IF(ROW()&lt;3,"",E146/INDEX(E:E,ROW()-1)-1)</f>
        <v/>
      </c>
      <c r="I146" s="211">
        <f>IF(ROW()&lt;51,NA(),AVERAGE(INDEX(E:E,ROW()-49):E146))</f>
        <v/>
      </c>
      <c r="J146" s="211">
        <f>IF(ROW()&lt;201,NA(),AVERAGE(INDEX(E:E,ROW()-199):E146))</f>
        <v/>
      </c>
      <c r="K146" s="341">
        <f>IF(ROW()&lt;22,NA(),_xlfn.STDEV.S(INDEX(H:H,ROW()-19):H146)*SQRT(252))</f>
        <v/>
      </c>
      <c r="L146" s="426" cm="1">
        <f t="array" ref="L146">IF(ROW()&lt;17,NA(),_xlfn.LET(_xlpm.d,INDEX(E:E,ROW()-13):E146-INDEX(E:E,ROW()-14):INDEX(E:E,ROW()-1),_xlpm.g,SUM(IF(_xlpm.d&gt;0,_xlpm.d,0)),_xlpm.l,-SUM(IF(_xlpm.d&lt;0,_xlpm.d,0)),IF(_xlpm.l=0,100,100-100/(1+_xlpm.g/_xlpm.l))))</f>
        <v/>
      </c>
      <c r="M146" s="211">
        <f>MAX($E$2:E146)</f>
        <v/>
      </c>
      <c r="N146" s="341">
        <f>E146/M146-1</f>
        <v/>
      </c>
    </row>
    <row r="147">
      <c r="A147" s="424" t="n">
        <v>44673</v>
      </c>
      <c r="B147" s="425" t="n">
        <v>123.0689907890442</v>
      </c>
      <c r="C147" s="425" t="n">
        <v>123.6186838340576</v>
      </c>
      <c r="D147" s="425" t="n">
        <v>117.9201251753781</v>
      </c>
      <c r="E147" s="425" t="n">
        <v>118.2499465942383</v>
      </c>
      <c r="F147" s="207" t="n">
        <v>7321700</v>
      </c>
      <c r="G147" s="208" t="n">
        <v>-0.02743919741797829</v>
      </c>
      <c r="H147" s="209" cm="1">
        <f t="array" ref="H147">IF(ROW()&lt;3,"",E147/INDEX(E:E,ROW()-1)-1)</f>
        <v/>
      </c>
      <c r="I147" s="211">
        <f>IF(ROW()&lt;51,NA(),AVERAGE(INDEX(E:E,ROW()-49):E147))</f>
        <v/>
      </c>
      <c r="J147" s="211">
        <f>IF(ROW()&lt;201,NA(),AVERAGE(INDEX(E:E,ROW()-199):E147))</f>
        <v/>
      </c>
      <c r="K147" s="341">
        <f>IF(ROW()&lt;22,NA(),_xlfn.STDEV.S(INDEX(H:H,ROW()-19):H147)*SQRT(252))</f>
        <v/>
      </c>
      <c r="L147" s="426" cm="1">
        <f t="array" ref="L147">IF(ROW()&lt;17,NA(),_xlfn.LET(_xlpm.d,INDEX(E:E,ROW()-13):E147-INDEX(E:E,ROW()-14):INDEX(E:E,ROW()-1),_xlpm.g,SUM(IF(_xlpm.d&gt;0,_xlpm.d,0)),_xlpm.l,-SUM(IF(_xlpm.d&lt;0,_xlpm.d,0)),IF(_xlpm.l=0,100,100-100/(1+_xlpm.g/_xlpm.l))))</f>
        <v/>
      </c>
      <c r="M147" s="211">
        <f>MAX($E$2:E147)</f>
        <v/>
      </c>
      <c r="N147" s="341">
        <f>E147/M147-1</f>
        <v/>
      </c>
    </row>
    <row r="148">
      <c r="A148" s="424" t="n">
        <v>44676</v>
      </c>
      <c r="B148" s="425" t="n">
        <v>117.0864051685401</v>
      </c>
      <c r="C148" s="425" t="n">
        <v>118.1308373065753</v>
      </c>
      <c r="D148" s="425" t="n">
        <v>114.3837023283348</v>
      </c>
      <c r="E148" s="425" t="n">
        <v>117.2146682739258</v>
      </c>
      <c r="F148" s="207" t="n">
        <v>6512500</v>
      </c>
      <c r="G148" s="208" t="n">
        <v>0.00579769289802412</v>
      </c>
      <c r="H148" s="209" cm="1">
        <f t="array" ref="H148">IF(ROW()&lt;3,"",E148/INDEX(E:E,ROW()-1)-1)</f>
        <v/>
      </c>
      <c r="I148" s="211">
        <f>IF(ROW()&lt;51,NA(),AVERAGE(INDEX(E:E,ROW()-49):E148))</f>
        <v/>
      </c>
      <c r="J148" s="211">
        <f>IF(ROW()&lt;201,NA(),AVERAGE(INDEX(E:E,ROW()-199):E148))</f>
        <v/>
      </c>
      <c r="K148" s="341">
        <f>IF(ROW()&lt;22,NA(),_xlfn.STDEV.S(INDEX(H:H,ROW()-19):H148)*SQRT(252))</f>
        <v/>
      </c>
      <c r="L148" s="426" cm="1">
        <f t="array" ref="L148">IF(ROW()&lt;17,NA(),_xlfn.LET(_xlpm.d,INDEX(E:E,ROW()-13):E148-INDEX(E:E,ROW()-14):INDEX(E:E,ROW()-1),_xlpm.g,SUM(IF(_xlpm.d&gt;0,_xlpm.d,0)),_xlpm.l,-SUM(IF(_xlpm.d&lt;0,_xlpm.d,0)),IF(_xlpm.l=0,100,100-100/(1+_xlpm.g/_xlpm.l))))</f>
        <v/>
      </c>
      <c r="M148" s="211">
        <f>MAX($E$2:E148)</f>
        <v/>
      </c>
      <c r="N148" s="341">
        <f>E148/M148-1</f>
        <v/>
      </c>
    </row>
    <row r="149">
      <c r="A149" s="424" t="n">
        <v>44677</v>
      </c>
      <c r="B149" s="425" t="n">
        <v>116.3076540790722</v>
      </c>
      <c r="C149" s="425" t="n">
        <v>116.8940016916081</v>
      </c>
      <c r="D149" s="425" t="n">
        <v>110.3800464020233</v>
      </c>
      <c r="E149" s="425" t="n">
        <v>110.4166870117188</v>
      </c>
      <c r="F149" s="207" t="n">
        <v>7977900</v>
      </c>
      <c r="G149" s="208" t="n">
        <v>-0.02896092776632586</v>
      </c>
      <c r="H149" s="209" cm="1">
        <f t="array" ref="H149">IF(ROW()&lt;3,"",E149/INDEX(E:E,ROW()-1)-1)</f>
        <v/>
      </c>
      <c r="I149" s="211">
        <f>IF(ROW()&lt;51,NA(),AVERAGE(INDEX(E:E,ROW()-49):E149))</f>
        <v/>
      </c>
      <c r="J149" s="211">
        <f>IF(ROW()&lt;201,NA(),AVERAGE(INDEX(E:E,ROW()-199):E149))</f>
        <v/>
      </c>
      <c r="K149" s="341">
        <f>IF(ROW()&lt;22,NA(),_xlfn.STDEV.S(INDEX(H:H,ROW()-19):H149)*SQRT(252))</f>
        <v/>
      </c>
      <c r="L149" s="426" cm="1">
        <f t="array" ref="L149">IF(ROW()&lt;17,NA(),_xlfn.LET(_xlpm.d,INDEX(E:E,ROW()-13):E149-INDEX(E:E,ROW()-14):INDEX(E:E,ROW()-1),_xlpm.g,SUM(IF(_xlpm.d&gt;0,_xlpm.d,0)),_xlpm.l,-SUM(IF(_xlpm.d&lt;0,_xlpm.d,0)),IF(_xlpm.l=0,100,100-100/(1+_xlpm.g/_xlpm.l))))</f>
        <v/>
      </c>
      <c r="M149" s="211">
        <f>MAX($E$2:E149)</f>
        <v/>
      </c>
      <c r="N149" s="341">
        <f>E149/M149-1</f>
        <v/>
      </c>
    </row>
    <row r="150">
      <c r="A150" s="424" t="n">
        <v>44678</v>
      </c>
      <c r="B150" s="425" t="n">
        <v>110.9389053387678</v>
      </c>
      <c r="C150" s="425" t="n">
        <v>113.6049605916343</v>
      </c>
      <c r="D150" s="425" t="n">
        <v>110.9389053387678</v>
      </c>
      <c r="E150" s="425" t="n">
        <v>111.0763320922852</v>
      </c>
      <c r="F150" s="207" t="n">
        <v>6007800</v>
      </c>
      <c r="G150" s="208" t="n">
        <v>0.0028119086516456</v>
      </c>
      <c r="H150" s="209" cm="1">
        <f t="array" ref="H150">IF(ROW()&lt;3,"",E150/INDEX(E:E,ROW()-1)-1)</f>
        <v/>
      </c>
      <c r="I150" s="211">
        <f>IF(ROW()&lt;51,NA(),AVERAGE(INDEX(E:E,ROW()-49):E150))</f>
        <v/>
      </c>
      <c r="J150" s="211">
        <f>IF(ROW()&lt;201,NA(),AVERAGE(INDEX(E:E,ROW()-199):E150))</f>
        <v/>
      </c>
      <c r="K150" s="341">
        <f>IF(ROW()&lt;22,NA(),_xlfn.STDEV.S(INDEX(H:H,ROW()-19):H150)*SQRT(252))</f>
        <v/>
      </c>
      <c r="L150" s="426" cm="1">
        <f t="array" ref="L150">IF(ROW()&lt;17,NA(),_xlfn.LET(_xlpm.d,INDEX(E:E,ROW()-13):E150-INDEX(E:E,ROW()-14):INDEX(E:E,ROW()-1),_xlpm.g,SUM(IF(_xlpm.d&gt;0,_xlpm.d,0)),_xlpm.l,-SUM(IF(_xlpm.d&lt;0,_xlpm.d,0)),IF(_xlpm.l=0,100,100-100/(1+_xlpm.g/_xlpm.l))))</f>
        <v/>
      </c>
      <c r="M150" s="211">
        <f>MAX($E$2:E150)</f>
        <v/>
      </c>
      <c r="N150" s="341">
        <f>E150/M150-1</f>
        <v/>
      </c>
    </row>
    <row r="151">
      <c r="A151" s="424" t="n">
        <v>44679</v>
      </c>
      <c r="B151" s="425" t="n">
        <v>112.8445216711537</v>
      </c>
      <c r="C151" s="425" t="n">
        <v>117.2421351845738</v>
      </c>
      <c r="D151" s="425" t="n">
        <v>112.3223056780437</v>
      </c>
      <c r="E151" s="425" t="n">
        <v>116.3992614746094</v>
      </c>
      <c r="F151" s="207" t="n">
        <v>6551600</v>
      </c>
      <c r="G151" s="208" t="n">
        <v>0.02525952000596576</v>
      </c>
      <c r="H151" s="209" cm="1">
        <f t="array" ref="H151">IF(ROW()&lt;3,"",E151/INDEX(E:E,ROW()-1)-1)</f>
        <v/>
      </c>
      <c r="I151" s="211">
        <f>IF(ROW()&lt;51,NA(),AVERAGE(INDEX(E:E,ROW()-49):E151))</f>
        <v/>
      </c>
      <c r="J151" s="211">
        <f>IF(ROW()&lt;201,NA(),AVERAGE(INDEX(E:E,ROW()-199):E151))</f>
        <v/>
      </c>
      <c r="K151" s="341">
        <f>IF(ROW()&lt;22,NA(),_xlfn.STDEV.S(INDEX(H:H,ROW()-19):H151)*SQRT(252))</f>
        <v/>
      </c>
      <c r="L151" s="426" cm="1">
        <f t="array" ref="L151">IF(ROW()&lt;17,NA(),_xlfn.LET(_xlpm.d,INDEX(E:E,ROW()-13):E151-INDEX(E:E,ROW()-14):INDEX(E:E,ROW()-1),_xlpm.g,SUM(IF(_xlpm.d&gt;0,_xlpm.d,0)),_xlpm.l,-SUM(IF(_xlpm.d&lt;0,_xlpm.d,0)),IF(_xlpm.l=0,100,100-100/(1+_xlpm.g/_xlpm.l))))</f>
        <v/>
      </c>
      <c r="M151" s="211">
        <f>MAX($E$2:E151)</f>
        <v/>
      </c>
      <c r="N151" s="341">
        <f>E151/M151-1</f>
        <v/>
      </c>
    </row>
    <row r="152">
      <c r="A152" s="424" t="n">
        <v>44680</v>
      </c>
      <c r="B152" s="425" t="n">
        <v>115.6388345478204</v>
      </c>
      <c r="C152" s="425" t="n">
        <v>117.6818871899158</v>
      </c>
      <c r="D152" s="425" t="n">
        <v>113.833980776495</v>
      </c>
      <c r="E152" s="425" t="n">
        <v>114.2462539672852</v>
      </c>
      <c r="F152" s="207" t="n">
        <v>5867900</v>
      </c>
      <c r="G152" s="208" t="n">
        <v>-0.03695568073179456</v>
      </c>
      <c r="H152" s="209" cm="1">
        <f t="array" ref="H152">IF(ROW()&lt;3,"",E152/INDEX(E:E,ROW()-1)-1)</f>
        <v/>
      </c>
      <c r="I152" s="211">
        <f>IF(ROW()&lt;51,NA(),AVERAGE(INDEX(E:E,ROW()-49):E152))</f>
        <v/>
      </c>
      <c r="J152" s="211">
        <f>IF(ROW()&lt;201,NA(),AVERAGE(INDEX(E:E,ROW()-199):E152))</f>
        <v/>
      </c>
      <c r="K152" s="341">
        <f>IF(ROW()&lt;22,NA(),_xlfn.STDEV.S(INDEX(H:H,ROW()-19):H152)*SQRT(252))</f>
        <v/>
      </c>
      <c r="L152" s="426" cm="1">
        <f t="array" ref="L152">IF(ROW()&lt;17,NA(),_xlfn.LET(_xlpm.d,INDEX(E:E,ROW()-13):E152-INDEX(E:E,ROW()-14):INDEX(E:E,ROW()-1),_xlpm.g,SUM(IF(_xlpm.d&gt;0,_xlpm.d,0)),_xlpm.l,-SUM(IF(_xlpm.d&lt;0,_xlpm.d,0)),IF(_xlpm.l=0,100,100-100/(1+_xlpm.g/_xlpm.l))))</f>
        <v/>
      </c>
      <c r="M152" s="211">
        <f>MAX($E$2:E152)</f>
        <v/>
      </c>
      <c r="N152" s="341">
        <f>E152/M152-1</f>
        <v/>
      </c>
    </row>
    <row r="153">
      <c r="A153" s="424" t="n">
        <v>44683</v>
      </c>
      <c r="B153" s="425" t="n">
        <v>113.9989018168357</v>
      </c>
      <c r="C153" s="425" t="n">
        <v>115.6021974665196</v>
      </c>
      <c r="D153" s="425" t="n">
        <v>112.5055489566061</v>
      </c>
      <c r="E153" s="425" t="n">
        <v>115.5105819702148</v>
      </c>
      <c r="F153" s="207" t="n">
        <v>5428400</v>
      </c>
      <c r="G153" s="208" t="n">
        <v>0.006019338038030897</v>
      </c>
      <c r="H153" s="209" cm="1">
        <f t="array" ref="H153">IF(ROW()&lt;3,"",E153/INDEX(E:E,ROW()-1)-1)</f>
        <v/>
      </c>
      <c r="I153" s="211">
        <f>IF(ROW()&lt;51,NA(),AVERAGE(INDEX(E:E,ROW()-49):E153))</f>
        <v/>
      </c>
      <c r="J153" s="211">
        <f>IF(ROW()&lt;201,NA(),AVERAGE(INDEX(E:E,ROW()-199):E153))</f>
        <v/>
      </c>
      <c r="K153" s="341">
        <f>IF(ROW()&lt;22,NA(),_xlfn.STDEV.S(INDEX(H:H,ROW()-19):H153)*SQRT(252))</f>
        <v/>
      </c>
      <c r="L153" s="426" cm="1">
        <f t="array" ref="L153">IF(ROW()&lt;17,NA(),_xlfn.LET(_xlpm.d,INDEX(E:E,ROW()-13):E153-INDEX(E:E,ROW()-14):INDEX(E:E,ROW()-1),_xlpm.g,SUM(IF(_xlpm.d&gt;0,_xlpm.d,0)),_xlpm.l,-SUM(IF(_xlpm.d&lt;0,_xlpm.d,0)),IF(_xlpm.l=0,100,100-100/(1+_xlpm.g/_xlpm.l))))</f>
        <v/>
      </c>
      <c r="M153" s="211">
        <f>MAX($E$2:E153)</f>
        <v/>
      </c>
      <c r="N153" s="341">
        <f>E153/M153-1</f>
        <v/>
      </c>
    </row>
    <row r="154">
      <c r="A154" s="424" t="n">
        <v>44684</v>
      </c>
      <c r="B154" s="425" t="n">
        <v>114.5394453936534</v>
      </c>
      <c r="C154" s="425" t="n">
        <v>115.2174154868478</v>
      </c>
      <c r="D154" s="425" t="n">
        <v>110.1418383841186</v>
      </c>
      <c r="E154" s="425" t="n">
        <v>112.5605239868164</v>
      </c>
      <c r="F154" s="207" t="n">
        <v>8201200</v>
      </c>
      <c r="G154" s="208" t="n">
        <v>0.004583955374159121</v>
      </c>
      <c r="H154" s="209" cm="1">
        <f t="array" ref="H154">IF(ROW()&lt;3,"",E154/INDEX(E:E,ROW()-1)-1)</f>
        <v/>
      </c>
      <c r="I154" s="211">
        <f>IF(ROW()&lt;51,NA(),AVERAGE(INDEX(E:E,ROW()-49):E154))</f>
        <v/>
      </c>
      <c r="J154" s="211">
        <f>IF(ROW()&lt;201,NA(),AVERAGE(INDEX(E:E,ROW()-199):E154))</f>
        <v/>
      </c>
      <c r="K154" s="341">
        <f>IF(ROW()&lt;22,NA(),_xlfn.STDEV.S(INDEX(H:H,ROW()-19):H154)*SQRT(252))</f>
        <v/>
      </c>
      <c r="L154" s="426" cm="1">
        <f t="array" ref="L154">IF(ROW()&lt;17,NA(),_xlfn.LET(_xlpm.d,INDEX(E:E,ROW()-13):E154-INDEX(E:E,ROW()-14):INDEX(E:E,ROW()-1),_xlpm.g,SUM(IF(_xlpm.d&gt;0,_xlpm.d,0)),_xlpm.l,-SUM(IF(_xlpm.d&lt;0,_xlpm.d,0)),IF(_xlpm.l=0,100,100-100/(1+_xlpm.g/_xlpm.l))))</f>
        <v/>
      </c>
      <c r="M154" s="211">
        <f>MAX($E$2:E154)</f>
        <v/>
      </c>
      <c r="N154" s="341">
        <f>E154/M154-1</f>
        <v/>
      </c>
    </row>
    <row r="155">
      <c r="A155" s="424" t="n">
        <v>44685</v>
      </c>
      <c r="B155" s="425" t="n">
        <v>112.2673519366698</v>
      </c>
      <c r="C155" s="425" t="n">
        <v>115.6205268968599</v>
      </c>
      <c r="D155" s="425" t="n">
        <v>110.0135769985518</v>
      </c>
      <c r="E155" s="425" t="n">
        <v>115.4922637939453</v>
      </c>
      <c r="F155" s="207" t="n">
        <v>6924000</v>
      </c>
      <c r="G155" s="208" t="n">
        <v>0.03045292688846946</v>
      </c>
      <c r="H155" s="209" cm="1">
        <f t="array" ref="H155">IF(ROW()&lt;3,"",E155/INDEX(E:E,ROW()-1)-1)</f>
        <v/>
      </c>
      <c r="I155" s="211">
        <f>IF(ROW()&lt;51,NA(),AVERAGE(INDEX(E:E,ROW()-49):E155))</f>
        <v/>
      </c>
      <c r="J155" s="211">
        <f>IF(ROW()&lt;201,NA(),AVERAGE(INDEX(E:E,ROW()-199):E155))</f>
        <v/>
      </c>
      <c r="K155" s="341">
        <f>IF(ROW()&lt;22,NA(),_xlfn.STDEV.S(INDEX(H:H,ROW()-19):H155)*SQRT(252))</f>
        <v/>
      </c>
      <c r="L155" s="426" cm="1">
        <f t="array" ref="L155">IF(ROW()&lt;17,NA(),_xlfn.LET(_xlpm.d,INDEX(E:E,ROW()-13):E155-INDEX(E:E,ROW()-14):INDEX(E:E,ROW()-1),_xlpm.g,SUM(IF(_xlpm.d&gt;0,_xlpm.d,0)),_xlpm.l,-SUM(IF(_xlpm.d&lt;0,_xlpm.d,0)),IF(_xlpm.l=0,100,100-100/(1+_xlpm.g/_xlpm.l))))</f>
        <v/>
      </c>
      <c r="M155" s="211">
        <f>MAX($E$2:E155)</f>
        <v/>
      </c>
      <c r="N155" s="341">
        <f>E155/M155-1</f>
        <v/>
      </c>
    </row>
    <row r="156">
      <c r="A156" s="424" t="n">
        <v>44686</v>
      </c>
      <c r="B156" s="425" t="n">
        <v>113.7057205504309</v>
      </c>
      <c r="C156" s="425" t="n">
        <v>114.2920680759642</v>
      </c>
      <c r="D156" s="425" t="n">
        <v>106.7519950985207</v>
      </c>
      <c r="E156" s="425" t="n">
        <v>108.6851119995117</v>
      </c>
      <c r="F156" s="207" t="n">
        <v>8411600</v>
      </c>
      <c r="G156" s="208" t="n">
        <v>-0.0355427456891918</v>
      </c>
      <c r="H156" s="209" cm="1">
        <f t="array" ref="H156">IF(ROW()&lt;3,"",E156/INDEX(E:E,ROW()-1)-1)</f>
        <v/>
      </c>
      <c r="I156" s="211">
        <f>IF(ROW()&lt;51,NA(),AVERAGE(INDEX(E:E,ROW()-49):E156))</f>
        <v/>
      </c>
      <c r="J156" s="211">
        <f>IF(ROW()&lt;201,NA(),AVERAGE(INDEX(E:E,ROW()-199):E156))</f>
        <v/>
      </c>
      <c r="K156" s="341">
        <f>IF(ROW()&lt;22,NA(),_xlfn.STDEV.S(INDEX(H:H,ROW()-19):H156)*SQRT(252))</f>
        <v/>
      </c>
      <c r="L156" s="426" cm="1">
        <f t="array" ref="L156">IF(ROW()&lt;17,NA(),_xlfn.LET(_xlpm.d,INDEX(E:E,ROW()-13):E156-INDEX(E:E,ROW()-14):INDEX(E:E,ROW()-1),_xlpm.g,SUM(IF(_xlpm.d&gt;0,_xlpm.d,0)),_xlpm.l,-SUM(IF(_xlpm.d&lt;0,_xlpm.d,0)),IF(_xlpm.l=0,100,100-100/(1+_xlpm.g/_xlpm.l))))</f>
        <v/>
      </c>
      <c r="M156" s="211">
        <f>MAX($E$2:E156)</f>
        <v/>
      </c>
      <c r="N156" s="341">
        <f>E156/M156-1</f>
        <v/>
      </c>
    </row>
    <row r="157">
      <c r="A157" s="424" t="n">
        <v>44687</v>
      </c>
      <c r="B157" s="425" t="n">
        <v>104.2050546822279</v>
      </c>
      <c r="C157" s="425" t="n">
        <v>106.1839829743975</v>
      </c>
      <c r="D157" s="425" t="n">
        <v>101.3832596212736</v>
      </c>
      <c r="E157" s="425" t="n">
        <v>104.8921813964844</v>
      </c>
      <c r="F157" s="207" t="n">
        <v>11237500</v>
      </c>
      <c r="G157" s="208" t="n">
        <v>-0.00596880642435671</v>
      </c>
      <c r="H157" s="209" cm="1">
        <f t="array" ref="H157">IF(ROW()&lt;3,"",E157/INDEX(E:E,ROW()-1)-1)</f>
        <v/>
      </c>
      <c r="I157" s="211">
        <f>IF(ROW()&lt;51,NA(),AVERAGE(INDEX(E:E,ROW()-49):E157))</f>
        <v/>
      </c>
      <c r="J157" s="211">
        <f>IF(ROW()&lt;201,NA(),AVERAGE(INDEX(E:E,ROW()-199):E157))</f>
        <v/>
      </c>
      <c r="K157" s="341">
        <f>IF(ROW()&lt;22,NA(),_xlfn.STDEV.S(INDEX(H:H,ROW()-19):H157)*SQRT(252))</f>
        <v/>
      </c>
      <c r="L157" s="426" cm="1">
        <f t="array" ref="L157">IF(ROW()&lt;17,NA(),_xlfn.LET(_xlpm.d,INDEX(E:E,ROW()-13):E157-INDEX(E:E,ROW()-14):INDEX(E:E,ROW()-1),_xlpm.g,SUM(IF(_xlpm.d&gt;0,_xlpm.d,0)),_xlpm.l,-SUM(IF(_xlpm.d&lt;0,_xlpm.d,0)),IF(_xlpm.l=0,100,100-100/(1+_xlpm.g/_xlpm.l))))</f>
        <v/>
      </c>
      <c r="M157" s="211">
        <f>MAX($E$2:E157)</f>
        <v/>
      </c>
      <c r="N157" s="341">
        <f>E157/M157-1</f>
        <v/>
      </c>
    </row>
    <row r="158">
      <c r="A158" s="424" t="n">
        <v>44690</v>
      </c>
      <c r="B158" s="425" t="n">
        <v>103.4996052720923</v>
      </c>
      <c r="C158" s="425" t="n">
        <v>104.8372110728157</v>
      </c>
      <c r="D158" s="425" t="n">
        <v>101.3191187424383</v>
      </c>
      <c r="E158" s="425" t="n">
        <v>101.8871459960938</v>
      </c>
      <c r="F158" s="207" t="n">
        <v>7506000</v>
      </c>
      <c r="G158" s="208" t="n">
        <v>-0.03201735052289389</v>
      </c>
      <c r="H158" s="209" cm="1">
        <f t="array" ref="H158">IF(ROW()&lt;3,"",E158/INDEX(E:E,ROW()-1)-1)</f>
        <v/>
      </c>
      <c r="I158" s="211">
        <f>IF(ROW()&lt;51,NA(),AVERAGE(INDEX(E:E,ROW()-49):E158))</f>
        <v/>
      </c>
      <c r="J158" s="211">
        <f>IF(ROW()&lt;201,NA(),AVERAGE(INDEX(E:E,ROW()-199):E158))</f>
        <v/>
      </c>
      <c r="K158" s="341">
        <f>IF(ROW()&lt;22,NA(),_xlfn.STDEV.S(INDEX(H:H,ROW()-19):H158)*SQRT(252))</f>
        <v/>
      </c>
      <c r="L158" s="426" cm="1">
        <f t="array" ref="L158">IF(ROW()&lt;17,NA(),_xlfn.LET(_xlpm.d,INDEX(E:E,ROW()-13):E158-INDEX(E:E,ROW()-14):INDEX(E:E,ROW()-1),_xlpm.g,SUM(IF(_xlpm.d&gt;0,_xlpm.d,0)),_xlpm.l,-SUM(IF(_xlpm.d&lt;0,_xlpm.d,0)),IF(_xlpm.l=0,100,100-100/(1+_xlpm.g/_xlpm.l))))</f>
        <v/>
      </c>
      <c r="M158" s="211">
        <f>MAX($E$2:E158)</f>
        <v/>
      </c>
      <c r="N158" s="341">
        <f>E158/M158-1</f>
        <v/>
      </c>
    </row>
    <row r="159">
      <c r="A159" s="424" t="n">
        <v>44691</v>
      </c>
      <c r="B159" s="425" t="n">
        <v>103.5545793816383</v>
      </c>
      <c r="C159" s="425" t="n">
        <v>103.9302120210544</v>
      </c>
      <c r="D159" s="425" t="n">
        <v>99.26690824705106</v>
      </c>
      <c r="E159" s="425" t="n">
        <v>100.3113403320312</v>
      </c>
      <c r="F159" s="207" t="n">
        <v>7526900</v>
      </c>
      <c r="G159" s="208" t="n">
        <v>0.002310480105587542</v>
      </c>
      <c r="H159" s="209" cm="1">
        <f t="array" ref="H159">IF(ROW()&lt;3,"",E159/INDEX(E:E,ROW()-1)-1)</f>
        <v/>
      </c>
      <c r="I159" s="211">
        <f>IF(ROW()&lt;51,NA(),AVERAGE(INDEX(E:E,ROW()-49):E159))</f>
        <v/>
      </c>
      <c r="J159" s="211">
        <f>IF(ROW()&lt;201,NA(),AVERAGE(INDEX(E:E,ROW()-199):E159))</f>
        <v/>
      </c>
      <c r="K159" s="341">
        <f>IF(ROW()&lt;22,NA(),_xlfn.STDEV.S(INDEX(H:H,ROW()-19):H159)*SQRT(252))</f>
        <v/>
      </c>
      <c r="L159" s="426" cm="1">
        <f t="array" ref="L159">IF(ROW()&lt;17,NA(),_xlfn.LET(_xlpm.d,INDEX(E:E,ROW()-13):E159-INDEX(E:E,ROW()-14):INDEX(E:E,ROW()-1),_xlpm.g,SUM(IF(_xlpm.d&gt;0,_xlpm.d,0)),_xlpm.l,-SUM(IF(_xlpm.d&lt;0,_xlpm.d,0)),IF(_xlpm.l=0,100,100-100/(1+_xlpm.g/_xlpm.l))))</f>
        <v/>
      </c>
      <c r="M159" s="211">
        <f>MAX($E$2:E159)</f>
        <v/>
      </c>
      <c r="N159" s="341">
        <f>E159/M159-1</f>
        <v/>
      </c>
    </row>
    <row r="160">
      <c r="A160" s="424" t="n">
        <v>44692</v>
      </c>
      <c r="B160" s="425" t="n">
        <v>101.4198883339135</v>
      </c>
      <c r="C160" s="425" t="n">
        <v>101.8321685080043</v>
      </c>
      <c r="D160" s="425" t="n">
        <v>98.57060266710607</v>
      </c>
      <c r="E160" s="425" t="n">
        <v>98.87294006347656</v>
      </c>
      <c r="F160" s="207" t="n">
        <v>6611800</v>
      </c>
      <c r="G160" s="208" t="n">
        <v>-0.01588616817391297</v>
      </c>
      <c r="H160" s="209" cm="1">
        <f t="array" ref="H160">IF(ROW()&lt;3,"",E160/INDEX(E:E,ROW()-1)-1)</f>
        <v/>
      </c>
      <c r="I160" s="211">
        <f>IF(ROW()&lt;51,NA(),AVERAGE(INDEX(E:E,ROW()-49):E160))</f>
        <v/>
      </c>
      <c r="J160" s="211">
        <f>IF(ROW()&lt;201,NA(),AVERAGE(INDEX(E:E,ROW()-199):E160))</f>
        <v/>
      </c>
      <c r="K160" s="341">
        <f>IF(ROW()&lt;22,NA(),_xlfn.STDEV.S(INDEX(H:H,ROW()-19):H160)*SQRT(252))</f>
        <v/>
      </c>
      <c r="L160" s="426" cm="1">
        <f t="array" ref="L160">IF(ROW()&lt;17,NA(),_xlfn.LET(_xlpm.d,INDEX(E:E,ROW()-13):E160-INDEX(E:E,ROW()-14):INDEX(E:E,ROW()-1),_xlpm.g,SUM(IF(_xlpm.d&gt;0,_xlpm.d,0)),_xlpm.l,-SUM(IF(_xlpm.d&lt;0,_xlpm.d,0)),IF(_xlpm.l=0,100,100-100/(1+_xlpm.g/_xlpm.l))))</f>
        <v/>
      </c>
      <c r="M160" s="211">
        <f>MAX($E$2:E160)</f>
        <v/>
      </c>
      <c r="N160" s="341">
        <f>E160/M160-1</f>
        <v/>
      </c>
    </row>
    <row r="161">
      <c r="A161" s="424" t="n">
        <v>44693</v>
      </c>
      <c r="B161" s="425" t="n">
        <v>96.36264889422111</v>
      </c>
      <c r="C161" s="425" t="n">
        <v>100.6686400941953</v>
      </c>
      <c r="D161" s="425" t="n">
        <v>96.19773820627493</v>
      </c>
      <c r="E161" s="425" t="n">
        <v>98.85462951660156</v>
      </c>
      <c r="F161" s="207" t="n">
        <v>10245400</v>
      </c>
      <c r="G161" s="208" t="n">
        <v>-0.001043756394008555</v>
      </c>
      <c r="H161" s="209" cm="1">
        <f t="array" ref="H161">IF(ROW()&lt;3,"",E161/INDEX(E:E,ROW()-1)-1)</f>
        <v/>
      </c>
      <c r="I161" s="211">
        <f>IF(ROW()&lt;51,NA(),AVERAGE(INDEX(E:E,ROW()-49):E161))</f>
        <v/>
      </c>
      <c r="J161" s="211">
        <f>IF(ROW()&lt;201,NA(),AVERAGE(INDEX(E:E,ROW()-199):E161))</f>
        <v/>
      </c>
      <c r="K161" s="341">
        <f>IF(ROW()&lt;22,NA(),_xlfn.STDEV.S(INDEX(H:H,ROW()-19):H161)*SQRT(252))</f>
        <v/>
      </c>
      <c r="L161" s="426" cm="1">
        <f t="array" ref="L161">IF(ROW()&lt;17,NA(),_xlfn.LET(_xlpm.d,INDEX(E:E,ROW()-13):E161-INDEX(E:E,ROW()-14):INDEX(E:E,ROW()-1),_xlpm.g,SUM(IF(_xlpm.d&gt;0,_xlpm.d,0)),_xlpm.l,-SUM(IF(_xlpm.d&lt;0,_xlpm.d,0)),IF(_xlpm.l=0,100,100-100/(1+_xlpm.g/_xlpm.l))))</f>
        <v/>
      </c>
      <c r="M161" s="211">
        <f>MAX($E$2:E161)</f>
        <v/>
      </c>
      <c r="N161" s="341">
        <f>E161/M161-1</f>
        <v/>
      </c>
    </row>
    <row r="162">
      <c r="A162" s="424" t="n">
        <v>44694</v>
      </c>
      <c r="B162" s="425" t="n">
        <v>101.0167977168225</v>
      </c>
      <c r="C162" s="425" t="n">
        <v>103.6278780158944</v>
      </c>
      <c r="D162" s="425" t="n">
        <v>99.56008534587816</v>
      </c>
      <c r="E162" s="425" t="n">
        <v>103.536262512207</v>
      </c>
      <c r="F162" s="207" t="n">
        <v>9618800</v>
      </c>
      <c r="G162" s="208" t="n">
        <v>0.02390772101999605</v>
      </c>
      <c r="H162" s="209" cm="1">
        <f t="array" ref="H162">IF(ROW()&lt;3,"",E162/INDEX(E:E,ROW()-1)-1)</f>
        <v/>
      </c>
      <c r="I162" s="211">
        <f>IF(ROW()&lt;51,NA(),AVERAGE(INDEX(E:E,ROW()-49):E162))</f>
        <v/>
      </c>
      <c r="J162" s="211">
        <f>IF(ROW()&lt;201,NA(),AVERAGE(INDEX(E:E,ROW()-199):E162))</f>
        <v/>
      </c>
      <c r="K162" s="341">
        <f>IF(ROW()&lt;22,NA(),_xlfn.STDEV.S(INDEX(H:H,ROW()-19):H162)*SQRT(252))</f>
        <v/>
      </c>
      <c r="L162" s="426" cm="1">
        <f t="array" ref="L162">IF(ROW()&lt;17,NA(),_xlfn.LET(_xlpm.d,INDEX(E:E,ROW()-13):E162-INDEX(E:E,ROW()-14):INDEX(E:E,ROW()-1),_xlpm.g,SUM(IF(_xlpm.d&gt;0,_xlpm.d,0)),_xlpm.l,-SUM(IF(_xlpm.d&lt;0,_xlpm.d,0)),IF(_xlpm.l=0,100,100-100/(1+_xlpm.g/_xlpm.l))))</f>
        <v/>
      </c>
      <c r="M162" s="211">
        <f>MAX($E$2:E162)</f>
        <v/>
      </c>
      <c r="N162" s="341">
        <f>E162/M162-1</f>
        <v/>
      </c>
    </row>
    <row r="163">
      <c r="A163" s="424" t="n">
        <v>44697</v>
      </c>
      <c r="B163" s="425" t="n">
        <v>103.5087703150875</v>
      </c>
      <c r="C163" s="425" t="n">
        <v>103.9302071903317</v>
      </c>
      <c r="D163" s="425" t="n">
        <v>102.2078051030216</v>
      </c>
      <c r="E163" s="425" t="n">
        <v>103.1606216430664</v>
      </c>
      <c r="F163" s="207" t="n">
        <v>5722500</v>
      </c>
      <c r="G163" s="208" t="n">
        <v>-0.004057595129336677</v>
      </c>
      <c r="H163" s="209" cm="1">
        <f t="array" ref="H163">IF(ROW()&lt;3,"",E163/INDEX(E:E,ROW()-1)-1)</f>
        <v/>
      </c>
      <c r="I163" s="211">
        <f>IF(ROW()&lt;51,NA(),AVERAGE(INDEX(E:E,ROW()-49):E163))</f>
        <v/>
      </c>
      <c r="J163" s="211">
        <f>IF(ROW()&lt;201,NA(),AVERAGE(INDEX(E:E,ROW()-199):E163))</f>
        <v/>
      </c>
      <c r="K163" s="341">
        <f>IF(ROW()&lt;22,NA(),_xlfn.STDEV.S(INDEX(H:H,ROW()-19):H163)*SQRT(252))</f>
        <v/>
      </c>
      <c r="L163" s="426" cm="1">
        <f t="array" ref="L163">IF(ROW()&lt;17,NA(),_xlfn.LET(_xlpm.d,INDEX(E:E,ROW()-13):E163-INDEX(E:E,ROW()-14):INDEX(E:E,ROW()-1),_xlpm.g,SUM(IF(_xlpm.d&gt;0,_xlpm.d,0)),_xlpm.l,-SUM(IF(_xlpm.d&lt;0,_xlpm.d,0)),IF(_xlpm.l=0,100,100-100/(1+_xlpm.g/_xlpm.l))))</f>
        <v/>
      </c>
      <c r="M163" s="211">
        <f>MAX($E$2:E163)</f>
        <v/>
      </c>
      <c r="N163" s="341">
        <f>E163/M163-1</f>
        <v/>
      </c>
    </row>
    <row r="164">
      <c r="A164" s="424" t="n">
        <v>44698</v>
      </c>
      <c r="B164" s="425" t="n">
        <v>105.8175062675903</v>
      </c>
      <c r="C164" s="425" t="n">
        <v>107.2833750863214</v>
      </c>
      <c r="D164" s="425" t="n">
        <v>103.5912155963939</v>
      </c>
      <c r="E164" s="425" t="n">
        <v>106.1839752197266</v>
      </c>
      <c r="F164" s="207" t="n">
        <v>6026100</v>
      </c>
      <c r="G164" s="208" t="n">
        <v>0.02057049758329654</v>
      </c>
      <c r="H164" s="209" cm="1">
        <f t="array" ref="H164">IF(ROW()&lt;3,"",E164/INDEX(E:E,ROW()-1)-1)</f>
        <v/>
      </c>
      <c r="I164" s="211">
        <f>IF(ROW()&lt;51,NA(),AVERAGE(INDEX(E:E,ROW()-49):E164))</f>
        <v/>
      </c>
      <c r="J164" s="211">
        <f>IF(ROW()&lt;201,NA(),AVERAGE(INDEX(E:E,ROW()-199):E164))</f>
        <v/>
      </c>
      <c r="K164" s="341">
        <f>IF(ROW()&lt;22,NA(),_xlfn.STDEV.S(INDEX(H:H,ROW()-19):H164)*SQRT(252))</f>
        <v/>
      </c>
      <c r="L164" s="426" cm="1">
        <f t="array" ref="L164">IF(ROW()&lt;17,NA(),_xlfn.LET(_xlpm.d,INDEX(E:E,ROW()-13):E164-INDEX(E:E,ROW()-14):INDEX(E:E,ROW()-1),_xlpm.g,SUM(IF(_xlpm.d&gt;0,_xlpm.d,0)),_xlpm.l,-SUM(IF(_xlpm.d&lt;0,_xlpm.d,0)),IF(_xlpm.l=0,100,100-100/(1+_xlpm.g/_xlpm.l))))</f>
        <v/>
      </c>
      <c r="M164" s="211">
        <f>MAX($E$2:E164)</f>
        <v/>
      </c>
      <c r="N164" s="341">
        <f>E164/M164-1</f>
        <v/>
      </c>
    </row>
    <row r="165">
      <c r="A165" s="424" t="n">
        <v>44699</v>
      </c>
      <c r="B165" s="425" t="n">
        <v>103.0690227545971</v>
      </c>
      <c r="C165" s="425" t="n">
        <v>103.856928732173</v>
      </c>
      <c r="D165" s="425" t="n">
        <v>99.66087261714129</v>
      </c>
      <c r="E165" s="425" t="n">
        <v>100.201416015625</v>
      </c>
      <c r="F165" s="207" t="n">
        <v>8188300</v>
      </c>
      <c r="G165" s="208" t="n">
        <v>-0.04031152401170834</v>
      </c>
      <c r="H165" s="209" cm="1">
        <f t="array" ref="H165">IF(ROW()&lt;3,"",E165/INDEX(E:E,ROW()-1)-1)</f>
        <v/>
      </c>
      <c r="I165" s="211">
        <f>IF(ROW()&lt;51,NA(),AVERAGE(INDEX(E:E,ROW()-49):E165))</f>
        <v/>
      </c>
      <c r="J165" s="211">
        <f>IF(ROW()&lt;201,NA(),AVERAGE(INDEX(E:E,ROW()-199):E165))</f>
        <v/>
      </c>
      <c r="K165" s="341">
        <f>IF(ROW()&lt;22,NA(),_xlfn.STDEV.S(INDEX(H:H,ROW()-19):H165)*SQRT(252))</f>
        <v/>
      </c>
      <c r="L165" s="426" cm="1">
        <f t="array" ref="L165">IF(ROW()&lt;17,NA(),_xlfn.LET(_xlpm.d,INDEX(E:E,ROW()-13):E165-INDEX(E:E,ROW()-14):INDEX(E:E,ROW()-1),_xlpm.g,SUM(IF(_xlpm.d&gt;0,_xlpm.d,0)),_xlpm.l,-SUM(IF(_xlpm.d&lt;0,_xlpm.d,0)),IF(_xlpm.l=0,100,100-100/(1+_xlpm.g/_xlpm.l))))</f>
        <v/>
      </c>
      <c r="M165" s="211">
        <f>MAX($E$2:E165)</f>
        <v/>
      </c>
      <c r="N165" s="341">
        <f>E165/M165-1</f>
        <v/>
      </c>
    </row>
    <row r="166">
      <c r="A166" s="424" t="n">
        <v>44700</v>
      </c>
      <c r="B166" s="425" t="n">
        <v>99.81660792376027</v>
      </c>
      <c r="C166" s="425" t="n">
        <v>99.96319831618337</v>
      </c>
      <c r="D166" s="425" t="n">
        <v>97.37043841617066</v>
      </c>
      <c r="E166" s="425" t="n">
        <v>97.51702880859375</v>
      </c>
      <c r="F166" s="207" t="n">
        <v>7702000</v>
      </c>
      <c r="G166" s="208" t="n">
        <v>-0.0061247265776605</v>
      </c>
      <c r="H166" s="209" cm="1">
        <f t="array" ref="H166">IF(ROW()&lt;3,"",E166/INDEX(E:E,ROW()-1)-1)</f>
        <v/>
      </c>
      <c r="I166" s="211">
        <f>IF(ROW()&lt;51,NA(),AVERAGE(INDEX(E:E,ROW()-49):E166))</f>
        <v/>
      </c>
      <c r="J166" s="211">
        <f>IF(ROW()&lt;201,NA(),AVERAGE(INDEX(E:E,ROW()-199):E166))</f>
        <v/>
      </c>
      <c r="K166" s="341">
        <f>IF(ROW()&lt;22,NA(),_xlfn.STDEV.S(INDEX(H:H,ROW()-19):H166)*SQRT(252))</f>
        <v/>
      </c>
      <c r="L166" s="426" cm="1">
        <f t="array" ref="L166">IF(ROW()&lt;17,NA(),_xlfn.LET(_xlpm.d,INDEX(E:E,ROW()-13):E166-INDEX(E:E,ROW()-14):INDEX(E:E,ROW()-1),_xlpm.g,SUM(IF(_xlpm.d&gt;0,_xlpm.d,0)),_xlpm.l,-SUM(IF(_xlpm.d&lt;0,_xlpm.d,0)),IF(_xlpm.l=0,100,100-100/(1+_xlpm.g/_xlpm.l))))</f>
        <v/>
      </c>
      <c r="M166" s="211">
        <f>MAX($E$2:E166)</f>
        <v/>
      </c>
      <c r="N166" s="341">
        <f>E166/M166-1</f>
        <v/>
      </c>
    </row>
    <row r="167">
      <c r="A167" s="424" t="n">
        <v>44701</v>
      </c>
      <c r="B167" s="425" t="n">
        <v>99.56008246124408</v>
      </c>
      <c r="C167" s="425" t="n">
        <v>100.4945787452981</v>
      </c>
      <c r="D167" s="425" t="n">
        <v>96.26187549535609</v>
      </c>
      <c r="E167" s="425" t="n">
        <v>98.94625091552734</v>
      </c>
      <c r="F167" s="207" t="n">
        <v>7621900</v>
      </c>
      <c r="G167" s="208" t="n">
        <v>0.0004366095528771652</v>
      </c>
      <c r="H167" s="209" cm="1">
        <f t="array" ref="H167">IF(ROW()&lt;3,"",E167/INDEX(E:E,ROW()-1)-1)</f>
        <v/>
      </c>
      <c r="I167" s="211">
        <f>IF(ROW()&lt;51,NA(),AVERAGE(INDEX(E:E,ROW()-49):E167))</f>
        <v/>
      </c>
      <c r="J167" s="211">
        <f>IF(ROW()&lt;201,NA(),AVERAGE(INDEX(E:E,ROW()-199):E167))</f>
        <v/>
      </c>
      <c r="K167" s="341">
        <f>IF(ROW()&lt;22,NA(),_xlfn.STDEV.S(INDEX(H:H,ROW()-19):H167)*SQRT(252))</f>
        <v/>
      </c>
      <c r="L167" s="426" cm="1">
        <f t="array" ref="L167">IF(ROW()&lt;17,NA(),_xlfn.LET(_xlpm.d,INDEX(E:E,ROW()-13):E167-INDEX(E:E,ROW()-14):INDEX(E:E,ROW()-1),_xlpm.g,SUM(IF(_xlpm.d&gt;0,_xlpm.d,0)),_xlpm.l,-SUM(IF(_xlpm.d&lt;0,_xlpm.d,0)),IF(_xlpm.l=0,100,100-100/(1+_xlpm.g/_xlpm.l))))</f>
        <v/>
      </c>
      <c r="M167" s="211">
        <f>MAX($E$2:E167)</f>
        <v/>
      </c>
      <c r="N167" s="341">
        <f>E167/M167-1</f>
        <v/>
      </c>
    </row>
    <row r="168">
      <c r="A168" s="424" t="n">
        <v>44704</v>
      </c>
      <c r="B168" s="425" t="n">
        <v>98.46069262611599</v>
      </c>
      <c r="C168" s="425" t="n">
        <v>99.63338793586421</v>
      </c>
      <c r="D168" s="425" t="n">
        <v>96.94901223878118</v>
      </c>
      <c r="E168" s="425" t="n">
        <v>99.52344512939453</v>
      </c>
      <c r="F168" s="207" t="n">
        <v>7136400</v>
      </c>
      <c r="G168" s="208" t="n">
        <v>0.01871011312453219</v>
      </c>
      <c r="H168" s="209" cm="1">
        <f t="array" ref="H168">IF(ROW()&lt;3,"",E168/INDEX(E:E,ROW()-1)-1)</f>
        <v/>
      </c>
      <c r="I168" s="211">
        <f>IF(ROW()&lt;51,NA(),AVERAGE(INDEX(E:E,ROW()-49):E168))</f>
        <v/>
      </c>
      <c r="J168" s="211">
        <f>IF(ROW()&lt;201,NA(),AVERAGE(INDEX(E:E,ROW()-199):E168))</f>
        <v/>
      </c>
      <c r="K168" s="341">
        <f>IF(ROW()&lt;22,NA(),_xlfn.STDEV.S(INDEX(H:H,ROW()-19):H168)*SQRT(252))</f>
        <v/>
      </c>
      <c r="L168" s="426" cm="1">
        <f t="array" ref="L168">IF(ROW()&lt;17,NA(),_xlfn.LET(_xlpm.d,INDEX(E:E,ROW()-13):E168-INDEX(E:E,ROW()-14):INDEX(E:E,ROW()-1),_xlpm.g,SUM(IF(_xlpm.d&gt;0,_xlpm.d,0)),_xlpm.l,-SUM(IF(_xlpm.d&lt;0,_xlpm.d,0)),IF(_xlpm.l=0,100,100-100/(1+_xlpm.g/_xlpm.l))))</f>
        <v/>
      </c>
      <c r="M168" s="211">
        <f>MAX($E$2:E168)</f>
        <v/>
      </c>
      <c r="N168" s="341">
        <f>E168/M168-1</f>
        <v/>
      </c>
    </row>
    <row r="169">
      <c r="A169" s="424" t="n">
        <v>44705</v>
      </c>
      <c r="B169" s="425" t="n">
        <v>98.13085804509738</v>
      </c>
      <c r="C169" s="425" t="n">
        <v>98.93708421504559</v>
      </c>
      <c r="D169" s="425" t="n">
        <v>95.95037843262402</v>
      </c>
      <c r="E169" s="425" t="n">
        <v>98.29576873779297</v>
      </c>
      <c r="F169" s="207" t="n">
        <v>6023400</v>
      </c>
      <c r="G169" s="208" t="n">
        <v>-0.007633765449802432</v>
      </c>
      <c r="H169" s="209" cm="1">
        <f t="array" ref="H169">IF(ROW()&lt;3,"",E169/INDEX(E:E,ROW()-1)-1)</f>
        <v/>
      </c>
      <c r="I169" s="211">
        <f>IF(ROW()&lt;51,NA(),AVERAGE(INDEX(E:E,ROW()-49):E169))</f>
        <v/>
      </c>
      <c r="J169" s="211">
        <f>IF(ROW()&lt;201,NA(),AVERAGE(INDEX(E:E,ROW()-199):E169))</f>
        <v/>
      </c>
      <c r="K169" s="341">
        <f>IF(ROW()&lt;22,NA(),_xlfn.STDEV.S(INDEX(H:H,ROW()-19):H169)*SQRT(252))</f>
        <v/>
      </c>
      <c r="L169" s="426" cm="1">
        <f t="array" ref="L169">IF(ROW()&lt;17,NA(),_xlfn.LET(_xlpm.d,INDEX(E:E,ROW()-13):E169-INDEX(E:E,ROW()-14):INDEX(E:E,ROW()-1),_xlpm.g,SUM(IF(_xlpm.d&gt;0,_xlpm.d,0)),_xlpm.l,-SUM(IF(_xlpm.d&lt;0,_xlpm.d,0)),IF(_xlpm.l=0,100,100-100/(1+_xlpm.g/_xlpm.l))))</f>
        <v/>
      </c>
      <c r="M169" s="211">
        <f>MAX($E$2:E169)</f>
        <v/>
      </c>
      <c r="N169" s="341">
        <f>E169/M169-1</f>
        <v/>
      </c>
    </row>
    <row r="170">
      <c r="A170" s="424" t="n">
        <v>44706</v>
      </c>
      <c r="B170" s="425" t="n">
        <v>94.78684684620858</v>
      </c>
      <c r="C170" s="425" t="n">
        <v>99.76164495036599</v>
      </c>
      <c r="D170" s="425" t="n">
        <v>94.78684684620858</v>
      </c>
      <c r="E170" s="425" t="n">
        <v>99.12948608398438</v>
      </c>
      <c r="F170" s="207" t="n">
        <v>7158800</v>
      </c>
      <c r="G170" s="208" t="n">
        <v>0.008834688324582451</v>
      </c>
      <c r="H170" s="209" cm="1">
        <f t="array" ref="H170">IF(ROW()&lt;3,"",E170/INDEX(E:E,ROW()-1)-1)</f>
        <v/>
      </c>
      <c r="I170" s="211">
        <f>IF(ROW()&lt;51,NA(),AVERAGE(INDEX(E:E,ROW()-49):E170))</f>
        <v/>
      </c>
      <c r="J170" s="211">
        <f>IF(ROW()&lt;201,NA(),AVERAGE(INDEX(E:E,ROW()-199):E170))</f>
        <v/>
      </c>
      <c r="K170" s="341">
        <f>IF(ROW()&lt;22,NA(),_xlfn.STDEV.S(INDEX(H:H,ROW()-19):H170)*SQRT(252))</f>
        <v/>
      </c>
      <c r="L170" s="426" cm="1">
        <f t="array" ref="L170">IF(ROW()&lt;17,NA(),_xlfn.LET(_xlpm.d,INDEX(E:E,ROW()-13):E170-INDEX(E:E,ROW()-14):INDEX(E:E,ROW()-1),_xlpm.g,SUM(IF(_xlpm.d&gt;0,_xlpm.d,0)),_xlpm.l,-SUM(IF(_xlpm.d&lt;0,_xlpm.d,0)),IF(_xlpm.l=0,100,100-100/(1+_xlpm.g/_xlpm.l))))</f>
        <v/>
      </c>
      <c r="M170" s="211">
        <f>MAX($E$2:E170)</f>
        <v/>
      </c>
      <c r="N170" s="341">
        <f>E170/M170-1</f>
        <v/>
      </c>
    </row>
    <row r="171">
      <c r="A171" s="424" t="n">
        <v>44707</v>
      </c>
      <c r="B171" s="425" t="n">
        <v>100.7785832753732</v>
      </c>
      <c r="C171" s="425" t="n">
        <v>103.9851745614078</v>
      </c>
      <c r="D171" s="425" t="n">
        <v>100.7785832753732</v>
      </c>
      <c r="E171" s="425" t="n">
        <v>103.4721221923828</v>
      </c>
      <c r="F171" s="207" t="n">
        <v>6520300</v>
      </c>
      <c r="G171" s="208" t="n">
        <v>0.0199814117296977</v>
      </c>
      <c r="H171" s="209" cm="1">
        <f t="array" ref="H171">IF(ROW()&lt;3,"",E171/INDEX(E:E,ROW()-1)-1)</f>
        <v/>
      </c>
      <c r="I171" s="211">
        <f>IF(ROW()&lt;51,NA(),AVERAGE(INDEX(E:E,ROW()-49):E171))</f>
        <v/>
      </c>
      <c r="J171" s="211">
        <f>IF(ROW()&lt;201,NA(),AVERAGE(INDEX(E:E,ROW()-199):E171))</f>
        <v/>
      </c>
      <c r="K171" s="341">
        <f>IF(ROW()&lt;22,NA(),_xlfn.STDEV.S(INDEX(H:H,ROW()-19):H171)*SQRT(252))</f>
        <v/>
      </c>
      <c r="L171" s="426" cm="1">
        <f t="array" ref="L171">IF(ROW()&lt;17,NA(),_xlfn.LET(_xlpm.d,INDEX(E:E,ROW()-13):E171-INDEX(E:E,ROW()-14):INDEX(E:E,ROW()-1),_xlpm.g,SUM(IF(_xlpm.d&gt;0,_xlpm.d,0)),_xlpm.l,-SUM(IF(_xlpm.d&lt;0,_xlpm.d,0)),IF(_xlpm.l=0,100,100-100/(1+_xlpm.g/_xlpm.l))))</f>
        <v/>
      </c>
      <c r="M171" s="211">
        <f>MAX($E$2:E171)</f>
        <v/>
      </c>
      <c r="N171" s="341">
        <f>E171/M171-1</f>
        <v/>
      </c>
    </row>
    <row r="172">
      <c r="A172" s="424" t="n">
        <v>44708</v>
      </c>
      <c r="B172" s="425" t="n">
        <v>104.6448177626193</v>
      </c>
      <c r="C172" s="425" t="n">
        <v>106.2847610089719</v>
      </c>
      <c r="D172" s="425" t="n">
        <v>104.4524231234134</v>
      </c>
      <c r="E172" s="425" t="n">
        <v>106.2664337158203</v>
      </c>
      <c r="F172" s="207" t="n">
        <v>5043000</v>
      </c>
      <c r="G172" s="208" t="n">
        <v>0.02454922917334934</v>
      </c>
      <c r="H172" s="209" cm="1">
        <f t="array" ref="H172">IF(ROW()&lt;3,"",E172/INDEX(E:E,ROW()-1)-1)</f>
        <v/>
      </c>
      <c r="I172" s="211">
        <f>IF(ROW()&lt;51,NA(),AVERAGE(INDEX(E:E,ROW()-49):E172))</f>
        <v/>
      </c>
      <c r="J172" s="211">
        <f>IF(ROW()&lt;201,NA(),AVERAGE(INDEX(E:E,ROW()-199):E172))</f>
        <v/>
      </c>
      <c r="K172" s="341">
        <f>IF(ROW()&lt;22,NA(),_xlfn.STDEV.S(INDEX(H:H,ROW()-19):H172)*SQRT(252))</f>
        <v/>
      </c>
      <c r="L172" s="426" cm="1">
        <f t="array" ref="L172">IF(ROW()&lt;17,NA(),_xlfn.LET(_xlpm.d,INDEX(E:E,ROW()-13):E172-INDEX(E:E,ROW()-14):INDEX(E:E,ROW()-1),_xlpm.g,SUM(IF(_xlpm.d&gt;0,_xlpm.d,0)),_xlpm.l,-SUM(IF(_xlpm.d&lt;0,_xlpm.d,0)),IF(_xlpm.l=0,100,100-100/(1+_xlpm.g/_xlpm.l))))</f>
        <v/>
      </c>
      <c r="M172" s="211">
        <f>MAX($E$2:E172)</f>
        <v/>
      </c>
      <c r="N172" s="341">
        <f>E172/M172-1</f>
        <v/>
      </c>
    </row>
    <row r="173">
      <c r="A173" s="424" t="n">
        <v>44712</v>
      </c>
      <c r="B173" s="425" t="n">
        <v>107.6498463497054</v>
      </c>
      <c r="C173" s="425" t="n">
        <v>109.7478739811709</v>
      </c>
      <c r="D173" s="425" t="n">
        <v>104.8555283932129</v>
      </c>
      <c r="E173" s="425" t="n">
        <v>108.8866729736328</v>
      </c>
      <c r="F173" s="207" t="n">
        <v>13774600</v>
      </c>
      <c r="G173" s="208" t="n">
        <v>-0.005610839327923167</v>
      </c>
      <c r="H173" s="209" cm="1">
        <f t="array" ref="H173">IF(ROW()&lt;3,"",E173/INDEX(E:E,ROW()-1)-1)</f>
        <v/>
      </c>
      <c r="I173" s="211">
        <f>IF(ROW()&lt;51,NA(),AVERAGE(INDEX(E:E,ROW()-49):E173))</f>
        <v/>
      </c>
      <c r="J173" s="211">
        <f>IF(ROW()&lt;201,NA(),AVERAGE(INDEX(E:E,ROW()-199):E173))</f>
        <v/>
      </c>
      <c r="K173" s="341">
        <f>IF(ROW()&lt;22,NA(),_xlfn.STDEV.S(INDEX(H:H,ROW()-19):H173)*SQRT(252))</f>
        <v/>
      </c>
      <c r="L173" s="426" cm="1">
        <f t="array" ref="L173">IF(ROW()&lt;17,NA(),_xlfn.LET(_xlpm.d,INDEX(E:E,ROW()-13):E173-INDEX(E:E,ROW()-14):INDEX(E:E,ROW()-1),_xlpm.g,SUM(IF(_xlpm.d&gt;0,_xlpm.d,0)),_xlpm.l,-SUM(IF(_xlpm.d&lt;0,_xlpm.d,0)),IF(_xlpm.l=0,100,100-100/(1+_xlpm.g/_xlpm.l))))</f>
        <v/>
      </c>
      <c r="M173" s="211">
        <f>MAX($E$2:E173)</f>
        <v/>
      </c>
      <c r="N173" s="341">
        <f>E173/M173-1</f>
        <v/>
      </c>
    </row>
    <row r="174">
      <c r="A174" s="424" t="n">
        <v>44713</v>
      </c>
      <c r="B174" s="425" t="n">
        <v>109.7845375647347</v>
      </c>
      <c r="C174" s="425" t="n">
        <v>110.6274114026277</v>
      </c>
      <c r="D174" s="425" t="n">
        <v>107.7506411808253</v>
      </c>
      <c r="E174" s="425" t="n">
        <v>108.7309417724609</v>
      </c>
      <c r="F174" s="207" t="n">
        <v>5543100</v>
      </c>
      <c r="G174" s="208" t="n">
        <v>-0.00808884756823558</v>
      </c>
      <c r="H174" s="209" cm="1">
        <f t="array" ref="H174">IF(ROW()&lt;3,"",E174/INDEX(E:E,ROW()-1)-1)</f>
        <v/>
      </c>
      <c r="I174" s="211">
        <f>IF(ROW()&lt;51,NA(),AVERAGE(INDEX(E:E,ROW()-49):E174))</f>
        <v/>
      </c>
      <c r="J174" s="211">
        <f>IF(ROW()&lt;201,NA(),AVERAGE(INDEX(E:E,ROW()-199):E174))</f>
        <v/>
      </c>
      <c r="K174" s="341">
        <f>IF(ROW()&lt;22,NA(),_xlfn.STDEV.S(INDEX(H:H,ROW()-19):H174)*SQRT(252))</f>
        <v/>
      </c>
      <c r="L174" s="426" cm="1">
        <f t="array" ref="L174">IF(ROW()&lt;17,NA(),_xlfn.LET(_xlpm.d,INDEX(E:E,ROW()-13):E174-INDEX(E:E,ROW()-14):INDEX(E:E,ROW()-1),_xlpm.g,SUM(IF(_xlpm.d&gt;0,_xlpm.d,0)),_xlpm.l,-SUM(IF(_xlpm.d&lt;0,_xlpm.d,0)),IF(_xlpm.l=0,100,100-100/(1+_xlpm.g/_xlpm.l))))</f>
        <v/>
      </c>
      <c r="M174" s="211">
        <f>MAX($E$2:E174)</f>
        <v/>
      </c>
      <c r="N174" s="341">
        <f>E174/M174-1</f>
        <v/>
      </c>
    </row>
    <row r="175">
      <c r="A175" s="424" t="n">
        <v>44714</v>
      </c>
      <c r="B175" s="425" t="n">
        <v>109.4913546275535</v>
      </c>
      <c r="C175" s="425" t="n">
        <v>113.2201620240429</v>
      </c>
      <c r="D175" s="425" t="n">
        <v>109.262312387008</v>
      </c>
      <c r="E175" s="425" t="n">
        <v>113.0644149780273</v>
      </c>
      <c r="F175" s="207" t="n">
        <v>5838100</v>
      </c>
      <c r="G175" s="208" t="n">
        <v>0.01904379787034949</v>
      </c>
      <c r="H175" s="209" cm="1">
        <f t="array" ref="H175">IF(ROW()&lt;3,"",E175/INDEX(E:E,ROW()-1)-1)</f>
        <v/>
      </c>
      <c r="I175" s="211">
        <f>IF(ROW()&lt;51,NA(),AVERAGE(INDEX(E:E,ROW()-49):E175))</f>
        <v/>
      </c>
      <c r="J175" s="211">
        <f>IF(ROW()&lt;201,NA(),AVERAGE(INDEX(E:E,ROW()-199):E175))</f>
        <v/>
      </c>
      <c r="K175" s="341">
        <f>IF(ROW()&lt;22,NA(),_xlfn.STDEV.S(INDEX(H:H,ROW()-19):H175)*SQRT(252))</f>
        <v/>
      </c>
      <c r="L175" s="426" cm="1">
        <f t="array" ref="L175">IF(ROW()&lt;17,NA(),_xlfn.LET(_xlpm.d,INDEX(E:E,ROW()-13):E175-INDEX(E:E,ROW()-14):INDEX(E:E,ROW()-1),_xlpm.g,SUM(IF(_xlpm.d&gt;0,_xlpm.d,0)),_xlpm.l,-SUM(IF(_xlpm.d&lt;0,_xlpm.d,0)),IF(_xlpm.l=0,100,100-100/(1+_xlpm.g/_xlpm.l))))</f>
        <v/>
      </c>
      <c r="M175" s="211">
        <f>MAX($E$2:E175)</f>
        <v/>
      </c>
      <c r="N175" s="341">
        <f>E175/M175-1</f>
        <v/>
      </c>
    </row>
    <row r="176">
      <c r="A176" s="424" t="n">
        <v>44715</v>
      </c>
      <c r="B176" s="425" t="n">
        <v>110.4055166175585</v>
      </c>
      <c r="C176" s="425" t="n">
        <v>112.5454804960765</v>
      </c>
      <c r="D176" s="425" t="n">
        <v>110.2126453290884</v>
      </c>
      <c r="E176" s="425" t="n">
        <v>111.0851593017578</v>
      </c>
      <c r="F176" s="207" t="n">
        <v>5201500</v>
      </c>
      <c r="G176" s="208" t="n">
        <v>-0.01641160056904611</v>
      </c>
      <c r="H176" s="209" cm="1">
        <f t="array" ref="H176">IF(ROW()&lt;3,"",E176/INDEX(E:E,ROW()-1)-1)</f>
        <v/>
      </c>
      <c r="I176" s="211">
        <f>IF(ROW()&lt;51,NA(),AVERAGE(INDEX(E:E,ROW()-49):E176))</f>
        <v/>
      </c>
      <c r="J176" s="211">
        <f>IF(ROW()&lt;201,NA(),AVERAGE(INDEX(E:E,ROW()-199):E176))</f>
        <v/>
      </c>
      <c r="K176" s="341">
        <f>IF(ROW()&lt;22,NA(),_xlfn.STDEV.S(INDEX(H:H,ROW()-19):H176)*SQRT(252))</f>
        <v/>
      </c>
      <c r="L176" s="426" cm="1">
        <f t="array" ref="L176">IF(ROW()&lt;17,NA(),_xlfn.LET(_xlpm.d,INDEX(E:E,ROW()-13):E176-INDEX(E:E,ROW()-14):INDEX(E:E,ROW()-1),_xlpm.g,SUM(IF(_xlpm.d&gt;0,_xlpm.d,0)),_xlpm.l,-SUM(IF(_xlpm.d&lt;0,_xlpm.d,0)),IF(_xlpm.l=0,100,100-100/(1+_xlpm.g/_xlpm.l))))</f>
        <v/>
      </c>
      <c r="M176" s="211">
        <f>MAX($E$2:E176)</f>
        <v/>
      </c>
      <c r="N176" s="341">
        <f>E176/M176-1</f>
        <v/>
      </c>
    </row>
    <row r="177">
      <c r="A177" s="424" t="n">
        <v>44718</v>
      </c>
      <c r="B177" s="425" t="n">
        <v>111.5903186584094</v>
      </c>
      <c r="C177" s="425" t="n">
        <v>112.1781189533235</v>
      </c>
      <c r="D177" s="425" t="n">
        <v>109.6891505467366</v>
      </c>
      <c r="E177" s="425" t="n">
        <v>110.4239044189453</v>
      </c>
      <c r="F177" s="207" t="n">
        <v>3963400</v>
      </c>
      <c r="G177" s="208" t="n">
        <v>0.003044611108606432</v>
      </c>
      <c r="H177" s="209" cm="1">
        <f t="array" ref="H177">IF(ROW()&lt;3,"",E177/INDEX(E:E,ROW()-1)-1)</f>
        <v/>
      </c>
      <c r="I177" s="211">
        <f>IF(ROW()&lt;51,NA(),AVERAGE(INDEX(E:E,ROW()-49):E177))</f>
        <v/>
      </c>
      <c r="J177" s="211">
        <f>IF(ROW()&lt;201,NA(),AVERAGE(INDEX(E:E,ROW()-199):E177))</f>
        <v/>
      </c>
      <c r="K177" s="341">
        <f>IF(ROW()&lt;22,NA(),_xlfn.STDEV.S(INDEX(H:H,ROW()-19):H177)*SQRT(252))</f>
        <v/>
      </c>
      <c r="L177" s="426" cm="1">
        <f t="array" ref="L177">IF(ROW()&lt;17,NA(),_xlfn.LET(_xlpm.d,INDEX(E:E,ROW()-13):E177-INDEX(E:E,ROW()-14):INDEX(E:E,ROW()-1),_xlpm.g,SUM(IF(_xlpm.d&gt;0,_xlpm.d,0)),_xlpm.l,-SUM(IF(_xlpm.d&lt;0,_xlpm.d,0)),IF(_xlpm.l=0,100,100-100/(1+_xlpm.g/_xlpm.l))))</f>
        <v/>
      </c>
      <c r="M177" s="211">
        <f>MAX($E$2:E177)</f>
        <v/>
      </c>
      <c r="N177" s="341">
        <f>E177/M177-1</f>
        <v/>
      </c>
    </row>
    <row r="178">
      <c r="A178" s="424" t="n">
        <v>44719</v>
      </c>
      <c r="B178" s="425" t="n">
        <v>108.9819490189574</v>
      </c>
      <c r="C178" s="425" t="n">
        <v>112.0219791390536</v>
      </c>
      <c r="D178" s="425" t="n">
        <v>108.7982570586434</v>
      </c>
      <c r="E178" s="425" t="n">
        <v>111.7464447021484</v>
      </c>
      <c r="F178" s="207" t="n">
        <v>5373600</v>
      </c>
      <c r="G178" s="208" t="n">
        <v>0.009592246481267441</v>
      </c>
      <c r="H178" s="209" cm="1">
        <f t="array" ref="H178">IF(ROW()&lt;3,"",E178/INDEX(E:E,ROW()-1)-1)</f>
        <v/>
      </c>
      <c r="I178" s="211">
        <f>IF(ROW()&lt;51,NA(),AVERAGE(INDEX(E:E,ROW()-49):E178))</f>
        <v/>
      </c>
      <c r="J178" s="211">
        <f>IF(ROW()&lt;201,NA(),AVERAGE(INDEX(E:E,ROW()-199):E178))</f>
        <v/>
      </c>
      <c r="K178" s="341">
        <f>IF(ROW()&lt;22,NA(),_xlfn.STDEV.S(INDEX(H:H,ROW()-19):H178)*SQRT(252))</f>
        <v/>
      </c>
      <c r="L178" s="426" cm="1">
        <f t="array" ref="L178">IF(ROW()&lt;17,NA(),_xlfn.LET(_xlpm.d,INDEX(E:E,ROW()-13):E178-INDEX(E:E,ROW()-14):INDEX(E:E,ROW()-1),_xlpm.g,SUM(IF(_xlpm.d&gt;0,_xlpm.d,0)),_xlpm.l,-SUM(IF(_xlpm.d&lt;0,_xlpm.d,0)),IF(_xlpm.l=0,100,100-100/(1+_xlpm.g/_xlpm.l))))</f>
        <v/>
      </c>
      <c r="M178" s="211">
        <f>MAX($E$2:E178)</f>
        <v/>
      </c>
      <c r="N178" s="341">
        <f>E178/M178-1</f>
        <v/>
      </c>
    </row>
    <row r="179">
      <c r="A179" s="424" t="n">
        <v>44720</v>
      </c>
      <c r="B179" s="425" t="n">
        <v>111.0392576277198</v>
      </c>
      <c r="C179" s="425" t="n">
        <v>113.7210973701666</v>
      </c>
      <c r="D179" s="425" t="n">
        <v>110.6259559436899</v>
      </c>
      <c r="E179" s="425" t="n">
        <v>112.4169158935547</v>
      </c>
      <c r="F179" s="207" t="n">
        <v>4365800</v>
      </c>
      <c r="G179" s="208" t="n">
        <v>-0.01087206606601032</v>
      </c>
      <c r="H179" s="209" cm="1">
        <f t="array" ref="H179">IF(ROW()&lt;3,"",E179/INDEX(E:E,ROW()-1)-1)</f>
        <v/>
      </c>
      <c r="I179" s="211">
        <f>IF(ROW()&lt;51,NA(),AVERAGE(INDEX(E:E,ROW()-49):E179))</f>
        <v/>
      </c>
      <c r="J179" s="211">
        <f>IF(ROW()&lt;201,NA(),AVERAGE(INDEX(E:E,ROW()-199):E179))</f>
        <v/>
      </c>
      <c r="K179" s="341">
        <f>IF(ROW()&lt;22,NA(),_xlfn.STDEV.S(INDEX(H:H,ROW()-19):H179)*SQRT(252))</f>
        <v/>
      </c>
      <c r="L179" s="426" cm="1">
        <f t="array" ref="L179">IF(ROW()&lt;17,NA(),_xlfn.LET(_xlpm.d,INDEX(E:E,ROW()-13):E179-INDEX(E:E,ROW()-14):INDEX(E:E,ROW()-1),_xlpm.g,SUM(IF(_xlpm.d&gt;0,_xlpm.d,0)),_xlpm.l,-SUM(IF(_xlpm.d&lt;0,_xlpm.d,0)),IF(_xlpm.l=0,100,100-100/(1+_xlpm.g/_xlpm.l))))</f>
        <v/>
      </c>
      <c r="M179" s="211">
        <f>MAX($E$2:E179)</f>
        <v/>
      </c>
      <c r="N179" s="341">
        <f>E179/M179-1</f>
        <v/>
      </c>
    </row>
    <row r="180">
      <c r="A180" s="424" t="n">
        <v>44721</v>
      </c>
      <c r="B180" s="425" t="n">
        <v>111.4525328570323</v>
      </c>
      <c r="C180" s="425" t="n">
        <v>112.0770714421857</v>
      </c>
      <c r="D180" s="425" t="n">
        <v>108.9176401282178</v>
      </c>
      <c r="E180" s="425" t="n">
        <v>108.9268264770508</v>
      </c>
      <c r="F180" s="207" t="n">
        <v>3892600</v>
      </c>
      <c r="G180" s="208" t="n">
        <v>-0.02378290224318746</v>
      </c>
      <c r="H180" s="209" cm="1">
        <f t="array" ref="H180">IF(ROW()&lt;3,"",E180/INDEX(E:E,ROW()-1)-1)</f>
        <v/>
      </c>
      <c r="I180" s="211">
        <f>IF(ROW()&lt;51,NA(),AVERAGE(INDEX(E:E,ROW()-49):E180))</f>
        <v/>
      </c>
      <c r="J180" s="211">
        <f>IF(ROW()&lt;201,NA(),AVERAGE(INDEX(E:E,ROW()-199):E180))</f>
        <v/>
      </c>
      <c r="K180" s="341">
        <f>IF(ROW()&lt;22,NA(),_xlfn.STDEV.S(INDEX(H:H,ROW()-19):H180)*SQRT(252))</f>
        <v/>
      </c>
      <c r="L180" s="426" cm="1">
        <f t="array" ref="L180">IF(ROW()&lt;17,NA(),_xlfn.LET(_xlpm.d,INDEX(E:E,ROW()-13):E180-INDEX(E:E,ROW()-14):INDEX(E:E,ROW()-1),_xlpm.g,SUM(IF(_xlpm.d&gt;0,_xlpm.d,0)),_xlpm.l,-SUM(IF(_xlpm.d&lt;0,_xlpm.d,0)),IF(_xlpm.l=0,100,100-100/(1+_xlpm.g/_xlpm.l))))</f>
        <v/>
      </c>
      <c r="M180" s="211">
        <f>MAX($E$2:E180)</f>
        <v/>
      </c>
      <c r="N180" s="341">
        <f>E180/M180-1</f>
        <v/>
      </c>
    </row>
    <row r="181">
      <c r="A181" s="424" t="n">
        <v>44722</v>
      </c>
      <c r="B181" s="425" t="n">
        <v>107.5399913326416</v>
      </c>
      <c r="C181" s="425" t="n">
        <v>107.5399913326416</v>
      </c>
      <c r="D181" s="425" t="n">
        <v>104.9408149603089</v>
      </c>
      <c r="E181" s="425" t="n">
        <v>105.3724822998047</v>
      </c>
      <c r="F181" s="207" t="n">
        <v>6292600</v>
      </c>
      <c r="G181" s="208" t="n">
        <v>-0.02899560836534132</v>
      </c>
      <c r="H181" s="209" cm="1">
        <f t="array" ref="H181">IF(ROW()&lt;3,"",E181/INDEX(E:E,ROW()-1)-1)</f>
        <v/>
      </c>
      <c r="I181" s="211">
        <f>IF(ROW()&lt;51,NA(),AVERAGE(INDEX(E:E,ROW()-49):E181))</f>
        <v/>
      </c>
      <c r="J181" s="211">
        <f>IF(ROW()&lt;201,NA(),AVERAGE(INDEX(E:E,ROW()-199):E181))</f>
        <v/>
      </c>
      <c r="K181" s="341">
        <f>IF(ROW()&lt;22,NA(),_xlfn.STDEV.S(INDEX(H:H,ROW()-19):H181)*SQRT(252))</f>
        <v/>
      </c>
      <c r="L181" s="426" cm="1">
        <f t="array" ref="L181">IF(ROW()&lt;17,NA(),_xlfn.LET(_xlpm.d,INDEX(E:E,ROW()-13):E181-INDEX(E:E,ROW()-14):INDEX(E:E,ROW()-1),_xlpm.g,SUM(IF(_xlpm.d&gt;0,_xlpm.d,0)),_xlpm.l,-SUM(IF(_xlpm.d&lt;0,_xlpm.d,0)),IF(_xlpm.l=0,100,100-100/(1+_xlpm.g/_xlpm.l))))</f>
        <v/>
      </c>
      <c r="M181" s="211">
        <f>MAX($E$2:E181)</f>
        <v/>
      </c>
      <c r="N181" s="341">
        <f>E181/M181-1</f>
        <v/>
      </c>
    </row>
    <row r="182">
      <c r="A182" s="424" t="n">
        <v>44725</v>
      </c>
      <c r="B182" s="425" t="n">
        <v>101.3864711864916</v>
      </c>
      <c r="C182" s="425" t="n">
        <v>102.8835240941956</v>
      </c>
      <c r="D182" s="425" t="n">
        <v>100.3302650336462</v>
      </c>
      <c r="E182" s="425" t="n">
        <v>101.4323959350586</v>
      </c>
      <c r="F182" s="207" t="n">
        <v>6423100</v>
      </c>
      <c r="G182" s="208" t="n">
        <v>-0.03796836169429696</v>
      </c>
      <c r="H182" s="209" cm="1">
        <f t="array" ref="H182">IF(ROW()&lt;3,"",E182/INDEX(E:E,ROW()-1)-1)</f>
        <v/>
      </c>
      <c r="I182" s="211">
        <f>IF(ROW()&lt;51,NA(),AVERAGE(INDEX(E:E,ROW()-49):E182))</f>
        <v/>
      </c>
      <c r="J182" s="211">
        <f>IF(ROW()&lt;201,NA(),AVERAGE(INDEX(E:E,ROW()-199):E182))</f>
        <v/>
      </c>
      <c r="K182" s="341">
        <f>IF(ROW()&lt;22,NA(),_xlfn.STDEV.S(INDEX(H:H,ROW()-19):H182)*SQRT(252))</f>
        <v/>
      </c>
      <c r="L182" s="426" cm="1">
        <f t="array" ref="L182">IF(ROW()&lt;17,NA(),_xlfn.LET(_xlpm.d,INDEX(E:E,ROW()-13):E182-INDEX(E:E,ROW()-14):INDEX(E:E,ROW()-1),_xlpm.g,SUM(IF(_xlpm.d&gt;0,_xlpm.d,0)),_xlpm.l,-SUM(IF(_xlpm.d&lt;0,_xlpm.d,0)),IF(_xlpm.l=0,100,100-100/(1+_xlpm.g/_xlpm.l))))</f>
        <v/>
      </c>
      <c r="M182" s="211">
        <f>MAX($E$2:E182)</f>
        <v/>
      </c>
      <c r="N182" s="341">
        <f>E182/M182-1</f>
        <v/>
      </c>
    </row>
    <row r="183">
      <c r="A183" s="424" t="n">
        <v>44726</v>
      </c>
      <c r="B183" s="425" t="n">
        <v>101.3681001056373</v>
      </c>
      <c r="C183" s="425" t="n">
        <v>102.7641240980292</v>
      </c>
      <c r="D183" s="425" t="n">
        <v>101.0374615534937</v>
      </c>
      <c r="E183" s="425" t="n">
        <v>101.6895523071289</v>
      </c>
      <c r="F183" s="207" t="n">
        <v>4548400</v>
      </c>
      <c r="G183" s="208" t="n">
        <v>-0.003013172386479246</v>
      </c>
      <c r="H183" s="209" cm="1">
        <f t="array" ref="H183">IF(ROW()&lt;3,"",E183/INDEX(E:E,ROW()-1)-1)</f>
        <v/>
      </c>
      <c r="I183" s="211">
        <f>IF(ROW()&lt;51,NA(),AVERAGE(INDEX(E:E,ROW()-49):E183))</f>
        <v/>
      </c>
      <c r="J183" s="211">
        <f>IF(ROW()&lt;201,NA(),AVERAGE(INDEX(E:E,ROW()-199):E183))</f>
        <v/>
      </c>
      <c r="K183" s="341">
        <f>IF(ROW()&lt;22,NA(),_xlfn.STDEV.S(INDEX(H:H,ROW()-19):H183)*SQRT(252))</f>
        <v/>
      </c>
      <c r="L183" s="426" cm="1">
        <f t="array" ref="L183">IF(ROW()&lt;17,NA(),_xlfn.LET(_xlpm.d,INDEX(E:E,ROW()-13):E183-INDEX(E:E,ROW()-14):INDEX(E:E,ROW()-1),_xlpm.g,SUM(IF(_xlpm.d&gt;0,_xlpm.d,0)),_xlpm.l,-SUM(IF(_xlpm.d&lt;0,_xlpm.d,0)),IF(_xlpm.l=0,100,100-100/(1+_xlpm.g/_xlpm.l))))</f>
        <v/>
      </c>
      <c r="M183" s="211">
        <f>MAX($E$2:E183)</f>
        <v/>
      </c>
      <c r="N183" s="341">
        <f>E183/M183-1</f>
        <v/>
      </c>
    </row>
    <row r="184">
      <c r="A184" s="424" t="n">
        <v>44727</v>
      </c>
      <c r="B184" s="425" t="n">
        <v>103.0120978366319</v>
      </c>
      <c r="C184" s="425" t="n">
        <v>105.3632988918837</v>
      </c>
      <c r="D184" s="425" t="n">
        <v>102.1395767836585</v>
      </c>
      <c r="E184" s="425" t="n">
        <v>104.1876983642578</v>
      </c>
      <c r="F184" s="207" t="n">
        <v>4828700</v>
      </c>
      <c r="G184" s="208" t="n">
        <v>0.01425620984708109</v>
      </c>
      <c r="H184" s="209" cm="1">
        <f t="array" ref="H184">IF(ROW()&lt;3,"",E184/INDEX(E:E,ROW()-1)-1)</f>
        <v/>
      </c>
      <c r="I184" s="211">
        <f>IF(ROW()&lt;51,NA(),AVERAGE(INDEX(E:E,ROW()-49):E184))</f>
        <v/>
      </c>
      <c r="J184" s="211">
        <f>IF(ROW()&lt;201,NA(),AVERAGE(INDEX(E:E,ROW()-199):E184))</f>
        <v/>
      </c>
      <c r="K184" s="341">
        <f>IF(ROW()&lt;22,NA(),_xlfn.STDEV.S(INDEX(H:H,ROW()-19):H184)*SQRT(252))</f>
        <v/>
      </c>
      <c r="L184" s="426" cm="1">
        <f t="array" ref="L184">IF(ROW()&lt;17,NA(),_xlfn.LET(_xlpm.d,INDEX(E:E,ROW()-13):E184-INDEX(E:E,ROW()-14):INDEX(E:E,ROW()-1),_xlpm.g,SUM(IF(_xlpm.d&gt;0,_xlpm.d,0)),_xlpm.l,-SUM(IF(_xlpm.d&lt;0,_xlpm.d,0)),IF(_xlpm.l=0,100,100-100/(1+_xlpm.g/_xlpm.l))))</f>
        <v/>
      </c>
      <c r="M184" s="211">
        <f>MAX($E$2:E184)</f>
        <v/>
      </c>
      <c r="N184" s="341">
        <f>E184/M184-1</f>
        <v/>
      </c>
    </row>
    <row r="185">
      <c r="A185" s="424" t="n">
        <v>44728</v>
      </c>
      <c r="B185" s="425" t="n">
        <v>100.5782471485951</v>
      </c>
      <c r="C185" s="425" t="n">
        <v>100.9364377634675</v>
      </c>
      <c r="D185" s="425" t="n">
        <v>97.09736283356138</v>
      </c>
      <c r="E185" s="425" t="n">
        <v>98.3831787109375</v>
      </c>
      <c r="F185" s="207" t="n">
        <v>7384800</v>
      </c>
      <c r="G185" s="208" t="n">
        <v>-0.03309593531905641</v>
      </c>
      <c r="H185" s="209" cm="1">
        <f t="array" ref="H185">IF(ROW()&lt;3,"",E185/INDEX(E:E,ROW()-1)-1)</f>
        <v/>
      </c>
      <c r="I185" s="211">
        <f>IF(ROW()&lt;51,NA(),AVERAGE(INDEX(E:E,ROW()-49):E185))</f>
        <v/>
      </c>
      <c r="J185" s="211">
        <f>IF(ROW()&lt;201,NA(),AVERAGE(INDEX(E:E,ROW()-199):E185))</f>
        <v/>
      </c>
      <c r="K185" s="341">
        <f>IF(ROW()&lt;22,NA(),_xlfn.STDEV.S(INDEX(H:H,ROW()-19):H185)*SQRT(252))</f>
        <v/>
      </c>
      <c r="L185" s="426" cm="1">
        <f t="array" ref="L185">IF(ROW()&lt;17,NA(),_xlfn.LET(_xlpm.d,INDEX(E:E,ROW()-13):E185-INDEX(E:E,ROW()-14):INDEX(E:E,ROW()-1),_xlpm.g,SUM(IF(_xlpm.d&gt;0,_xlpm.d,0)),_xlpm.l,-SUM(IF(_xlpm.d&lt;0,_xlpm.d,0)),IF(_xlpm.l=0,100,100-100/(1+_xlpm.g/_xlpm.l))))</f>
        <v/>
      </c>
      <c r="M185" s="211">
        <f>MAX($E$2:E185)</f>
        <v/>
      </c>
      <c r="N185" s="341">
        <f>E185/M185-1</f>
        <v/>
      </c>
    </row>
    <row r="186">
      <c r="A186" s="424" t="n">
        <v>44729</v>
      </c>
      <c r="B186" s="425" t="n">
        <v>97.49225271826778</v>
      </c>
      <c r="C186" s="425" t="n">
        <v>99.69650662238261</v>
      </c>
      <c r="D186" s="425" t="n">
        <v>97.21671835257968</v>
      </c>
      <c r="E186" s="425" t="n">
        <v>98.58518981933594</v>
      </c>
      <c r="F186" s="207" t="n">
        <v>10256800</v>
      </c>
      <c r="G186" s="208" t="n">
        <v>0.002155752380123888</v>
      </c>
      <c r="H186" s="209" cm="1">
        <f t="array" ref="H186">IF(ROW()&lt;3,"",E186/INDEX(E:E,ROW()-1)-1)</f>
        <v/>
      </c>
      <c r="I186" s="211">
        <f>IF(ROW()&lt;51,NA(),AVERAGE(INDEX(E:E,ROW()-49):E186))</f>
        <v/>
      </c>
      <c r="J186" s="211">
        <f>IF(ROW()&lt;201,NA(),AVERAGE(INDEX(E:E,ROW()-199):E186))</f>
        <v/>
      </c>
      <c r="K186" s="341">
        <f>IF(ROW()&lt;22,NA(),_xlfn.STDEV.S(INDEX(H:H,ROW()-19):H186)*SQRT(252))</f>
        <v/>
      </c>
      <c r="L186" s="426" cm="1">
        <f t="array" ref="L186">IF(ROW()&lt;17,NA(),_xlfn.LET(_xlpm.d,INDEX(E:E,ROW()-13):E186-INDEX(E:E,ROW()-14):INDEX(E:E,ROW()-1),_xlpm.g,SUM(IF(_xlpm.d&gt;0,_xlpm.d,0)),_xlpm.l,-SUM(IF(_xlpm.d&lt;0,_xlpm.d,0)),IF(_xlpm.l=0,100,100-100/(1+_xlpm.g/_xlpm.l))))</f>
        <v/>
      </c>
      <c r="M186" s="211">
        <f>MAX($E$2:E186)</f>
        <v/>
      </c>
      <c r="N186" s="341">
        <f>E186/M186-1</f>
        <v/>
      </c>
    </row>
    <row r="187">
      <c r="A187" s="424" t="n">
        <v>44733</v>
      </c>
      <c r="B187" s="425" t="n">
        <v>99.61386794801993</v>
      </c>
      <c r="C187" s="425" t="n">
        <v>100.8629452332159</v>
      </c>
      <c r="D187" s="425" t="n">
        <v>99.22812534712665</v>
      </c>
      <c r="E187" s="425" t="n">
        <v>99.81592559814453</v>
      </c>
      <c r="F187" s="207" t="n">
        <v>6211400</v>
      </c>
      <c r="G187" s="208" t="n">
        <v>0.02517364840325675</v>
      </c>
      <c r="H187" s="209" cm="1">
        <f t="array" ref="H187">IF(ROW()&lt;3,"",E187/INDEX(E:E,ROW()-1)-1)</f>
        <v/>
      </c>
      <c r="I187" s="211">
        <f>IF(ROW()&lt;51,NA(),AVERAGE(INDEX(E:E,ROW()-49):E187))</f>
        <v/>
      </c>
      <c r="J187" s="211">
        <f>IF(ROW()&lt;201,NA(),AVERAGE(INDEX(E:E,ROW()-199):E187))</f>
        <v/>
      </c>
      <c r="K187" s="341">
        <f>IF(ROW()&lt;22,NA(),_xlfn.STDEV.S(INDEX(H:H,ROW()-19):H187)*SQRT(252))</f>
        <v/>
      </c>
      <c r="L187" s="426" cm="1">
        <f t="array" ref="L187">IF(ROW()&lt;17,NA(),_xlfn.LET(_xlpm.d,INDEX(E:E,ROW()-13):E187-INDEX(E:E,ROW()-14):INDEX(E:E,ROW()-1),_xlpm.g,SUM(IF(_xlpm.d&gt;0,_xlpm.d,0)),_xlpm.l,-SUM(IF(_xlpm.d&lt;0,_xlpm.d,0)),IF(_xlpm.l=0,100,100-100/(1+_xlpm.g/_xlpm.l))))</f>
        <v/>
      </c>
      <c r="M187" s="211">
        <f>MAX($E$2:E187)</f>
        <v/>
      </c>
      <c r="N187" s="341">
        <f>E187/M187-1</f>
        <v/>
      </c>
    </row>
    <row r="188">
      <c r="A188" s="424" t="n">
        <v>44734</v>
      </c>
      <c r="B188" s="425" t="n">
        <v>96.80345596398917</v>
      </c>
      <c r="C188" s="425" t="n">
        <v>98.1811142357524</v>
      </c>
      <c r="D188" s="425" t="n">
        <v>96.07788843333799</v>
      </c>
      <c r="E188" s="425" t="n">
        <v>96.36260223388672</v>
      </c>
      <c r="F188" s="207" t="n">
        <v>9884000</v>
      </c>
      <c r="G188" s="208" t="n">
        <v>-0.001812956482074468</v>
      </c>
      <c r="H188" s="209" cm="1">
        <f t="array" ref="H188">IF(ROW()&lt;3,"",E188/INDEX(E:E,ROW()-1)-1)</f>
        <v/>
      </c>
      <c r="I188" s="211">
        <f>IF(ROW()&lt;51,NA(),AVERAGE(INDEX(E:E,ROW()-49):E188))</f>
        <v/>
      </c>
      <c r="J188" s="211">
        <f>IF(ROW()&lt;201,NA(),AVERAGE(INDEX(E:E,ROW()-199):E188))</f>
        <v/>
      </c>
      <c r="K188" s="341">
        <f>IF(ROW()&lt;22,NA(),_xlfn.STDEV.S(INDEX(H:H,ROW()-19):H188)*SQRT(252))</f>
        <v/>
      </c>
      <c r="L188" s="426" cm="1">
        <f t="array" ref="L188">IF(ROW()&lt;17,NA(),_xlfn.LET(_xlpm.d,INDEX(E:E,ROW()-13):E188-INDEX(E:E,ROW()-14):INDEX(E:E,ROW()-1),_xlpm.g,SUM(IF(_xlpm.d&gt;0,_xlpm.d,0)),_xlpm.l,-SUM(IF(_xlpm.d&lt;0,_xlpm.d,0)),IF(_xlpm.l=0,100,100-100/(1+_xlpm.g/_xlpm.l))))</f>
        <v/>
      </c>
      <c r="M188" s="211">
        <f>MAX($E$2:E188)</f>
        <v/>
      </c>
      <c r="N188" s="341">
        <f>E188/M188-1</f>
        <v/>
      </c>
    </row>
    <row r="189">
      <c r="A189" s="424" t="n">
        <v>44735</v>
      </c>
      <c r="B189" s="425" t="n">
        <v>96.44526092484011</v>
      </c>
      <c r="C189" s="425" t="n">
        <v>99.28323347033195</v>
      </c>
      <c r="D189" s="425" t="n">
        <v>95.89419904298201</v>
      </c>
      <c r="E189" s="425" t="n">
        <v>99.19139099121094</v>
      </c>
      <c r="F189" s="207" t="n">
        <v>8898400</v>
      </c>
      <c r="G189" s="208" t="n">
        <v>0.009802435803273779</v>
      </c>
      <c r="H189" s="209" cm="1">
        <f t="array" ref="H189">IF(ROW()&lt;3,"",E189/INDEX(E:E,ROW()-1)-1)</f>
        <v/>
      </c>
      <c r="I189" s="211">
        <f>IF(ROW()&lt;51,NA(),AVERAGE(INDEX(E:E,ROW()-49):E189))</f>
        <v/>
      </c>
      <c r="J189" s="211">
        <f>IF(ROW()&lt;201,NA(),AVERAGE(INDEX(E:E,ROW()-199):E189))</f>
        <v/>
      </c>
      <c r="K189" s="341">
        <f>IF(ROW()&lt;22,NA(),_xlfn.STDEV.S(INDEX(H:H,ROW()-19):H189)*SQRT(252))</f>
        <v/>
      </c>
      <c r="L189" s="426" cm="1">
        <f t="array" ref="L189">IF(ROW()&lt;17,NA(),_xlfn.LET(_xlpm.d,INDEX(E:E,ROW()-13):E189-INDEX(E:E,ROW()-14):INDEX(E:E,ROW()-1),_xlpm.g,SUM(IF(_xlpm.d&gt;0,_xlpm.d,0)),_xlpm.l,-SUM(IF(_xlpm.d&lt;0,_xlpm.d,0)),IF(_xlpm.l=0,100,100-100/(1+_xlpm.g/_xlpm.l))))</f>
        <v/>
      </c>
      <c r="M189" s="211">
        <f>MAX($E$2:E189)</f>
        <v/>
      </c>
      <c r="N189" s="341">
        <f>E189/M189-1</f>
        <v/>
      </c>
    </row>
    <row r="190">
      <c r="A190" s="424" t="n">
        <v>44736</v>
      </c>
      <c r="B190" s="425" t="n">
        <v>100.9639770414111</v>
      </c>
      <c r="C190" s="425" t="n">
        <v>103.7284797770912</v>
      </c>
      <c r="D190" s="425" t="n">
        <v>100.6700769072184</v>
      </c>
      <c r="E190" s="425" t="n">
        <v>103.700927734375</v>
      </c>
      <c r="F190" s="207" t="n">
        <v>10463700</v>
      </c>
      <c r="G190" s="208" t="n">
        <v>0.03179377549462004</v>
      </c>
      <c r="H190" s="209" cm="1">
        <f t="array" ref="H190">IF(ROW()&lt;3,"",E190/INDEX(E:E,ROW()-1)-1)</f>
        <v/>
      </c>
      <c r="I190" s="211">
        <f>IF(ROW()&lt;51,NA(),AVERAGE(INDEX(E:E,ROW()-49):E190))</f>
        <v/>
      </c>
      <c r="J190" s="211">
        <f>IF(ROW()&lt;201,NA(),AVERAGE(INDEX(E:E,ROW()-199):E190))</f>
        <v/>
      </c>
      <c r="K190" s="341">
        <f>IF(ROW()&lt;22,NA(),_xlfn.STDEV.S(INDEX(H:H,ROW()-19):H190)*SQRT(252))</f>
        <v/>
      </c>
      <c r="L190" s="426" cm="1">
        <f t="array" ref="L190">IF(ROW()&lt;17,NA(),_xlfn.LET(_xlpm.d,INDEX(E:E,ROW()-13):E190-INDEX(E:E,ROW()-14):INDEX(E:E,ROW()-1),_xlpm.g,SUM(IF(_xlpm.d&gt;0,_xlpm.d,0)),_xlpm.l,-SUM(IF(_xlpm.d&lt;0,_xlpm.d,0)),IF(_xlpm.l=0,100,100-100/(1+_xlpm.g/_xlpm.l))))</f>
        <v/>
      </c>
      <c r="M190" s="211">
        <f>MAX($E$2:E190)</f>
        <v/>
      </c>
      <c r="N190" s="341">
        <f>E190/M190-1</f>
        <v/>
      </c>
    </row>
    <row r="191">
      <c r="A191" s="424" t="n">
        <v>44739</v>
      </c>
      <c r="B191" s="425" t="n">
        <v>103.0855615996283</v>
      </c>
      <c r="C191" s="425" t="n">
        <v>103.9764482932459</v>
      </c>
      <c r="D191" s="425" t="n">
        <v>100.8813072353732</v>
      </c>
      <c r="E191" s="425" t="n">
        <v>101.4874801635742</v>
      </c>
      <c r="F191" s="207" t="n">
        <v>12644700</v>
      </c>
      <c r="G191" s="208" t="n">
        <v>-0.003819575071962955</v>
      </c>
      <c r="H191" s="209" cm="1">
        <f t="array" ref="H191">IF(ROW()&lt;3,"",E191/INDEX(E:E,ROW()-1)-1)</f>
        <v/>
      </c>
      <c r="I191" s="211">
        <f>IF(ROW()&lt;51,NA(),AVERAGE(INDEX(E:E,ROW()-49):E191))</f>
        <v/>
      </c>
      <c r="J191" s="211">
        <f>IF(ROW()&lt;201,NA(),AVERAGE(INDEX(E:E,ROW()-199):E191))</f>
        <v/>
      </c>
      <c r="K191" s="341">
        <f>IF(ROW()&lt;22,NA(),_xlfn.STDEV.S(INDEX(H:H,ROW()-19):H191)*SQRT(252))</f>
        <v/>
      </c>
      <c r="L191" s="426" cm="1">
        <f t="array" ref="L191">IF(ROW()&lt;17,NA(),_xlfn.LET(_xlpm.d,INDEX(E:E,ROW()-13):E191-INDEX(E:E,ROW()-14):INDEX(E:E,ROW()-1),_xlpm.g,SUM(IF(_xlpm.d&gt;0,_xlpm.d,0)),_xlpm.l,-SUM(IF(_xlpm.d&lt;0,_xlpm.d,0)),IF(_xlpm.l=0,100,100-100/(1+_xlpm.g/_xlpm.l))))</f>
        <v/>
      </c>
      <c r="M191" s="211">
        <f>MAX($E$2:E191)</f>
        <v/>
      </c>
      <c r="N191" s="341">
        <f>E191/M191-1</f>
        <v/>
      </c>
    </row>
    <row r="192">
      <c r="A192" s="424" t="n">
        <v>44740</v>
      </c>
      <c r="B192" s="425" t="n">
        <v>99.37506917831071</v>
      </c>
      <c r="C192" s="425" t="n">
        <v>104.7479414299476</v>
      </c>
      <c r="D192" s="425" t="n">
        <v>94.12160545494578</v>
      </c>
      <c r="E192" s="425" t="n">
        <v>94.39713287353516</v>
      </c>
      <c r="F192" s="207" t="n">
        <v>31296500</v>
      </c>
      <c r="G192" s="208" t="n">
        <v>-0.02043261863657742</v>
      </c>
      <c r="H192" s="209" cm="1">
        <f t="array" ref="H192">IF(ROW()&lt;3,"",E192/INDEX(E:E,ROW()-1)-1)</f>
        <v/>
      </c>
      <c r="I192" s="211">
        <f>IF(ROW()&lt;51,NA(),AVERAGE(INDEX(E:E,ROW()-49):E192))</f>
        <v/>
      </c>
      <c r="J192" s="211">
        <f>IF(ROW()&lt;201,NA(),AVERAGE(INDEX(E:E,ROW()-199):E192))</f>
        <v/>
      </c>
      <c r="K192" s="341">
        <f>IF(ROW()&lt;22,NA(),_xlfn.STDEV.S(INDEX(H:H,ROW()-19):H192)*SQRT(252))</f>
        <v/>
      </c>
      <c r="L192" s="426" cm="1">
        <f t="array" ref="L192">IF(ROW()&lt;17,NA(),_xlfn.LET(_xlpm.d,INDEX(E:E,ROW()-13):E192-INDEX(E:E,ROW()-14):INDEX(E:E,ROW()-1),_xlpm.g,SUM(IF(_xlpm.d&gt;0,_xlpm.d,0)),_xlpm.l,-SUM(IF(_xlpm.d&lt;0,_xlpm.d,0)),IF(_xlpm.l=0,100,100-100/(1+_xlpm.g/_xlpm.l))))</f>
        <v/>
      </c>
      <c r="M192" s="211">
        <f>MAX($E$2:E192)</f>
        <v/>
      </c>
      <c r="N192" s="341">
        <f>E192/M192-1</f>
        <v/>
      </c>
    </row>
    <row r="193">
      <c r="A193" s="424" t="n">
        <v>44741</v>
      </c>
      <c r="B193" s="425" t="n">
        <v>94.59001558154627</v>
      </c>
      <c r="C193" s="425" t="n">
        <v>96.99632790083287</v>
      </c>
      <c r="D193" s="425" t="n">
        <v>93.24909569598626</v>
      </c>
      <c r="E193" s="425" t="n">
        <v>94.82881164550781</v>
      </c>
      <c r="F193" s="207" t="n">
        <v>10326600</v>
      </c>
      <c r="G193" s="208" t="n">
        <v>-0.0008144650899201133</v>
      </c>
      <c r="H193" s="209" cm="1">
        <f t="array" ref="H193">IF(ROW()&lt;3,"",E193/INDEX(E:E,ROW()-1)-1)</f>
        <v/>
      </c>
      <c r="I193" s="211">
        <f>IF(ROW()&lt;51,NA(),AVERAGE(INDEX(E:E,ROW()-49):E193))</f>
        <v/>
      </c>
      <c r="J193" s="211">
        <f>IF(ROW()&lt;201,NA(),AVERAGE(INDEX(E:E,ROW()-199):E193))</f>
        <v/>
      </c>
      <c r="K193" s="341">
        <f>IF(ROW()&lt;22,NA(),_xlfn.STDEV.S(INDEX(H:H,ROW()-19):H193)*SQRT(252))</f>
        <v/>
      </c>
      <c r="L193" s="426" cm="1">
        <f t="array" ref="L193">IF(ROW()&lt;17,NA(),_xlfn.LET(_xlpm.d,INDEX(E:E,ROW()-13):E193-INDEX(E:E,ROW()-14):INDEX(E:E,ROW()-1),_xlpm.g,SUM(IF(_xlpm.d&gt;0,_xlpm.d,0)),_xlpm.l,-SUM(IF(_xlpm.d&lt;0,_xlpm.d,0)),IF(_xlpm.l=0,100,100-100/(1+_xlpm.g/_xlpm.l))))</f>
        <v/>
      </c>
      <c r="M193" s="211">
        <f>MAX($E$2:E193)</f>
        <v/>
      </c>
      <c r="N193" s="341">
        <f>E193/M193-1</f>
        <v/>
      </c>
    </row>
    <row r="194">
      <c r="A194" s="424" t="n">
        <v>44742</v>
      </c>
      <c r="B194" s="425" t="n">
        <v>93.62566709924484</v>
      </c>
      <c r="C194" s="425" t="n">
        <v>94.94821439829499</v>
      </c>
      <c r="D194" s="425" t="n">
        <v>92.56027457323442</v>
      </c>
      <c r="E194" s="425" t="n">
        <v>93.86445617675781</v>
      </c>
      <c r="F194" s="207" t="n">
        <v>9027400</v>
      </c>
      <c r="G194" s="208" t="n">
        <v>-0.008124390414028793</v>
      </c>
      <c r="H194" s="209" cm="1">
        <f t="array" ref="H194">IF(ROW()&lt;3,"",E194/INDEX(E:E,ROW()-1)-1)</f>
        <v/>
      </c>
      <c r="I194" s="211">
        <f>IF(ROW()&lt;51,NA(),AVERAGE(INDEX(E:E,ROW()-49):E194))</f>
        <v/>
      </c>
      <c r="J194" s="211">
        <f>IF(ROW()&lt;201,NA(),AVERAGE(INDEX(E:E,ROW()-199):E194))</f>
        <v/>
      </c>
      <c r="K194" s="341">
        <f>IF(ROW()&lt;22,NA(),_xlfn.STDEV.S(INDEX(H:H,ROW()-19):H194)*SQRT(252))</f>
        <v/>
      </c>
      <c r="L194" s="426" cm="1">
        <f t="array" ref="L194">IF(ROW()&lt;17,NA(),_xlfn.LET(_xlpm.d,INDEX(E:E,ROW()-13):E194-INDEX(E:E,ROW()-14):INDEX(E:E,ROW()-1),_xlpm.g,SUM(IF(_xlpm.d&gt;0,_xlpm.d,0)),_xlpm.l,-SUM(IF(_xlpm.d&lt;0,_xlpm.d,0)),IF(_xlpm.l=0,100,100-100/(1+_xlpm.g/_xlpm.l))))</f>
        <v/>
      </c>
      <c r="M194" s="211">
        <f>MAX($E$2:E194)</f>
        <v/>
      </c>
      <c r="N194" s="341">
        <f>E194/M194-1</f>
        <v/>
      </c>
    </row>
    <row r="195">
      <c r="A195" s="424" t="n">
        <v>44743</v>
      </c>
      <c r="B195" s="425" t="n">
        <v>93.3501238510412</v>
      </c>
      <c r="C195" s="425" t="n">
        <v>94.13998182005321</v>
      </c>
      <c r="D195" s="425" t="n">
        <v>91.41221732324806</v>
      </c>
      <c r="E195" s="425" t="n">
        <v>92.92764282226562</v>
      </c>
      <c r="F195" s="207" t="n">
        <v>7934300</v>
      </c>
      <c r="G195" s="208" t="n">
        <v>0.01057644884311126</v>
      </c>
      <c r="H195" s="209" cm="1">
        <f t="array" ref="H195">IF(ROW()&lt;3,"",E195/INDEX(E:E,ROW()-1)-1)</f>
        <v/>
      </c>
      <c r="I195" s="211">
        <f>IF(ROW()&lt;51,NA(),AVERAGE(INDEX(E:E,ROW()-49):E195))</f>
        <v/>
      </c>
      <c r="J195" s="211">
        <f>IF(ROW()&lt;201,NA(),AVERAGE(INDEX(E:E,ROW()-199):E195))</f>
        <v/>
      </c>
      <c r="K195" s="341">
        <f>IF(ROW()&lt;22,NA(),_xlfn.STDEV.S(INDEX(H:H,ROW()-19):H195)*SQRT(252))</f>
        <v/>
      </c>
      <c r="L195" s="426" cm="1">
        <f t="array" ref="L195">IF(ROW()&lt;17,NA(),_xlfn.LET(_xlpm.d,INDEX(E:E,ROW()-13):E195-INDEX(E:E,ROW()-14):INDEX(E:E,ROW()-1),_xlpm.g,SUM(IF(_xlpm.d&gt;0,_xlpm.d,0)),_xlpm.l,-SUM(IF(_xlpm.d&lt;0,_xlpm.d,0)),IF(_xlpm.l=0,100,100-100/(1+_xlpm.g/_xlpm.l))))</f>
        <v/>
      </c>
      <c r="M195" s="211">
        <f>MAX($E$2:E195)</f>
        <v/>
      </c>
      <c r="N195" s="341">
        <f>E195/M195-1</f>
        <v/>
      </c>
    </row>
    <row r="196">
      <c r="A196" s="424" t="n">
        <v>44747</v>
      </c>
      <c r="B196" s="425" t="n">
        <v>92.2571852394166</v>
      </c>
      <c r="C196" s="425" t="n">
        <v>95.86665041772203</v>
      </c>
      <c r="D196" s="425" t="n">
        <v>91.9449193750218</v>
      </c>
      <c r="E196" s="425" t="n">
        <v>95.81154632568359</v>
      </c>
      <c r="F196" s="207" t="n">
        <v>9948800</v>
      </c>
      <c r="G196" s="208" t="n">
        <v>0.001888589075220271</v>
      </c>
      <c r="H196" s="209" cm="1">
        <f t="array" ref="H196">IF(ROW()&lt;3,"",E196/INDEX(E:E,ROW()-1)-1)</f>
        <v/>
      </c>
      <c r="I196" s="211">
        <f>IF(ROW()&lt;51,NA(),AVERAGE(INDEX(E:E,ROW()-49):E196))</f>
        <v/>
      </c>
      <c r="J196" s="211">
        <f>IF(ROW()&lt;201,NA(),AVERAGE(INDEX(E:E,ROW()-199):E196))</f>
        <v/>
      </c>
      <c r="K196" s="341">
        <f>IF(ROW()&lt;22,NA(),_xlfn.STDEV.S(INDEX(H:H,ROW()-19):H196)*SQRT(252))</f>
        <v/>
      </c>
      <c r="L196" s="426" cm="1">
        <f t="array" ref="L196">IF(ROW()&lt;17,NA(),_xlfn.LET(_xlpm.d,INDEX(E:E,ROW()-13):E196-INDEX(E:E,ROW()-14):INDEX(E:E,ROW()-1),_xlpm.g,SUM(IF(_xlpm.d&gt;0,_xlpm.d,0)),_xlpm.l,-SUM(IF(_xlpm.d&lt;0,_xlpm.d,0)),IF(_xlpm.l=0,100,100-100/(1+_xlpm.g/_xlpm.l))))</f>
        <v/>
      </c>
      <c r="M196" s="211">
        <f>MAX($E$2:E196)</f>
        <v/>
      </c>
      <c r="N196" s="341">
        <f>E196/M196-1</f>
        <v/>
      </c>
    </row>
    <row r="197">
      <c r="A197" s="424" t="n">
        <v>44748</v>
      </c>
      <c r="B197" s="425" t="n">
        <v>96.33504781687473</v>
      </c>
      <c r="C197" s="425" t="n">
        <v>97.09735372352</v>
      </c>
      <c r="D197" s="425" t="n">
        <v>95.01249366627401</v>
      </c>
      <c r="E197" s="425" t="n">
        <v>95.7288818359375</v>
      </c>
      <c r="F197" s="207" t="n">
        <v>6432900</v>
      </c>
      <c r="G197" s="208" t="n">
        <v>0.003377488026656161</v>
      </c>
      <c r="H197" s="209" cm="1">
        <f t="array" ref="H197">IF(ROW()&lt;3,"",E197/INDEX(E:E,ROW()-1)-1)</f>
        <v/>
      </c>
      <c r="I197" s="211">
        <f>IF(ROW()&lt;51,NA(),AVERAGE(INDEX(E:E,ROW()-49):E197))</f>
        <v/>
      </c>
      <c r="J197" s="211">
        <f>IF(ROW()&lt;201,NA(),AVERAGE(INDEX(E:E,ROW()-199):E197))</f>
        <v/>
      </c>
      <c r="K197" s="341">
        <f>IF(ROW()&lt;22,NA(),_xlfn.STDEV.S(INDEX(H:H,ROW()-19):H197)*SQRT(252))</f>
        <v/>
      </c>
      <c r="L197" s="426" cm="1">
        <f t="array" ref="L197">IF(ROW()&lt;17,NA(),_xlfn.LET(_xlpm.d,INDEX(E:E,ROW()-13):E197-INDEX(E:E,ROW()-14):INDEX(E:E,ROW()-1),_xlpm.g,SUM(IF(_xlpm.d&gt;0,_xlpm.d,0)),_xlpm.l,-SUM(IF(_xlpm.d&lt;0,_xlpm.d,0)),IF(_xlpm.l=0,100,100-100/(1+_xlpm.g/_xlpm.l))))</f>
        <v/>
      </c>
      <c r="M197" s="211">
        <f>MAX($E$2:E197)</f>
        <v/>
      </c>
      <c r="N197" s="341">
        <f>E197/M197-1</f>
        <v/>
      </c>
    </row>
    <row r="198">
      <c r="A198" s="424" t="n">
        <v>44749</v>
      </c>
      <c r="B198" s="425" t="n">
        <v>97.03308148467056</v>
      </c>
      <c r="C198" s="425" t="n">
        <v>99.44857352546202</v>
      </c>
      <c r="D198" s="425" t="n">
        <v>96.68407018106461</v>
      </c>
      <c r="E198" s="425" t="n">
        <v>99.31080627441406</v>
      </c>
      <c r="F198" s="207" t="n">
        <v>7633900</v>
      </c>
      <c r="G198" s="208" t="n">
        <v>0.01497692214346635</v>
      </c>
      <c r="H198" s="209" cm="1">
        <f t="array" ref="H198">IF(ROW()&lt;3,"",E198/INDEX(E:E,ROW()-1)-1)</f>
        <v/>
      </c>
      <c r="I198" s="211">
        <f>IF(ROW()&lt;51,NA(),AVERAGE(INDEX(E:E,ROW()-49):E198))</f>
        <v/>
      </c>
      <c r="J198" s="211">
        <f>IF(ROW()&lt;201,NA(),AVERAGE(INDEX(E:E,ROW()-199):E198))</f>
        <v/>
      </c>
      <c r="K198" s="341">
        <f>IF(ROW()&lt;22,NA(),_xlfn.STDEV.S(INDEX(H:H,ROW()-19):H198)*SQRT(252))</f>
        <v/>
      </c>
      <c r="L198" s="426" cm="1">
        <f t="array" ref="L198">IF(ROW()&lt;17,NA(),_xlfn.LET(_xlpm.d,INDEX(E:E,ROW()-13):E198-INDEX(E:E,ROW()-14):INDEX(E:E,ROW()-1),_xlpm.g,SUM(IF(_xlpm.d&gt;0,_xlpm.d,0)),_xlpm.l,-SUM(IF(_xlpm.d&lt;0,_xlpm.d,0)),IF(_xlpm.l=0,100,100-100/(1+_xlpm.g/_xlpm.l))))</f>
        <v/>
      </c>
      <c r="M198" s="211">
        <f>MAX($E$2:E198)</f>
        <v/>
      </c>
      <c r="N198" s="341">
        <f>E198/M198-1</f>
        <v/>
      </c>
    </row>
    <row r="199">
      <c r="A199" s="424" t="n">
        <v>44750</v>
      </c>
      <c r="B199" s="425" t="n">
        <v>97.88719959448221</v>
      </c>
      <c r="C199" s="425" t="n">
        <v>99.75162905846904</v>
      </c>
      <c r="D199" s="425" t="n">
        <v>97.82290916493547</v>
      </c>
      <c r="E199" s="425" t="n">
        <v>99.12709045410156</v>
      </c>
      <c r="F199" s="207" t="n">
        <v>5938600</v>
      </c>
      <c r="G199" s="208" t="n">
        <v>-0.000822391687936519</v>
      </c>
      <c r="H199" s="209" cm="1">
        <f t="array" ref="H199">IF(ROW()&lt;3,"",E199/INDEX(E:E,ROW()-1)-1)</f>
        <v/>
      </c>
      <c r="I199" s="211">
        <f>IF(ROW()&lt;51,NA(),AVERAGE(INDEX(E:E,ROW()-49):E199))</f>
        <v/>
      </c>
      <c r="J199" s="211">
        <f>IF(ROW()&lt;201,NA(),AVERAGE(INDEX(E:E,ROW()-199):E199))</f>
        <v/>
      </c>
      <c r="K199" s="341">
        <f>IF(ROW()&lt;22,NA(),_xlfn.STDEV.S(INDEX(H:H,ROW()-19):H199)*SQRT(252))</f>
        <v/>
      </c>
      <c r="L199" s="426" cm="1">
        <f t="array" ref="L199">IF(ROW()&lt;17,NA(),_xlfn.LET(_xlpm.d,INDEX(E:E,ROW()-13):E199-INDEX(E:E,ROW()-14):INDEX(E:E,ROW()-1),_xlpm.g,SUM(IF(_xlpm.d&gt;0,_xlpm.d,0)),_xlpm.l,-SUM(IF(_xlpm.d&lt;0,_xlpm.d,0)),IF(_xlpm.l=0,100,100-100/(1+_xlpm.g/_xlpm.l))))</f>
        <v/>
      </c>
      <c r="M199" s="211">
        <f>MAX($E$2:E199)</f>
        <v/>
      </c>
      <c r="N199" s="341">
        <f>E199/M199-1</f>
        <v/>
      </c>
    </row>
    <row r="200">
      <c r="A200" s="424" t="n">
        <v>44753</v>
      </c>
      <c r="B200" s="425" t="n">
        <v>97.90558131780266</v>
      </c>
      <c r="C200" s="425" t="n">
        <v>98.35561439832361</v>
      </c>
      <c r="D200" s="425" t="n">
        <v>96.31668601004948</v>
      </c>
      <c r="E200" s="425" t="n">
        <v>96.537109375</v>
      </c>
      <c r="F200" s="207" t="n">
        <v>4935200</v>
      </c>
      <c r="G200" s="208" t="n">
        <v>-0.01142373009993825</v>
      </c>
      <c r="H200" s="209" cm="1">
        <f t="array" ref="H200">IF(ROW()&lt;3,"",E200/INDEX(E:E,ROW()-1)-1)</f>
        <v/>
      </c>
      <c r="I200" s="211">
        <f>IF(ROW()&lt;51,NA(),AVERAGE(INDEX(E:E,ROW()-49):E200))</f>
        <v/>
      </c>
      <c r="J200" s="211">
        <f>IF(ROW()&lt;201,NA(),AVERAGE(INDEX(E:E,ROW()-199):E200))</f>
        <v/>
      </c>
      <c r="K200" s="341">
        <f>IF(ROW()&lt;22,NA(),_xlfn.STDEV.S(INDEX(H:H,ROW()-19):H200)*SQRT(252))</f>
        <v/>
      </c>
      <c r="L200" s="426" cm="1">
        <f t="array" ref="L200">IF(ROW()&lt;17,NA(),_xlfn.LET(_xlpm.d,INDEX(E:E,ROW()-13):E200-INDEX(E:E,ROW()-14):INDEX(E:E,ROW()-1),_xlpm.g,SUM(IF(_xlpm.d&gt;0,_xlpm.d,0)),_xlpm.l,-SUM(IF(_xlpm.d&lt;0,_xlpm.d,0)),IF(_xlpm.l=0,100,100-100/(1+_xlpm.g/_xlpm.l))))</f>
        <v/>
      </c>
      <c r="M200" s="211">
        <f>MAX($E$2:E200)</f>
        <v/>
      </c>
      <c r="N200" s="341">
        <f>E200/M200-1</f>
        <v/>
      </c>
    </row>
    <row r="201">
      <c r="A201" s="424" t="n">
        <v>44754</v>
      </c>
      <c r="B201" s="425" t="n">
        <v>96.44525917942534</v>
      </c>
      <c r="C201" s="425" t="n">
        <v>97.22593074852381</v>
      </c>
      <c r="D201" s="425" t="n">
        <v>94.73696247158864</v>
      </c>
      <c r="E201" s="425" t="n">
        <v>95.29721069335938</v>
      </c>
      <c r="F201" s="207" t="n">
        <v>6017400</v>
      </c>
      <c r="G201" s="208" t="n">
        <v>-0.008848847634715939</v>
      </c>
      <c r="H201" s="209" cm="1">
        <f t="array" ref="H201">IF(ROW()&lt;3,"",E201/INDEX(E:E,ROW()-1)-1)</f>
        <v/>
      </c>
      <c r="I201" s="211">
        <f>IF(ROW()&lt;51,NA(),AVERAGE(INDEX(E:E,ROW()-49):E201))</f>
        <v/>
      </c>
      <c r="J201" s="211">
        <f>IF(ROW()&lt;201,NA(),AVERAGE(INDEX(E:E,ROW()-199):E201))</f>
        <v/>
      </c>
      <c r="K201" s="341">
        <f>IF(ROW()&lt;22,NA(),_xlfn.STDEV.S(INDEX(H:H,ROW()-19):H201)*SQRT(252))</f>
        <v/>
      </c>
      <c r="L201" s="426" cm="1">
        <f t="array" ref="L201">IF(ROW()&lt;17,NA(),_xlfn.LET(_xlpm.d,INDEX(E:E,ROW()-13):E201-INDEX(E:E,ROW()-14):INDEX(E:E,ROW()-1),_xlpm.g,SUM(IF(_xlpm.d&gt;0,_xlpm.d,0)),_xlpm.l,-SUM(IF(_xlpm.d&lt;0,_xlpm.d,0)),IF(_xlpm.l=0,100,100-100/(1+_xlpm.g/_xlpm.l))))</f>
        <v/>
      </c>
      <c r="M201" s="211">
        <f>MAX($E$2:E201)</f>
        <v/>
      </c>
      <c r="N201" s="341">
        <f>E201/M201-1</f>
        <v/>
      </c>
    </row>
    <row r="202">
      <c r="A202" s="424" t="n">
        <v>44755</v>
      </c>
      <c r="B202" s="425" t="n">
        <v>93.6256598632788</v>
      </c>
      <c r="C202" s="425" t="n">
        <v>97.24430421581864</v>
      </c>
      <c r="D202" s="425" t="n">
        <v>93.27664861104699</v>
      </c>
      <c r="E202" s="425" t="n">
        <v>96.537109375</v>
      </c>
      <c r="F202" s="207" t="n">
        <v>5299400</v>
      </c>
      <c r="G202" s="208" t="n">
        <v>-0.005251605978023877</v>
      </c>
      <c r="H202" s="209" cm="1">
        <f t="array" ref="H202">IF(ROW()&lt;3,"",E202/INDEX(E:E,ROW()-1)-1)</f>
        <v/>
      </c>
      <c r="I202" s="211">
        <f>IF(ROW()&lt;51,NA(),AVERAGE(INDEX(E:E,ROW()-49):E202))</f>
        <v/>
      </c>
      <c r="J202" s="211">
        <f>IF(ROW()&lt;201,NA(),AVERAGE(INDEX(E:E,ROW()-199):E202))</f>
        <v/>
      </c>
      <c r="K202" s="341">
        <f>IF(ROW()&lt;22,NA(),_xlfn.STDEV.S(INDEX(H:H,ROW()-19):H202)*SQRT(252))</f>
        <v/>
      </c>
      <c r="L202" s="426" cm="1">
        <f t="array" ref="L202">IF(ROW()&lt;17,NA(),_xlfn.LET(_xlpm.d,INDEX(E:E,ROW()-13):E202-INDEX(E:E,ROW()-14):INDEX(E:E,ROW()-1),_xlpm.g,SUM(IF(_xlpm.d&gt;0,_xlpm.d,0)),_xlpm.l,-SUM(IF(_xlpm.d&lt;0,_xlpm.d,0)),IF(_xlpm.l=0,100,100-100/(1+_xlpm.g/_xlpm.l))))</f>
        <v/>
      </c>
      <c r="M202" s="211">
        <f>MAX($E$2:E202)</f>
        <v/>
      </c>
      <c r="N202" s="341">
        <f>E202/M202-1</f>
        <v/>
      </c>
    </row>
    <row r="203">
      <c r="A203" s="424" t="n">
        <v>44756</v>
      </c>
      <c r="B203" s="425" t="n">
        <v>94.70024068618883</v>
      </c>
      <c r="C203" s="425" t="n">
        <v>95.33396580391199</v>
      </c>
      <c r="D203" s="425" t="n">
        <v>93.54300564730011</v>
      </c>
      <c r="E203" s="425" t="n">
        <v>94.80126953125</v>
      </c>
      <c r="F203" s="207" t="n">
        <v>6951300</v>
      </c>
      <c r="G203" s="208" t="n">
        <v>-0.002428553574244541</v>
      </c>
      <c r="H203" s="209" cm="1">
        <f t="array" ref="H203">IF(ROW()&lt;3,"",E203/INDEX(E:E,ROW()-1)-1)</f>
        <v/>
      </c>
      <c r="I203" s="211">
        <f>IF(ROW()&lt;51,NA(),AVERAGE(INDEX(E:E,ROW()-49):E203))</f>
        <v/>
      </c>
      <c r="J203" s="211">
        <f>IF(ROW()&lt;201,NA(),AVERAGE(INDEX(E:E,ROW()-199):E203))</f>
        <v/>
      </c>
      <c r="K203" s="341">
        <f>IF(ROW()&lt;22,NA(),_xlfn.STDEV.S(INDEX(H:H,ROW()-19):H203)*SQRT(252))</f>
        <v/>
      </c>
      <c r="L203" s="426" cm="1">
        <f t="array" ref="L203">IF(ROW()&lt;17,NA(),_xlfn.LET(_xlpm.d,INDEX(E:E,ROW()-13):E203-INDEX(E:E,ROW()-14):INDEX(E:E,ROW()-1),_xlpm.g,SUM(IF(_xlpm.d&gt;0,_xlpm.d,0)),_xlpm.l,-SUM(IF(_xlpm.d&lt;0,_xlpm.d,0)),IF(_xlpm.l=0,100,100-100/(1+_xlpm.g/_xlpm.l))))</f>
        <v/>
      </c>
      <c r="M203" s="211">
        <f>MAX($E$2:E203)</f>
        <v/>
      </c>
      <c r="N203" s="341">
        <f>E203/M203-1</f>
        <v/>
      </c>
    </row>
    <row r="204">
      <c r="A204" s="424" t="n">
        <v>44757</v>
      </c>
      <c r="B204" s="425" t="n">
        <v>96.21565644529029</v>
      </c>
      <c r="C204" s="425" t="n">
        <v>97.00551442143585</v>
      </c>
      <c r="D204" s="425" t="n">
        <v>95.45335051366317</v>
      </c>
      <c r="E204" s="425" t="n">
        <v>96.16054534912109</v>
      </c>
      <c r="F204" s="207" t="n">
        <v>7862000</v>
      </c>
      <c r="G204" s="208" t="n">
        <v>0.01910508230819064</v>
      </c>
      <c r="H204" s="209" cm="1">
        <f t="array" ref="H204">IF(ROW()&lt;3,"",E204/INDEX(E:E,ROW()-1)-1)</f>
        <v/>
      </c>
      <c r="I204" s="211">
        <f>IF(ROW()&lt;51,NA(),AVERAGE(INDEX(E:E,ROW()-49):E204))</f>
        <v/>
      </c>
      <c r="J204" s="211">
        <f>IF(ROW()&lt;201,NA(),AVERAGE(INDEX(E:E,ROW()-199):E204))</f>
        <v/>
      </c>
      <c r="K204" s="341">
        <f>IF(ROW()&lt;22,NA(),_xlfn.STDEV.S(INDEX(H:H,ROW()-19):H204)*SQRT(252))</f>
        <v/>
      </c>
      <c r="L204" s="426" cm="1">
        <f t="array" ref="L204">IF(ROW()&lt;17,NA(),_xlfn.LET(_xlpm.d,INDEX(E:E,ROW()-13):E204-INDEX(E:E,ROW()-14):INDEX(E:E,ROW()-1),_xlpm.g,SUM(IF(_xlpm.d&gt;0,_xlpm.d,0)),_xlpm.l,-SUM(IF(_xlpm.d&lt;0,_xlpm.d,0)),IF(_xlpm.l=0,100,100-100/(1+_xlpm.g/_xlpm.l))))</f>
        <v/>
      </c>
      <c r="M204" s="211">
        <f>MAX($E$2:E204)</f>
        <v/>
      </c>
      <c r="N204" s="341">
        <f>E204/M204-1</f>
        <v/>
      </c>
    </row>
    <row r="205">
      <c r="A205" s="424" t="n">
        <v>44760</v>
      </c>
      <c r="B205" s="425" t="n">
        <v>97.52901156902215</v>
      </c>
      <c r="C205" s="425" t="n">
        <v>97.97904458743878</v>
      </c>
      <c r="D205" s="425" t="n">
        <v>95.2237283808259</v>
      </c>
      <c r="E205" s="425" t="n">
        <v>95.4625244140625</v>
      </c>
      <c r="F205" s="207" t="n">
        <v>6834800</v>
      </c>
      <c r="G205" s="208" t="n">
        <v>-0.008256981679374054</v>
      </c>
      <c r="H205" s="209" cm="1">
        <f t="array" ref="H205">IF(ROW()&lt;3,"",E205/INDEX(E:E,ROW()-1)-1)</f>
        <v/>
      </c>
      <c r="I205" s="211">
        <f>IF(ROW()&lt;51,NA(),AVERAGE(INDEX(E:E,ROW()-49):E205))</f>
        <v/>
      </c>
      <c r="J205" s="211">
        <f>IF(ROW()&lt;201,NA(),AVERAGE(INDEX(E:E,ROW()-199):E205))</f>
        <v/>
      </c>
      <c r="K205" s="341">
        <f>IF(ROW()&lt;22,NA(),_xlfn.STDEV.S(INDEX(H:H,ROW()-19):H205)*SQRT(252))</f>
        <v/>
      </c>
      <c r="L205" s="426" cm="1">
        <f t="array" ref="L205">IF(ROW()&lt;17,NA(),_xlfn.LET(_xlpm.d,INDEX(E:E,ROW()-13):E205-INDEX(E:E,ROW()-14):INDEX(E:E,ROW()-1),_xlpm.g,SUM(IF(_xlpm.d&gt;0,_xlpm.d,0)),_xlpm.l,-SUM(IF(_xlpm.d&lt;0,_xlpm.d,0)),IF(_xlpm.l=0,100,100-100/(1+_xlpm.g/_xlpm.l))))</f>
        <v/>
      </c>
      <c r="M205" s="211">
        <f>MAX($E$2:E205)</f>
        <v/>
      </c>
      <c r="N205" s="341">
        <f>E205/M205-1</f>
        <v/>
      </c>
    </row>
    <row r="206">
      <c r="A206" s="424" t="n">
        <v>44761</v>
      </c>
      <c r="B206" s="425" t="n">
        <v>96.98714818025987</v>
      </c>
      <c r="C206" s="425" t="n">
        <v>100.6425381510414</v>
      </c>
      <c r="D206" s="425" t="n">
        <v>96.83101524616789</v>
      </c>
      <c r="E206" s="425" t="n">
        <v>100.2843475341797</v>
      </c>
      <c r="F206" s="207" t="n">
        <v>8973900</v>
      </c>
      <c r="G206" s="208" t="n">
        <v>0.02701908873041092</v>
      </c>
      <c r="H206" s="209" cm="1">
        <f t="array" ref="H206">IF(ROW()&lt;3,"",E206/INDEX(E:E,ROW()-1)-1)</f>
        <v/>
      </c>
      <c r="I206" s="211">
        <f>IF(ROW()&lt;51,NA(),AVERAGE(INDEX(E:E,ROW()-49):E206))</f>
        <v/>
      </c>
      <c r="J206" s="211">
        <f>IF(ROW()&lt;201,NA(),AVERAGE(INDEX(E:E,ROW()-199):E206))</f>
        <v/>
      </c>
      <c r="K206" s="341">
        <f>IF(ROW()&lt;22,NA(),_xlfn.STDEV.S(INDEX(H:H,ROW()-19):H206)*SQRT(252))</f>
        <v/>
      </c>
      <c r="L206" s="426" cm="1">
        <f t="array" ref="L206">IF(ROW()&lt;17,NA(),_xlfn.LET(_xlpm.d,INDEX(E:E,ROW()-13):E206-INDEX(E:E,ROW()-14):INDEX(E:E,ROW()-1),_xlpm.g,SUM(IF(_xlpm.d&gt;0,_xlpm.d,0)),_xlpm.l,-SUM(IF(_xlpm.d&lt;0,_xlpm.d,0)),IF(_xlpm.l=0,100,100-100/(1+_xlpm.g/_xlpm.l))))</f>
        <v/>
      </c>
      <c r="M206" s="211">
        <f>MAX($E$2:E206)</f>
        <v/>
      </c>
      <c r="N206" s="341">
        <f>E206/M206-1</f>
        <v/>
      </c>
    </row>
    <row r="207">
      <c r="A207" s="424" t="n">
        <v>44762</v>
      </c>
      <c r="B207" s="425" t="n">
        <v>100.3118808251389</v>
      </c>
      <c r="C207" s="425" t="n">
        <v>102.5253145563311</v>
      </c>
      <c r="D207" s="425" t="n">
        <v>99.99042866589505</v>
      </c>
      <c r="E207" s="425" t="n">
        <v>102.0477294921875</v>
      </c>
      <c r="F207" s="207" t="n">
        <v>5884600</v>
      </c>
      <c r="G207" s="208" t="n">
        <v>0.006373228196158154</v>
      </c>
      <c r="H207" s="209" cm="1">
        <f t="array" ref="H207">IF(ROW()&lt;3,"",E207/INDEX(E:E,ROW()-1)-1)</f>
        <v/>
      </c>
      <c r="I207" s="211">
        <f>IF(ROW()&lt;51,NA(),AVERAGE(INDEX(E:E,ROW()-49):E207))</f>
        <v/>
      </c>
      <c r="J207" s="211">
        <f>IF(ROW()&lt;201,NA(),AVERAGE(INDEX(E:E,ROW()-199):E207))</f>
        <v/>
      </c>
      <c r="K207" s="341">
        <f>IF(ROW()&lt;22,NA(),_xlfn.STDEV.S(INDEX(H:H,ROW()-19):H207)*SQRT(252))</f>
        <v/>
      </c>
      <c r="L207" s="426" cm="1">
        <f t="array" ref="L207">IF(ROW()&lt;17,NA(),_xlfn.LET(_xlpm.d,INDEX(E:E,ROW()-13):E207-INDEX(E:E,ROW()-14):INDEX(E:E,ROW()-1),_xlpm.g,SUM(IF(_xlpm.d&gt;0,_xlpm.d,0)),_xlpm.l,-SUM(IF(_xlpm.d&lt;0,_xlpm.d,0)),IF(_xlpm.l=0,100,100-100/(1+_xlpm.g/_xlpm.l))))</f>
        <v/>
      </c>
      <c r="M207" s="211">
        <f>MAX($E$2:E207)</f>
        <v/>
      </c>
      <c r="N207" s="341">
        <f>E207/M207-1</f>
        <v/>
      </c>
    </row>
    <row r="208">
      <c r="A208" s="424" t="n">
        <v>44763</v>
      </c>
      <c r="B208" s="425" t="n">
        <v>101.3681028156795</v>
      </c>
      <c r="C208" s="425" t="n">
        <v>102.5620691684448</v>
      </c>
      <c r="D208" s="425" t="n">
        <v>101.0925683458161</v>
      </c>
      <c r="E208" s="425" t="n">
        <v>102.5161514282227</v>
      </c>
      <c r="F208" s="207" t="n">
        <v>4291400</v>
      </c>
      <c r="G208" s="208" t="n">
        <v>0.01018317750652353</v>
      </c>
      <c r="H208" s="209" cm="1">
        <f t="array" ref="H208">IF(ROW()&lt;3,"",E208/INDEX(E:E,ROW()-1)-1)</f>
        <v/>
      </c>
      <c r="I208" s="211">
        <f>IF(ROW()&lt;51,NA(),AVERAGE(INDEX(E:E,ROW()-49):E208))</f>
        <v/>
      </c>
      <c r="J208" s="211">
        <f>IF(ROW()&lt;201,NA(),AVERAGE(INDEX(E:E,ROW()-199):E208))</f>
        <v/>
      </c>
      <c r="K208" s="341">
        <f>IF(ROW()&lt;22,NA(),_xlfn.STDEV.S(INDEX(H:H,ROW()-19):H208)*SQRT(252))</f>
        <v/>
      </c>
      <c r="L208" s="426" cm="1">
        <f t="array" ref="L208">IF(ROW()&lt;17,NA(),_xlfn.LET(_xlpm.d,INDEX(E:E,ROW()-13):E208-INDEX(E:E,ROW()-14):INDEX(E:E,ROW()-1),_xlpm.g,SUM(IF(_xlpm.d&gt;0,_xlpm.d,0)),_xlpm.l,-SUM(IF(_xlpm.d&lt;0,_xlpm.d,0)),IF(_xlpm.l=0,100,100-100/(1+_xlpm.g/_xlpm.l))))</f>
        <v/>
      </c>
      <c r="M208" s="211">
        <f>MAX($E$2:E208)</f>
        <v/>
      </c>
      <c r="N208" s="341">
        <f>E208/M208-1</f>
        <v/>
      </c>
    </row>
    <row r="209">
      <c r="A209" s="424" t="n">
        <v>44764</v>
      </c>
      <c r="B209" s="425" t="n">
        <v>102.8008500243559</v>
      </c>
      <c r="C209" s="425" t="n">
        <v>102.8008500243559</v>
      </c>
      <c r="D209" s="425" t="n">
        <v>99.88021450609915</v>
      </c>
      <c r="E209" s="425" t="n">
        <v>100.2200393676758</v>
      </c>
      <c r="F209" s="207" t="n">
        <v>6039300</v>
      </c>
      <c r="G209" s="208" t="n">
        <v>-0.009278101049666976</v>
      </c>
      <c r="H209" s="209" cm="1">
        <f t="array" ref="H209">IF(ROW()&lt;3,"",E209/INDEX(E:E,ROW()-1)-1)</f>
        <v/>
      </c>
      <c r="I209" s="211">
        <f>IF(ROW()&lt;51,NA(),AVERAGE(INDEX(E:E,ROW()-49):E209))</f>
        <v/>
      </c>
      <c r="J209" s="211">
        <f>IF(ROW()&lt;201,NA(),AVERAGE(INDEX(E:E,ROW()-199):E209))</f>
        <v/>
      </c>
      <c r="K209" s="341">
        <f>IF(ROW()&lt;22,NA(),_xlfn.STDEV.S(INDEX(H:H,ROW()-19):H209)*SQRT(252))</f>
        <v/>
      </c>
      <c r="L209" s="426" cm="1">
        <f t="array" ref="L209">IF(ROW()&lt;17,NA(),_xlfn.LET(_xlpm.d,INDEX(E:E,ROW()-13):E209-INDEX(E:E,ROW()-14):INDEX(E:E,ROW()-1),_xlpm.g,SUM(IF(_xlpm.d&gt;0,_xlpm.d,0)),_xlpm.l,-SUM(IF(_xlpm.d&lt;0,_xlpm.d,0)),IF(_xlpm.l=0,100,100-100/(1+_xlpm.g/_xlpm.l))))</f>
        <v/>
      </c>
      <c r="M209" s="211">
        <f>MAX($E$2:E209)</f>
        <v/>
      </c>
      <c r="N209" s="341">
        <f>E209/M209-1</f>
        <v/>
      </c>
    </row>
    <row r="210">
      <c r="A210" s="424" t="n">
        <v>44767</v>
      </c>
      <c r="B210" s="425" t="n">
        <v>100.670090920864</v>
      </c>
      <c r="C210" s="425" t="n">
        <v>100.670090920864</v>
      </c>
      <c r="D210" s="425" t="n">
        <v>98.89750351900801</v>
      </c>
      <c r="E210" s="425" t="n">
        <v>100.3670043945312</v>
      </c>
      <c r="F210" s="207" t="n">
        <v>5079500</v>
      </c>
      <c r="G210" s="208" t="n">
        <v>0.001214949904249085</v>
      </c>
      <c r="H210" s="209" cm="1">
        <f t="array" ref="H210">IF(ROW()&lt;3,"",E210/INDEX(E:E,ROW()-1)-1)</f>
        <v/>
      </c>
      <c r="I210" s="211">
        <f>IF(ROW()&lt;51,NA(),AVERAGE(INDEX(E:E,ROW()-49):E210))</f>
        <v/>
      </c>
      <c r="J210" s="211">
        <f>IF(ROW()&lt;201,NA(),AVERAGE(INDEX(E:E,ROW()-199):E210))</f>
        <v/>
      </c>
      <c r="K210" s="341">
        <f>IF(ROW()&lt;22,NA(),_xlfn.STDEV.S(INDEX(H:H,ROW()-19):H210)*SQRT(252))</f>
        <v/>
      </c>
      <c r="L210" s="426" cm="1">
        <f t="array" ref="L210">IF(ROW()&lt;17,NA(),_xlfn.LET(_xlpm.d,INDEX(E:E,ROW()-13):E210-INDEX(E:E,ROW()-14):INDEX(E:E,ROW()-1),_xlpm.g,SUM(IF(_xlpm.d&gt;0,_xlpm.d,0)),_xlpm.l,-SUM(IF(_xlpm.d&lt;0,_xlpm.d,0)),IF(_xlpm.l=0,100,100-100/(1+_xlpm.g/_xlpm.l))))</f>
        <v/>
      </c>
      <c r="M210" s="211">
        <f>MAX($E$2:E210)</f>
        <v/>
      </c>
      <c r="N210" s="341">
        <f>E210/M210-1</f>
        <v/>
      </c>
    </row>
    <row r="211">
      <c r="A211" s="424" t="n">
        <v>44768</v>
      </c>
      <c r="B211" s="425" t="n">
        <v>98.7138049483365</v>
      </c>
      <c r="C211" s="425" t="n">
        <v>99.12709960398149</v>
      </c>
      <c r="D211" s="425" t="n">
        <v>96.04114468662766</v>
      </c>
      <c r="E211" s="425" t="n">
        <v>96.61975860595703</v>
      </c>
      <c r="F211" s="207" t="n">
        <v>8459500</v>
      </c>
      <c r="G211" s="208" t="n">
        <v>-0.0118309178862207</v>
      </c>
      <c r="H211" s="209" cm="1">
        <f t="array" ref="H211">IF(ROW()&lt;3,"",E211/INDEX(E:E,ROW()-1)-1)</f>
        <v/>
      </c>
      <c r="I211" s="211">
        <f>IF(ROW()&lt;51,NA(),AVERAGE(INDEX(E:E,ROW()-49):E211))</f>
        <v/>
      </c>
      <c r="J211" s="211">
        <f>IF(ROW()&lt;201,NA(),AVERAGE(INDEX(E:E,ROW()-199):E211))</f>
        <v/>
      </c>
      <c r="K211" s="341">
        <f>IF(ROW()&lt;22,NA(),_xlfn.STDEV.S(INDEX(H:H,ROW()-19):H211)*SQRT(252))</f>
        <v/>
      </c>
      <c r="L211" s="426" cm="1">
        <f t="array" ref="L211">IF(ROW()&lt;17,NA(),_xlfn.LET(_xlpm.d,INDEX(E:E,ROW()-13):E211-INDEX(E:E,ROW()-14):INDEX(E:E,ROW()-1),_xlpm.g,SUM(IF(_xlpm.d&gt;0,_xlpm.d,0)),_xlpm.l,-SUM(IF(_xlpm.d&lt;0,_xlpm.d,0)),IF(_xlpm.l=0,100,100-100/(1+_xlpm.g/_xlpm.l))))</f>
        <v/>
      </c>
      <c r="M211" s="211">
        <f>MAX($E$2:E211)</f>
        <v/>
      </c>
      <c r="N211" s="341">
        <f>E211/M211-1</f>
        <v/>
      </c>
    </row>
    <row r="212">
      <c r="A212" s="424" t="n">
        <v>44769</v>
      </c>
      <c r="B212" s="425" t="n">
        <v>97.6300579911172</v>
      </c>
      <c r="C212" s="425" t="n">
        <v>99.54040558001043</v>
      </c>
      <c r="D212" s="425" t="n">
        <v>97.12491379265221</v>
      </c>
      <c r="E212" s="425" t="n">
        <v>99.06282043457031</v>
      </c>
      <c r="F212" s="207" t="n">
        <v>7437000</v>
      </c>
      <c r="G212" s="208" t="n">
        <v>0.02596642668585725</v>
      </c>
      <c r="H212" s="209" cm="1">
        <f t="array" ref="H212">IF(ROW()&lt;3,"",E212/INDEX(E:E,ROW()-1)-1)</f>
        <v/>
      </c>
      <c r="I212" s="211">
        <f>IF(ROW()&lt;51,NA(),AVERAGE(INDEX(E:E,ROW()-49):E212))</f>
        <v/>
      </c>
      <c r="J212" s="211">
        <f>IF(ROW()&lt;201,NA(),AVERAGE(INDEX(E:E,ROW()-199):E212))</f>
        <v/>
      </c>
      <c r="K212" s="341">
        <f>IF(ROW()&lt;22,NA(),_xlfn.STDEV.S(INDEX(H:H,ROW()-19):H212)*SQRT(252))</f>
        <v/>
      </c>
      <c r="L212" s="426" cm="1">
        <f t="array" ref="L212">IF(ROW()&lt;17,NA(),_xlfn.LET(_xlpm.d,INDEX(E:E,ROW()-13):E212-INDEX(E:E,ROW()-14):INDEX(E:E,ROW()-1),_xlpm.g,SUM(IF(_xlpm.d&gt;0,_xlpm.d,0)),_xlpm.l,-SUM(IF(_xlpm.d&lt;0,_xlpm.d,0)),IF(_xlpm.l=0,100,100-100/(1+_xlpm.g/_xlpm.l))))</f>
        <v/>
      </c>
      <c r="M212" s="211">
        <f>MAX($E$2:E212)</f>
        <v/>
      </c>
      <c r="N212" s="341">
        <f>E212/M212-1</f>
        <v/>
      </c>
    </row>
    <row r="213">
      <c r="A213" s="424" t="n">
        <v>44770</v>
      </c>
      <c r="B213" s="425" t="n">
        <v>100.5047541577109</v>
      </c>
      <c r="C213" s="425" t="n">
        <v>103.232518406111</v>
      </c>
      <c r="D213" s="425" t="n">
        <v>99.21893848754299</v>
      </c>
      <c r="E213" s="425" t="n">
        <v>103.0763854980469</v>
      </c>
      <c r="F213" s="207" t="n">
        <v>6773500</v>
      </c>
      <c r="G213" s="208" t="n">
        <v>0.01254231343800671</v>
      </c>
      <c r="H213" s="209" cm="1">
        <f t="array" ref="H213">IF(ROW()&lt;3,"",E213/INDEX(E:E,ROW()-1)-1)</f>
        <v/>
      </c>
      <c r="I213" s="211">
        <f>IF(ROW()&lt;51,NA(),AVERAGE(INDEX(E:E,ROW()-49):E213))</f>
        <v/>
      </c>
      <c r="J213" s="211">
        <f>IF(ROW()&lt;201,NA(),AVERAGE(INDEX(E:E,ROW()-199):E213))</f>
        <v/>
      </c>
      <c r="K213" s="341">
        <f>IF(ROW()&lt;22,NA(),_xlfn.STDEV.S(INDEX(H:H,ROW()-19):H213)*SQRT(252))</f>
        <v/>
      </c>
      <c r="L213" s="426" cm="1">
        <f t="array" ref="L213">IF(ROW()&lt;17,NA(),_xlfn.LET(_xlpm.d,INDEX(E:E,ROW()-13):E213-INDEX(E:E,ROW()-14):INDEX(E:E,ROW()-1),_xlpm.g,SUM(IF(_xlpm.d&gt;0,_xlpm.d,0)),_xlpm.l,-SUM(IF(_xlpm.d&lt;0,_xlpm.d,0)),IF(_xlpm.l=0,100,100-100/(1+_xlpm.g/_xlpm.l))))</f>
        <v/>
      </c>
      <c r="M213" s="211">
        <f>MAX($E$2:E213)</f>
        <v/>
      </c>
      <c r="N213" s="341">
        <f>E213/M213-1</f>
        <v/>
      </c>
    </row>
    <row r="214">
      <c r="A214" s="424" t="n">
        <v>44771</v>
      </c>
      <c r="B214" s="425" t="n">
        <v>103.5631502251941</v>
      </c>
      <c r="C214" s="425" t="n">
        <v>105.8133222471451</v>
      </c>
      <c r="D214" s="425" t="n">
        <v>102.4059154961556</v>
      </c>
      <c r="E214" s="425" t="n">
        <v>105.5469741821289</v>
      </c>
      <c r="F214" s="207" t="n">
        <v>7560000</v>
      </c>
      <c r="G214" s="208" t="n">
        <v>0.01457875730376434</v>
      </c>
      <c r="H214" s="209" cm="1">
        <f t="array" ref="H214">IF(ROW()&lt;3,"",E214/INDEX(E:E,ROW()-1)-1)</f>
        <v/>
      </c>
      <c r="I214" s="211">
        <f>IF(ROW()&lt;51,NA(),AVERAGE(INDEX(E:E,ROW()-49):E214))</f>
        <v/>
      </c>
      <c r="J214" s="211">
        <f>IF(ROW()&lt;201,NA(),AVERAGE(INDEX(E:E,ROW()-199):E214))</f>
        <v/>
      </c>
      <c r="K214" s="341">
        <f>IF(ROW()&lt;22,NA(),_xlfn.STDEV.S(INDEX(H:H,ROW()-19):H214)*SQRT(252))</f>
        <v/>
      </c>
      <c r="L214" s="426" cm="1">
        <f t="array" ref="L214">IF(ROW()&lt;17,NA(),_xlfn.LET(_xlpm.d,INDEX(E:E,ROW()-13):E214-INDEX(E:E,ROW()-14):INDEX(E:E,ROW()-1),_xlpm.g,SUM(IF(_xlpm.d&gt;0,_xlpm.d,0)),_xlpm.l,-SUM(IF(_xlpm.d&lt;0,_xlpm.d,0)),IF(_xlpm.l=0,100,100-100/(1+_xlpm.g/_xlpm.l))))</f>
        <v/>
      </c>
      <c r="M214" s="211">
        <f>MAX($E$2:E214)</f>
        <v/>
      </c>
      <c r="N214" s="341">
        <f>E214/M214-1</f>
        <v/>
      </c>
    </row>
    <row r="215">
      <c r="A215" s="424" t="n">
        <v>44774</v>
      </c>
      <c r="B215" s="425" t="n">
        <v>104.7020274965241</v>
      </c>
      <c r="C215" s="425" t="n">
        <v>106.1256104977946</v>
      </c>
      <c r="D215" s="425" t="n">
        <v>104.0131983682574</v>
      </c>
      <c r="E215" s="425" t="n">
        <v>104.9775619506836</v>
      </c>
      <c r="F215" s="207" t="n">
        <v>4802900</v>
      </c>
      <c r="G215" s="208" t="n">
        <v>-0.002961388439406298</v>
      </c>
      <c r="H215" s="209" cm="1">
        <f t="array" ref="H215">IF(ROW()&lt;3,"",E215/INDEX(E:E,ROW()-1)-1)</f>
        <v/>
      </c>
      <c r="I215" s="211">
        <f>IF(ROW()&lt;51,NA(),AVERAGE(INDEX(E:E,ROW()-49):E215))</f>
        <v/>
      </c>
      <c r="J215" s="211">
        <f>IF(ROW()&lt;201,NA(),AVERAGE(INDEX(E:E,ROW()-199):E215))</f>
        <v/>
      </c>
      <c r="K215" s="341">
        <f>IF(ROW()&lt;22,NA(),_xlfn.STDEV.S(INDEX(H:H,ROW()-19):H215)*SQRT(252))</f>
        <v/>
      </c>
      <c r="L215" s="426" cm="1">
        <f t="array" ref="L215">IF(ROW()&lt;17,NA(),_xlfn.LET(_xlpm.d,INDEX(E:E,ROW()-13):E215-INDEX(E:E,ROW()-14):INDEX(E:E,ROW()-1),_xlpm.g,SUM(IF(_xlpm.d&gt;0,_xlpm.d,0)),_xlpm.l,-SUM(IF(_xlpm.d&lt;0,_xlpm.d,0)),IF(_xlpm.l=0,100,100-100/(1+_xlpm.g/_xlpm.l))))</f>
        <v/>
      </c>
      <c r="M215" s="211">
        <f>MAX($E$2:E215)</f>
        <v/>
      </c>
      <c r="N215" s="341">
        <f>E215/M215-1</f>
        <v/>
      </c>
    </row>
    <row r="216">
      <c r="A216" s="424" t="n">
        <v>44775</v>
      </c>
      <c r="B216" s="425" t="n">
        <v>104.3071005183063</v>
      </c>
      <c r="C216" s="425" t="n">
        <v>104.4999718370674</v>
      </c>
      <c r="D216" s="425" t="n">
        <v>102.5620652917735</v>
      </c>
      <c r="E216" s="425" t="n">
        <v>102.6539077758789</v>
      </c>
      <c r="F216" s="207" t="n">
        <v>6334400</v>
      </c>
      <c r="G216" s="208" t="n">
        <v>-0.006597292962565393</v>
      </c>
      <c r="H216" s="209" cm="1">
        <f t="array" ref="H216">IF(ROW()&lt;3,"",E216/INDEX(E:E,ROW()-1)-1)</f>
        <v/>
      </c>
      <c r="I216" s="211">
        <f>IF(ROW()&lt;51,NA(),AVERAGE(INDEX(E:E,ROW()-49):E216))</f>
        <v/>
      </c>
      <c r="J216" s="211">
        <f>IF(ROW()&lt;201,NA(),AVERAGE(INDEX(E:E,ROW()-199):E216))</f>
        <v/>
      </c>
      <c r="K216" s="341">
        <f>IF(ROW()&lt;22,NA(),_xlfn.STDEV.S(INDEX(H:H,ROW()-19):H216)*SQRT(252))</f>
        <v/>
      </c>
      <c r="L216" s="426" cm="1">
        <f t="array" ref="L216">IF(ROW()&lt;17,NA(),_xlfn.LET(_xlpm.d,INDEX(E:E,ROW()-13):E216-INDEX(E:E,ROW()-14):INDEX(E:E,ROW()-1),_xlpm.g,SUM(IF(_xlpm.d&gt;0,_xlpm.d,0)),_xlpm.l,-SUM(IF(_xlpm.d&lt;0,_xlpm.d,0)),IF(_xlpm.l=0,100,100-100/(1+_xlpm.g/_xlpm.l))))</f>
        <v/>
      </c>
      <c r="M216" s="211">
        <f>MAX($E$2:E216)</f>
        <v/>
      </c>
      <c r="N216" s="341">
        <f>E216/M216-1</f>
        <v/>
      </c>
    </row>
    <row r="217">
      <c r="A217" s="424" t="n">
        <v>44776</v>
      </c>
      <c r="B217" s="425" t="n">
        <v>104.1693323992506</v>
      </c>
      <c r="C217" s="425" t="n">
        <v>105.7123099432991</v>
      </c>
      <c r="D217" s="425" t="n">
        <v>103.3978471307926</v>
      </c>
      <c r="E217" s="425" t="n">
        <v>104.9591903686523</v>
      </c>
      <c r="F217" s="207" t="n">
        <v>5986500</v>
      </c>
      <c r="G217" s="208" t="n">
        <v>0.01565963482022337</v>
      </c>
      <c r="H217" s="209" cm="1">
        <f t="array" ref="H217">IF(ROW()&lt;3,"",E217/INDEX(E:E,ROW()-1)-1)</f>
        <v/>
      </c>
      <c r="I217" s="211">
        <f>IF(ROW()&lt;51,NA(),AVERAGE(INDEX(E:E,ROW()-49):E217))</f>
        <v/>
      </c>
      <c r="J217" s="211">
        <f>IF(ROW()&lt;201,NA(),AVERAGE(INDEX(E:E,ROW()-199):E217))</f>
        <v/>
      </c>
      <c r="K217" s="341">
        <f>IF(ROW()&lt;22,NA(),_xlfn.STDEV.S(INDEX(H:H,ROW()-19):H217)*SQRT(252))</f>
        <v/>
      </c>
      <c r="L217" s="426" cm="1">
        <f t="array" ref="L217">IF(ROW()&lt;17,NA(),_xlfn.LET(_xlpm.d,INDEX(E:E,ROW()-13):E217-INDEX(E:E,ROW()-14):INDEX(E:E,ROW()-1),_xlpm.g,SUM(IF(_xlpm.d&gt;0,_xlpm.d,0)),_xlpm.l,-SUM(IF(_xlpm.d&lt;0,_xlpm.d,0)),IF(_xlpm.l=0,100,100-100/(1+_xlpm.g/_xlpm.l))))</f>
        <v/>
      </c>
      <c r="M217" s="211">
        <f>MAX($E$2:E217)</f>
        <v/>
      </c>
      <c r="N217" s="341">
        <f>E217/M217-1</f>
        <v/>
      </c>
    </row>
    <row r="218">
      <c r="A218" s="424" t="n">
        <v>44777</v>
      </c>
      <c r="B218" s="425" t="n">
        <v>105.289822233951</v>
      </c>
      <c r="C218" s="425" t="n">
        <v>105.9419129334311</v>
      </c>
      <c r="D218" s="425" t="n">
        <v>104.5458890569767</v>
      </c>
      <c r="E218" s="425" t="n">
        <v>105.1428756713867</v>
      </c>
      <c r="F218" s="207" t="n">
        <v>4332000</v>
      </c>
      <c r="G218" s="208" t="n">
        <v>-0.0006757767519558477</v>
      </c>
      <c r="H218" s="209" cm="1">
        <f t="array" ref="H218">IF(ROW()&lt;3,"",E218/INDEX(E:E,ROW()-1)-1)</f>
        <v/>
      </c>
      <c r="I218" s="211">
        <f>IF(ROW()&lt;51,NA(),AVERAGE(INDEX(E:E,ROW()-49):E218))</f>
        <v/>
      </c>
      <c r="J218" s="211">
        <f>IF(ROW()&lt;201,NA(),AVERAGE(INDEX(E:E,ROW()-199):E218))</f>
        <v/>
      </c>
      <c r="K218" s="341">
        <f>IF(ROW()&lt;22,NA(),_xlfn.STDEV.S(INDEX(H:H,ROW()-19):H218)*SQRT(252))</f>
        <v/>
      </c>
      <c r="L218" s="426" cm="1">
        <f t="array" ref="L218">IF(ROW()&lt;17,NA(),_xlfn.LET(_xlpm.d,INDEX(E:E,ROW()-13):E218-INDEX(E:E,ROW()-14):INDEX(E:E,ROW()-1),_xlpm.g,SUM(IF(_xlpm.d&gt;0,_xlpm.d,0)),_xlpm.l,-SUM(IF(_xlpm.d&lt;0,_xlpm.d,0)),IF(_xlpm.l=0,100,100-100/(1+_xlpm.g/_xlpm.l))))</f>
        <v/>
      </c>
      <c r="M218" s="211">
        <f>MAX($E$2:E218)</f>
        <v/>
      </c>
      <c r="N218" s="341">
        <f>E218/M218-1</f>
        <v/>
      </c>
    </row>
    <row r="219">
      <c r="A219" s="424" t="n">
        <v>44778</v>
      </c>
      <c r="B219" s="425" t="n">
        <v>103.5907032221822</v>
      </c>
      <c r="C219" s="425" t="n">
        <v>104.9775476400333</v>
      </c>
      <c r="D219" s="425" t="n">
        <v>103.3886455842942</v>
      </c>
      <c r="E219" s="425" t="n">
        <v>104.5826187133789</v>
      </c>
      <c r="F219" s="207" t="n">
        <v>4162200</v>
      </c>
      <c r="G219" s="208" t="n">
        <v>-0.001690116787077756</v>
      </c>
      <c r="H219" s="209" cm="1">
        <f t="array" ref="H219">IF(ROW()&lt;3,"",E219/INDEX(E:E,ROW()-1)-1)</f>
        <v/>
      </c>
      <c r="I219" s="211">
        <f>IF(ROW()&lt;51,NA(),AVERAGE(INDEX(E:E,ROW()-49):E219))</f>
        <v/>
      </c>
      <c r="J219" s="211">
        <f>IF(ROW()&lt;201,NA(),AVERAGE(INDEX(E:E,ROW()-199):E219))</f>
        <v/>
      </c>
      <c r="K219" s="341">
        <f>IF(ROW()&lt;22,NA(),_xlfn.STDEV.S(INDEX(H:H,ROW()-19):H219)*SQRT(252))</f>
        <v/>
      </c>
      <c r="L219" s="426" cm="1">
        <f t="array" ref="L219">IF(ROW()&lt;17,NA(),_xlfn.LET(_xlpm.d,INDEX(E:E,ROW()-13):E219-INDEX(E:E,ROW()-14):INDEX(E:E,ROW()-1),_xlpm.g,SUM(IF(_xlpm.d&gt;0,_xlpm.d,0)),_xlpm.l,-SUM(IF(_xlpm.d&lt;0,_xlpm.d,0)),IF(_xlpm.l=0,100,100-100/(1+_xlpm.g/_xlpm.l))))</f>
        <v/>
      </c>
      <c r="M219" s="211">
        <f>MAX($E$2:E219)</f>
        <v/>
      </c>
      <c r="N219" s="341">
        <f>E219/M219-1</f>
        <v/>
      </c>
    </row>
    <row r="220">
      <c r="A220" s="424" t="n">
        <v>44781</v>
      </c>
      <c r="B220" s="425" t="n">
        <v>104.702018737793</v>
      </c>
      <c r="C220" s="425" t="n">
        <v>106.1531536616599</v>
      </c>
      <c r="D220" s="425" t="n">
        <v>104.0682937505189</v>
      </c>
      <c r="E220" s="425" t="n">
        <v>104.702018737793</v>
      </c>
      <c r="F220" s="207" t="n">
        <v>6071600</v>
      </c>
      <c r="G220" s="208" t="n">
        <v>-0.001160629426612103</v>
      </c>
      <c r="H220" s="209" cm="1">
        <f t="array" ref="H220">IF(ROW()&lt;3,"",E220/INDEX(E:E,ROW()-1)-1)</f>
        <v/>
      </c>
      <c r="I220" s="211">
        <f>IF(ROW()&lt;51,NA(),AVERAGE(INDEX(E:E,ROW()-49):E220))</f>
        <v/>
      </c>
      <c r="J220" s="211">
        <f>IF(ROW()&lt;201,NA(),AVERAGE(INDEX(E:E,ROW()-199):E220))</f>
        <v/>
      </c>
      <c r="K220" s="341">
        <f>IF(ROW()&lt;22,NA(),_xlfn.STDEV.S(INDEX(H:H,ROW()-19):H220)*SQRT(252))</f>
        <v/>
      </c>
      <c r="L220" s="426" cm="1">
        <f t="array" ref="L220">IF(ROW()&lt;17,NA(),_xlfn.LET(_xlpm.d,INDEX(E:E,ROW()-13):E220-INDEX(E:E,ROW()-14):INDEX(E:E,ROW()-1),_xlpm.g,SUM(IF(_xlpm.d&gt;0,_xlpm.d,0)),_xlpm.l,-SUM(IF(_xlpm.d&lt;0,_xlpm.d,0)),IF(_xlpm.l=0,100,100-100/(1+_xlpm.g/_xlpm.l))))</f>
        <v/>
      </c>
      <c r="M220" s="211">
        <f>MAX($E$2:E220)</f>
        <v/>
      </c>
      <c r="N220" s="341">
        <f>E220/M220-1</f>
        <v/>
      </c>
    </row>
    <row r="221">
      <c r="A221" s="424" t="n">
        <v>44782</v>
      </c>
      <c r="B221" s="425" t="n">
        <v>102.2405977267736</v>
      </c>
      <c r="C221" s="425" t="n">
        <v>102.6355266554871</v>
      </c>
      <c r="D221" s="425" t="n">
        <v>99.94450093358599</v>
      </c>
      <c r="E221" s="425" t="n">
        <v>101.1292877197266</v>
      </c>
      <c r="F221" s="207" t="n">
        <v>7377600</v>
      </c>
      <c r="G221" s="208" t="n">
        <v>-0.003971153185655552</v>
      </c>
      <c r="H221" s="209" cm="1">
        <f t="array" ref="H221">IF(ROW()&lt;3,"",E221/INDEX(E:E,ROW()-1)-1)</f>
        <v/>
      </c>
      <c r="I221" s="211">
        <f>IF(ROW()&lt;51,NA(),AVERAGE(INDEX(E:E,ROW()-49):E221))</f>
        <v/>
      </c>
      <c r="J221" s="211">
        <f>IF(ROW()&lt;201,NA(),AVERAGE(INDEX(E:E,ROW()-199):E221))</f>
        <v/>
      </c>
      <c r="K221" s="341">
        <f>IF(ROW()&lt;22,NA(),_xlfn.STDEV.S(INDEX(H:H,ROW()-19):H221)*SQRT(252))</f>
        <v/>
      </c>
      <c r="L221" s="426" cm="1">
        <f t="array" ref="L221">IF(ROW()&lt;17,NA(),_xlfn.LET(_xlpm.d,INDEX(E:E,ROW()-13):E221-INDEX(E:E,ROW()-14):INDEX(E:E,ROW()-1),_xlpm.g,SUM(IF(_xlpm.d&gt;0,_xlpm.d,0)),_xlpm.l,-SUM(IF(_xlpm.d&lt;0,_xlpm.d,0)),IF(_xlpm.l=0,100,100-100/(1+_xlpm.g/_xlpm.l))))</f>
        <v/>
      </c>
      <c r="M221" s="211">
        <f>MAX($E$2:E221)</f>
        <v/>
      </c>
      <c r="N221" s="341">
        <f>E221/M221-1</f>
        <v/>
      </c>
    </row>
    <row r="222">
      <c r="A222" s="424" t="n">
        <v>44783</v>
      </c>
      <c r="B222" s="425" t="n">
        <v>104.0040128932717</v>
      </c>
      <c r="C222" s="425" t="n">
        <v>104.5458954557778</v>
      </c>
      <c r="D222" s="425" t="n">
        <v>102.7365698091609</v>
      </c>
      <c r="E222" s="425" t="n">
        <v>103.9121704101562</v>
      </c>
      <c r="F222" s="207" t="n">
        <v>6951800</v>
      </c>
      <c r="G222" s="208" t="n">
        <v>0.0210037811874606</v>
      </c>
      <c r="H222" s="209" cm="1">
        <f t="array" ref="H222">IF(ROW()&lt;3,"",E222/INDEX(E:E,ROW()-1)-1)</f>
        <v/>
      </c>
      <c r="I222" s="211">
        <f>IF(ROW()&lt;51,NA(),AVERAGE(INDEX(E:E,ROW()-49):E222))</f>
        <v/>
      </c>
      <c r="J222" s="211">
        <f>IF(ROW()&lt;201,NA(),AVERAGE(INDEX(E:E,ROW()-199):E222))</f>
        <v/>
      </c>
      <c r="K222" s="341">
        <f>IF(ROW()&lt;22,NA(),_xlfn.STDEV.S(INDEX(H:H,ROW()-19):H222)*SQRT(252))</f>
        <v/>
      </c>
      <c r="L222" s="426" cm="1">
        <f t="array" ref="L222">IF(ROW()&lt;17,NA(),_xlfn.LET(_xlpm.d,INDEX(E:E,ROW()-13):E222-INDEX(E:E,ROW()-14):INDEX(E:E,ROW()-1),_xlpm.g,SUM(IF(_xlpm.d&gt;0,_xlpm.d,0)),_xlpm.l,-SUM(IF(_xlpm.d&lt;0,_xlpm.d,0)),IF(_xlpm.l=0,100,100-100/(1+_xlpm.g/_xlpm.l))))</f>
        <v/>
      </c>
      <c r="M222" s="211">
        <f>MAX($E$2:E222)</f>
        <v/>
      </c>
      <c r="N222" s="341">
        <f>E222/M222-1</f>
        <v/>
      </c>
    </row>
    <row r="223">
      <c r="A223" s="424" t="n">
        <v>44784</v>
      </c>
      <c r="B223" s="425" t="n">
        <v>105.510250184246</v>
      </c>
      <c r="C223" s="425" t="n">
        <v>107.227733317553</v>
      </c>
      <c r="D223" s="425" t="n">
        <v>104.4540511362885</v>
      </c>
      <c r="E223" s="425" t="n">
        <v>104.7938690185547</v>
      </c>
      <c r="F223" s="207" t="n">
        <v>5582100</v>
      </c>
      <c r="G223" s="208" t="n">
        <v>0</v>
      </c>
      <c r="H223" s="209" cm="1">
        <f t="array" ref="H223">IF(ROW()&lt;3,"",E223/INDEX(E:E,ROW()-1)-1)</f>
        <v/>
      </c>
      <c r="I223" s="211">
        <f>IF(ROW()&lt;51,NA(),AVERAGE(INDEX(E:E,ROW()-49):E223))</f>
        <v/>
      </c>
      <c r="J223" s="211">
        <f>IF(ROW()&lt;201,NA(),AVERAGE(INDEX(E:E,ROW()-199):E223))</f>
        <v/>
      </c>
      <c r="K223" s="341">
        <f>IF(ROW()&lt;22,NA(),_xlfn.STDEV.S(INDEX(H:H,ROW()-19):H223)*SQRT(252))</f>
        <v/>
      </c>
      <c r="L223" s="426" cm="1">
        <f t="array" ref="L223">IF(ROW()&lt;17,NA(),_xlfn.LET(_xlpm.d,INDEX(E:E,ROW()-13):E223-INDEX(E:E,ROW()-14):INDEX(E:E,ROW()-1),_xlpm.g,SUM(IF(_xlpm.d&gt;0,_xlpm.d,0)),_xlpm.l,-SUM(IF(_xlpm.d&lt;0,_xlpm.d,0)),IF(_xlpm.l=0,100,100-100/(1+_xlpm.g/_xlpm.l))))</f>
        <v/>
      </c>
      <c r="M223" s="211">
        <f>MAX($E$2:E223)</f>
        <v/>
      </c>
      <c r="N223" s="341">
        <f>E223/M223-1</f>
        <v/>
      </c>
    </row>
    <row r="224">
      <c r="A224" s="424" t="n">
        <v>44785</v>
      </c>
      <c r="B224" s="425" t="n">
        <v>105.0602327068367</v>
      </c>
      <c r="C224" s="425" t="n">
        <v>106.6583145448681</v>
      </c>
      <c r="D224" s="425" t="n">
        <v>104.4907980256378</v>
      </c>
      <c r="E224" s="425" t="n">
        <v>106.6032104492188</v>
      </c>
      <c r="F224" s="207" t="n">
        <v>4407900</v>
      </c>
      <c r="G224" s="208" t="n">
        <v>0.01692908030864126</v>
      </c>
      <c r="H224" s="209" cm="1">
        <f t="array" ref="H224">IF(ROW()&lt;3,"",E224/INDEX(E:E,ROW()-1)-1)</f>
        <v/>
      </c>
      <c r="I224" s="211">
        <f>IF(ROW()&lt;51,NA(),AVERAGE(INDEX(E:E,ROW()-49):E224))</f>
        <v/>
      </c>
      <c r="J224" s="211">
        <f>IF(ROW()&lt;201,NA(),AVERAGE(INDEX(E:E,ROW()-199):E224))</f>
        <v/>
      </c>
      <c r="K224" s="341">
        <f>IF(ROW()&lt;22,NA(),_xlfn.STDEV.S(INDEX(H:H,ROW()-19):H224)*SQRT(252))</f>
        <v/>
      </c>
      <c r="L224" s="426" cm="1">
        <f t="array" ref="L224">IF(ROW()&lt;17,NA(),_xlfn.LET(_xlpm.d,INDEX(E:E,ROW()-13):E224-INDEX(E:E,ROW()-14):INDEX(E:E,ROW()-1),_xlpm.g,SUM(IF(_xlpm.d&gt;0,_xlpm.d,0)),_xlpm.l,-SUM(IF(_xlpm.d&lt;0,_xlpm.d,0)),IF(_xlpm.l=0,100,100-100/(1+_xlpm.g/_xlpm.l))))</f>
        <v/>
      </c>
      <c r="M224" s="211">
        <f>MAX($E$2:E224)</f>
        <v/>
      </c>
      <c r="N224" s="341">
        <f>E224/M224-1</f>
        <v/>
      </c>
    </row>
    <row r="225">
      <c r="A225" s="424" t="n">
        <v>44788</v>
      </c>
      <c r="B225" s="425" t="n">
        <v>106.0337575336749</v>
      </c>
      <c r="C225" s="425" t="n">
        <v>107.0715978708186</v>
      </c>
      <c r="D225" s="425" t="n">
        <v>105.4826956505459</v>
      </c>
      <c r="E225" s="425" t="n">
        <v>106.8328018188477</v>
      </c>
      <c r="F225" s="207" t="n">
        <v>4279000</v>
      </c>
      <c r="G225" s="208" t="n">
        <v>0.004120687610982721</v>
      </c>
      <c r="H225" s="209" cm="1">
        <f t="array" ref="H225">IF(ROW()&lt;3,"",E225/INDEX(E:E,ROW()-1)-1)</f>
        <v/>
      </c>
      <c r="I225" s="211">
        <f>IF(ROW()&lt;51,NA(),AVERAGE(INDEX(E:E,ROW()-49):E225))</f>
        <v/>
      </c>
      <c r="J225" s="211">
        <f>IF(ROW()&lt;201,NA(),AVERAGE(INDEX(E:E,ROW()-199):E225))</f>
        <v/>
      </c>
      <c r="K225" s="341">
        <f>IF(ROW()&lt;22,NA(),_xlfn.STDEV.S(INDEX(H:H,ROW()-19):H225)*SQRT(252))</f>
        <v/>
      </c>
      <c r="L225" s="426" cm="1">
        <f t="array" ref="L225">IF(ROW()&lt;17,NA(),_xlfn.LET(_xlpm.d,INDEX(E:E,ROW()-13):E225-INDEX(E:E,ROW()-14):INDEX(E:E,ROW()-1),_xlpm.g,SUM(IF(_xlpm.d&gt;0,_xlpm.d,0)),_xlpm.l,-SUM(IF(_xlpm.d&lt;0,_xlpm.d,0)),IF(_xlpm.l=0,100,100-100/(1+_xlpm.g/_xlpm.l))))</f>
        <v/>
      </c>
      <c r="M225" s="211">
        <f>MAX($E$2:E225)</f>
        <v/>
      </c>
      <c r="N225" s="341">
        <f>E225/M225-1</f>
        <v/>
      </c>
    </row>
    <row r="226">
      <c r="A226" s="424" t="n">
        <v>44789</v>
      </c>
      <c r="B226" s="425" t="n">
        <v>106.4837994927017</v>
      </c>
      <c r="C226" s="425" t="n">
        <v>108.8074485961902</v>
      </c>
      <c r="D226" s="425" t="n">
        <v>106.3643979610218</v>
      </c>
      <c r="E226" s="425" t="n">
        <v>108.4308853149414</v>
      </c>
      <c r="F226" s="207" t="n">
        <v>6189800</v>
      </c>
      <c r="G226" s="208" t="n">
        <v>0.001958759488446704</v>
      </c>
      <c r="H226" s="209" cm="1">
        <f t="array" ref="H226">IF(ROW()&lt;3,"",E226/INDEX(E:E,ROW()-1)-1)</f>
        <v/>
      </c>
      <c r="I226" s="211">
        <f>IF(ROW()&lt;51,NA(),AVERAGE(INDEX(E:E,ROW()-49):E226))</f>
        <v/>
      </c>
      <c r="J226" s="211">
        <f>IF(ROW()&lt;201,NA(),AVERAGE(INDEX(E:E,ROW()-199):E226))</f>
        <v/>
      </c>
      <c r="K226" s="341">
        <f>IF(ROW()&lt;22,NA(),_xlfn.STDEV.S(INDEX(H:H,ROW()-19):H226)*SQRT(252))</f>
        <v/>
      </c>
      <c r="L226" s="426" cm="1">
        <f t="array" ref="L226">IF(ROW()&lt;17,NA(),_xlfn.LET(_xlpm.d,INDEX(E:E,ROW()-13):E226-INDEX(E:E,ROW()-14):INDEX(E:E,ROW()-1),_xlpm.g,SUM(IF(_xlpm.d&gt;0,_xlpm.d,0)),_xlpm.l,-SUM(IF(_xlpm.d&lt;0,_xlpm.d,0)),IF(_xlpm.l=0,100,100-100/(1+_xlpm.g/_xlpm.l))))</f>
        <v/>
      </c>
      <c r="M226" s="211">
        <f>MAX($E$2:E226)</f>
        <v/>
      </c>
      <c r="N226" s="341">
        <f>E226/M226-1</f>
        <v/>
      </c>
    </row>
    <row r="227">
      <c r="A227" s="424" t="n">
        <v>44790</v>
      </c>
      <c r="B227" s="425" t="n">
        <v>107.2460819625777</v>
      </c>
      <c r="C227" s="425" t="n">
        <v>108.3573989356127</v>
      </c>
      <c r="D227" s="425" t="n">
        <v>106.9154504831603</v>
      </c>
      <c r="E227" s="425" t="n">
        <v>107.4940643310547</v>
      </c>
      <c r="F227" s="207" t="n">
        <v>5108400</v>
      </c>
      <c r="G227" s="208" t="n">
        <v>-0.007097926022398893</v>
      </c>
      <c r="H227" s="209" cm="1">
        <f t="array" ref="H227">IF(ROW()&lt;3,"",E227/INDEX(E:E,ROW()-1)-1)</f>
        <v/>
      </c>
      <c r="I227" s="211">
        <f>IF(ROW()&lt;51,NA(),AVERAGE(INDEX(E:E,ROW()-49):E227))</f>
        <v/>
      </c>
      <c r="J227" s="211">
        <f>IF(ROW()&lt;201,NA(),AVERAGE(INDEX(E:E,ROW()-199):E227))</f>
        <v/>
      </c>
      <c r="K227" s="341">
        <f>IF(ROW()&lt;22,NA(),_xlfn.STDEV.S(INDEX(H:H,ROW()-19):H227)*SQRT(252))</f>
        <v/>
      </c>
      <c r="L227" s="426" cm="1">
        <f t="array" ref="L227">IF(ROW()&lt;17,NA(),_xlfn.LET(_xlpm.d,INDEX(E:E,ROW()-13):E227-INDEX(E:E,ROW()-14):INDEX(E:E,ROW()-1),_xlpm.g,SUM(IF(_xlpm.d&gt;0,_xlpm.d,0)),_xlpm.l,-SUM(IF(_xlpm.d&lt;0,_xlpm.d,0)),IF(_xlpm.l=0,100,100-100/(1+_xlpm.g/_xlpm.l))))</f>
        <v/>
      </c>
      <c r="M227" s="211">
        <f>MAX($E$2:E227)</f>
        <v/>
      </c>
      <c r="N227" s="341">
        <f>E227/M227-1</f>
        <v/>
      </c>
    </row>
    <row r="228">
      <c r="A228" s="424" t="n">
        <v>44791</v>
      </c>
      <c r="B228" s="425" t="n">
        <v>106.5388864661804</v>
      </c>
      <c r="C228" s="425" t="n">
        <v>107.1634250464398</v>
      </c>
      <c r="D228" s="425" t="n">
        <v>105.89598219553</v>
      </c>
      <c r="E228" s="425" t="n">
        <v>106.5480728149414</v>
      </c>
      <c r="F228" s="207" t="n">
        <v>4750200</v>
      </c>
      <c r="G228" s="208" t="n">
        <v>0.002906457779733085</v>
      </c>
      <c r="H228" s="209" cm="1">
        <f t="array" ref="H228">IF(ROW()&lt;3,"",E228/INDEX(E:E,ROW()-1)-1)</f>
        <v/>
      </c>
      <c r="I228" s="211">
        <f>IF(ROW()&lt;51,NA(),AVERAGE(INDEX(E:E,ROW()-49):E228))</f>
        <v/>
      </c>
      <c r="J228" s="211">
        <f>IF(ROW()&lt;201,NA(),AVERAGE(INDEX(E:E,ROW()-199):E228))</f>
        <v/>
      </c>
      <c r="K228" s="341">
        <f>IF(ROW()&lt;22,NA(),_xlfn.STDEV.S(INDEX(H:H,ROW()-19):H228)*SQRT(252))</f>
        <v/>
      </c>
      <c r="L228" s="426" cm="1">
        <f t="array" ref="L228">IF(ROW()&lt;17,NA(),_xlfn.LET(_xlpm.d,INDEX(E:E,ROW()-13):E228-INDEX(E:E,ROW()-14):INDEX(E:E,ROW()-1),_xlpm.g,SUM(IF(_xlpm.d&gt;0,_xlpm.d,0)),_xlpm.l,-SUM(IF(_xlpm.d&lt;0,_xlpm.d,0)),IF(_xlpm.l=0,100,100-100/(1+_xlpm.g/_xlpm.l))))</f>
        <v/>
      </c>
      <c r="M228" s="211">
        <f>MAX($E$2:E228)</f>
        <v/>
      </c>
      <c r="N228" s="341">
        <f>E228/M228-1</f>
        <v/>
      </c>
    </row>
    <row r="229">
      <c r="A229" s="424" t="n">
        <v>44792</v>
      </c>
      <c r="B229" s="425" t="n">
        <v>106.079677716748</v>
      </c>
      <c r="C229" s="425" t="n">
        <v>106.2174449333909</v>
      </c>
      <c r="D229" s="425" t="n">
        <v>103.8111328383743</v>
      </c>
      <c r="E229" s="425" t="n">
        <v>103.930534362793</v>
      </c>
      <c r="F229" s="207" t="n">
        <v>5967600</v>
      </c>
      <c r="G229" s="208" t="n">
        <v>-0.01343812580376302</v>
      </c>
      <c r="H229" s="209" cm="1">
        <f t="array" ref="H229">IF(ROW()&lt;3,"",E229/INDEX(E:E,ROW()-1)-1)</f>
        <v/>
      </c>
      <c r="I229" s="211">
        <f>IF(ROW()&lt;51,NA(),AVERAGE(INDEX(E:E,ROW()-49):E229))</f>
        <v/>
      </c>
      <c r="J229" s="211">
        <f>IF(ROW()&lt;201,NA(),AVERAGE(INDEX(E:E,ROW()-199):E229))</f>
        <v/>
      </c>
      <c r="K229" s="341">
        <f>IF(ROW()&lt;22,NA(),_xlfn.STDEV.S(INDEX(H:H,ROW()-19):H229)*SQRT(252))</f>
        <v/>
      </c>
      <c r="L229" s="426" cm="1">
        <f t="array" ref="L229">IF(ROW()&lt;17,NA(),_xlfn.LET(_xlpm.d,INDEX(E:E,ROW()-13):E229-INDEX(E:E,ROW()-14):INDEX(E:E,ROW()-1),_xlpm.g,SUM(IF(_xlpm.d&gt;0,_xlpm.d,0)),_xlpm.l,-SUM(IF(_xlpm.d&lt;0,_xlpm.d,0)),IF(_xlpm.l=0,100,100-100/(1+_xlpm.g/_xlpm.l))))</f>
        <v/>
      </c>
      <c r="M229" s="211">
        <f>MAX($E$2:E229)</f>
        <v/>
      </c>
      <c r="N229" s="341">
        <f>E229/M229-1</f>
        <v/>
      </c>
    </row>
    <row r="230">
      <c r="A230" s="424" t="n">
        <v>44795</v>
      </c>
      <c r="B230" s="425" t="n">
        <v>101.9650767150486</v>
      </c>
      <c r="C230" s="425" t="n">
        <v>102.5712497115725</v>
      </c>
      <c r="D230" s="425" t="n">
        <v>100.8813186058869</v>
      </c>
      <c r="E230" s="425" t="n">
        <v>101.3405380249023</v>
      </c>
      <c r="F230" s="207" t="n">
        <v>5802900</v>
      </c>
      <c r="G230" s="208" t="n">
        <v>-0.02082266165170266</v>
      </c>
      <c r="H230" s="209" cm="1">
        <f t="array" ref="H230">IF(ROW()&lt;3,"",E230/INDEX(E:E,ROW()-1)-1)</f>
        <v/>
      </c>
      <c r="I230" s="211">
        <f>IF(ROW()&lt;51,NA(),AVERAGE(INDEX(E:E,ROW()-49):E230))</f>
        <v/>
      </c>
      <c r="J230" s="211">
        <f>IF(ROW()&lt;201,NA(),AVERAGE(INDEX(E:E,ROW()-199):E230))</f>
        <v/>
      </c>
      <c r="K230" s="341">
        <f>IF(ROW()&lt;22,NA(),_xlfn.STDEV.S(INDEX(H:H,ROW()-19):H230)*SQRT(252))</f>
        <v/>
      </c>
      <c r="L230" s="426" cm="1">
        <f t="array" ref="L230">IF(ROW()&lt;17,NA(),_xlfn.LET(_xlpm.d,INDEX(E:E,ROW()-13):E230-INDEX(E:E,ROW()-14):INDEX(E:E,ROW()-1),_xlpm.g,SUM(IF(_xlpm.d&gt;0,_xlpm.d,0)),_xlpm.l,-SUM(IF(_xlpm.d&lt;0,_xlpm.d,0)),IF(_xlpm.l=0,100,100-100/(1+_xlpm.g/_xlpm.l))))</f>
        <v/>
      </c>
      <c r="M230" s="211">
        <f>MAX($E$2:E230)</f>
        <v/>
      </c>
      <c r="N230" s="341">
        <f>E230/M230-1</f>
        <v/>
      </c>
    </row>
    <row r="231">
      <c r="A231" s="424" t="n">
        <v>44796</v>
      </c>
      <c r="B231" s="425" t="n">
        <v>101.7997557109411</v>
      </c>
      <c r="C231" s="425" t="n">
        <v>103.6274540126441</v>
      </c>
      <c r="D231" s="425" t="n">
        <v>101.5517803120323</v>
      </c>
      <c r="E231" s="425" t="n">
        <v>101.6528091430664</v>
      </c>
      <c r="F231" s="207" t="n">
        <v>4806700</v>
      </c>
      <c r="G231" s="208" t="n">
        <v>-0.002419142260524976</v>
      </c>
      <c r="H231" s="209" cm="1">
        <f t="array" ref="H231">IF(ROW()&lt;3,"",E231/INDEX(E:E,ROW()-1)-1)</f>
        <v/>
      </c>
      <c r="I231" s="211">
        <f>IF(ROW()&lt;51,NA(),AVERAGE(INDEX(E:E,ROW()-49):E231))</f>
        <v/>
      </c>
      <c r="J231" s="211">
        <f>IF(ROW()&lt;201,NA(),AVERAGE(INDEX(E:E,ROW()-199):E231))</f>
        <v/>
      </c>
      <c r="K231" s="341">
        <f>IF(ROW()&lt;22,NA(),_xlfn.STDEV.S(INDEX(H:H,ROW()-19):H231)*SQRT(252))</f>
        <v/>
      </c>
      <c r="L231" s="426" cm="1">
        <f t="array" ref="L231">IF(ROW()&lt;17,NA(),_xlfn.LET(_xlpm.d,INDEX(E:E,ROW()-13):E231-INDEX(E:E,ROW()-14):INDEX(E:E,ROW()-1),_xlpm.g,SUM(IF(_xlpm.d&gt;0,_xlpm.d,0)),_xlpm.l,-SUM(IF(_xlpm.d&lt;0,_xlpm.d,0)),IF(_xlpm.l=0,100,100-100/(1+_xlpm.g/_xlpm.l))))</f>
        <v/>
      </c>
      <c r="M231" s="211">
        <f>MAX($E$2:E231)</f>
        <v/>
      </c>
      <c r="N231" s="341">
        <f>E231/M231-1</f>
        <v/>
      </c>
    </row>
    <row r="232">
      <c r="A232" s="424" t="n">
        <v>44797</v>
      </c>
      <c r="B232" s="425" t="n">
        <v>101.6528017012796</v>
      </c>
      <c r="C232" s="425" t="n">
        <v>103.2600695228078</v>
      </c>
      <c r="D232" s="425" t="n">
        <v>101.0466287594515</v>
      </c>
      <c r="E232" s="425" t="n">
        <v>102.3232650756836</v>
      </c>
      <c r="F232" s="207" t="n">
        <v>4769000</v>
      </c>
      <c r="G232" s="208" t="n">
        <v>0.003201202462437047</v>
      </c>
      <c r="H232" s="209" cm="1">
        <f t="array" ref="H232">IF(ROW()&lt;3,"",E232/INDEX(E:E,ROW()-1)-1)</f>
        <v/>
      </c>
      <c r="I232" s="211">
        <f>IF(ROW()&lt;51,NA(),AVERAGE(INDEX(E:E,ROW()-49):E232))</f>
        <v/>
      </c>
      <c r="J232" s="211">
        <f>IF(ROW()&lt;201,NA(),AVERAGE(INDEX(E:E,ROW()-199):E232))</f>
        <v/>
      </c>
      <c r="K232" s="341">
        <f>IF(ROW()&lt;22,NA(),_xlfn.STDEV.S(INDEX(H:H,ROW()-19):H232)*SQRT(252))</f>
        <v/>
      </c>
      <c r="L232" s="426" cm="1">
        <f t="array" ref="L232">IF(ROW()&lt;17,NA(),_xlfn.LET(_xlpm.d,INDEX(E:E,ROW()-13):E232-INDEX(E:E,ROW()-14):INDEX(E:E,ROW()-1),_xlpm.g,SUM(IF(_xlpm.d&gt;0,_xlpm.d,0)),_xlpm.l,-SUM(IF(_xlpm.d&lt;0,_xlpm.d,0)),IF(_xlpm.l=0,100,100-100/(1+_xlpm.g/_xlpm.l))))</f>
        <v/>
      </c>
      <c r="M232" s="211">
        <f>MAX($E$2:E232)</f>
        <v/>
      </c>
      <c r="N232" s="341">
        <f>E232/M232-1</f>
        <v/>
      </c>
    </row>
    <row r="233">
      <c r="A233" s="424" t="n">
        <v>44798</v>
      </c>
      <c r="B233" s="425" t="n">
        <v>102.7732950100665</v>
      </c>
      <c r="C233" s="425" t="n">
        <v>104.095842012835</v>
      </c>
      <c r="D233" s="425" t="n">
        <v>102.3048892970384</v>
      </c>
      <c r="E233" s="425" t="n">
        <v>103.9856338500977</v>
      </c>
      <c r="F233" s="207" t="n">
        <v>5433700</v>
      </c>
      <c r="G233" s="208" t="n">
        <v>0.01411773994762888</v>
      </c>
      <c r="H233" s="209" cm="1">
        <f t="array" ref="H233">IF(ROW()&lt;3,"",E233/INDEX(E:E,ROW()-1)-1)</f>
        <v/>
      </c>
      <c r="I233" s="211">
        <f>IF(ROW()&lt;51,NA(),AVERAGE(INDEX(E:E,ROW()-49):E233))</f>
        <v/>
      </c>
      <c r="J233" s="211">
        <f>IF(ROW()&lt;201,NA(),AVERAGE(INDEX(E:E,ROW()-199):E233))</f>
        <v/>
      </c>
      <c r="K233" s="341">
        <f>IF(ROW()&lt;22,NA(),_xlfn.STDEV.S(INDEX(H:H,ROW()-19):H233)*SQRT(252))</f>
        <v/>
      </c>
      <c r="L233" s="426" cm="1">
        <f t="array" ref="L233">IF(ROW()&lt;17,NA(),_xlfn.LET(_xlpm.d,INDEX(E:E,ROW()-13):E233-INDEX(E:E,ROW()-14):INDEX(E:E,ROW()-1),_xlpm.g,SUM(IF(_xlpm.d&gt;0,_xlpm.d,0)),_xlpm.l,-SUM(IF(_xlpm.d&lt;0,_xlpm.d,0)),IF(_xlpm.l=0,100,100-100/(1+_xlpm.g/_xlpm.l))))</f>
        <v/>
      </c>
      <c r="M233" s="211">
        <f>MAX($E$2:E233)</f>
        <v/>
      </c>
      <c r="N233" s="341">
        <f>E233/M233-1</f>
        <v/>
      </c>
    </row>
    <row r="234">
      <c r="A234" s="424" t="n">
        <v>44799</v>
      </c>
      <c r="B234" s="425" t="n">
        <v>104.0682931841114</v>
      </c>
      <c r="C234" s="425" t="n">
        <v>104.4540427869923</v>
      </c>
      <c r="D234" s="425" t="n">
        <v>99.40262962976726</v>
      </c>
      <c r="E234" s="425" t="n">
        <v>99.44854736328125</v>
      </c>
      <c r="F234" s="207" t="n">
        <v>6203600</v>
      </c>
      <c r="G234" s="208" t="n">
        <v>-0.03384903919366078</v>
      </c>
      <c r="H234" s="209" cm="1">
        <f t="array" ref="H234">IF(ROW()&lt;3,"",E234/INDEX(E:E,ROW()-1)-1)</f>
        <v/>
      </c>
      <c r="I234" s="211">
        <f>IF(ROW()&lt;51,NA(),AVERAGE(INDEX(E:E,ROW()-49):E234))</f>
        <v/>
      </c>
      <c r="J234" s="211">
        <f>IF(ROW()&lt;201,NA(),AVERAGE(INDEX(E:E,ROW()-199):E234))</f>
        <v/>
      </c>
      <c r="K234" s="341">
        <f>IF(ROW()&lt;22,NA(),_xlfn.STDEV.S(INDEX(H:H,ROW()-19):H234)*SQRT(252))</f>
        <v/>
      </c>
      <c r="L234" s="426" cm="1">
        <f t="array" ref="L234">IF(ROW()&lt;17,NA(),_xlfn.LET(_xlpm.d,INDEX(E:E,ROW()-13):E234-INDEX(E:E,ROW()-14):INDEX(E:E,ROW()-1),_xlpm.g,SUM(IF(_xlpm.d&gt;0,_xlpm.d,0)),_xlpm.l,-SUM(IF(_xlpm.d&lt;0,_xlpm.d,0)),IF(_xlpm.l=0,100,100-100/(1+_xlpm.g/_xlpm.l))))</f>
        <v/>
      </c>
      <c r="M234" s="211">
        <f>MAX($E$2:E234)</f>
        <v/>
      </c>
      <c r="N234" s="341">
        <f>E234/M234-1</f>
        <v/>
      </c>
    </row>
    <row r="235">
      <c r="A235" s="424" t="n">
        <v>44802</v>
      </c>
      <c r="B235" s="425" t="n">
        <v>98.09846261430521</v>
      </c>
      <c r="C235" s="425" t="n">
        <v>99.68736509077678</v>
      </c>
      <c r="D235" s="425" t="n">
        <v>97.75864468526741</v>
      </c>
      <c r="E235" s="425" t="n">
        <v>99.08119201660156</v>
      </c>
      <c r="F235" s="207" t="n">
        <v>4132400</v>
      </c>
      <c r="G235" s="208" t="n">
        <v>-0.00661242852448185</v>
      </c>
      <c r="H235" s="209" cm="1">
        <f t="array" ref="H235">IF(ROW()&lt;3,"",E235/INDEX(E:E,ROW()-1)-1)</f>
        <v/>
      </c>
      <c r="I235" s="211">
        <f>IF(ROW()&lt;51,NA(),AVERAGE(INDEX(E:E,ROW()-49):E235))</f>
        <v/>
      </c>
      <c r="J235" s="211">
        <f>IF(ROW()&lt;201,NA(),AVERAGE(INDEX(E:E,ROW()-199):E235))</f>
        <v/>
      </c>
      <c r="K235" s="341">
        <f>IF(ROW()&lt;22,NA(),_xlfn.STDEV.S(INDEX(H:H,ROW()-19):H235)*SQRT(252))</f>
        <v/>
      </c>
      <c r="L235" s="426" cm="1">
        <f t="array" ref="L235">IF(ROW()&lt;17,NA(),_xlfn.LET(_xlpm.d,INDEX(E:E,ROW()-13):E235-INDEX(E:E,ROW()-14):INDEX(E:E,ROW()-1),_xlpm.g,SUM(IF(_xlpm.d&gt;0,_xlpm.d,0)),_xlpm.l,-SUM(IF(_xlpm.d&lt;0,_xlpm.d,0)),IF(_xlpm.l=0,100,100-100/(1+_xlpm.g/_xlpm.l))))</f>
        <v/>
      </c>
      <c r="M235" s="211">
        <f>MAX($E$2:E235)</f>
        <v/>
      </c>
      <c r="N235" s="341">
        <f>E235/M235-1</f>
        <v/>
      </c>
    </row>
    <row r="236">
      <c r="A236" s="424" t="n">
        <v>44803</v>
      </c>
      <c r="B236" s="425" t="n">
        <v>100.0822881753759</v>
      </c>
      <c r="C236" s="425" t="n">
        <v>101.1017559161814</v>
      </c>
      <c r="D236" s="425" t="n">
        <v>98.39235695361975</v>
      </c>
      <c r="E236" s="425" t="n">
        <v>99.06282043457031</v>
      </c>
      <c r="F236" s="207" t="n">
        <v>5129500</v>
      </c>
      <c r="G236" s="208" t="n">
        <v>-0.01097786983538651</v>
      </c>
      <c r="H236" s="209" cm="1">
        <f t="array" ref="H236">IF(ROW()&lt;3,"",E236/INDEX(E:E,ROW()-1)-1)</f>
        <v/>
      </c>
      <c r="I236" s="211">
        <f>IF(ROW()&lt;51,NA(),AVERAGE(INDEX(E:E,ROW()-49):E236))</f>
        <v/>
      </c>
      <c r="J236" s="211">
        <f>IF(ROW()&lt;201,NA(),AVERAGE(INDEX(E:E,ROW()-199):E236))</f>
        <v/>
      </c>
      <c r="K236" s="341">
        <f>IF(ROW()&lt;22,NA(),_xlfn.STDEV.S(INDEX(H:H,ROW()-19):H236)*SQRT(252))</f>
        <v/>
      </c>
      <c r="L236" s="426" cm="1">
        <f t="array" ref="L236">IF(ROW()&lt;17,NA(),_xlfn.LET(_xlpm.d,INDEX(E:E,ROW()-13):E236-INDEX(E:E,ROW()-14):INDEX(E:E,ROW()-1),_xlpm.g,SUM(IF(_xlpm.d&gt;0,_xlpm.d,0)),_xlpm.l,-SUM(IF(_xlpm.d&lt;0,_xlpm.d,0)),IF(_xlpm.l=0,100,100-100/(1+_xlpm.g/_xlpm.l))))</f>
        <v/>
      </c>
      <c r="M236" s="211">
        <f>MAX($E$2:E236)</f>
        <v/>
      </c>
      <c r="N236" s="341">
        <f>E236/M236-1</f>
        <v/>
      </c>
    </row>
    <row r="237">
      <c r="A237" s="424" t="n">
        <v>44804</v>
      </c>
      <c r="B237" s="425" t="n">
        <v>99.15465155044519</v>
      </c>
      <c r="C237" s="425" t="n">
        <v>99.20057629308644</v>
      </c>
      <c r="D237" s="425" t="n">
        <v>97.18000673811386</v>
      </c>
      <c r="E237" s="425" t="n">
        <v>97.76780700683594</v>
      </c>
      <c r="F237" s="207" t="n">
        <v>8884800</v>
      </c>
      <c r="G237" s="208" t="n">
        <v>-0.007609053674047295</v>
      </c>
      <c r="H237" s="209" cm="1">
        <f t="array" ref="H237">IF(ROW()&lt;3,"",E237/INDEX(E:E,ROW()-1)-1)</f>
        <v/>
      </c>
      <c r="I237" s="211">
        <f>IF(ROW()&lt;51,NA(),AVERAGE(INDEX(E:E,ROW()-49):E237))</f>
        <v/>
      </c>
      <c r="J237" s="211">
        <f>IF(ROW()&lt;201,NA(),AVERAGE(INDEX(E:E,ROW()-199):E237))</f>
        <v/>
      </c>
      <c r="K237" s="341">
        <f>IF(ROW()&lt;22,NA(),_xlfn.STDEV.S(INDEX(H:H,ROW()-19):H237)*SQRT(252))</f>
        <v/>
      </c>
      <c r="L237" s="426" cm="1">
        <f t="array" ref="L237">IF(ROW()&lt;17,NA(),_xlfn.LET(_xlpm.d,INDEX(E:E,ROW()-13):E237-INDEX(E:E,ROW()-14):INDEX(E:E,ROW()-1),_xlpm.g,SUM(IF(_xlpm.d&gt;0,_xlpm.d,0)),_xlpm.l,-SUM(IF(_xlpm.d&lt;0,_xlpm.d,0)),IF(_xlpm.l=0,100,100-100/(1+_xlpm.g/_xlpm.l))))</f>
        <v/>
      </c>
      <c r="M237" s="211">
        <f>MAX($E$2:E237)</f>
        <v/>
      </c>
      <c r="N237" s="341">
        <f>E237/M237-1</f>
        <v/>
      </c>
    </row>
    <row r="238">
      <c r="A238" s="424" t="n">
        <v>44805</v>
      </c>
      <c r="B238" s="425" t="n">
        <v>97.17083971571159</v>
      </c>
      <c r="C238" s="425" t="n">
        <v>97.85966889987647</v>
      </c>
      <c r="D238" s="425" t="n">
        <v>95.33396189127193</v>
      </c>
      <c r="E238" s="425" t="n">
        <v>97.80455780029297</v>
      </c>
      <c r="F238" s="207" t="n">
        <v>5590800</v>
      </c>
      <c r="G238" s="208" t="n">
        <v>0.003137912743288895</v>
      </c>
      <c r="H238" s="209" cm="1">
        <f t="array" ref="H238">IF(ROW()&lt;3,"",E238/INDEX(E:E,ROW()-1)-1)</f>
        <v/>
      </c>
      <c r="I238" s="211">
        <f>IF(ROW()&lt;51,NA(),AVERAGE(INDEX(E:E,ROW()-49):E238))</f>
        <v/>
      </c>
      <c r="J238" s="211">
        <f>IF(ROW()&lt;201,NA(),AVERAGE(INDEX(E:E,ROW()-199):E238))</f>
        <v/>
      </c>
      <c r="K238" s="341">
        <f>IF(ROW()&lt;22,NA(),_xlfn.STDEV.S(INDEX(H:H,ROW()-19):H238)*SQRT(252))</f>
        <v/>
      </c>
      <c r="L238" s="426" cm="1">
        <f t="array" ref="L238">IF(ROW()&lt;17,NA(),_xlfn.LET(_xlpm.d,INDEX(E:E,ROW()-13):E238-INDEX(E:E,ROW()-14):INDEX(E:E,ROW()-1),_xlpm.g,SUM(IF(_xlpm.d&gt;0,_xlpm.d,0)),_xlpm.l,-SUM(IF(_xlpm.d&lt;0,_xlpm.d,0)),IF(_xlpm.l=0,100,100-100/(1+_xlpm.g/_xlpm.l))))</f>
        <v/>
      </c>
      <c r="M238" s="211">
        <f>MAX($E$2:E238)</f>
        <v/>
      </c>
      <c r="N238" s="341">
        <f>E238/M238-1</f>
        <v/>
      </c>
    </row>
    <row r="239">
      <c r="A239" s="424" t="n">
        <v>44806</v>
      </c>
      <c r="B239" s="425" t="n">
        <v>98.97892195748591</v>
      </c>
      <c r="C239" s="425" t="n">
        <v>99.6144672616017</v>
      </c>
      <c r="D239" s="425" t="n">
        <v>96.75913030224477</v>
      </c>
      <c r="E239" s="425" t="n">
        <v>97.39466857910156</v>
      </c>
      <c r="F239" s="207" t="n">
        <v>7763800</v>
      </c>
      <c r="G239" s="208" t="n">
        <v>-0.01054452515035786</v>
      </c>
      <c r="H239" s="209" cm="1">
        <f t="array" ref="H239">IF(ROW()&lt;3,"",E239/INDEX(E:E,ROW()-1)-1)</f>
        <v/>
      </c>
      <c r="I239" s="211">
        <f>IF(ROW()&lt;51,NA(),AVERAGE(INDEX(E:E,ROW()-49):E239))</f>
        <v/>
      </c>
      <c r="J239" s="211">
        <f>IF(ROW()&lt;201,NA(),AVERAGE(INDEX(E:E,ROW()-199):E239))</f>
        <v/>
      </c>
      <c r="K239" s="341">
        <f>IF(ROW()&lt;22,NA(),_xlfn.STDEV.S(INDEX(H:H,ROW()-19):H239)*SQRT(252))</f>
        <v/>
      </c>
      <c r="L239" s="426" cm="1">
        <f t="array" ref="L239">IF(ROW()&lt;17,NA(),_xlfn.LET(_xlpm.d,INDEX(E:E,ROW()-13):E239-INDEX(E:E,ROW()-14):INDEX(E:E,ROW()-1),_xlpm.g,SUM(IF(_xlpm.d&gt;0,_xlpm.d,0)),_xlpm.l,-SUM(IF(_xlpm.d&lt;0,_xlpm.d,0)),IF(_xlpm.l=0,100,100-100/(1+_xlpm.g/_xlpm.l))))</f>
        <v/>
      </c>
      <c r="M239" s="211">
        <f>MAX($E$2:E239)</f>
        <v/>
      </c>
      <c r="N239" s="341">
        <f>E239/M239-1</f>
        <v/>
      </c>
    </row>
    <row r="240">
      <c r="A240" s="424" t="n">
        <v>44810</v>
      </c>
      <c r="B240" s="425" t="n">
        <v>97.11834757202014</v>
      </c>
      <c r="C240" s="425" t="n">
        <v>98.01179326166606</v>
      </c>
      <c r="D240" s="425" t="n">
        <v>95.49725031067557</v>
      </c>
      <c r="E240" s="425" t="n">
        <v>96.85123443603516</v>
      </c>
      <c r="F240" s="207" t="n">
        <v>9158900</v>
      </c>
      <c r="G240" s="208" t="n">
        <v>-0.003773033772581202</v>
      </c>
      <c r="H240" s="209" cm="1">
        <f t="array" ref="H240">IF(ROW()&lt;3,"",E240/INDEX(E:E,ROW()-1)-1)</f>
        <v/>
      </c>
      <c r="I240" s="211">
        <f>IF(ROW()&lt;51,NA(),AVERAGE(INDEX(E:E,ROW()-49):E240))</f>
        <v/>
      </c>
      <c r="J240" s="211">
        <f>IF(ROW()&lt;201,NA(),AVERAGE(INDEX(E:E,ROW()-199):E240))</f>
        <v/>
      </c>
      <c r="K240" s="341">
        <f>IF(ROW()&lt;22,NA(),_xlfn.STDEV.S(INDEX(H:H,ROW()-19):H240)*SQRT(252))</f>
        <v/>
      </c>
      <c r="L240" s="426" cm="1">
        <f t="array" ref="L240">IF(ROW()&lt;17,NA(),_xlfn.LET(_xlpm.d,INDEX(E:E,ROW()-13):E240-INDEX(E:E,ROW()-14):INDEX(E:E,ROW()-1),_xlpm.g,SUM(IF(_xlpm.d&gt;0,_xlpm.d,0)),_xlpm.l,-SUM(IF(_xlpm.d&lt;0,_xlpm.d,0)),IF(_xlpm.l=0,100,100-100/(1+_xlpm.g/_xlpm.l))))</f>
        <v/>
      </c>
      <c r="M240" s="211">
        <f>MAX($E$2:E240)</f>
        <v/>
      </c>
      <c r="N240" s="341">
        <f>E240/M240-1</f>
        <v/>
      </c>
    </row>
    <row r="241">
      <c r="A241" s="424" t="n">
        <v>44811</v>
      </c>
      <c r="B241" s="425" t="n">
        <v>96.78675621689933</v>
      </c>
      <c r="C241" s="425" t="n">
        <v>99.99209969090023</v>
      </c>
      <c r="D241" s="425" t="n">
        <v>96.71306838301781</v>
      </c>
      <c r="E241" s="425" t="n">
        <v>99.91841888427734</v>
      </c>
      <c r="F241" s="207" t="n">
        <v>7238300</v>
      </c>
      <c r="G241" s="208" t="n">
        <v>0.01796482261607379</v>
      </c>
      <c r="H241" s="209" cm="1">
        <f t="array" ref="H241">IF(ROW()&lt;3,"",E241/INDEX(E:E,ROW()-1)-1)</f>
        <v/>
      </c>
      <c r="I241" s="211">
        <f>IF(ROW()&lt;51,NA(),AVERAGE(INDEX(E:E,ROW()-49):E241))</f>
        <v/>
      </c>
      <c r="J241" s="211">
        <f>IF(ROW()&lt;201,NA(),AVERAGE(INDEX(E:E,ROW()-199):E241))</f>
        <v/>
      </c>
      <c r="K241" s="341">
        <f>IF(ROW()&lt;22,NA(),_xlfn.STDEV.S(INDEX(H:H,ROW()-19):H241)*SQRT(252))</f>
        <v/>
      </c>
      <c r="L241" s="426" cm="1">
        <f t="array" ref="L241">IF(ROW()&lt;17,NA(),_xlfn.LET(_xlpm.d,INDEX(E:E,ROW()-13):E241-INDEX(E:E,ROW()-14):INDEX(E:E,ROW()-1),_xlpm.g,SUM(IF(_xlpm.d&gt;0,_xlpm.d,0)),_xlpm.l,-SUM(IF(_xlpm.d&lt;0,_xlpm.d,0)),IF(_xlpm.l=0,100,100-100/(1+_xlpm.g/_xlpm.l))))</f>
        <v/>
      </c>
      <c r="M241" s="211">
        <f>MAX($E$2:E241)</f>
        <v/>
      </c>
      <c r="N241" s="341">
        <f>E241/M241-1</f>
        <v/>
      </c>
    </row>
    <row r="242">
      <c r="A242" s="424" t="n">
        <v>44812</v>
      </c>
      <c r="B242" s="425" t="n">
        <v>98.55522322310999</v>
      </c>
      <c r="C242" s="425" t="n">
        <v>100.2039516324499</v>
      </c>
      <c r="D242" s="425" t="n">
        <v>97.70783420530385</v>
      </c>
      <c r="E242" s="425" t="n">
        <v>100.1486892700195</v>
      </c>
      <c r="F242" s="207" t="n">
        <v>5628300</v>
      </c>
      <c r="G242" s="208" t="n">
        <v>0.006536468466866285</v>
      </c>
      <c r="H242" s="209" cm="1">
        <f t="array" ref="H242">IF(ROW()&lt;3,"",E242/INDEX(E:E,ROW()-1)-1)</f>
        <v/>
      </c>
      <c r="I242" s="211">
        <f>IF(ROW()&lt;51,NA(),AVERAGE(INDEX(E:E,ROW()-49):E242))</f>
        <v/>
      </c>
      <c r="J242" s="211">
        <f>IF(ROW()&lt;201,NA(),AVERAGE(INDEX(E:E,ROW()-199):E242))</f>
        <v/>
      </c>
      <c r="K242" s="341">
        <f>IF(ROW()&lt;22,NA(),_xlfn.STDEV.S(INDEX(H:H,ROW()-19):H242)*SQRT(252))</f>
        <v/>
      </c>
      <c r="L242" s="426" cm="1">
        <f t="array" ref="L242">IF(ROW()&lt;17,NA(),_xlfn.LET(_xlpm.d,INDEX(E:E,ROW()-13):E242-INDEX(E:E,ROW()-14):INDEX(E:E,ROW()-1),_xlpm.g,SUM(IF(_xlpm.d&gt;0,_xlpm.d,0)),_xlpm.l,-SUM(IF(_xlpm.d&lt;0,_xlpm.d,0)),IF(_xlpm.l=0,100,100-100/(1+_xlpm.g/_xlpm.l))))</f>
        <v/>
      </c>
      <c r="M242" s="211">
        <f>MAX($E$2:E242)</f>
        <v/>
      </c>
      <c r="N242" s="341">
        <f>E242/M242-1</f>
        <v/>
      </c>
    </row>
    <row r="243">
      <c r="A243" s="424" t="n">
        <v>44813</v>
      </c>
      <c r="B243" s="425" t="n">
        <v>100.7473904833472</v>
      </c>
      <c r="C243" s="425" t="n">
        <v>102.8750829365991</v>
      </c>
      <c r="D243" s="425" t="n">
        <v>100.6737096708273</v>
      </c>
      <c r="E243" s="425" t="n">
        <v>102.2119064331055</v>
      </c>
      <c r="F243" s="207" t="n">
        <v>5171500</v>
      </c>
      <c r="G243" s="208" t="n">
        <v>0.01553528472622689</v>
      </c>
      <c r="H243" s="209" cm="1">
        <f t="array" ref="H243">IF(ROW()&lt;3,"",E243/INDEX(E:E,ROW()-1)-1)</f>
        <v/>
      </c>
      <c r="I243" s="211">
        <f>IF(ROW()&lt;51,NA(),AVERAGE(INDEX(E:E,ROW()-49):E243))</f>
        <v/>
      </c>
      <c r="J243" s="211">
        <f>IF(ROW()&lt;201,NA(),AVERAGE(INDEX(E:E,ROW()-199):E243))</f>
        <v/>
      </c>
      <c r="K243" s="341">
        <f>IF(ROW()&lt;22,NA(),_xlfn.STDEV.S(INDEX(H:H,ROW()-19):H243)*SQRT(252))</f>
        <v/>
      </c>
      <c r="L243" s="426" cm="1">
        <f t="array" ref="L243">IF(ROW()&lt;17,NA(),_xlfn.LET(_xlpm.d,INDEX(E:E,ROW()-13):E243-INDEX(E:E,ROW()-14):INDEX(E:E,ROW()-1),_xlpm.g,SUM(IF(_xlpm.d&gt;0,_xlpm.d,0)),_xlpm.l,-SUM(IF(_xlpm.d&lt;0,_xlpm.d,0)),IF(_xlpm.l=0,100,100-100/(1+_xlpm.g/_xlpm.l))))</f>
        <v/>
      </c>
      <c r="M243" s="211">
        <f>MAX($E$2:E243)</f>
        <v/>
      </c>
      <c r="N243" s="341">
        <f>E243/M243-1</f>
        <v/>
      </c>
    </row>
    <row r="244">
      <c r="A244" s="424" t="n">
        <v>44816</v>
      </c>
      <c r="B244" s="425" t="n">
        <v>102.5895356501207</v>
      </c>
      <c r="C244" s="425" t="n">
        <v>104.4132708807055</v>
      </c>
      <c r="D244" s="425" t="n">
        <v>102.5895356501207</v>
      </c>
      <c r="E244" s="425" t="n">
        <v>103.510612487793</v>
      </c>
      <c r="F244" s="207" t="n">
        <v>4836900</v>
      </c>
      <c r="G244" s="208" t="n">
        <v>0.01074772846156113</v>
      </c>
      <c r="H244" s="209" cm="1">
        <f t="array" ref="H244">IF(ROW()&lt;3,"",E244/INDEX(E:E,ROW()-1)-1)</f>
        <v/>
      </c>
      <c r="I244" s="211">
        <f>IF(ROW()&lt;51,NA(),AVERAGE(INDEX(E:E,ROW()-49):E244))</f>
        <v/>
      </c>
      <c r="J244" s="211">
        <f>IF(ROW()&lt;201,NA(),AVERAGE(INDEX(E:E,ROW()-199):E244))</f>
        <v/>
      </c>
      <c r="K244" s="341">
        <f>IF(ROW()&lt;22,NA(),_xlfn.STDEV.S(INDEX(H:H,ROW()-19):H244)*SQRT(252))</f>
        <v/>
      </c>
      <c r="L244" s="426" cm="1">
        <f t="array" ref="L244">IF(ROW()&lt;17,NA(),_xlfn.LET(_xlpm.d,INDEX(E:E,ROW()-13):E244-INDEX(E:E,ROW()-14):INDEX(E:E,ROW()-1),_xlpm.g,SUM(IF(_xlpm.d&gt;0,_xlpm.d,0)),_xlpm.l,-SUM(IF(_xlpm.d&lt;0,_xlpm.d,0)),IF(_xlpm.l=0,100,100-100/(1+_xlpm.g/_xlpm.l))))</f>
        <v/>
      </c>
      <c r="M244" s="211">
        <f>MAX($E$2:E244)</f>
        <v/>
      </c>
      <c r="N244" s="341">
        <f>E244/M244-1</f>
        <v/>
      </c>
    </row>
    <row r="245">
      <c r="A245" s="424" t="n">
        <v>44817</v>
      </c>
      <c r="B245" s="425" t="n">
        <v>100.2500066579961</v>
      </c>
      <c r="C245" s="425" t="n">
        <v>100.314488787316</v>
      </c>
      <c r="D245" s="425" t="n">
        <v>97.11835081245981</v>
      </c>
      <c r="E245" s="425" t="n">
        <v>97.37625122070312</v>
      </c>
      <c r="F245" s="207" t="n">
        <v>5955600</v>
      </c>
      <c r="G245" s="208" t="n">
        <v>-0.04348259377699781</v>
      </c>
      <c r="H245" s="209" cm="1">
        <f t="array" ref="H245">IF(ROW()&lt;3,"",E245/INDEX(E:E,ROW()-1)-1)</f>
        <v/>
      </c>
      <c r="I245" s="211">
        <f>IF(ROW()&lt;51,NA(),AVERAGE(INDEX(E:E,ROW()-49):E245))</f>
        <v/>
      </c>
      <c r="J245" s="211">
        <f>IF(ROW()&lt;201,NA(),AVERAGE(INDEX(E:E,ROW()-199):E245))</f>
        <v/>
      </c>
      <c r="K245" s="341">
        <f>IF(ROW()&lt;22,NA(),_xlfn.STDEV.S(INDEX(H:H,ROW()-19):H245)*SQRT(252))</f>
        <v/>
      </c>
      <c r="L245" s="426" cm="1">
        <f t="array" ref="L245">IF(ROW()&lt;17,NA(),_xlfn.LET(_xlpm.d,INDEX(E:E,ROW()-13):E245-INDEX(E:E,ROW()-14):INDEX(E:E,ROW()-1),_xlpm.g,SUM(IF(_xlpm.d&gt;0,_xlpm.d,0)),_xlpm.l,-SUM(IF(_xlpm.d&lt;0,_xlpm.d,0)),IF(_xlpm.l=0,100,100-100/(1+_xlpm.g/_xlpm.l))))</f>
        <v/>
      </c>
      <c r="M245" s="211">
        <f>MAX($E$2:E245)</f>
        <v/>
      </c>
      <c r="N245" s="341">
        <f>E245/M245-1</f>
        <v/>
      </c>
    </row>
    <row r="246">
      <c r="A246" s="424" t="n">
        <v>44818</v>
      </c>
      <c r="B246" s="425" t="n">
        <v>97.75390488170817</v>
      </c>
      <c r="C246" s="425" t="n">
        <v>98.88683274630392</v>
      </c>
      <c r="D246" s="425" t="n">
        <v>96.85125330709646</v>
      </c>
      <c r="E246" s="425" t="n">
        <v>98.55524444580078</v>
      </c>
      <c r="F246" s="207" t="n">
        <v>4888700</v>
      </c>
      <c r="G246" s="208" t="n">
        <v>0.003815928063705121</v>
      </c>
      <c r="H246" s="209" cm="1">
        <f t="array" ref="H246">IF(ROW()&lt;3,"",E246/INDEX(E:E,ROW()-1)-1)</f>
        <v/>
      </c>
      <c r="I246" s="211">
        <f>IF(ROW()&lt;51,NA(),AVERAGE(INDEX(E:E,ROW()-49):E246))</f>
        <v/>
      </c>
      <c r="J246" s="211">
        <f>IF(ROW()&lt;201,NA(),AVERAGE(INDEX(E:E,ROW()-199):E246))</f>
        <v/>
      </c>
      <c r="K246" s="341">
        <f>IF(ROW()&lt;22,NA(),_xlfn.STDEV.S(INDEX(H:H,ROW()-19):H246)*SQRT(252))</f>
        <v/>
      </c>
      <c r="L246" s="426" cm="1">
        <f t="array" ref="L246">IF(ROW()&lt;17,NA(),_xlfn.LET(_xlpm.d,INDEX(E:E,ROW()-13):E246-INDEX(E:E,ROW()-14):INDEX(E:E,ROW()-1),_xlpm.g,SUM(IF(_xlpm.d&gt;0,_xlpm.d,0)),_xlpm.l,-SUM(IF(_xlpm.d&lt;0,_xlpm.d,0)),IF(_xlpm.l=0,100,100-100/(1+_xlpm.g/_xlpm.l))))</f>
        <v/>
      </c>
      <c r="M246" s="211">
        <f>MAX($E$2:E246)</f>
        <v/>
      </c>
      <c r="N246" s="341">
        <f>E246/M246-1</f>
        <v/>
      </c>
    </row>
    <row r="247">
      <c r="A247" s="424" t="n">
        <v>44819</v>
      </c>
      <c r="B247" s="425" t="n">
        <v>97.77232357836715</v>
      </c>
      <c r="C247" s="425" t="n">
        <v>99.60526481491814</v>
      </c>
      <c r="D247" s="425" t="n">
        <v>96.55650223658191</v>
      </c>
      <c r="E247" s="425" t="n">
        <v>97.17362213134766</v>
      </c>
      <c r="F247" s="207" t="n">
        <v>6598900</v>
      </c>
      <c r="G247" s="208" t="n">
        <v>-0.01135347492168026</v>
      </c>
      <c r="H247" s="209" cm="1">
        <f t="array" ref="H247">IF(ROW()&lt;3,"",E247/INDEX(E:E,ROW()-1)-1)</f>
        <v/>
      </c>
      <c r="I247" s="211">
        <f>IF(ROW()&lt;51,NA(),AVERAGE(INDEX(E:E,ROW()-49):E247))</f>
        <v/>
      </c>
      <c r="J247" s="211">
        <f>IF(ROW()&lt;201,NA(),AVERAGE(INDEX(E:E,ROW()-199):E247))</f>
        <v/>
      </c>
      <c r="K247" s="341">
        <f>IF(ROW()&lt;22,NA(),_xlfn.STDEV.S(INDEX(H:H,ROW()-19):H247)*SQRT(252))</f>
        <v/>
      </c>
      <c r="L247" s="426" cm="1">
        <f t="array" ref="L247">IF(ROW()&lt;17,NA(),_xlfn.LET(_xlpm.d,INDEX(E:E,ROW()-13):E247-INDEX(E:E,ROW()-14):INDEX(E:E,ROW()-1),_xlpm.g,SUM(IF(_xlpm.d&gt;0,_xlpm.d,0)),_xlpm.l,-SUM(IF(_xlpm.d&lt;0,_xlpm.d,0)),IF(_xlpm.l=0,100,100-100/(1+_xlpm.g/_xlpm.l))))</f>
        <v/>
      </c>
      <c r="M247" s="211">
        <f>MAX($E$2:E247)</f>
        <v/>
      </c>
      <c r="N247" s="341">
        <f>E247/M247-1</f>
        <v/>
      </c>
    </row>
    <row r="248">
      <c r="A248" s="424" t="n">
        <v>44820</v>
      </c>
      <c r="B248" s="425" t="n">
        <v>95.85649307795853</v>
      </c>
      <c r="C248" s="425" t="n">
        <v>96.98020825918618</v>
      </c>
      <c r="D248" s="425" t="n">
        <v>95.10121014049972</v>
      </c>
      <c r="E248" s="425" t="n">
        <v>95.90254974365234</v>
      </c>
      <c r="F248" s="207" t="n">
        <v>8000800</v>
      </c>
      <c r="G248" s="208" t="n">
        <v>-0.007628686568389109</v>
      </c>
      <c r="H248" s="209" cm="1">
        <f t="array" ref="H248">IF(ROW()&lt;3,"",E248/INDEX(E:E,ROW()-1)-1)</f>
        <v/>
      </c>
      <c r="I248" s="211">
        <f>IF(ROW()&lt;51,NA(),AVERAGE(INDEX(E:E,ROW()-49):E248))</f>
        <v/>
      </c>
      <c r="J248" s="211">
        <f>IF(ROW()&lt;201,NA(),AVERAGE(INDEX(E:E,ROW()-199):E248))</f>
        <v/>
      </c>
      <c r="K248" s="341">
        <f>IF(ROW()&lt;22,NA(),_xlfn.STDEV.S(INDEX(H:H,ROW()-19):H248)*SQRT(252))</f>
        <v/>
      </c>
      <c r="L248" s="426" cm="1">
        <f t="array" ref="L248">IF(ROW()&lt;17,NA(),_xlfn.LET(_xlpm.d,INDEX(E:E,ROW()-13):E248-INDEX(E:E,ROW()-14):INDEX(E:E,ROW()-1),_xlpm.g,SUM(IF(_xlpm.d&gt;0,_xlpm.d,0)),_xlpm.l,-SUM(IF(_xlpm.d&lt;0,_xlpm.d,0)),IF(_xlpm.l=0,100,100-100/(1+_xlpm.g/_xlpm.l))))</f>
        <v/>
      </c>
      <c r="M248" s="211">
        <f>MAX($E$2:E248)</f>
        <v/>
      </c>
      <c r="N248" s="341">
        <f>E248/M248-1</f>
        <v/>
      </c>
    </row>
    <row r="249">
      <c r="A249" s="424" t="n">
        <v>44823</v>
      </c>
      <c r="B249" s="425" t="n">
        <v>95.50645475387324</v>
      </c>
      <c r="C249" s="425" t="n">
        <v>98.89601762748892</v>
      </c>
      <c r="D249" s="425" t="n">
        <v>95.17486654677163</v>
      </c>
      <c r="E249" s="425" t="n">
        <v>98.74864196777344</v>
      </c>
      <c r="F249" s="207" t="n">
        <v>5162300</v>
      </c>
      <c r="G249" s="208" t="n">
        <v>0.007754939768417124</v>
      </c>
      <c r="H249" s="209" cm="1">
        <f t="array" ref="H249">IF(ROW()&lt;3,"",E249/INDEX(E:E,ROW()-1)-1)</f>
        <v/>
      </c>
      <c r="I249" s="211">
        <f>IF(ROW()&lt;51,NA(),AVERAGE(INDEX(E:E,ROW()-49):E249))</f>
        <v/>
      </c>
      <c r="J249" s="211">
        <f>IF(ROW()&lt;201,NA(),AVERAGE(INDEX(E:E,ROW()-199):E249))</f>
        <v/>
      </c>
      <c r="K249" s="341">
        <f>IF(ROW()&lt;22,NA(),_xlfn.STDEV.S(INDEX(H:H,ROW()-19):H249)*SQRT(252))</f>
        <v/>
      </c>
      <c r="L249" s="426" cm="1">
        <f t="array" ref="L249">IF(ROW()&lt;17,NA(),_xlfn.LET(_xlpm.d,INDEX(E:E,ROW()-13):E249-INDEX(E:E,ROW()-14):INDEX(E:E,ROW()-1),_xlpm.g,SUM(IF(_xlpm.d&gt;0,_xlpm.d,0)),_xlpm.l,-SUM(IF(_xlpm.d&lt;0,_xlpm.d,0)),IF(_xlpm.l=0,100,100-100/(1+_xlpm.g/_xlpm.l))))</f>
        <v/>
      </c>
      <c r="M249" s="211">
        <f>MAX($E$2:E249)</f>
        <v/>
      </c>
      <c r="N249" s="341">
        <f>E249/M249-1</f>
        <v/>
      </c>
    </row>
    <row r="250">
      <c r="A250" s="424" t="n">
        <v>44824</v>
      </c>
      <c r="B250" s="425" t="n">
        <v>95.62620958730294</v>
      </c>
      <c r="C250" s="425" t="n">
        <v>96.19727983160686</v>
      </c>
      <c r="D250" s="425" t="n">
        <v>93.68273664193676</v>
      </c>
      <c r="E250" s="425" t="n">
        <v>94.33670043945312</v>
      </c>
      <c r="F250" s="207" t="n">
        <v>10006600</v>
      </c>
      <c r="G250" s="208" t="n">
        <v>-0.0114787018213629</v>
      </c>
      <c r="H250" s="209" cm="1">
        <f t="array" ref="H250">IF(ROW()&lt;3,"",E250/INDEX(E:E,ROW()-1)-1)</f>
        <v/>
      </c>
      <c r="I250" s="211">
        <f>IF(ROW()&lt;51,NA(),AVERAGE(INDEX(E:E,ROW()-49):E250))</f>
        <v/>
      </c>
      <c r="J250" s="211">
        <f>IF(ROW()&lt;201,NA(),AVERAGE(INDEX(E:E,ROW()-199):E250))</f>
        <v/>
      </c>
      <c r="K250" s="341">
        <f>IF(ROW()&lt;22,NA(),_xlfn.STDEV.S(INDEX(H:H,ROW()-19):H250)*SQRT(252))</f>
        <v/>
      </c>
      <c r="L250" s="426" cm="1">
        <f t="array" ref="L250">IF(ROW()&lt;17,NA(),_xlfn.LET(_xlpm.d,INDEX(E:E,ROW()-13):E250-INDEX(E:E,ROW()-14):INDEX(E:E,ROW()-1),_xlpm.g,SUM(IF(_xlpm.d&gt;0,_xlpm.d,0)),_xlpm.l,-SUM(IF(_xlpm.d&lt;0,_xlpm.d,0)),IF(_xlpm.l=0,100,100-100/(1+_xlpm.g/_xlpm.l))))</f>
        <v/>
      </c>
      <c r="M250" s="211">
        <f>MAX($E$2:E250)</f>
        <v/>
      </c>
      <c r="N250" s="341">
        <f>E250/M250-1</f>
        <v/>
      </c>
    </row>
    <row r="251">
      <c r="A251" s="424" t="n">
        <v>44825</v>
      </c>
      <c r="B251" s="425" t="n">
        <v>94.56696754549142</v>
      </c>
      <c r="C251" s="425" t="n">
        <v>95.45120056277112</v>
      </c>
      <c r="D251" s="425" t="n">
        <v>91.89584301962563</v>
      </c>
      <c r="E251" s="425" t="n">
        <v>91.91426849365234</v>
      </c>
      <c r="F251" s="207" t="n">
        <v>6279300</v>
      </c>
      <c r="G251" s="208" t="n">
        <v>-0.01744376330314157</v>
      </c>
      <c r="H251" s="209" cm="1">
        <f t="array" ref="H251">IF(ROW()&lt;3,"",E251/INDEX(E:E,ROW()-1)-1)</f>
        <v/>
      </c>
      <c r="I251" s="211">
        <f>IF(ROW()&lt;51,NA(),AVERAGE(INDEX(E:E,ROW()-49):E251))</f>
        <v/>
      </c>
      <c r="J251" s="211">
        <f>IF(ROW()&lt;201,NA(),AVERAGE(INDEX(E:E,ROW()-199):E251))</f>
        <v/>
      </c>
      <c r="K251" s="341">
        <f>IF(ROW()&lt;22,NA(),_xlfn.STDEV.S(INDEX(H:H,ROW()-19):H251)*SQRT(252))</f>
        <v/>
      </c>
      <c r="L251" s="426" cm="1">
        <f t="array" ref="L251">IF(ROW()&lt;17,NA(),_xlfn.LET(_xlpm.d,INDEX(E:E,ROW()-13):E251-INDEX(E:E,ROW()-14):INDEX(E:E,ROW()-1),_xlpm.g,SUM(IF(_xlpm.d&gt;0,_xlpm.d,0)),_xlpm.l,-SUM(IF(_xlpm.d&lt;0,_xlpm.d,0)),IF(_xlpm.l=0,100,100-100/(1+_xlpm.g/_xlpm.l))))</f>
        <v/>
      </c>
      <c r="M251" s="211">
        <f>MAX($E$2:E251)</f>
        <v/>
      </c>
      <c r="N251" s="341">
        <f>E251/M251-1</f>
        <v/>
      </c>
    </row>
    <row r="252">
      <c r="A252" s="424" t="n">
        <v>44826</v>
      </c>
      <c r="B252" s="425" t="n">
        <v>91.91425855623642</v>
      </c>
      <c r="C252" s="425" t="n">
        <v>92.30110914186037</v>
      </c>
      <c r="D252" s="425" t="n">
        <v>90.1089487960661</v>
      </c>
      <c r="E252" s="425" t="n">
        <v>90.77212524414062</v>
      </c>
      <c r="F252" s="207" t="n">
        <v>9638800</v>
      </c>
      <c r="G252" s="208" t="n">
        <v>-0.008399860083243116</v>
      </c>
      <c r="H252" s="209" cm="1">
        <f t="array" ref="H252">IF(ROW()&lt;3,"",E252/INDEX(E:E,ROW()-1)-1)</f>
        <v/>
      </c>
      <c r="I252" s="211">
        <f>IF(ROW()&lt;51,NA(),AVERAGE(INDEX(E:E,ROW()-49):E252))</f>
        <v/>
      </c>
      <c r="J252" s="211">
        <f>IF(ROW()&lt;201,NA(),AVERAGE(INDEX(E:E,ROW()-199):E252))</f>
        <v/>
      </c>
      <c r="K252" s="341">
        <f>IF(ROW()&lt;22,NA(),_xlfn.STDEV.S(INDEX(H:H,ROW()-19):H252)*SQRT(252))</f>
        <v/>
      </c>
      <c r="L252" s="426" cm="1">
        <f t="array" ref="L252">IF(ROW()&lt;17,NA(),_xlfn.LET(_xlpm.d,INDEX(E:E,ROW()-13):E252-INDEX(E:E,ROW()-14):INDEX(E:E,ROW()-1),_xlpm.g,SUM(IF(_xlpm.d&gt;0,_xlpm.d,0)),_xlpm.l,-SUM(IF(_xlpm.d&lt;0,_xlpm.d,0)),IF(_xlpm.l=0,100,100-100/(1+_xlpm.g/_xlpm.l))))</f>
        <v/>
      </c>
      <c r="M252" s="211">
        <f>MAX($E$2:E252)</f>
        <v/>
      </c>
      <c r="N252" s="341">
        <f>E252/M252-1</f>
        <v/>
      </c>
    </row>
    <row r="253">
      <c r="A253" s="424" t="n">
        <v>44827</v>
      </c>
      <c r="B253" s="425" t="n">
        <v>89.27077822995271</v>
      </c>
      <c r="C253" s="425" t="n">
        <v>89.84184848106442</v>
      </c>
      <c r="D253" s="425" t="n">
        <v>87.81547493106969</v>
      </c>
      <c r="E253" s="425" t="n">
        <v>89.36288452148438</v>
      </c>
      <c r="F253" s="207" t="n">
        <v>9026500</v>
      </c>
      <c r="G253" s="208" t="n">
        <v>-0.01675478813142239</v>
      </c>
      <c r="H253" s="209" cm="1">
        <f t="array" ref="H253">IF(ROW()&lt;3,"",E253/INDEX(E:E,ROW()-1)-1)</f>
        <v/>
      </c>
      <c r="I253" s="211">
        <f>IF(ROW()&lt;51,NA(),AVERAGE(INDEX(E:E,ROW()-49):E253))</f>
        <v/>
      </c>
      <c r="J253" s="211">
        <f>IF(ROW()&lt;201,NA(),AVERAGE(INDEX(E:E,ROW()-199):E253))</f>
        <v/>
      </c>
      <c r="K253" s="341">
        <f>IF(ROW()&lt;22,NA(),_xlfn.STDEV.S(INDEX(H:H,ROW()-19):H253)*SQRT(252))</f>
        <v/>
      </c>
      <c r="L253" s="426" cm="1">
        <f t="array" ref="L253">IF(ROW()&lt;17,NA(),_xlfn.LET(_xlpm.d,INDEX(E:E,ROW()-13):E253-INDEX(E:E,ROW()-14):INDEX(E:E,ROW()-1),_xlpm.g,SUM(IF(_xlpm.d&gt;0,_xlpm.d,0)),_xlpm.l,-SUM(IF(_xlpm.d&lt;0,_xlpm.d,0)),IF(_xlpm.l=0,100,100-100/(1+_xlpm.g/_xlpm.l))))</f>
        <v/>
      </c>
      <c r="M253" s="211">
        <f>MAX($E$2:E253)</f>
        <v/>
      </c>
      <c r="N253" s="341">
        <f>E253/M253-1</f>
        <v/>
      </c>
    </row>
    <row r="254">
      <c r="A254" s="424" t="n">
        <v>44830</v>
      </c>
      <c r="B254" s="425" t="n">
        <v>88.50628413929742</v>
      </c>
      <c r="C254" s="425" t="n">
        <v>90.01685686018141</v>
      </c>
      <c r="D254" s="425" t="n">
        <v>88.15627741471707</v>
      </c>
      <c r="E254" s="425" t="n">
        <v>88.47865295410156</v>
      </c>
      <c r="F254" s="207" t="n">
        <v>8521600</v>
      </c>
      <c r="G254" s="208" t="n">
        <v>-0.009892927513362682</v>
      </c>
      <c r="H254" s="209" cm="1">
        <f t="array" ref="H254">IF(ROW()&lt;3,"",E254/INDEX(E:E,ROW()-1)-1)</f>
        <v/>
      </c>
      <c r="I254" s="211">
        <f>IF(ROW()&lt;51,NA(),AVERAGE(INDEX(E:E,ROW()-49):E254))</f>
        <v/>
      </c>
      <c r="J254" s="211">
        <f>IF(ROW()&lt;201,NA(),AVERAGE(INDEX(E:E,ROW()-199):E254))</f>
        <v/>
      </c>
      <c r="K254" s="341">
        <f>IF(ROW()&lt;22,NA(),_xlfn.STDEV.S(INDEX(H:H,ROW()-19):H254)*SQRT(252))</f>
        <v/>
      </c>
      <c r="L254" s="426" cm="1">
        <f t="array" ref="L254">IF(ROW()&lt;17,NA(),_xlfn.LET(_xlpm.d,INDEX(E:E,ROW()-13):E254-INDEX(E:E,ROW()-14):INDEX(E:E,ROW()-1),_xlpm.g,SUM(IF(_xlpm.d&gt;0,_xlpm.d,0)),_xlpm.l,-SUM(IF(_xlpm.d&lt;0,_xlpm.d,0)),IF(_xlpm.l=0,100,100-100/(1+_xlpm.g/_xlpm.l))))</f>
        <v/>
      </c>
      <c r="M254" s="211">
        <f>MAX($E$2:E254)</f>
        <v/>
      </c>
      <c r="N254" s="341">
        <f>E254/M254-1</f>
        <v/>
      </c>
    </row>
    <row r="255">
      <c r="A255" s="424" t="n">
        <v>44831</v>
      </c>
      <c r="B255" s="425" t="n">
        <v>89.40892185004066</v>
      </c>
      <c r="C255" s="425" t="n">
        <v>90.02604159986276</v>
      </c>
      <c r="D255" s="425" t="n">
        <v>87.50229321579729</v>
      </c>
      <c r="E255" s="425" t="n">
        <v>88.69048309326172</v>
      </c>
      <c r="F255" s="207" t="n">
        <v>9890300</v>
      </c>
      <c r="G255" s="208" t="n">
        <v>-0.002552512624928061</v>
      </c>
      <c r="H255" s="209" cm="1">
        <f t="array" ref="H255">IF(ROW()&lt;3,"",E255/INDEX(E:E,ROW()-1)-1)</f>
        <v/>
      </c>
      <c r="I255" s="211">
        <f>IF(ROW()&lt;51,NA(),AVERAGE(INDEX(E:E,ROW()-49):E255))</f>
        <v/>
      </c>
      <c r="J255" s="211">
        <f>IF(ROW()&lt;201,NA(),AVERAGE(INDEX(E:E,ROW()-199):E255))</f>
        <v/>
      </c>
      <c r="K255" s="341">
        <f>IF(ROW()&lt;22,NA(),_xlfn.STDEV.S(INDEX(H:H,ROW()-19):H255)*SQRT(252))</f>
        <v/>
      </c>
      <c r="L255" s="426" cm="1">
        <f t="array" ref="L255">IF(ROW()&lt;17,NA(),_xlfn.LET(_xlpm.d,INDEX(E:E,ROW()-13):E255-INDEX(E:E,ROW()-14):INDEX(E:E,ROW()-1),_xlpm.g,SUM(IF(_xlpm.d&gt;0,_xlpm.d,0)),_xlpm.l,-SUM(IF(_xlpm.d&lt;0,_xlpm.d,0)),IF(_xlpm.l=0,100,100-100/(1+_xlpm.g/_xlpm.l))))</f>
        <v/>
      </c>
      <c r="M255" s="211">
        <f>MAX($E$2:E255)</f>
        <v/>
      </c>
      <c r="N255" s="341">
        <f>E255/M255-1</f>
        <v/>
      </c>
    </row>
    <row r="256">
      <c r="A256" s="424" t="n">
        <v>44832</v>
      </c>
      <c r="B256" s="425" t="n">
        <v>89.44578457873014</v>
      </c>
      <c r="C256" s="425" t="n">
        <v>91.58268285513532</v>
      </c>
      <c r="D256" s="425" t="n">
        <v>89.12340904662884</v>
      </c>
      <c r="E256" s="425" t="n">
        <v>90.91029357910156</v>
      </c>
      <c r="F256" s="207" t="n">
        <v>9423300</v>
      </c>
      <c r="G256" s="208" t="n">
        <v>0.01967654192588286</v>
      </c>
      <c r="H256" s="209" cm="1">
        <f t="array" ref="H256">IF(ROW()&lt;3,"",E256/INDEX(E:E,ROW()-1)-1)</f>
        <v/>
      </c>
      <c r="I256" s="211">
        <f>IF(ROW()&lt;51,NA(),AVERAGE(INDEX(E:E,ROW()-49):E256))</f>
        <v/>
      </c>
      <c r="J256" s="211">
        <f>IF(ROW()&lt;201,NA(),AVERAGE(INDEX(E:E,ROW()-199):E256))</f>
        <v/>
      </c>
      <c r="K256" s="341">
        <f>IF(ROW()&lt;22,NA(),_xlfn.STDEV.S(INDEX(H:H,ROW()-19):H256)*SQRT(252))</f>
        <v/>
      </c>
      <c r="L256" s="426" cm="1">
        <f t="array" ref="L256">IF(ROW()&lt;17,NA(),_xlfn.LET(_xlpm.d,INDEX(E:E,ROW()-13):E256-INDEX(E:E,ROW()-14):INDEX(E:E,ROW()-1),_xlpm.g,SUM(IF(_xlpm.d&gt;0,_xlpm.d,0)),_xlpm.l,-SUM(IF(_xlpm.d&lt;0,_xlpm.d,0)),IF(_xlpm.l=0,100,100-100/(1+_xlpm.g/_xlpm.l))))</f>
        <v/>
      </c>
      <c r="M256" s="211">
        <f>MAX($E$2:E256)</f>
        <v/>
      </c>
      <c r="N256" s="341">
        <f>E256/M256-1</f>
        <v/>
      </c>
    </row>
    <row r="257">
      <c r="A257" s="424" t="n">
        <v>44833</v>
      </c>
      <c r="B257" s="425" t="n">
        <v>90.36685171352059</v>
      </c>
      <c r="C257" s="425" t="n">
        <v>90.36685171352059</v>
      </c>
      <c r="D257" s="425" t="n">
        <v>87.02334522611467</v>
      </c>
      <c r="E257" s="425" t="n">
        <v>87.80625915527344</v>
      </c>
      <c r="F257" s="207" t="n">
        <v>19339200</v>
      </c>
      <c r="G257" s="208" t="n">
        <v>-0.02088916555240783</v>
      </c>
      <c r="H257" s="209" cm="1">
        <f t="array" ref="H257">IF(ROW()&lt;3,"",E257/INDEX(E:E,ROW()-1)-1)</f>
        <v/>
      </c>
      <c r="I257" s="211">
        <f>IF(ROW()&lt;51,NA(),AVERAGE(INDEX(E:E,ROW()-49):E257))</f>
        <v/>
      </c>
      <c r="J257" s="211">
        <f>IF(ROW()&lt;201,NA(),AVERAGE(INDEX(E:E,ROW()-199):E257))</f>
        <v/>
      </c>
      <c r="K257" s="341">
        <f>IF(ROW()&lt;22,NA(),_xlfn.STDEV.S(INDEX(H:H,ROW()-19):H257)*SQRT(252))</f>
        <v/>
      </c>
      <c r="L257" s="426" cm="1">
        <f t="array" ref="L257">IF(ROW()&lt;17,NA(),_xlfn.LET(_xlpm.d,INDEX(E:E,ROW()-13):E257-INDEX(E:E,ROW()-14):INDEX(E:E,ROW()-1),_xlpm.g,SUM(IF(_xlpm.d&gt;0,_xlpm.d,0)),_xlpm.l,-SUM(IF(_xlpm.d&lt;0,_xlpm.d,0)),IF(_xlpm.l=0,100,100-100/(1+_xlpm.g/_xlpm.l))))</f>
        <v/>
      </c>
      <c r="M257" s="211">
        <f>MAX($E$2:E257)</f>
        <v/>
      </c>
      <c r="N257" s="341">
        <f>E257/M257-1</f>
        <v/>
      </c>
    </row>
    <row r="258">
      <c r="A258" s="424" t="n">
        <v>44834</v>
      </c>
      <c r="B258" s="425" t="n">
        <v>76.72570011064664</v>
      </c>
      <c r="C258" s="425" t="n">
        <v>79.39681720395711</v>
      </c>
      <c r="D258" s="425" t="n">
        <v>75.98883586109032</v>
      </c>
      <c r="E258" s="425" t="n">
        <v>76.55990600585938</v>
      </c>
      <c r="F258" s="207" t="n">
        <v>48176100</v>
      </c>
      <c r="G258" s="208" t="n">
        <v>-0.01546384856607608</v>
      </c>
      <c r="H258" s="209" cm="1">
        <f t="array" ref="H258">IF(ROW()&lt;3,"",E258/INDEX(E:E,ROW()-1)-1)</f>
        <v/>
      </c>
      <c r="I258" s="211">
        <f>IF(ROW()&lt;51,NA(),AVERAGE(INDEX(E:E,ROW()-49):E258))</f>
        <v/>
      </c>
      <c r="J258" s="211">
        <f>IF(ROW()&lt;201,NA(),AVERAGE(INDEX(E:E,ROW()-199):E258))</f>
        <v/>
      </c>
      <c r="K258" s="341">
        <f>IF(ROW()&lt;22,NA(),_xlfn.STDEV.S(INDEX(H:H,ROW()-19):H258)*SQRT(252))</f>
        <v/>
      </c>
      <c r="L258" s="426" cm="1">
        <f t="array" ref="L258">IF(ROW()&lt;17,NA(),_xlfn.LET(_xlpm.d,INDEX(E:E,ROW()-13):E258-INDEX(E:E,ROW()-14):INDEX(E:E,ROW()-1),_xlpm.g,SUM(IF(_xlpm.d&gt;0,_xlpm.d,0)),_xlpm.l,-SUM(IF(_xlpm.d&lt;0,_xlpm.d,0)),IF(_xlpm.l=0,100,100-100/(1+_xlpm.g/_xlpm.l))))</f>
        <v/>
      </c>
      <c r="M258" s="211">
        <f>MAX($E$2:E258)</f>
        <v/>
      </c>
      <c r="N258" s="341">
        <f>E258/M258-1</f>
        <v/>
      </c>
    </row>
    <row r="259">
      <c r="A259" s="424" t="n">
        <v>44837</v>
      </c>
      <c r="B259" s="425" t="n">
        <v>76.5691096740109</v>
      </c>
      <c r="C259" s="425" t="n">
        <v>79.64550975258993</v>
      </c>
      <c r="D259" s="425" t="n">
        <v>75.73093346405088</v>
      </c>
      <c r="E259" s="425" t="n">
        <v>78.65995788574219</v>
      </c>
      <c r="F259" s="207" t="n">
        <v>19108200</v>
      </c>
      <c r="G259" s="208" t="n">
        <v>0.02640163405262586</v>
      </c>
      <c r="H259" s="209" cm="1">
        <f t="array" ref="H259">IF(ROW()&lt;3,"",E259/INDEX(E:E,ROW()-1)-1)</f>
        <v/>
      </c>
      <c r="I259" s="211">
        <f>IF(ROW()&lt;51,NA(),AVERAGE(INDEX(E:E,ROW()-49):E259))</f>
        <v/>
      </c>
      <c r="J259" s="211">
        <f>IF(ROW()&lt;201,NA(),AVERAGE(INDEX(E:E,ROW()-199):E259))</f>
        <v/>
      </c>
      <c r="K259" s="341">
        <f>IF(ROW()&lt;22,NA(),_xlfn.STDEV.S(INDEX(H:H,ROW()-19):H259)*SQRT(252))</f>
        <v/>
      </c>
      <c r="L259" s="426" cm="1">
        <f t="array" ref="L259">IF(ROW()&lt;17,NA(),_xlfn.LET(_xlpm.d,INDEX(E:E,ROW()-13):E259-INDEX(E:E,ROW()-14):INDEX(E:E,ROW()-1),_xlpm.g,SUM(IF(_xlpm.d&gt;0,_xlpm.d,0)),_xlpm.l,-SUM(IF(_xlpm.d&lt;0,_xlpm.d,0)),IF(_xlpm.l=0,100,100-100/(1+_xlpm.g/_xlpm.l))))</f>
        <v/>
      </c>
      <c r="M259" s="211">
        <f>MAX($E$2:E259)</f>
        <v/>
      </c>
      <c r="N259" s="341">
        <f>E259/M259-1</f>
        <v/>
      </c>
    </row>
    <row r="260">
      <c r="A260" s="424" t="n">
        <v>44838</v>
      </c>
      <c r="B260" s="425" t="n">
        <v>80.77844204924793</v>
      </c>
      <c r="C260" s="425" t="n">
        <v>82.04031994346724</v>
      </c>
      <c r="D260" s="425" t="n">
        <v>80.23501004642023</v>
      </c>
      <c r="E260" s="425" t="n">
        <v>81.64425659179688</v>
      </c>
      <c r="F260" s="207" t="n">
        <v>15114800</v>
      </c>
      <c r="G260" s="208" t="n">
        <v>0.03098646820999895</v>
      </c>
      <c r="H260" s="209" cm="1">
        <f t="array" ref="H260">IF(ROW()&lt;3,"",E260/INDEX(E:E,ROW()-1)-1)</f>
        <v/>
      </c>
      <c r="I260" s="211">
        <f>IF(ROW()&lt;51,NA(),AVERAGE(INDEX(E:E,ROW()-49):E260))</f>
        <v/>
      </c>
      <c r="J260" s="211">
        <f>IF(ROW()&lt;201,NA(),AVERAGE(INDEX(E:E,ROW()-199):E260))</f>
        <v/>
      </c>
      <c r="K260" s="341">
        <f>IF(ROW()&lt;22,NA(),_xlfn.STDEV.S(INDEX(H:H,ROW()-19):H260)*SQRT(252))</f>
        <v/>
      </c>
      <c r="L260" s="426" cm="1">
        <f t="array" ref="L260">IF(ROW()&lt;17,NA(),_xlfn.LET(_xlpm.d,INDEX(E:E,ROW()-13):E260-INDEX(E:E,ROW()-14):INDEX(E:E,ROW()-1),_xlpm.g,SUM(IF(_xlpm.d&gt;0,_xlpm.d,0)),_xlpm.l,-SUM(IF(_xlpm.d&lt;0,_xlpm.d,0)),IF(_xlpm.l=0,100,100-100/(1+_xlpm.g/_xlpm.l))))</f>
        <v/>
      </c>
      <c r="M260" s="211">
        <f>MAX($E$2:E260)</f>
        <v/>
      </c>
      <c r="N260" s="341">
        <f>E260/M260-1</f>
        <v/>
      </c>
    </row>
    <row r="261">
      <c r="A261" s="424" t="n">
        <v>44839</v>
      </c>
      <c r="B261" s="425" t="n">
        <v>80.58501472616975</v>
      </c>
      <c r="C261" s="425" t="n">
        <v>84.46274756995899</v>
      </c>
      <c r="D261" s="425" t="n">
        <v>80.27185195825629</v>
      </c>
      <c r="E261" s="425" t="n">
        <v>83.91010284423828</v>
      </c>
      <c r="F261" s="207" t="n">
        <v>12732700</v>
      </c>
      <c r="G261" s="208" t="n">
        <v>-0.00232828286693687</v>
      </c>
      <c r="H261" s="209" cm="1">
        <f t="array" ref="H261">IF(ROW()&lt;3,"",E261/INDEX(E:E,ROW()-1)-1)</f>
        <v/>
      </c>
      <c r="I261" s="211">
        <f>IF(ROW()&lt;51,NA(),AVERAGE(INDEX(E:E,ROW()-49):E261))</f>
        <v/>
      </c>
      <c r="J261" s="211">
        <f>IF(ROW()&lt;201,NA(),AVERAGE(INDEX(E:E,ROW()-199):E261))</f>
        <v/>
      </c>
      <c r="K261" s="341">
        <f>IF(ROW()&lt;22,NA(),_xlfn.STDEV.S(INDEX(H:H,ROW()-19):H261)*SQRT(252))</f>
        <v/>
      </c>
      <c r="L261" s="426" cm="1">
        <f t="array" ref="L261">IF(ROW()&lt;17,NA(),_xlfn.LET(_xlpm.d,INDEX(E:E,ROW()-13):E261-INDEX(E:E,ROW()-14):INDEX(E:E,ROW()-1),_xlpm.g,SUM(IF(_xlpm.d&gt;0,_xlpm.d,0)),_xlpm.l,-SUM(IF(_xlpm.d&lt;0,_xlpm.d,0)),IF(_xlpm.l=0,100,100-100/(1+_xlpm.g/_xlpm.l))))</f>
        <v/>
      </c>
      <c r="M261" s="211">
        <f>MAX($E$2:E261)</f>
        <v/>
      </c>
      <c r="N261" s="341">
        <f>E261/M261-1</f>
        <v/>
      </c>
    </row>
    <row r="262">
      <c r="A262" s="424" t="n">
        <v>44840</v>
      </c>
      <c r="B262" s="425" t="n">
        <v>83.34824927983308</v>
      </c>
      <c r="C262" s="425" t="n">
        <v>85.32856608126296</v>
      </c>
      <c r="D262" s="425" t="n">
        <v>82.72191668745664</v>
      </c>
      <c r="E262" s="425" t="n">
        <v>83.05350494384766</v>
      </c>
      <c r="F262" s="207" t="n">
        <v>9951900</v>
      </c>
      <c r="G262" s="208" t="n">
        <v>-0.01031569312843728</v>
      </c>
      <c r="H262" s="209" cm="1">
        <f t="array" ref="H262">IF(ROW()&lt;3,"",E262/INDEX(E:E,ROW()-1)-1)</f>
        <v/>
      </c>
      <c r="I262" s="211">
        <f>IF(ROW()&lt;51,NA(),AVERAGE(INDEX(E:E,ROW()-49):E262))</f>
        <v/>
      </c>
      <c r="J262" s="211">
        <f>IF(ROW()&lt;201,NA(),AVERAGE(INDEX(E:E,ROW()-199):E262))</f>
        <v/>
      </c>
      <c r="K262" s="341">
        <f>IF(ROW()&lt;22,NA(),_xlfn.STDEV.S(INDEX(H:H,ROW()-19):H262)*SQRT(252))</f>
        <v/>
      </c>
      <c r="L262" s="426" cm="1">
        <f t="array" ref="L262">IF(ROW()&lt;17,NA(),_xlfn.LET(_xlpm.d,INDEX(E:E,ROW()-13):E262-INDEX(E:E,ROW()-14):INDEX(E:E,ROW()-1),_xlpm.g,SUM(IF(_xlpm.d&gt;0,_xlpm.d,0)),_xlpm.l,-SUM(IF(_xlpm.d&lt;0,_xlpm.d,0)),IF(_xlpm.l=0,100,100-100/(1+_xlpm.g/_xlpm.l))))</f>
        <v/>
      </c>
      <c r="M262" s="211">
        <f>MAX($E$2:E262)</f>
        <v/>
      </c>
      <c r="N262" s="341">
        <f>E262/M262-1</f>
        <v/>
      </c>
    </row>
    <row r="263">
      <c r="A263" s="424" t="n">
        <v>44841</v>
      </c>
      <c r="B263" s="425" t="n">
        <v>81.55215050124384</v>
      </c>
      <c r="C263" s="425" t="n">
        <v>81.75478854592103</v>
      </c>
      <c r="D263" s="425" t="n">
        <v>79.84815962222257</v>
      </c>
      <c r="E263" s="425" t="n">
        <v>80.28106689453125</v>
      </c>
      <c r="F263" s="207" t="n">
        <v>8554700</v>
      </c>
      <c r="G263" s="208" t="n">
        <v>-0.02789385636334385</v>
      </c>
      <c r="H263" s="209" cm="1">
        <f t="array" ref="H263">IF(ROW()&lt;3,"",E263/INDEX(E:E,ROW()-1)-1)</f>
        <v/>
      </c>
      <c r="I263" s="211">
        <f>IF(ROW()&lt;51,NA(),AVERAGE(INDEX(E:E,ROW()-49):E263))</f>
        <v/>
      </c>
      <c r="J263" s="211">
        <f>IF(ROW()&lt;201,NA(),AVERAGE(INDEX(E:E,ROW()-199):E263))</f>
        <v/>
      </c>
      <c r="K263" s="341">
        <f>IF(ROW()&lt;22,NA(),_xlfn.STDEV.S(INDEX(H:H,ROW()-19):H263)*SQRT(252))</f>
        <v/>
      </c>
      <c r="L263" s="426" cm="1">
        <f t="array" ref="L263">IF(ROW()&lt;17,NA(),_xlfn.LET(_xlpm.d,INDEX(E:E,ROW()-13):E263-INDEX(E:E,ROW()-14):INDEX(E:E,ROW()-1),_xlpm.g,SUM(IF(_xlpm.d&gt;0,_xlpm.d,0)),_xlpm.l,-SUM(IF(_xlpm.d&lt;0,_xlpm.d,0)),IF(_xlpm.l=0,100,100-100/(1+_xlpm.g/_xlpm.l))))</f>
        <v/>
      </c>
      <c r="M263" s="211">
        <f>MAX($E$2:E263)</f>
        <v/>
      </c>
      <c r="N263" s="341">
        <f>E263/M263-1</f>
        <v/>
      </c>
    </row>
    <row r="264">
      <c r="A264" s="424" t="n">
        <v>44844</v>
      </c>
      <c r="B264" s="425" t="n">
        <v>80.8336963581572</v>
      </c>
      <c r="C264" s="425" t="n">
        <v>80.85211480089269</v>
      </c>
      <c r="D264" s="425" t="n">
        <v>78.35599768839423</v>
      </c>
      <c r="E264" s="425" t="n">
        <v>79.84814453125</v>
      </c>
      <c r="F264" s="207" t="n">
        <v>7991200</v>
      </c>
      <c r="G264" s="208" t="n">
        <v>-0.007635397604419558</v>
      </c>
      <c r="H264" s="209" cm="1">
        <f t="array" ref="H264">IF(ROW()&lt;3,"",E264/INDEX(E:E,ROW()-1)-1)</f>
        <v/>
      </c>
      <c r="I264" s="211">
        <f>IF(ROW()&lt;51,NA(),AVERAGE(INDEX(E:E,ROW()-49):E264))</f>
        <v/>
      </c>
      <c r="J264" s="211">
        <f>IF(ROW()&lt;201,NA(),AVERAGE(INDEX(E:E,ROW()-199):E264))</f>
        <v/>
      </c>
      <c r="K264" s="341">
        <f>IF(ROW()&lt;22,NA(),_xlfn.STDEV.S(INDEX(H:H,ROW()-19):H264)*SQRT(252))</f>
        <v/>
      </c>
      <c r="L264" s="426" cm="1">
        <f t="array" ref="L264">IF(ROW()&lt;17,NA(),_xlfn.LET(_xlpm.d,INDEX(E:E,ROW()-13):E264-INDEX(E:E,ROW()-14):INDEX(E:E,ROW()-1),_xlpm.g,SUM(IF(_xlpm.d&gt;0,_xlpm.d,0)),_xlpm.l,-SUM(IF(_xlpm.d&lt;0,_xlpm.d,0)),IF(_xlpm.l=0,100,100-100/(1+_xlpm.g/_xlpm.l))))</f>
        <v/>
      </c>
      <c r="M264" s="211">
        <f>MAX($E$2:E264)</f>
        <v/>
      </c>
      <c r="N264" s="341">
        <f>E264/M264-1</f>
        <v/>
      </c>
    </row>
    <row r="265">
      <c r="A265" s="424" t="n">
        <v>44845</v>
      </c>
      <c r="B265" s="425" t="n">
        <v>79.24947287684441</v>
      </c>
      <c r="C265" s="425" t="n">
        <v>81.28505238218074</v>
      </c>
      <c r="D265" s="425" t="n">
        <v>78.98235968013596</v>
      </c>
      <c r="E265" s="425" t="n">
        <v>81.04557037353516</v>
      </c>
      <c r="F265" s="207" t="n">
        <v>11903200</v>
      </c>
      <c r="G265" s="208" t="n">
        <v>-0.00633282069385066</v>
      </c>
      <c r="H265" s="209" cm="1">
        <f t="array" ref="H265">IF(ROW()&lt;3,"",E265/INDEX(E:E,ROW()-1)-1)</f>
        <v/>
      </c>
      <c r="I265" s="211">
        <f>IF(ROW()&lt;51,NA(),AVERAGE(INDEX(E:E,ROW()-49):E265))</f>
        <v/>
      </c>
      <c r="J265" s="211">
        <f>IF(ROW()&lt;201,NA(),AVERAGE(INDEX(E:E,ROW()-199):E265))</f>
        <v/>
      </c>
      <c r="K265" s="341">
        <f>IF(ROW()&lt;22,NA(),_xlfn.STDEV.S(INDEX(H:H,ROW()-19):H265)*SQRT(252))</f>
        <v/>
      </c>
      <c r="L265" s="426" cm="1">
        <f t="array" ref="L265">IF(ROW()&lt;17,NA(),_xlfn.LET(_xlpm.d,INDEX(E:E,ROW()-13):E265-INDEX(E:E,ROW()-14):INDEX(E:E,ROW()-1),_xlpm.g,SUM(IF(_xlpm.d&gt;0,_xlpm.d,0)),_xlpm.l,-SUM(IF(_xlpm.d&lt;0,_xlpm.d,0)),IF(_xlpm.l=0,100,100-100/(1+_xlpm.g/_xlpm.l))))</f>
        <v/>
      </c>
      <c r="M265" s="211">
        <f>MAX($E$2:E265)</f>
        <v/>
      </c>
      <c r="N265" s="341">
        <f>E265/M265-1</f>
        <v/>
      </c>
    </row>
    <row r="266">
      <c r="A266" s="424" t="n">
        <v>44846</v>
      </c>
      <c r="B266" s="425" t="n">
        <v>81.05476208762502</v>
      </c>
      <c r="C266" s="425" t="n">
        <v>81.86530717868817</v>
      </c>
      <c r="D266" s="425" t="n">
        <v>80.41921681798793</v>
      </c>
      <c r="E266" s="425" t="n">
        <v>81.52451324462891</v>
      </c>
      <c r="F266" s="207" t="n">
        <v>8772900</v>
      </c>
      <c r="G266" s="208" t="n">
        <v>-0.003298496009091156</v>
      </c>
      <c r="H266" s="209" cm="1">
        <f t="array" ref="H266">IF(ROW()&lt;3,"",E266/INDEX(E:E,ROW()-1)-1)</f>
        <v/>
      </c>
      <c r="I266" s="211">
        <f>IF(ROW()&lt;51,NA(),AVERAGE(INDEX(E:E,ROW()-49):E266))</f>
        <v/>
      </c>
      <c r="J266" s="211">
        <f>IF(ROW()&lt;201,NA(),AVERAGE(INDEX(E:E,ROW()-199):E266))</f>
        <v/>
      </c>
      <c r="K266" s="341">
        <f>IF(ROW()&lt;22,NA(),_xlfn.STDEV.S(INDEX(H:H,ROW()-19):H266)*SQRT(252))</f>
        <v/>
      </c>
      <c r="L266" s="426" cm="1">
        <f t="array" ref="L266">IF(ROW()&lt;17,NA(),_xlfn.LET(_xlpm.d,INDEX(E:E,ROW()-13):E266-INDEX(E:E,ROW()-14):INDEX(E:E,ROW()-1),_xlpm.g,SUM(IF(_xlpm.d&gt;0,_xlpm.d,0)),_xlpm.l,-SUM(IF(_xlpm.d&lt;0,_xlpm.d,0)),IF(_xlpm.l=0,100,100-100/(1+_xlpm.g/_xlpm.l))))</f>
        <v/>
      </c>
      <c r="M266" s="211">
        <f>MAX($E$2:E266)</f>
        <v/>
      </c>
      <c r="N266" s="341">
        <f>E266/M266-1</f>
        <v/>
      </c>
    </row>
    <row r="267">
      <c r="A267" s="424" t="n">
        <v>44847</v>
      </c>
      <c r="B267" s="425" t="n">
        <v>79.57184841345622</v>
      </c>
      <c r="C267" s="425" t="n">
        <v>82.721930341877</v>
      </c>
      <c r="D267" s="425" t="n">
        <v>79.25868557920569</v>
      </c>
      <c r="E267" s="425" t="n">
        <v>82.49166107177734</v>
      </c>
      <c r="F267" s="207" t="n">
        <v>9335000</v>
      </c>
      <c r="G267" s="208" t="n">
        <v>0.02639110107814613</v>
      </c>
      <c r="H267" s="209" cm="1">
        <f t="array" ref="H267">IF(ROW()&lt;3,"",E267/INDEX(E:E,ROW()-1)-1)</f>
        <v/>
      </c>
      <c r="I267" s="211">
        <f>IF(ROW()&lt;51,NA(),AVERAGE(INDEX(E:E,ROW()-49):E267))</f>
        <v/>
      </c>
      <c r="J267" s="211">
        <f>IF(ROW()&lt;201,NA(),AVERAGE(INDEX(E:E,ROW()-199):E267))</f>
        <v/>
      </c>
      <c r="K267" s="341">
        <f>IF(ROW()&lt;22,NA(),_xlfn.STDEV.S(INDEX(H:H,ROW()-19):H267)*SQRT(252))</f>
        <v/>
      </c>
      <c r="L267" s="426" cm="1">
        <f t="array" ref="L267">IF(ROW()&lt;17,NA(),_xlfn.LET(_xlpm.d,INDEX(E:E,ROW()-13):E267-INDEX(E:E,ROW()-14):INDEX(E:E,ROW()-1),_xlpm.g,SUM(IF(_xlpm.d&gt;0,_xlpm.d,0)),_xlpm.l,-SUM(IF(_xlpm.d&lt;0,_xlpm.d,0)),IF(_xlpm.l=0,100,100-100/(1+_xlpm.g/_xlpm.l))))</f>
        <v/>
      </c>
      <c r="M267" s="211">
        <f>MAX($E$2:E267)</f>
        <v/>
      </c>
      <c r="N267" s="341">
        <f>E267/M267-1</f>
        <v/>
      </c>
    </row>
    <row r="268">
      <c r="A268" s="424" t="n">
        <v>44848</v>
      </c>
      <c r="B268" s="425" t="n">
        <v>83.36668410658906</v>
      </c>
      <c r="C268" s="425" t="n">
        <v>83.70747811087075</v>
      </c>
      <c r="D268" s="425" t="n">
        <v>80.58502753559645</v>
      </c>
      <c r="E268" s="425" t="n">
        <v>80.64029693603516</v>
      </c>
      <c r="F268" s="207" t="n">
        <v>7811700</v>
      </c>
      <c r="G268" s="208" t="n">
        <v>-0.02278883373231844</v>
      </c>
      <c r="H268" s="209" cm="1">
        <f t="array" ref="H268">IF(ROW()&lt;3,"",E268/INDEX(E:E,ROW()-1)-1)</f>
        <v/>
      </c>
      <c r="I268" s="211">
        <f>IF(ROW()&lt;51,NA(),AVERAGE(INDEX(E:E,ROW()-49):E268))</f>
        <v/>
      </c>
      <c r="J268" s="211">
        <f>IF(ROW()&lt;201,NA(),AVERAGE(INDEX(E:E,ROW()-199):E268))</f>
        <v/>
      </c>
      <c r="K268" s="341">
        <f>IF(ROW()&lt;22,NA(),_xlfn.STDEV.S(INDEX(H:H,ROW()-19):H268)*SQRT(252))</f>
        <v/>
      </c>
      <c r="L268" s="426" cm="1">
        <f t="array" ref="L268">IF(ROW()&lt;17,NA(),_xlfn.LET(_xlpm.d,INDEX(E:E,ROW()-13):E268-INDEX(E:E,ROW()-14):INDEX(E:E,ROW()-1),_xlpm.g,SUM(IF(_xlpm.d&gt;0,_xlpm.d,0)),_xlpm.l,-SUM(IF(_xlpm.d&lt;0,_xlpm.d,0)),IF(_xlpm.l=0,100,100-100/(1+_xlpm.g/_xlpm.l))))</f>
        <v/>
      </c>
      <c r="M268" s="211">
        <f>MAX($E$2:E268)</f>
        <v/>
      </c>
      <c r="N268" s="341">
        <f>E268/M268-1</f>
        <v/>
      </c>
    </row>
    <row r="269">
      <c r="A269" s="424" t="n">
        <v>44851</v>
      </c>
      <c r="B269" s="425" t="n">
        <v>82.46402470364437</v>
      </c>
      <c r="C269" s="425" t="n">
        <v>83.53247742287556</v>
      </c>
      <c r="D269" s="425" t="n">
        <v>81.69952908839376</v>
      </c>
      <c r="E269" s="425" t="n">
        <v>82.86930084228516</v>
      </c>
      <c r="F269" s="207" t="n">
        <v>8451900</v>
      </c>
      <c r="G269" s="208" t="n">
        <v>0.02569703423305336</v>
      </c>
      <c r="H269" s="209" cm="1">
        <f t="array" ref="H269">IF(ROW()&lt;3,"",E269/INDEX(E:E,ROW()-1)-1)</f>
        <v/>
      </c>
      <c r="I269" s="211">
        <f>IF(ROW()&lt;51,NA(),AVERAGE(INDEX(E:E,ROW()-49):E269))</f>
        <v/>
      </c>
      <c r="J269" s="211">
        <f>IF(ROW()&lt;201,NA(),AVERAGE(INDEX(E:E,ROW()-199):E269))</f>
        <v/>
      </c>
      <c r="K269" s="341">
        <f>IF(ROW()&lt;22,NA(),_xlfn.STDEV.S(INDEX(H:H,ROW()-19):H269)*SQRT(252))</f>
        <v/>
      </c>
      <c r="L269" s="426" cm="1">
        <f t="array" ref="L269">IF(ROW()&lt;17,NA(),_xlfn.LET(_xlpm.d,INDEX(E:E,ROW()-13):E269-INDEX(E:E,ROW()-14):INDEX(E:E,ROW()-1),_xlpm.g,SUM(IF(_xlpm.d&gt;0,_xlpm.d,0)),_xlpm.l,-SUM(IF(_xlpm.d&lt;0,_xlpm.d,0)),IF(_xlpm.l=0,100,100-100/(1+_xlpm.g/_xlpm.l))))</f>
        <v/>
      </c>
      <c r="M269" s="211">
        <f>MAX($E$2:E269)</f>
        <v/>
      </c>
      <c r="N269" s="341">
        <f>E269/M269-1</f>
        <v/>
      </c>
    </row>
    <row r="270">
      <c r="A270" s="424" t="n">
        <v>44852</v>
      </c>
      <c r="B270" s="425" t="n">
        <v>85.29173134420883</v>
      </c>
      <c r="C270" s="425" t="n">
        <v>85.57727000128124</v>
      </c>
      <c r="D270" s="425" t="n">
        <v>82.11401841012007</v>
      </c>
      <c r="E270" s="425" t="n">
        <v>82.60218811035156</v>
      </c>
      <c r="F270" s="207" t="n">
        <v>7364700</v>
      </c>
      <c r="G270" s="208" t="n">
        <v>0.01174948407068221</v>
      </c>
      <c r="H270" s="209" cm="1">
        <f t="array" ref="H270">IF(ROW()&lt;3,"",E270/INDEX(E:E,ROW()-1)-1)</f>
        <v/>
      </c>
      <c r="I270" s="211">
        <f>IF(ROW()&lt;51,NA(),AVERAGE(INDEX(E:E,ROW()-49):E270))</f>
        <v/>
      </c>
      <c r="J270" s="211">
        <f>IF(ROW()&lt;201,NA(),AVERAGE(INDEX(E:E,ROW()-199):E270))</f>
        <v/>
      </c>
      <c r="K270" s="341">
        <f>IF(ROW()&lt;22,NA(),_xlfn.STDEV.S(INDEX(H:H,ROW()-19):H270)*SQRT(252))</f>
        <v/>
      </c>
      <c r="L270" s="426" cm="1">
        <f t="array" ref="L270">IF(ROW()&lt;17,NA(),_xlfn.LET(_xlpm.d,INDEX(E:E,ROW()-13):E270-INDEX(E:E,ROW()-14):INDEX(E:E,ROW()-1),_xlpm.g,SUM(IF(_xlpm.d&gt;0,_xlpm.d,0)),_xlpm.l,-SUM(IF(_xlpm.d&lt;0,_xlpm.d,0)),IF(_xlpm.l=0,100,100-100/(1+_xlpm.g/_xlpm.l))))</f>
        <v/>
      </c>
      <c r="M270" s="211">
        <f>MAX($E$2:E270)</f>
        <v/>
      </c>
      <c r="N270" s="341">
        <f>E270/M270-1</f>
        <v/>
      </c>
    </row>
    <row r="271">
      <c r="A271" s="424" t="n">
        <v>44853</v>
      </c>
      <c r="B271" s="425" t="n">
        <v>81.29424138625129</v>
      </c>
      <c r="C271" s="425" t="n">
        <v>82.65743113260405</v>
      </c>
      <c r="D271" s="425" t="n">
        <v>80.83370298029945</v>
      </c>
      <c r="E271" s="425" t="n">
        <v>81.57977294921875</v>
      </c>
      <c r="F271" s="207" t="n">
        <v>5102000</v>
      </c>
      <c r="G271" s="208" t="n">
        <v>-0.007086472739025962</v>
      </c>
      <c r="H271" s="209" cm="1">
        <f t="array" ref="H271">IF(ROW()&lt;3,"",E271/INDEX(E:E,ROW()-1)-1)</f>
        <v/>
      </c>
      <c r="I271" s="211">
        <f>IF(ROW()&lt;51,NA(),AVERAGE(INDEX(E:E,ROW()-49):E271))</f>
        <v/>
      </c>
      <c r="J271" s="211">
        <f>IF(ROW()&lt;201,NA(),AVERAGE(INDEX(E:E,ROW()-199):E271))</f>
        <v/>
      </c>
      <c r="K271" s="341">
        <f>IF(ROW()&lt;22,NA(),_xlfn.STDEV.S(INDEX(H:H,ROW()-19):H271)*SQRT(252))</f>
        <v/>
      </c>
      <c r="L271" s="426" cm="1">
        <f t="array" ref="L271">IF(ROW()&lt;17,NA(),_xlfn.LET(_xlpm.d,INDEX(E:E,ROW()-13):E271-INDEX(E:E,ROW()-14):INDEX(E:E,ROW()-1),_xlpm.g,SUM(IF(_xlpm.d&gt;0,_xlpm.d,0)),_xlpm.l,-SUM(IF(_xlpm.d&lt;0,_xlpm.d,0)),IF(_xlpm.l=0,100,100-100/(1+_xlpm.g/_xlpm.l))))</f>
        <v/>
      </c>
      <c r="M271" s="211">
        <f>MAX($E$2:E271)</f>
        <v/>
      </c>
      <c r="N271" s="341">
        <f>E271/M271-1</f>
        <v/>
      </c>
    </row>
    <row r="272">
      <c r="A272" s="424" t="n">
        <v>44854</v>
      </c>
      <c r="B272" s="425" t="n">
        <v>82.40877008120567</v>
      </c>
      <c r="C272" s="425" t="n">
        <v>83.43116623455784</v>
      </c>
      <c r="D272" s="425" t="n">
        <v>79.77448898681767</v>
      </c>
      <c r="E272" s="425" t="n">
        <v>79.97712707519531</v>
      </c>
      <c r="F272" s="207" t="n">
        <v>13500000</v>
      </c>
      <c r="G272" s="208" t="n">
        <v>-0.008385230397144894</v>
      </c>
      <c r="H272" s="209" cm="1">
        <f t="array" ref="H272">IF(ROW()&lt;3,"",E272/INDEX(E:E,ROW()-1)-1)</f>
        <v/>
      </c>
      <c r="I272" s="211">
        <f>IF(ROW()&lt;51,NA(),AVERAGE(INDEX(E:E,ROW()-49):E272))</f>
        <v/>
      </c>
      <c r="J272" s="211">
        <f>IF(ROW()&lt;201,NA(),AVERAGE(INDEX(E:E,ROW()-199):E272))</f>
        <v/>
      </c>
      <c r="K272" s="341">
        <f>IF(ROW()&lt;22,NA(),_xlfn.STDEV.S(INDEX(H:H,ROW()-19):H272)*SQRT(252))</f>
        <v/>
      </c>
      <c r="L272" s="426" cm="1">
        <f t="array" ref="L272">IF(ROW()&lt;17,NA(),_xlfn.LET(_xlpm.d,INDEX(E:E,ROW()-13):E272-INDEX(E:E,ROW()-14):INDEX(E:E,ROW()-1),_xlpm.g,SUM(IF(_xlpm.d&gt;0,_xlpm.d,0)),_xlpm.l,-SUM(IF(_xlpm.d&lt;0,_xlpm.d,0)),IF(_xlpm.l=0,100,100-100/(1+_xlpm.g/_xlpm.l))))</f>
        <v/>
      </c>
      <c r="M272" s="211">
        <f>MAX($E$2:E272)</f>
        <v/>
      </c>
      <c r="N272" s="341">
        <f>E272/M272-1</f>
        <v/>
      </c>
    </row>
    <row r="273">
      <c r="A273" s="424" t="n">
        <v>44855</v>
      </c>
      <c r="B273" s="425" t="n">
        <v>80.15210767957319</v>
      </c>
      <c r="C273" s="425" t="n">
        <v>81.77320496963684</v>
      </c>
      <c r="D273" s="425" t="n">
        <v>79.86657609309512</v>
      </c>
      <c r="E273" s="425" t="n">
        <v>81.51530456542969</v>
      </c>
      <c r="F273" s="207" t="n">
        <v>7976300</v>
      </c>
      <c r="G273" s="208" t="n">
        <v>0.0243015202996899</v>
      </c>
      <c r="H273" s="209" cm="1">
        <f t="array" ref="H273">IF(ROW()&lt;3,"",E273/INDEX(E:E,ROW()-1)-1)</f>
        <v/>
      </c>
      <c r="I273" s="211">
        <f>IF(ROW()&lt;51,NA(),AVERAGE(INDEX(E:E,ROW()-49):E273))</f>
        <v/>
      </c>
      <c r="J273" s="211">
        <f>IF(ROW()&lt;201,NA(),AVERAGE(INDEX(E:E,ROW()-199):E273))</f>
        <v/>
      </c>
      <c r="K273" s="341">
        <f>IF(ROW()&lt;22,NA(),_xlfn.STDEV.S(INDEX(H:H,ROW()-19):H273)*SQRT(252))</f>
        <v/>
      </c>
      <c r="L273" s="426" cm="1">
        <f t="array" ref="L273">IF(ROW()&lt;17,NA(),_xlfn.LET(_xlpm.d,INDEX(E:E,ROW()-13):E273-INDEX(E:E,ROW()-14):INDEX(E:E,ROW()-1),_xlpm.g,SUM(IF(_xlpm.d&gt;0,_xlpm.d,0)),_xlpm.l,-SUM(IF(_xlpm.d&lt;0,_xlpm.d,0)),IF(_xlpm.l=0,100,100-100/(1+_xlpm.g/_xlpm.l))))</f>
        <v/>
      </c>
      <c r="M273" s="211">
        <f>MAX($E$2:E273)</f>
        <v/>
      </c>
      <c r="N273" s="341">
        <f>E273/M273-1</f>
        <v/>
      </c>
    </row>
    <row r="274">
      <c r="A274" s="424" t="n">
        <v>44858</v>
      </c>
      <c r="B274" s="425" t="n">
        <v>80.86131161847047</v>
      </c>
      <c r="C274" s="425" t="n">
        <v>81.82843778500713</v>
      </c>
      <c r="D274" s="425" t="n">
        <v>79.43364014711044</v>
      </c>
      <c r="E274" s="425" t="n">
        <v>81.06394958496094</v>
      </c>
      <c r="F274" s="207" t="n">
        <v>8847100</v>
      </c>
      <c r="G274" s="208" t="n">
        <v>0.01223634094504322</v>
      </c>
      <c r="H274" s="209" cm="1">
        <f t="array" ref="H274">IF(ROW()&lt;3,"",E274/INDEX(E:E,ROW()-1)-1)</f>
        <v/>
      </c>
      <c r="I274" s="211">
        <f>IF(ROW()&lt;51,NA(),AVERAGE(INDEX(E:E,ROW()-49):E274))</f>
        <v/>
      </c>
      <c r="J274" s="211">
        <f>IF(ROW()&lt;201,NA(),AVERAGE(INDEX(E:E,ROW()-199):E274))</f>
        <v/>
      </c>
      <c r="K274" s="341">
        <f>IF(ROW()&lt;22,NA(),_xlfn.STDEV.S(INDEX(H:H,ROW()-19):H274)*SQRT(252))</f>
        <v/>
      </c>
      <c r="L274" s="426" cm="1">
        <f t="array" ref="L274">IF(ROW()&lt;17,NA(),_xlfn.LET(_xlpm.d,INDEX(E:E,ROW()-13):E274-INDEX(E:E,ROW()-14):INDEX(E:E,ROW()-1),_xlpm.g,SUM(IF(_xlpm.d&gt;0,_xlpm.d,0)),_xlpm.l,-SUM(IF(_xlpm.d&lt;0,_xlpm.d,0)),IF(_xlpm.l=0,100,100-100/(1+_xlpm.g/_xlpm.l))))</f>
        <v/>
      </c>
      <c r="M274" s="211">
        <f>MAX($E$2:E274)</f>
        <v/>
      </c>
      <c r="N274" s="341">
        <f>E274/M274-1</f>
        <v/>
      </c>
    </row>
    <row r="275">
      <c r="A275" s="424" t="n">
        <v>44859</v>
      </c>
      <c r="B275" s="425" t="n">
        <v>81.08239479496066</v>
      </c>
      <c r="C275" s="425" t="n">
        <v>84.67459595146724</v>
      </c>
      <c r="D275" s="425" t="n">
        <v>80.95344459684709</v>
      </c>
      <c r="E275" s="425" t="n">
        <v>84.48117065429688</v>
      </c>
      <c r="F275" s="207" t="n">
        <v>8639900</v>
      </c>
      <c r="G275" s="208" t="n">
        <v>0.01596869718632177</v>
      </c>
      <c r="H275" s="209" cm="1">
        <f t="array" ref="H275">IF(ROW()&lt;3,"",E275/INDEX(E:E,ROW()-1)-1)</f>
        <v/>
      </c>
      <c r="I275" s="211">
        <f>IF(ROW()&lt;51,NA(),AVERAGE(INDEX(E:E,ROW()-49):E275))</f>
        <v/>
      </c>
      <c r="J275" s="211">
        <f>IF(ROW()&lt;201,NA(),AVERAGE(INDEX(E:E,ROW()-199):E275))</f>
        <v/>
      </c>
      <c r="K275" s="341">
        <f>IF(ROW()&lt;22,NA(),_xlfn.STDEV.S(INDEX(H:H,ROW()-19):H275)*SQRT(252))</f>
        <v/>
      </c>
      <c r="L275" s="426" cm="1">
        <f t="array" ref="L275">IF(ROW()&lt;17,NA(),_xlfn.LET(_xlpm.d,INDEX(E:E,ROW()-13):E275-INDEX(E:E,ROW()-14):INDEX(E:E,ROW()-1),_xlpm.g,SUM(IF(_xlpm.d&gt;0,_xlpm.d,0)),_xlpm.l,-SUM(IF(_xlpm.d&lt;0,_xlpm.d,0)),IF(_xlpm.l=0,100,100-100/(1+_xlpm.g/_xlpm.l))))</f>
        <v/>
      </c>
      <c r="M275" s="211">
        <f>MAX($E$2:E275)</f>
        <v/>
      </c>
      <c r="N275" s="341">
        <f>E275/M275-1</f>
        <v/>
      </c>
    </row>
    <row r="276">
      <c r="A276" s="424" t="n">
        <v>44860</v>
      </c>
      <c r="B276" s="425" t="n">
        <v>83.61534770470543</v>
      </c>
      <c r="C276" s="425" t="n">
        <v>86.90359147869077</v>
      </c>
      <c r="D276" s="425" t="n">
        <v>83.54165987687328</v>
      </c>
      <c r="E276" s="425" t="n">
        <v>85.09828186035156</v>
      </c>
      <c r="F276" s="207" t="n">
        <v>8648200</v>
      </c>
      <c r="G276" s="208" t="n">
        <v>-0.007534107650603472</v>
      </c>
      <c r="H276" s="209" cm="1">
        <f t="array" ref="H276">IF(ROW()&lt;3,"",E276/INDEX(E:E,ROW()-1)-1)</f>
        <v/>
      </c>
      <c r="I276" s="211">
        <f>IF(ROW()&lt;51,NA(),AVERAGE(INDEX(E:E,ROW()-49):E276))</f>
        <v/>
      </c>
      <c r="J276" s="211">
        <f>IF(ROW()&lt;201,NA(),AVERAGE(INDEX(E:E,ROW()-199):E276))</f>
        <v/>
      </c>
      <c r="K276" s="341">
        <f>IF(ROW()&lt;22,NA(),_xlfn.STDEV.S(INDEX(H:H,ROW()-19):H276)*SQRT(252))</f>
        <v/>
      </c>
      <c r="L276" s="426" cm="1">
        <f t="array" ref="L276">IF(ROW()&lt;17,NA(),_xlfn.LET(_xlpm.d,INDEX(E:E,ROW()-13):E276-INDEX(E:E,ROW()-14):INDEX(E:E,ROW()-1),_xlpm.g,SUM(IF(_xlpm.d&gt;0,_xlpm.d,0)),_xlpm.l,-SUM(IF(_xlpm.d&lt;0,_xlpm.d,0)),IF(_xlpm.l=0,100,100-100/(1+_xlpm.g/_xlpm.l))))</f>
        <v/>
      </c>
      <c r="M276" s="211">
        <f>MAX($E$2:E276)</f>
        <v/>
      </c>
      <c r="N276" s="341">
        <f>E276/M276-1</f>
        <v/>
      </c>
    </row>
    <row r="277">
      <c r="A277" s="424" t="n">
        <v>44861</v>
      </c>
      <c r="B277" s="425" t="n">
        <v>85.54961108863083</v>
      </c>
      <c r="C277" s="425" t="n">
        <v>86.10226279324398</v>
      </c>
      <c r="D277" s="425" t="n">
        <v>83.09955044236308</v>
      </c>
      <c r="E277" s="425" t="n">
        <v>83.39429473876953</v>
      </c>
      <c r="F277" s="207" t="n">
        <v>8617900</v>
      </c>
      <c r="G277" s="208" t="n">
        <v>-0.00533986733543601</v>
      </c>
      <c r="H277" s="209" cm="1">
        <f t="array" ref="H277">IF(ROW()&lt;3,"",E277/INDEX(E:E,ROW()-1)-1)</f>
        <v/>
      </c>
      <c r="I277" s="211">
        <f>IF(ROW()&lt;51,NA(),AVERAGE(INDEX(E:E,ROW()-49):E277))</f>
        <v/>
      </c>
      <c r="J277" s="211">
        <f>IF(ROW()&lt;201,NA(),AVERAGE(INDEX(E:E,ROW()-199):E277))</f>
        <v/>
      </c>
      <c r="K277" s="341">
        <f>IF(ROW()&lt;22,NA(),_xlfn.STDEV.S(INDEX(H:H,ROW()-19):H277)*SQRT(252))</f>
        <v/>
      </c>
      <c r="L277" s="426" cm="1">
        <f t="array" ref="L277">IF(ROW()&lt;17,NA(),_xlfn.LET(_xlpm.d,INDEX(E:E,ROW()-13):E277-INDEX(E:E,ROW()-14):INDEX(E:E,ROW()-1),_xlpm.g,SUM(IF(_xlpm.d&gt;0,_xlpm.d,0)),_xlpm.l,-SUM(IF(_xlpm.d&lt;0,_xlpm.d,0)),IF(_xlpm.l=0,100,100-100/(1+_xlpm.g/_xlpm.l))))</f>
        <v/>
      </c>
      <c r="M277" s="211">
        <f>MAX($E$2:E277)</f>
        <v/>
      </c>
      <c r="N277" s="341">
        <f>E277/M277-1</f>
        <v/>
      </c>
    </row>
    <row r="278">
      <c r="A278" s="424" t="n">
        <v>44862</v>
      </c>
      <c r="B278" s="425" t="n">
        <v>84.00221521820971</v>
      </c>
      <c r="C278" s="425" t="n">
        <v>86.47070173085737</v>
      </c>
      <c r="D278" s="425" t="n">
        <v>83.32062024130789</v>
      </c>
      <c r="E278" s="425" t="n">
        <v>86.42465209960938</v>
      </c>
      <c r="F278" s="207" t="n">
        <v>6022400</v>
      </c>
      <c r="G278" s="208" t="n">
        <v>0.02379044291552379</v>
      </c>
      <c r="H278" s="209" cm="1">
        <f t="array" ref="H278">IF(ROW()&lt;3,"",E278/INDEX(E:E,ROW()-1)-1)</f>
        <v/>
      </c>
      <c r="I278" s="211">
        <f>IF(ROW()&lt;51,NA(),AVERAGE(INDEX(E:E,ROW()-49):E278))</f>
        <v/>
      </c>
      <c r="J278" s="211">
        <f>IF(ROW()&lt;201,NA(),AVERAGE(INDEX(E:E,ROW()-199):E278))</f>
        <v/>
      </c>
      <c r="K278" s="341">
        <f>IF(ROW()&lt;22,NA(),_xlfn.STDEV.S(INDEX(H:H,ROW()-19):H278)*SQRT(252))</f>
        <v/>
      </c>
      <c r="L278" s="426" cm="1">
        <f t="array" ref="L278">IF(ROW()&lt;17,NA(),_xlfn.LET(_xlpm.d,INDEX(E:E,ROW()-13):E278-INDEX(E:E,ROW()-14):INDEX(E:E,ROW()-1),_xlpm.g,SUM(IF(_xlpm.d&gt;0,_xlpm.d,0)),_xlpm.l,-SUM(IF(_xlpm.d&lt;0,_xlpm.d,0)),IF(_xlpm.l=0,100,100-100/(1+_xlpm.g/_xlpm.l))))</f>
        <v/>
      </c>
      <c r="M278" s="211">
        <f>MAX($E$2:E278)</f>
        <v/>
      </c>
      <c r="N278" s="341">
        <f>E278/M278-1</f>
        <v/>
      </c>
    </row>
    <row r="279">
      <c r="A279" s="424" t="n">
        <v>44865</v>
      </c>
      <c r="B279" s="425" t="n">
        <v>85.66013887506604</v>
      </c>
      <c r="C279" s="425" t="n">
        <v>86.47989663115216</v>
      </c>
      <c r="D279" s="425" t="n">
        <v>85.36539459228516</v>
      </c>
      <c r="E279" s="425" t="n">
        <v>85.36539459228516</v>
      </c>
      <c r="F279" s="207" t="n">
        <v>6426400</v>
      </c>
      <c r="G279" s="208" t="n">
        <v>-0.007223276360302844</v>
      </c>
      <c r="H279" s="209" cm="1">
        <f t="array" ref="H279">IF(ROW()&lt;3,"",E279/INDEX(E:E,ROW()-1)-1)</f>
        <v/>
      </c>
      <c r="I279" s="211">
        <f>IF(ROW()&lt;51,NA(),AVERAGE(INDEX(E:E,ROW()-49):E279))</f>
        <v/>
      </c>
      <c r="J279" s="211">
        <f>IF(ROW()&lt;201,NA(),AVERAGE(INDEX(E:E,ROW()-199):E279))</f>
        <v/>
      </c>
      <c r="K279" s="341">
        <f>IF(ROW()&lt;22,NA(),_xlfn.STDEV.S(INDEX(H:H,ROW()-19):H279)*SQRT(252))</f>
        <v/>
      </c>
      <c r="L279" s="426" cm="1">
        <f t="array" ref="L279">IF(ROW()&lt;17,NA(),_xlfn.LET(_xlpm.d,INDEX(E:E,ROW()-13):E279-INDEX(E:E,ROW()-14):INDEX(E:E,ROW()-1),_xlpm.g,SUM(IF(_xlpm.d&gt;0,_xlpm.d,0)),_xlpm.l,-SUM(IF(_xlpm.d&lt;0,_xlpm.d,0)),IF(_xlpm.l=0,100,100-100/(1+_xlpm.g/_xlpm.l))))</f>
        <v/>
      </c>
      <c r="M279" s="211">
        <f>MAX($E$2:E279)</f>
        <v/>
      </c>
      <c r="N279" s="341">
        <f>E279/M279-1</f>
        <v/>
      </c>
    </row>
    <row r="280">
      <c r="A280" s="424" t="n">
        <v>44866</v>
      </c>
      <c r="B280" s="425" t="n">
        <v>88.13785789653778</v>
      </c>
      <c r="C280" s="425" t="n">
        <v>88.84708407456985</v>
      </c>
      <c r="D280" s="425" t="n">
        <v>85.63252740273266</v>
      </c>
      <c r="E280" s="425" t="n">
        <v>86.369384765625</v>
      </c>
      <c r="F280" s="207" t="n">
        <v>7250700</v>
      </c>
      <c r="G280" s="208" t="n">
        <v>-0.004375868813318862</v>
      </c>
      <c r="H280" s="209" cm="1">
        <f t="array" ref="H280">IF(ROW()&lt;3,"",E280/INDEX(E:E,ROW()-1)-1)</f>
        <v/>
      </c>
      <c r="I280" s="211">
        <f>IF(ROW()&lt;51,NA(),AVERAGE(INDEX(E:E,ROW()-49):E280))</f>
        <v/>
      </c>
      <c r="J280" s="211">
        <f>IF(ROW()&lt;201,NA(),AVERAGE(INDEX(E:E,ROW()-199):E280))</f>
        <v/>
      </c>
      <c r="K280" s="341">
        <f>IF(ROW()&lt;22,NA(),_xlfn.STDEV.S(INDEX(H:H,ROW()-19):H280)*SQRT(252))</f>
        <v/>
      </c>
      <c r="L280" s="426" cm="1">
        <f t="array" ref="L280">IF(ROW()&lt;17,NA(),_xlfn.LET(_xlpm.d,INDEX(E:E,ROW()-13):E280-INDEX(E:E,ROW()-14):INDEX(E:E,ROW()-1),_xlpm.g,SUM(IF(_xlpm.d&gt;0,_xlpm.d,0)),_xlpm.l,-SUM(IF(_xlpm.d&lt;0,_xlpm.d,0)),IF(_xlpm.l=0,100,100-100/(1+_xlpm.g/_xlpm.l))))</f>
        <v/>
      </c>
      <c r="M280" s="211">
        <f>MAX($E$2:E280)</f>
        <v/>
      </c>
      <c r="N280" s="341">
        <f>E280/M280-1</f>
        <v/>
      </c>
    </row>
    <row r="281">
      <c r="A281" s="424" t="n">
        <v>44867</v>
      </c>
      <c r="B281" s="425" t="n">
        <v>85.77988275299244</v>
      </c>
      <c r="C281" s="425" t="n">
        <v>86.98649818030388</v>
      </c>
      <c r="D281" s="425" t="n">
        <v>83.07192164801651</v>
      </c>
      <c r="E281" s="425" t="n">
        <v>83.17324066162109</v>
      </c>
      <c r="F281" s="207" t="n">
        <v>7176600</v>
      </c>
      <c r="G281" s="208" t="n">
        <v>-0.02509610391694728</v>
      </c>
      <c r="H281" s="209" cm="1">
        <f t="array" ref="H281">IF(ROW()&lt;3,"",E281/INDEX(E:E,ROW()-1)-1)</f>
        <v/>
      </c>
      <c r="I281" s="211">
        <f>IF(ROW()&lt;51,NA(),AVERAGE(INDEX(E:E,ROW()-49):E281))</f>
        <v/>
      </c>
      <c r="J281" s="211">
        <f>IF(ROW()&lt;201,NA(),AVERAGE(INDEX(E:E,ROW()-199):E281))</f>
        <v/>
      </c>
      <c r="K281" s="341">
        <f>IF(ROW()&lt;22,NA(),_xlfn.STDEV.S(INDEX(H:H,ROW()-19):H281)*SQRT(252))</f>
        <v/>
      </c>
      <c r="L281" s="426" cm="1">
        <f t="array" ref="L281">IF(ROW()&lt;17,NA(),_xlfn.LET(_xlpm.d,INDEX(E:E,ROW()-13):E281-INDEX(E:E,ROW()-14):INDEX(E:E,ROW()-1),_xlpm.g,SUM(IF(_xlpm.d&gt;0,_xlpm.d,0)),_xlpm.l,-SUM(IF(_xlpm.d&lt;0,_xlpm.d,0)),IF(_xlpm.l=0,100,100-100/(1+_xlpm.g/_xlpm.l))))</f>
        <v/>
      </c>
      <c r="M281" s="211">
        <f>MAX($E$2:E281)</f>
        <v/>
      </c>
      <c r="N281" s="341">
        <f>E281/M281-1</f>
        <v/>
      </c>
    </row>
    <row r="282">
      <c r="A282" s="424" t="n">
        <v>44868</v>
      </c>
      <c r="B282" s="425" t="n">
        <v>82.86930219334612</v>
      </c>
      <c r="C282" s="425" t="n">
        <v>84.37986797275843</v>
      </c>
      <c r="D282" s="425" t="n">
        <v>81.71795589640011</v>
      </c>
      <c r="E282" s="425" t="n">
        <v>83.26536560058594</v>
      </c>
      <c r="F282" s="207" t="n">
        <v>6550300</v>
      </c>
      <c r="G282" s="208" t="n">
        <v>-0.01029695533644603</v>
      </c>
      <c r="H282" s="209" cm="1">
        <f t="array" ref="H282">IF(ROW()&lt;3,"",E282/INDEX(E:E,ROW()-1)-1)</f>
        <v/>
      </c>
      <c r="I282" s="211">
        <f>IF(ROW()&lt;51,NA(),AVERAGE(INDEX(E:E,ROW()-49):E282))</f>
        <v/>
      </c>
      <c r="J282" s="211">
        <f>IF(ROW()&lt;201,NA(),AVERAGE(INDEX(E:E,ROW()-199):E282))</f>
        <v/>
      </c>
      <c r="K282" s="341">
        <f>IF(ROW()&lt;22,NA(),_xlfn.STDEV.S(INDEX(H:H,ROW()-19):H282)*SQRT(252))</f>
        <v/>
      </c>
      <c r="L282" s="426" cm="1">
        <f t="array" ref="L282">IF(ROW()&lt;17,NA(),_xlfn.LET(_xlpm.d,INDEX(E:E,ROW()-13):E282-INDEX(E:E,ROW()-14):INDEX(E:E,ROW()-1),_xlpm.g,SUM(IF(_xlpm.d&gt;0,_xlpm.d,0)),_xlpm.l,-SUM(IF(_xlpm.d&lt;0,_xlpm.d,0)),IF(_xlpm.l=0,100,100-100/(1+_xlpm.g/_xlpm.l))))</f>
        <v/>
      </c>
      <c r="M282" s="211">
        <f>MAX($E$2:E282)</f>
        <v/>
      </c>
      <c r="N282" s="341">
        <f>E282/M282-1</f>
        <v/>
      </c>
    </row>
    <row r="283">
      <c r="A283" s="424" t="n">
        <v>44869</v>
      </c>
      <c r="B283" s="425" t="n">
        <v>86.99571839625604</v>
      </c>
      <c r="C283" s="425" t="n">
        <v>90.47739530141004</v>
      </c>
      <c r="D283" s="425" t="n">
        <v>86.53517990389416</v>
      </c>
      <c r="E283" s="425" t="n">
        <v>88.22996520996094</v>
      </c>
      <c r="F283" s="207" t="n">
        <v>12543300</v>
      </c>
      <c r="G283" s="208" t="n">
        <v>0.01439324848543766</v>
      </c>
      <c r="H283" s="209" cm="1">
        <f t="array" ref="H283">IF(ROW()&lt;3,"",E283/INDEX(E:E,ROW()-1)-1)</f>
        <v/>
      </c>
      <c r="I283" s="211">
        <f>IF(ROW()&lt;51,NA(),AVERAGE(INDEX(E:E,ROW()-49):E283))</f>
        <v/>
      </c>
      <c r="J283" s="211">
        <f>IF(ROW()&lt;201,NA(),AVERAGE(INDEX(E:E,ROW()-199):E283))</f>
        <v/>
      </c>
      <c r="K283" s="341">
        <f>IF(ROW()&lt;22,NA(),_xlfn.STDEV.S(INDEX(H:H,ROW()-19):H283)*SQRT(252))</f>
        <v/>
      </c>
      <c r="L283" s="426" cm="1">
        <f t="array" ref="L283">IF(ROW()&lt;17,NA(),_xlfn.LET(_xlpm.d,INDEX(E:E,ROW()-13):E283-INDEX(E:E,ROW()-14):INDEX(E:E,ROW()-1),_xlpm.g,SUM(IF(_xlpm.d&gt;0,_xlpm.d,0)),_xlpm.l,-SUM(IF(_xlpm.d&lt;0,_xlpm.d,0)),IF(_xlpm.l=0,100,100-100/(1+_xlpm.g/_xlpm.l))))</f>
        <v/>
      </c>
      <c r="M283" s="211">
        <f>MAX($E$2:E283)</f>
        <v/>
      </c>
      <c r="N283" s="341">
        <f>E283/M283-1</f>
        <v/>
      </c>
    </row>
    <row r="284">
      <c r="A284" s="424" t="n">
        <v>44872</v>
      </c>
      <c r="B284" s="425" t="n">
        <v>88.70890808776751</v>
      </c>
      <c r="C284" s="425" t="n">
        <v>89.22471589598287</v>
      </c>
      <c r="D284" s="425" t="n">
        <v>85.35618895703131</v>
      </c>
      <c r="E284" s="425" t="n">
        <v>86.06542205810547</v>
      </c>
      <c r="F284" s="207" t="n">
        <v>9094500</v>
      </c>
      <c r="G284" s="208" t="n">
        <v>0.009565620577353329</v>
      </c>
      <c r="H284" s="209" cm="1">
        <f t="array" ref="H284">IF(ROW()&lt;3,"",E284/INDEX(E:E,ROW()-1)-1)</f>
        <v/>
      </c>
      <c r="I284" s="211">
        <f>IF(ROW()&lt;51,NA(),AVERAGE(INDEX(E:E,ROW()-49):E284))</f>
        <v/>
      </c>
      <c r="J284" s="211">
        <f>IF(ROW()&lt;201,NA(),AVERAGE(INDEX(E:E,ROW()-199):E284))</f>
        <v/>
      </c>
      <c r="K284" s="341">
        <f>IF(ROW()&lt;22,NA(),_xlfn.STDEV.S(INDEX(H:H,ROW()-19):H284)*SQRT(252))</f>
        <v/>
      </c>
      <c r="L284" s="426" cm="1">
        <f t="array" ref="L284">IF(ROW()&lt;17,NA(),_xlfn.LET(_xlpm.d,INDEX(E:E,ROW()-13):E284-INDEX(E:E,ROW()-14):INDEX(E:E,ROW()-1),_xlpm.g,SUM(IF(_xlpm.d&gt;0,_xlpm.d,0)),_xlpm.l,-SUM(IF(_xlpm.d&lt;0,_xlpm.d,0)),IF(_xlpm.l=0,100,100-100/(1+_xlpm.g/_xlpm.l))))</f>
        <v/>
      </c>
      <c r="M284" s="211">
        <f>MAX($E$2:E284)</f>
        <v/>
      </c>
      <c r="N284" s="341">
        <f>E284/M284-1</f>
        <v/>
      </c>
    </row>
    <row r="285">
      <c r="A285" s="424" t="n">
        <v>44873</v>
      </c>
      <c r="B285" s="425" t="n">
        <v>86.98651277606686</v>
      </c>
      <c r="C285" s="425" t="n">
        <v>88.45102181020876</v>
      </c>
      <c r="D285" s="425" t="n">
        <v>85.60489729755123</v>
      </c>
      <c r="E285" s="425" t="n">
        <v>86.35096740722656</v>
      </c>
      <c r="F285" s="207" t="n">
        <v>7017800</v>
      </c>
      <c r="G285" s="208" t="n">
        <v>0.005395268081638926</v>
      </c>
      <c r="H285" s="209" cm="1">
        <f t="array" ref="H285">IF(ROW()&lt;3,"",E285/INDEX(E:E,ROW()-1)-1)</f>
        <v/>
      </c>
      <c r="I285" s="211">
        <f>IF(ROW()&lt;51,NA(),AVERAGE(INDEX(E:E,ROW()-49):E285))</f>
        <v/>
      </c>
      <c r="J285" s="211">
        <f>IF(ROW()&lt;201,NA(),AVERAGE(INDEX(E:E,ROW()-199):E285))</f>
        <v/>
      </c>
      <c r="K285" s="341">
        <f>IF(ROW()&lt;22,NA(),_xlfn.STDEV.S(INDEX(H:H,ROW()-19):H285)*SQRT(252))</f>
        <v/>
      </c>
      <c r="L285" s="426" cm="1">
        <f t="array" ref="L285">IF(ROW()&lt;17,NA(),_xlfn.LET(_xlpm.d,INDEX(E:E,ROW()-13):E285-INDEX(E:E,ROW()-14):INDEX(E:E,ROW()-1),_xlpm.g,SUM(IF(_xlpm.d&gt;0,_xlpm.d,0)),_xlpm.l,-SUM(IF(_xlpm.d&lt;0,_xlpm.d,0)),IF(_xlpm.l=0,100,100-100/(1+_xlpm.g/_xlpm.l))))</f>
        <v/>
      </c>
      <c r="M285" s="211">
        <f>MAX($E$2:E285)</f>
        <v/>
      </c>
      <c r="N285" s="341">
        <f>E285/M285-1</f>
        <v/>
      </c>
    </row>
    <row r="286">
      <c r="A286" s="424" t="n">
        <v>44874</v>
      </c>
      <c r="B286" s="425" t="n">
        <v>85.35619028294431</v>
      </c>
      <c r="C286" s="425" t="n">
        <v>86.48911790415437</v>
      </c>
      <c r="D286" s="425" t="n">
        <v>84.70222656057021</v>
      </c>
      <c r="E286" s="425" t="n">
        <v>84.8311767578125</v>
      </c>
      <c r="F286" s="207" t="n">
        <v>6550900</v>
      </c>
      <c r="G286" s="208" t="n">
        <v>-0.0206019660082033</v>
      </c>
      <c r="H286" s="209" cm="1">
        <f t="array" ref="H286">IF(ROW()&lt;3,"",E286/INDEX(E:E,ROW()-1)-1)</f>
        <v/>
      </c>
      <c r="I286" s="211">
        <f>IF(ROW()&lt;51,NA(),AVERAGE(INDEX(E:E,ROW()-49):E286))</f>
        <v/>
      </c>
      <c r="J286" s="211">
        <f>IF(ROW()&lt;201,NA(),AVERAGE(INDEX(E:E,ROW()-199):E286))</f>
        <v/>
      </c>
      <c r="K286" s="341">
        <f>IF(ROW()&lt;22,NA(),_xlfn.STDEV.S(INDEX(H:H,ROW()-19):H286)*SQRT(252))</f>
        <v/>
      </c>
      <c r="L286" s="426" cm="1">
        <f t="array" ref="L286">IF(ROW()&lt;17,NA(),_xlfn.LET(_xlpm.d,INDEX(E:E,ROW()-13):E286-INDEX(E:E,ROW()-14):INDEX(E:E,ROW()-1),_xlpm.g,SUM(IF(_xlpm.d&gt;0,_xlpm.d,0)),_xlpm.l,-SUM(IF(_xlpm.d&lt;0,_xlpm.d,0)),IF(_xlpm.l=0,100,100-100/(1+_xlpm.g/_xlpm.l))))</f>
        <v/>
      </c>
      <c r="M286" s="211">
        <f>MAX($E$2:E286)</f>
        <v/>
      </c>
      <c r="N286" s="341">
        <f>E286/M286-1</f>
        <v/>
      </c>
    </row>
    <row r="287">
      <c r="A287" s="424" t="n">
        <v>44875</v>
      </c>
      <c r="B287" s="425" t="n">
        <v>88.72735485711998</v>
      </c>
      <c r="C287" s="425" t="n">
        <v>91.81296160199945</v>
      </c>
      <c r="D287" s="425" t="n">
        <v>88.63524855659199</v>
      </c>
      <c r="E287" s="425" t="n">
        <v>91.63795471191406</v>
      </c>
      <c r="F287" s="207" t="n">
        <v>9361000</v>
      </c>
      <c r="G287" s="208" t="n">
        <v>0.05495409173474242</v>
      </c>
      <c r="H287" s="209" cm="1">
        <f t="array" ref="H287">IF(ROW()&lt;3,"",E287/INDEX(E:E,ROW()-1)-1)</f>
        <v/>
      </c>
      <c r="I287" s="211">
        <f>IF(ROW()&lt;51,NA(),AVERAGE(INDEX(E:E,ROW()-49):E287))</f>
        <v/>
      </c>
      <c r="J287" s="211">
        <f>IF(ROW()&lt;201,NA(),AVERAGE(INDEX(E:E,ROW()-199):E287))</f>
        <v/>
      </c>
      <c r="K287" s="341">
        <f>IF(ROW()&lt;22,NA(),_xlfn.STDEV.S(INDEX(H:H,ROW()-19):H287)*SQRT(252))</f>
        <v/>
      </c>
      <c r="L287" s="426" cm="1">
        <f t="array" ref="L287">IF(ROW()&lt;17,NA(),_xlfn.LET(_xlpm.d,INDEX(E:E,ROW()-13):E287-INDEX(E:E,ROW()-14):INDEX(E:E,ROW()-1),_xlpm.g,SUM(IF(_xlpm.d&gt;0,_xlpm.d,0)),_xlpm.l,-SUM(IF(_xlpm.d&lt;0,_xlpm.d,0)),IF(_xlpm.l=0,100,100-100/(1+_xlpm.g/_xlpm.l))))</f>
        <v/>
      </c>
      <c r="M287" s="211">
        <f>MAX($E$2:E287)</f>
        <v/>
      </c>
      <c r="N287" s="341">
        <f>E287/M287-1</f>
        <v/>
      </c>
    </row>
    <row r="288">
      <c r="A288" s="424" t="n">
        <v>44876</v>
      </c>
      <c r="B288" s="425" t="n">
        <v>92.39321065849605</v>
      </c>
      <c r="C288" s="425" t="n">
        <v>98.74864192198586</v>
      </c>
      <c r="D288" s="425" t="n">
        <v>92.23662929056462</v>
      </c>
      <c r="E288" s="425" t="n">
        <v>97.71703338623047</v>
      </c>
      <c r="F288" s="207" t="n">
        <v>12597500</v>
      </c>
      <c r="G288" s="208" t="n">
        <v>0.009678407101266329</v>
      </c>
      <c r="H288" s="209" cm="1">
        <f t="array" ref="H288">IF(ROW()&lt;3,"",E288/INDEX(E:E,ROW()-1)-1)</f>
        <v/>
      </c>
      <c r="I288" s="211">
        <f>IF(ROW()&lt;51,NA(),AVERAGE(INDEX(E:E,ROW()-49):E288))</f>
        <v/>
      </c>
      <c r="J288" s="211">
        <f>IF(ROW()&lt;201,NA(),AVERAGE(INDEX(E:E,ROW()-199):E288))</f>
        <v/>
      </c>
      <c r="K288" s="341">
        <f>IF(ROW()&lt;22,NA(),_xlfn.STDEV.S(INDEX(H:H,ROW()-19):H288)*SQRT(252))</f>
        <v/>
      </c>
      <c r="L288" s="426" cm="1">
        <f t="array" ref="L288">IF(ROW()&lt;17,NA(),_xlfn.LET(_xlpm.d,INDEX(E:E,ROW()-13):E288-INDEX(E:E,ROW()-14):INDEX(E:E,ROW()-1),_xlpm.g,SUM(IF(_xlpm.d&gt;0,_xlpm.d,0)),_xlpm.l,-SUM(IF(_xlpm.d&lt;0,_xlpm.d,0)),IF(_xlpm.l=0,100,100-100/(1+_xlpm.g/_xlpm.l))))</f>
        <v/>
      </c>
      <c r="M288" s="211">
        <f>MAX($E$2:E288)</f>
        <v/>
      </c>
      <c r="N288" s="341">
        <f>E288/M288-1</f>
        <v/>
      </c>
    </row>
    <row r="289">
      <c r="A289" s="424" t="n">
        <v>44879</v>
      </c>
      <c r="B289" s="425" t="n">
        <v>96.8972769324438</v>
      </c>
      <c r="C289" s="425" t="n">
        <v>98.03941722858833</v>
      </c>
      <c r="D289" s="425" t="n">
        <v>96.08673187505009</v>
      </c>
      <c r="E289" s="425" t="n">
        <v>96.15120697021484</v>
      </c>
      <c r="F289" s="207" t="n">
        <v>7134900</v>
      </c>
      <c r="G289" s="208" t="n">
        <v>-0.008506618544118716</v>
      </c>
      <c r="H289" s="209" cm="1">
        <f t="array" ref="H289">IF(ROW()&lt;3,"",E289/INDEX(E:E,ROW()-1)-1)</f>
        <v/>
      </c>
      <c r="I289" s="211">
        <f>IF(ROW()&lt;51,NA(),AVERAGE(INDEX(E:E,ROW()-49):E289))</f>
        <v/>
      </c>
      <c r="J289" s="211">
        <f>IF(ROW()&lt;201,NA(),AVERAGE(INDEX(E:E,ROW()-199):E289))</f>
        <v/>
      </c>
      <c r="K289" s="341">
        <f>IF(ROW()&lt;22,NA(),_xlfn.STDEV.S(INDEX(H:H,ROW()-19):H289)*SQRT(252))</f>
        <v/>
      </c>
      <c r="L289" s="426" cm="1">
        <f t="array" ref="L289">IF(ROW()&lt;17,NA(),_xlfn.LET(_xlpm.d,INDEX(E:E,ROW()-13):E289-INDEX(E:E,ROW()-14):INDEX(E:E,ROW()-1),_xlpm.g,SUM(IF(_xlpm.d&gt;0,_xlpm.d,0)),_xlpm.l,-SUM(IF(_xlpm.d&lt;0,_xlpm.d,0)),IF(_xlpm.l=0,100,100-100/(1+_xlpm.g/_xlpm.l))))</f>
        <v/>
      </c>
      <c r="M289" s="211">
        <f>MAX($E$2:E289)</f>
        <v/>
      </c>
      <c r="N289" s="341">
        <f>E289/M289-1</f>
        <v/>
      </c>
    </row>
    <row r="290">
      <c r="A290" s="424" t="n">
        <v>44880</v>
      </c>
      <c r="B290" s="425" t="n">
        <v>99.46709377830251</v>
      </c>
      <c r="C290" s="425" t="n">
        <v>100.6829150212851</v>
      </c>
      <c r="D290" s="425" t="n">
        <v>97.20124541761955</v>
      </c>
      <c r="E290" s="425" t="n">
        <v>98.28811645507812</v>
      </c>
      <c r="F290" s="207" t="n">
        <v>7242900</v>
      </c>
      <c r="G290" s="208" t="n">
        <v>0.008529084889640881</v>
      </c>
      <c r="H290" s="209" cm="1">
        <f t="array" ref="H290">IF(ROW()&lt;3,"",E290/INDEX(E:E,ROW()-1)-1)</f>
        <v/>
      </c>
      <c r="I290" s="211">
        <f>IF(ROW()&lt;51,NA(),AVERAGE(INDEX(E:E,ROW()-49):E290))</f>
        <v/>
      </c>
      <c r="J290" s="211">
        <f>IF(ROW()&lt;201,NA(),AVERAGE(INDEX(E:E,ROW()-199):E290))</f>
        <v/>
      </c>
      <c r="K290" s="341">
        <f>IF(ROW()&lt;22,NA(),_xlfn.STDEV.S(INDEX(H:H,ROW()-19):H290)*SQRT(252))</f>
        <v/>
      </c>
      <c r="L290" s="426" cm="1">
        <f t="array" ref="L290">IF(ROW()&lt;17,NA(),_xlfn.LET(_xlpm.d,INDEX(E:E,ROW()-13):E290-INDEX(E:E,ROW()-14):INDEX(E:E,ROW()-1),_xlpm.g,SUM(IF(_xlpm.d&gt;0,_xlpm.d,0)),_xlpm.l,-SUM(IF(_xlpm.d&lt;0,_xlpm.d,0)),IF(_xlpm.l=0,100,100-100/(1+_xlpm.g/_xlpm.l))))</f>
        <v/>
      </c>
      <c r="M290" s="211">
        <f>MAX($E$2:E290)</f>
        <v/>
      </c>
      <c r="N290" s="341">
        <f>E290/M290-1</f>
        <v/>
      </c>
    </row>
    <row r="291">
      <c r="A291" s="424" t="n">
        <v>44881</v>
      </c>
      <c r="B291" s="425" t="n">
        <v>96.94332994241087</v>
      </c>
      <c r="C291" s="425" t="n">
        <v>98.18678217517545</v>
      </c>
      <c r="D291" s="425" t="n">
        <v>96.50121000127378</v>
      </c>
      <c r="E291" s="425" t="n">
        <v>96.92491149902344</v>
      </c>
      <c r="F291" s="207" t="n">
        <v>5998700</v>
      </c>
      <c r="G291" s="208" t="n">
        <v>-0.007628738337073893</v>
      </c>
      <c r="H291" s="209" cm="1">
        <f t="array" ref="H291">IF(ROW()&lt;3,"",E291/INDEX(E:E,ROW()-1)-1)</f>
        <v/>
      </c>
      <c r="I291" s="211">
        <f>IF(ROW()&lt;51,NA(),AVERAGE(INDEX(E:E,ROW()-49):E291))</f>
        <v/>
      </c>
      <c r="J291" s="211">
        <f>IF(ROW()&lt;201,NA(),AVERAGE(INDEX(E:E,ROW()-199):E291))</f>
        <v/>
      </c>
      <c r="K291" s="341">
        <f>IF(ROW()&lt;22,NA(),_xlfn.STDEV.S(INDEX(H:H,ROW()-19):H291)*SQRT(252))</f>
        <v/>
      </c>
      <c r="L291" s="426" cm="1">
        <f t="array" ref="L291">IF(ROW()&lt;17,NA(),_xlfn.LET(_xlpm.d,INDEX(E:E,ROW()-13):E291-INDEX(E:E,ROW()-14):INDEX(E:E,ROW()-1),_xlpm.g,SUM(IF(_xlpm.d&gt;0,_xlpm.d,0)),_xlpm.l,-SUM(IF(_xlpm.d&lt;0,_xlpm.d,0)),IF(_xlpm.l=0,100,100-100/(1+_xlpm.g/_xlpm.l))))</f>
        <v/>
      </c>
      <c r="M291" s="211">
        <f>MAX($E$2:E291)</f>
        <v/>
      </c>
      <c r="N291" s="341">
        <f>E291/M291-1</f>
        <v/>
      </c>
    </row>
    <row r="292">
      <c r="A292" s="424" t="n">
        <v>44882</v>
      </c>
      <c r="B292" s="425" t="n">
        <v>95.89333143155379</v>
      </c>
      <c r="C292" s="425" t="n">
        <v>97.0815216593365</v>
      </c>
      <c r="D292" s="425" t="n">
        <v>94.79724750254475</v>
      </c>
      <c r="E292" s="425" t="n">
        <v>97.044677734375</v>
      </c>
      <c r="F292" s="207" t="n">
        <v>5252900</v>
      </c>
      <c r="G292" s="208" t="n">
        <v>-0.003059867776908476</v>
      </c>
      <c r="H292" s="209" cm="1">
        <f t="array" ref="H292">IF(ROW()&lt;3,"",E292/INDEX(E:E,ROW()-1)-1)</f>
        <v/>
      </c>
      <c r="I292" s="211">
        <f>IF(ROW()&lt;51,NA(),AVERAGE(INDEX(E:E,ROW()-49):E292))</f>
        <v/>
      </c>
      <c r="J292" s="211">
        <f>IF(ROW()&lt;201,NA(),AVERAGE(INDEX(E:E,ROW()-199):E292))</f>
        <v/>
      </c>
      <c r="K292" s="341">
        <f>IF(ROW()&lt;22,NA(),_xlfn.STDEV.S(INDEX(H:H,ROW()-19):H292)*SQRT(252))</f>
        <v/>
      </c>
      <c r="L292" s="426" cm="1">
        <f t="array" ref="L292">IF(ROW()&lt;17,NA(),_xlfn.LET(_xlpm.d,INDEX(E:E,ROW()-13):E292-INDEX(E:E,ROW()-14):INDEX(E:E,ROW()-1),_xlpm.g,SUM(IF(_xlpm.d&gt;0,_xlpm.d,0)),_xlpm.l,-SUM(IF(_xlpm.d&lt;0,_xlpm.d,0)),IF(_xlpm.l=0,100,100-100/(1+_xlpm.g/_xlpm.l))))</f>
        <v/>
      </c>
      <c r="M292" s="211">
        <f>MAX($E$2:E292)</f>
        <v/>
      </c>
      <c r="N292" s="341">
        <f>E292/M292-1</f>
        <v/>
      </c>
    </row>
    <row r="293">
      <c r="A293" s="424" t="n">
        <v>44883</v>
      </c>
      <c r="B293" s="425" t="n">
        <v>99.13548564578342</v>
      </c>
      <c r="C293" s="425" t="n">
        <v>99.21838620542808</v>
      </c>
      <c r="D293" s="425" t="n">
        <v>95.94856101207245</v>
      </c>
      <c r="E293" s="425" t="n">
        <v>97.09990692138672</v>
      </c>
      <c r="F293" s="207" t="n">
        <v>5498900</v>
      </c>
      <c r="G293" s="208" t="n">
        <v>0.004540295952060625</v>
      </c>
      <c r="H293" s="209" cm="1">
        <f t="array" ref="H293">IF(ROW()&lt;3,"",E293/INDEX(E:E,ROW()-1)-1)</f>
        <v/>
      </c>
      <c r="I293" s="211">
        <f>IF(ROW()&lt;51,NA(),AVERAGE(INDEX(E:E,ROW()-49):E293))</f>
        <v/>
      </c>
      <c r="J293" s="211">
        <f>IF(ROW()&lt;201,NA(),AVERAGE(INDEX(E:E,ROW()-199):E293))</f>
        <v/>
      </c>
      <c r="K293" s="341">
        <f>IF(ROW()&lt;22,NA(),_xlfn.STDEV.S(INDEX(H:H,ROW()-19):H293)*SQRT(252))</f>
        <v/>
      </c>
      <c r="L293" s="426" cm="1">
        <f t="array" ref="L293">IF(ROW()&lt;17,NA(),_xlfn.LET(_xlpm.d,INDEX(E:E,ROW()-13):E293-INDEX(E:E,ROW()-14):INDEX(E:E,ROW()-1),_xlpm.g,SUM(IF(_xlpm.d&gt;0,_xlpm.d,0)),_xlpm.l,-SUM(IF(_xlpm.d&lt;0,_xlpm.d,0)),IF(_xlpm.l=0,100,100-100/(1+_xlpm.g/_xlpm.l))))</f>
        <v/>
      </c>
      <c r="M293" s="211">
        <f>MAX($E$2:E293)</f>
        <v/>
      </c>
      <c r="N293" s="341">
        <f>E293/M293-1</f>
        <v/>
      </c>
    </row>
    <row r="294">
      <c r="A294" s="424" t="n">
        <v>44886</v>
      </c>
      <c r="B294" s="425" t="n">
        <v>96.35386065218161</v>
      </c>
      <c r="C294" s="425" t="n">
        <v>97.15520013140998</v>
      </c>
      <c r="D294" s="425" t="n">
        <v>95.42357096166489</v>
      </c>
      <c r="E294" s="425" t="n">
        <v>95.63542175292969</v>
      </c>
      <c r="F294" s="207" t="n">
        <v>4774800</v>
      </c>
      <c r="G294" s="208" t="n">
        <v>-0.003636012725719895</v>
      </c>
      <c r="H294" s="209" cm="1">
        <f t="array" ref="H294">IF(ROW()&lt;3,"",E294/INDEX(E:E,ROW()-1)-1)</f>
        <v/>
      </c>
      <c r="I294" s="211">
        <f>IF(ROW()&lt;51,NA(),AVERAGE(INDEX(E:E,ROW()-49):E294))</f>
        <v/>
      </c>
      <c r="J294" s="211">
        <f>IF(ROW()&lt;201,NA(),AVERAGE(INDEX(E:E,ROW()-199):E294))</f>
        <v/>
      </c>
      <c r="K294" s="341">
        <f>IF(ROW()&lt;22,NA(),_xlfn.STDEV.S(INDEX(H:H,ROW()-19):H294)*SQRT(252))</f>
        <v/>
      </c>
      <c r="L294" s="426" cm="1">
        <f t="array" ref="L294">IF(ROW()&lt;17,NA(),_xlfn.LET(_xlpm.d,INDEX(E:E,ROW()-13):E294-INDEX(E:E,ROW()-14):INDEX(E:E,ROW()-1),_xlpm.g,SUM(IF(_xlpm.d&gt;0,_xlpm.d,0)),_xlpm.l,-SUM(IF(_xlpm.d&lt;0,_xlpm.d,0)),IF(_xlpm.l=0,100,100-100/(1+_xlpm.g/_xlpm.l))))</f>
        <v/>
      </c>
      <c r="M294" s="211">
        <f>MAX($E$2:E294)</f>
        <v/>
      </c>
      <c r="N294" s="341">
        <f>E294/M294-1</f>
        <v/>
      </c>
    </row>
    <row r="295">
      <c r="A295" s="424" t="n">
        <v>44887</v>
      </c>
      <c r="B295" s="425" t="n">
        <v>96.36306164700065</v>
      </c>
      <c r="C295" s="425" t="n">
        <v>97.78152082558491</v>
      </c>
      <c r="D295" s="425" t="n">
        <v>95.64461580803568</v>
      </c>
      <c r="E295" s="425" t="n">
        <v>97.60651397705078</v>
      </c>
      <c r="F295" s="207" t="n">
        <v>5313200</v>
      </c>
      <c r="G295" s="208" t="n">
        <v>0.01345697012370661</v>
      </c>
      <c r="H295" s="209" cm="1">
        <f t="array" ref="H295">IF(ROW()&lt;3,"",E295/INDEX(E:E,ROW()-1)-1)</f>
        <v/>
      </c>
      <c r="I295" s="211">
        <f>IF(ROW()&lt;51,NA(),AVERAGE(INDEX(E:E,ROW()-49):E295))</f>
        <v/>
      </c>
      <c r="J295" s="211">
        <f>IF(ROW()&lt;201,NA(),AVERAGE(INDEX(E:E,ROW()-199):E295))</f>
        <v/>
      </c>
      <c r="K295" s="341">
        <f>IF(ROW()&lt;22,NA(),_xlfn.STDEV.S(INDEX(H:H,ROW()-19):H295)*SQRT(252))</f>
        <v/>
      </c>
      <c r="L295" s="426" cm="1">
        <f t="array" ref="L295">IF(ROW()&lt;17,NA(),_xlfn.LET(_xlpm.d,INDEX(E:E,ROW()-13):E295-INDEX(E:E,ROW()-14):INDEX(E:E,ROW()-1),_xlpm.g,SUM(IF(_xlpm.d&gt;0,_xlpm.d,0)),_xlpm.l,-SUM(IF(_xlpm.d&lt;0,_xlpm.d,0)),IF(_xlpm.l=0,100,100-100/(1+_xlpm.g/_xlpm.l))))</f>
        <v/>
      </c>
      <c r="M295" s="211">
        <f>MAX($E$2:E295)</f>
        <v/>
      </c>
      <c r="N295" s="341">
        <f>E295/M295-1</f>
        <v/>
      </c>
    </row>
    <row r="296">
      <c r="A296" s="424" t="n">
        <v>44888</v>
      </c>
      <c r="B296" s="425" t="n">
        <v>97.6341401701101</v>
      </c>
      <c r="C296" s="425" t="n">
        <v>98.53679852028021</v>
      </c>
      <c r="D296" s="425" t="n">
        <v>96.92491413067934</v>
      </c>
      <c r="E296" s="425" t="n">
        <v>98.23284149169922</v>
      </c>
      <c r="F296" s="207" t="n">
        <v>3873100</v>
      </c>
      <c r="G296" s="208" t="n">
        <v>0.006301605132204902</v>
      </c>
      <c r="H296" s="209" cm="1">
        <f t="array" ref="H296">IF(ROW()&lt;3,"",E296/INDEX(E:E,ROW()-1)-1)</f>
        <v/>
      </c>
      <c r="I296" s="211">
        <f>IF(ROW()&lt;51,NA(),AVERAGE(INDEX(E:E,ROW()-49):E296))</f>
        <v/>
      </c>
      <c r="J296" s="211">
        <f>IF(ROW()&lt;201,NA(),AVERAGE(INDEX(E:E,ROW()-199):E296))</f>
        <v/>
      </c>
      <c r="K296" s="341">
        <f>IF(ROW()&lt;22,NA(),_xlfn.STDEV.S(INDEX(H:H,ROW()-19):H296)*SQRT(252))</f>
        <v/>
      </c>
      <c r="L296" s="426" cm="1">
        <f t="array" ref="L296">IF(ROW()&lt;17,NA(),_xlfn.LET(_xlpm.d,INDEX(E:E,ROW()-13):E296-INDEX(E:E,ROW()-14):INDEX(E:E,ROW()-1),_xlpm.g,SUM(IF(_xlpm.d&gt;0,_xlpm.d,0)),_xlpm.l,-SUM(IF(_xlpm.d&lt;0,_xlpm.d,0)),IF(_xlpm.l=0,100,100-100/(1+_xlpm.g/_xlpm.l))))</f>
        <v/>
      </c>
      <c r="M296" s="211">
        <f>MAX($E$2:E296)</f>
        <v/>
      </c>
      <c r="N296" s="341">
        <f>E296/M296-1</f>
        <v/>
      </c>
    </row>
    <row r="297">
      <c r="A297" s="424" t="n">
        <v>44890</v>
      </c>
      <c r="B297" s="425" t="n">
        <v>98.0486310011246</v>
      </c>
      <c r="C297" s="425" t="n">
        <v>98.72102021507982</v>
      </c>
      <c r="D297" s="425" t="n">
        <v>97.22887314064016</v>
      </c>
      <c r="E297" s="425" t="n">
        <v>97.59730529785156</v>
      </c>
      <c r="F297" s="207" t="n">
        <v>3426100</v>
      </c>
      <c r="G297" s="208" t="n">
        <v>-0.0002238020241862593</v>
      </c>
      <c r="H297" s="209" cm="1">
        <f t="array" ref="H297">IF(ROW()&lt;3,"",E297/INDEX(E:E,ROW()-1)-1)</f>
        <v/>
      </c>
      <c r="I297" s="211">
        <f>IF(ROW()&lt;51,NA(),AVERAGE(INDEX(E:E,ROW()-49):E297))</f>
        <v/>
      </c>
      <c r="J297" s="211">
        <f>IF(ROW()&lt;201,NA(),AVERAGE(INDEX(E:E,ROW()-199):E297))</f>
        <v/>
      </c>
      <c r="K297" s="341">
        <f>IF(ROW()&lt;22,NA(),_xlfn.STDEV.S(INDEX(H:H,ROW()-19):H297)*SQRT(252))</f>
        <v/>
      </c>
      <c r="L297" s="426" cm="1">
        <f t="array" ref="L297">IF(ROW()&lt;17,NA(),_xlfn.LET(_xlpm.d,INDEX(E:E,ROW()-13):E297-INDEX(E:E,ROW()-14):INDEX(E:E,ROW()-1),_xlpm.g,SUM(IF(_xlpm.d&gt;0,_xlpm.d,0)),_xlpm.l,-SUM(IF(_xlpm.d&lt;0,_xlpm.d,0)),IF(_xlpm.l=0,100,100-100/(1+_xlpm.g/_xlpm.l))))</f>
        <v/>
      </c>
      <c r="M297" s="211">
        <f>MAX($E$2:E297)</f>
        <v/>
      </c>
      <c r="N297" s="341">
        <f>E297/M297-1</f>
        <v/>
      </c>
    </row>
    <row r="298">
      <c r="A298" s="424" t="n">
        <v>44893</v>
      </c>
      <c r="B298" s="425" t="n">
        <v>96.94334453076861</v>
      </c>
      <c r="C298" s="425" t="n">
        <v>97.91047809471081</v>
      </c>
      <c r="D298" s="425" t="n">
        <v>96.39069979162699</v>
      </c>
      <c r="E298" s="425" t="n">
        <v>96.67623138427734</v>
      </c>
      <c r="F298" s="207" t="n">
        <v>6967400</v>
      </c>
      <c r="G298" s="208" t="n">
        <v>-0.01595685358185761</v>
      </c>
      <c r="H298" s="209" cm="1">
        <f t="array" ref="H298">IF(ROW()&lt;3,"",E298/INDEX(E:E,ROW()-1)-1)</f>
        <v/>
      </c>
      <c r="I298" s="211">
        <f>IF(ROW()&lt;51,NA(),AVERAGE(INDEX(E:E,ROW()-49):E298))</f>
        <v/>
      </c>
      <c r="J298" s="211">
        <f>IF(ROW()&lt;201,NA(),AVERAGE(INDEX(E:E,ROW()-199):E298))</f>
        <v/>
      </c>
      <c r="K298" s="341">
        <f>IF(ROW()&lt;22,NA(),_xlfn.STDEV.S(INDEX(H:H,ROW()-19):H298)*SQRT(252))</f>
        <v/>
      </c>
      <c r="L298" s="426" cm="1">
        <f t="array" ref="L298">IF(ROW()&lt;17,NA(),_xlfn.LET(_xlpm.d,INDEX(E:E,ROW()-13):E298-INDEX(E:E,ROW()-14):INDEX(E:E,ROW()-1),_xlpm.g,SUM(IF(_xlpm.d&gt;0,_xlpm.d,0)),_xlpm.l,-SUM(IF(_xlpm.d&lt;0,_xlpm.d,0)),IF(_xlpm.l=0,100,100-100/(1+_xlpm.g/_xlpm.l))))</f>
        <v/>
      </c>
      <c r="M298" s="211">
        <f>MAX($E$2:E298)</f>
        <v/>
      </c>
      <c r="N298" s="341">
        <f>E298/M298-1</f>
        <v/>
      </c>
    </row>
    <row r="299">
      <c r="A299" s="424" t="n">
        <v>44894</v>
      </c>
      <c r="B299" s="425" t="n">
        <v>97.05387290909283</v>
      </c>
      <c r="C299" s="425" t="n">
        <v>98.38943156777223</v>
      </c>
      <c r="D299" s="425" t="n">
        <v>96.82360369019922</v>
      </c>
      <c r="E299" s="425" t="n">
        <v>97.86441802978516</v>
      </c>
      <c r="F299" s="207" t="n">
        <v>8494400</v>
      </c>
      <c r="G299" s="208" t="n">
        <v>-0.001717562318261034</v>
      </c>
      <c r="H299" s="209" cm="1">
        <f t="array" ref="H299">IF(ROW()&lt;3,"",E299/INDEX(E:E,ROW()-1)-1)</f>
        <v/>
      </c>
      <c r="I299" s="211">
        <f>IF(ROW()&lt;51,NA(),AVERAGE(INDEX(E:E,ROW()-49):E299))</f>
        <v/>
      </c>
      <c r="J299" s="211">
        <f>IF(ROW()&lt;201,NA(),AVERAGE(INDEX(E:E,ROW()-199):E299))</f>
        <v/>
      </c>
      <c r="K299" s="341">
        <f>IF(ROW()&lt;22,NA(),_xlfn.STDEV.S(INDEX(H:H,ROW()-19):H299)*SQRT(252))</f>
        <v/>
      </c>
      <c r="L299" s="426" cm="1">
        <f t="array" ref="L299">IF(ROW()&lt;17,NA(),_xlfn.LET(_xlpm.d,INDEX(E:E,ROW()-13):E299-INDEX(E:E,ROW()-14):INDEX(E:E,ROW()-1),_xlpm.g,SUM(IF(_xlpm.d&gt;0,_xlpm.d,0)),_xlpm.l,-SUM(IF(_xlpm.d&lt;0,_xlpm.d,0)),IF(_xlpm.l=0,100,100-100/(1+_xlpm.g/_xlpm.l))))</f>
        <v/>
      </c>
      <c r="M299" s="211">
        <f>MAX($E$2:E299)</f>
        <v/>
      </c>
      <c r="N299" s="341">
        <f>E299/M299-1</f>
        <v/>
      </c>
    </row>
    <row r="300">
      <c r="A300" s="424" t="n">
        <v>44895</v>
      </c>
      <c r="B300" s="425" t="n">
        <v>98.62891717046378</v>
      </c>
      <c r="C300" s="425" t="n">
        <v>101.0329284667969</v>
      </c>
      <c r="D300" s="425" t="n">
        <v>97.12755731030975</v>
      </c>
      <c r="E300" s="425" t="n">
        <v>101.0329284667969</v>
      </c>
      <c r="F300" s="207" t="n">
        <v>16251000</v>
      </c>
      <c r="G300" s="208" t="n">
        <v>0.03150053011877318</v>
      </c>
      <c r="H300" s="209" cm="1">
        <f t="array" ref="H300">IF(ROW()&lt;3,"",E300/INDEX(E:E,ROW()-1)-1)</f>
        <v/>
      </c>
      <c r="I300" s="211">
        <f>IF(ROW()&lt;51,NA(),AVERAGE(INDEX(E:E,ROW()-49):E300))</f>
        <v/>
      </c>
      <c r="J300" s="211">
        <f>IF(ROW()&lt;201,NA(),AVERAGE(INDEX(E:E,ROW()-199):E300))</f>
        <v/>
      </c>
      <c r="K300" s="341">
        <f>IF(ROW()&lt;22,NA(),_xlfn.STDEV.S(INDEX(H:H,ROW()-19):H300)*SQRT(252))</f>
        <v/>
      </c>
      <c r="L300" s="426" cm="1">
        <f t="array" ref="L300">IF(ROW()&lt;17,NA(),_xlfn.LET(_xlpm.d,INDEX(E:E,ROW()-13):E300-INDEX(E:E,ROW()-14):INDEX(E:E,ROW()-1),_xlpm.g,SUM(IF(_xlpm.d&gt;0,_xlpm.d,0)),_xlpm.l,-SUM(IF(_xlpm.d&lt;0,_xlpm.d,0)),IF(_xlpm.l=0,100,100-100/(1+_xlpm.g/_xlpm.l))))</f>
        <v/>
      </c>
      <c r="M300" s="211">
        <f>MAX($E$2:E300)</f>
        <v/>
      </c>
      <c r="N300" s="341">
        <f>E300/M300-1</f>
        <v/>
      </c>
    </row>
    <row r="301">
      <c r="A301" s="424" t="n">
        <v>44896</v>
      </c>
      <c r="B301" s="425" t="n">
        <v>101.4013484943699</v>
      </c>
      <c r="C301" s="425" t="n">
        <v>103.0316584774629</v>
      </c>
      <c r="D301" s="425" t="n">
        <v>100.9039731722406</v>
      </c>
      <c r="E301" s="425" t="n">
        <v>102.3408508300781</v>
      </c>
      <c r="F301" s="207" t="n">
        <v>7822900</v>
      </c>
      <c r="G301" s="208" t="n">
        <v>-0.0007359085612719252</v>
      </c>
      <c r="H301" s="209" cm="1">
        <f t="array" ref="H301">IF(ROW()&lt;3,"",E301/INDEX(E:E,ROW()-1)-1)</f>
        <v/>
      </c>
      <c r="I301" s="211">
        <f>IF(ROW()&lt;51,NA(),AVERAGE(INDEX(E:E,ROW()-49):E301))</f>
        <v/>
      </c>
      <c r="J301" s="211">
        <f>IF(ROW()&lt;201,NA(),AVERAGE(INDEX(E:E,ROW()-199):E301))</f>
        <v/>
      </c>
      <c r="K301" s="341">
        <f>IF(ROW()&lt;22,NA(),_xlfn.STDEV.S(INDEX(H:H,ROW()-19):H301)*SQRT(252))</f>
        <v/>
      </c>
      <c r="L301" s="426" cm="1">
        <f t="array" ref="L301">IF(ROW()&lt;17,NA(),_xlfn.LET(_xlpm.d,INDEX(E:E,ROW()-13):E301-INDEX(E:E,ROW()-14):INDEX(E:E,ROW()-1),_xlpm.g,SUM(IF(_xlpm.d&gt;0,_xlpm.d,0)),_xlpm.l,-SUM(IF(_xlpm.d&lt;0,_xlpm.d,0)),IF(_xlpm.l=0,100,100-100/(1+_xlpm.g/_xlpm.l))))</f>
        <v/>
      </c>
      <c r="M301" s="211">
        <f>MAX($E$2:E301)</f>
        <v/>
      </c>
      <c r="N301" s="341">
        <f>E301/M301-1</f>
        <v/>
      </c>
    </row>
    <row r="302">
      <c r="A302" s="424" t="n">
        <v>44897</v>
      </c>
      <c r="B302" s="425" t="n">
        <v>100.3821778856898</v>
      </c>
      <c r="C302" s="425" t="n">
        <v>104.1332261270021</v>
      </c>
      <c r="D302" s="425" t="n">
        <v>100.095762832868</v>
      </c>
      <c r="E302" s="425" t="n">
        <v>103.6620330810547</v>
      </c>
      <c r="F302" s="207" t="n">
        <v>5892000</v>
      </c>
      <c r="G302" s="208" t="n">
        <v>-0.001153514744435369</v>
      </c>
      <c r="H302" s="209" cm="1">
        <f t="array" ref="H302">IF(ROW()&lt;3,"",E302/INDEX(E:E,ROW()-1)-1)</f>
        <v/>
      </c>
      <c r="I302" s="211">
        <f>IF(ROW()&lt;51,NA(),AVERAGE(INDEX(E:E,ROW()-49):E302))</f>
        <v/>
      </c>
      <c r="J302" s="211">
        <f>IF(ROW()&lt;201,NA(),AVERAGE(INDEX(E:E,ROW()-199):E302))</f>
        <v/>
      </c>
      <c r="K302" s="341">
        <f>IF(ROW()&lt;22,NA(),_xlfn.STDEV.S(INDEX(H:H,ROW()-19):H302)*SQRT(252))</f>
        <v/>
      </c>
      <c r="L302" s="426" cm="1">
        <f t="array" ref="L302">IF(ROW()&lt;17,NA(),_xlfn.LET(_xlpm.d,INDEX(E:E,ROW()-13):E302-INDEX(E:E,ROW()-14):INDEX(E:E,ROW()-1),_xlpm.g,SUM(IF(_xlpm.d&gt;0,_xlpm.d,0)),_xlpm.l,-SUM(IF(_xlpm.d&lt;0,_xlpm.d,0)),IF(_xlpm.l=0,100,100-100/(1+_xlpm.g/_xlpm.l))))</f>
        <v/>
      </c>
      <c r="M302" s="211">
        <f>MAX($E$2:E302)</f>
        <v/>
      </c>
      <c r="N302" s="341">
        <f>E302/M302-1</f>
        <v/>
      </c>
    </row>
    <row r="303">
      <c r="A303" s="424" t="n">
        <v>44900</v>
      </c>
      <c r="B303" s="425" t="n">
        <v>102.5718415937787</v>
      </c>
      <c r="C303" s="425" t="n">
        <v>102.6734716200925</v>
      </c>
      <c r="D303" s="425" t="n">
        <v>100.8811022581102</v>
      </c>
      <c r="E303" s="425" t="n">
        <v>101.2783813476562</v>
      </c>
      <c r="F303" s="207" t="n">
        <v>6220100</v>
      </c>
      <c r="G303" s="208" t="n">
        <v>-0.01798946530036638</v>
      </c>
      <c r="H303" s="209" cm="1">
        <f t="array" ref="H303">IF(ROW()&lt;3,"",E303/INDEX(E:E,ROW()-1)-1)</f>
        <v/>
      </c>
      <c r="I303" s="211">
        <f>IF(ROW()&lt;51,NA(),AVERAGE(INDEX(E:E,ROW()-49):E303))</f>
        <v/>
      </c>
      <c r="J303" s="211">
        <f>IF(ROW()&lt;201,NA(),AVERAGE(INDEX(E:E,ROW()-199):E303))</f>
        <v/>
      </c>
      <c r="K303" s="341">
        <f>IF(ROW()&lt;22,NA(),_xlfn.STDEV.S(INDEX(H:H,ROW()-19):H303)*SQRT(252))</f>
        <v/>
      </c>
      <c r="L303" s="426" cm="1">
        <f t="array" ref="L303">IF(ROW()&lt;17,NA(),_xlfn.LET(_xlpm.d,INDEX(E:E,ROW()-13):E303-INDEX(E:E,ROW()-14):INDEX(E:E,ROW()-1),_xlpm.g,SUM(IF(_xlpm.d&gt;0,_xlpm.d,0)),_xlpm.l,-SUM(IF(_xlpm.d&lt;0,_xlpm.d,0)),IF(_xlpm.l=0,100,100-100/(1+_xlpm.g/_xlpm.l))))</f>
        <v/>
      </c>
      <c r="M303" s="211">
        <f>MAX($E$2:E303)</f>
        <v/>
      </c>
      <c r="N303" s="341">
        <f>E303/M303-1</f>
        <v/>
      </c>
    </row>
    <row r="304">
      <c r="A304" s="424" t="n">
        <v>44901</v>
      </c>
      <c r="B304" s="425" t="n">
        <v>101.3061040735791</v>
      </c>
      <c r="C304" s="425" t="n">
        <v>102.1191372892529</v>
      </c>
      <c r="D304" s="425" t="n">
        <v>98.62678029513945</v>
      </c>
      <c r="E304" s="425" t="n">
        <v>99.71698760986328</v>
      </c>
      <c r="F304" s="207" t="n">
        <v>7086100</v>
      </c>
      <c r="G304" s="208" t="n">
        <v>-0.01441479877727914</v>
      </c>
      <c r="H304" s="209" cm="1">
        <f t="array" ref="H304">IF(ROW()&lt;3,"",E304/INDEX(E:E,ROW()-1)-1)</f>
        <v/>
      </c>
      <c r="I304" s="211">
        <f>IF(ROW()&lt;51,NA(),AVERAGE(INDEX(E:E,ROW()-49):E304))</f>
        <v/>
      </c>
      <c r="J304" s="211">
        <f>IF(ROW()&lt;201,NA(),AVERAGE(INDEX(E:E,ROW()-199):E304))</f>
        <v/>
      </c>
      <c r="K304" s="341">
        <f>IF(ROW()&lt;22,NA(),_xlfn.STDEV.S(INDEX(H:H,ROW()-19):H304)*SQRT(252))</f>
        <v/>
      </c>
      <c r="L304" s="426" cm="1">
        <f t="array" ref="L304">IF(ROW()&lt;17,NA(),_xlfn.LET(_xlpm.d,INDEX(E:E,ROW()-13):E304-INDEX(E:E,ROW()-14):INDEX(E:E,ROW()-1),_xlpm.g,SUM(IF(_xlpm.d&gt;0,_xlpm.d,0)),_xlpm.l,-SUM(IF(_xlpm.d&lt;0,_xlpm.d,0)),IF(_xlpm.l=0,100,100-100/(1+_xlpm.g/_xlpm.l))))</f>
        <v/>
      </c>
      <c r="M304" s="211">
        <f>MAX($E$2:E304)</f>
        <v/>
      </c>
      <c r="N304" s="341">
        <f>E304/M304-1</f>
        <v/>
      </c>
    </row>
    <row r="305">
      <c r="A305" s="424" t="n">
        <v>44902</v>
      </c>
      <c r="B305" s="425" t="n">
        <v>99.15337992218757</v>
      </c>
      <c r="C305" s="425" t="n">
        <v>100.8164099907634</v>
      </c>
      <c r="D305" s="425" t="n">
        <v>98.91316290143143</v>
      </c>
      <c r="E305" s="425" t="n">
        <v>100.0865249633789</v>
      </c>
      <c r="F305" s="207" t="n">
        <v>5751500</v>
      </c>
      <c r="G305" s="208" t="n">
        <v>-0.001701170236017346</v>
      </c>
      <c r="H305" s="209" cm="1">
        <f t="array" ref="H305">IF(ROW()&lt;3,"",E305/INDEX(E:E,ROW()-1)-1)</f>
        <v/>
      </c>
      <c r="I305" s="211">
        <f>IF(ROW()&lt;51,NA(),AVERAGE(INDEX(E:E,ROW()-49):E305))</f>
        <v/>
      </c>
      <c r="J305" s="211">
        <f>IF(ROW()&lt;201,NA(),AVERAGE(INDEX(E:E,ROW()-199):E305))</f>
        <v/>
      </c>
      <c r="K305" s="341">
        <f>IF(ROW()&lt;22,NA(),_xlfn.STDEV.S(INDEX(H:H,ROW()-19):H305)*SQRT(252))</f>
        <v/>
      </c>
      <c r="L305" s="426" cm="1">
        <f t="array" ref="L305">IF(ROW()&lt;17,NA(),_xlfn.LET(_xlpm.d,INDEX(E:E,ROW()-13):E305-INDEX(E:E,ROW()-14):INDEX(E:E,ROW()-1),_xlpm.g,SUM(IF(_xlpm.d&gt;0,_xlpm.d,0)),_xlpm.l,-SUM(IF(_xlpm.d&lt;0,_xlpm.d,0)),IF(_xlpm.l=0,100,100-100/(1+_xlpm.g/_xlpm.l))))</f>
        <v/>
      </c>
      <c r="M305" s="211">
        <f>MAX($E$2:E305)</f>
        <v/>
      </c>
      <c r="N305" s="341">
        <f>E305/M305-1</f>
        <v/>
      </c>
    </row>
    <row r="306">
      <c r="A306" s="424" t="n">
        <v>44903</v>
      </c>
      <c r="B306" s="425" t="n">
        <v>100.3359860932641</v>
      </c>
      <c r="C306" s="425" t="n">
        <v>103.006068438048</v>
      </c>
      <c r="D306" s="425" t="n">
        <v>100.2066400802789</v>
      </c>
      <c r="E306" s="425" t="n">
        <v>102.8859634399414</v>
      </c>
      <c r="F306" s="207" t="n">
        <v>6192800</v>
      </c>
      <c r="G306" s="208" t="n">
        <v>0.007834025430885738</v>
      </c>
      <c r="H306" s="209" cm="1">
        <f t="array" ref="H306">IF(ROW()&lt;3,"",E306/INDEX(E:E,ROW()-1)-1)</f>
        <v/>
      </c>
      <c r="I306" s="211">
        <f>IF(ROW()&lt;51,NA(),AVERAGE(INDEX(E:E,ROW()-49):E306))</f>
        <v/>
      </c>
      <c r="J306" s="211">
        <f>IF(ROW()&lt;201,NA(),AVERAGE(INDEX(E:E,ROW()-199):E306))</f>
        <v/>
      </c>
      <c r="K306" s="341">
        <f>IF(ROW()&lt;22,NA(),_xlfn.STDEV.S(INDEX(H:H,ROW()-19):H306)*SQRT(252))</f>
        <v/>
      </c>
      <c r="L306" s="426" cm="1">
        <f t="array" ref="L306">IF(ROW()&lt;17,NA(),_xlfn.LET(_xlpm.d,INDEX(E:E,ROW()-13):E306-INDEX(E:E,ROW()-14):INDEX(E:E,ROW()-1),_xlpm.g,SUM(IF(_xlpm.d&gt;0,_xlpm.d,0)),_xlpm.l,-SUM(IF(_xlpm.d&lt;0,_xlpm.d,0)),IF(_xlpm.l=0,100,100-100/(1+_xlpm.g/_xlpm.l))))</f>
        <v/>
      </c>
      <c r="M306" s="211">
        <f>MAX($E$2:E306)</f>
        <v/>
      </c>
      <c r="N306" s="341">
        <f>E306/M306-1</f>
        <v/>
      </c>
    </row>
    <row r="307">
      <c r="A307" s="424" t="n">
        <v>44904</v>
      </c>
      <c r="B307" s="425" t="n">
        <v>101.832715917724</v>
      </c>
      <c r="C307" s="425" t="n">
        <v>102.9044410597752</v>
      </c>
      <c r="D307" s="425" t="n">
        <v>100.9457687850105</v>
      </c>
      <c r="E307" s="425" t="n">
        <v>101.0935897827148</v>
      </c>
      <c r="F307" s="207" t="n">
        <v>5677700</v>
      </c>
      <c r="G307" s="208" t="n">
        <v>-0.007470073751657091</v>
      </c>
      <c r="H307" s="209" cm="1">
        <f t="array" ref="H307">IF(ROW()&lt;3,"",E307/INDEX(E:E,ROW()-1)-1)</f>
        <v/>
      </c>
      <c r="I307" s="211">
        <f>IF(ROW()&lt;51,NA(),AVERAGE(INDEX(E:E,ROW()-49):E307))</f>
        <v/>
      </c>
      <c r="J307" s="211">
        <f>IF(ROW()&lt;201,NA(),AVERAGE(INDEX(E:E,ROW()-199):E307))</f>
        <v/>
      </c>
      <c r="K307" s="341">
        <f>IF(ROW()&lt;22,NA(),_xlfn.STDEV.S(INDEX(H:H,ROW()-19):H307)*SQRT(252))</f>
        <v/>
      </c>
      <c r="L307" s="426" cm="1">
        <f t="array" ref="L307">IF(ROW()&lt;17,NA(),_xlfn.LET(_xlpm.d,INDEX(E:E,ROW()-13):E307-INDEX(E:E,ROW()-14):INDEX(E:E,ROW()-1),_xlpm.g,SUM(IF(_xlpm.d&gt;0,_xlpm.d,0)),_xlpm.l,-SUM(IF(_xlpm.d&lt;0,_xlpm.d,0)),IF(_xlpm.l=0,100,100-100/(1+_xlpm.g/_xlpm.l))))</f>
        <v/>
      </c>
      <c r="M307" s="211">
        <f>MAX($E$2:E307)</f>
        <v/>
      </c>
      <c r="N307" s="341">
        <f>E307/M307-1</f>
        <v/>
      </c>
    </row>
    <row r="308">
      <c r="A308" s="424" t="n">
        <v>44907</v>
      </c>
      <c r="B308" s="425" t="n">
        <v>101.7218239754705</v>
      </c>
      <c r="C308" s="425" t="n">
        <v>103.6343048792344</v>
      </c>
      <c r="D308" s="425" t="n">
        <v>101.3615019971402</v>
      </c>
      <c r="E308" s="425" t="n">
        <v>103.5419158935547</v>
      </c>
      <c r="F308" s="207" t="n">
        <v>6426000</v>
      </c>
      <c r="G308" s="208" t="n">
        <v>0.01441690720726041</v>
      </c>
      <c r="H308" s="209" cm="1">
        <f t="array" ref="H308">IF(ROW()&lt;3,"",E308/INDEX(E:E,ROW()-1)-1)</f>
        <v/>
      </c>
      <c r="I308" s="211">
        <f>IF(ROW()&lt;51,NA(),AVERAGE(INDEX(E:E,ROW()-49):E308))</f>
        <v/>
      </c>
      <c r="J308" s="211">
        <f>IF(ROW()&lt;201,NA(),AVERAGE(INDEX(E:E,ROW()-199):E308))</f>
        <v/>
      </c>
      <c r="K308" s="341">
        <f>IF(ROW()&lt;22,NA(),_xlfn.STDEV.S(INDEX(H:H,ROW()-19):H308)*SQRT(252))</f>
        <v/>
      </c>
      <c r="L308" s="426" cm="1">
        <f t="array" ref="L308">IF(ROW()&lt;17,NA(),_xlfn.LET(_xlpm.d,INDEX(E:E,ROW()-13):E308-INDEX(E:E,ROW()-14):INDEX(E:E,ROW()-1),_xlpm.g,SUM(IF(_xlpm.d&gt;0,_xlpm.d,0)),_xlpm.l,-SUM(IF(_xlpm.d&lt;0,_xlpm.d,0)),IF(_xlpm.l=0,100,100-100/(1+_xlpm.g/_xlpm.l))))</f>
        <v/>
      </c>
      <c r="M308" s="211">
        <f>MAX($E$2:E308)</f>
        <v/>
      </c>
      <c r="N308" s="341">
        <f>E308/M308-1</f>
        <v/>
      </c>
    </row>
    <row r="309">
      <c r="A309" s="424" t="n">
        <v>44908</v>
      </c>
      <c r="B309" s="425" t="n">
        <v>106.8125426416909</v>
      </c>
      <c r="C309" s="425" t="n">
        <v>107.5886186228874</v>
      </c>
      <c r="D309" s="425" t="n">
        <v>102.7843206137319</v>
      </c>
      <c r="E309" s="425" t="n">
        <v>104.262565612793</v>
      </c>
      <c r="F309" s="207" t="n">
        <v>8655300</v>
      </c>
      <c r="G309" s="208" t="n">
        <v>0.007570153288332993</v>
      </c>
      <c r="H309" s="209" cm="1">
        <f t="array" ref="H309">IF(ROW()&lt;3,"",E309/INDEX(E:E,ROW()-1)-1)</f>
        <v/>
      </c>
      <c r="I309" s="211">
        <f>IF(ROW()&lt;51,NA(),AVERAGE(INDEX(E:E,ROW()-49):E309))</f>
        <v/>
      </c>
      <c r="J309" s="211">
        <f>IF(ROW()&lt;201,NA(),AVERAGE(INDEX(E:E,ROW()-199):E309))</f>
        <v/>
      </c>
      <c r="K309" s="341">
        <f>IF(ROW()&lt;22,NA(),_xlfn.STDEV.S(INDEX(H:H,ROW()-19):H309)*SQRT(252))</f>
        <v/>
      </c>
      <c r="L309" s="426" cm="1">
        <f t="array" ref="L309">IF(ROW()&lt;17,NA(),_xlfn.LET(_xlpm.d,INDEX(E:E,ROW()-13):E309-INDEX(E:E,ROW()-14):INDEX(E:E,ROW()-1),_xlpm.g,SUM(IF(_xlpm.d&gt;0,_xlpm.d,0)),_xlpm.l,-SUM(IF(_xlpm.d&lt;0,_xlpm.d,0)),IF(_xlpm.l=0,100,100-100/(1+_xlpm.g/_xlpm.l))))</f>
        <v/>
      </c>
      <c r="M309" s="211">
        <f>MAX($E$2:E309)</f>
        <v/>
      </c>
      <c r="N309" s="341">
        <f>E309/M309-1</f>
        <v/>
      </c>
    </row>
    <row r="310">
      <c r="A310" s="424" t="n">
        <v>44909</v>
      </c>
      <c r="B310" s="425" t="n">
        <v>105.047900578982</v>
      </c>
      <c r="C310" s="425" t="n">
        <v>105.4359456847939</v>
      </c>
      <c r="D310" s="425" t="n">
        <v>101.8419590523923</v>
      </c>
      <c r="E310" s="425" t="n">
        <v>102.9691162109375</v>
      </c>
      <c r="F310" s="207" t="n">
        <v>7528500</v>
      </c>
      <c r="G310" s="208" t="n">
        <v>-0.006393813527032388</v>
      </c>
      <c r="H310" s="209" cm="1">
        <f t="array" ref="H310">IF(ROW()&lt;3,"",E310/INDEX(E:E,ROW()-1)-1)</f>
        <v/>
      </c>
      <c r="I310" s="211">
        <f>IF(ROW()&lt;51,NA(),AVERAGE(INDEX(E:E,ROW()-49):E310))</f>
        <v/>
      </c>
      <c r="J310" s="211">
        <f>IF(ROW()&lt;201,NA(),AVERAGE(INDEX(E:E,ROW()-199):E310))</f>
        <v/>
      </c>
      <c r="K310" s="341">
        <f>IF(ROW()&lt;22,NA(),_xlfn.STDEV.S(INDEX(H:H,ROW()-19):H310)*SQRT(252))</f>
        <v/>
      </c>
      <c r="L310" s="426" cm="1">
        <f t="array" ref="L310">IF(ROW()&lt;17,NA(),_xlfn.LET(_xlpm.d,INDEX(E:E,ROW()-13):E310-INDEX(E:E,ROW()-14):INDEX(E:E,ROW()-1),_xlpm.g,SUM(IF(_xlpm.d&gt;0,_xlpm.d,0)),_xlpm.l,-SUM(IF(_xlpm.d&lt;0,_xlpm.d,0)),IF(_xlpm.l=0,100,100-100/(1+_xlpm.g/_xlpm.l))))</f>
        <v/>
      </c>
      <c r="M310" s="211">
        <f>MAX($E$2:E310)</f>
        <v/>
      </c>
      <c r="N310" s="341">
        <f>E310/M310-1</f>
        <v/>
      </c>
    </row>
    <row r="311">
      <c r="A311" s="424" t="n">
        <v>44910</v>
      </c>
      <c r="B311" s="425" t="n">
        <v>100.8810855417391</v>
      </c>
      <c r="C311" s="425" t="n">
        <v>101.2783645654546</v>
      </c>
      <c r="D311" s="425" t="n">
        <v>99.5321864737078</v>
      </c>
      <c r="E311" s="425" t="n">
        <v>100.2528305053711</v>
      </c>
      <c r="F311" s="207" t="n">
        <v>7500700</v>
      </c>
      <c r="G311" s="208" t="n">
        <v>-0.02446154581582505</v>
      </c>
      <c r="H311" s="209" cm="1">
        <f t="array" ref="H311">IF(ROW()&lt;3,"",E311/INDEX(E:E,ROW()-1)-1)</f>
        <v/>
      </c>
      <c r="I311" s="211">
        <f>IF(ROW()&lt;51,NA(),AVERAGE(INDEX(E:E,ROW()-49):E311))</f>
        <v/>
      </c>
      <c r="J311" s="211">
        <f>IF(ROW()&lt;201,NA(),AVERAGE(INDEX(E:E,ROW()-199):E311))</f>
        <v/>
      </c>
      <c r="K311" s="341">
        <f>IF(ROW()&lt;22,NA(),_xlfn.STDEV.S(INDEX(H:H,ROW()-19):H311)*SQRT(252))</f>
        <v/>
      </c>
      <c r="L311" s="426" cm="1">
        <f t="array" ref="L311">IF(ROW()&lt;17,NA(),_xlfn.LET(_xlpm.d,INDEX(E:E,ROW()-13):E311-INDEX(E:E,ROW()-14):INDEX(E:E,ROW()-1),_xlpm.g,SUM(IF(_xlpm.d&gt;0,_xlpm.d,0)),_xlpm.l,-SUM(IF(_xlpm.d&lt;0,_xlpm.d,0)),IF(_xlpm.l=0,100,100-100/(1+_xlpm.g/_xlpm.l))))</f>
        <v/>
      </c>
      <c r="M311" s="211">
        <f>MAX($E$2:E311)</f>
        <v/>
      </c>
      <c r="N311" s="341">
        <f>E311/M311-1</f>
        <v/>
      </c>
    </row>
    <row r="312">
      <c r="A312" s="424" t="n">
        <v>44911</v>
      </c>
      <c r="B312" s="425" t="n">
        <v>98.73763908214177</v>
      </c>
      <c r="C312" s="425" t="n">
        <v>99.42132617970543</v>
      </c>
      <c r="D312" s="425" t="n">
        <v>97.12080681908398</v>
      </c>
      <c r="E312" s="425" t="n">
        <v>97.88764190673828</v>
      </c>
      <c r="F312" s="207" t="n">
        <v>14083600</v>
      </c>
      <c r="G312" s="208" t="n">
        <v>-0.01180623051797902</v>
      </c>
      <c r="H312" s="209" cm="1">
        <f t="array" ref="H312">IF(ROW()&lt;3,"",E312/INDEX(E:E,ROW()-1)-1)</f>
        <v/>
      </c>
      <c r="I312" s="211">
        <f>IF(ROW()&lt;51,NA(),AVERAGE(INDEX(E:E,ROW()-49):E312))</f>
        <v/>
      </c>
      <c r="J312" s="211">
        <f>IF(ROW()&lt;201,NA(),AVERAGE(INDEX(E:E,ROW()-199):E312))</f>
        <v/>
      </c>
      <c r="K312" s="341">
        <f>IF(ROW()&lt;22,NA(),_xlfn.STDEV.S(INDEX(H:H,ROW()-19):H312)*SQRT(252))</f>
        <v/>
      </c>
      <c r="L312" s="426" cm="1">
        <f t="array" ref="L312">IF(ROW()&lt;17,NA(),_xlfn.LET(_xlpm.d,INDEX(E:E,ROW()-13):E312-INDEX(E:E,ROW()-14):INDEX(E:E,ROW()-1),_xlpm.g,SUM(IF(_xlpm.d&gt;0,_xlpm.d,0)),_xlpm.l,-SUM(IF(_xlpm.d&lt;0,_xlpm.d,0)),IF(_xlpm.l=0,100,100-100/(1+_xlpm.g/_xlpm.l))))</f>
        <v/>
      </c>
      <c r="M312" s="211">
        <f>MAX($E$2:E312)</f>
        <v/>
      </c>
      <c r="N312" s="341">
        <f>E312/M312-1</f>
        <v/>
      </c>
    </row>
    <row r="313">
      <c r="A313" s="424" t="n">
        <v>44914</v>
      </c>
      <c r="B313" s="425" t="n">
        <v>97.00068201096711</v>
      </c>
      <c r="C313" s="425" t="n">
        <v>97.48111605329157</v>
      </c>
      <c r="D313" s="425" t="n">
        <v>94.65396493193327</v>
      </c>
      <c r="E313" s="425" t="n">
        <v>95.20831298828125</v>
      </c>
      <c r="F313" s="207" t="n">
        <v>10620300</v>
      </c>
      <c r="G313" s="208" t="n">
        <v>-0.008479785971367448</v>
      </c>
      <c r="H313" s="209" cm="1">
        <f t="array" ref="H313">IF(ROW()&lt;3,"",E313/INDEX(E:E,ROW()-1)-1)</f>
        <v/>
      </c>
      <c r="I313" s="211">
        <f>IF(ROW()&lt;51,NA(),AVERAGE(INDEX(E:E,ROW()-49):E313))</f>
        <v/>
      </c>
      <c r="J313" s="211">
        <f>IF(ROW()&lt;201,NA(),AVERAGE(INDEX(E:E,ROW()-199):E313))</f>
        <v/>
      </c>
      <c r="K313" s="341">
        <f>IF(ROW()&lt;22,NA(),_xlfn.STDEV.S(INDEX(H:H,ROW()-19):H313)*SQRT(252))</f>
        <v/>
      </c>
      <c r="L313" s="426" cm="1">
        <f t="array" ref="L313">IF(ROW()&lt;17,NA(),_xlfn.LET(_xlpm.d,INDEX(E:E,ROW()-13):E313-INDEX(E:E,ROW()-14):INDEX(E:E,ROW()-1),_xlpm.g,SUM(IF(_xlpm.d&gt;0,_xlpm.d,0)),_xlpm.l,-SUM(IF(_xlpm.d&lt;0,_xlpm.d,0)),IF(_xlpm.l=0,100,100-100/(1+_xlpm.g/_xlpm.l))))</f>
        <v/>
      </c>
      <c r="M313" s="211">
        <f>MAX($E$2:E313)</f>
        <v/>
      </c>
      <c r="N313" s="341">
        <f>E313/M313-1</f>
        <v/>
      </c>
    </row>
    <row r="314">
      <c r="A314" s="424" t="n">
        <v>44915</v>
      </c>
      <c r="B314" s="425" t="n">
        <v>95.16212112397592</v>
      </c>
      <c r="C314" s="425" t="n">
        <v>95.53168416917461</v>
      </c>
      <c r="D314" s="425" t="n">
        <v>93.94256800900045</v>
      </c>
      <c r="E314" s="425" t="n">
        <v>95.35614013671875</v>
      </c>
      <c r="F314" s="207" t="n">
        <v>17147900</v>
      </c>
      <c r="G314" s="208" t="n">
        <v>0.001368567930685627</v>
      </c>
      <c r="H314" s="209" cm="1">
        <f t="array" ref="H314">IF(ROW()&lt;3,"",E314/INDEX(E:E,ROW()-1)-1)</f>
        <v/>
      </c>
      <c r="I314" s="211">
        <f>IF(ROW()&lt;51,NA(),AVERAGE(INDEX(E:E,ROW()-49):E314))</f>
        <v/>
      </c>
      <c r="J314" s="211">
        <f>IF(ROW()&lt;201,NA(),AVERAGE(INDEX(E:E,ROW()-199):E314))</f>
        <v/>
      </c>
      <c r="K314" s="341">
        <f>IF(ROW()&lt;22,NA(),_xlfn.STDEV.S(INDEX(H:H,ROW()-19):H314)*SQRT(252))</f>
        <v/>
      </c>
      <c r="L314" s="426" cm="1">
        <f t="array" ref="L314">IF(ROW()&lt;17,NA(),_xlfn.LET(_xlpm.d,INDEX(E:E,ROW()-13):E314-INDEX(E:E,ROW()-14):INDEX(E:E,ROW()-1),_xlpm.g,SUM(IF(_xlpm.d&gt;0,_xlpm.d,0)),_xlpm.l,-SUM(IF(_xlpm.d&lt;0,_xlpm.d,0)),IF(_xlpm.l=0,100,100-100/(1+_xlpm.g/_xlpm.l))))</f>
        <v/>
      </c>
      <c r="M314" s="211">
        <f>MAX($E$2:E314)</f>
        <v/>
      </c>
      <c r="N314" s="341">
        <f>E314/M314-1</f>
        <v/>
      </c>
    </row>
    <row r="315">
      <c r="A315" s="424" t="n">
        <v>44916</v>
      </c>
      <c r="B315" s="425" t="n">
        <v>107.8750412118765</v>
      </c>
      <c r="C315" s="425" t="n">
        <v>110.1108873700759</v>
      </c>
      <c r="D315" s="425" t="n">
        <v>106.5630920750626</v>
      </c>
      <c r="E315" s="425" t="n">
        <v>106.969612121582</v>
      </c>
      <c r="F315" s="207" t="n">
        <v>32777300</v>
      </c>
      <c r="G315" s="208" t="n">
        <v>0.01495245271546097</v>
      </c>
      <c r="H315" s="209" cm="1">
        <f t="array" ref="H315">IF(ROW()&lt;3,"",E315/INDEX(E:E,ROW()-1)-1)</f>
        <v/>
      </c>
      <c r="I315" s="211">
        <f>IF(ROW()&lt;51,NA(),AVERAGE(INDEX(E:E,ROW()-49):E315))</f>
        <v/>
      </c>
      <c r="J315" s="211">
        <f>IF(ROW()&lt;201,NA(),AVERAGE(INDEX(E:E,ROW()-199):E315))</f>
        <v/>
      </c>
      <c r="K315" s="341">
        <f>IF(ROW()&lt;22,NA(),_xlfn.STDEV.S(INDEX(H:H,ROW()-19):H315)*SQRT(252))</f>
        <v/>
      </c>
      <c r="L315" s="426" cm="1">
        <f t="array" ref="L315">IF(ROW()&lt;17,NA(),_xlfn.LET(_xlpm.d,INDEX(E:E,ROW()-13):E315-INDEX(E:E,ROW()-14):INDEX(E:E,ROW()-1),_xlpm.g,SUM(IF(_xlpm.d&gt;0,_xlpm.d,0)),_xlpm.l,-SUM(IF(_xlpm.d&lt;0,_xlpm.d,0)),IF(_xlpm.l=0,100,100-100/(1+_xlpm.g/_xlpm.l))))</f>
        <v/>
      </c>
      <c r="M315" s="211">
        <f>MAX($E$2:E315)</f>
        <v/>
      </c>
      <c r="N315" s="341">
        <f>E315/M315-1</f>
        <v/>
      </c>
    </row>
    <row r="316">
      <c r="A316" s="424" t="n">
        <v>44917</v>
      </c>
      <c r="B316" s="425" t="n">
        <v>105.5929960261556</v>
      </c>
      <c r="C316" s="425" t="n">
        <v>107.930472173749</v>
      </c>
      <c r="D316" s="425" t="n">
        <v>105.3804949905432</v>
      </c>
      <c r="E316" s="425" t="n">
        <v>107.8288421630859</v>
      </c>
      <c r="F316" s="207" t="n">
        <v>17147600</v>
      </c>
      <c r="G316" s="208" t="n">
        <v>-0.01426611317442372</v>
      </c>
      <c r="H316" s="209" cm="1">
        <f t="array" ref="H316">IF(ROW()&lt;3,"",E316/INDEX(E:E,ROW()-1)-1)</f>
        <v/>
      </c>
      <c r="I316" s="211">
        <f>IF(ROW()&lt;51,NA(),AVERAGE(INDEX(E:E,ROW()-49):E316))</f>
        <v/>
      </c>
      <c r="J316" s="211">
        <f>IF(ROW()&lt;201,NA(),AVERAGE(INDEX(E:E,ROW()-199):E316))</f>
        <v/>
      </c>
      <c r="K316" s="341">
        <f>IF(ROW()&lt;22,NA(),_xlfn.STDEV.S(INDEX(H:H,ROW()-19):H316)*SQRT(252))</f>
        <v/>
      </c>
      <c r="L316" s="426" cm="1">
        <f t="array" ref="L316">IF(ROW()&lt;17,NA(),_xlfn.LET(_xlpm.d,INDEX(E:E,ROW()-13):E316-INDEX(E:E,ROW()-14):INDEX(E:E,ROW()-1),_xlpm.g,SUM(IF(_xlpm.d&gt;0,_xlpm.d,0)),_xlpm.l,-SUM(IF(_xlpm.d&lt;0,_xlpm.d,0)),IF(_xlpm.l=0,100,100-100/(1+_xlpm.g/_xlpm.l))))</f>
        <v/>
      </c>
      <c r="M316" s="211">
        <f>MAX($E$2:E316)</f>
        <v/>
      </c>
      <c r="N316" s="341">
        <f>E316/M316-1</f>
        <v/>
      </c>
    </row>
    <row r="317">
      <c r="A317" s="424" t="n">
        <v>44918</v>
      </c>
      <c r="B317" s="425" t="n">
        <v>107.2745007365111</v>
      </c>
      <c r="C317" s="425" t="n">
        <v>108.2538367823497</v>
      </c>
      <c r="D317" s="425" t="n">
        <v>106.9696107056573</v>
      </c>
      <c r="E317" s="425" t="n">
        <v>107.4038467407227</v>
      </c>
      <c r="F317" s="207" t="n">
        <v>6603700</v>
      </c>
      <c r="G317" s="208" t="n">
        <v>0.005752290478567623</v>
      </c>
      <c r="H317" s="209" cm="1">
        <f t="array" ref="H317">IF(ROW()&lt;3,"",E317/INDEX(E:E,ROW()-1)-1)</f>
        <v/>
      </c>
      <c r="I317" s="211">
        <f>IF(ROW()&lt;51,NA(),AVERAGE(INDEX(E:E,ROW()-49):E317))</f>
        <v/>
      </c>
      <c r="J317" s="211">
        <f>IF(ROW()&lt;201,NA(),AVERAGE(INDEX(E:E,ROW()-199):E317))</f>
        <v/>
      </c>
      <c r="K317" s="341">
        <f>IF(ROW()&lt;22,NA(),_xlfn.STDEV.S(INDEX(H:H,ROW()-19):H317)*SQRT(252))</f>
        <v/>
      </c>
      <c r="L317" s="426" cm="1">
        <f t="array" ref="L317">IF(ROW()&lt;17,NA(),_xlfn.LET(_xlpm.d,INDEX(E:E,ROW()-13):E317-INDEX(E:E,ROW()-14):INDEX(E:E,ROW()-1),_xlpm.g,SUM(IF(_xlpm.d&gt;0,_xlpm.d,0)),_xlpm.l,-SUM(IF(_xlpm.d&lt;0,_xlpm.d,0)),IF(_xlpm.l=0,100,100-100/(1+_xlpm.g/_xlpm.l))))</f>
        <v/>
      </c>
      <c r="M317" s="211">
        <f>MAX($E$2:E317)</f>
        <v/>
      </c>
      <c r="N317" s="341">
        <f>E317/M317-1</f>
        <v/>
      </c>
    </row>
    <row r="318">
      <c r="A318" s="424" t="n">
        <v>44922</v>
      </c>
      <c r="B318" s="425" t="n">
        <v>107.6071292681563</v>
      </c>
      <c r="C318" s="425" t="n">
        <v>109.2054796754332</v>
      </c>
      <c r="D318" s="425" t="n">
        <v>107.0065900950931</v>
      </c>
      <c r="E318" s="425" t="n">
        <v>108.6141815185547</v>
      </c>
      <c r="F318" s="207" t="n">
        <v>6661100</v>
      </c>
      <c r="G318" s="208" t="n">
        <v>-0.003943612260593254</v>
      </c>
      <c r="H318" s="209" cm="1">
        <f t="array" ref="H318">IF(ROW()&lt;3,"",E318/INDEX(E:E,ROW()-1)-1)</f>
        <v/>
      </c>
      <c r="I318" s="211">
        <f>IF(ROW()&lt;51,NA(),AVERAGE(INDEX(E:E,ROW()-49):E318))</f>
        <v/>
      </c>
      <c r="J318" s="211">
        <f>IF(ROW()&lt;201,NA(),AVERAGE(INDEX(E:E,ROW()-199):E318))</f>
        <v/>
      </c>
      <c r="K318" s="341">
        <f>IF(ROW()&lt;22,NA(),_xlfn.STDEV.S(INDEX(H:H,ROW()-19):H318)*SQRT(252))</f>
        <v/>
      </c>
      <c r="L318" s="426" cm="1">
        <f t="array" ref="L318">IF(ROW()&lt;17,NA(),_xlfn.LET(_xlpm.d,INDEX(E:E,ROW()-13):E318-INDEX(E:E,ROW()-14):INDEX(E:E,ROW()-1),_xlpm.g,SUM(IF(_xlpm.d&gt;0,_xlpm.d,0)),_xlpm.l,-SUM(IF(_xlpm.d&lt;0,_xlpm.d,0)),IF(_xlpm.l=0,100,100-100/(1+_xlpm.g/_xlpm.l))))</f>
        <v/>
      </c>
      <c r="M318" s="211">
        <f>MAX($E$2:E318)</f>
        <v/>
      </c>
      <c r="N318" s="341">
        <f>E318/M318-1</f>
        <v/>
      </c>
    </row>
    <row r="319">
      <c r="A319" s="424" t="n">
        <v>44923</v>
      </c>
      <c r="B319" s="425" t="n">
        <v>108.6326485799539</v>
      </c>
      <c r="C319" s="425" t="n">
        <v>109.2424216363372</v>
      </c>
      <c r="D319" s="425" t="n">
        <v>106.2120172377558</v>
      </c>
      <c r="E319" s="425" t="n">
        <v>106.2304992675781</v>
      </c>
      <c r="F319" s="207" t="n">
        <v>5437800</v>
      </c>
      <c r="G319" s="208" t="n">
        <v>-0.01242782189221403</v>
      </c>
      <c r="H319" s="209" cm="1">
        <f t="array" ref="H319">IF(ROW()&lt;3,"",E319/INDEX(E:E,ROW()-1)-1)</f>
        <v/>
      </c>
      <c r="I319" s="211">
        <f>IF(ROW()&lt;51,NA(),AVERAGE(INDEX(E:E,ROW()-49):E319))</f>
        <v/>
      </c>
      <c r="J319" s="211">
        <f>IF(ROW()&lt;201,NA(),AVERAGE(INDEX(E:E,ROW()-199):E319))</f>
        <v/>
      </c>
      <c r="K319" s="341">
        <f>IF(ROW()&lt;22,NA(),_xlfn.STDEV.S(INDEX(H:H,ROW()-19):H319)*SQRT(252))</f>
        <v/>
      </c>
      <c r="L319" s="426" cm="1">
        <f t="array" ref="L319">IF(ROW()&lt;17,NA(),_xlfn.LET(_xlpm.d,INDEX(E:E,ROW()-13):E319-INDEX(E:E,ROW()-14):INDEX(E:E,ROW()-1),_xlpm.g,SUM(IF(_xlpm.d&gt;0,_xlpm.d,0)),_xlpm.l,-SUM(IF(_xlpm.d&lt;0,_xlpm.d,0)),IF(_xlpm.l=0,100,100-100/(1+_xlpm.g/_xlpm.l))))</f>
        <v/>
      </c>
      <c r="M319" s="211">
        <f>MAX($E$2:E319)</f>
        <v/>
      </c>
      <c r="N319" s="341">
        <f>E319/M319-1</f>
        <v/>
      </c>
    </row>
    <row r="320">
      <c r="A320" s="424" t="n">
        <v>44924</v>
      </c>
      <c r="B320" s="425" t="n">
        <v>107.246780492391</v>
      </c>
      <c r="C320" s="425" t="n">
        <v>109.0853475212461</v>
      </c>
      <c r="D320" s="425" t="n">
        <v>106.9880884942198</v>
      </c>
      <c r="E320" s="425" t="n">
        <v>108.4201354980469</v>
      </c>
      <c r="F320" s="207" t="n">
        <v>4588600</v>
      </c>
      <c r="G320" s="208" t="n">
        <v>0.01800020488659637</v>
      </c>
      <c r="H320" s="209" cm="1">
        <f t="array" ref="H320">IF(ROW()&lt;3,"",E320/INDEX(E:E,ROW()-1)-1)</f>
        <v/>
      </c>
      <c r="I320" s="211">
        <f>IF(ROW()&lt;51,NA(),AVERAGE(INDEX(E:E,ROW()-49):E320))</f>
        <v/>
      </c>
      <c r="J320" s="211">
        <f>IF(ROW()&lt;201,NA(),AVERAGE(INDEX(E:E,ROW()-199):E320))</f>
        <v/>
      </c>
      <c r="K320" s="341">
        <f>IF(ROW()&lt;22,NA(),_xlfn.STDEV.S(INDEX(H:H,ROW()-19):H320)*SQRT(252))</f>
        <v/>
      </c>
      <c r="L320" s="426" cm="1">
        <f t="array" ref="L320">IF(ROW()&lt;17,NA(),_xlfn.LET(_xlpm.d,INDEX(E:E,ROW()-13):E320-INDEX(E:E,ROW()-14):INDEX(E:E,ROW()-1),_xlpm.g,SUM(IF(_xlpm.d&gt;0,_xlpm.d,0)),_xlpm.l,-SUM(IF(_xlpm.d&lt;0,_xlpm.d,0)),IF(_xlpm.l=0,100,100-100/(1+_xlpm.g/_xlpm.l))))</f>
        <v/>
      </c>
      <c r="M320" s="211">
        <f>MAX($E$2:E320)</f>
        <v/>
      </c>
      <c r="N320" s="341">
        <f>E320/M320-1</f>
        <v/>
      </c>
    </row>
    <row r="321">
      <c r="A321" s="424" t="n">
        <v>44925</v>
      </c>
      <c r="B321" s="425" t="n">
        <v>107.6902494022409</v>
      </c>
      <c r="C321" s="425" t="n">
        <v>108.3277454262592</v>
      </c>
      <c r="D321" s="425" t="n">
        <v>106.9603643867717</v>
      </c>
      <c r="E321" s="425" t="n">
        <v>108.1060104370117</v>
      </c>
      <c r="F321" s="207" t="n">
        <v>4355500</v>
      </c>
      <c r="G321" s="208" t="n">
        <v>-0.00263395245317799</v>
      </c>
      <c r="H321" s="209" cm="1">
        <f t="array" ref="H321">IF(ROW()&lt;3,"",E321/INDEX(E:E,ROW()-1)-1)</f>
        <v/>
      </c>
      <c r="I321" s="211">
        <f>IF(ROW()&lt;51,NA(),AVERAGE(INDEX(E:E,ROW()-49):E321))</f>
        <v/>
      </c>
      <c r="J321" s="211">
        <f>IF(ROW()&lt;201,NA(),AVERAGE(INDEX(E:E,ROW()-199):E321))</f>
        <v/>
      </c>
      <c r="K321" s="341">
        <f>IF(ROW()&lt;22,NA(),_xlfn.STDEV.S(INDEX(H:H,ROW()-19):H321)*SQRT(252))</f>
        <v/>
      </c>
      <c r="L321" s="426" cm="1">
        <f t="array" ref="L321">IF(ROW()&lt;17,NA(),_xlfn.LET(_xlpm.d,INDEX(E:E,ROW()-13):E321-INDEX(E:E,ROW()-14):INDEX(E:E,ROW()-1),_xlpm.g,SUM(IF(_xlpm.d&gt;0,_xlpm.d,0)),_xlpm.l,-SUM(IF(_xlpm.d&lt;0,_xlpm.d,0)),IF(_xlpm.l=0,100,100-100/(1+_xlpm.g/_xlpm.l))))</f>
        <v/>
      </c>
      <c r="M321" s="211">
        <f>MAX($E$2:E321)</f>
        <v/>
      </c>
      <c r="N321" s="341">
        <f>E321/M321-1</f>
        <v/>
      </c>
    </row>
    <row r="322">
      <c r="A322" s="424" t="n">
        <v>44929</v>
      </c>
      <c r="B322" s="425" t="n">
        <v>109.5288450275911</v>
      </c>
      <c r="C322" s="425" t="n">
        <v>110.3973101768211</v>
      </c>
      <c r="D322" s="425" t="n">
        <v>108.5033108082571</v>
      </c>
      <c r="E322" s="425" t="n">
        <v>109.713623046875</v>
      </c>
      <c r="F322" s="207" t="n">
        <v>8124800</v>
      </c>
      <c r="G322" s="208" t="n">
        <v>-0.004209925703010375</v>
      </c>
      <c r="H322" s="209" cm="1">
        <f t="array" ref="H322">IF(ROW()&lt;3,"",E322/INDEX(E:E,ROW()-1)-1)</f>
        <v/>
      </c>
      <c r="I322" s="211">
        <f>IF(ROW()&lt;51,NA(),AVERAGE(INDEX(E:E,ROW()-49):E322))</f>
        <v/>
      </c>
      <c r="J322" s="211">
        <f>IF(ROW()&lt;201,NA(),AVERAGE(INDEX(E:E,ROW()-199):E322))</f>
        <v/>
      </c>
      <c r="K322" s="341">
        <f>IF(ROW()&lt;22,NA(),_xlfn.STDEV.S(INDEX(H:H,ROW()-19):H322)*SQRT(252))</f>
        <v/>
      </c>
      <c r="L322" s="426" cm="1">
        <f t="array" ref="L322">IF(ROW()&lt;17,NA(),_xlfn.LET(_xlpm.d,INDEX(E:E,ROW()-13):E322-INDEX(E:E,ROW()-14):INDEX(E:E,ROW()-1),_xlpm.g,SUM(IF(_xlpm.d&gt;0,_xlpm.d,0)),_xlpm.l,-SUM(IF(_xlpm.d&lt;0,_xlpm.d,0)),IF(_xlpm.l=0,100,100-100/(1+_xlpm.g/_xlpm.l))))</f>
        <v/>
      </c>
      <c r="M322" s="211">
        <f>MAX($E$2:E322)</f>
        <v/>
      </c>
      <c r="N322" s="341">
        <f>E322/M322-1</f>
        <v/>
      </c>
    </row>
    <row r="323">
      <c r="A323" s="424" t="n">
        <v>44930</v>
      </c>
      <c r="B323" s="425" t="n">
        <v>110.8315395056818</v>
      </c>
      <c r="C323" s="425" t="n">
        <v>112.9288058454736</v>
      </c>
      <c r="D323" s="425" t="n">
        <v>110.4342604445426</v>
      </c>
      <c r="E323" s="425" t="n">
        <v>111.9864196777344</v>
      </c>
      <c r="F323" s="207" t="n">
        <v>8550700</v>
      </c>
      <c r="G323" s="208" t="n">
        <v>0.007720133401835083</v>
      </c>
      <c r="H323" s="209" cm="1">
        <f t="array" ref="H323">IF(ROW()&lt;3,"",E323/INDEX(E:E,ROW()-1)-1)</f>
        <v/>
      </c>
      <c r="I323" s="211">
        <f>IF(ROW()&lt;51,NA(),AVERAGE(INDEX(E:E,ROW()-49):E323))</f>
        <v/>
      </c>
      <c r="J323" s="211">
        <f>IF(ROW()&lt;201,NA(),AVERAGE(INDEX(E:E,ROW()-199):E323))</f>
        <v/>
      </c>
      <c r="K323" s="341">
        <f>IF(ROW()&lt;22,NA(),_xlfn.STDEV.S(INDEX(H:H,ROW()-19):H323)*SQRT(252))</f>
        <v/>
      </c>
      <c r="L323" s="426" cm="1">
        <f t="array" ref="L323">IF(ROW()&lt;17,NA(),_xlfn.LET(_xlpm.d,INDEX(E:E,ROW()-13):E323-INDEX(E:E,ROW()-14):INDEX(E:E,ROW()-1),_xlpm.g,SUM(IF(_xlpm.d&gt;0,_xlpm.d,0)),_xlpm.l,-SUM(IF(_xlpm.d&lt;0,_xlpm.d,0)),IF(_xlpm.l=0,100,100-100/(1+_xlpm.g/_xlpm.l))))</f>
        <v/>
      </c>
      <c r="M323" s="211">
        <f>MAX($E$2:E323)</f>
        <v/>
      </c>
      <c r="N323" s="341">
        <f>E323/M323-1</f>
        <v/>
      </c>
    </row>
    <row r="324">
      <c r="A324" s="424" t="n">
        <v>44931</v>
      </c>
      <c r="B324" s="425" t="n">
        <v>111.1271836389523</v>
      </c>
      <c r="C324" s="425" t="n">
        <v>113.0304238227977</v>
      </c>
      <c r="D324" s="425" t="n">
        <v>110.9424056391177</v>
      </c>
      <c r="E324" s="425" t="n">
        <v>111.4413146972656</v>
      </c>
      <c r="F324" s="207" t="n">
        <v>6046700</v>
      </c>
      <c r="G324" s="208" t="n">
        <v>-0.0114131969482435</v>
      </c>
      <c r="H324" s="209" cm="1">
        <f t="array" ref="H324">IF(ROW()&lt;3,"",E324/INDEX(E:E,ROW()-1)-1)</f>
        <v/>
      </c>
      <c r="I324" s="211">
        <f>IF(ROW()&lt;51,NA(),AVERAGE(INDEX(E:E,ROW()-49):E324))</f>
        <v/>
      </c>
      <c r="J324" s="211">
        <f>IF(ROW()&lt;201,NA(),AVERAGE(INDEX(E:E,ROW()-199):E324))</f>
        <v/>
      </c>
      <c r="K324" s="341">
        <f>IF(ROW()&lt;22,NA(),_xlfn.STDEV.S(INDEX(H:H,ROW()-19):H324)*SQRT(252))</f>
        <v/>
      </c>
      <c r="L324" s="426" cm="1">
        <f t="array" ref="L324">IF(ROW()&lt;17,NA(),_xlfn.LET(_xlpm.d,INDEX(E:E,ROW()-13):E324-INDEX(E:E,ROW()-14):INDEX(E:E,ROW()-1),_xlpm.g,SUM(IF(_xlpm.d&gt;0,_xlpm.d,0)),_xlpm.l,-SUM(IF(_xlpm.d&lt;0,_xlpm.d,0)),IF(_xlpm.l=0,100,100-100/(1+_xlpm.g/_xlpm.l))))</f>
        <v/>
      </c>
      <c r="M324" s="211">
        <f>MAX($E$2:E324)</f>
        <v/>
      </c>
      <c r="N324" s="341">
        <f>E324/M324-1</f>
        <v/>
      </c>
    </row>
    <row r="325">
      <c r="A325" s="424" t="n">
        <v>44932</v>
      </c>
      <c r="B325" s="425" t="n">
        <v>112.7163032927274</v>
      </c>
      <c r="C325" s="425" t="n">
        <v>115.8206217178105</v>
      </c>
      <c r="D325" s="425" t="n">
        <v>112.503802242412</v>
      </c>
      <c r="E325" s="425" t="n">
        <v>115.0537796020508</v>
      </c>
      <c r="F325" s="207" t="n">
        <v>10080700</v>
      </c>
      <c r="G325" s="208" t="n">
        <v>0.02293204738314869</v>
      </c>
      <c r="H325" s="209" cm="1">
        <f t="array" ref="H325">IF(ROW()&lt;3,"",E325/INDEX(E:E,ROW()-1)-1)</f>
        <v/>
      </c>
      <c r="I325" s="211">
        <f>IF(ROW()&lt;51,NA(),AVERAGE(INDEX(E:E,ROW()-49):E325))</f>
        <v/>
      </c>
      <c r="J325" s="211">
        <f>IF(ROW()&lt;201,NA(),AVERAGE(INDEX(E:E,ROW()-199):E325))</f>
        <v/>
      </c>
      <c r="K325" s="341">
        <f>IF(ROW()&lt;22,NA(),_xlfn.STDEV.S(INDEX(H:H,ROW()-19):H325)*SQRT(252))</f>
        <v/>
      </c>
      <c r="L325" s="426" cm="1">
        <f t="array" ref="L325">IF(ROW()&lt;17,NA(),_xlfn.LET(_xlpm.d,INDEX(E:E,ROW()-13):E325-INDEX(E:E,ROW()-14):INDEX(E:E,ROW()-1),_xlpm.g,SUM(IF(_xlpm.d&gt;0,_xlpm.d,0)),_xlpm.l,-SUM(IF(_xlpm.d&lt;0,_xlpm.d,0)),IF(_xlpm.l=0,100,100-100/(1+_xlpm.g/_xlpm.l))))</f>
        <v/>
      </c>
      <c r="M325" s="211">
        <f>MAX($E$2:E325)</f>
        <v/>
      </c>
      <c r="N325" s="341">
        <f>E325/M325-1</f>
        <v/>
      </c>
    </row>
    <row r="326">
      <c r="A326" s="424" t="n">
        <v>44935</v>
      </c>
      <c r="B326" s="425" t="n">
        <v>115.4880056566904</v>
      </c>
      <c r="C326" s="425" t="n">
        <v>116.9754917334549</v>
      </c>
      <c r="D326" s="425" t="n">
        <v>115.0722516558577</v>
      </c>
      <c r="E326" s="425" t="n">
        <v>115.3494186401367</v>
      </c>
      <c r="F326" s="207" t="n">
        <v>9397900</v>
      </c>
      <c r="G326" s="208" t="n">
        <v>-0.0005668920219099594</v>
      </c>
      <c r="H326" s="209" cm="1">
        <f t="array" ref="H326">IF(ROW()&lt;3,"",E326/INDEX(E:E,ROW()-1)-1)</f>
        <v/>
      </c>
      <c r="I326" s="211">
        <f>IF(ROW()&lt;51,NA(),AVERAGE(INDEX(E:E,ROW()-49):E326))</f>
        <v/>
      </c>
      <c r="J326" s="211">
        <f>IF(ROW()&lt;201,NA(),AVERAGE(INDEX(E:E,ROW()-199):E326))</f>
        <v/>
      </c>
      <c r="K326" s="341">
        <f>IF(ROW()&lt;22,NA(),_xlfn.STDEV.S(INDEX(H:H,ROW()-19):H326)*SQRT(252))</f>
        <v/>
      </c>
      <c r="L326" s="426" cm="1">
        <f t="array" ref="L326">IF(ROW()&lt;17,NA(),_xlfn.LET(_xlpm.d,INDEX(E:E,ROW()-13):E326-INDEX(E:E,ROW()-14):INDEX(E:E,ROW()-1),_xlpm.g,SUM(IF(_xlpm.d&gt;0,_xlpm.d,0)),_xlpm.l,-SUM(IF(_xlpm.d&lt;0,_xlpm.d,0)),IF(_xlpm.l=0,100,100-100/(1+_xlpm.g/_xlpm.l))))</f>
        <v/>
      </c>
      <c r="M326" s="211">
        <f>MAX($E$2:E326)</f>
        <v/>
      </c>
      <c r="N326" s="341">
        <f>E326/M326-1</f>
        <v/>
      </c>
    </row>
    <row r="327">
      <c r="A327" s="424" t="n">
        <v>44936</v>
      </c>
      <c r="B327" s="425" t="n">
        <v>115.6820192492049</v>
      </c>
      <c r="C327" s="425" t="n">
        <v>116.7167942690646</v>
      </c>
      <c r="D327" s="425" t="n">
        <v>114.9059432709313</v>
      </c>
      <c r="E327" s="425" t="n">
        <v>116.2640762329102</v>
      </c>
      <c r="F327" s="207" t="n">
        <v>5899900</v>
      </c>
      <c r="G327" s="208" t="n">
        <v>0.007013039807734822</v>
      </c>
      <c r="H327" s="209" cm="1">
        <f t="array" ref="H327">IF(ROW()&lt;3,"",E327/INDEX(E:E,ROW()-1)-1)</f>
        <v/>
      </c>
      <c r="I327" s="211">
        <f>IF(ROW()&lt;51,NA(),AVERAGE(INDEX(E:E,ROW()-49):E327))</f>
        <v/>
      </c>
      <c r="J327" s="211">
        <f>IF(ROW()&lt;201,NA(),AVERAGE(INDEX(E:E,ROW()-199):E327))</f>
        <v/>
      </c>
      <c r="K327" s="341">
        <f>IF(ROW()&lt;22,NA(),_xlfn.STDEV.S(INDEX(H:H,ROW()-19):H327)*SQRT(252))</f>
        <v/>
      </c>
      <c r="L327" s="426" cm="1">
        <f t="array" ref="L327">IF(ROW()&lt;17,NA(),_xlfn.LET(_xlpm.d,INDEX(E:E,ROW()-13):E327-INDEX(E:E,ROW()-14):INDEX(E:E,ROW()-1),_xlpm.g,SUM(IF(_xlpm.d&gt;0,_xlpm.d,0)),_xlpm.l,-SUM(IF(_xlpm.d&lt;0,_xlpm.d,0)),IF(_xlpm.l=0,100,100-100/(1+_xlpm.g/_xlpm.l))))</f>
        <v/>
      </c>
      <c r="M327" s="211">
        <f>MAX($E$2:E327)</f>
        <v/>
      </c>
      <c r="N327" s="341">
        <f>E327/M327-1</f>
        <v/>
      </c>
    </row>
    <row r="328">
      <c r="A328" s="424" t="n">
        <v>44937</v>
      </c>
      <c r="B328" s="425" t="n">
        <v>116.7075801898504</v>
      </c>
      <c r="C328" s="425" t="n">
        <v>118.499949574253</v>
      </c>
      <c r="D328" s="425" t="n">
        <v>116.4211721387449</v>
      </c>
      <c r="E328" s="425" t="n">
        <v>118.2043075561523</v>
      </c>
      <c r="F328" s="207" t="n">
        <v>6989200</v>
      </c>
      <c r="G328" s="208" t="n">
        <v>0.01264778598416227</v>
      </c>
      <c r="H328" s="209" cm="1">
        <f t="array" ref="H328">IF(ROW()&lt;3,"",E328/INDEX(E:E,ROW()-1)-1)</f>
        <v/>
      </c>
      <c r="I328" s="211">
        <f>IF(ROW()&lt;51,NA(),AVERAGE(INDEX(E:E,ROW()-49):E328))</f>
        <v/>
      </c>
      <c r="J328" s="211">
        <f>IF(ROW()&lt;201,NA(),AVERAGE(INDEX(E:E,ROW()-199):E328))</f>
        <v/>
      </c>
      <c r="K328" s="341">
        <f>IF(ROW()&lt;22,NA(),_xlfn.STDEV.S(INDEX(H:H,ROW()-19):H328)*SQRT(252))</f>
        <v/>
      </c>
      <c r="L328" s="426" cm="1">
        <f t="array" ref="L328">IF(ROW()&lt;17,NA(),_xlfn.LET(_xlpm.d,INDEX(E:E,ROW()-13):E328-INDEX(E:E,ROW()-14):INDEX(E:E,ROW()-1),_xlpm.g,SUM(IF(_xlpm.d&gt;0,_xlpm.d,0)),_xlpm.l,-SUM(IF(_xlpm.d&lt;0,_xlpm.d,0)),IF(_xlpm.l=0,100,100-100/(1+_xlpm.g/_xlpm.l))))</f>
        <v/>
      </c>
      <c r="M328" s="211">
        <f>MAX($E$2:E328)</f>
        <v/>
      </c>
      <c r="N328" s="341">
        <f>E328/M328-1</f>
        <v/>
      </c>
    </row>
    <row r="329">
      <c r="A329" s="424" t="n">
        <v>44938</v>
      </c>
      <c r="B329" s="425" t="n">
        <v>118.5830830942701</v>
      </c>
      <c r="C329" s="425" t="n">
        <v>118.6847130973666</v>
      </c>
      <c r="D329" s="425" t="n">
        <v>116.8368980632607</v>
      </c>
      <c r="E329" s="425" t="n">
        <v>118.1580810546875</v>
      </c>
      <c r="F329" s="207" t="n">
        <v>8366400</v>
      </c>
      <c r="G329" s="208" t="n">
        <v>0.003640723096822951</v>
      </c>
      <c r="H329" s="209" cm="1">
        <f t="array" ref="H329">IF(ROW()&lt;3,"",E329/INDEX(E:E,ROW()-1)-1)</f>
        <v/>
      </c>
      <c r="I329" s="211">
        <f>IF(ROW()&lt;51,NA(),AVERAGE(INDEX(E:E,ROW()-49):E329))</f>
        <v/>
      </c>
      <c r="J329" s="211">
        <f>IF(ROW()&lt;201,NA(),AVERAGE(INDEX(E:E,ROW()-199):E329))</f>
        <v/>
      </c>
      <c r="K329" s="341">
        <f>IF(ROW()&lt;22,NA(),_xlfn.STDEV.S(INDEX(H:H,ROW()-19):H329)*SQRT(252))</f>
        <v/>
      </c>
      <c r="L329" s="426" cm="1">
        <f t="array" ref="L329">IF(ROW()&lt;17,NA(),_xlfn.LET(_xlpm.d,INDEX(E:E,ROW()-13):E329-INDEX(E:E,ROW()-14):INDEX(E:E,ROW()-1),_xlpm.g,SUM(IF(_xlpm.d&gt;0,_xlpm.d,0)),_xlpm.l,-SUM(IF(_xlpm.d&lt;0,_xlpm.d,0)),IF(_xlpm.l=0,100,100-100/(1+_xlpm.g/_xlpm.l))))</f>
        <v/>
      </c>
      <c r="M329" s="211">
        <f>MAX($E$2:E329)</f>
        <v/>
      </c>
      <c r="N329" s="341">
        <f>E329/M329-1</f>
        <v/>
      </c>
    </row>
    <row r="330">
      <c r="A330" s="424" t="n">
        <v>44939</v>
      </c>
      <c r="B330" s="425" t="n">
        <v>117.0216842955874</v>
      </c>
      <c r="C330" s="425" t="n">
        <v>119.3961102503282</v>
      </c>
      <c r="D330" s="425" t="n">
        <v>117.0216842955874</v>
      </c>
      <c r="E330" s="425" t="n">
        <v>119.045036315918</v>
      </c>
      <c r="F330" s="207" t="n">
        <v>4856500</v>
      </c>
      <c r="G330" s="208" t="n">
        <v>0.003879312985196171</v>
      </c>
      <c r="H330" s="209" cm="1">
        <f t="array" ref="H330">IF(ROW()&lt;3,"",E330/INDEX(E:E,ROW()-1)-1)</f>
        <v/>
      </c>
      <c r="I330" s="211">
        <f>IF(ROW()&lt;51,NA(),AVERAGE(INDEX(E:E,ROW()-49):E330))</f>
        <v/>
      </c>
      <c r="J330" s="211">
        <f>IF(ROW()&lt;201,NA(),AVERAGE(INDEX(E:E,ROW()-199):E330))</f>
        <v/>
      </c>
      <c r="K330" s="341">
        <f>IF(ROW()&lt;22,NA(),_xlfn.STDEV.S(INDEX(H:H,ROW()-19):H330)*SQRT(252))</f>
        <v/>
      </c>
      <c r="L330" s="426" cm="1">
        <f t="array" ref="L330">IF(ROW()&lt;17,NA(),_xlfn.LET(_xlpm.d,INDEX(E:E,ROW()-13):E330-INDEX(E:E,ROW()-14):INDEX(E:E,ROW()-1),_xlpm.g,SUM(IF(_xlpm.d&gt;0,_xlpm.d,0)),_xlpm.l,-SUM(IF(_xlpm.d&lt;0,_xlpm.d,0)),IF(_xlpm.l=0,100,100-100/(1+_xlpm.g/_xlpm.l))))</f>
        <v/>
      </c>
      <c r="M330" s="211">
        <f>MAX($E$2:E330)</f>
        <v/>
      </c>
      <c r="N330" s="341">
        <f>E330/M330-1</f>
        <v/>
      </c>
    </row>
    <row r="331">
      <c r="A331" s="424" t="n">
        <v>44943</v>
      </c>
      <c r="B331" s="425" t="n">
        <v>118.2597073537147</v>
      </c>
      <c r="C331" s="425" t="n">
        <v>119.2298093351317</v>
      </c>
      <c r="D331" s="425" t="n">
        <v>118.1026453716042</v>
      </c>
      <c r="E331" s="425" t="n">
        <v>118.3890533447266</v>
      </c>
      <c r="F331" s="207" t="n">
        <v>6172200</v>
      </c>
      <c r="G331" s="208" t="n">
        <v>-0.001831879749812249</v>
      </c>
      <c r="H331" s="209" cm="1">
        <f t="array" ref="H331">IF(ROW()&lt;3,"",E331/INDEX(E:E,ROW()-1)-1)</f>
        <v/>
      </c>
      <c r="I331" s="211">
        <f>IF(ROW()&lt;51,NA(),AVERAGE(INDEX(E:E,ROW()-49):E331))</f>
        <v/>
      </c>
      <c r="J331" s="211">
        <f>IF(ROW()&lt;201,NA(),AVERAGE(INDEX(E:E,ROW()-199):E331))</f>
        <v/>
      </c>
      <c r="K331" s="341">
        <f>IF(ROW()&lt;22,NA(),_xlfn.STDEV.S(INDEX(H:H,ROW()-19):H331)*SQRT(252))</f>
        <v/>
      </c>
      <c r="L331" s="426" cm="1">
        <f t="array" ref="L331">IF(ROW()&lt;17,NA(),_xlfn.LET(_xlpm.d,INDEX(E:E,ROW()-13):E331-INDEX(E:E,ROW()-14):INDEX(E:E,ROW()-1),_xlpm.g,SUM(IF(_xlpm.d&gt;0,_xlpm.d,0)),_xlpm.l,-SUM(IF(_xlpm.d&lt;0,_xlpm.d,0)),IF(_xlpm.l=0,100,100-100/(1+_xlpm.g/_xlpm.l))))</f>
        <v/>
      </c>
      <c r="M331" s="211">
        <f>MAX($E$2:E331)</f>
        <v/>
      </c>
      <c r="N331" s="341">
        <f>E331/M331-1</f>
        <v/>
      </c>
    </row>
    <row r="332">
      <c r="A332" s="424" t="n">
        <v>44944</v>
      </c>
      <c r="B332" s="425" t="n">
        <v>118.0749476357101</v>
      </c>
      <c r="C332" s="425" t="n">
        <v>118.8048256769095</v>
      </c>
      <c r="D332" s="425" t="n">
        <v>116.4119174244014</v>
      </c>
      <c r="E332" s="425" t="n">
        <v>116.809196472168</v>
      </c>
      <c r="F332" s="207" t="n">
        <v>6828800</v>
      </c>
      <c r="G332" s="208" t="n">
        <v>-0.01578793692161051</v>
      </c>
      <c r="H332" s="209" cm="1">
        <f t="array" ref="H332">IF(ROW()&lt;3,"",E332/INDEX(E:E,ROW()-1)-1)</f>
        <v/>
      </c>
      <c r="I332" s="211">
        <f>IF(ROW()&lt;51,NA(),AVERAGE(INDEX(E:E,ROW()-49):E332))</f>
        <v/>
      </c>
      <c r="J332" s="211">
        <f>IF(ROW()&lt;201,NA(),AVERAGE(INDEX(E:E,ROW()-199):E332))</f>
        <v/>
      </c>
      <c r="K332" s="341">
        <f>IF(ROW()&lt;22,NA(),_xlfn.STDEV.S(INDEX(H:H,ROW()-19):H332)*SQRT(252))</f>
        <v/>
      </c>
      <c r="L332" s="426" cm="1">
        <f t="array" ref="L332">IF(ROW()&lt;17,NA(),_xlfn.LET(_xlpm.d,INDEX(E:E,ROW()-13):E332-INDEX(E:E,ROW()-14):INDEX(E:E,ROW()-1),_xlpm.g,SUM(IF(_xlpm.d&gt;0,_xlpm.d,0)),_xlpm.l,-SUM(IF(_xlpm.d&lt;0,_xlpm.d,0)),IF(_xlpm.l=0,100,100-100/(1+_xlpm.g/_xlpm.l))))</f>
        <v/>
      </c>
      <c r="M332" s="211">
        <f>MAX($E$2:E332)</f>
        <v/>
      </c>
      <c r="N332" s="341">
        <f>E332/M332-1</f>
        <v/>
      </c>
    </row>
    <row r="333">
      <c r="A333" s="424" t="n">
        <v>44945</v>
      </c>
      <c r="B333" s="425" t="n">
        <v>115.293996648314</v>
      </c>
      <c r="C333" s="425" t="n">
        <v>115.8945357395575</v>
      </c>
      <c r="D333" s="425" t="n">
        <v>114.2037894984476</v>
      </c>
      <c r="E333" s="425" t="n">
        <v>115.0537796020508</v>
      </c>
      <c r="F333" s="207" t="n">
        <v>5273500</v>
      </c>
      <c r="G333" s="208" t="n">
        <v>-0.00727974271061349</v>
      </c>
      <c r="H333" s="209" cm="1">
        <f t="array" ref="H333">IF(ROW()&lt;3,"",E333/INDEX(E:E,ROW()-1)-1)</f>
        <v/>
      </c>
      <c r="I333" s="211">
        <f>IF(ROW()&lt;51,NA(),AVERAGE(INDEX(E:E,ROW()-49):E333))</f>
        <v/>
      </c>
      <c r="J333" s="211">
        <f>IF(ROW()&lt;201,NA(),AVERAGE(INDEX(E:E,ROW()-199):E333))</f>
        <v/>
      </c>
      <c r="K333" s="341">
        <f>IF(ROW()&lt;22,NA(),_xlfn.STDEV.S(INDEX(H:H,ROW()-19):H333)*SQRT(252))</f>
        <v/>
      </c>
      <c r="L333" s="426" cm="1">
        <f t="array" ref="L333">IF(ROW()&lt;17,NA(),_xlfn.LET(_xlpm.d,INDEX(E:E,ROW()-13):E333-INDEX(E:E,ROW()-14):INDEX(E:E,ROW()-1),_xlpm.g,SUM(IF(_xlpm.d&gt;0,_xlpm.d,0)),_xlpm.l,-SUM(IF(_xlpm.d&lt;0,_xlpm.d,0)),IF(_xlpm.l=0,100,100-100/(1+_xlpm.g/_xlpm.l))))</f>
        <v/>
      </c>
      <c r="M333" s="211">
        <f>MAX($E$2:E333)</f>
        <v/>
      </c>
      <c r="N333" s="341">
        <f>E333/M333-1</f>
        <v/>
      </c>
    </row>
    <row r="334">
      <c r="A334" s="424" t="n">
        <v>44946</v>
      </c>
      <c r="B334" s="425" t="n">
        <v>115.1923649778496</v>
      </c>
      <c r="C334" s="425" t="n">
        <v>117.0032161916946</v>
      </c>
      <c r="D334" s="425" t="n">
        <v>114.6010669100157</v>
      </c>
      <c r="E334" s="425" t="n">
        <v>116.9847412109375</v>
      </c>
      <c r="F334" s="207" t="n">
        <v>5673200</v>
      </c>
      <c r="G334" s="208" t="n">
        <v>0.01862894237641877</v>
      </c>
      <c r="H334" s="209" cm="1">
        <f t="array" ref="H334">IF(ROW()&lt;3,"",E334/INDEX(E:E,ROW()-1)-1)</f>
        <v/>
      </c>
      <c r="I334" s="211">
        <f>IF(ROW()&lt;51,NA(),AVERAGE(INDEX(E:E,ROW()-49):E334))</f>
        <v/>
      </c>
      <c r="J334" s="211">
        <f>IF(ROW()&lt;201,NA(),AVERAGE(INDEX(E:E,ROW()-199):E334))</f>
        <v/>
      </c>
      <c r="K334" s="341">
        <f>IF(ROW()&lt;22,NA(),_xlfn.STDEV.S(INDEX(H:H,ROW()-19):H334)*SQRT(252))</f>
        <v/>
      </c>
      <c r="L334" s="426" cm="1">
        <f t="array" ref="L334">IF(ROW()&lt;17,NA(),_xlfn.LET(_xlpm.d,INDEX(E:E,ROW()-13):E334-INDEX(E:E,ROW()-14):INDEX(E:E,ROW()-1),_xlpm.g,SUM(IF(_xlpm.d&gt;0,_xlpm.d,0)),_xlpm.l,-SUM(IF(_xlpm.d&lt;0,_xlpm.d,0)),IF(_xlpm.l=0,100,100-100/(1+_xlpm.g/_xlpm.l))))</f>
        <v/>
      </c>
      <c r="M334" s="211">
        <f>MAX($E$2:E334)</f>
        <v/>
      </c>
      <c r="N334" s="341">
        <f>E334/M334-1</f>
        <v/>
      </c>
    </row>
    <row r="335">
      <c r="A335" s="424" t="n">
        <v>44949</v>
      </c>
      <c r="B335" s="425" t="n">
        <v>117.24342231294</v>
      </c>
      <c r="C335" s="425" t="n">
        <v>118.9526433513293</v>
      </c>
      <c r="D335" s="425" t="n">
        <v>116.910816299663</v>
      </c>
      <c r="E335" s="425" t="n">
        <v>118.5276412963867</v>
      </c>
      <c r="F335" s="207" t="n">
        <v>5581600</v>
      </c>
      <c r="G335" s="208" t="n">
        <v>0.01199846764104007</v>
      </c>
      <c r="H335" s="209" cm="1">
        <f t="array" ref="H335">IF(ROW()&lt;3,"",E335/INDEX(E:E,ROW()-1)-1)</f>
        <v/>
      </c>
      <c r="I335" s="211">
        <f>IF(ROW()&lt;51,NA(),AVERAGE(INDEX(E:E,ROW()-49):E335))</f>
        <v/>
      </c>
      <c r="J335" s="211">
        <f>IF(ROW()&lt;201,NA(),AVERAGE(INDEX(E:E,ROW()-199):E335))</f>
        <v/>
      </c>
      <c r="K335" s="341">
        <f>IF(ROW()&lt;22,NA(),_xlfn.STDEV.S(INDEX(H:H,ROW()-19):H335)*SQRT(252))</f>
        <v/>
      </c>
      <c r="L335" s="426" cm="1">
        <f t="array" ref="L335">IF(ROW()&lt;17,NA(),_xlfn.LET(_xlpm.d,INDEX(E:E,ROW()-13):E335-INDEX(E:E,ROW()-14):INDEX(E:E,ROW()-1),_xlpm.g,SUM(IF(_xlpm.d&gt;0,_xlpm.d,0)),_xlpm.l,-SUM(IF(_xlpm.d&lt;0,_xlpm.d,0)),IF(_xlpm.l=0,100,100-100/(1+_xlpm.g/_xlpm.l))))</f>
        <v/>
      </c>
      <c r="M335" s="211">
        <f>MAX($E$2:E335)</f>
        <v/>
      </c>
      <c r="N335" s="341">
        <f>E335/M335-1</f>
        <v/>
      </c>
    </row>
    <row r="336">
      <c r="A336" s="424" t="n">
        <v>44950</v>
      </c>
      <c r="B336" s="425" t="n">
        <v>117.1602746848354</v>
      </c>
      <c r="C336" s="425" t="n">
        <v>118.2689567665621</v>
      </c>
      <c r="D336" s="425" t="n">
        <v>111.2842441442607</v>
      </c>
      <c r="E336" s="425" t="n">
        <v>117.1787567138672</v>
      </c>
      <c r="F336" s="207" t="n">
        <v>5486200</v>
      </c>
      <c r="G336" s="208" t="n">
        <v>-0.00107327071163299</v>
      </c>
      <c r="H336" s="209" cm="1">
        <f t="array" ref="H336">IF(ROW()&lt;3,"",E336/INDEX(E:E,ROW()-1)-1)</f>
        <v/>
      </c>
      <c r="I336" s="211">
        <f>IF(ROW()&lt;51,NA(),AVERAGE(INDEX(E:E,ROW()-49):E336))</f>
        <v/>
      </c>
      <c r="J336" s="211">
        <f>IF(ROW()&lt;201,NA(),AVERAGE(INDEX(E:E,ROW()-199):E336))</f>
        <v/>
      </c>
      <c r="K336" s="341">
        <f>IF(ROW()&lt;22,NA(),_xlfn.STDEV.S(INDEX(H:H,ROW()-19):H336)*SQRT(252))</f>
        <v/>
      </c>
      <c r="L336" s="426" cm="1">
        <f t="array" ref="L336">IF(ROW()&lt;17,NA(),_xlfn.LET(_xlpm.d,INDEX(E:E,ROW()-13):E336-INDEX(E:E,ROW()-14):INDEX(E:E,ROW()-1),_xlpm.g,SUM(IF(_xlpm.d&gt;0,_xlpm.d,0)),_xlpm.l,-SUM(IF(_xlpm.d&lt;0,_xlpm.d,0)),IF(_xlpm.l=0,100,100-100/(1+_xlpm.g/_xlpm.l))))</f>
        <v/>
      </c>
      <c r="M336" s="211">
        <f>MAX($E$2:E336)</f>
        <v/>
      </c>
      <c r="N336" s="341">
        <f>E336/M336-1</f>
        <v/>
      </c>
    </row>
    <row r="337">
      <c r="A337" s="424" t="n">
        <v>44951</v>
      </c>
      <c r="B337" s="425" t="n">
        <v>116.2825779998246</v>
      </c>
      <c r="C337" s="425" t="n">
        <v>117.3450691922959</v>
      </c>
      <c r="D337" s="425" t="n">
        <v>115.3309578439967</v>
      </c>
      <c r="E337" s="425" t="n">
        <v>117.1695251464844</v>
      </c>
      <c r="F337" s="207" t="n">
        <v>5933700</v>
      </c>
      <c r="G337" s="208" t="n">
        <v>0.0003749570578230887</v>
      </c>
      <c r="H337" s="209" cm="1">
        <f t="array" ref="H337">IF(ROW()&lt;3,"",E337/INDEX(E:E,ROW()-1)-1)</f>
        <v/>
      </c>
      <c r="I337" s="211">
        <f>IF(ROW()&lt;51,NA(),AVERAGE(INDEX(E:E,ROW()-49):E337))</f>
        <v/>
      </c>
      <c r="J337" s="211">
        <f>IF(ROW()&lt;201,NA(),AVERAGE(INDEX(E:E,ROW()-199):E337))</f>
        <v/>
      </c>
      <c r="K337" s="341">
        <f>IF(ROW()&lt;22,NA(),_xlfn.STDEV.S(INDEX(H:H,ROW()-19):H337)*SQRT(252))</f>
        <v/>
      </c>
      <c r="L337" s="426" cm="1">
        <f t="array" ref="L337">IF(ROW()&lt;17,NA(),_xlfn.LET(_xlpm.d,INDEX(E:E,ROW()-13):E337-INDEX(E:E,ROW()-14):INDEX(E:E,ROW()-1),_xlpm.g,SUM(IF(_xlpm.d&gt;0,_xlpm.d,0)),_xlpm.l,-SUM(IF(_xlpm.d&lt;0,_xlpm.d,0)),IF(_xlpm.l=0,100,100-100/(1+_xlpm.g/_xlpm.l))))</f>
        <v/>
      </c>
      <c r="M337" s="211">
        <f>MAX($E$2:E337)</f>
        <v/>
      </c>
      <c r="N337" s="341">
        <f>E337/M337-1</f>
        <v/>
      </c>
    </row>
    <row r="338">
      <c r="A338" s="424" t="n">
        <v>44952</v>
      </c>
      <c r="B338" s="425" t="n">
        <v>118.6847310326678</v>
      </c>
      <c r="C338" s="425" t="n">
        <v>119.1743990949512</v>
      </c>
      <c r="D338" s="425" t="n">
        <v>116.4211616793413</v>
      </c>
      <c r="E338" s="425" t="n">
        <v>117.8254928588867</v>
      </c>
      <c r="F338" s="207" t="n">
        <v>5838800</v>
      </c>
      <c r="G338" s="208" t="n">
        <v>0.01099019571096416</v>
      </c>
      <c r="H338" s="209" cm="1">
        <f t="array" ref="H338">IF(ROW()&lt;3,"",E338/INDEX(E:E,ROW()-1)-1)</f>
        <v/>
      </c>
      <c r="I338" s="211">
        <f>IF(ROW()&lt;51,NA(),AVERAGE(INDEX(E:E,ROW()-49):E338))</f>
        <v/>
      </c>
      <c r="J338" s="211">
        <f>IF(ROW()&lt;201,NA(),AVERAGE(INDEX(E:E,ROW()-199):E338))</f>
        <v/>
      </c>
      <c r="K338" s="341">
        <f>IF(ROW()&lt;22,NA(),_xlfn.STDEV.S(INDEX(H:H,ROW()-19):H338)*SQRT(252))</f>
        <v/>
      </c>
      <c r="L338" s="426" cm="1">
        <f t="array" ref="L338">IF(ROW()&lt;17,NA(),_xlfn.LET(_xlpm.d,INDEX(E:E,ROW()-13):E338-INDEX(E:E,ROW()-14):INDEX(E:E,ROW()-1),_xlpm.g,SUM(IF(_xlpm.d&gt;0,_xlpm.d,0)),_xlpm.l,-SUM(IF(_xlpm.d&lt;0,_xlpm.d,0)),IF(_xlpm.l=0,100,100-100/(1+_xlpm.g/_xlpm.l))))</f>
        <v/>
      </c>
      <c r="M338" s="211">
        <f>MAX($E$2:E338)</f>
        <v/>
      </c>
      <c r="N338" s="341">
        <f>E338/M338-1</f>
        <v/>
      </c>
    </row>
    <row r="339">
      <c r="A339" s="424" t="n">
        <v>44953</v>
      </c>
      <c r="B339" s="425" t="n">
        <v>117.4004978039081</v>
      </c>
      <c r="C339" s="425" t="n">
        <v>118.7955950172879</v>
      </c>
      <c r="D339" s="425" t="n">
        <v>117.0586507373947</v>
      </c>
      <c r="E339" s="425" t="n">
        <v>117.8254928588867</v>
      </c>
      <c r="F339" s="207" t="n">
        <v>5730000</v>
      </c>
      <c r="G339" s="208" t="n">
        <v>0.002297572699223815</v>
      </c>
      <c r="H339" s="209" cm="1">
        <f t="array" ref="H339">IF(ROW()&lt;3,"",E339/INDEX(E:E,ROW()-1)-1)</f>
        <v/>
      </c>
      <c r="I339" s="211">
        <f>IF(ROW()&lt;51,NA(),AVERAGE(INDEX(E:E,ROW()-49):E339))</f>
        <v/>
      </c>
      <c r="J339" s="211">
        <f>IF(ROW()&lt;201,NA(),AVERAGE(INDEX(E:E,ROW()-199):E339))</f>
        <v/>
      </c>
      <c r="K339" s="341">
        <f>IF(ROW()&lt;22,NA(),_xlfn.STDEV.S(INDEX(H:H,ROW()-19):H339)*SQRT(252))</f>
        <v/>
      </c>
      <c r="L339" s="426" cm="1">
        <f t="array" ref="L339">IF(ROW()&lt;17,NA(),_xlfn.LET(_xlpm.d,INDEX(E:E,ROW()-13):E339-INDEX(E:E,ROW()-14):INDEX(E:E,ROW()-1),_xlpm.g,SUM(IF(_xlpm.d&gt;0,_xlpm.d,0)),_xlpm.l,-SUM(IF(_xlpm.d&lt;0,_xlpm.d,0)),IF(_xlpm.l=0,100,100-100/(1+_xlpm.g/_xlpm.l))))</f>
        <v/>
      </c>
      <c r="M339" s="211">
        <f>MAX($E$2:E339)</f>
        <v/>
      </c>
      <c r="N339" s="341">
        <f>E339/M339-1</f>
        <v/>
      </c>
    </row>
    <row r="340">
      <c r="A340" s="424" t="n">
        <v>44956</v>
      </c>
      <c r="B340" s="425" t="n">
        <v>116.8738662844946</v>
      </c>
      <c r="C340" s="425" t="n">
        <v>117.8532023550478</v>
      </c>
      <c r="D340" s="425" t="n">
        <v>116.605933255058</v>
      </c>
      <c r="E340" s="425" t="n">
        <v>116.7537612915039</v>
      </c>
      <c r="F340" s="207" t="n">
        <v>6494600</v>
      </c>
      <c r="G340" s="208" t="n">
        <v>-0.01254652044281057</v>
      </c>
      <c r="H340" s="209" cm="1">
        <f t="array" ref="H340">IF(ROW()&lt;3,"",E340/INDEX(E:E,ROW()-1)-1)</f>
        <v/>
      </c>
      <c r="I340" s="211">
        <f>IF(ROW()&lt;51,NA(),AVERAGE(INDEX(E:E,ROW()-49):E340))</f>
        <v/>
      </c>
      <c r="J340" s="211">
        <f>IF(ROW()&lt;201,NA(),AVERAGE(INDEX(E:E,ROW()-199):E340))</f>
        <v/>
      </c>
      <c r="K340" s="341">
        <f>IF(ROW()&lt;22,NA(),_xlfn.STDEV.S(INDEX(H:H,ROW()-19):H340)*SQRT(252))</f>
        <v/>
      </c>
      <c r="L340" s="426" cm="1">
        <f t="array" ref="L340">IF(ROW()&lt;17,NA(),_xlfn.LET(_xlpm.d,INDEX(E:E,ROW()-13):E340-INDEX(E:E,ROW()-14):INDEX(E:E,ROW()-1),_xlpm.g,SUM(IF(_xlpm.d&gt;0,_xlpm.d,0)),_xlpm.l,-SUM(IF(_xlpm.d&lt;0,_xlpm.d,0)),IF(_xlpm.l=0,100,100-100/(1+_xlpm.g/_xlpm.l))))</f>
        <v/>
      </c>
      <c r="M340" s="211">
        <f>MAX($E$2:E340)</f>
        <v/>
      </c>
      <c r="N340" s="341">
        <f>E340/M340-1</f>
        <v/>
      </c>
    </row>
    <row r="341">
      <c r="A341" s="424" t="n">
        <v>44957</v>
      </c>
      <c r="B341" s="425" t="n">
        <v>116.7999603967877</v>
      </c>
      <c r="C341" s="425" t="n">
        <v>118.1211436069687</v>
      </c>
      <c r="D341" s="425" t="n">
        <v>116.4211633624772</v>
      </c>
      <c r="E341" s="425" t="n">
        <v>117.6407165527344</v>
      </c>
      <c r="F341" s="207" t="n">
        <v>7686900</v>
      </c>
      <c r="G341" s="208" t="n">
        <v>0.01470333354898323</v>
      </c>
      <c r="H341" s="209" cm="1">
        <f t="array" ref="H341">IF(ROW()&lt;3,"",E341/INDEX(E:E,ROW()-1)-1)</f>
        <v/>
      </c>
      <c r="I341" s="211">
        <f>IF(ROW()&lt;51,NA(),AVERAGE(INDEX(E:E,ROW()-49):E341))</f>
        <v/>
      </c>
      <c r="J341" s="211">
        <f>IF(ROW()&lt;201,NA(),AVERAGE(INDEX(E:E,ROW()-199):E341))</f>
        <v/>
      </c>
      <c r="K341" s="341">
        <f>IF(ROW()&lt;22,NA(),_xlfn.STDEV.S(INDEX(H:H,ROW()-19):H341)*SQRT(252))</f>
        <v/>
      </c>
      <c r="L341" s="426" cm="1">
        <f t="array" ref="L341">IF(ROW()&lt;17,NA(),_xlfn.LET(_xlpm.d,INDEX(E:E,ROW()-13):E341-INDEX(E:E,ROW()-14):INDEX(E:E,ROW()-1),_xlpm.g,SUM(IF(_xlpm.d&gt;0,_xlpm.d,0)),_xlpm.l,-SUM(IF(_xlpm.d&lt;0,_xlpm.d,0)),IF(_xlpm.l=0,100,100-100/(1+_xlpm.g/_xlpm.l))))</f>
        <v/>
      </c>
      <c r="M341" s="211">
        <f>MAX($E$2:E341)</f>
        <v/>
      </c>
      <c r="N341" s="341">
        <f>E341/M341-1</f>
        <v/>
      </c>
    </row>
    <row r="342">
      <c r="A342" s="424" t="n">
        <v>44958</v>
      </c>
      <c r="B342" s="425" t="n">
        <v>118.1673464523444</v>
      </c>
      <c r="C342" s="425" t="n">
        <v>120.3108038756202</v>
      </c>
      <c r="D342" s="425" t="n">
        <v>116.6151871424668</v>
      </c>
      <c r="E342" s="425" t="n">
        <v>119.6455917358398</v>
      </c>
      <c r="F342" s="207" t="n">
        <v>6387900</v>
      </c>
      <c r="G342" s="208" t="n">
        <v>0.01062767329062897</v>
      </c>
      <c r="H342" s="209" cm="1">
        <f t="array" ref="H342">IF(ROW()&lt;3,"",E342/INDEX(E:E,ROW()-1)-1)</f>
        <v/>
      </c>
      <c r="I342" s="211">
        <f>IF(ROW()&lt;51,NA(),AVERAGE(INDEX(E:E,ROW()-49):E342))</f>
        <v/>
      </c>
      <c r="J342" s="211">
        <f>IF(ROW()&lt;201,NA(),AVERAGE(INDEX(E:E,ROW()-199):E342))</f>
        <v/>
      </c>
      <c r="K342" s="341">
        <f>IF(ROW()&lt;22,NA(),_xlfn.STDEV.S(INDEX(H:H,ROW()-19):H342)*SQRT(252))</f>
        <v/>
      </c>
      <c r="L342" s="426" cm="1">
        <f t="array" ref="L342">IF(ROW()&lt;17,NA(),_xlfn.LET(_xlpm.d,INDEX(E:E,ROW()-13):E342-INDEX(E:E,ROW()-14):INDEX(E:E,ROW()-1),_xlpm.g,SUM(IF(_xlpm.d&gt;0,_xlpm.d,0)),_xlpm.l,-SUM(IF(_xlpm.d&lt;0,_xlpm.d,0)),IF(_xlpm.l=0,100,100-100/(1+_xlpm.g/_xlpm.l))))</f>
        <v/>
      </c>
      <c r="M342" s="211">
        <f>MAX($E$2:E342)</f>
        <v/>
      </c>
      <c r="N342" s="341">
        <f>E342/M342-1</f>
        <v/>
      </c>
    </row>
    <row r="343">
      <c r="A343" s="424" t="n">
        <v>44959</v>
      </c>
      <c r="B343" s="425" t="n">
        <v>120.5232855678039</v>
      </c>
      <c r="C343" s="425" t="n">
        <v>121.3178436481004</v>
      </c>
      <c r="D343" s="425" t="n">
        <v>118.1303773611827</v>
      </c>
      <c r="E343" s="425" t="n">
        <v>119.2390594482422</v>
      </c>
      <c r="F343" s="207" t="n">
        <v>5214500</v>
      </c>
      <c r="G343" s="208" t="n">
        <v>0.01455699091187923</v>
      </c>
      <c r="H343" s="209" cm="1">
        <f t="array" ref="H343">IF(ROW()&lt;3,"",E343/INDEX(E:E,ROW()-1)-1)</f>
        <v/>
      </c>
      <c r="I343" s="211">
        <f>IF(ROW()&lt;51,NA(),AVERAGE(INDEX(E:E,ROW()-49):E343))</f>
        <v/>
      </c>
      <c r="J343" s="211">
        <f>IF(ROW()&lt;201,NA(),AVERAGE(INDEX(E:E,ROW()-199):E343))</f>
        <v/>
      </c>
      <c r="K343" s="341">
        <f>IF(ROW()&lt;22,NA(),_xlfn.STDEV.S(INDEX(H:H,ROW()-19):H343)*SQRT(252))</f>
        <v/>
      </c>
      <c r="L343" s="426" cm="1">
        <f t="array" ref="L343">IF(ROW()&lt;17,NA(),_xlfn.LET(_xlpm.d,INDEX(E:E,ROW()-13):E343-INDEX(E:E,ROW()-14):INDEX(E:E,ROW()-1),_xlpm.g,SUM(IF(_xlpm.d&gt;0,_xlpm.d,0)),_xlpm.l,-SUM(IF(_xlpm.d&lt;0,_xlpm.d,0)),IF(_xlpm.l=0,100,100-100/(1+_xlpm.g/_xlpm.l))))</f>
        <v/>
      </c>
      <c r="M343" s="211">
        <f>MAX($E$2:E343)</f>
        <v/>
      </c>
      <c r="N343" s="341">
        <f>E343/M343-1</f>
        <v/>
      </c>
    </row>
    <row r="344">
      <c r="A344" s="424" t="n">
        <v>44960</v>
      </c>
      <c r="B344" s="425" t="n">
        <v>117.1418053294874</v>
      </c>
      <c r="C344" s="425" t="n">
        <v>119.5716706505093</v>
      </c>
      <c r="D344" s="425" t="n">
        <v>116.8184402941924</v>
      </c>
      <c r="E344" s="425" t="n">
        <v>117.8994064331055</v>
      </c>
      <c r="F344" s="207" t="n">
        <v>4930200</v>
      </c>
      <c r="G344" s="208" t="n">
        <v>-0.01062903428993389</v>
      </c>
      <c r="H344" s="209" cm="1">
        <f t="array" ref="H344">IF(ROW()&lt;3,"",E344/INDEX(E:E,ROW()-1)-1)</f>
        <v/>
      </c>
      <c r="I344" s="211">
        <f>IF(ROW()&lt;51,NA(),AVERAGE(INDEX(E:E,ROW()-49):E344))</f>
        <v/>
      </c>
      <c r="J344" s="211">
        <f>IF(ROW()&lt;201,NA(),AVERAGE(INDEX(E:E,ROW()-199):E344))</f>
        <v/>
      </c>
      <c r="K344" s="341">
        <f>IF(ROW()&lt;22,NA(),_xlfn.STDEV.S(INDEX(H:H,ROW()-19):H344)*SQRT(252))</f>
        <v/>
      </c>
      <c r="L344" s="426" cm="1">
        <f t="array" ref="L344">IF(ROW()&lt;17,NA(),_xlfn.LET(_xlpm.d,INDEX(E:E,ROW()-13):E344-INDEX(E:E,ROW()-14):INDEX(E:E,ROW()-1),_xlpm.g,SUM(IF(_xlpm.d&gt;0,_xlpm.d,0)),_xlpm.l,-SUM(IF(_xlpm.d&lt;0,_xlpm.d,0)),IF(_xlpm.l=0,100,100-100/(1+_xlpm.g/_xlpm.l))))</f>
        <v/>
      </c>
      <c r="M344" s="211">
        <f>MAX($E$2:E344)</f>
        <v/>
      </c>
      <c r="N344" s="341">
        <f>E344/M344-1</f>
        <v/>
      </c>
    </row>
    <row r="345">
      <c r="A345" s="424" t="n">
        <v>44963</v>
      </c>
      <c r="B345" s="425" t="n">
        <v>115.9684418886282</v>
      </c>
      <c r="C345" s="425" t="n">
        <v>116.5043079692435</v>
      </c>
      <c r="D345" s="425" t="n">
        <v>114.8597597656157</v>
      </c>
      <c r="E345" s="425" t="n">
        <v>116.162467956543</v>
      </c>
      <c r="F345" s="207" t="n">
        <v>4666400</v>
      </c>
      <c r="G345" s="208" t="n">
        <v>-0.006111340267619614</v>
      </c>
      <c r="H345" s="209" cm="1">
        <f t="array" ref="H345">IF(ROW()&lt;3,"",E345/INDEX(E:E,ROW()-1)-1)</f>
        <v/>
      </c>
      <c r="I345" s="211">
        <f>IF(ROW()&lt;51,NA(),AVERAGE(INDEX(E:E,ROW()-49):E345))</f>
        <v/>
      </c>
      <c r="J345" s="211">
        <f>IF(ROW()&lt;201,NA(),AVERAGE(INDEX(E:E,ROW()-199):E345))</f>
        <v/>
      </c>
      <c r="K345" s="341">
        <f>IF(ROW()&lt;22,NA(),_xlfn.STDEV.S(INDEX(H:H,ROW()-19):H345)*SQRT(252))</f>
        <v/>
      </c>
      <c r="L345" s="426" cm="1">
        <f t="array" ref="L345">IF(ROW()&lt;17,NA(),_xlfn.LET(_xlpm.d,INDEX(E:E,ROW()-13):E345-INDEX(E:E,ROW()-14):INDEX(E:E,ROW()-1),_xlpm.g,SUM(IF(_xlpm.d&gt;0,_xlpm.d,0)),_xlpm.l,-SUM(IF(_xlpm.d&lt;0,_xlpm.d,0)),IF(_xlpm.l=0,100,100-100/(1+_xlpm.g/_xlpm.l))))</f>
        <v/>
      </c>
      <c r="M345" s="211">
        <f>MAX($E$2:E345)</f>
        <v/>
      </c>
      <c r="N345" s="341">
        <f>E345/M345-1</f>
        <v/>
      </c>
    </row>
    <row r="346">
      <c r="A346" s="424" t="n">
        <v>44964</v>
      </c>
      <c r="B346" s="425" t="n">
        <v>114.5271414117571</v>
      </c>
      <c r="C346" s="425" t="n">
        <v>116.347233457991</v>
      </c>
      <c r="D346" s="425" t="n">
        <v>113.8711704037693</v>
      </c>
      <c r="E346" s="425" t="n">
        <v>115.7928924560547</v>
      </c>
      <c r="F346" s="207" t="n">
        <v>5288900</v>
      </c>
      <c r="G346" s="208" t="n">
        <v>0.01307868901143738</v>
      </c>
      <c r="H346" s="209" cm="1">
        <f t="array" ref="H346">IF(ROW()&lt;3,"",E346/INDEX(E:E,ROW()-1)-1)</f>
        <v/>
      </c>
      <c r="I346" s="211">
        <f>IF(ROW()&lt;51,NA(),AVERAGE(INDEX(E:E,ROW()-49):E346))</f>
        <v/>
      </c>
      <c r="J346" s="211">
        <f>IF(ROW()&lt;201,NA(),AVERAGE(INDEX(E:E,ROW()-199):E346))</f>
        <v/>
      </c>
      <c r="K346" s="341">
        <f>IF(ROW()&lt;22,NA(),_xlfn.STDEV.S(INDEX(H:H,ROW()-19):H346)*SQRT(252))</f>
        <v/>
      </c>
      <c r="L346" s="426" cm="1">
        <f t="array" ref="L346">IF(ROW()&lt;17,NA(),_xlfn.LET(_xlpm.d,INDEX(E:E,ROW()-13):E346-INDEX(E:E,ROW()-14):INDEX(E:E,ROW()-1),_xlpm.g,SUM(IF(_xlpm.d&gt;0,_xlpm.d,0)),_xlpm.l,-SUM(IF(_xlpm.d&lt;0,_xlpm.d,0)),IF(_xlpm.l=0,100,100-100/(1+_xlpm.g/_xlpm.l))))</f>
        <v/>
      </c>
      <c r="M346" s="211">
        <f>MAX($E$2:E346)</f>
        <v/>
      </c>
      <c r="N346" s="341">
        <f>E346/M346-1</f>
        <v/>
      </c>
    </row>
    <row r="347">
      <c r="A347" s="424" t="n">
        <v>44965</v>
      </c>
      <c r="B347" s="425" t="n">
        <v>113.9912969212688</v>
      </c>
      <c r="C347" s="425" t="n">
        <v>114.6565090687798</v>
      </c>
      <c r="D347" s="425" t="n">
        <v>112.5315336518192</v>
      </c>
      <c r="E347" s="425" t="n">
        <v>113.5570678710938</v>
      </c>
      <c r="F347" s="207" t="n">
        <v>5877800</v>
      </c>
      <c r="G347" s="208" t="n">
        <v>-0.01093467568720574</v>
      </c>
      <c r="H347" s="209" cm="1">
        <f t="array" ref="H347">IF(ROW()&lt;3,"",E347/INDEX(E:E,ROW()-1)-1)</f>
        <v/>
      </c>
      <c r="I347" s="211">
        <f>IF(ROW()&lt;51,NA(),AVERAGE(INDEX(E:E,ROW()-49):E347))</f>
        <v/>
      </c>
      <c r="J347" s="211">
        <f>IF(ROW()&lt;201,NA(),AVERAGE(INDEX(E:E,ROW()-199):E347))</f>
        <v/>
      </c>
      <c r="K347" s="341">
        <f>IF(ROW()&lt;22,NA(),_xlfn.STDEV.S(INDEX(H:H,ROW()-19):H347)*SQRT(252))</f>
        <v/>
      </c>
      <c r="L347" s="426" cm="1">
        <f t="array" ref="L347">IF(ROW()&lt;17,NA(),_xlfn.LET(_xlpm.d,INDEX(E:E,ROW()-13):E347-INDEX(E:E,ROW()-14):INDEX(E:E,ROW()-1),_xlpm.g,SUM(IF(_xlpm.d&gt;0,_xlpm.d,0)),_xlpm.l,-SUM(IF(_xlpm.d&lt;0,_xlpm.d,0)),IF(_xlpm.l=0,100,100-100/(1+_xlpm.g/_xlpm.l))))</f>
        <v/>
      </c>
      <c r="M347" s="211">
        <f>MAX($E$2:E347)</f>
        <v/>
      </c>
      <c r="N347" s="341">
        <f>E347/M347-1</f>
        <v/>
      </c>
    </row>
    <row r="348">
      <c r="A348" s="424" t="n">
        <v>44966</v>
      </c>
      <c r="B348" s="425" t="n">
        <v>115.2200672448319</v>
      </c>
      <c r="C348" s="425" t="n">
        <v>115.50647522983</v>
      </c>
      <c r="D348" s="425" t="n">
        <v>112.2543362442385</v>
      </c>
      <c r="E348" s="425" t="n">
        <v>112.8825912475586</v>
      </c>
      <c r="F348" s="207" t="n">
        <v>5929000</v>
      </c>
      <c r="G348" s="208" t="n">
        <v>-0.008669301760000359</v>
      </c>
      <c r="H348" s="209" cm="1">
        <f t="array" ref="H348">IF(ROW()&lt;3,"",E348/INDEX(E:E,ROW()-1)-1)</f>
        <v/>
      </c>
      <c r="I348" s="211">
        <f>IF(ROW()&lt;51,NA(),AVERAGE(INDEX(E:E,ROW()-49):E348))</f>
        <v/>
      </c>
      <c r="J348" s="211">
        <f>IF(ROW()&lt;201,NA(),AVERAGE(INDEX(E:E,ROW()-199):E348))</f>
        <v/>
      </c>
      <c r="K348" s="341">
        <f>IF(ROW()&lt;22,NA(),_xlfn.STDEV.S(INDEX(H:H,ROW()-19):H348)*SQRT(252))</f>
        <v/>
      </c>
      <c r="L348" s="426" cm="1">
        <f t="array" ref="L348">IF(ROW()&lt;17,NA(),_xlfn.LET(_xlpm.d,INDEX(E:E,ROW()-13):E348-INDEX(E:E,ROW()-14):INDEX(E:E,ROW()-1),_xlpm.g,SUM(IF(_xlpm.d&gt;0,_xlpm.d,0)),_xlpm.l,-SUM(IF(_xlpm.d&lt;0,_xlpm.d,0)),IF(_xlpm.l=0,100,100-100/(1+_xlpm.g/_xlpm.l))))</f>
        <v/>
      </c>
      <c r="M348" s="211">
        <f>MAX($E$2:E348)</f>
        <v/>
      </c>
      <c r="N348" s="341">
        <f>E348/M348-1</f>
        <v/>
      </c>
    </row>
    <row r="349">
      <c r="A349" s="424" t="n">
        <v>44967</v>
      </c>
      <c r="B349" s="425" t="n">
        <v>112.2635752341771</v>
      </c>
      <c r="C349" s="425" t="n">
        <v>113.3075842000504</v>
      </c>
      <c r="D349" s="425" t="n">
        <v>111.3673872405701</v>
      </c>
      <c r="E349" s="425" t="n">
        <v>112.9287872314453</v>
      </c>
      <c r="F349" s="207" t="n">
        <v>5195500</v>
      </c>
      <c r="G349" s="208" t="n">
        <v>0.002333644700786675</v>
      </c>
      <c r="H349" s="209" cm="1">
        <f t="array" ref="H349">IF(ROW()&lt;3,"",E349/INDEX(E:E,ROW()-1)-1)</f>
        <v/>
      </c>
      <c r="I349" s="211">
        <f>IF(ROW()&lt;51,NA(),AVERAGE(INDEX(E:E,ROW()-49):E349))</f>
        <v/>
      </c>
      <c r="J349" s="211">
        <f>IF(ROW()&lt;201,NA(),AVERAGE(INDEX(E:E,ROW()-199):E349))</f>
        <v/>
      </c>
      <c r="K349" s="341">
        <f>IF(ROW()&lt;22,NA(),_xlfn.STDEV.S(INDEX(H:H,ROW()-19):H349)*SQRT(252))</f>
        <v/>
      </c>
      <c r="L349" s="426" cm="1">
        <f t="array" ref="L349">IF(ROW()&lt;17,NA(),_xlfn.LET(_xlpm.d,INDEX(E:E,ROW()-13):E349-INDEX(E:E,ROW()-14):INDEX(E:E,ROW()-1),_xlpm.g,SUM(IF(_xlpm.d&gt;0,_xlpm.d,0)),_xlpm.l,-SUM(IF(_xlpm.d&lt;0,_xlpm.d,0)),IF(_xlpm.l=0,100,100-100/(1+_xlpm.g/_xlpm.l))))</f>
        <v/>
      </c>
      <c r="M349" s="211">
        <f>MAX($E$2:E349)</f>
        <v/>
      </c>
      <c r="N349" s="341">
        <f>E349/M349-1</f>
        <v/>
      </c>
    </row>
    <row r="350">
      <c r="A350" s="424" t="n">
        <v>44970</v>
      </c>
      <c r="B350" s="425" t="n">
        <v>113.4739038788314</v>
      </c>
      <c r="C350" s="425" t="n">
        <v>116.1532272399592</v>
      </c>
      <c r="D350" s="425" t="n">
        <v>113.1412978313078</v>
      </c>
      <c r="E350" s="425" t="n">
        <v>115.6266021728516</v>
      </c>
      <c r="F350" s="207" t="n">
        <v>5689800</v>
      </c>
      <c r="G350" s="208" t="n">
        <v>0.01173883727587954</v>
      </c>
      <c r="H350" s="209" cm="1">
        <f t="array" ref="H350">IF(ROW()&lt;3,"",E350/INDEX(E:E,ROW()-1)-1)</f>
        <v/>
      </c>
      <c r="I350" s="211">
        <f>IF(ROW()&lt;51,NA(),AVERAGE(INDEX(E:E,ROW()-49):E350))</f>
        <v/>
      </c>
      <c r="J350" s="211">
        <f>IF(ROW()&lt;201,NA(),AVERAGE(INDEX(E:E,ROW()-199):E350))</f>
        <v/>
      </c>
      <c r="K350" s="341">
        <f>IF(ROW()&lt;22,NA(),_xlfn.STDEV.S(INDEX(H:H,ROW()-19):H350)*SQRT(252))</f>
        <v/>
      </c>
      <c r="L350" s="426" cm="1">
        <f t="array" ref="L350">IF(ROW()&lt;17,NA(),_xlfn.LET(_xlpm.d,INDEX(E:E,ROW()-13):E350-INDEX(E:E,ROW()-14):INDEX(E:E,ROW()-1),_xlpm.g,SUM(IF(_xlpm.d&gt;0,_xlpm.d,0)),_xlpm.l,-SUM(IF(_xlpm.d&lt;0,_xlpm.d,0)),IF(_xlpm.l=0,100,100-100/(1+_xlpm.g/_xlpm.l))))</f>
        <v/>
      </c>
      <c r="M350" s="211">
        <f>MAX($E$2:E350)</f>
        <v/>
      </c>
      <c r="N350" s="341">
        <f>E350/M350-1</f>
        <v/>
      </c>
    </row>
    <row r="351">
      <c r="A351" s="424" t="n">
        <v>44971</v>
      </c>
      <c r="B351" s="425" t="n">
        <v>114.5179107151235</v>
      </c>
      <c r="C351" s="425" t="n">
        <v>116.7445229861654</v>
      </c>
      <c r="D351" s="425" t="n">
        <v>114.3238916994075</v>
      </c>
      <c r="E351" s="425" t="n">
        <v>116.5966949462891</v>
      </c>
      <c r="F351" s="207" t="n">
        <v>4845900</v>
      </c>
      <c r="G351" s="208" t="n">
        <v>-0.0004601311152796494</v>
      </c>
      <c r="H351" s="209" cm="1">
        <f t="array" ref="H351">IF(ROW()&lt;3,"",E351/INDEX(E:E,ROW()-1)-1)</f>
        <v/>
      </c>
      <c r="I351" s="211">
        <f>IF(ROW()&lt;51,NA(),AVERAGE(INDEX(E:E,ROW()-49):E351))</f>
        <v/>
      </c>
      <c r="J351" s="211">
        <f>IF(ROW()&lt;201,NA(),AVERAGE(INDEX(E:E,ROW()-199):E351))</f>
        <v/>
      </c>
      <c r="K351" s="341">
        <f>IF(ROW()&lt;22,NA(),_xlfn.STDEV.S(INDEX(H:H,ROW()-19):H351)*SQRT(252))</f>
        <v/>
      </c>
      <c r="L351" s="426" cm="1">
        <f t="array" ref="L351">IF(ROW()&lt;17,NA(),_xlfn.LET(_xlpm.d,INDEX(E:E,ROW()-13):E351-INDEX(E:E,ROW()-14):INDEX(E:E,ROW()-1),_xlpm.g,SUM(IF(_xlpm.d&gt;0,_xlpm.d,0)),_xlpm.l,-SUM(IF(_xlpm.d&lt;0,_xlpm.d,0)),IF(_xlpm.l=0,100,100-100/(1+_xlpm.g/_xlpm.l))))</f>
        <v/>
      </c>
      <c r="M351" s="211">
        <f>MAX($E$2:E351)</f>
        <v/>
      </c>
      <c r="N351" s="341">
        <f>E351/M351-1</f>
        <v/>
      </c>
    </row>
    <row r="352">
      <c r="A352" s="424" t="n">
        <v>44972</v>
      </c>
      <c r="B352" s="425" t="n">
        <v>115.3956076734098</v>
      </c>
      <c r="C352" s="425" t="n">
        <v>117.7977565941924</v>
      </c>
      <c r="D352" s="425" t="n">
        <v>115.3956076734098</v>
      </c>
      <c r="E352" s="425" t="n">
        <v>117.7792816162109</v>
      </c>
      <c r="F352" s="207" t="n">
        <v>5687900</v>
      </c>
      <c r="G352" s="208" t="n">
        <v>0.003247522836289374</v>
      </c>
      <c r="H352" s="209" cm="1">
        <f t="array" ref="H352">IF(ROW()&lt;3,"",E352/INDEX(E:E,ROW()-1)-1)</f>
        <v/>
      </c>
      <c r="I352" s="211">
        <f>IF(ROW()&lt;51,NA(),AVERAGE(INDEX(E:E,ROW()-49):E352))</f>
        <v/>
      </c>
      <c r="J352" s="211">
        <f>IF(ROW()&lt;201,NA(),AVERAGE(INDEX(E:E,ROW()-199):E352))</f>
        <v/>
      </c>
      <c r="K352" s="341">
        <f>IF(ROW()&lt;22,NA(),_xlfn.STDEV.S(INDEX(H:H,ROW()-19):H352)*SQRT(252))</f>
        <v/>
      </c>
      <c r="L352" s="426" cm="1">
        <f t="array" ref="L352">IF(ROW()&lt;17,NA(),_xlfn.LET(_xlpm.d,INDEX(E:E,ROW()-13):E352-INDEX(E:E,ROW()-14):INDEX(E:E,ROW()-1),_xlpm.g,SUM(IF(_xlpm.d&gt;0,_xlpm.d,0)),_xlpm.l,-SUM(IF(_xlpm.d&lt;0,_xlpm.d,0)),IF(_xlpm.l=0,100,100-100/(1+_xlpm.g/_xlpm.l))))</f>
        <v/>
      </c>
      <c r="M352" s="211">
        <f>MAX($E$2:E352)</f>
        <v/>
      </c>
      <c r="N352" s="341">
        <f>E352/M352-1</f>
        <v/>
      </c>
    </row>
    <row r="353">
      <c r="A353" s="424" t="n">
        <v>44973</v>
      </c>
      <c r="B353" s="425" t="n">
        <v>115.8852937937474</v>
      </c>
      <c r="C353" s="425" t="n">
        <v>117.5298419958478</v>
      </c>
      <c r="D353" s="425" t="n">
        <v>114.6657406400347</v>
      </c>
      <c r="E353" s="425" t="n">
        <v>114.9151916503906</v>
      </c>
      <c r="F353" s="207" t="n">
        <v>4722200</v>
      </c>
      <c r="G353" s="208" t="n">
        <v>-0.013768907293495</v>
      </c>
      <c r="H353" s="209" cm="1">
        <f t="array" ref="H353">IF(ROW()&lt;3,"",E353/INDEX(E:E,ROW()-1)-1)</f>
        <v/>
      </c>
      <c r="I353" s="211">
        <f>IF(ROW()&lt;51,NA(),AVERAGE(INDEX(E:E,ROW()-49):E353))</f>
        <v/>
      </c>
      <c r="J353" s="211">
        <f>IF(ROW()&lt;201,NA(),AVERAGE(INDEX(E:E,ROW()-199):E353))</f>
        <v/>
      </c>
      <c r="K353" s="341">
        <f>IF(ROW()&lt;22,NA(),_xlfn.STDEV.S(INDEX(H:H,ROW()-19):H353)*SQRT(252))</f>
        <v/>
      </c>
      <c r="L353" s="426" cm="1">
        <f t="array" ref="L353">IF(ROW()&lt;17,NA(),_xlfn.LET(_xlpm.d,INDEX(E:E,ROW()-13):E353-INDEX(E:E,ROW()-14):INDEX(E:E,ROW()-1),_xlpm.g,SUM(IF(_xlpm.d&gt;0,_xlpm.d,0)),_xlpm.l,-SUM(IF(_xlpm.d&lt;0,_xlpm.d,0)),IF(_xlpm.l=0,100,100-100/(1+_xlpm.g/_xlpm.l))))</f>
        <v/>
      </c>
      <c r="M353" s="211">
        <f>MAX($E$2:E353)</f>
        <v/>
      </c>
      <c r="N353" s="341">
        <f>E353/M353-1</f>
        <v/>
      </c>
    </row>
    <row r="354">
      <c r="A354" s="424" t="n">
        <v>44974</v>
      </c>
      <c r="B354" s="425" t="n">
        <v>114.2961703933513</v>
      </c>
      <c r="C354" s="425" t="n">
        <v>115.3863774658814</v>
      </c>
      <c r="D354" s="425" t="n">
        <v>114.0467193986869</v>
      </c>
      <c r="E354" s="425" t="n">
        <v>115.3401794433594</v>
      </c>
      <c r="F354" s="207" t="n">
        <v>5161500</v>
      </c>
      <c r="G354" s="208" t="n">
        <v>-0.002498151150291283</v>
      </c>
      <c r="H354" s="209" cm="1">
        <f t="array" ref="H354">IF(ROW()&lt;3,"",E354/INDEX(E:E,ROW()-1)-1)</f>
        <v/>
      </c>
      <c r="I354" s="211">
        <f>IF(ROW()&lt;51,NA(),AVERAGE(INDEX(E:E,ROW()-49):E354))</f>
        <v/>
      </c>
      <c r="J354" s="211">
        <f>IF(ROW()&lt;201,NA(),AVERAGE(INDEX(E:E,ROW()-199):E354))</f>
        <v/>
      </c>
      <c r="K354" s="341">
        <f>IF(ROW()&lt;22,NA(),_xlfn.STDEV.S(INDEX(H:H,ROW()-19):H354)*SQRT(252))</f>
        <v/>
      </c>
      <c r="L354" s="426" cm="1">
        <f t="array" ref="L354">IF(ROW()&lt;17,NA(),_xlfn.LET(_xlpm.d,INDEX(E:E,ROW()-13):E354-INDEX(E:E,ROW()-14):INDEX(E:E,ROW()-1),_xlpm.g,SUM(IF(_xlpm.d&gt;0,_xlpm.d,0)),_xlpm.l,-SUM(IF(_xlpm.d&lt;0,_xlpm.d,0)),IF(_xlpm.l=0,100,100-100/(1+_xlpm.g/_xlpm.l))))</f>
        <v/>
      </c>
      <c r="M354" s="211">
        <f>MAX($E$2:E354)</f>
        <v/>
      </c>
      <c r="N354" s="341">
        <f>E354/M354-1</f>
        <v/>
      </c>
    </row>
    <row r="355">
      <c r="A355" s="424" t="n">
        <v>44978</v>
      </c>
      <c r="B355" s="425" t="n">
        <v>113.8988997945755</v>
      </c>
      <c r="C355" s="425" t="n">
        <v>114.5641118946798</v>
      </c>
      <c r="D355" s="425" t="n">
        <v>111.7739245290523</v>
      </c>
      <c r="E355" s="425" t="n">
        <v>111.8847885131836</v>
      </c>
      <c r="F355" s="207" t="n">
        <v>5110300</v>
      </c>
      <c r="G355" s="208" t="n">
        <v>-0.02006095016804077</v>
      </c>
      <c r="H355" s="209" cm="1">
        <f t="array" ref="H355">IF(ROW()&lt;3,"",E355/INDEX(E:E,ROW()-1)-1)</f>
        <v/>
      </c>
      <c r="I355" s="211">
        <f>IF(ROW()&lt;51,NA(),AVERAGE(INDEX(E:E,ROW()-49):E355))</f>
        <v/>
      </c>
      <c r="J355" s="211">
        <f>IF(ROW()&lt;201,NA(),AVERAGE(INDEX(E:E,ROW()-199):E355))</f>
        <v/>
      </c>
      <c r="K355" s="341">
        <f>IF(ROW()&lt;22,NA(),_xlfn.STDEV.S(INDEX(H:H,ROW()-19):H355)*SQRT(252))</f>
        <v/>
      </c>
      <c r="L355" s="426" cm="1">
        <f t="array" ref="L355">IF(ROW()&lt;17,NA(),_xlfn.LET(_xlpm.d,INDEX(E:E,ROW()-13):E355-INDEX(E:E,ROW()-14):INDEX(E:E,ROW()-1),_xlpm.g,SUM(IF(_xlpm.d&gt;0,_xlpm.d,0)),_xlpm.l,-SUM(IF(_xlpm.d&lt;0,_xlpm.d,0)),IF(_xlpm.l=0,100,100-100/(1+_xlpm.g/_xlpm.l))))</f>
        <v/>
      </c>
      <c r="M355" s="211">
        <f>MAX($E$2:E355)</f>
        <v/>
      </c>
      <c r="N355" s="341">
        <f>E355/M355-1</f>
        <v/>
      </c>
    </row>
    <row r="356">
      <c r="A356" s="424" t="n">
        <v>44979</v>
      </c>
      <c r="B356" s="425" t="n">
        <v>111.8847899364774</v>
      </c>
      <c r="C356" s="425" t="n">
        <v>112.1619639979899</v>
      </c>
      <c r="D356" s="425" t="n">
        <v>110.5358907380304</v>
      </c>
      <c r="E356" s="425" t="n">
        <v>110.7761077880859</v>
      </c>
      <c r="F356" s="207" t="n">
        <v>5022000</v>
      </c>
      <c r="G356" s="208" t="n">
        <v>-0.001377971441325454</v>
      </c>
      <c r="H356" s="209" cm="1">
        <f t="array" ref="H356">IF(ROW()&lt;3,"",E356/INDEX(E:E,ROW()-1)-1)</f>
        <v/>
      </c>
      <c r="I356" s="211">
        <f>IF(ROW()&lt;51,NA(),AVERAGE(INDEX(E:E,ROW()-49):E356))</f>
        <v/>
      </c>
      <c r="J356" s="211">
        <f>IF(ROW()&lt;201,NA(),AVERAGE(INDEX(E:E,ROW()-199):E356))</f>
        <v/>
      </c>
      <c r="K356" s="341">
        <f>IF(ROW()&lt;22,NA(),_xlfn.STDEV.S(INDEX(H:H,ROW()-19):H356)*SQRT(252))</f>
        <v/>
      </c>
      <c r="L356" s="426" cm="1">
        <f t="array" ref="L356">IF(ROW()&lt;17,NA(),_xlfn.LET(_xlpm.d,INDEX(E:E,ROW()-13):E356-INDEX(E:E,ROW()-14):INDEX(E:E,ROW()-1),_xlpm.g,SUM(IF(_xlpm.d&gt;0,_xlpm.d,0)),_xlpm.l,-SUM(IF(_xlpm.d&lt;0,_xlpm.d,0)),IF(_xlpm.l=0,100,100-100/(1+_xlpm.g/_xlpm.l))))</f>
        <v/>
      </c>
      <c r="M356" s="211">
        <f>MAX($E$2:E356)</f>
        <v/>
      </c>
      <c r="N356" s="341">
        <f>E356/M356-1</f>
        <v/>
      </c>
    </row>
    <row r="357">
      <c r="A357" s="424" t="n">
        <v>44980</v>
      </c>
      <c r="B357" s="425" t="n">
        <v>111.5706768017645</v>
      </c>
      <c r="C357" s="425" t="n">
        <v>111.5706768017645</v>
      </c>
      <c r="D357" s="425" t="n">
        <v>109.5288492990809</v>
      </c>
      <c r="E357" s="425" t="n">
        <v>110.8315505981445</v>
      </c>
      <c r="F357" s="207" t="n">
        <v>4101900</v>
      </c>
      <c r="G357" s="208" t="n">
        <v>0.005319189930813595</v>
      </c>
      <c r="H357" s="209" cm="1">
        <f t="array" ref="H357">IF(ROW()&lt;3,"",E357/INDEX(E:E,ROW()-1)-1)</f>
        <v/>
      </c>
      <c r="I357" s="211">
        <f>IF(ROW()&lt;51,NA(),AVERAGE(INDEX(E:E,ROW()-49):E357))</f>
        <v/>
      </c>
      <c r="J357" s="211">
        <f>IF(ROW()&lt;201,NA(),AVERAGE(INDEX(E:E,ROW()-199):E357))</f>
        <v/>
      </c>
      <c r="K357" s="341">
        <f>IF(ROW()&lt;22,NA(),_xlfn.STDEV.S(INDEX(H:H,ROW()-19):H357)*SQRT(252))</f>
        <v/>
      </c>
      <c r="L357" s="426" cm="1">
        <f t="array" ref="L357">IF(ROW()&lt;17,NA(),_xlfn.LET(_xlpm.d,INDEX(E:E,ROW()-13):E357-INDEX(E:E,ROW()-14):INDEX(E:E,ROW()-1),_xlpm.g,SUM(IF(_xlpm.d&gt;0,_xlpm.d,0)),_xlpm.l,-SUM(IF(_xlpm.d&lt;0,_xlpm.d,0)),IF(_xlpm.l=0,100,100-100/(1+_xlpm.g/_xlpm.l))))</f>
        <v/>
      </c>
      <c r="M357" s="211">
        <f>MAX($E$2:E357)</f>
        <v/>
      </c>
      <c r="N357" s="341">
        <f>E357/M357-1</f>
        <v/>
      </c>
    </row>
    <row r="358">
      <c r="A358" s="424" t="n">
        <v>44981</v>
      </c>
      <c r="B358" s="425" t="n">
        <v>108.9929746959423</v>
      </c>
      <c r="C358" s="425" t="n">
        <v>109.7043777964364</v>
      </c>
      <c r="D358" s="425" t="n">
        <v>108.4109105648905</v>
      </c>
      <c r="E358" s="425" t="n">
        <v>109.0576477050781</v>
      </c>
      <c r="F358" s="207" t="n">
        <v>4693000</v>
      </c>
      <c r="G358" s="208" t="n">
        <v>-0.01068231149476262</v>
      </c>
      <c r="H358" s="209" cm="1">
        <f t="array" ref="H358">IF(ROW()&lt;3,"",E358/INDEX(E:E,ROW()-1)-1)</f>
        <v/>
      </c>
      <c r="I358" s="211">
        <f>IF(ROW()&lt;51,NA(),AVERAGE(INDEX(E:E,ROW()-49):E358))</f>
        <v/>
      </c>
      <c r="J358" s="211">
        <f>IF(ROW()&lt;201,NA(),AVERAGE(INDEX(E:E,ROW()-199):E358))</f>
        <v/>
      </c>
      <c r="K358" s="341">
        <f>IF(ROW()&lt;22,NA(),_xlfn.STDEV.S(INDEX(H:H,ROW()-19):H358)*SQRT(252))</f>
        <v/>
      </c>
      <c r="L358" s="426" cm="1">
        <f t="array" ref="L358">IF(ROW()&lt;17,NA(),_xlfn.LET(_xlpm.d,INDEX(E:E,ROW()-13):E358-INDEX(E:E,ROW()-14):INDEX(E:E,ROW()-1),_xlpm.g,SUM(IF(_xlpm.d&gt;0,_xlpm.d,0)),_xlpm.l,-SUM(IF(_xlpm.d&lt;0,_xlpm.d,0)),IF(_xlpm.l=0,100,100-100/(1+_xlpm.g/_xlpm.l))))</f>
        <v/>
      </c>
      <c r="M358" s="211">
        <f>MAX($E$2:E358)</f>
        <v/>
      </c>
      <c r="N358" s="341">
        <f>E358/M358-1</f>
        <v/>
      </c>
    </row>
    <row r="359">
      <c r="A359" s="424" t="n">
        <v>44984</v>
      </c>
      <c r="B359" s="425" t="n">
        <v>110.1848138669027</v>
      </c>
      <c r="C359" s="425" t="n">
        <v>110.7021979491962</v>
      </c>
      <c r="D359" s="425" t="n">
        <v>109.3163416869134</v>
      </c>
      <c r="E359" s="425" t="n">
        <v>109.5103607177734</v>
      </c>
      <c r="F359" s="207" t="n">
        <v>4239800</v>
      </c>
      <c r="G359" s="208" t="n">
        <v>0.003405762731674589</v>
      </c>
      <c r="H359" s="209" cm="1">
        <f t="array" ref="H359">IF(ROW()&lt;3,"",E359/INDEX(E:E,ROW()-1)-1)</f>
        <v/>
      </c>
      <c r="I359" s="211">
        <f>IF(ROW()&lt;51,NA(),AVERAGE(INDEX(E:E,ROW()-49):E359))</f>
        <v/>
      </c>
      <c r="J359" s="211">
        <f>IF(ROW()&lt;201,NA(),AVERAGE(INDEX(E:E,ROW()-199):E359))</f>
        <v/>
      </c>
      <c r="K359" s="341">
        <f>IF(ROW()&lt;22,NA(),_xlfn.STDEV.S(INDEX(H:H,ROW()-19):H359)*SQRT(252))</f>
        <v/>
      </c>
      <c r="L359" s="426" cm="1">
        <f t="array" ref="L359">IF(ROW()&lt;17,NA(),_xlfn.LET(_xlpm.d,INDEX(E:E,ROW()-13):E359-INDEX(E:E,ROW()-14):INDEX(E:E,ROW()-1),_xlpm.g,SUM(IF(_xlpm.d&gt;0,_xlpm.d,0)),_xlpm.l,-SUM(IF(_xlpm.d&lt;0,_xlpm.d,0)),IF(_xlpm.l=0,100,100-100/(1+_xlpm.g/_xlpm.l))))</f>
        <v/>
      </c>
      <c r="M359" s="211">
        <f>MAX($E$2:E359)</f>
        <v/>
      </c>
      <c r="N359" s="341">
        <f>E359/M359-1</f>
        <v/>
      </c>
    </row>
    <row r="360">
      <c r="A360" s="424" t="n">
        <v>44985</v>
      </c>
      <c r="B360" s="425" t="n">
        <v>109.7043818048439</v>
      </c>
      <c r="C360" s="425" t="n">
        <v>111.2380661472878</v>
      </c>
      <c r="D360" s="425" t="n">
        <v>108.8821076377171</v>
      </c>
      <c r="E360" s="425" t="n">
        <v>109.7505798339844</v>
      </c>
      <c r="F360" s="207" t="n">
        <v>8414100</v>
      </c>
      <c r="G360" s="208" t="n">
        <v>-0.003695870476323471</v>
      </c>
      <c r="H360" s="209" cm="1">
        <f t="array" ref="H360">IF(ROW()&lt;3,"",E360/INDEX(E:E,ROW()-1)-1)</f>
        <v/>
      </c>
      <c r="I360" s="211">
        <f>IF(ROW()&lt;51,NA(),AVERAGE(INDEX(E:E,ROW()-49):E360))</f>
        <v/>
      </c>
      <c r="J360" s="211">
        <f>IF(ROW()&lt;201,NA(),AVERAGE(INDEX(E:E,ROW()-199):E360))</f>
        <v/>
      </c>
      <c r="K360" s="341">
        <f>IF(ROW()&lt;22,NA(),_xlfn.STDEV.S(INDEX(H:H,ROW()-19):H360)*SQRT(252))</f>
        <v/>
      </c>
      <c r="L360" s="426" cm="1">
        <f t="array" ref="L360">IF(ROW()&lt;17,NA(),_xlfn.LET(_xlpm.d,INDEX(E:E,ROW()-13):E360-INDEX(E:E,ROW()-14):INDEX(E:E,ROW()-1),_xlpm.g,SUM(IF(_xlpm.d&gt;0,_xlpm.d,0)),_xlpm.l,-SUM(IF(_xlpm.d&lt;0,_xlpm.d,0)),IF(_xlpm.l=0,100,100-100/(1+_xlpm.g/_xlpm.l))))</f>
        <v/>
      </c>
      <c r="M360" s="211">
        <f>MAX($E$2:E360)</f>
        <v/>
      </c>
      <c r="N360" s="341">
        <f>E360/M360-1</f>
        <v/>
      </c>
    </row>
    <row r="361">
      <c r="A361" s="424" t="n">
        <v>44986</v>
      </c>
      <c r="B361" s="425" t="n">
        <v>108.9744773933917</v>
      </c>
      <c r="C361" s="425" t="n">
        <v>110.6744644720235</v>
      </c>
      <c r="D361" s="425" t="n">
        <v>108.8636134211696</v>
      </c>
      <c r="E361" s="425" t="n">
        <v>109.5565414428711</v>
      </c>
      <c r="F361" s="207" t="n">
        <v>4120500</v>
      </c>
      <c r="G361" s="208" t="n">
        <v>-0.003836024312718678</v>
      </c>
      <c r="H361" s="209" cm="1">
        <f t="array" ref="H361">IF(ROW()&lt;3,"",E361/INDEX(E:E,ROW()-1)-1)</f>
        <v/>
      </c>
      <c r="I361" s="211">
        <f>IF(ROW()&lt;51,NA(),AVERAGE(INDEX(E:E,ROW()-49):E361))</f>
        <v/>
      </c>
      <c r="J361" s="211">
        <f>IF(ROW()&lt;201,NA(),AVERAGE(INDEX(E:E,ROW()-199):E361))</f>
        <v/>
      </c>
      <c r="K361" s="341">
        <f>IF(ROW()&lt;22,NA(),_xlfn.STDEV.S(INDEX(H:H,ROW()-19):H361)*SQRT(252))</f>
        <v/>
      </c>
      <c r="L361" s="426" cm="1">
        <f t="array" ref="L361">IF(ROW()&lt;17,NA(),_xlfn.LET(_xlpm.d,INDEX(E:E,ROW()-13):E361-INDEX(E:E,ROW()-14):INDEX(E:E,ROW()-1),_xlpm.g,SUM(IF(_xlpm.d&gt;0,_xlpm.d,0)),_xlpm.l,-SUM(IF(_xlpm.d&lt;0,_xlpm.d,0)),IF(_xlpm.l=0,100,100-100/(1+_xlpm.g/_xlpm.l))))</f>
        <v/>
      </c>
      <c r="M361" s="211">
        <f>MAX($E$2:E361)</f>
        <v/>
      </c>
      <c r="N361" s="341">
        <f>E361/M361-1</f>
        <v/>
      </c>
    </row>
    <row r="362">
      <c r="A362" s="424" t="n">
        <v>44987</v>
      </c>
      <c r="B362" s="425" t="n">
        <v>108.6049368040241</v>
      </c>
      <c r="C362" s="425" t="n">
        <v>110.8315421637509</v>
      </c>
      <c r="D362" s="425" t="n">
        <v>108.6049368040241</v>
      </c>
      <c r="E362" s="425" t="n">
        <v>110.4804611206055</v>
      </c>
      <c r="F362" s="207" t="n">
        <v>4443200</v>
      </c>
      <c r="G362" s="208" t="n">
        <v>0.007777296587001103</v>
      </c>
      <c r="H362" s="209" cm="1">
        <f t="array" ref="H362">IF(ROW()&lt;3,"",E362/INDEX(E:E,ROW()-1)-1)</f>
        <v/>
      </c>
      <c r="I362" s="211">
        <f>IF(ROW()&lt;51,NA(),AVERAGE(INDEX(E:E,ROW()-49):E362))</f>
        <v/>
      </c>
      <c r="J362" s="211">
        <f>IF(ROW()&lt;201,NA(),AVERAGE(INDEX(E:E,ROW()-199):E362))</f>
        <v/>
      </c>
      <c r="K362" s="341">
        <f>IF(ROW()&lt;22,NA(),_xlfn.STDEV.S(INDEX(H:H,ROW()-19):H362)*SQRT(252))</f>
        <v/>
      </c>
      <c r="L362" s="426" cm="1">
        <f t="array" ref="L362">IF(ROW()&lt;17,NA(),_xlfn.LET(_xlpm.d,INDEX(E:E,ROW()-13):E362-INDEX(E:E,ROW()-14):INDEX(E:E,ROW()-1),_xlpm.g,SUM(IF(_xlpm.d&gt;0,_xlpm.d,0)),_xlpm.l,-SUM(IF(_xlpm.d&lt;0,_xlpm.d,0)),IF(_xlpm.l=0,100,100-100/(1+_xlpm.g/_xlpm.l))))</f>
        <v/>
      </c>
      <c r="M362" s="211">
        <f>MAX($E$2:E362)</f>
        <v/>
      </c>
      <c r="N362" s="341">
        <f>E362/M362-1</f>
        <v/>
      </c>
    </row>
    <row r="363">
      <c r="A363" s="424" t="n">
        <v>44988</v>
      </c>
      <c r="B363" s="425" t="n">
        <v>111.3050563341258</v>
      </c>
      <c r="C363" s="425" t="n">
        <v>112.1482096779295</v>
      </c>
      <c r="D363" s="425" t="n">
        <v>110.2765981364163</v>
      </c>
      <c r="E363" s="425" t="n">
        <v>112.0555572509766</v>
      </c>
      <c r="F363" s="207" t="n">
        <v>3871800</v>
      </c>
      <c r="G363" s="208" t="n">
        <v>0.01603784837310407</v>
      </c>
      <c r="H363" s="209" cm="1">
        <f t="array" ref="H363">IF(ROW()&lt;3,"",E363/INDEX(E:E,ROW()-1)-1)</f>
        <v/>
      </c>
      <c r="I363" s="211">
        <f>IF(ROW()&lt;51,NA(),AVERAGE(INDEX(E:E,ROW()-49):E363))</f>
        <v/>
      </c>
      <c r="J363" s="211">
        <f>IF(ROW()&lt;201,NA(),AVERAGE(INDEX(E:E,ROW()-199):E363))</f>
        <v/>
      </c>
      <c r="K363" s="341">
        <f>IF(ROW()&lt;22,NA(),_xlfn.STDEV.S(INDEX(H:H,ROW()-19):H363)*SQRT(252))</f>
        <v/>
      </c>
      <c r="L363" s="426" cm="1">
        <f t="array" ref="L363">IF(ROW()&lt;17,NA(),_xlfn.LET(_xlpm.d,INDEX(E:E,ROW()-13):E363-INDEX(E:E,ROW()-14):INDEX(E:E,ROW()-1),_xlpm.g,SUM(IF(_xlpm.d&gt;0,_xlpm.d,0)),_xlpm.l,-SUM(IF(_xlpm.d&lt;0,_xlpm.d,0)),IF(_xlpm.l=0,100,100-100/(1+_xlpm.g/_xlpm.l))))</f>
        <v/>
      </c>
      <c r="M363" s="211">
        <f>MAX($E$2:E363)</f>
        <v/>
      </c>
      <c r="N363" s="341">
        <f>E363/M363-1</f>
        <v/>
      </c>
    </row>
    <row r="364">
      <c r="A364" s="424" t="n">
        <v>44991</v>
      </c>
      <c r="B364" s="425" t="n">
        <v>112.2316010114732</v>
      </c>
      <c r="C364" s="425" t="n">
        <v>113.0284246518524</v>
      </c>
      <c r="D364" s="425" t="n">
        <v>111.1475527108156</v>
      </c>
      <c r="E364" s="425" t="n">
        <v>111.3421249389648</v>
      </c>
      <c r="F364" s="207" t="n">
        <v>5183800</v>
      </c>
      <c r="G364" s="208" t="n">
        <v>0.0006927202080044825</v>
      </c>
      <c r="H364" s="209" cm="1">
        <f t="array" ref="H364">IF(ROW()&lt;3,"",E364/INDEX(E:E,ROW()-1)-1)</f>
        <v/>
      </c>
      <c r="I364" s="211">
        <f>IF(ROW()&lt;51,NA(),AVERAGE(INDEX(E:E,ROW()-49):E364))</f>
        <v/>
      </c>
      <c r="J364" s="211">
        <f>IF(ROW()&lt;201,NA(),AVERAGE(INDEX(E:E,ROW()-199):E364))</f>
        <v/>
      </c>
      <c r="K364" s="341">
        <f>IF(ROW()&lt;22,NA(),_xlfn.STDEV.S(INDEX(H:H,ROW()-19):H364)*SQRT(252))</f>
        <v/>
      </c>
      <c r="L364" s="426" cm="1">
        <f t="array" ref="L364">IF(ROW()&lt;17,NA(),_xlfn.LET(_xlpm.d,INDEX(E:E,ROW()-13):E364-INDEX(E:E,ROW()-14):INDEX(E:E,ROW()-1),_xlpm.g,SUM(IF(_xlpm.d&gt;0,_xlpm.d,0)),_xlpm.l,-SUM(IF(_xlpm.d&lt;0,_xlpm.d,0)),IF(_xlpm.l=0,100,100-100/(1+_xlpm.g/_xlpm.l))))</f>
        <v/>
      </c>
      <c r="M364" s="211">
        <f>MAX($E$2:E364)</f>
        <v/>
      </c>
      <c r="N364" s="341">
        <f>E364/M364-1</f>
        <v/>
      </c>
    </row>
    <row r="365">
      <c r="A365" s="424" t="n">
        <v>44992</v>
      </c>
      <c r="B365" s="425" t="n">
        <v>111.369945318828</v>
      </c>
      <c r="C365" s="425" t="n">
        <v>112.1297067455555</v>
      </c>
      <c r="D365" s="425" t="n">
        <v>110.4712087467284</v>
      </c>
      <c r="E365" s="425" t="n">
        <v>110.8047561645508</v>
      </c>
      <c r="F365" s="207" t="n">
        <v>5345700</v>
      </c>
      <c r="G365" s="208" t="n">
        <v>-0.01532872888996184</v>
      </c>
      <c r="H365" s="209" cm="1">
        <f t="array" ref="H365">IF(ROW()&lt;3,"",E365/INDEX(E:E,ROW()-1)-1)</f>
        <v/>
      </c>
      <c r="I365" s="211">
        <f>IF(ROW()&lt;51,NA(),AVERAGE(INDEX(E:E,ROW()-49):E365))</f>
        <v/>
      </c>
      <c r="J365" s="211">
        <f>IF(ROW()&lt;201,NA(),AVERAGE(INDEX(E:E,ROW()-199):E365))</f>
        <v/>
      </c>
      <c r="K365" s="341">
        <f>IF(ROW()&lt;22,NA(),_xlfn.STDEV.S(INDEX(H:H,ROW()-19):H365)*SQRT(252))</f>
        <v/>
      </c>
      <c r="L365" s="426" cm="1">
        <f t="array" ref="L365">IF(ROW()&lt;17,NA(),_xlfn.LET(_xlpm.d,INDEX(E:E,ROW()-13):E365-INDEX(E:E,ROW()-14):INDEX(E:E,ROW()-1),_xlpm.g,SUM(IF(_xlpm.d&gt;0,_xlpm.d,0)),_xlpm.l,-SUM(IF(_xlpm.d&lt;0,_xlpm.d,0)),IF(_xlpm.l=0,100,100-100/(1+_xlpm.g/_xlpm.l))))</f>
        <v/>
      </c>
      <c r="M365" s="211">
        <f>MAX($E$2:E365)</f>
        <v/>
      </c>
      <c r="N365" s="341">
        <f>E365/M365-1</f>
        <v/>
      </c>
    </row>
    <row r="366">
      <c r="A366" s="424" t="n">
        <v>44993</v>
      </c>
      <c r="B366" s="425" t="n">
        <v>110.5082473439918</v>
      </c>
      <c r="C366" s="425" t="n">
        <v>111.2216859705702</v>
      </c>
      <c r="D366" s="425" t="n">
        <v>110.0079227585334</v>
      </c>
      <c r="E366" s="425" t="n">
        <v>111.0549087524414</v>
      </c>
      <c r="F366" s="207" t="n">
        <v>4175200</v>
      </c>
      <c r="G366" s="208" t="n">
        <v>0.001632259187141605</v>
      </c>
      <c r="H366" s="209" cm="1">
        <f t="array" ref="H366">IF(ROW()&lt;3,"",E366/INDEX(E:E,ROW()-1)-1)</f>
        <v/>
      </c>
      <c r="I366" s="211">
        <f>IF(ROW()&lt;51,NA(),AVERAGE(INDEX(E:E,ROW()-49):E366))</f>
        <v/>
      </c>
      <c r="J366" s="211">
        <f>IF(ROW()&lt;201,NA(),AVERAGE(INDEX(E:E,ROW()-199):E366))</f>
        <v/>
      </c>
      <c r="K366" s="341">
        <f>IF(ROW()&lt;22,NA(),_xlfn.STDEV.S(INDEX(H:H,ROW()-19):H366)*SQRT(252))</f>
        <v/>
      </c>
      <c r="L366" s="426" cm="1">
        <f t="array" ref="L366">IF(ROW()&lt;17,NA(),_xlfn.LET(_xlpm.d,INDEX(E:E,ROW()-13):E366-INDEX(E:E,ROW()-14):INDEX(E:E,ROW()-1),_xlpm.g,SUM(IF(_xlpm.d&gt;0,_xlpm.d,0)),_xlpm.l,-SUM(IF(_xlpm.d&lt;0,_xlpm.d,0)),IF(_xlpm.l=0,100,100-100/(1+_xlpm.g/_xlpm.l))))</f>
        <v/>
      </c>
      <c r="M366" s="211">
        <f>MAX($E$2:E366)</f>
        <v/>
      </c>
      <c r="N366" s="341">
        <f>E366/M366-1</f>
        <v/>
      </c>
    </row>
    <row r="367">
      <c r="A367" s="424" t="n">
        <v>44994</v>
      </c>
      <c r="B367" s="425" t="n">
        <v>111.2587547672818</v>
      </c>
      <c r="C367" s="425" t="n">
        <v>112.9079923143505</v>
      </c>
      <c r="D367" s="425" t="n">
        <v>108.9146132828126</v>
      </c>
      <c r="E367" s="425" t="n">
        <v>109.2111053466797</v>
      </c>
      <c r="F367" s="207" t="n">
        <v>5635900</v>
      </c>
      <c r="G367" s="208" t="n">
        <v>-0.01845005043272041</v>
      </c>
      <c r="H367" s="209" cm="1">
        <f t="array" ref="H367">IF(ROW()&lt;3,"",E367/INDEX(E:E,ROW()-1)-1)</f>
        <v/>
      </c>
      <c r="I367" s="211">
        <f>IF(ROW()&lt;51,NA(),AVERAGE(INDEX(E:E,ROW()-49):E367))</f>
        <v/>
      </c>
      <c r="J367" s="211">
        <f>IF(ROW()&lt;201,NA(),AVERAGE(INDEX(E:E,ROW()-199):E367))</f>
        <v/>
      </c>
      <c r="K367" s="341">
        <f>IF(ROW()&lt;22,NA(),_xlfn.STDEV.S(INDEX(H:H,ROW()-19):H367)*SQRT(252))</f>
        <v/>
      </c>
      <c r="L367" s="426" cm="1">
        <f t="array" ref="L367">IF(ROW()&lt;17,NA(),_xlfn.LET(_xlpm.d,INDEX(E:E,ROW()-13):E367-INDEX(E:E,ROW()-14):INDEX(E:E,ROW()-1),_xlpm.g,SUM(IF(_xlpm.d&gt;0,_xlpm.d,0)),_xlpm.l,-SUM(IF(_xlpm.d&lt;0,_xlpm.d,0)),IF(_xlpm.l=0,100,100-100/(1+_xlpm.g/_xlpm.l))))</f>
        <v/>
      </c>
      <c r="M367" s="211">
        <f>MAX($E$2:E367)</f>
        <v/>
      </c>
      <c r="N367" s="341">
        <f>E367/M367-1</f>
        <v/>
      </c>
    </row>
    <row r="368">
      <c r="A368" s="424" t="n">
        <v>44995</v>
      </c>
      <c r="B368" s="425" t="n">
        <v>110.1005663659061</v>
      </c>
      <c r="C368" s="425" t="n">
        <v>110.248808842947</v>
      </c>
      <c r="D368" s="425" t="n">
        <v>108.071444886262</v>
      </c>
      <c r="E368" s="425" t="n">
        <v>108.859001159668</v>
      </c>
      <c r="F368" s="207" t="n">
        <v>5979600</v>
      </c>
      <c r="G368" s="208" t="n">
        <v>-0.01442924895197839</v>
      </c>
      <c r="H368" s="209" cm="1">
        <f t="array" ref="H368">IF(ROW()&lt;3,"",E368/INDEX(E:E,ROW()-1)-1)</f>
        <v/>
      </c>
      <c r="I368" s="211">
        <f>IF(ROW()&lt;51,NA(),AVERAGE(INDEX(E:E,ROW()-49):E368))</f>
        <v/>
      </c>
      <c r="J368" s="211">
        <f>IF(ROW()&lt;201,NA(),AVERAGE(INDEX(E:E,ROW()-199):E368))</f>
        <v/>
      </c>
      <c r="K368" s="341">
        <f>IF(ROW()&lt;22,NA(),_xlfn.STDEV.S(INDEX(H:H,ROW()-19):H368)*SQRT(252))</f>
        <v/>
      </c>
      <c r="L368" s="426" cm="1">
        <f t="array" ref="L368">IF(ROW()&lt;17,NA(),_xlfn.LET(_xlpm.d,INDEX(E:E,ROW()-13):E368-INDEX(E:E,ROW()-14):INDEX(E:E,ROW()-1),_xlpm.g,SUM(IF(_xlpm.d&gt;0,_xlpm.d,0)),_xlpm.l,-SUM(IF(_xlpm.d&lt;0,_xlpm.d,0)),IF(_xlpm.l=0,100,100-100/(1+_xlpm.g/_xlpm.l))))</f>
        <v/>
      </c>
      <c r="M368" s="211">
        <f>MAX($E$2:E368)</f>
        <v/>
      </c>
      <c r="N368" s="341">
        <f>E368/M368-1</f>
        <v/>
      </c>
    </row>
    <row r="369">
      <c r="A369" s="424" t="n">
        <v>44998</v>
      </c>
      <c r="B369" s="425" t="n">
        <v>107.3116905388711</v>
      </c>
      <c r="C369" s="425" t="n">
        <v>109.6002418022551</v>
      </c>
      <c r="D369" s="425" t="n">
        <v>107.2838955144458</v>
      </c>
      <c r="E369" s="425" t="n">
        <v>108.2752914428711</v>
      </c>
      <c r="F369" s="207" t="n">
        <v>6038200</v>
      </c>
      <c r="G369" s="208" t="n">
        <v>-0.001425364878734126</v>
      </c>
      <c r="H369" s="209" cm="1">
        <f t="array" ref="H369">IF(ROW()&lt;3,"",E369/INDEX(E:E,ROW()-1)-1)</f>
        <v/>
      </c>
      <c r="I369" s="211">
        <f>IF(ROW()&lt;51,NA(),AVERAGE(INDEX(E:E,ROW()-49):E369))</f>
        <v/>
      </c>
      <c r="J369" s="211">
        <f>IF(ROW()&lt;201,NA(),AVERAGE(INDEX(E:E,ROW()-199):E369))</f>
        <v/>
      </c>
      <c r="K369" s="341">
        <f>IF(ROW()&lt;22,NA(),_xlfn.STDEV.S(INDEX(H:H,ROW()-19):H369)*SQRT(252))</f>
        <v/>
      </c>
      <c r="L369" s="426" cm="1">
        <f t="array" ref="L369">IF(ROW()&lt;17,NA(),_xlfn.LET(_xlpm.d,INDEX(E:E,ROW()-13):E369-INDEX(E:E,ROW()-14):INDEX(E:E,ROW()-1),_xlpm.g,SUM(IF(_xlpm.d&gt;0,_xlpm.d,0)),_xlpm.l,-SUM(IF(_xlpm.d&lt;0,_xlpm.d,0)),IF(_xlpm.l=0,100,100-100/(1+_xlpm.g/_xlpm.l))))</f>
        <v/>
      </c>
      <c r="M369" s="211">
        <f>MAX($E$2:E369)</f>
        <v/>
      </c>
      <c r="N369" s="341">
        <f>E369/M369-1</f>
        <v/>
      </c>
    </row>
    <row r="370">
      <c r="A370" s="424" t="n">
        <v>44999</v>
      </c>
      <c r="B370" s="425" t="n">
        <v>110.2580718994141</v>
      </c>
      <c r="C370" s="425" t="n">
        <v>110.7120737455826</v>
      </c>
      <c r="D370" s="425" t="n">
        <v>108.6181020075406</v>
      </c>
      <c r="E370" s="425" t="n">
        <v>110.2580718994141</v>
      </c>
      <c r="F370" s="207" t="n">
        <v>6050800</v>
      </c>
      <c r="G370" s="208" t="n">
        <v>0.01652983685784148</v>
      </c>
      <c r="H370" s="209" cm="1">
        <f t="array" ref="H370">IF(ROW()&lt;3,"",E370/INDEX(E:E,ROW()-1)-1)</f>
        <v/>
      </c>
      <c r="I370" s="211">
        <f>IF(ROW()&lt;51,NA(),AVERAGE(INDEX(E:E,ROW()-49):E370))</f>
        <v/>
      </c>
      <c r="J370" s="211">
        <f>IF(ROW()&lt;201,NA(),AVERAGE(INDEX(E:E,ROW()-199):E370))</f>
        <v/>
      </c>
      <c r="K370" s="341">
        <f>IF(ROW()&lt;22,NA(),_xlfn.STDEV.S(INDEX(H:H,ROW()-19):H370)*SQRT(252))</f>
        <v/>
      </c>
      <c r="L370" s="426" cm="1">
        <f t="array" ref="L370">IF(ROW()&lt;17,NA(),_xlfn.LET(_xlpm.d,INDEX(E:E,ROW()-13):E370-INDEX(E:E,ROW()-14):INDEX(E:E,ROW()-1),_xlpm.g,SUM(IF(_xlpm.d&gt;0,_xlpm.d,0)),_xlpm.l,-SUM(IF(_xlpm.d&lt;0,_xlpm.d,0)),IF(_xlpm.l=0,100,100-100/(1+_xlpm.g/_xlpm.l))))</f>
        <v/>
      </c>
      <c r="M370" s="211">
        <f>MAX($E$2:E370)</f>
        <v/>
      </c>
      <c r="N370" s="341">
        <f>E370/M370-1</f>
        <v/>
      </c>
    </row>
    <row r="371">
      <c r="A371" s="424" t="n">
        <v>45000</v>
      </c>
      <c r="B371" s="425" t="n">
        <v>107.7749420038455</v>
      </c>
      <c r="C371" s="425" t="n">
        <v>109.9152433583816</v>
      </c>
      <c r="D371" s="425" t="n">
        <v>107.3024054598438</v>
      </c>
      <c r="E371" s="425" t="n">
        <v>109.4890365600586</v>
      </c>
      <c r="F371" s="207" t="n">
        <v>6599200</v>
      </c>
      <c r="G371" s="208" t="n">
        <v>-0.006253914873607935</v>
      </c>
      <c r="H371" s="209" cm="1">
        <f t="array" ref="H371">IF(ROW()&lt;3,"",E371/INDEX(E:E,ROW()-1)-1)</f>
        <v/>
      </c>
      <c r="I371" s="211">
        <f>IF(ROW()&lt;51,NA(),AVERAGE(INDEX(E:E,ROW()-49):E371))</f>
        <v/>
      </c>
      <c r="J371" s="211">
        <f>IF(ROW()&lt;201,NA(),AVERAGE(INDEX(E:E,ROW()-199):E371))</f>
        <v/>
      </c>
      <c r="K371" s="341">
        <f>IF(ROW()&lt;22,NA(),_xlfn.STDEV.S(INDEX(H:H,ROW()-19):H371)*SQRT(252))</f>
        <v/>
      </c>
      <c r="L371" s="426" cm="1">
        <f t="array" ref="L371">IF(ROW()&lt;17,NA(),_xlfn.LET(_xlpm.d,INDEX(E:E,ROW()-13):E371-INDEX(E:E,ROW()-14):INDEX(E:E,ROW()-1),_xlpm.g,SUM(IF(_xlpm.d&gt;0,_xlpm.d,0)),_xlpm.l,-SUM(IF(_xlpm.d&lt;0,_xlpm.d,0)),IF(_xlpm.l=0,100,100-100/(1+_xlpm.g/_xlpm.l))))</f>
        <v/>
      </c>
      <c r="M371" s="211">
        <f>MAX($E$2:E371)</f>
        <v/>
      </c>
      <c r="N371" s="341">
        <f>E371/M371-1</f>
        <v/>
      </c>
    </row>
    <row r="372">
      <c r="A372" s="424" t="n">
        <v>45001</v>
      </c>
      <c r="B372" s="425" t="n">
        <v>108.275283666004</v>
      </c>
      <c r="C372" s="425" t="n">
        <v>111.9351077103048</v>
      </c>
      <c r="D372" s="425" t="n">
        <v>108.0436490538602</v>
      </c>
      <c r="E372" s="425" t="n">
        <v>111.786865234375</v>
      </c>
      <c r="F372" s="207" t="n">
        <v>5658700</v>
      </c>
      <c r="G372" s="208" t="n">
        <v>0.01754495552734392</v>
      </c>
      <c r="H372" s="209" cm="1">
        <f t="array" ref="H372">IF(ROW()&lt;3,"",E372/INDEX(E:E,ROW()-1)-1)</f>
        <v/>
      </c>
      <c r="I372" s="211">
        <f>IF(ROW()&lt;51,NA(),AVERAGE(INDEX(E:E,ROW()-49):E372))</f>
        <v/>
      </c>
      <c r="J372" s="211">
        <f>IF(ROW()&lt;201,NA(),AVERAGE(INDEX(E:E,ROW()-199):E372))</f>
        <v/>
      </c>
      <c r="K372" s="341">
        <f>IF(ROW()&lt;22,NA(),_xlfn.STDEV.S(INDEX(H:H,ROW()-19):H372)*SQRT(252))</f>
        <v/>
      </c>
      <c r="L372" s="426" cm="1">
        <f t="array" ref="L372">IF(ROW()&lt;17,NA(),_xlfn.LET(_xlpm.d,INDEX(E:E,ROW()-13):E372-INDEX(E:E,ROW()-14):INDEX(E:E,ROW()-1),_xlpm.g,SUM(IF(_xlpm.d&gt;0,_xlpm.d,0)),_xlpm.l,-SUM(IF(_xlpm.d&lt;0,_xlpm.d,0)),IF(_xlpm.l=0,100,100-100/(1+_xlpm.g/_xlpm.l))))</f>
        <v/>
      </c>
      <c r="M372" s="211">
        <f>MAX($E$2:E372)</f>
        <v/>
      </c>
      <c r="N372" s="341">
        <f>E372/M372-1</f>
        <v/>
      </c>
    </row>
    <row r="373">
      <c r="A373" s="424" t="n">
        <v>45002</v>
      </c>
      <c r="B373" s="425" t="n">
        <v>112.2686583069886</v>
      </c>
      <c r="C373" s="425" t="n">
        <v>112.7875246274513</v>
      </c>
      <c r="D373" s="425" t="n">
        <v>109.9523122641659</v>
      </c>
      <c r="E373" s="425" t="n">
        <v>111.5459594726562</v>
      </c>
      <c r="F373" s="207" t="n">
        <v>12868900</v>
      </c>
      <c r="G373" s="208" t="n">
        <v>-0.01169263864077907</v>
      </c>
      <c r="H373" s="209" cm="1">
        <f t="array" ref="H373">IF(ROW()&lt;3,"",E373/INDEX(E:E,ROW()-1)-1)</f>
        <v/>
      </c>
      <c r="I373" s="211">
        <f>IF(ROW()&lt;51,NA(),AVERAGE(INDEX(E:E,ROW()-49):E373))</f>
        <v/>
      </c>
      <c r="J373" s="211">
        <f>IF(ROW()&lt;201,NA(),AVERAGE(INDEX(E:E,ROW()-199):E373))</f>
        <v/>
      </c>
      <c r="K373" s="341">
        <f>IF(ROW()&lt;22,NA(),_xlfn.STDEV.S(INDEX(H:H,ROW()-19):H373)*SQRT(252))</f>
        <v/>
      </c>
      <c r="L373" s="426" cm="1">
        <f t="array" ref="L373">IF(ROW()&lt;17,NA(),_xlfn.LET(_xlpm.d,INDEX(E:E,ROW()-13):E373-INDEX(E:E,ROW()-14):INDEX(E:E,ROW()-1),_xlpm.g,SUM(IF(_xlpm.d&gt;0,_xlpm.d,0)),_xlpm.l,-SUM(IF(_xlpm.d&lt;0,_xlpm.d,0)),IF(_xlpm.l=0,100,100-100/(1+_xlpm.g/_xlpm.l))))</f>
        <v/>
      </c>
      <c r="M373" s="211">
        <f>MAX($E$2:E373)</f>
        <v/>
      </c>
      <c r="N373" s="341">
        <f>E373/M373-1</f>
        <v/>
      </c>
    </row>
    <row r="374">
      <c r="A374" s="424" t="n">
        <v>45005</v>
      </c>
      <c r="B374" s="425" t="n">
        <v>112.1018983927653</v>
      </c>
      <c r="C374" s="425" t="n">
        <v>113.6677508211897</v>
      </c>
      <c r="D374" s="425" t="n">
        <v>111.0085826092309</v>
      </c>
      <c r="E374" s="425" t="n">
        <v>112.2964706420898</v>
      </c>
      <c r="F374" s="207" t="n">
        <v>7594100</v>
      </c>
      <c r="G374" s="208" t="n">
        <v>0.009615537072014124</v>
      </c>
      <c r="H374" s="209" cm="1">
        <f t="array" ref="H374">IF(ROW()&lt;3,"",E374/INDEX(E:E,ROW()-1)-1)</f>
        <v/>
      </c>
      <c r="I374" s="211">
        <f>IF(ROW()&lt;51,NA(),AVERAGE(INDEX(E:E,ROW()-49):E374))</f>
        <v/>
      </c>
      <c r="J374" s="211">
        <f>IF(ROW()&lt;201,NA(),AVERAGE(INDEX(E:E,ROW()-199):E374))</f>
        <v/>
      </c>
      <c r="K374" s="341">
        <f>IF(ROW()&lt;22,NA(),_xlfn.STDEV.S(INDEX(H:H,ROW()-19):H374)*SQRT(252))</f>
        <v/>
      </c>
      <c r="L374" s="426" cm="1">
        <f t="array" ref="L374">IF(ROW()&lt;17,NA(),_xlfn.LET(_xlpm.d,INDEX(E:E,ROW()-13):E374-INDEX(E:E,ROW()-14):INDEX(E:E,ROW()-1),_xlpm.g,SUM(IF(_xlpm.d&gt;0,_xlpm.d,0)),_xlpm.l,-SUM(IF(_xlpm.d&lt;0,_xlpm.d,0)),IF(_xlpm.l=0,100,100-100/(1+_xlpm.g/_xlpm.l))))</f>
        <v/>
      </c>
      <c r="M374" s="211">
        <f>MAX($E$2:E374)</f>
        <v/>
      </c>
      <c r="N374" s="341">
        <f>E374/M374-1</f>
        <v/>
      </c>
    </row>
    <row r="375">
      <c r="A375" s="424" t="n">
        <v>45006</v>
      </c>
      <c r="B375" s="425" t="n">
        <v>114.4275029254819</v>
      </c>
      <c r="C375" s="425" t="n">
        <v>116.7994391856051</v>
      </c>
      <c r="D375" s="425" t="n">
        <v>113.9364386593403</v>
      </c>
      <c r="E375" s="425" t="n">
        <v>116.3824996948242</v>
      </c>
      <c r="F375" s="207" t="n">
        <v>15078800</v>
      </c>
      <c r="G375" s="208" t="n">
        <v>0.01313040443656477</v>
      </c>
      <c r="H375" s="209" cm="1">
        <f t="array" ref="H375">IF(ROW()&lt;3,"",E375/INDEX(E:E,ROW()-1)-1)</f>
        <v/>
      </c>
      <c r="I375" s="211">
        <f>IF(ROW()&lt;51,NA(),AVERAGE(INDEX(E:E,ROW()-49):E375))</f>
        <v/>
      </c>
      <c r="J375" s="211">
        <f>IF(ROW()&lt;201,NA(),AVERAGE(INDEX(E:E,ROW()-199):E375))</f>
        <v/>
      </c>
      <c r="K375" s="341">
        <f>IF(ROW()&lt;22,NA(),_xlfn.STDEV.S(INDEX(H:H,ROW()-19):H375)*SQRT(252))</f>
        <v/>
      </c>
      <c r="L375" s="426" cm="1">
        <f t="array" ref="L375">IF(ROW()&lt;17,NA(),_xlfn.LET(_xlpm.d,INDEX(E:E,ROW()-13):E375-INDEX(E:E,ROW()-14):INDEX(E:E,ROW()-1),_xlpm.g,SUM(IF(_xlpm.d&gt;0,_xlpm.d,0)),_xlpm.l,-SUM(IF(_xlpm.d&lt;0,_xlpm.d,0)),IF(_xlpm.l=0,100,100-100/(1+_xlpm.g/_xlpm.l))))</f>
        <v/>
      </c>
      <c r="M375" s="211">
        <f>MAX($E$2:E375)</f>
        <v/>
      </c>
      <c r="N375" s="341">
        <f>E375/M375-1</f>
        <v/>
      </c>
    </row>
    <row r="376">
      <c r="A376" s="424" t="n">
        <v>45007</v>
      </c>
      <c r="B376" s="425" t="n">
        <v>114.5757631020169</v>
      </c>
      <c r="C376" s="425" t="n">
        <v>116.0582234020779</v>
      </c>
      <c r="D376" s="425" t="n">
        <v>110.5638493923763</v>
      </c>
      <c r="E376" s="425" t="n">
        <v>110.7213592529297</v>
      </c>
      <c r="F376" s="207" t="n">
        <v>17625500</v>
      </c>
      <c r="G376" s="208" t="n">
        <v>-0.01704624947754207</v>
      </c>
      <c r="H376" s="209" cm="1">
        <f t="array" ref="H376">IF(ROW()&lt;3,"",E376/INDEX(E:E,ROW()-1)-1)</f>
        <v/>
      </c>
      <c r="I376" s="211">
        <f>IF(ROW()&lt;51,NA(),AVERAGE(INDEX(E:E,ROW()-49):E376))</f>
        <v/>
      </c>
      <c r="J376" s="211">
        <f>IF(ROW()&lt;201,NA(),AVERAGE(INDEX(E:E,ROW()-199):E376))</f>
        <v/>
      </c>
      <c r="K376" s="341">
        <f>IF(ROW()&lt;22,NA(),_xlfn.STDEV.S(INDEX(H:H,ROW()-19):H376)*SQRT(252))</f>
        <v/>
      </c>
      <c r="L376" s="426" cm="1">
        <f t="array" ref="L376">IF(ROW()&lt;17,NA(),_xlfn.LET(_xlpm.d,INDEX(E:E,ROW()-13):E376-INDEX(E:E,ROW()-14):INDEX(E:E,ROW()-1),_xlpm.g,SUM(IF(_xlpm.d&gt;0,_xlpm.d,0)),_xlpm.l,-SUM(IF(_xlpm.d&lt;0,_xlpm.d,0)),IF(_xlpm.l=0,100,100-100/(1+_xlpm.g/_xlpm.l))))</f>
        <v/>
      </c>
      <c r="M376" s="211">
        <f>MAX($E$2:E376)</f>
        <v/>
      </c>
      <c r="N376" s="341">
        <f>E376/M376-1</f>
        <v/>
      </c>
    </row>
    <row r="377">
      <c r="A377" s="424" t="n">
        <v>45008</v>
      </c>
      <c r="B377" s="425" t="n">
        <v>111.6200819362615</v>
      </c>
      <c r="C377" s="425" t="n">
        <v>114.2143852092628</v>
      </c>
      <c r="D377" s="425" t="n">
        <v>110.6935435382767</v>
      </c>
      <c r="E377" s="425" t="n">
        <v>112.0833511352539</v>
      </c>
      <c r="F377" s="207" t="n">
        <v>7628100</v>
      </c>
      <c r="G377" s="208" t="n">
        <v>0.002703132647370321</v>
      </c>
      <c r="H377" s="209" cm="1">
        <f t="array" ref="H377">IF(ROW()&lt;3,"",E377/INDEX(E:E,ROW()-1)-1)</f>
        <v/>
      </c>
      <c r="I377" s="211">
        <f>IF(ROW()&lt;51,NA(),AVERAGE(INDEX(E:E,ROW()-49):E377))</f>
        <v/>
      </c>
      <c r="J377" s="211">
        <f>IF(ROW()&lt;201,NA(),AVERAGE(INDEX(E:E,ROW()-199):E377))</f>
        <v/>
      </c>
      <c r="K377" s="341">
        <f>IF(ROW()&lt;22,NA(),_xlfn.STDEV.S(INDEX(H:H,ROW()-19):H377)*SQRT(252))</f>
        <v/>
      </c>
      <c r="L377" s="426" cm="1">
        <f t="array" ref="L377">IF(ROW()&lt;17,NA(),_xlfn.LET(_xlpm.d,INDEX(E:E,ROW()-13):E377-INDEX(E:E,ROW()-14):INDEX(E:E,ROW()-1),_xlpm.g,SUM(IF(_xlpm.d&gt;0,_xlpm.d,0)),_xlpm.l,-SUM(IF(_xlpm.d&lt;0,_xlpm.d,0)),IF(_xlpm.l=0,100,100-100/(1+_xlpm.g/_xlpm.l))))</f>
        <v/>
      </c>
      <c r="M377" s="211">
        <f>MAX($E$2:E377)</f>
        <v/>
      </c>
      <c r="N377" s="341">
        <f>E377/M377-1</f>
        <v/>
      </c>
    </row>
    <row r="378">
      <c r="A378" s="424" t="n">
        <v>45009</v>
      </c>
      <c r="B378" s="425" t="n">
        <v>111.3977185152645</v>
      </c>
      <c r="C378" s="425" t="n">
        <v>112.111149995819</v>
      </c>
      <c r="D378" s="425" t="n">
        <v>110.5545651511365</v>
      </c>
      <c r="E378" s="425" t="n">
        <v>111.8424530029297</v>
      </c>
      <c r="F378" s="207" t="n">
        <v>6158800</v>
      </c>
      <c r="G378" s="208" t="n">
        <v>0.006562236097332974</v>
      </c>
      <c r="H378" s="209" cm="1">
        <f t="array" ref="H378">IF(ROW()&lt;3,"",E378/INDEX(E:E,ROW()-1)-1)</f>
        <v/>
      </c>
      <c r="I378" s="211">
        <f>IF(ROW()&lt;51,NA(),AVERAGE(INDEX(E:E,ROW()-49):E378))</f>
        <v/>
      </c>
      <c r="J378" s="211">
        <f>IF(ROW()&lt;201,NA(),AVERAGE(INDEX(E:E,ROW()-199):E378))</f>
        <v/>
      </c>
      <c r="K378" s="341">
        <f>IF(ROW()&lt;22,NA(),_xlfn.STDEV.S(INDEX(H:H,ROW()-19):H378)*SQRT(252))</f>
        <v/>
      </c>
      <c r="L378" s="426" cm="1">
        <f t="array" ref="L378">IF(ROW()&lt;17,NA(),_xlfn.LET(_xlpm.d,INDEX(E:E,ROW()-13):E378-INDEX(E:E,ROW()-14):INDEX(E:E,ROW()-1),_xlpm.g,SUM(IF(_xlpm.d&gt;0,_xlpm.d,0)),_xlpm.l,-SUM(IF(_xlpm.d&lt;0,_xlpm.d,0)),IF(_xlpm.l=0,100,100-100/(1+_xlpm.g/_xlpm.l))))</f>
        <v/>
      </c>
      <c r="M378" s="211">
        <f>MAX($E$2:E378)</f>
        <v/>
      </c>
      <c r="N378" s="341">
        <f>E378/M378-1</f>
        <v/>
      </c>
    </row>
    <row r="379">
      <c r="A379" s="424" t="n">
        <v>45012</v>
      </c>
      <c r="B379" s="425" t="n">
        <v>112.1296744876814</v>
      </c>
      <c r="C379" s="425" t="n">
        <v>112.1760042354299</v>
      </c>
      <c r="D379" s="425" t="n">
        <v>108.970182207407</v>
      </c>
      <c r="E379" s="425" t="n">
        <v>109.1554870605469</v>
      </c>
      <c r="F379" s="207" t="n">
        <v>6564200</v>
      </c>
      <c r="G379" s="208" t="n">
        <v>0.001869892166893816</v>
      </c>
      <c r="H379" s="209" cm="1">
        <f t="array" ref="H379">IF(ROW()&lt;3,"",E379/INDEX(E:E,ROW()-1)-1)</f>
        <v/>
      </c>
      <c r="I379" s="211">
        <f>IF(ROW()&lt;51,NA(),AVERAGE(INDEX(E:E,ROW()-49):E379))</f>
        <v/>
      </c>
      <c r="J379" s="211">
        <f>IF(ROW()&lt;201,NA(),AVERAGE(INDEX(E:E,ROW()-199):E379))</f>
        <v/>
      </c>
      <c r="K379" s="341">
        <f>IF(ROW()&lt;22,NA(),_xlfn.STDEV.S(INDEX(H:H,ROW()-19):H379)*SQRT(252))</f>
        <v/>
      </c>
      <c r="L379" s="426" cm="1">
        <f t="array" ref="L379">IF(ROW()&lt;17,NA(),_xlfn.LET(_xlpm.d,INDEX(E:E,ROW()-13):E379-INDEX(E:E,ROW()-14):INDEX(E:E,ROW()-1),_xlpm.g,SUM(IF(_xlpm.d&gt;0,_xlpm.d,0)),_xlpm.l,-SUM(IF(_xlpm.d&lt;0,_xlpm.d,0)),IF(_xlpm.l=0,100,100-100/(1+_xlpm.g/_xlpm.l))))</f>
        <v/>
      </c>
      <c r="M379" s="211">
        <f>MAX($E$2:E379)</f>
        <v/>
      </c>
      <c r="N379" s="341">
        <f>E379/M379-1</f>
        <v/>
      </c>
    </row>
    <row r="380">
      <c r="A380" s="424" t="n">
        <v>45013</v>
      </c>
      <c r="B380" s="425" t="n">
        <v>109.2852230609502</v>
      </c>
      <c r="C380" s="425" t="n">
        <v>109.7392320563469</v>
      </c>
      <c r="D380" s="425" t="n">
        <v>108.2660320332151</v>
      </c>
      <c r="E380" s="425" t="n">
        <v>109.2111053466797</v>
      </c>
      <c r="F380" s="207" t="n">
        <v>4461400</v>
      </c>
      <c r="G380" s="208" t="n">
        <v>-0.00224471501573098</v>
      </c>
      <c r="H380" s="209" cm="1">
        <f t="array" ref="H380">IF(ROW()&lt;3,"",E380/INDEX(E:E,ROW()-1)-1)</f>
        <v/>
      </c>
      <c r="I380" s="211">
        <f>IF(ROW()&lt;51,NA(),AVERAGE(INDEX(E:E,ROW()-49):E380))</f>
        <v/>
      </c>
      <c r="J380" s="211">
        <f>IF(ROW()&lt;201,NA(),AVERAGE(INDEX(E:E,ROW()-199):E380))</f>
        <v/>
      </c>
      <c r="K380" s="341">
        <f>IF(ROW()&lt;22,NA(),_xlfn.STDEV.S(INDEX(H:H,ROW()-19):H380)*SQRT(252))</f>
        <v/>
      </c>
      <c r="L380" s="426" cm="1">
        <f t="array" ref="L380">IF(ROW()&lt;17,NA(),_xlfn.LET(_xlpm.d,INDEX(E:E,ROW()-13):E380-INDEX(E:E,ROW()-14):INDEX(E:E,ROW()-1),_xlpm.g,SUM(IF(_xlpm.d&gt;0,_xlpm.d,0)),_xlpm.l,-SUM(IF(_xlpm.d&lt;0,_xlpm.d,0)),IF(_xlpm.l=0,100,100-100/(1+_xlpm.g/_xlpm.l))))</f>
        <v/>
      </c>
      <c r="M380" s="211">
        <f>MAX($E$2:E380)</f>
        <v/>
      </c>
      <c r="N380" s="341">
        <f>E380/M380-1</f>
        <v/>
      </c>
    </row>
    <row r="381">
      <c r="A381" s="424" t="n">
        <v>45014</v>
      </c>
      <c r="B381" s="425" t="n">
        <v>109.9245237104801</v>
      </c>
      <c r="C381" s="425" t="n">
        <v>111.7127432435125</v>
      </c>
      <c r="D381" s="425" t="n">
        <v>109.7855415259477</v>
      </c>
      <c r="E381" s="425" t="n">
        <v>111.6386184692383</v>
      </c>
      <c r="F381" s="207" t="n">
        <v>5644000</v>
      </c>
      <c r="G381" s="208" t="n">
        <v>0.01453488606309072</v>
      </c>
      <c r="H381" s="209" cm="1">
        <f t="array" ref="H381">IF(ROW()&lt;3,"",E381/INDEX(E:E,ROW()-1)-1)</f>
        <v/>
      </c>
      <c r="I381" s="211">
        <f>IF(ROW()&lt;51,NA(),AVERAGE(INDEX(E:E,ROW()-49):E381))</f>
        <v/>
      </c>
      <c r="J381" s="211">
        <f>IF(ROW()&lt;201,NA(),AVERAGE(INDEX(E:E,ROW()-199):E381))</f>
        <v/>
      </c>
      <c r="K381" s="341">
        <f>IF(ROW()&lt;22,NA(),_xlfn.STDEV.S(INDEX(H:H,ROW()-19):H381)*SQRT(252))</f>
        <v/>
      </c>
      <c r="L381" s="426" cm="1">
        <f t="array" ref="L381">IF(ROW()&lt;17,NA(),_xlfn.LET(_xlpm.d,INDEX(E:E,ROW()-13):E381-INDEX(E:E,ROW()-14):INDEX(E:E,ROW()-1),_xlpm.g,SUM(IF(_xlpm.d&gt;0,_xlpm.d,0)),_xlpm.l,-SUM(IF(_xlpm.d&lt;0,_xlpm.d,0)),IF(_xlpm.l=0,100,100-100/(1+_xlpm.g/_xlpm.l))))</f>
        <v/>
      </c>
      <c r="M381" s="211">
        <f>MAX($E$2:E381)</f>
        <v/>
      </c>
      <c r="N381" s="341">
        <f>E381/M381-1</f>
        <v/>
      </c>
    </row>
    <row r="382">
      <c r="A382" s="424" t="n">
        <v>45015</v>
      </c>
      <c r="B382" s="425" t="n">
        <v>112.1389408167746</v>
      </c>
      <c r="C382" s="425" t="n">
        <v>112.5188249518127</v>
      </c>
      <c r="D382" s="425" t="n">
        <v>110.5730886671546</v>
      </c>
      <c r="E382" s="425" t="n">
        <v>111.2772598266602</v>
      </c>
      <c r="F382" s="207" t="n">
        <v>4578900</v>
      </c>
      <c r="G382" s="208" t="n">
        <v>0.005855184253900081</v>
      </c>
      <c r="H382" s="209" cm="1">
        <f t="array" ref="H382">IF(ROW()&lt;3,"",E382/INDEX(E:E,ROW()-1)-1)</f>
        <v/>
      </c>
      <c r="I382" s="211">
        <f>IF(ROW()&lt;51,NA(),AVERAGE(INDEX(E:E,ROW()-49):E382))</f>
        <v/>
      </c>
      <c r="J382" s="211">
        <f>IF(ROW()&lt;201,NA(),AVERAGE(INDEX(E:E,ROW()-199):E382))</f>
        <v/>
      </c>
      <c r="K382" s="341">
        <f>IF(ROW()&lt;22,NA(),_xlfn.STDEV.S(INDEX(H:H,ROW()-19):H382)*SQRT(252))</f>
        <v/>
      </c>
      <c r="L382" s="426" cm="1">
        <f t="array" ref="L382">IF(ROW()&lt;17,NA(),_xlfn.LET(_xlpm.d,INDEX(E:E,ROW()-13):E382-INDEX(E:E,ROW()-14):INDEX(E:E,ROW()-1),_xlpm.g,SUM(IF(_xlpm.d&gt;0,_xlpm.d,0)),_xlpm.l,-SUM(IF(_xlpm.d&lt;0,_xlpm.d,0)),IF(_xlpm.l=0,100,100-100/(1+_xlpm.g/_xlpm.l))))</f>
        <v/>
      </c>
      <c r="M382" s="211">
        <f>MAX($E$2:E382)</f>
        <v/>
      </c>
      <c r="N382" s="341">
        <f>E382/M382-1</f>
        <v/>
      </c>
    </row>
    <row r="383">
      <c r="A383" s="424" t="n">
        <v>45016</v>
      </c>
      <c r="B383" s="425" t="n">
        <v>112.0370214634975</v>
      </c>
      <c r="C383" s="425" t="n">
        <v>113.6955260452824</v>
      </c>
      <c r="D383" s="425" t="n">
        <v>111.7405294586991</v>
      </c>
      <c r="E383" s="425" t="n">
        <v>113.6306686401367</v>
      </c>
      <c r="F383" s="207" t="n">
        <v>5659400</v>
      </c>
      <c r="G383" s="208" t="n">
        <v>0.01409474100255137</v>
      </c>
      <c r="H383" s="209" cm="1">
        <f t="array" ref="H383">IF(ROW()&lt;3,"",E383/INDEX(E:E,ROW()-1)-1)</f>
        <v/>
      </c>
      <c r="I383" s="211">
        <f>IF(ROW()&lt;51,NA(),AVERAGE(INDEX(E:E,ROW()-49):E383))</f>
        <v/>
      </c>
      <c r="J383" s="211">
        <f>IF(ROW()&lt;201,NA(),AVERAGE(INDEX(E:E,ROW()-199):E383))</f>
        <v/>
      </c>
      <c r="K383" s="341">
        <f>IF(ROW()&lt;22,NA(),_xlfn.STDEV.S(INDEX(H:H,ROW()-19):H383)*SQRT(252))</f>
        <v/>
      </c>
      <c r="L383" s="426" cm="1">
        <f t="array" ref="L383">IF(ROW()&lt;17,NA(),_xlfn.LET(_xlpm.d,INDEX(E:E,ROW()-13):E383-INDEX(E:E,ROW()-14):INDEX(E:E,ROW()-1),_xlpm.g,SUM(IF(_xlpm.d&gt;0,_xlpm.d,0)),_xlpm.l,-SUM(IF(_xlpm.d&lt;0,_xlpm.d,0)),IF(_xlpm.l=0,100,100-100/(1+_xlpm.g/_xlpm.l))))</f>
        <v/>
      </c>
      <c r="M383" s="211">
        <f>MAX($E$2:E383)</f>
        <v/>
      </c>
      <c r="N383" s="341">
        <f>E383/M383-1</f>
        <v/>
      </c>
    </row>
    <row r="384">
      <c r="A384" s="424" t="n">
        <v>45019</v>
      </c>
      <c r="B384" s="425" t="n">
        <v>113.5009545365332</v>
      </c>
      <c r="C384" s="425" t="n">
        <v>113.8252415642808</v>
      </c>
      <c r="D384" s="425" t="n">
        <v>111.944369734418</v>
      </c>
      <c r="E384" s="425" t="n">
        <v>112.7319259643555</v>
      </c>
      <c r="F384" s="207" t="n">
        <v>4838400</v>
      </c>
      <c r="G384" s="208" t="n">
        <v>0.0038105240784434</v>
      </c>
      <c r="H384" s="209" cm="1">
        <f t="array" ref="H384">IF(ROW()&lt;3,"",E384/INDEX(E:E,ROW()-1)-1)</f>
        <v/>
      </c>
      <c r="I384" s="211">
        <f>IF(ROW()&lt;51,NA(),AVERAGE(INDEX(E:E,ROW()-49):E384))</f>
        <v/>
      </c>
      <c r="J384" s="211">
        <f>IF(ROW()&lt;201,NA(),AVERAGE(INDEX(E:E,ROW()-199):E384))</f>
        <v/>
      </c>
      <c r="K384" s="341">
        <f>IF(ROW()&lt;22,NA(),_xlfn.STDEV.S(INDEX(H:H,ROW()-19):H384)*SQRT(252))</f>
        <v/>
      </c>
      <c r="L384" s="426" cm="1">
        <f t="array" ref="L384">IF(ROW()&lt;17,NA(),_xlfn.LET(_xlpm.d,INDEX(E:E,ROW()-13):E384-INDEX(E:E,ROW()-14):INDEX(E:E,ROW()-1),_xlpm.g,SUM(IF(_xlpm.d&gt;0,_xlpm.d,0)),_xlpm.l,-SUM(IF(_xlpm.d&lt;0,_xlpm.d,0)),IF(_xlpm.l=0,100,100-100/(1+_xlpm.g/_xlpm.l))))</f>
        <v/>
      </c>
      <c r="M384" s="211">
        <f>MAX($E$2:E384)</f>
        <v/>
      </c>
      <c r="N384" s="341">
        <f>E384/M384-1</f>
        <v/>
      </c>
    </row>
    <row r="385">
      <c r="A385" s="424" t="n">
        <v>45020</v>
      </c>
      <c r="B385" s="425" t="n">
        <v>112.4632374601798</v>
      </c>
      <c r="C385" s="425" t="n">
        <v>114.8444410562564</v>
      </c>
      <c r="D385" s="425" t="n">
        <v>112.4447098010229</v>
      </c>
      <c r="E385" s="425" t="n">
        <v>114.6035461425781</v>
      </c>
      <c r="F385" s="207" t="n">
        <v>5895300</v>
      </c>
      <c r="G385" s="208" t="n">
        <v>-0.005548080416296841</v>
      </c>
      <c r="H385" s="209" cm="1">
        <f t="array" ref="H385">IF(ROW()&lt;3,"",E385/INDEX(E:E,ROW()-1)-1)</f>
        <v/>
      </c>
      <c r="I385" s="211">
        <f>IF(ROW()&lt;51,NA(),AVERAGE(INDEX(E:E,ROW()-49):E385))</f>
        <v/>
      </c>
      <c r="J385" s="211">
        <f>IF(ROW()&lt;201,NA(),AVERAGE(INDEX(E:E,ROW()-199):E385))</f>
        <v/>
      </c>
      <c r="K385" s="341">
        <f>IF(ROW()&lt;22,NA(),_xlfn.STDEV.S(INDEX(H:H,ROW()-19):H385)*SQRT(252))</f>
        <v/>
      </c>
      <c r="L385" s="426" cm="1">
        <f t="array" ref="L385">IF(ROW()&lt;17,NA(),_xlfn.LET(_xlpm.d,INDEX(E:E,ROW()-13):E385-INDEX(E:E,ROW()-14):INDEX(E:E,ROW()-1),_xlpm.g,SUM(IF(_xlpm.d&gt;0,_xlpm.d,0)),_xlpm.l,-SUM(IF(_xlpm.d&lt;0,_xlpm.d,0)),IF(_xlpm.l=0,100,100-100/(1+_xlpm.g/_xlpm.l))))</f>
        <v/>
      </c>
      <c r="M385" s="211">
        <f>MAX($E$2:E385)</f>
        <v/>
      </c>
      <c r="N385" s="341">
        <f>E385/M385-1</f>
        <v/>
      </c>
    </row>
    <row r="386">
      <c r="A386" s="424" t="n">
        <v>45021</v>
      </c>
      <c r="B386" s="425" t="n">
        <v>113.9642306348899</v>
      </c>
      <c r="C386" s="425" t="n">
        <v>114.2699900233798</v>
      </c>
      <c r="D386" s="425" t="n">
        <v>111.7034745293443</v>
      </c>
      <c r="E386" s="425" t="n">
        <v>112.0185012817383</v>
      </c>
      <c r="F386" s="207" t="n">
        <v>4331400</v>
      </c>
      <c r="G386" s="208" t="n">
        <v>-0.00261824287435497</v>
      </c>
      <c r="H386" s="209" cm="1">
        <f t="array" ref="H386">IF(ROW()&lt;3,"",E386/INDEX(E:E,ROW()-1)-1)</f>
        <v/>
      </c>
      <c r="I386" s="211">
        <f>IF(ROW()&lt;51,NA(),AVERAGE(INDEX(E:E,ROW()-49):E386))</f>
        <v/>
      </c>
      <c r="J386" s="211">
        <f>IF(ROW()&lt;201,NA(),AVERAGE(INDEX(E:E,ROW()-199):E386))</f>
        <v/>
      </c>
      <c r="K386" s="341">
        <f>IF(ROW()&lt;22,NA(),_xlfn.STDEV.S(INDEX(H:H,ROW()-19):H386)*SQRT(252))</f>
        <v/>
      </c>
      <c r="L386" s="426" cm="1">
        <f t="array" ref="L386">IF(ROW()&lt;17,NA(),_xlfn.LET(_xlpm.d,INDEX(E:E,ROW()-13):E386-INDEX(E:E,ROW()-14):INDEX(E:E,ROW()-1),_xlpm.g,SUM(IF(_xlpm.d&gt;0,_xlpm.d,0)),_xlpm.l,-SUM(IF(_xlpm.d&lt;0,_xlpm.d,0)),IF(_xlpm.l=0,100,100-100/(1+_xlpm.g/_xlpm.l))))</f>
        <v/>
      </c>
      <c r="M386" s="211">
        <f>MAX($E$2:E386)</f>
        <v/>
      </c>
      <c r="N386" s="341">
        <f>E386/M386-1</f>
        <v/>
      </c>
    </row>
    <row r="387">
      <c r="A387" s="424" t="n">
        <v>45022</v>
      </c>
      <c r="B387" s="425" t="n">
        <v>110.7306091888553</v>
      </c>
      <c r="C387" s="425" t="n">
        <v>111.638612887066</v>
      </c>
      <c r="D387" s="425" t="n">
        <v>109.1925520097451</v>
      </c>
      <c r="E387" s="425" t="n">
        <v>111.3884506225586</v>
      </c>
      <c r="F387" s="207" t="n">
        <v>4256900</v>
      </c>
      <c r="G387" s="208" t="n">
        <v>0.003900842711522134</v>
      </c>
      <c r="H387" s="209" cm="1">
        <f t="array" ref="H387">IF(ROW()&lt;3,"",E387/INDEX(E:E,ROW()-1)-1)</f>
        <v/>
      </c>
      <c r="I387" s="211">
        <f>IF(ROW()&lt;51,NA(),AVERAGE(INDEX(E:E,ROW()-49):E387))</f>
        <v/>
      </c>
      <c r="J387" s="211">
        <f>IF(ROW()&lt;201,NA(),AVERAGE(INDEX(E:E,ROW()-199):E387))</f>
        <v/>
      </c>
      <c r="K387" s="341">
        <f>IF(ROW()&lt;22,NA(),_xlfn.STDEV.S(INDEX(H:H,ROW()-19):H387)*SQRT(252))</f>
        <v/>
      </c>
      <c r="L387" s="426" cm="1">
        <f t="array" ref="L387">IF(ROW()&lt;17,NA(),_xlfn.LET(_xlpm.d,INDEX(E:E,ROW()-13):E387-INDEX(E:E,ROW()-14):INDEX(E:E,ROW()-1),_xlpm.g,SUM(IF(_xlpm.d&gt;0,_xlpm.d,0)),_xlpm.l,-SUM(IF(_xlpm.d&lt;0,_xlpm.d,0)),IF(_xlpm.l=0,100,100-100/(1+_xlpm.g/_xlpm.l))))</f>
        <v/>
      </c>
      <c r="M387" s="211">
        <f>MAX($E$2:E387)</f>
        <v/>
      </c>
      <c r="N387" s="341">
        <f>E387/M387-1</f>
        <v/>
      </c>
    </row>
    <row r="388">
      <c r="A388" s="424" t="n">
        <v>45026</v>
      </c>
      <c r="B388" s="425" t="n">
        <v>110.5360490652929</v>
      </c>
      <c r="C388" s="425" t="n">
        <v>112.9543151855469</v>
      </c>
      <c r="D388" s="425" t="n">
        <v>110.3785321433652</v>
      </c>
      <c r="E388" s="425" t="n">
        <v>112.9543151855469</v>
      </c>
      <c r="F388" s="207" t="n">
        <v>3731200</v>
      </c>
      <c r="G388" s="208" t="n">
        <v>0.001026258988042317</v>
      </c>
      <c r="H388" s="209" cm="1">
        <f t="array" ref="H388">IF(ROW()&lt;3,"",E388/INDEX(E:E,ROW()-1)-1)</f>
        <v/>
      </c>
      <c r="I388" s="211">
        <f>IF(ROW()&lt;51,NA(),AVERAGE(INDEX(E:E,ROW()-49):E388))</f>
        <v/>
      </c>
      <c r="J388" s="211">
        <f>IF(ROW()&lt;201,NA(),AVERAGE(INDEX(E:E,ROW()-199):E388))</f>
        <v/>
      </c>
      <c r="K388" s="341">
        <f>IF(ROW()&lt;22,NA(),_xlfn.STDEV.S(INDEX(H:H,ROW()-19):H388)*SQRT(252))</f>
        <v/>
      </c>
      <c r="L388" s="426" cm="1">
        <f t="array" ref="L388">IF(ROW()&lt;17,NA(),_xlfn.LET(_xlpm.d,INDEX(E:E,ROW()-13):E388-INDEX(E:E,ROW()-14):INDEX(E:E,ROW()-1),_xlpm.g,SUM(IF(_xlpm.d&gt;0,_xlpm.d,0)),_xlpm.l,-SUM(IF(_xlpm.d&lt;0,_xlpm.d,0)),IF(_xlpm.l=0,100,100-100/(1+_xlpm.g/_xlpm.l))))</f>
        <v/>
      </c>
      <c r="M388" s="211">
        <f>MAX($E$2:E388)</f>
        <v/>
      </c>
      <c r="N388" s="341">
        <f>E388/M388-1</f>
        <v/>
      </c>
    </row>
    <row r="389">
      <c r="A389" s="424" t="n">
        <v>45027</v>
      </c>
      <c r="B389" s="425" t="n">
        <v>113.0747471371866</v>
      </c>
      <c r="C389" s="425" t="n">
        <v>114.9648863206707</v>
      </c>
      <c r="D389" s="425" t="n">
        <v>113.0747471371866</v>
      </c>
      <c r="E389" s="425" t="n">
        <v>114.2421875</v>
      </c>
      <c r="F389" s="207" t="n">
        <v>4471000</v>
      </c>
      <c r="G389" s="208" t="n">
        <v>0.0002686158695797136</v>
      </c>
      <c r="H389" s="209" cm="1">
        <f t="array" ref="H389">IF(ROW()&lt;3,"",E389/INDEX(E:E,ROW()-1)-1)</f>
        <v/>
      </c>
      <c r="I389" s="211">
        <f>IF(ROW()&lt;51,NA(),AVERAGE(INDEX(E:E,ROW()-49):E389))</f>
        <v/>
      </c>
      <c r="J389" s="211">
        <f>IF(ROW()&lt;201,NA(),AVERAGE(INDEX(E:E,ROW()-199):E389))</f>
        <v/>
      </c>
      <c r="K389" s="341">
        <f>IF(ROW()&lt;22,NA(),_xlfn.STDEV.S(INDEX(H:H,ROW()-19):H389)*SQRT(252))</f>
        <v/>
      </c>
      <c r="L389" s="426" cm="1">
        <f t="array" ref="L389">IF(ROW()&lt;17,NA(),_xlfn.LET(_xlpm.d,INDEX(E:E,ROW()-13):E389-INDEX(E:E,ROW()-14):INDEX(E:E,ROW()-1),_xlpm.g,SUM(IF(_xlpm.d&gt;0,_xlpm.d,0)),_xlpm.l,-SUM(IF(_xlpm.d&lt;0,_xlpm.d,0)),IF(_xlpm.l=0,100,100-100/(1+_xlpm.g/_xlpm.l))))</f>
        <v/>
      </c>
      <c r="M389" s="211">
        <f>MAX($E$2:E389)</f>
        <v/>
      </c>
      <c r="N389" s="341">
        <f>E389/M389-1</f>
        <v/>
      </c>
    </row>
    <row r="390">
      <c r="A390" s="424" t="n">
        <v>45028</v>
      </c>
      <c r="B390" s="425" t="n">
        <v>115.5949431763262</v>
      </c>
      <c r="C390" s="425" t="n">
        <v>115.6875956108871</v>
      </c>
      <c r="D390" s="425" t="n">
        <v>114.1680730635196</v>
      </c>
      <c r="E390" s="425" t="n">
        <v>114.5757522583008</v>
      </c>
      <c r="F390" s="207" t="n">
        <v>4524900</v>
      </c>
      <c r="G390" s="208" t="n">
        <v>-0.004075843534222301</v>
      </c>
      <c r="H390" s="209" cm="1">
        <f t="array" ref="H390">IF(ROW()&lt;3,"",E390/INDEX(E:E,ROW()-1)-1)</f>
        <v/>
      </c>
      <c r="I390" s="211">
        <f>IF(ROW()&lt;51,NA(),AVERAGE(INDEX(E:E,ROW()-49):E390))</f>
        <v/>
      </c>
      <c r="J390" s="211">
        <f>IF(ROW()&lt;201,NA(),AVERAGE(INDEX(E:E,ROW()-199):E390))</f>
        <v/>
      </c>
      <c r="K390" s="341">
        <f>IF(ROW()&lt;22,NA(),_xlfn.STDEV.S(INDEX(H:H,ROW()-19):H390)*SQRT(252))</f>
        <v/>
      </c>
      <c r="L390" s="426" cm="1">
        <f t="array" ref="L390">IF(ROW()&lt;17,NA(),_xlfn.LET(_xlpm.d,INDEX(E:E,ROW()-13):E390-INDEX(E:E,ROW()-14):INDEX(E:E,ROW()-1),_xlpm.g,SUM(IF(_xlpm.d&gt;0,_xlpm.d,0)),_xlpm.l,-SUM(IF(_xlpm.d&lt;0,_xlpm.d,0)),IF(_xlpm.l=0,100,100-100/(1+_xlpm.g/_xlpm.l))))</f>
        <v/>
      </c>
      <c r="M390" s="211">
        <f>MAX($E$2:E390)</f>
        <v/>
      </c>
      <c r="N390" s="341">
        <f>E390/M390-1</f>
        <v/>
      </c>
    </row>
    <row r="391">
      <c r="A391" s="424" t="n">
        <v>45029</v>
      </c>
      <c r="B391" s="425" t="n">
        <v>115.4837530000344</v>
      </c>
      <c r="C391" s="425" t="n">
        <v>117.3646249413589</v>
      </c>
      <c r="D391" s="425" t="n">
        <v>115.3169757946056</v>
      </c>
      <c r="E391" s="425" t="n">
        <v>117.1422576904297</v>
      </c>
      <c r="F391" s="207" t="n">
        <v>5355300</v>
      </c>
      <c r="G391" s="208" t="n">
        <v>0.01328263966198118</v>
      </c>
      <c r="H391" s="209" cm="1">
        <f t="array" ref="H391">IF(ROW()&lt;3,"",E391/INDEX(E:E,ROW()-1)-1)</f>
        <v/>
      </c>
      <c r="I391" s="211">
        <f>IF(ROW()&lt;51,NA(),AVERAGE(INDEX(E:E,ROW()-49):E391))</f>
        <v/>
      </c>
      <c r="J391" s="211">
        <f>IF(ROW()&lt;201,NA(),AVERAGE(INDEX(E:E,ROW()-199):E391))</f>
        <v/>
      </c>
      <c r="K391" s="341">
        <f>IF(ROW()&lt;22,NA(),_xlfn.STDEV.S(INDEX(H:H,ROW()-19):H391)*SQRT(252))</f>
        <v/>
      </c>
      <c r="L391" s="426" cm="1">
        <f t="array" ref="L391">IF(ROW()&lt;17,NA(),_xlfn.LET(_xlpm.d,INDEX(E:E,ROW()-13):E391-INDEX(E:E,ROW()-14):INDEX(E:E,ROW()-1),_xlpm.g,SUM(IF(_xlpm.d&gt;0,_xlpm.d,0)),_xlpm.l,-SUM(IF(_xlpm.d&lt;0,_xlpm.d,0)),IF(_xlpm.l=0,100,100-100/(1+_xlpm.g/_xlpm.l))))</f>
        <v/>
      </c>
      <c r="M391" s="211">
        <f>MAX($E$2:E391)</f>
        <v/>
      </c>
      <c r="N391" s="341">
        <f>E391/M391-1</f>
        <v/>
      </c>
    </row>
    <row r="392">
      <c r="A392" s="424" t="n">
        <v>45030</v>
      </c>
      <c r="B392" s="425" t="n">
        <v>117.6703933084726</v>
      </c>
      <c r="C392" s="425" t="n">
        <v>118.1243952088669</v>
      </c>
      <c r="D392" s="425" t="n">
        <v>116.271318148891</v>
      </c>
      <c r="E392" s="425" t="n">
        <v>116.6975250244141</v>
      </c>
      <c r="F392" s="207" t="n">
        <v>4828700</v>
      </c>
      <c r="G392" s="208" t="n">
        <v>-0.002442844951924039</v>
      </c>
      <c r="H392" s="209" cm="1">
        <f t="array" ref="H392">IF(ROW()&lt;3,"",E392/INDEX(E:E,ROW()-1)-1)</f>
        <v/>
      </c>
      <c r="I392" s="211">
        <f>IF(ROW()&lt;51,NA(),AVERAGE(INDEX(E:E,ROW()-49):E392))</f>
        <v/>
      </c>
      <c r="J392" s="211">
        <f>IF(ROW()&lt;201,NA(),AVERAGE(INDEX(E:E,ROW()-199):E392))</f>
        <v/>
      </c>
      <c r="K392" s="341">
        <f>IF(ROW()&lt;22,NA(),_xlfn.STDEV.S(INDEX(H:H,ROW()-19):H392)*SQRT(252))</f>
        <v/>
      </c>
      <c r="L392" s="426" cm="1">
        <f t="array" ref="L392">IF(ROW()&lt;17,NA(),_xlfn.LET(_xlpm.d,INDEX(E:E,ROW()-13):E392-INDEX(E:E,ROW()-14):INDEX(E:E,ROW()-1),_xlpm.g,SUM(IF(_xlpm.d&gt;0,_xlpm.d,0)),_xlpm.l,-SUM(IF(_xlpm.d&lt;0,_xlpm.d,0)),IF(_xlpm.l=0,100,100-100/(1+_xlpm.g/_xlpm.l))))</f>
        <v/>
      </c>
      <c r="M392" s="211">
        <f>MAX($E$2:E392)</f>
        <v/>
      </c>
      <c r="N392" s="341">
        <f>E392/M392-1</f>
        <v/>
      </c>
    </row>
    <row r="393">
      <c r="A393" s="424" t="n">
        <v>45033</v>
      </c>
      <c r="B393" s="425" t="n">
        <v>116.7716341899661</v>
      </c>
      <c r="C393" s="425" t="n">
        <v>117.1885807140681</v>
      </c>
      <c r="D393" s="425" t="n">
        <v>115.9377482106892</v>
      </c>
      <c r="E393" s="425" t="n">
        <v>116.9198837280273</v>
      </c>
      <c r="F393" s="207" t="n">
        <v>3917900</v>
      </c>
      <c r="G393" s="208" t="n">
        <v>0.003588274655323964</v>
      </c>
      <c r="H393" s="209" cm="1">
        <f t="array" ref="H393">IF(ROW()&lt;3,"",E393/INDEX(E:E,ROW()-1)-1)</f>
        <v/>
      </c>
      <c r="I393" s="211">
        <f>IF(ROW()&lt;51,NA(),AVERAGE(INDEX(E:E,ROW()-49):E393))</f>
        <v/>
      </c>
      <c r="J393" s="211">
        <f>IF(ROW()&lt;201,NA(),AVERAGE(INDEX(E:E,ROW()-199):E393))</f>
        <v/>
      </c>
      <c r="K393" s="341">
        <f>IF(ROW()&lt;22,NA(),_xlfn.STDEV.S(INDEX(H:H,ROW()-19):H393)*SQRT(252))</f>
        <v/>
      </c>
      <c r="L393" s="426" cm="1">
        <f t="array" ref="L393">IF(ROW()&lt;17,NA(),_xlfn.LET(_xlpm.d,INDEX(E:E,ROW()-13):E393-INDEX(E:E,ROW()-14):INDEX(E:E,ROW()-1),_xlpm.g,SUM(IF(_xlpm.d&gt;0,_xlpm.d,0)),_xlpm.l,-SUM(IF(_xlpm.d&lt;0,_xlpm.d,0)),IF(_xlpm.l=0,100,100-100/(1+_xlpm.g/_xlpm.l))))</f>
        <v/>
      </c>
      <c r="M393" s="211">
        <f>MAX($E$2:E393)</f>
        <v/>
      </c>
      <c r="N393" s="341">
        <f>E393/M393-1</f>
        <v/>
      </c>
    </row>
    <row r="394">
      <c r="A394" s="424" t="n">
        <v>45034</v>
      </c>
      <c r="B394" s="425" t="n">
        <v>117.8835040757452</v>
      </c>
      <c r="C394" s="425" t="n">
        <v>117.929826762379</v>
      </c>
      <c r="D394" s="425" t="n">
        <v>115.8358476378945</v>
      </c>
      <c r="E394" s="425" t="n">
        <v>116.9384307861328</v>
      </c>
      <c r="F394" s="207" t="n">
        <v>3857700</v>
      </c>
      <c r="G394" s="208" t="n">
        <v>0.0006522719213917227</v>
      </c>
      <c r="H394" s="209" cm="1">
        <f t="array" ref="H394">IF(ROW()&lt;3,"",E394/INDEX(E:E,ROW()-1)-1)</f>
        <v/>
      </c>
      <c r="I394" s="211">
        <f>IF(ROW()&lt;51,NA(),AVERAGE(INDEX(E:E,ROW()-49):E394))</f>
        <v/>
      </c>
      <c r="J394" s="211">
        <f>IF(ROW()&lt;201,NA(),AVERAGE(INDEX(E:E,ROW()-199):E394))</f>
        <v/>
      </c>
      <c r="K394" s="341">
        <f>IF(ROW()&lt;22,NA(),_xlfn.STDEV.S(INDEX(H:H,ROW()-19):H394)*SQRT(252))</f>
        <v/>
      </c>
      <c r="L394" s="426" cm="1">
        <f t="array" ref="L394">IF(ROW()&lt;17,NA(),_xlfn.LET(_xlpm.d,INDEX(E:E,ROW()-13):E394-INDEX(E:E,ROW()-14):INDEX(E:E,ROW()-1),_xlpm.g,SUM(IF(_xlpm.d&gt;0,_xlpm.d,0)),_xlpm.l,-SUM(IF(_xlpm.d&lt;0,_xlpm.d,0)),IF(_xlpm.l=0,100,100-100/(1+_xlpm.g/_xlpm.l))))</f>
        <v/>
      </c>
      <c r="M394" s="211">
        <f>MAX($E$2:E394)</f>
        <v/>
      </c>
      <c r="N394" s="341">
        <f>E394/M394-1</f>
        <v/>
      </c>
    </row>
    <row r="395">
      <c r="A395" s="424" t="n">
        <v>45035</v>
      </c>
      <c r="B395" s="425" t="n">
        <v>116.7438698023497</v>
      </c>
      <c r="C395" s="425" t="n">
        <v>116.8179945908306</v>
      </c>
      <c r="D395" s="425" t="n">
        <v>115.7432063646438</v>
      </c>
      <c r="E395" s="425" t="n">
        <v>116.4381103515625</v>
      </c>
      <c r="F395" s="207" t="n">
        <v>3547400</v>
      </c>
      <c r="G395" s="208" t="n">
        <v>-0.0001689830529081338</v>
      </c>
      <c r="H395" s="209" cm="1">
        <f t="array" ref="H395">IF(ROW()&lt;3,"",E395/INDEX(E:E,ROW()-1)-1)</f>
        <v/>
      </c>
      <c r="I395" s="211">
        <f>IF(ROW()&lt;51,NA(),AVERAGE(INDEX(E:E,ROW()-49):E395))</f>
        <v/>
      </c>
      <c r="J395" s="211">
        <f>IF(ROW()&lt;201,NA(),AVERAGE(INDEX(E:E,ROW()-199):E395))</f>
        <v/>
      </c>
      <c r="K395" s="341">
        <f>IF(ROW()&lt;22,NA(),_xlfn.STDEV.S(INDEX(H:H,ROW()-19):H395)*SQRT(252))</f>
        <v/>
      </c>
      <c r="L395" s="426" cm="1">
        <f t="array" ref="L395">IF(ROW()&lt;17,NA(),_xlfn.LET(_xlpm.d,INDEX(E:E,ROW()-13):E395-INDEX(E:E,ROW()-14):INDEX(E:E,ROW()-1),_xlpm.g,SUM(IF(_xlpm.d&gt;0,_xlpm.d,0)),_xlpm.l,-SUM(IF(_xlpm.d&lt;0,_xlpm.d,0)),IF(_xlpm.l=0,100,100-100/(1+_xlpm.g/_xlpm.l))))</f>
        <v/>
      </c>
      <c r="M395" s="211">
        <f>MAX($E$2:E395)</f>
        <v/>
      </c>
      <c r="N395" s="341">
        <f>E395/M395-1</f>
        <v/>
      </c>
    </row>
    <row r="396">
      <c r="A396" s="424" t="n">
        <v>45036</v>
      </c>
      <c r="B396" s="425" t="n">
        <v>115.6320028569973</v>
      </c>
      <c r="C396" s="425" t="n">
        <v>116.1415947696167</v>
      </c>
      <c r="D396" s="425" t="n">
        <v>114.6220722578211</v>
      </c>
      <c r="E396" s="425" t="n">
        <v>115.3077087402344</v>
      </c>
      <c r="F396" s="207" t="n">
        <v>3891600</v>
      </c>
      <c r="G396" s="208" t="n">
        <v>-0.005457166407941361</v>
      </c>
      <c r="H396" s="209" cm="1">
        <f t="array" ref="H396">IF(ROW()&lt;3,"",E396/INDEX(E:E,ROW()-1)-1)</f>
        <v/>
      </c>
      <c r="I396" s="211">
        <f>IF(ROW()&lt;51,NA(),AVERAGE(INDEX(E:E,ROW()-49):E396))</f>
        <v/>
      </c>
      <c r="J396" s="211">
        <f>IF(ROW()&lt;201,NA(),AVERAGE(INDEX(E:E,ROW()-199):E396))</f>
        <v/>
      </c>
      <c r="K396" s="341">
        <f>IF(ROW()&lt;22,NA(),_xlfn.STDEV.S(INDEX(H:H,ROW()-19):H396)*SQRT(252))</f>
        <v/>
      </c>
      <c r="L396" s="426" cm="1">
        <f t="array" ref="L396">IF(ROW()&lt;17,NA(),_xlfn.LET(_xlpm.d,INDEX(E:E,ROW()-13):E396-INDEX(E:E,ROW()-14):INDEX(E:E,ROW()-1),_xlpm.g,SUM(IF(_xlpm.d&gt;0,_xlpm.d,0)),_xlpm.l,-SUM(IF(_xlpm.d&lt;0,_xlpm.d,0)),IF(_xlpm.l=0,100,100-100/(1+_xlpm.g/_xlpm.l))))</f>
        <v/>
      </c>
      <c r="M396" s="211">
        <f>MAX($E$2:E396)</f>
        <v/>
      </c>
      <c r="N396" s="341">
        <f>E396/M396-1</f>
        <v/>
      </c>
    </row>
    <row r="397">
      <c r="A397" s="424" t="n">
        <v>45037</v>
      </c>
      <c r="B397" s="425" t="n">
        <v>115.2613941365842</v>
      </c>
      <c r="C397" s="425" t="n">
        <v>116.4473623197453</v>
      </c>
      <c r="D397" s="425" t="n">
        <v>114.5386952167784</v>
      </c>
      <c r="E397" s="425" t="n">
        <v>116.3083801269531</v>
      </c>
      <c r="F397" s="207" t="n">
        <v>3651400</v>
      </c>
      <c r="G397" s="208" t="n">
        <v>0.0007769524334861888</v>
      </c>
      <c r="H397" s="209" cm="1">
        <f t="array" ref="H397">IF(ROW()&lt;3,"",E397/INDEX(E:E,ROW()-1)-1)</f>
        <v/>
      </c>
      <c r="I397" s="211">
        <f>IF(ROW()&lt;51,NA(),AVERAGE(INDEX(E:E,ROW()-49):E397))</f>
        <v/>
      </c>
      <c r="J397" s="211">
        <f>IF(ROW()&lt;201,NA(),AVERAGE(INDEX(E:E,ROW()-199):E397))</f>
        <v/>
      </c>
      <c r="K397" s="341">
        <f>IF(ROW()&lt;22,NA(),_xlfn.STDEV.S(INDEX(H:H,ROW()-19):H397)*SQRT(252))</f>
        <v/>
      </c>
      <c r="L397" s="426" cm="1">
        <f t="array" ref="L397">IF(ROW()&lt;17,NA(),_xlfn.LET(_xlpm.d,INDEX(E:E,ROW()-13):E397-INDEX(E:E,ROW()-14):INDEX(E:E,ROW()-1),_xlpm.g,SUM(IF(_xlpm.d&gt;0,_xlpm.d,0)),_xlpm.l,-SUM(IF(_xlpm.d&lt;0,_xlpm.d,0)),IF(_xlpm.l=0,100,100-100/(1+_xlpm.g/_xlpm.l))))</f>
        <v/>
      </c>
      <c r="M397" s="211">
        <f>MAX($E$2:E397)</f>
        <v/>
      </c>
      <c r="N397" s="341">
        <f>E397/M397-1</f>
        <v/>
      </c>
    </row>
    <row r="398">
      <c r="A398" s="424" t="n">
        <v>45040</v>
      </c>
      <c r="B398" s="425" t="n">
        <v>116.2898435335375</v>
      </c>
      <c r="C398" s="425" t="n">
        <v>117.7908313073911</v>
      </c>
      <c r="D398" s="425" t="n">
        <v>115.9562891240306</v>
      </c>
      <c r="E398" s="425" t="n">
        <v>117.7537689208984</v>
      </c>
      <c r="F398" s="207" t="n">
        <v>3790900</v>
      </c>
      <c r="G398" s="208" t="n">
        <v>0.001043199969317232</v>
      </c>
      <c r="H398" s="209" cm="1">
        <f t="array" ref="H398">IF(ROW()&lt;3,"",E398/INDEX(E:E,ROW()-1)-1)</f>
        <v/>
      </c>
      <c r="I398" s="211">
        <f>IF(ROW()&lt;51,NA(),AVERAGE(INDEX(E:E,ROW()-49):E398))</f>
        <v/>
      </c>
      <c r="J398" s="211">
        <f>IF(ROW()&lt;201,NA(),AVERAGE(INDEX(E:E,ROW()-199):E398))</f>
        <v/>
      </c>
      <c r="K398" s="341">
        <f>IF(ROW()&lt;22,NA(),_xlfn.STDEV.S(INDEX(H:H,ROW()-19):H398)*SQRT(252))</f>
        <v/>
      </c>
      <c r="L398" s="426" cm="1">
        <f t="array" ref="L398">IF(ROW()&lt;17,NA(),_xlfn.LET(_xlpm.d,INDEX(E:E,ROW()-13):E398-INDEX(E:E,ROW()-14):INDEX(E:E,ROW()-1),_xlpm.g,SUM(IF(_xlpm.d&gt;0,_xlpm.d,0)),_xlpm.l,-SUM(IF(_xlpm.d&lt;0,_xlpm.d,0)),IF(_xlpm.l=0,100,100-100/(1+_xlpm.g/_xlpm.l))))</f>
        <v/>
      </c>
      <c r="M398" s="211">
        <f>MAX($E$2:E398)</f>
        <v/>
      </c>
      <c r="N398" s="341">
        <f>E398/M398-1</f>
        <v/>
      </c>
    </row>
    <row r="399">
      <c r="A399" s="424" t="n">
        <v>45041</v>
      </c>
      <c r="B399" s="425" t="n">
        <v>117.2349034856304</v>
      </c>
      <c r="C399" s="425" t="n">
        <v>117.4572707239709</v>
      </c>
      <c r="D399" s="425" t="n">
        <v>114.9370921952822</v>
      </c>
      <c r="E399" s="425" t="n">
        <v>115.5022811889648</v>
      </c>
      <c r="F399" s="207" t="n">
        <v>4383300</v>
      </c>
      <c r="G399" s="208" t="n">
        <v>-0.01587393300460416</v>
      </c>
      <c r="H399" s="209" cm="1">
        <f t="array" ref="H399">IF(ROW()&lt;3,"",E399/INDEX(E:E,ROW()-1)-1)</f>
        <v/>
      </c>
      <c r="I399" s="211">
        <f>IF(ROW()&lt;51,NA(),AVERAGE(INDEX(E:E,ROW()-49):E399))</f>
        <v/>
      </c>
      <c r="J399" s="211">
        <f>IF(ROW()&lt;201,NA(),AVERAGE(INDEX(E:E,ROW()-199):E399))</f>
        <v/>
      </c>
      <c r="K399" s="341">
        <f>IF(ROW()&lt;22,NA(),_xlfn.STDEV.S(INDEX(H:H,ROW()-19):H399)*SQRT(252))</f>
        <v/>
      </c>
      <c r="L399" s="426" cm="1">
        <f t="array" ref="L399">IF(ROW()&lt;17,NA(),_xlfn.LET(_xlpm.d,INDEX(E:E,ROW()-13):E399-INDEX(E:E,ROW()-14):INDEX(E:E,ROW()-1),_xlpm.g,SUM(IF(_xlpm.d&gt;0,_xlpm.d,0)),_xlpm.l,-SUM(IF(_xlpm.d&lt;0,_xlpm.d,0)),IF(_xlpm.l=0,100,100-100/(1+_xlpm.g/_xlpm.l))))</f>
        <v/>
      </c>
      <c r="M399" s="211">
        <f>MAX($E$2:E399)</f>
        <v/>
      </c>
      <c r="N399" s="341">
        <f>E399/M399-1</f>
        <v/>
      </c>
    </row>
    <row r="400">
      <c r="A400" s="424" t="n">
        <v>45042</v>
      </c>
      <c r="B400" s="425" t="n">
        <v>115.0853449794281</v>
      </c>
      <c r="C400" s="425" t="n">
        <v>115.7987835752333</v>
      </c>
      <c r="D400" s="425" t="n">
        <v>114.2329312652833</v>
      </c>
      <c r="E400" s="425" t="n">
        <v>114.7425231933594</v>
      </c>
      <c r="F400" s="207" t="n">
        <v>4003200</v>
      </c>
      <c r="G400" s="208" t="n">
        <v>-0.004235609891561576</v>
      </c>
      <c r="H400" s="209" cm="1">
        <f t="array" ref="H400">IF(ROW()&lt;3,"",E400/INDEX(E:E,ROW()-1)-1)</f>
        <v/>
      </c>
      <c r="I400" s="211">
        <f>IF(ROW()&lt;51,NA(),AVERAGE(INDEX(E:E,ROW()-49):E400))</f>
        <v/>
      </c>
      <c r="J400" s="211">
        <f>IF(ROW()&lt;201,NA(),AVERAGE(INDEX(E:E,ROW()-199):E400))</f>
        <v/>
      </c>
      <c r="K400" s="341">
        <f>IF(ROW()&lt;22,NA(),_xlfn.STDEV.S(INDEX(H:H,ROW()-19):H400)*SQRT(252))</f>
        <v/>
      </c>
      <c r="L400" s="426" cm="1">
        <f t="array" ref="L400">IF(ROW()&lt;17,NA(),_xlfn.LET(_xlpm.d,INDEX(E:E,ROW()-13):E400-INDEX(E:E,ROW()-14):INDEX(E:E,ROW()-1),_xlpm.g,SUM(IF(_xlpm.d&gt;0,_xlpm.d,0)),_xlpm.l,-SUM(IF(_xlpm.d&lt;0,_xlpm.d,0)),IF(_xlpm.l=0,100,100-100/(1+_xlpm.g/_xlpm.l))))</f>
        <v/>
      </c>
      <c r="M400" s="211">
        <f>MAX($E$2:E400)</f>
        <v/>
      </c>
      <c r="N400" s="341">
        <f>E400/M400-1</f>
        <v/>
      </c>
    </row>
    <row r="401">
      <c r="A401" s="424" t="n">
        <v>45043</v>
      </c>
      <c r="B401" s="425" t="n">
        <v>115.2984630859953</v>
      </c>
      <c r="C401" s="425" t="n">
        <v>116.7531283729391</v>
      </c>
      <c r="D401" s="425" t="n">
        <v>114.0939601051684</v>
      </c>
      <c r="E401" s="425" t="n">
        <v>116.4658966064453</v>
      </c>
      <c r="F401" s="207" t="n">
        <v>4252100</v>
      </c>
      <c r="G401" s="208" t="n">
        <v>0.01990808862217364</v>
      </c>
      <c r="H401" s="209" cm="1">
        <f t="array" ref="H401">IF(ROW()&lt;3,"",E401/INDEX(E:E,ROW()-1)-1)</f>
        <v/>
      </c>
      <c r="I401" s="211">
        <f>IF(ROW()&lt;51,NA(),AVERAGE(INDEX(E:E,ROW()-49):E401))</f>
        <v/>
      </c>
      <c r="J401" s="211">
        <f>IF(ROW()&lt;201,NA(),AVERAGE(INDEX(E:E,ROW()-199):E401))</f>
        <v/>
      </c>
      <c r="K401" s="341">
        <f>IF(ROW()&lt;22,NA(),_xlfn.STDEV.S(INDEX(H:H,ROW()-19):H401)*SQRT(252))</f>
        <v/>
      </c>
      <c r="L401" s="426" cm="1">
        <f t="array" ref="L401">IF(ROW()&lt;17,NA(),_xlfn.LET(_xlpm.d,INDEX(E:E,ROW()-13):E401-INDEX(E:E,ROW()-14):INDEX(E:E,ROW()-1),_xlpm.g,SUM(IF(_xlpm.d&gt;0,_xlpm.d,0)),_xlpm.l,-SUM(IF(_xlpm.d&lt;0,_xlpm.d,0)),IF(_xlpm.l=0,100,100-100/(1+_xlpm.g/_xlpm.l))))</f>
        <v/>
      </c>
      <c r="M401" s="211">
        <f>MAX($E$2:E401)</f>
        <v/>
      </c>
      <c r="N401" s="341">
        <f>E401/M401-1</f>
        <v/>
      </c>
    </row>
    <row r="402">
      <c r="A402" s="424" t="n">
        <v>45044</v>
      </c>
      <c r="B402" s="425" t="n">
        <v>115.9562922053376</v>
      </c>
      <c r="C402" s="425" t="n">
        <v>117.7352443906949</v>
      </c>
      <c r="D402" s="425" t="n">
        <v>115.7802476320511</v>
      </c>
      <c r="E402" s="425" t="n">
        <v>117.4109573364258</v>
      </c>
      <c r="F402" s="207" t="n">
        <v>4421400</v>
      </c>
      <c r="G402" s="208" t="n">
        <v>0.008535184411177621</v>
      </c>
      <c r="H402" s="209" cm="1">
        <f t="array" ref="H402">IF(ROW()&lt;3,"",E402/INDEX(E:E,ROW()-1)-1)</f>
        <v/>
      </c>
      <c r="I402" s="211">
        <f>IF(ROW()&lt;51,NA(),AVERAGE(INDEX(E:E,ROW()-49):E402))</f>
        <v/>
      </c>
      <c r="J402" s="211">
        <f>IF(ROW()&lt;201,NA(),AVERAGE(INDEX(E:E,ROW()-199):E402))</f>
        <v/>
      </c>
      <c r="K402" s="341">
        <f>IF(ROW()&lt;22,NA(),_xlfn.STDEV.S(INDEX(H:H,ROW()-19):H402)*SQRT(252))</f>
        <v/>
      </c>
      <c r="L402" s="426" cm="1">
        <f t="array" ref="L402">IF(ROW()&lt;17,NA(),_xlfn.LET(_xlpm.d,INDEX(E:E,ROW()-13):E402-INDEX(E:E,ROW()-14):INDEX(E:E,ROW()-1),_xlpm.g,SUM(IF(_xlpm.d&gt;0,_xlpm.d,0)),_xlpm.l,-SUM(IF(_xlpm.d&lt;0,_xlpm.d,0)),IF(_xlpm.l=0,100,100-100/(1+_xlpm.g/_xlpm.l))))</f>
        <v/>
      </c>
      <c r="M402" s="211">
        <f>MAX($E$2:E402)</f>
        <v/>
      </c>
      <c r="N402" s="341">
        <f>E402/M402-1</f>
        <v/>
      </c>
    </row>
    <row r="403">
      <c r="A403" s="424" t="n">
        <v>45047</v>
      </c>
      <c r="B403" s="425" t="n">
        <v>117.5962733219015</v>
      </c>
      <c r="C403" s="425" t="n">
        <v>119.2269761115078</v>
      </c>
      <c r="D403" s="425" t="n">
        <v>117.5406832698937</v>
      </c>
      <c r="E403" s="425" t="n">
        <v>118.5228118896484</v>
      </c>
      <c r="F403" s="207" t="n">
        <v>4112600</v>
      </c>
      <c r="G403" s="208" t="n">
        <v>-0.001009705619008705</v>
      </c>
      <c r="H403" s="209" cm="1">
        <f t="array" ref="H403">IF(ROW()&lt;3,"",E403/INDEX(E:E,ROW()-1)-1)</f>
        <v/>
      </c>
      <c r="I403" s="211">
        <f>IF(ROW()&lt;51,NA(),AVERAGE(INDEX(E:E,ROW()-49):E403))</f>
        <v/>
      </c>
      <c r="J403" s="211">
        <f>IF(ROW()&lt;201,NA(),AVERAGE(INDEX(E:E,ROW()-199):E403))</f>
        <v/>
      </c>
      <c r="K403" s="341">
        <f>IF(ROW()&lt;22,NA(),_xlfn.STDEV.S(INDEX(H:H,ROW()-19):H403)*SQRT(252))</f>
        <v/>
      </c>
      <c r="L403" s="426" cm="1">
        <f t="array" ref="L403">IF(ROW()&lt;17,NA(),_xlfn.LET(_xlpm.d,INDEX(E:E,ROW()-13):E403-INDEX(E:E,ROW()-14):INDEX(E:E,ROW()-1),_xlpm.g,SUM(IF(_xlpm.d&gt;0,_xlpm.d,0)),_xlpm.l,-SUM(IF(_xlpm.d&lt;0,_xlpm.d,0)),IF(_xlpm.l=0,100,100-100/(1+_xlpm.g/_xlpm.l))))</f>
        <v/>
      </c>
      <c r="M403" s="211">
        <f>MAX($E$2:E403)</f>
        <v/>
      </c>
      <c r="N403" s="341">
        <f>E403/M403-1</f>
        <v/>
      </c>
    </row>
    <row r="404">
      <c r="A404" s="424" t="n">
        <v>45048</v>
      </c>
      <c r="B404" s="425" t="n">
        <v>117.8093579823397</v>
      </c>
      <c r="C404" s="425" t="n">
        <v>118.2077697737438</v>
      </c>
      <c r="D404" s="425" t="n">
        <v>115.9748088554508</v>
      </c>
      <c r="E404" s="425" t="n">
        <v>117.9112777709961</v>
      </c>
      <c r="F404" s="207" t="n">
        <v>3831600</v>
      </c>
      <c r="G404" s="208" t="n">
        <v>-0.01123926563718247</v>
      </c>
      <c r="H404" s="209" cm="1">
        <f t="array" ref="H404">IF(ROW()&lt;3,"",E404/INDEX(E:E,ROW()-1)-1)</f>
        <v/>
      </c>
      <c r="I404" s="211">
        <f>IF(ROW()&lt;51,NA(),AVERAGE(INDEX(E:E,ROW()-49):E404))</f>
        <v/>
      </c>
      <c r="J404" s="211">
        <f>IF(ROW()&lt;201,NA(),AVERAGE(INDEX(E:E,ROW()-199):E404))</f>
        <v/>
      </c>
      <c r="K404" s="341">
        <f>IF(ROW()&lt;22,NA(),_xlfn.STDEV.S(INDEX(H:H,ROW()-19):H404)*SQRT(252))</f>
        <v/>
      </c>
      <c r="L404" s="426" cm="1">
        <f t="array" ref="L404">IF(ROW()&lt;17,NA(),_xlfn.LET(_xlpm.d,INDEX(E:E,ROW()-13):E404-INDEX(E:E,ROW()-14):INDEX(E:E,ROW()-1),_xlpm.g,SUM(IF(_xlpm.d&gt;0,_xlpm.d,0)),_xlpm.l,-SUM(IF(_xlpm.d&lt;0,_xlpm.d,0)),IF(_xlpm.l=0,100,100-100/(1+_xlpm.g/_xlpm.l))))</f>
        <v/>
      </c>
      <c r="M404" s="211">
        <f>MAX($E$2:E404)</f>
        <v/>
      </c>
      <c r="N404" s="341">
        <f>E404/M404-1</f>
        <v/>
      </c>
    </row>
    <row r="405">
      <c r="A405" s="424" t="n">
        <v>45049</v>
      </c>
      <c r="B405" s="425" t="n">
        <v>116.2713159947149</v>
      </c>
      <c r="C405" s="425" t="n">
        <v>118.9490188001837</v>
      </c>
      <c r="D405" s="425" t="n">
        <v>114.5850161841362</v>
      </c>
      <c r="E405" s="425" t="n">
        <v>117.4294891357422</v>
      </c>
      <c r="F405" s="207" t="n">
        <v>4560100</v>
      </c>
      <c r="G405" s="208" t="n">
        <v>-0.006863876496306487</v>
      </c>
      <c r="H405" s="209" cm="1">
        <f t="array" ref="H405">IF(ROW()&lt;3,"",E405/INDEX(E:E,ROW()-1)-1)</f>
        <v/>
      </c>
      <c r="I405" s="211">
        <f>IF(ROW()&lt;51,NA(),AVERAGE(INDEX(E:E,ROW()-49):E405))</f>
        <v/>
      </c>
      <c r="J405" s="211">
        <f>IF(ROW()&lt;201,NA(),AVERAGE(INDEX(E:E,ROW()-199):E405))</f>
        <v/>
      </c>
      <c r="K405" s="341">
        <f>IF(ROW()&lt;22,NA(),_xlfn.STDEV.S(INDEX(H:H,ROW()-19):H405)*SQRT(252))</f>
        <v/>
      </c>
      <c r="L405" s="426" cm="1">
        <f t="array" ref="L405">IF(ROW()&lt;17,NA(),_xlfn.LET(_xlpm.d,INDEX(E:E,ROW()-13):E405-INDEX(E:E,ROW()-14):INDEX(E:E,ROW()-1),_xlpm.g,SUM(IF(_xlpm.d&gt;0,_xlpm.d,0)),_xlpm.l,-SUM(IF(_xlpm.d&lt;0,_xlpm.d,0)),IF(_xlpm.l=0,100,100-100/(1+_xlpm.g/_xlpm.l))))</f>
        <v/>
      </c>
      <c r="M405" s="211">
        <f>MAX($E$2:E405)</f>
        <v/>
      </c>
      <c r="N405" s="341">
        <f>E405/M405-1</f>
        <v/>
      </c>
    </row>
    <row r="406">
      <c r="A406" s="424" t="n">
        <v>45050</v>
      </c>
      <c r="B406" s="425" t="n">
        <v>115.7617144864975</v>
      </c>
      <c r="C406" s="425" t="n">
        <v>115.9933490955587</v>
      </c>
      <c r="D406" s="425" t="n">
        <v>113.7974504568445</v>
      </c>
      <c r="E406" s="425" t="n">
        <v>114.5850067138672</v>
      </c>
      <c r="F406" s="207" t="n">
        <v>6177100</v>
      </c>
      <c r="G406" s="208" t="n">
        <v>-0.007082939684788458</v>
      </c>
      <c r="H406" s="209" cm="1">
        <f t="array" ref="H406">IF(ROW()&lt;3,"",E406/INDEX(E:E,ROW()-1)-1)</f>
        <v/>
      </c>
      <c r="I406" s="211">
        <f>IF(ROW()&lt;51,NA(),AVERAGE(INDEX(E:E,ROW()-49):E406))</f>
        <v/>
      </c>
      <c r="J406" s="211">
        <f>IF(ROW()&lt;201,NA(),AVERAGE(INDEX(E:E,ROW()-199):E406))</f>
        <v/>
      </c>
      <c r="K406" s="341">
        <f>IF(ROW()&lt;22,NA(),_xlfn.STDEV.S(INDEX(H:H,ROW()-19):H406)*SQRT(252))</f>
        <v/>
      </c>
      <c r="L406" s="426" cm="1">
        <f t="array" ref="L406">IF(ROW()&lt;17,NA(),_xlfn.LET(_xlpm.d,INDEX(E:E,ROW()-13):E406-INDEX(E:E,ROW()-14):INDEX(E:E,ROW()-1),_xlpm.g,SUM(IF(_xlpm.d&gt;0,_xlpm.d,0)),_xlpm.l,-SUM(IF(_xlpm.d&lt;0,_xlpm.d,0)),IF(_xlpm.l=0,100,100-100/(1+_xlpm.g/_xlpm.l))))</f>
        <v/>
      </c>
      <c r="M406" s="211">
        <f>MAX($E$2:E406)</f>
        <v/>
      </c>
      <c r="N406" s="341">
        <f>E406/M406-1</f>
        <v/>
      </c>
    </row>
    <row r="407">
      <c r="A407" s="424" t="n">
        <v>45051</v>
      </c>
      <c r="B407" s="425" t="n">
        <v>116.6789851363081</v>
      </c>
      <c r="C407" s="425" t="n">
        <v>117.6981759986992</v>
      </c>
      <c r="D407" s="425" t="n">
        <v>116.0211436972291</v>
      </c>
      <c r="E407" s="425" t="n">
        <v>117.2904968261719</v>
      </c>
      <c r="F407" s="207" t="n">
        <v>4887800</v>
      </c>
      <c r="G407" s="208" t="n">
        <v>0.01851247219624197</v>
      </c>
      <c r="H407" s="209" cm="1">
        <f t="array" ref="H407">IF(ROW()&lt;3,"",E407/INDEX(E:E,ROW()-1)-1)</f>
        <v/>
      </c>
      <c r="I407" s="211">
        <f>IF(ROW()&lt;51,NA(),AVERAGE(INDEX(E:E,ROW()-49):E407))</f>
        <v/>
      </c>
      <c r="J407" s="211">
        <f>IF(ROW()&lt;201,NA(),AVERAGE(INDEX(E:E,ROW()-199):E407))</f>
        <v/>
      </c>
      <c r="K407" s="341">
        <f>IF(ROW()&lt;22,NA(),_xlfn.STDEV.S(INDEX(H:H,ROW()-19):H407)*SQRT(252))</f>
        <v/>
      </c>
      <c r="L407" s="426" cm="1">
        <f t="array" ref="L407">IF(ROW()&lt;17,NA(),_xlfn.LET(_xlpm.d,INDEX(E:E,ROW()-13):E407-INDEX(E:E,ROW()-14):INDEX(E:E,ROW()-1),_xlpm.g,SUM(IF(_xlpm.d&gt;0,_xlpm.d,0)),_xlpm.l,-SUM(IF(_xlpm.d&lt;0,_xlpm.d,0)),IF(_xlpm.l=0,100,100-100/(1+_xlpm.g/_xlpm.l))))</f>
        <v/>
      </c>
      <c r="M407" s="211">
        <f>MAX($E$2:E407)</f>
        <v/>
      </c>
      <c r="N407" s="341">
        <f>E407/M407-1</f>
        <v/>
      </c>
    </row>
    <row r="408">
      <c r="A408" s="424" t="n">
        <v>45054</v>
      </c>
      <c r="B408" s="425" t="n">
        <v>117.911285608722</v>
      </c>
      <c r="C408" s="425" t="n">
        <v>118.3096974266092</v>
      </c>
      <c r="D408" s="425" t="n">
        <v>116.7253175188981</v>
      </c>
      <c r="E408" s="425" t="n">
        <v>117.559196472168</v>
      </c>
      <c r="F408" s="207" t="n">
        <v>3892600</v>
      </c>
      <c r="G408" s="208" t="n">
        <v>0.0002666498787446958</v>
      </c>
      <c r="H408" s="209" cm="1">
        <f t="array" ref="H408">IF(ROW()&lt;3,"",E408/INDEX(E:E,ROW()-1)-1)</f>
        <v/>
      </c>
      <c r="I408" s="211">
        <f>IF(ROW()&lt;51,NA(),AVERAGE(INDEX(E:E,ROW()-49):E408))</f>
        <v/>
      </c>
      <c r="J408" s="211">
        <f>IF(ROW()&lt;201,NA(),AVERAGE(INDEX(E:E,ROW()-199):E408))</f>
        <v/>
      </c>
      <c r="K408" s="341">
        <f>IF(ROW()&lt;22,NA(),_xlfn.STDEV.S(INDEX(H:H,ROW()-19):H408)*SQRT(252))</f>
        <v/>
      </c>
      <c r="L408" s="426" cm="1">
        <f t="array" ref="L408">IF(ROW()&lt;17,NA(),_xlfn.LET(_xlpm.d,INDEX(E:E,ROW()-13):E408-INDEX(E:E,ROW()-14):INDEX(E:E,ROW()-1),_xlpm.g,SUM(IF(_xlpm.d&gt;0,_xlpm.d,0)),_xlpm.l,-SUM(IF(_xlpm.d&lt;0,_xlpm.d,0)),IF(_xlpm.l=0,100,100-100/(1+_xlpm.g/_xlpm.l))))</f>
        <v/>
      </c>
      <c r="M408" s="211">
        <f>MAX($E$2:E408)</f>
        <v/>
      </c>
      <c r="N408" s="341">
        <f>E408/M408-1</f>
        <v/>
      </c>
    </row>
    <row r="409">
      <c r="A409" s="424" t="n">
        <v>45055</v>
      </c>
      <c r="B409" s="425" t="n">
        <v>116.0674753643808</v>
      </c>
      <c r="C409" s="425" t="n">
        <v>116.4288318845991</v>
      </c>
      <c r="D409" s="425" t="n">
        <v>115.0482844230759</v>
      </c>
      <c r="E409" s="425" t="n">
        <v>115.9099655151367</v>
      </c>
      <c r="F409" s="207" t="n">
        <v>4082100</v>
      </c>
      <c r="G409" s="208" t="n">
        <v>-0.004385344745768238</v>
      </c>
      <c r="H409" s="209" cm="1">
        <f t="array" ref="H409">IF(ROW()&lt;3,"",E409/INDEX(E:E,ROW()-1)-1)</f>
        <v/>
      </c>
      <c r="I409" s="211">
        <f>IF(ROW()&lt;51,NA(),AVERAGE(INDEX(E:E,ROW()-49):E409))</f>
        <v/>
      </c>
      <c r="J409" s="211">
        <f>IF(ROW()&lt;201,NA(),AVERAGE(INDEX(E:E,ROW()-199):E409))</f>
        <v/>
      </c>
      <c r="K409" s="341">
        <f>IF(ROW()&lt;22,NA(),_xlfn.STDEV.S(INDEX(H:H,ROW()-19):H409)*SQRT(252))</f>
        <v/>
      </c>
      <c r="L409" s="426" cm="1">
        <f t="array" ref="L409">IF(ROW()&lt;17,NA(),_xlfn.LET(_xlpm.d,INDEX(E:E,ROW()-13):E409-INDEX(E:E,ROW()-14):INDEX(E:E,ROW()-1),_xlpm.g,SUM(IF(_xlpm.d&gt;0,_xlpm.d,0)),_xlpm.l,-SUM(IF(_xlpm.d&lt;0,_xlpm.d,0)),IF(_xlpm.l=0,100,100-100/(1+_xlpm.g/_xlpm.l))))</f>
        <v/>
      </c>
      <c r="M409" s="211">
        <f>MAX($E$2:E409)</f>
        <v/>
      </c>
      <c r="N409" s="341">
        <f>E409/M409-1</f>
        <v/>
      </c>
    </row>
    <row r="410">
      <c r="A410" s="424" t="n">
        <v>45056</v>
      </c>
      <c r="B410" s="425" t="n">
        <v>117.0125355738759</v>
      </c>
      <c r="C410" s="425" t="n">
        <v>117.1700454055886</v>
      </c>
      <c r="D410" s="425" t="n">
        <v>113.1951948148766</v>
      </c>
      <c r="E410" s="425" t="n">
        <v>114.4367599487305</v>
      </c>
      <c r="F410" s="207" t="n">
        <v>5052600</v>
      </c>
      <c r="G410" s="208" t="n">
        <v>0.004672180992330466</v>
      </c>
      <c r="H410" s="209" cm="1">
        <f t="array" ref="H410">IF(ROW()&lt;3,"",E410/INDEX(E:E,ROW()-1)-1)</f>
        <v/>
      </c>
      <c r="I410" s="211">
        <f>IF(ROW()&lt;51,NA(),AVERAGE(INDEX(E:E,ROW()-49):E410))</f>
        <v/>
      </c>
      <c r="J410" s="211">
        <f>IF(ROW()&lt;201,NA(),AVERAGE(INDEX(E:E,ROW()-199):E410))</f>
        <v/>
      </c>
      <c r="K410" s="341">
        <f>IF(ROW()&lt;22,NA(),_xlfn.STDEV.S(INDEX(H:H,ROW()-19):H410)*SQRT(252))</f>
        <v/>
      </c>
      <c r="L410" s="426" cm="1">
        <f t="array" ref="L410">IF(ROW()&lt;17,NA(),_xlfn.LET(_xlpm.d,INDEX(E:E,ROW()-13):E410-INDEX(E:E,ROW()-14):INDEX(E:E,ROW()-1),_xlpm.g,SUM(IF(_xlpm.d&gt;0,_xlpm.d,0)),_xlpm.l,-SUM(IF(_xlpm.d&lt;0,_xlpm.d,0)),IF(_xlpm.l=0,100,100-100/(1+_xlpm.g/_xlpm.l))))</f>
        <v/>
      </c>
      <c r="M410" s="211">
        <f>MAX($E$2:E410)</f>
        <v/>
      </c>
      <c r="N410" s="341">
        <f>E410/M410-1</f>
        <v/>
      </c>
    </row>
    <row r="411">
      <c r="A411" s="424" t="n">
        <v>45057</v>
      </c>
      <c r="B411" s="425" t="n">
        <v>114.3811697158476</v>
      </c>
      <c r="C411" s="425" t="n">
        <v>114.7610538763917</v>
      </c>
      <c r="D411" s="425" t="n">
        <v>112.945039348518</v>
      </c>
      <c r="E411" s="425" t="n">
        <v>113.2415313720703</v>
      </c>
      <c r="F411" s="207" t="n">
        <v>5923100</v>
      </c>
      <c r="G411" s="208" t="n">
        <v>-0.001744035768251218</v>
      </c>
      <c r="H411" s="209" cm="1">
        <f t="array" ref="H411">IF(ROW()&lt;3,"",E411/INDEX(E:E,ROW()-1)-1)</f>
        <v/>
      </c>
      <c r="I411" s="211">
        <f>IF(ROW()&lt;51,NA(),AVERAGE(INDEX(E:E,ROW()-49):E411))</f>
        <v/>
      </c>
      <c r="J411" s="211">
        <f>IF(ROW()&lt;201,NA(),AVERAGE(INDEX(E:E,ROW()-199):E411))</f>
        <v/>
      </c>
      <c r="K411" s="341">
        <f>IF(ROW()&lt;22,NA(),_xlfn.STDEV.S(INDEX(H:H,ROW()-19):H411)*SQRT(252))</f>
        <v/>
      </c>
      <c r="L411" s="426" cm="1">
        <f t="array" ref="L411">IF(ROW()&lt;17,NA(),_xlfn.LET(_xlpm.d,INDEX(E:E,ROW()-13):E411-INDEX(E:E,ROW()-14):INDEX(E:E,ROW()-1),_xlpm.g,SUM(IF(_xlpm.d&gt;0,_xlpm.d,0)),_xlpm.l,-SUM(IF(_xlpm.d&lt;0,_xlpm.d,0)),IF(_xlpm.l=0,100,100-100/(1+_xlpm.g/_xlpm.l))))</f>
        <v/>
      </c>
      <c r="M411" s="211">
        <f>MAX($E$2:E411)</f>
        <v/>
      </c>
      <c r="N411" s="341">
        <f>E411/M411-1</f>
        <v/>
      </c>
    </row>
    <row r="412">
      <c r="A412" s="424" t="n">
        <v>45058</v>
      </c>
      <c r="B412" s="425" t="n">
        <v>112.1018950914658</v>
      </c>
      <c r="C412" s="425" t="n">
        <v>112.2964673350604</v>
      </c>
      <c r="D412" s="425" t="n">
        <v>110.285880415655</v>
      </c>
      <c r="E412" s="425" t="n">
        <v>111.3791961669922</v>
      </c>
      <c r="F412" s="207" t="n">
        <v>6574200</v>
      </c>
      <c r="G412" s="208" t="n">
        <v>-0.001310041371599957</v>
      </c>
      <c r="H412" s="209" cm="1">
        <f t="array" ref="H412">IF(ROW()&lt;3,"",E412/INDEX(E:E,ROW()-1)-1)</f>
        <v/>
      </c>
      <c r="I412" s="211">
        <f>IF(ROW()&lt;51,NA(),AVERAGE(INDEX(E:E,ROW()-49):E412))</f>
        <v/>
      </c>
      <c r="J412" s="211">
        <f>IF(ROW()&lt;201,NA(),AVERAGE(INDEX(E:E,ROW()-199):E412))</f>
        <v/>
      </c>
      <c r="K412" s="341">
        <f>IF(ROW()&lt;22,NA(),_xlfn.STDEV.S(INDEX(H:H,ROW()-19):H412)*SQRT(252))</f>
        <v/>
      </c>
      <c r="L412" s="426" cm="1">
        <f t="array" ref="L412">IF(ROW()&lt;17,NA(),_xlfn.LET(_xlpm.d,INDEX(E:E,ROW()-13):E412-INDEX(E:E,ROW()-14):INDEX(E:E,ROW()-1),_xlpm.g,SUM(IF(_xlpm.d&gt;0,_xlpm.d,0)),_xlpm.l,-SUM(IF(_xlpm.d&lt;0,_xlpm.d,0)),IF(_xlpm.l=0,100,100-100/(1+_xlpm.g/_xlpm.l))))</f>
        <v/>
      </c>
      <c r="M412" s="211">
        <f>MAX($E$2:E412)</f>
        <v/>
      </c>
      <c r="N412" s="341">
        <f>E412/M412-1</f>
        <v/>
      </c>
    </row>
    <row r="413">
      <c r="A413" s="424" t="n">
        <v>45061</v>
      </c>
      <c r="B413" s="425" t="n">
        <v>111.0178475034706</v>
      </c>
      <c r="C413" s="425" t="n">
        <v>111.1753573586192</v>
      </c>
      <c r="D413" s="425" t="n">
        <v>109.3408150092843</v>
      </c>
      <c r="E413" s="425" t="n">
        <v>111.0271148681641</v>
      </c>
      <c r="F413" s="207" t="n">
        <v>5518200</v>
      </c>
      <c r="G413" s="208" t="n">
        <v>0.003449961655476619</v>
      </c>
      <c r="H413" s="209" cm="1">
        <f t="array" ref="H413">IF(ROW()&lt;3,"",E413/INDEX(E:E,ROW()-1)-1)</f>
        <v/>
      </c>
      <c r="I413" s="211">
        <f>IF(ROW()&lt;51,NA(),AVERAGE(INDEX(E:E,ROW()-49):E413))</f>
        <v/>
      </c>
      <c r="J413" s="211">
        <f>IF(ROW()&lt;201,NA(),AVERAGE(INDEX(E:E,ROW()-199):E413))</f>
        <v/>
      </c>
      <c r="K413" s="341">
        <f>IF(ROW()&lt;22,NA(),_xlfn.STDEV.S(INDEX(H:H,ROW()-19):H413)*SQRT(252))</f>
        <v/>
      </c>
      <c r="L413" s="426" cm="1">
        <f t="array" ref="L413">IF(ROW()&lt;17,NA(),_xlfn.LET(_xlpm.d,INDEX(E:E,ROW()-13):E413-INDEX(E:E,ROW()-14):INDEX(E:E,ROW()-1),_xlpm.g,SUM(IF(_xlpm.d&gt;0,_xlpm.d,0)),_xlpm.l,-SUM(IF(_xlpm.d&lt;0,_xlpm.d,0)),IF(_xlpm.l=0,100,100-100/(1+_xlpm.g/_xlpm.l))))</f>
        <v/>
      </c>
      <c r="M413" s="211">
        <f>MAX($E$2:E413)</f>
        <v/>
      </c>
      <c r="N413" s="341">
        <f>E413/M413-1</f>
        <v/>
      </c>
    </row>
    <row r="414">
      <c r="A414" s="424" t="n">
        <v>45062</v>
      </c>
      <c r="B414" s="425" t="n">
        <v>108.8682609336694</v>
      </c>
      <c r="C414" s="425" t="n">
        <v>109.1832805934989</v>
      </c>
      <c r="D414" s="425" t="n">
        <v>107.5896404990068</v>
      </c>
      <c r="E414" s="425" t="n">
        <v>107.9231948852539</v>
      </c>
      <c r="F414" s="207" t="n">
        <v>8306400</v>
      </c>
      <c r="G414" s="208" t="n">
        <v>-0.006682725540732903</v>
      </c>
      <c r="H414" s="209" cm="1">
        <f t="array" ref="H414">IF(ROW()&lt;3,"",E414/INDEX(E:E,ROW()-1)-1)</f>
        <v/>
      </c>
      <c r="I414" s="211">
        <f>IF(ROW()&lt;51,NA(),AVERAGE(INDEX(E:E,ROW()-49):E414))</f>
        <v/>
      </c>
      <c r="J414" s="211">
        <f>IF(ROW()&lt;201,NA(),AVERAGE(INDEX(E:E,ROW()-199):E414))</f>
        <v/>
      </c>
      <c r="K414" s="341">
        <f>IF(ROW()&lt;22,NA(),_xlfn.STDEV.S(INDEX(H:H,ROW()-19):H414)*SQRT(252))</f>
        <v/>
      </c>
      <c r="L414" s="426" cm="1">
        <f t="array" ref="L414">IF(ROW()&lt;17,NA(),_xlfn.LET(_xlpm.d,INDEX(E:E,ROW()-13):E414-INDEX(E:E,ROW()-14):INDEX(E:E,ROW()-1),_xlpm.g,SUM(IF(_xlpm.d&gt;0,_xlpm.d,0)),_xlpm.l,-SUM(IF(_xlpm.d&lt;0,_xlpm.d,0)),IF(_xlpm.l=0,100,100-100/(1+_xlpm.g/_xlpm.l))))</f>
        <v/>
      </c>
      <c r="M414" s="211">
        <f>MAX($E$2:E414)</f>
        <v/>
      </c>
      <c r="N414" s="341">
        <f>E414/M414-1</f>
        <v/>
      </c>
    </row>
    <row r="415">
      <c r="A415" s="424" t="n">
        <v>45063</v>
      </c>
      <c r="B415" s="425" t="n">
        <v>107.830553455938</v>
      </c>
      <c r="C415" s="425" t="n">
        <v>108.5254573655493</v>
      </c>
      <c r="D415" s="425" t="n">
        <v>106.7835674436044</v>
      </c>
      <c r="E415" s="425" t="n">
        <v>108.3864822387695</v>
      </c>
      <c r="F415" s="207" t="n">
        <v>7765400</v>
      </c>
      <c r="G415" s="208" t="n">
        <v>0.01213909190977902</v>
      </c>
      <c r="H415" s="209" cm="1">
        <f t="array" ref="H415">IF(ROW()&lt;3,"",E415/INDEX(E:E,ROW()-1)-1)</f>
        <v/>
      </c>
      <c r="I415" s="211">
        <f>IF(ROW()&lt;51,NA(),AVERAGE(INDEX(E:E,ROW()-49):E415))</f>
        <v/>
      </c>
      <c r="J415" s="211">
        <f>IF(ROW()&lt;201,NA(),AVERAGE(INDEX(E:E,ROW()-199):E415))</f>
        <v/>
      </c>
      <c r="K415" s="341">
        <f>IF(ROW()&lt;22,NA(),_xlfn.STDEV.S(INDEX(H:H,ROW()-19):H415)*SQRT(252))</f>
        <v/>
      </c>
      <c r="L415" s="426" cm="1">
        <f t="array" ref="L415">IF(ROW()&lt;17,NA(),_xlfn.LET(_xlpm.d,INDEX(E:E,ROW()-13):E415-INDEX(E:E,ROW()-14):INDEX(E:E,ROW()-1),_xlpm.g,SUM(IF(_xlpm.d&gt;0,_xlpm.d,0)),_xlpm.l,-SUM(IF(_xlpm.d&lt;0,_xlpm.d,0)),IF(_xlpm.l=0,100,100-100/(1+_xlpm.g/_xlpm.l))))</f>
        <v/>
      </c>
      <c r="M415" s="211">
        <f>MAX($E$2:E415)</f>
        <v/>
      </c>
      <c r="N415" s="341">
        <f>E415/M415-1</f>
        <v/>
      </c>
    </row>
    <row r="416">
      <c r="A416" s="424" t="n">
        <v>45064</v>
      </c>
      <c r="B416" s="425" t="n">
        <v>108.8034090354381</v>
      </c>
      <c r="C416" s="425" t="n">
        <v>110.3970562795092</v>
      </c>
      <c r="D416" s="425" t="n">
        <v>108.2660150449625</v>
      </c>
      <c r="E416" s="425" t="n">
        <v>110.1376266479492</v>
      </c>
      <c r="F416" s="207" t="n">
        <v>5970500</v>
      </c>
      <c r="G416" s="208" t="n">
        <v>0.009633243440665185</v>
      </c>
      <c r="H416" s="209" cm="1">
        <f t="array" ref="H416">IF(ROW()&lt;3,"",E416/INDEX(E:E,ROW()-1)-1)</f>
        <v/>
      </c>
      <c r="I416" s="211">
        <f>IF(ROW()&lt;51,NA(),AVERAGE(INDEX(E:E,ROW()-49):E416))</f>
        <v/>
      </c>
      <c r="J416" s="211">
        <f>IF(ROW()&lt;201,NA(),AVERAGE(INDEX(E:E,ROW()-199):E416))</f>
        <v/>
      </c>
      <c r="K416" s="341">
        <f>IF(ROW()&lt;22,NA(),_xlfn.STDEV.S(INDEX(H:H,ROW()-19):H416)*SQRT(252))</f>
        <v/>
      </c>
      <c r="L416" s="426" cm="1">
        <f t="array" ref="L416">IF(ROW()&lt;17,NA(),_xlfn.LET(_xlpm.d,INDEX(E:E,ROW()-13):E416-INDEX(E:E,ROW()-14):INDEX(E:E,ROW()-1),_xlpm.g,SUM(IF(_xlpm.d&gt;0,_xlpm.d,0)),_xlpm.l,-SUM(IF(_xlpm.d&lt;0,_xlpm.d,0)),IF(_xlpm.l=0,100,100-100/(1+_xlpm.g/_xlpm.l))))</f>
        <v/>
      </c>
      <c r="M416" s="211">
        <f>MAX($E$2:E416)</f>
        <v/>
      </c>
      <c r="N416" s="341">
        <f>E416/M416-1</f>
        <v/>
      </c>
    </row>
    <row r="417">
      <c r="A417" s="424" t="n">
        <v>45065</v>
      </c>
      <c r="B417" s="425" t="n">
        <v>106.1442473864066</v>
      </c>
      <c r="C417" s="425" t="n">
        <v>107.0059284667639</v>
      </c>
      <c r="D417" s="425" t="n">
        <v>104.7915020362949</v>
      </c>
      <c r="E417" s="425" t="n">
        <v>106.3295593261719</v>
      </c>
      <c r="F417" s="207" t="n">
        <v>11674300</v>
      </c>
      <c r="G417" s="208" t="n">
        <v>-0.00145511813226662</v>
      </c>
      <c r="H417" s="209" cm="1">
        <f t="array" ref="H417">IF(ROW()&lt;3,"",E417/INDEX(E:E,ROW()-1)-1)</f>
        <v/>
      </c>
      <c r="I417" s="211">
        <f>IF(ROW()&lt;51,NA(),AVERAGE(INDEX(E:E,ROW()-49):E417))</f>
        <v/>
      </c>
      <c r="J417" s="211">
        <f>IF(ROW()&lt;201,NA(),AVERAGE(INDEX(E:E,ROW()-199):E417))</f>
        <v/>
      </c>
      <c r="K417" s="341">
        <f>IF(ROW()&lt;22,NA(),_xlfn.STDEV.S(INDEX(H:H,ROW()-19):H417)*SQRT(252))</f>
        <v/>
      </c>
      <c r="L417" s="426" cm="1">
        <f t="array" ref="L417">IF(ROW()&lt;17,NA(),_xlfn.LET(_xlpm.d,INDEX(E:E,ROW()-13):E417-INDEX(E:E,ROW()-14):INDEX(E:E,ROW()-1),_xlpm.g,SUM(IF(_xlpm.d&gt;0,_xlpm.d,0)),_xlpm.l,-SUM(IF(_xlpm.d&lt;0,_xlpm.d,0)),IF(_xlpm.l=0,100,100-100/(1+_xlpm.g/_xlpm.l))))</f>
        <v/>
      </c>
      <c r="M417" s="211">
        <f>MAX($E$2:E417)</f>
        <v/>
      </c>
      <c r="N417" s="341">
        <f>E417/M417-1</f>
        <v/>
      </c>
    </row>
    <row r="418">
      <c r="A418" s="424" t="n">
        <v>45068</v>
      </c>
      <c r="B418" s="425" t="n">
        <v>104.5598699307197</v>
      </c>
      <c r="C418" s="425" t="n">
        <v>104.5598699307197</v>
      </c>
      <c r="D418" s="425" t="n">
        <v>101.9377642385638</v>
      </c>
      <c r="E418" s="425" t="n">
        <v>102.0860137939453</v>
      </c>
      <c r="F418" s="207" t="n">
        <v>12710300</v>
      </c>
      <c r="G418" s="208" t="n">
        <v>0.0004060532620360213</v>
      </c>
      <c r="H418" s="209" cm="1">
        <f t="array" ref="H418">IF(ROW()&lt;3,"",E418/INDEX(E:E,ROW()-1)-1)</f>
        <v/>
      </c>
      <c r="I418" s="211">
        <f>IF(ROW()&lt;51,NA(),AVERAGE(INDEX(E:E,ROW()-49):E418))</f>
        <v/>
      </c>
      <c r="J418" s="211">
        <f>IF(ROW()&lt;201,NA(),AVERAGE(INDEX(E:E,ROW()-199):E418))</f>
        <v/>
      </c>
      <c r="K418" s="341">
        <f>IF(ROW()&lt;22,NA(),_xlfn.STDEV.S(INDEX(H:H,ROW()-19):H418)*SQRT(252))</f>
        <v/>
      </c>
      <c r="L418" s="426" cm="1">
        <f t="array" ref="L418">IF(ROW()&lt;17,NA(),_xlfn.LET(_xlpm.d,INDEX(E:E,ROW()-13):E418-INDEX(E:E,ROW()-14):INDEX(E:E,ROW()-1),_xlpm.g,SUM(IF(_xlpm.d&gt;0,_xlpm.d,0)),_xlpm.l,-SUM(IF(_xlpm.d&lt;0,_xlpm.d,0)),IF(_xlpm.l=0,100,100-100/(1+_xlpm.g/_xlpm.l))))</f>
        <v/>
      </c>
      <c r="M418" s="211">
        <f>MAX($E$2:E418)</f>
        <v/>
      </c>
      <c r="N418" s="341">
        <f>E418/M418-1</f>
        <v/>
      </c>
    </row>
    <row r="419">
      <c r="A419" s="424" t="n">
        <v>45069</v>
      </c>
      <c r="B419" s="425" t="n">
        <v>101.7061199396456</v>
      </c>
      <c r="C419" s="425" t="n">
        <v>102.9013553577854</v>
      </c>
      <c r="D419" s="425" t="n">
        <v>100.2421945985479</v>
      </c>
      <c r="E419" s="425" t="n">
        <v>100.7888488769531</v>
      </c>
      <c r="F419" s="207" t="n">
        <v>11790400</v>
      </c>
      <c r="G419" s="208" t="n">
        <v>-0.01122278138542143</v>
      </c>
      <c r="H419" s="209" cm="1">
        <f t="array" ref="H419">IF(ROW()&lt;3,"",E419/INDEX(E:E,ROW()-1)-1)</f>
        <v/>
      </c>
      <c r="I419" s="211">
        <f>IF(ROW()&lt;51,NA(),AVERAGE(INDEX(E:E,ROW()-49):E419))</f>
        <v/>
      </c>
      <c r="J419" s="211">
        <f>IF(ROW()&lt;201,NA(),AVERAGE(INDEX(E:E,ROW()-199):E419))</f>
        <v/>
      </c>
      <c r="K419" s="341">
        <f>IF(ROW()&lt;22,NA(),_xlfn.STDEV.S(INDEX(H:H,ROW()-19):H419)*SQRT(252))</f>
        <v/>
      </c>
      <c r="L419" s="426" cm="1">
        <f t="array" ref="L419">IF(ROW()&lt;17,NA(),_xlfn.LET(_xlpm.d,INDEX(E:E,ROW()-13):E419-INDEX(E:E,ROW()-14):INDEX(E:E,ROW()-1),_xlpm.g,SUM(IF(_xlpm.d&gt;0,_xlpm.d,0)),_xlpm.l,-SUM(IF(_xlpm.d&lt;0,_xlpm.d,0)),IF(_xlpm.l=0,100,100-100/(1+_xlpm.g/_xlpm.l))))</f>
        <v/>
      </c>
      <c r="M419" s="211">
        <f>MAX($E$2:E419)</f>
        <v/>
      </c>
      <c r="N419" s="341">
        <f>E419/M419-1</f>
        <v/>
      </c>
    </row>
    <row r="420">
      <c r="A420" s="424" t="n">
        <v>45070</v>
      </c>
      <c r="B420" s="425" t="n">
        <v>100.9927032863041</v>
      </c>
      <c r="C420" s="425" t="n">
        <v>101.0853557287444</v>
      </c>
      <c r="D420" s="425" t="n">
        <v>99.32493104666537</v>
      </c>
      <c r="E420" s="425" t="n">
        <v>100.3348617553711</v>
      </c>
      <c r="F420" s="207" t="n">
        <v>8503200</v>
      </c>
      <c r="G420" s="208" t="n">
        <v>-0.007244823413490864</v>
      </c>
      <c r="H420" s="209" cm="1">
        <f t="array" ref="H420">IF(ROW()&lt;3,"",E420/INDEX(E:E,ROW()-1)-1)</f>
        <v/>
      </c>
      <c r="I420" s="211">
        <f>IF(ROW()&lt;51,NA(),AVERAGE(INDEX(E:E,ROW()-49):E420))</f>
        <v/>
      </c>
      <c r="J420" s="211">
        <f>IF(ROW()&lt;201,NA(),AVERAGE(INDEX(E:E,ROW()-199):E420))</f>
        <v/>
      </c>
      <c r="K420" s="341">
        <f>IF(ROW()&lt;22,NA(),_xlfn.STDEV.S(INDEX(H:H,ROW()-19):H420)*SQRT(252))</f>
        <v/>
      </c>
      <c r="L420" s="426" cm="1">
        <f t="array" ref="L420">IF(ROW()&lt;17,NA(),_xlfn.LET(_xlpm.d,INDEX(E:E,ROW()-13):E420-INDEX(E:E,ROW()-14):INDEX(E:E,ROW()-1),_xlpm.g,SUM(IF(_xlpm.d&gt;0,_xlpm.d,0)),_xlpm.l,-SUM(IF(_xlpm.d&lt;0,_xlpm.d,0)),IF(_xlpm.l=0,100,100-100/(1+_xlpm.g/_xlpm.l))))</f>
        <v/>
      </c>
      <c r="M420" s="211">
        <f>MAX($E$2:E420)</f>
        <v/>
      </c>
      <c r="N420" s="341">
        <f>E420/M420-1</f>
        <v/>
      </c>
    </row>
    <row r="421">
      <c r="A421" s="424" t="n">
        <v>45071</v>
      </c>
      <c r="B421" s="425" t="n">
        <v>100.3904421629467</v>
      </c>
      <c r="C421" s="425" t="n">
        <v>100.9648985611761</v>
      </c>
      <c r="D421" s="425" t="n">
        <v>99.52876110006623</v>
      </c>
      <c r="E421" s="425" t="n">
        <v>99.58435821533203</v>
      </c>
      <c r="F421" s="207" t="n">
        <v>6729800</v>
      </c>
      <c r="G421" s="208" t="n">
        <v>0.008659895999991951</v>
      </c>
      <c r="H421" s="209" cm="1">
        <f t="array" ref="H421">IF(ROW()&lt;3,"",E421/INDEX(E:E,ROW()-1)-1)</f>
        <v/>
      </c>
      <c r="I421" s="211">
        <f>IF(ROW()&lt;51,NA(),AVERAGE(INDEX(E:E,ROW()-49):E421))</f>
        <v/>
      </c>
      <c r="J421" s="211">
        <f>IF(ROW()&lt;201,NA(),AVERAGE(INDEX(E:E,ROW()-199):E421))</f>
        <v/>
      </c>
      <c r="K421" s="341">
        <f>IF(ROW()&lt;22,NA(),_xlfn.STDEV.S(INDEX(H:H,ROW()-19):H421)*SQRT(252))</f>
        <v/>
      </c>
      <c r="L421" s="426" cm="1">
        <f t="array" ref="L421">IF(ROW()&lt;17,NA(),_xlfn.LET(_xlpm.d,INDEX(E:E,ROW()-13):E421-INDEX(E:E,ROW()-14):INDEX(E:E,ROW()-1),_xlpm.g,SUM(IF(_xlpm.d&gt;0,_xlpm.d,0)),_xlpm.l,-SUM(IF(_xlpm.d&lt;0,_xlpm.d,0)),IF(_xlpm.l=0,100,100-100/(1+_xlpm.g/_xlpm.l))))</f>
        <v/>
      </c>
      <c r="M421" s="211">
        <f>MAX($E$2:E421)</f>
        <v/>
      </c>
      <c r="N421" s="341">
        <f>E421/M421-1</f>
        <v/>
      </c>
    </row>
    <row r="422">
      <c r="A422" s="424" t="n">
        <v>45072</v>
      </c>
      <c r="B422" s="425" t="n">
        <v>99.13960791115187</v>
      </c>
      <c r="C422" s="425" t="n">
        <v>100.483085751536</v>
      </c>
      <c r="D422" s="425" t="n">
        <v>99.13960791115187</v>
      </c>
      <c r="E422" s="425" t="n">
        <v>99.61214447021484</v>
      </c>
      <c r="F422" s="207" t="n">
        <v>7911200</v>
      </c>
      <c r="G422" s="208" t="n">
        <v>0.01295076788024474</v>
      </c>
      <c r="H422" s="209" cm="1">
        <f t="array" ref="H422">IF(ROW()&lt;3,"",E422/INDEX(E:E,ROW()-1)-1)</f>
        <v/>
      </c>
      <c r="I422" s="211">
        <f>IF(ROW()&lt;51,NA(),AVERAGE(INDEX(E:E,ROW()-49):E422))</f>
        <v/>
      </c>
      <c r="J422" s="211">
        <f>IF(ROW()&lt;201,NA(),AVERAGE(INDEX(E:E,ROW()-199):E422))</f>
        <v/>
      </c>
      <c r="K422" s="341">
        <f>IF(ROW()&lt;22,NA(),_xlfn.STDEV.S(INDEX(H:H,ROW()-19):H422)*SQRT(252))</f>
        <v/>
      </c>
      <c r="L422" s="426" cm="1">
        <f t="array" ref="L422">IF(ROW()&lt;17,NA(),_xlfn.LET(_xlpm.d,INDEX(E:E,ROW()-13):E422-INDEX(E:E,ROW()-14):INDEX(E:E,ROW()-1),_xlpm.g,SUM(IF(_xlpm.d&gt;0,_xlpm.d,0)),_xlpm.l,-SUM(IF(_xlpm.d&lt;0,_xlpm.d,0)),IF(_xlpm.l=0,100,100-100/(1+_xlpm.g/_xlpm.l))))</f>
        <v/>
      </c>
      <c r="M422" s="211">
        <f>MAX($E$2:E422)</f>
        <v/>
      </c>
      <c r="N422" s="341">
        <f>E422/M422-1</f>
        <v/>
      </c>
    </row>
    <row r="423">
      <c r="A423" s="424" t="n">
        <v>45076</v>
      </c>
      <c r="B423" s="425" t="n">
        <v>100.4367745235926</v>
      </c>
      <c r="C423" s="425" t="n">
        <v>100.8815090437081</v>
      </c>
      <c r="D423" s="425" t="n">
        <v>98.46324300018098</v>
      </c>
      <c r="E423" s="425" t="n">
        <v>98.69487762451172</v>
      </c>
      <c r="F423" s="207" t="n">
        <v>9335200</v>
      </c>
      <c r="G423" s="208" t="n">
        <v>0.0003807198374765619</v>
      </c>
      <c r="H423" s="209" cm="1">
        <f t="array" ref="H423">IF(ROW()&lt;3,"",E423/INDEX(E:E,ROW()-1)-1)</f>
        <v/>
      </c>
      <c r="I423" s="211">
        <f>IF(ROW()&lt;51,NA(),AVERAGE(INDEX(E:E,ROW()-49):E423))</f>
        <v/>
      </c>
      <c r="J423" s="211">
        <f>IF(ROW()&lt;201,NA(),AVERAGE(INDEX(E:E,ROW()-199):E423))</f>
        <v/>
      </c>
      <c r="K423" s="341">
        <f>IF(ROW()&lt;22,NA(),_xlfn.STDEV.S(INDEX(H:H,ROW()-19):H423)*SQRT(252))</f>
        <v/>
      </c>
      <c r="L423" s="426" cm="1">
        <f t="array" ref="L423">IF(ROW()&lt;17,NA(),_xlfn.LET(_xlpm.d,INDEX(E:E,ROW()-13):E423-INDEX(E:E,ROW()-14):INDEX(E:E,ROW()-1),_xlpm.g,SUM(IF(_xlpm.d&gt;0,_xlpm.d,0)),_xlpm.l,-SUM(IF(_xlpm.d&lt;0,_xlpm.d,0)),IF(_xlpm.l=0,100,100-100/(1+_xlpm.g/_xlpm.l))))</f>
        <v/>
      </c>
      <c r="M423" s="211">
        <f>MAX($E$2:E423)</f>
        <v/>
      </c>
      <c r="N423" s="341">
        <f>E423/M423-1</f>
        <v/>
      </c>
    </row>
    <row r="424">
      <c r="A424" s="424" t="n">
        <v>45077</v>
      </c>
      <c r="B424" s="425" t="n">
        <v>97.93509973617697</v>
      </c>
      <c r="C424" s="425" t="n">
        <v>98.3705738871197</v>
      </c>
      <c r="D424" s="425" t="n">
        <v>97.12901590427803</v>
      </c>
      <c r="E424" s="425" t="n">
        <v>97.52742767333984</v>
      </c>
      <c r="F424" s="207" t="n">
        <v>21465200</v>
      </c>
      <c r="G424" s="208" t="n">
        <v>-0.00554507632207879</v>
      </c>
      <c r="H424" s="209" cm="1">
        <f t="array" ref="H424">IF(ROW()&lt;3,"",E424/INDEX(E:E,ROW()-1)-1)</f>
        <v/>
      </c>
      <c r="I424" s="211">
        <f>IF(ROW()&lt;51,NA(),AVERAGE(INDEX(E:E,ROW()-49):E424))</f>
        <v/>
      </c>
      <c r="J424" s="211">
        <f>IF(ROW()&lt;201,NA(),AVERAGE(INDEX(E:E,ROW()-199):E424))</f>
        <v/>
      </c>
      <c r="K424" s="341">
        <f>IF(ROW()&lt;22,NA(),_xlfn.STDEV.S(INDEX(H:H,ROW()-19):H424)*SQRT(252))</f>
        <v/>
      </c>
      <c r="L424" s="426" cm="1">
        <f t="array" ref="L424">IF(ROW()&lt;17,NA(),_xlfn.LET(_xlpm.d,INDEX(E:E,ROW()-13):E424-INDEX(E:E,ROW()-14):INDEX(E:E,ROW()-1),_xlpm.g,SUM(IF(_xlpm.d&gt;0,_xlpm.d,0)),_xlpm.l,-SUM(IF(_xlpm.d&lt;0,_xlpm.d,0)),IF(_xlpm.l=0,100,100-100/(1+_xlpm.g/_xlpm.l))))</f>
        <v/>
      </c>
      <c r="M424" s="211">
        <f>MAX($E$2:E424)</f>
        <v/>
      </c>
      <c r="N424" s="341">
        <f>E424/M424-1</f>
        <v/>
      </c>
    </row>
    <row r="425">
      <c r="A425" s="424" t="n">
        <v>45078</v>
      </c>
      <c r="B425" s="425" t="n">
        <v>96.52678806462343</v>
      </c>
      <c r="C425" s="425" t="n">
        <v>96.91593256570384</v>
      </c>
      <c r="D425" s="425" t="n">
        <v>95.340819831467</v>
      </c>
      <c r="E425" s="425" t="n">
        <v>96.01718902587891</v>
      </c>
      <c r="F425" s="207" t="n">
        <v>12025200</v>
      </c>
      <c r="G425" s="208" t="n">
        <v>0.009500909525219869</v>
      </c>
      <c r="H425" s="209" cm="1">
        <f t="array" ref="H425">IF(ROW()&lt;3,"",E425/INDEX(E:E,ROW()-1)-1)</f>
        <v/>
      </c>
      <c r="I425" s="211">
        <f>IF(ROW()&lt;51,NA(),AVERAGE(INDEX(E:E,ROW()-49):E425))</f>
        <v/>
      </c>
      <c r="J425" s="211">
        <f>IF(ROW()&lt;201,NA(),AVERAGE(INDEX(E:E,ROW()-199):E425))</f>
        <v/>
      </c>
      <c r="K425" s="341">
        <f>IF(ROW()&lt;22,NA(),_xlfn.STDEV.S(INDEX(H:H,ROW()-19):H425)*SQRT(252))</f>
        <v/>
      </c>
      <c r="L425" s="426" cm="1">
        <f t="array" ref="L425">IF(ROW()&lt;17,NA(),_xlfn.LET(_xlpm.d,INDEX(E:E,ROW()-13):E425-INDEX(E:E,ROW()-14):INDEX(E:E,ROW()-1),_xlpm.g,SUM(IF(_xlpm.d&gt;0,_xlpm.d,0)),_xlpm.l,-SUM(IF(_xlpm.d&lt;0,_xlpm.d,0)),IF(_xlpm.l=0,100,100-100/(1+_xlpm.g/_xlpm.l))))</f>
        <v/>
      </c>
      <c r="M425" s="211">
        <f>MAX($E$2:E425)</f>
        <v/>
      </c>
      <c r="N425" s="341">
        <f>E425/M425-1</f>
        <v/>
      </c>
    </row>
    <row r="426">
      <c r="A426" s="424" t="n">
        <v>45079</v>
      </c>
      <c r="B426" s="425" t="n">
        <v>100.0515851183081</v>
      </c>
      <c r="C426" s="425" t="n">
        <v>100.7859607186095</v>
      </c>
      <c r="D426" s="425" t="n">
        <v>98.65720268304608</v>
      </c>
      <c r="E426" s="425" t="n">
        <v>100.1910247802734</v>
      </c>
      <c r="F426" s="207" t="n">
        <v>11838200</v>
      </c>
      <c r="G426" s="208" t="n">
        <v>0.01446130991511341</v>
      </c>
      <c r="H426" s="209" cm="1">
        <f t="array" ref="H426">IF(ROW()&lt;3,"",E426/INDEX(E:E,ROW()-1)-1)</f>
        <v/>
      </c>
      <c r="I426" s="211">
        <f>IF(ROW()&lt;51,NA(),AVERAGE(INDEX(E:E,ROW()-49):E426))</f>
        <v/>
      </c>
      <c r="J426" s="211">
        <f>IF(ROW()&lt;201,NA(),AVERAGE(INDEX(E:E,ROW()-199):E426))</f>
        <v/>
      </c>
      <c r="K426" s="341">
        <f>IF(ROW()&lt;22,NA(),_xlfn.STDEV.S(INDEX(H:H,ROW()-19):H426)*SQRT(252))</f>
        <v/>
      </c>
      <c r="L426" s="426" cm="1">
        <f t="array" ref="L426">IF(ROW()&lt;17,NA(),_xlfn.LET(_xlpm.d,INDEX(E:E,ROW()-13):E426-INDEX(E:E,ROW()-14):INDEX(E:E,ROW()-1),_xlpm.g,SUM(IF(_xlpm.d&gt;0,_xlpm.d,0)),_xlpm.l,-SUM(IF(_xlpm.d&lt;0,_xlpm.d,0)),IF(_xlpm.l=0,100,100-100/(1+_xlpm.g/_xlpm.l))))</f>
        <v/>
      </c>
      <c r="M426" s="211">
        <f>MAX($E$2:E426)</f>
        <v/>
      </c>
      <c r="N426" s="341">
        <f>E426/M426-1</f>
        <v/>
      </c>
    </row>
    <row r="427">
      <c r="A427" s="424" t="n">
        <v>45082</v>
      </c>
      <c r="B427" s="425" t="n">
        <v>100.283991217394</v>
      </c>
      <c r="C427" s="425" t="n">
        <v>100.283991217394</v>
      </c>
      <c r="D427" s="425" t="n">
        <v>97.77410544488639</v>
      </c>
      <c r="E427" s="425" t="n">
        <v>97.79269409179688</v>
      </c>
      <c r="F427" s="207" t="n">
        <v>7434000</v>
      </c>
      <c r="G427" s="208" t="n">
        <v>-0.001916349925436767</v>
      </c>
      <c r="H427" s="209" cm="1">
        <f t="array" ref="H427">IF(ROW()&lt;3,"",E427/INDEX(E:E,ROW()-1)-1)</f>
        <v/>
      </c>
      <c r="I427" s="211">
        <f>IF(ROW()&lt;51,NA(),AVERAGE(INDEX(E:E,ROW()-49):E427))</f>
        <v/>
      </c>
      <c r="J427" s="211">
        <f>IF(ROW()&lt;201,NA(),AVERAGE(INDEX(E:E,ROW()-199):E427))</f>
        <v/>
      </c>
      <c r="K427" s="341">
        <f>IF(ROW()&lt;22,NA(),_xlfn.STDEV.S(INDEX(H:H,ROW()-19):H427)*SQRT(252))</f>
        <v/>
      </c>
      <c r="L427" s="426" cm="1">
        <f t="array" ref="L427">IF(ROW()&lt;17,NA(),_xlfn.LET(_xlpm.d,INDEX(E:E,ROW()-13):E427-INDEX(E:E,ROW()-14):INDEX(E:E,ROW()-1),_xlpm.g,SUM(IF(_xlpm.d&gt;0,_xlpm.d,0)),_xlpm.l,-SUM(IF(_xlpm.d&lt;0,_xlpm.d,0)),IF(_xlpm.l=0,100,100-100/(1+_xlpm.g/_xlpm.l))))</f>
        <v/>
      </c>
      <c r="M427" s="211">
        <f>MAX($E$2:E427)</f>
        <v/>
      </c>
      <c r="N427" s="341">
        <f>E427/M427-1</f>
        <v/>
      </c>
    </row>
    <row r="428">
      <c r="A428" s="424" t="n">
        <v>45083</v>
      </c>
      <c r="B428" s="425" t="n">
        <v>98.06227370251892</v>
      </c>
      <c r="C428" s="425" t="n">
        <v>99.23355701705984</v>
      </c>
      <c r="D428" s="425" t="n">
        <v>97.79269222817716</v>
      </c>
      <c r="E428" s="425" t="n">
        <v>98.71298980712891</v>
      </c>
      <c r="F428" s="207" t="n">
        <v>7896300</v>
      </c>
      <c r="G428" s="208" t="n">
        <v>0.002177495999005963</v>
      </c>
      <c r="H428" s="209" cm="1">
        <f t="array" ref="H428">IF(ROW()&lt;3,"",E428/INDEX(E:E,ROW()-1)-1)</f>
        <v/>
      </c>
      <c r="I428" s="211">
        <f>IF(ROW()&lt;51,NA(),AVERAGE(INDEX(E:E,ROW()-49):E428))</f>
        <v/>
      </c>
      <c r="J428" s="211">
        <f>IF(ROW()&lt;201,NA(),AVERAGE(INDEX(E:E,ROW()-199):E428))</f>
        <v/>
      </c>
      <c r="K428" s="341">
        <f>IF(ROW()&lt;22,NA(),_xlfn.STDEV.S(INDEX(H:H,ROW()-19):H428)*SQRT(252))</f>
        <v/>
      </c>
      <c r="L428" s="426" cm="1">
        <f t="array" ref="L428">IF(ROW()&lt;17,NA(),_xlfn.LET(_xlpm.d,INDEX(E:E,ROW()-13):E428-INDEX(E:E,ROW()-14):INDEX(E:E,ROW()-1),_xlpm.g,SUM(IF(_xlpm.d&gt;0,_xlpm.d,0)),_xlpm.l,-SUM(IF(_xlpm.d&lt;0,_xlpm.d,0)),IF(_xlpm.l=0,100,100-100/(1+_xlpm.g/_xlpm.l))))</f>
        <v/>
      </c>
      <c r="M428" s="211">
        <f>MAX($E$2:E428)</f>
        <v/>
      </c>
      <c r="N428" s="341">
        <f>E428/M428-1</f>
        <v/>
      </c>
    </row>
    <row r="429">
      <c r="A429" s="424" t="n">
        <v>45084</v>
      </c>
      <c r="B429" s="425" t="n">
        <v>98.5735353219073</v>
      </c>
      <c r="C429" s="425" t="n">
        <v>100.6186265611878</v>
      </c>
      <c r="D429" s="425" t="n">
        <v>97.99718807452687</v>
      </c>
      <c r="E429" s="425" t="n">
        <v>99.54959869384766</v>
      </c>
      <c r="F429" s="207" t="n">
        <v>11123900</v>
      </c>
      <c r="G429" s="208" t="n">
        <v>-0.003457822128319132</v>
      </c>
      <c r="H429" s="209" cm="1">
        <f t="array" ref="H429">IF(ROW()&lt;3,"",E429/INDEX(E:E,ROW()-1)-1)</f>
        <v/>
      </c>
      <c r="I429" s="211">
        <f>IF(ROW()&lt;51,NA(),AVERAGE(INDEX(E:E,ROW()-49):E429))</f>
        <v/>
      </c>
      <c r="J429" s="211">
        <f>IF(ROW()&lt;201,NA(),AVERAGE(INDEX(E:E,ROW()-199):E429))</f>
        <v/>
      </c>
      <c r="K429" s="341">
        <f>IF(ROW()&lt;22,NA(),_xlfn.STDEV.S(INDEX(H:H,ROW()-19):H429)*SQRT(252))</f>
        <v/>
      </c>
      <c r="L429" s="426" cm="1">
        <f t="array" ref="L429">IF(ROW()&lt;17,NA(),_xlfn.LET(_xlpm.d,INDEX(E:E,ROW()-13):E429-INDEX(E:E,ROW()-14):INDEX(E:E,ROW()-1),_xlpm.g,SUM(IF(_xlpm.d&gt;0,_xlpm.d,0)),_xlpm.l,-SUM(IF(_xlpm.d&lt;0,_xlpm.d,0)),IF(_xlpm.l=0,100,100-100/(1+_xlpm.g/_xlpm.l))))</f>
        <v/>
      </c>
      <c r="M429" s="211">
        <f>MAX($E$2:E429)</f>
        <v/>
      </c>
      <c r="N429" s="341">
        <f>E429/M429-1</f>
        <v/>
      </c>
    </row>
    <row r="430">
      <c r="A430" s="424" t="n">
        <v>45085</v>
      </c>
      <c r="B430" s="425" t="n">
        <v>99.61468579082641</v>
      </c>
      <c r="C430" s="425" t="n">
        <v>99.9493310545389</v>
      </c>
      <c r="D430" s="425" t="n">
        <v>98.2295941152405</v>
      </c>
      <c r="E430" s="425" t="n">
        <v>98.72227478027344</v>
      </c>
      <c r="F430" s="207" t="n">
        <v>9137600</v>
      </c>
      <c r="G430" s="208" t="n">
        <v>0.006048628444021542</v>
      </c>
      <c r="H430" s="209" cm="1">
        <f t="array" ref="H430">IF(ROW()&lt;3,"",E430/INDEX(E:E,ROW()-1)-1)</f>
        <v/>
      </c>
      <c r="I430" s="211">
        <f>IF(ROW()&lt;51,NA(),AVERAGE(INDEX(E:E,ROW()-49):E430))</f>
        <v/>
      </c>
      <c r="J430" s="211">
        <f>IF(ROW()&lt;201,NA(),AVERAGE(INDEX(E:E,ROW()-199):E430))</f>
        <v/>
      </c>
      <c r="K430" s="341">
        <f>IF(ROW()&lt;22,NA(),_xlfn.STDEV.S(INDEX(H:H,ROW()-19):H430)*SQRT(252))</f>
        <v/>
      </c>
      <c r="L430" s="426" cm="1">
        <f t="array" ref="L430">IF(ROW()&lt;17,NA(),_xlfn.LET(_xlpm.d,INDEX(E:E,ROW()-13):E430-INDEX(E:E,ROW()-14):INDEX(E:E,ROW()-1),_xlpm.g,SUM(IF(_xlpm.d&gt;0,_xlpm.d,0)),_xlpm.l,-SUM(IF(_xlpm.d&lt;0,_xlpm.d,0)),IF(_xlpm.l=0,100,100-100/(1+_xlpm.g/_xlpm.l))))</f>
        <v/>
      </c>
      <c r="M430" s="211">
        <f>MAX($E$2:E430)</f>
        <v/>
      </c>
      <c r="N430" s="341">
        <f>E430/M430-1</f>
        <v/>
      </c>
    </row>
    <row r="431">
      <c r="A431" s="424" t="n">
        <v>45086</v>
      </c>
      <c r="B431" s="425" t="n">
        <v>98.45270936799621</v>
      </c>
      <c r="C431" s="425" t="n">
        <v>98.79665253181908</v>
      </c>
      <c r="D431" s="425" t="n">
        <v>97.93213504912943</v>
      </c>
      <c r="E431" s="425" t="n">
        <v>98.40622711181641</v>
      </c>
      <c r="F431" s="207" t="n">
        <v>5795200</v>
      </c>
      <c r="G431" s="208" t="n">
        <v>0.001794334958172827</v>
      </c>
      <c r="H431" s="209" cm="1">
        <f t="array" ref="H431">IF(ROW()&lt;3,"",E431/INDEX(E:E,ROW()-1)-1)</f>
        <v/>
      </c>
      <c r="I431" s="211">
        <f>IF(ROW()&lt;51,NA(),AVERAGE(INDEX(E:E,ROW()-49):E431))</f>
        <v/>
      </c>
      <c r="J431" s="211">
        <f>IF(ROW()&lt;201,NA(),AVERAGE(INDEX(E:E,ROW()-199):E431))</f>
        <v/>
      </c>
      <c r="K431" s="341">
        <f>IF(ROW()&lt;22,NA(),_xlfn.STDEV.S(INDEX(H:H,ROW()-19):H431)*SQRT(252))</f>
        <v/>
      </c>
      <c r="L431" s="426" cm="1">
        <f t="array" ref="L431">IF(ROW()&lt;17,NA(),_xlfn.LET(_xlpm.d,INDEX(E:E,ROW()-13):E431-INDEX(E:E,ROW()-14):INDEX(E:E,ROW()-1),_xlpm.g,SUM(IF(_xlpm.d&gt;0,_xlpm.d,0)),_xlpm.l,-SUM(IF(_xlpm.d&lt;0,_xlpm.d,0)),IF(_xlpm.l=0,100,100-100/(1+_xlpm.g/_xlpm.l))))</f>
        <v/>
      </c>
      <c r="M431" s="211">
        <f>MAX($E$2:E431)</f>
        <v/>
      </c>
      <c r="N431" s="341">
        <f>E431/M431-1</f>
        <v/>
      </c>
    </row>
    <row r="432">
      <c r="A432" s="424" t="n">
        <v>45089</v>
      </c>
      <c r="B432" s="425" t="n">
        <v>98.80593622638639</v>
      </c>
      <c r="C432" s="425" t="n">
        <v>99.3265033783739</v>
      </c>
      <c r="D432" s="425" t="n">
        <v>97.23492980988696</v>
      </c>
      <c r="E432" s="425" t="n">
        <v>99.30791473388672</v>
      </c>
      <c r="F432" s="207" t="n">
        <v>7964600</v>
      </c>
      <c r="G432" s="208" t="n">
        <v>0.009071860003401655</v>
      </c>
      <c r="H432" s="209" cm="1">
        <f t="array" ref="H432">IF(ROW()&lt;3,"",E432/INDEX(E:E,ROW()-1)-1)</f>
        <v/>
      </c>
      <c r="I432" s="211">
        <f>IF(ROW()&lt;51,NA(),AVERAGE(INDEX(E:E,ROW()-49):E432))</f>
        <v/>
      </c>
      <c r="J432" s="211">
        <f>IF(ROW()&lt;201,NA(),AVERAGE(INDEX(E:E,ROW()-199):E432))</f>
        <v/>
      </c>
      <c r="K432" s="341">
        <f>IF(ROW()&lt;22,NA(),_xlfn.STDEV.S(INDEX(H:H,ROW()-19):H432)*SQRT(252))</f>
        <v/>
      </c>
      <c r="L432" s="426" cm="1">
        <f t="array" ref="L432">IF(ROW()&lt;17,NA(),_xlfn.LET(_xlpm.d,INDEX(E:E,ROW()-13):E432-INDEX(E:E,ROW()-14):INDEX(E:E,ROW()-1),_xlpm.g,SUM(IF(_xlpm.d&gt;0,_xlpm.d,0)),_xlpm.l,-SUM(IF(_xlpm.d&lt;0,_xlpm.d,0)),IF(_xlpm.l=0,100,100-100/(1+_xlpm.g/_xlpm.l))))</f>
        <v/>
      </c>
      <c r="M432" s="211">
        <f>MAX($E$2:E432)</f>
        <v/>
      </c>
      <c r="N432" s="341">
        <f>E432/M432-1</f>
        <v/>
      </c>
    </row>
    <row r="433">
      <c r="A433" s="424" t="n">
        <v>45090</v>
      </c>
      <c r="B433" s="425" t="n">
        <v>99.59609646926395</v>
      </c>
      <c r="C433" s="425" t="n">
        <v>99.91216020007015</v>
      </c>
      <c r="D433" s="425" t="n">
        <v>98.80594778054304</v>
      </c>
      <c r="E433" s="425" t="n">
        <v>99.26144409179688</v>
      </c>
      <c r="F433" s="207" t="n">
        <v>8460500</v>
      </c>
      <c r="G433" s="208" t="n">
        <v>0.006593019838354142</v>
      </c>
      <c r="H433" s="209" cm="1">
        <f t="array" ref="H433">IF(ROW()&lt;3,"",E433/INDEX(E:E,ROW()-1)-1)</f>
        <v/>
      </c>
      <c r="I433" s="211">
        <f>IF(ROW()&lt;51,NA(),AVERAGE(INDEX(E:E,ROW()-49):E433))</f>
        <v/>
      </c>
      <c r="J433" s="211">
        <f>IF(ROW()&lt;201,NA(),AVERAGE(INDEX(E:E,ROW()-199):E433))</f>
        <v/>
      </c>
      <c r="K433" s="341">
        <f>IF(ROW()&lt;22,NA(),_xlfn.STDEV.S(INDEX(H:H,ROW()-19):H433)*SQRT(252))</f>
        <v/>
      </c>
      <c r="L433" s="426" cm="1">
        <f t="array" ref="L433">IF(ROW()&lt;17,NA(),_xlfn.LET(_xlpm.d,INDEX(E:E,ROW()-13):E433-INDEX(E:E,ROW()-14):INDEX(E:E,ROW()-1),_xlpm.g,SUM(IF(_xlpm.d&gt;0,_xlpm.d,0)),_xlpm.l,-SUM(IF(_xlpm.d&lt;0,_xlpm.d,0)),IF(_xlpm.l=0,100,100-100/(1+_xlpm.g/_xlpm.l))))</f>
        <v/>
      </c>
      <c r="M433" s="211">
        <f>MAX($E$2:E433)</f>
        <v/>
      </c>
      <c r="N433" s="341">
        <f>E433/M433-1</f>
        <v/>
      </c>
    </row>
    <row r="434">
      <c r="A434" s="424" t="n">
        <v>45091</v>
      </c>
      <c r="B434" s="425" t="n">
        <v>99.91216966174426</v>
      </c>
      <c r="C434" s="425" t="n">
        <v>105.4153315800466</v>
      </c>
      <c r="D434" s="425" t="n">
        <v>99.91216966174426</v>
      </c>
      <c r="E434" s="425" t="n">
        <v>104.9133529663086</v>
      </c>
      <c r="F434" s="207" t="n">
        <v>17415500</v>
      </c>
      <c r="G434" s="208" t="n">
        <v>0.001190680313357895</v>
      </c>
      <c r="H434" s="209" cm="1">
        <f t="array" ref="H434">IF(ROW()&lt;3,"",E434/INDEX(E:E,ROW()-1)-1)</f>
        <v/>
      </c>
      <c r="I434" s="211">
        <f>IF(ROW()&lt;51,NA(),AVERAGE(INDEX(E:E,ROW()-49):E434))</f>
        <v/>
      </c>
      <c r="J434" s="211">
        <f>IF(ROW()&lt;201,NA(),AVERAGE(INDEX(E:E,ROW()-199):E434))</f>
        <v/>
      </c>
      <c r="K434" s="341">
        <f>IF(ROW()&lt;22,NA(),_xlfn.STDEV.S(INDEX(H:H,ROW()-19):H434)*SQRT(252))</f>
        <v/>
      </c>
      <c r="L434" s="426" cm="1">
        <f t="array" ref="L434">IF(ROW()&lt;17,NA(),_xlfn.LET(_xlpm.d,INDEX(E:E,ROW()-13):E434-INDEX(E:E,ROW()-14):INDEX(E:E,ROW()-1),_xlpm.g,SUM(IF(_xlpm.d&gt;0,_xlpm.d,0)),_xlpm.l,-SUM(IF(_xlpm.d&lt;0,_xlpm.d,0)),IF(_xlpm.l=0,100,100-100/(1+_xlpm.g/_xlpm.l))))</f>
        <v/>
      </c>
      <c r="M434" s="211">
        <f>MAX($E$2:E434)</f>
        <v/>
      </c>
      <c r="N434" s="341">
        <f>E434/M434-1</f>
        <v/>
      </c>
    </row>
    <row r="435">
      <c r="A435" s="424" t="n">
        <v>45092</v>
      </c>
      <c r="B435" s="425" t="n">
        <v>103.9558551212439</v>
      </c>
      <c r="C435" s="425" t="n">
        <v>104.8761454978089</v>
      </c>
      <c r="D435" s="425" t="n">
        <v>102.4034444545081</v>
      </c>
      <c r="E435" s="425" t="n">
        <v>104.4950180053711</v>
      </c>
      <c r="F435" s="207" t="n">
        <v>10374200</v>
      </c>
      <c r="G435" s="208" t="n">
        <v>0.01239774474314492</v>
      </c>
      <c r="H435" s="209" cm="1">
        <f t="array" ref="H435">IF(ROW()&lt;3,"",E435/INDEX(E:E,ROW()-1)-1)</f>
        <v/>
      </c>
      <c r="I435" s="211">
        <f>IF(ROW()&lt;51,NA(),AVERAGE(INDEX(E:E,ROW()-49):E435))</f>
        <v/>
      </c>
      <c r="J435" s="211">
        <f>IF(ROW()&lt;201,NA(),AVERAGE(INDEX(E:E,ROW()-199):E435))</f>
        <v/>
      </c>
      <c r="K435" s="341">
        <f>IF(ROW()&lt;22,NA(),_xlfn.STDEV.S(INDEX(H:H,ROW()-19):H435)*SQRT(252))</f>
        <v/>
      </c>
      <c r="L435" s="426" cm="1">
        <f t="array" ref="L435">IF(ROW()&lt;17,NA(),_xlfn.LET(_xlpm.d,INDEX(E:E,ROW()-13):E435-INDEX(E:E,ROW()-14):INDEX(E:E,ROW()-1),_xlpm.g,SUM(IF(_xlpm.d&gt;0,_xlpm.d,0)),_xlpm.l,-SUM(IF(_xlpm.d&lt;0,_xlpm.d,0)),IF(_xlpm.l=0,100,100-100/(1+_xlpm.g/_xlpm.l))))</f>
        <v/>
      </c>
      <c r="M435" s="211">
        <f>MAX($E$2:E435)</f>
        <v/>
      </c>
      <c r="N435" s="341">
        <f>E435/M435-1</f>
        <v/>
      </c>
    </row>
    <row r="436">
      <c r="A436" s="424" t="n">
        <v>45093</v>
      </c>
      <c r="B436" s="425" t="n">
        <v>105.9730688207813</v>
      </c>
      <c r="C436" s="425" t="n">
        <v>106.6795579320681</v>
      </c>
      <c r="D436" s="425" t="n">
        <v>105.0992535276686</v>
      </c>
      <c r="E436" s="425" t="n">
        <v>105.5919342041016</v>
      </c>
      <c r="F436" s="207" t="n">
        <v>14445500</v>
      </c>
      <c r="G436" s="208" t="n">
        <v>-0.003406214175033173</v>
      </c>
      <c r="H436" s="209" cm="1">
        <f t="array" ref="H436">IF(ROW()&lt;3,"",E436/INDEX(E:E,ROW()-1)-1)</f>
        <v/>
      </c>
      <c r="I436" s="211">
        <f>IF(ROW()&lt;51,NA(),AVERAGE(INDEX(E:E,ROW()-49):E436))</f>
        <v/>
      </c>
      <c r="J436" s="211">
        <f>IF(ROW()&lt;201,NA(),AVERAGE(INDEX(E:E,ROW()-199):E436))</f>
        <v/>
      </c>
      <c r="K436" s="341">
        <f>IF(ROW()&lt;22,NA(),_xlfn.STDEV.S(INDEX(H:H,ROW()-19):H436)*SQRT(252))</f>
        <v/>
      </c>
      <c r="L436" s="426" cm="1">
        <f t="array" ref="L436">IF(ROW()&lt;17,NA(),_xlfn.LET(_xlpm.d,INDEX(E:E,ROW()-13):E436-INDEX(E:E,ROW()-14):INDEX(E:E,ROW()-1),_xlpm.g,SUM(IF(_xlpm.d&gt;0,_xlpm.d,0)),_xlpm.l,-SUM(IF(_xlpm.d&lt;0,_xlpm.d,0)),IF(_xlpm.l=0,100,100-100/(1+_xlpm.g/_xlpm.l))))</f>
        <v/>
      </c>
      <c r="M436" s="211">
        <f>MAX($E$2:E436)</f>
        <v/>
      </c>
      <c r="N436" s="341">
        <f>E436/M436-1</f>
        <v/>
      </c>
    </row>
    <row r="437">
      <c r="A437" s="424" t="n">
        <v>45097</v>
      </c>
      <c r="B437" s="425" t="n">
        <v>103.5654275659206</v>
      </c>
      <c r="C437" s="425" t="n">
        <v>104.8761432754115</v>
      </c>
      <c r="D437" s="425" t="n">
        <v>101.2879321590363</v>
      </c>
      <c r="E437" s="425" t="n">
        <v>101.8270950317383</v>
      </c>
      <c r="F437" s="207" t="n">
        <v>10602400</v>
      </c>
      <c r="G437" s="208" t="n">
        <v>-0.005188169603242865</v>
      </c>
      <c r="H437" s="209" cm="1">
        <f t="array" ref="H437">IF(ROW()&lt;3,"",E437/INDEX(E:E,ROW()-1)-1)</f>
        <v/>
      </c>
      <c r="I437" s="211">
        <f>IF(ROW()&lt;51,NA(),AVERAGE(INDEX(E:E,ROW()-49):E437))</f>
        <v/>
      </c>
      <c r="J437" s="211">
        <f>IF(ROW()&lt;201,NA(),AVERAGE(INDEX(E:E,ROW()-199):E437))</f>
        <v/>
      </c>
      <c r="K437" s="341">
        <f>IF(ROW()&lt;22,NA(),_xlfn.STDEV.S(INDEX(H:H,ROW()-19):H437)*SQRT(252))</f>
        <v/>
      </c>
      <c r="L437" s="426" cm="1">
        <f t="array" ref="L437">IF(ROW()&lt;17,NA(),_xlfn.LET(_xlpm.d,INDEX(E:E,ROW()-13):E437-INDEX(E:E,ROW()-14):INDEX(E:E,ROW()-1),_xlpm.g,SUM(IF(_xlpm.d&gt;0,_xlpm.d,0)),_xlpm.l,-SUM(IF(_xlpm.d&lt;0,_xlpm.d,0)),IF(_xlpm.l=0,100,100-100/(1+_xlpm.g/_xlpm.l))))</f>
        <v/>
      </c>
      <c r="M437" s="211">
        <f>MAX($E$2:E437)</f>
        <v/>
      </c>
      <c r="N437" s="341">
        <f>E437/M437-1</f>
        <v/>
      </c>
    </row>
    <row r="438">
      <c r="A438" s="424" t="n">
        <v>45098</v>
      </c>
      <c r="B438" s="425" t="n">
        <v>101.4459815606316</v>
      </c>
      <c r="C438" s="425" t="n">
        <v>102.589378435986</v>
      </c>
      <c r="D438" s="425" t="n">
        <v>101.0555561269776</v>
      </c>
      <c r="E438" s="425" t="n">
        <v>102.2361373901367</v>
      </c>
      <c r="F438" s="207" t="n">
        <v>8377800</v>
      </c>
      <c r="G438" s="208" t="n">
        <v>-0.005123776475823294</v>
      </c>
      <c r="H438" s="209" cm="1">
        <f t="array" ref="H438">IF(ROW()&lt;3,"",E438/INDEX(E:E,ROW()-1)-1)</f>
        <v/>
      </c>
      <c r="I438" s="211">
        <f>IF(ROW()&lt;51,NA(),AVERAGE(INDEX(E:E,ROW()-49):E438))</f>
        <v/>
      </c>
      <c r="J438" s="211">
        <f>IF(ROW()&lt;201,NA(),AVERAGE(INDEX(E:E,ROW()-199):E438))</f>
        <v/>
      </c>
      <c r="K438" s="341">
        <f>IF(ROW()&lt;22,NA(),_xlfn.STDEV.S(INDEX(H:H,ROW()-19):H438)*SQRT(252))</f>
        <v/>
      </c>
      <c r="L438" s="426" cm="1">
        <f t="array" ref="L438">IF(ROW()&lt;17,NA(),_xlfn.LET(_xlpm.d,INDEX(E:E,ROW()-13):E438-INDEX(E:E,ROW()-14):INDEX(E:E,ROW()-1),_xlpm.g,SUM(IF(_xlpm.d&gt;0,_xlpm.d,0)),_xlpm.l,-SUM(IF(_xlpm.d&lt;0,_xlpm.d,0)),IF(_xlpm.l=0,100,100-100/(1+_xlpm.g/_xlpm.l))))</f>
        <v/>
      </c>
      <c r="M438" s="211">
        <f>MAX($E$2:E438)</f>
        <v/>
      </c>
      <c r="N438" s="341">
        <f>E438/M438-1</f>
        <v/>
      </c>
    </row>
    <row r="439">
      <c r="A439" s="424" t="n">
        <v>45099</v>
      </c>
      <c r="B439" s="425" t="n">
        <v>103.0169872948206</v>
      </c>
      <c r="C439" s="425" t="n">
        <v>103.4167105947398</v>
      </c>
      <c r="D439" s="425" t="n">
        <v>102.050214497523</v>
      </c>
      <c r="E439" s="425" t="n">
        <v>102.6823348999023</v>
      </c>
      <c r="F439" s="207" t="n">
        <v>6002900</v>
      </c>
      <c r="G439" s="208" t="n">
        <v>0.003609766176722262</v>
      </c>
      <c r="H439" s="209" cm="1">
        <f t="array" ref="H439">IF(ROW()&lt;3,"",E439/INDEX(E:E,ROW()-1)-1)</f>
        <v/>
      </c>
      <c r="I439" s="211">
        <f>IF(ROW()&lt;51,NA(),AVERAGE(INDEX(E:E,ROW()-49):E439))</f>
        <v/>
      </c>
      <c r="J439" s="211">
        <f>IF(ROW()&lt;201,NA(),AVERAGE(INDEX(E:E,ROW()-199):E439))</f>
        <v/>
      </c>
      <c r="K439" s="341">
        <f>IF(ROW()&lt;22,NA(),_xlfn.STDEV.S(INDEX(H:H,ROW()-19):H439)*SQRT(252))</f>
        <v/>
      </c>
      <c r="L439" s="426" cm="1">
        <f t="array" ref="L439">IF(ROW()&lt;17,NA(),_xlfn.LET(_xlpm.d,INDEX(E:E,ROW()-13):E439-INDEX(E:E,ROW()-14):INDEX(E:E,ROW()-1),_xlpm.g,SUM(IF(_xlpm.d&gt;0,_xlpm.d,0)),_xlpm.l,-SUM(IF(_xlpm.d&lt;0,_xlpm.d,0)),IF(_xlpm.l=0,100,100-100/(1+_xlpm.g/_xlpm.l))))</f>
        <v/>
      </c>
      <c r="M439" s="211">
        <f>MAX($E$2:E439)</f>
        <v/>
      </c>
      <c r="N439" s="341">
        <f>E439/M439-1</f>
        <v/>
      </c>
    </row>
    <row r="440">
      <c r="A440" s="424" t="n">
        <v>45100</v>
      </c>
      <c r="B440" s="425" t="n">
        <v>100.1631416185505</v>
      </c>
      <c r="C440" s="425" t="n">
        <v>102.5242968056801</v>
      </c>
      <c r="D440" s="425" t="n">
        <v>99.74482971085025</v>
      </c>
      <c r="E440" s="425" t="n">
        <v>101.8085098266602</v>
      </c>
      <c r="F440" s="207" t="n">
        <v>14329200</v>
      </c>
      <c r="G440" s="208" t="n">
        <v>-0.007560001908933356</v>
      </c>
      <c r="H440" s="209" cm="1">
        <f t="array" ref="H440">IF(ROW()&lt;3,"",E440/INDEX(E:E,ROW()-1)-1)</f>
        <v/>
      </c>
      <c r="I440" s="211">
        <f>IF(ROW()&lt;51,NA(),AVERAGE(INDEX(E:E,ROW()-49):E440))</f>
        <v/>
      </c>
      <c r="J440" s="211">
        <f>IF(ROW()&lt;201,NA(),AVERAGE(INDEX(E:E,ROW()-199):E440))</f>
        <v/>
      </c>
      <c r="K440" s="341">
        <f>IF(ROW()&lt;22,NA(),_xlfn.STDEV.S(INDEX(H:H,ROW()-19):H440)*SQRT(252))</f>
        <v/>
      </c>
      <c r="L440" s="426" cm="1">
        <f t="array" ref="L440">IF(ROW()&lt;17,NA(),_xlfn.LET(_xlpm.d,INDEX(E:E,ROW()-13):E440-INDEX(E:E,ROW()-14):INDEX(E:E,ROW()-1),_xlpm.g,SUM(IF(_xlpm.d&gt;0,_xlpm.d,0)),_xlpm.l,-SUM(IF(_xlpm.d&lt;0,_xlpm.d,0)),IF(_xlpm.l=0,100,100-100/(1+_xlpm.g/_xlpm.l))))</f>
        <v/>
      </c>
      <c r="M440" s="211">
        <f>MAX($E$2:E440)</f>
        <v/>
      </c>
      <c r="N440" s="341">
        <f>E440/M440-1</f>
        <v/>
      </c>
    </row>
    <row r="441">
      <c r="A441" s="424" t="n">
        <v>45103</v>
      </c>
      <c r="B441" s="425" t="n">
        <v>101.9479524156738</v>
      </c>
      <c r="C441" s="425" t="n">
        <v>104.3091076704869</v>
      </c>
      <c r="D441" s="425" t="n">
        <v>101.9479524156738</v>
      </c>
      <c r="E441" s="425" t="n">
        <v>103.872200012207</v>
      </c>
      <c r="F441" s="207" t="n">
        <v>6887100</v>
      </c>
      <c r="G441" s="208" t="n">
        <v>-0.004085844742298006</v>
      </c>
      <c r="H441" s="209" cm="1">
        <f t="array" ref="H441">IF(ROW()&lt;3,"",E441/INDEX(E:E,ROW()-1)-1)</f>
        <v/>
      </c>
      <c r="I441" s="211">
        <f>IF(ROW()&lt;51,NA(),AVERAGE(INDEX(E:E,ROW()-49):E441))</f>
        <v/>
      </c>
      <c r="J441" s="211">
        <f>IF(ROW()&lt;201,NA(),AVERAGE(INDEX(E:E,ROW()-199):E441))</f>
        <v/>
      </c>
      <c r="K441" s="341">
        <f>IF(ROW()&lt;22,NA(),_xlfn.STDEV.S(INDEX(H:H,ROW()-19):H441)*SQRT(252))</f>
        <v/>
      </c>
      <c r="L441" s="426" cm="1">
        <f t="array" ref="L441">IF(ROW()&lt;17,NA(),_xlfn.LET(_xlpm.d,INDEX(E:E,ROW()-13):E441-INDEX(E:E,ROW()-14):INDEX(E:E,ROW()-1),_xlpm.g,SUM(IF(_xlpm.d&gt;0,_xlpm.d,0)),_xlpm.l,-SUM(IF(_xlpm.d&lt;0,_xlpm.d,0)),IF(_xlpm.l=0,100,100-100/(1+_xlpm.g/_xlpm.l))))</f>
        <v/>
      </c>
      <c r="M441" s="211">
        <f>MAX($E$2:E441)</f>
        <v/>
      </c>
      <c r="N441" s="341">
        <f>E441/M441-1</f>
        <v/>
      </c>
    </row>
    <row r="442">
      <c r="A442" s="424" t="n">
        <v>45104</v>
      </c>
      <c r="B442" s="425" t="n">
        <v>104.6065775320889</v>
      </c>
      <c r="C442" s="425" t="n">
        <v>106.1403997520948</v>
      </c>
      <c r="D442" s="425" t="n">
        <v>104.5136201140696</v>
      </c>
      <c r="E442" s="425" t="n">
        <v>105.6105346679688</v>
      </c>
      <c r="F442" s="207" t="n">
        <v>7138600</v>
      </c>
      <c r="G442" s="208" t="n">
        <v>0.01096329977437471</v>
      </c>
      <c r="H442" s="209" cm="1">
        <f t="array" ref="H442">IF(ROW()&lt;3,"",E442/INDEX(E:E,ROW()-1)-1)</f>
        <v/>
      </c>
      <c r="I442" s="211">
        <f>IF(ROW()&lt;51,NA(),AVERAGE(INDEX(E:E,ROW()-49):E442))</f>
        <v/>
      </c>
      <c r="J442" s="211">
        <f>IF(ROW()&lt;201,NA(),AVERAGE(INDEX(E:E,ROW()-199):E442))</f>
        <v/>
      </c>
      <c r="K442" s="341">
        <f>IF(ROW()&lt;22,NA(),_xlfn.STDEV.S(INDEX(H:H,ROW()-19):H442)*SQRT(252))</f>
        <v/>
      </c>
      <c r="L442" s="426" cm="1">
        <f t="array" ref="L442">IF(ROW()&lt;17,NA(),_xlfn.LET(_xlpm.d,INDEX(E:E,ROW()-13):E442-INDEX(E:E,ROW()-14):INDEX(E:E,ROW()-1),_xlpm.g,SUM(IF(_xlpm.d&gt;0,_xlpm.d,0)),_xlpm.l,-SUM(IF(_xlpm.d&lt;0,_xlpm.d,0)),IF(_xlpm.l=0,100,100-100/(1+_xlpm.g/_xlpm.l))))</f>
        <v/>
      </c>
      <c r="M442" s="211">
        <f>MAX($E$2:E442)</f>
        <v/>
      </c>
      <c r="N442" s="341">
        <f>E442/M442-1</f>
        <v/>
      </c>
    </row>
    <row r="443">
      <c r="A443" s="424" t="n">
        <v>45105</v>
      </c>
      <c r="B443" s="425" t="n">
        <v>105.3595431128457</v>
      </c>
      <c r="C443" s="425" t="n">
        <v>105.7406777511922</v>
      </c>
      <c r="D443" s="425" t="n">
        <v>104.2254512517725</v>
      </c>
      <c r="E443" s="425" t="n">
        <v>105.0713729858398</v>
      </c>
      <c r="F443" s="207" t="n">
        <v>6766000</v>
      </c>
      <c r="G443" s="208" t="n">
        <v>0.0005043979012153699</v>
      </c>
      <c r="H443" s="209" cm="1">
        <f t="array" ref="H443">IF(ROW()&lt;3,"",E443/INDEX(E:E,ROW()-1)-1)</f>
        <v/>
      </c>
      <c r="I443" s="211">
        <f>IF(ROW()&lt;51,NA(),AVERAGE(INDEX(E:E,ROW()-49):E443))</f>
        <v/>
      </c>
      <c r="J443" s="211">
        <f>IF(ROW()&lt;201,NA(),AVERAGE(INDEX(E:E,ROW()-199):E443))</f>
        <v/>
      </c>
      <c r="K443" s="341">
        <f>IF(ROW()&lt;22,NA(),_xlfn.STDEV.S(INDEX(H:H,ROW()-19):H443)*SQRT(252))</f>
        <v/>
      </c>
      <c r="L443" s="426" cm="1">
        <f t="array" ref="L443">IF(ROW()&lt;17,NA(),_xlfn.LET(_xlpm.d,INDEX(E:E,ROW()-13):E443-INDEX(E:E,ROW()-14):INDEX(E:E,ROW()-1),_xlpm.g,SUM(IF(_xlpm.d&gt;0,_xlpm.d,0)),_xlpm.l,-SUM(IF(_xlpm.d&lt;0,_xlpm.d,0)),IF(_xlpm.l=0,100,100-100/(1+_xlpm.g/_xlpm.l))))</f>
        <v/>
      </c>
      <c r="M443" s="211">
        <f>MAX($E$2:E443)</f>
        <v/>
      </c>
      <c r="N443" s="341">
        <f>E443/M443-1</f>
        <v/>
      </c>
    </row>
    <row r="444">
      <c r="A444" s="424" t="n">
        <v>45106</v>
      </c>
      <c r="B444" s="425" t="n">
        <v>105.6012219765129</v>
      </c>
      <c r="C444" s="425" t="n">
        <v>106.22404439124</v>
      </c>
      <c r="D444" s="425" t="n">
        <v>104.6809316105582</v>
      </c>
      <c r="E444" s="425" t="n">
        <v>105.3874206542969</v>
      </c>
      <c r="F444" s="207" t="n">
        <v>12465500</v>
      </c>
      <c r="G444" s="208" t="n">
        <v>0.003941459961479099</v>
      </c>
      <c r="H444" s="209" cm="1">
        <f t="array" ref="H444">IF(ROW()&lt;3,"",E444/INDEX(E:E,ROW()-1)-1)</f>
        <v/>
      </c>
      <c r="I444" s="211">
        <f>IF(ROW()&lt;51,NA(),AVERAGE(INDEX(E:E,ROW()-49):E444))</f>
        <v/>
      </c>
      <c r="J444" s="211">
        <f>IF(ROW()&lt;201,NA(),AVERAGE(INDEX(E:E,ROW()-199):E444))</f>
        <v/>
      </c>
      <c r="K444" s="341">
        <f>IF(ROW()&lt;22,NA(),_xlfn.STDEV.S(INDEX(H:H,ROW()-19):H444)*SQRT(252))</f>
        <v/>
      </c>
      <c r="L444" s="426" cm="1">
        <f t="array" ref="L444">IF(ROW()&lt;17,NA(),_xlfn.LET(_xlpm.d,INDEX(E:E,ROW()-13):E444-INDEX(E:E,ROW()-14):INDEX(E:E,ROW()-1),_xlpm.g,SUM(IF(_xlpm.d&gt;0,_xlpm.d,0)),_xlpm.l,-SUM(IF(_xlpm.d&lt;0,_xlpm.d,0)),IF(_xlpm.l=0,100,100-100/(1+_xlpm.g/_xlpm.l))))</f>
        <v/>
      </c>
      <c r="M444" s="211">
        <f>MAX($E$2:E444)</f>
        <v/>
      </c>
      <c r="N444" s="341">
        <f>E444/M444-1</f>
        <v/>
      </c>
    </row>
    <row r="445">
      <c r="A445" s="424" t="n">
        <v>45107</v>
      </c>
      <c r="B445" s="425" t="n">
        <v>103.7327705272587</v>
      </c>
      <c r="C445" s="425" t="n">
        <v>104.3463023013923</v>
      </c>
      <c r="D445" s="425" t="n">
        <v>102.068813462205</v>
      </c>
      <c r="E445" s="425" t="n">
        <v>102.5986785888672</v>
      </c>
      <c r="F445" s="207" t="n">
        <v>19629600</v>
      </c>
      <c r="G445" s="208" t="n">
        <v>0.01180071729480692</v>
      </c>
      <c r="H445" s="209" cm="1">
        <f t="array" ref="H445">IF(ROW()&lt;3,"",E445/INDEX(E:E,ROW()-1)-1)</f>
        <v/>
      </c>
      <c r="I445" s="211">
        <f>IF(ROW()&lt;51,NA(),AVERAGE(INDEX(E:E,ROW()-49):E445))</f>
        <v/>
      </c>
      <c r="J445" s="211">
        <f>IF(ROW()&lt;201,NA(),AVERAGE(INDEX(E:E,ROW()-199):E445))</f>
        <v/>
      </c>
      <c r="K445" s="341">
        <f>IF(ROW()&lt;22,NA(),_xlfn.STDEV.S(INDEX(H:H,ROW()-19):H445)*SQRT(252))</f>
        <v/>
      </c>
      <c r="L445" s="426" cm="1">
        <f t="array" ref="L445">IF(ROW()&lt;17,NA(),_xlfn.LET(_xlpm.d,INDEX(E:E,ROW()-13):E445-INDEX(E:E,ROW()-14):INDEX(E:E,ROW()-1),_xlpm.g,SUM(IF(_xlpm.d&gt;0,_xlpm.d,0)),_xlpm.l,-SUM(IF(_xlpm.d&lt;0,_xlpm.d,0)),IF(_xlpm.l=0,100,100-100/(1+_xlpm.g/_xlpm.l))))</f>
        <v/>
      </c>
      <c r="M445" s="211">
        <f>MAX($E$2:E445)</f>
        <v/>
      </c>
      <c r="N445" s="341">
        <f>E445/M445-1</f>
        <v/>
      </c>
    </row>
    <row r="446">
      <c r="A446" s="424" t="n">
        <v>45110</v>
      </c>
      <c r="B446" s="425" t="n">
        <v>103.2400778324966</v>
      </c>
      <c r="C446" s="425" t="n">
        <v>103.4631841384499</v>
      </c>
      <c r="D446" s="425" t="n">
        <v>101.4273834228516</v>
      </c>
      <c r="E446" s="425" t="n">
        <v>101.4273834228516</v>
      </c>
      <c r="F446" s="207" t="n">
        <v>5734200</v>
      </c>
      <c r="G446" s="208" t="n">
        <v>0.001150433488267044</v>
      </c>
      <c r="H446" s="209" cm="1">
        <f t="array" ref="H446">IF(ROW()&lt;3,"",E446/INDEX(E:E,ROW()-1)-1)</f>
        <v/>
      </c>
      <c r="I446" s="211">
        <f>IF(ROW()&lt;51,NA(),AVERAGE(INDEX(E:E,ROW()-49):E446))</f>
        <v/>
      </c>
      <c r="J446" s="211">
        <f>IF(ROW()&lt;201,NA(),AVERAGE(INDEX(E:E,ROW()-199):E446))</f>
        <v/>
      </c>
      <c r="K446" s="341">
        <f>IF(ROW()&lt;22,NA(),_xlfn.STDEV.S(INDEX(H:H,ROW()-19):H446)*SQRT(252))</f>
        <v/>
      </c>
      <c r="L446" s="426" cm="1">
        <f t="array" ref="L446">IF(ROW()&lt;17,NA(),_xlfn.LET(_xlpm.d,INDEX(E:E,ROW()-13):E446-INDEX(E:E,ROW()-14):INDEX(E:E,ROW()-1),_xlpm.g,SUM(IF(_xlpm.d&gt;0,_xlpm.d,0)),_xlpm.l,-SUM(IF(_xlpm.d&lt;0,_xlpm.d,0)),IF(_xlpm.l=0,100,100-100/(1+_xlpm.g/_xlpm.l))))</f>
        <v/>
      </c>
      <c r="M446" s="211">
        <f>MAX($E$2:E446)</f>
        <v/>
      </c>
      <c r="N446" s="341">
        <f>E446/M446-1</f>
        <v/>
      </c>
    </row>
    <row r="447">
      <c r="A447" s="424" t="n">
        <v>45112</v>
      </c>
      <c r="B447" s="425" t="n">
        <v>100.9719079706383</v>
      </c>
      <c r="C447" s="425" t="n">
        <v>101.2414894935034</v>
      </c>
      <c r="D447" s="425" t="n">
        <v>99.03836213972902</v>
      </c>
      <c r="E447" s="425" t="n">
        <v>99.55892944335938</v>
      </c>
      <c r="F447" s="207" t="n">
        <v>10405300</v>
      </c>
      <c r="G447" s="208" t="n">
        <v>-0.001487211760593521</v>
      </c>
      <c r="H447" s="209" cm="1">
        <f t="array" ref="H447">IF(ROW()&lt;3,"",E447/INDEX(E:E,ROW()-1)-1)</f>
        <v/>
      </c>
      <c r="I447" s="211">
        <f>IF(ROW()&lt;51,NA(),AVERAGE(INDEX(E:E,ROW()-49):E447))</f>
        <v/>
      </c>
      <c r="J447" s="211">
        <f>IF(ROW()&lt;201,NA(),AVERAGE(INDEX(E:E,ROW()-199):E447))</f>
        <v/>
      </c>
      <c r="K447" s="341">
        <f>IF(ROW()&lt;22,NA(),_xlfn.STDEV.S(INDEX(H:H,ROW()-19):H447)*SQRT(252))</f>
        <v/>
      </c>
      <c r="L447" s="426" cm="1">
        <f t="array" ref="L447">IF(ROW()&lt;17,NA(),_xlfn.LET(_xlpm.d,INDEX(E:E,ROW()-13):E447-INDEX(E:E,ROW()-14):INDEX(E:E,ROW()-1),_xlpm.g,SUM(IF(_xlpm.d&gt;0,_xlpm.d,0)),_xlpm.l,-SUM(IF(_xlpm.d&lt;0,_xlpm.d,0)),IF(_xlpm.l=0,100,100-100/(1+_xlpm.g/_xlpm.l))))</f>
        <v/>
      </c>
      <c r="M447" s="211">
        <f>MAX($E$2:E447)</f>
        <v/>
      </c>
      <c r="N447" s="341">
        <f>E447/M447-1</f>
        <v/>
      </c>
    </row>
    <row r="448">
      <c r="A448" s="424" t="n">
        <v>45113</v>
      </c>
      <c r="B448" s="425" t="n">
        <v>97.87636161094548</v>
      </c>
      <c r="C448" s="425" t="n">
        <v>98.62002806137271</v>
      </c>
      <c r="D448" s="425" t="n">
        <v>96.37042587862084</v>
      </c>
      <c r="E448" s="425" t="n">
        <v>97.69973754882812</v>
      </c>
      <c r="F448" s="207" t="n">
        <v>9923500</v>
      </c>
      <c r="G448" s="208" t="n">
        <v>-0.007830598620746643</v>
      </c>
      <c r="H448" s="209" cm="1">
        <f t="array" ref="H448">IF(ROW()&lt;3,"",E448/INDEX(E:E,ROW()-1)-1)</f>
        <v/>
      </c>
      <c r="I448" s="211">
        <f>IF(ROW()&lt;51,NA(),AVERAGE(INDEX(E:E,ROW()-49):E448))</f>
        <v/>
      </c>
      <c r="J448" s="211">
        <f>IF(ROW()&lt;201,NA(),AVERAGE(INDEX(E:E,ROW()-199):E448))</f>
        <v/>
      </c>
      <c r="K448" s="341">
        <f>IF(ROW()&lt;22,NA(),_xlfn.STDEV.S(INDEX(H:H,ROW()-19):H448)*SQRT(252))</f>
        <v/>
      </c>
      <c r="L448" s="426" cm="1">
        <f t="array" ref="L448">IF(ROW()&lt;17,NA(),_xlfn.LET(_xlpm.d,INDEX(E:E,ROW()-13):E448-INDEX(E:E,ROW()-14):INDEX(E:E,ROW()-1),_xlpm.g,SUM(IF(_xlpm.d&gt;0,_xlpm.d,0)),_xlpm.l,-SUM(IF(_xlpm.d&lt;0,_xlpm.d,0)),IF(_xlpm.l=0,100,100-100/(1+_xlpm.g/_xlpm.l))))</f>
        <v/>
      </c>
      <c r="M448" s="211">
        <f>MAX($E$2:E448)</f>
        <v/>
      </c>
      <c r="N448" s="341">
        <f>E448/M448-1</f>
        <v/>
      </c>
    </row>
    <row r="449">
      <c r="A449" s="424" t="n">
        <v>45114</v>
      </c>
      <c r="B449" s="425" t="n">
        <v>97.42086108753266</v>
      </c>
      <c r="C449" s="425" t="n">
        <v>98.04368357460345</v>
      </c>
      <c r="D449" s="425" t="n">
        <v>96.70507409249625</v>
      </c>
      <c r="E449" s="425" t="n">
        <v>97.10479736328125</v>
      </c>
      <c r="F449" s="207" t="n">
        <v>7463100</v>
      </c>
      <c r="G449" s="208" t="n">
        <v>-0.002524577305022979</v>
      </c>
      <c r="H449" s="209" cm="1">
        <f t="array" ref="H449">IF(ROW()&lt;3,"",E449/INDEX(E:E,ROW()-1)-1)</f>
        <v/>
      </c>
      <c r="I449" s="211">
        <f>IF(ROW()&lt;51,NA(),AVERAGE(INDEX(E:E,ROW()-49):E449))</f>
        <v/>
      </c>
      <c r="J449" s="211">
        <f>IF(ROW()&lt;201,NA(),AVERAGE(INDEX(E:E,ROW()-199):E449))</f>
        <v/>
      </c>
      <c r="K449" s="341">
        <f>IF(ROW()&lt;22,NA(),_xlfn.STDEV.S(INDEX(H:H,ROW()-19):H449)*SQRT(252))</f>
        <v/>
      </c>
      <c r="L449" s="426" cm="1">
        <f t="array" ref="L449">IF(ROW()&lt;17,NA(),_xlfn.LET(_xlpm.d,INDEX(E:E,ROW()-13):E449-INDEX(E:E,ROW()-14):INDEX(E:E,ROW()-1),_xlpm.g,SUM(IF(_xlpm.d&gt;0,_xlpm.d,0)),_xlpm.l,-SUM(IF(_xlpm.d&lt;0,_xlpm.d,0)),IF(_xlpm.l=0,100,100-100/(1+_xlpm.g/_xlpm.l))))</f>
        <v/>
      </c>
      <c r="M449" s="211">
        <f>MAX($E$2:E449)</f>
        <v/>
      </c>
      <c r="N449" s="341">
        <f>E449/M449-1</f>
        <v/>
      </c>
    </row>
    <row r="450">
      <c r="A450" s="424" t="n">
        <v>45117</v>
      </c>
      <c r="B450" s="425" t="n">
        <v>97.12340269456686</v>
      </c>
      <c r="C450" s="425" t="n">
        <v>98.82454413853645</v>
      </c>
      <c r="D450" s="425" t="n">
        <v>96.90959423420294</v>
      </c>
      <c r="E450" s="425" t="n">
        <v>98.33186340332031</v>
      </c>
      <c r="F450" s="207" t="n">
        <v>5374600</v>
      </c>
      <c r="G450" s="208" t="n">
        <v>0.002530966926685752</v>
      </c>
      <c r="H450" s="209" cm="1">
        <f t="array" ref="H450">IF(ROW()&lt;3,"",E450/INDEX(E:E,ROW()-1)-1)</f>
        <v/>
      </c>
      <c r="I450" s="211">
        <f>IF(ROW()&lt;51,NA(),AVERAGE(INDEX(E:E,ROW()-49):E450))</f>
        <v/>
      </c>
      <c r="J450" s="211">
        <f>IF(ROW()&lt;201,NA(),AVERAGE(INDEX(E:E,ROW()-199):E450))</f>
        <v/>
      </c>
      <c r="K450" s="341">
        <f>IF(ROW()&lt;22,NA(),_xlfn.STDEV.S(INDEX(H:H,ROW()-19):H450)*SQRT(252))</f>
        <v/>
      </c>
      <c r="L450" s="426" cm="1">
        <f t="array" ref="L450">IF(ROW()&lt;17,NA(),_xlfn.LET(_xlpm.d,INDEX(E:E,ROW()-13):E450-INDEX(E:E,ROW()-14):INDEX(E:E,ROW()-1),_xlpm.g,SUM(IF(_xlpm.d&gt;0,_xlpm.d,0)),_xlpm.l,-SUM(IF(_xlpm.d&lt;0,_xlpm.d,0)),IF(_xlpm.l=0,100,100-100/(1+_xlpm.g/_xlpm.l))))</f>
        <v/>
      </c>
      <c r="M450" s="211">
        <f>MAX($E$2:E450)</f>
        <v/>
      </c>
      <c r="N450" s="341">
        <f>E450/M450-1</f>
        <v/>
      </c>
    </row>
    <row r="451">
      <c r="A451" s="424" t="n">
        <v>45118</v>
      </c>
      <c r="B451" s="425" t="n">
        <v>98.21100948603201</v>
      </c>
      <c r="C451" s="425" t="n">
        <v>100.0422996495875</v>
      </c>
      <c r="D451" s="425" t="n">
        <v>98.18312297059857</v>
      </c>
      <c r="E451" s="425" t="n">
        <v>99.8284912109375</v>
      </c>
      <c r="F451" s="207" t="n">
        <v>5454900</v>
      </c>
      <c r="G451" s="208" t="n">
        <v>0.006368683771647676</v>
      </c>
      <c r="H451" s="209" cm="1">
        <f t="array" ref="H451">IF(ROW()&lt;3,"",E451/INDEX(E:E,ROW()-1)-1)</f>
        <v/>
      </c>
      <c r="I451" s="211">
        <f>IF(ROW()&lt;51,NA(),AVERAGE(INDEX(E:E,ROW()-49):E451))</f>
        <v/>
      </c>
      <c r="J451" s="211">
        <f>IF(ROW()&lt;201,NA(),AVERAGE(INDEX(E:E,ROW()-199):E451))</f>
        <v/>
      </c>
      <c r="K451" s="341">
        <f>IF(ROW()&lt;22,NA(),_xlfn.STDEV.S(INDEX(H:H,ROW()-19):H451)*SQRT(252))</f>
        <v/>
      </c>
      <c r="L451" s="426" cm="1">
        <f t="array" ref="L451">IF(ROW()&lt;17,NA(),_xlfn.LET(_xlpm.d,INDEX(E:E,ROW()-13):E451-INDEX(E:E,ROW()-14):INDEX(E:E,ROW()-1),_xlpm.g,SUM(IF(_xlpm.d&gt;0,_xlpm.d,0)),_xlpm.l,-SUM(IF(_xlpm.d&lt;0,_xlpm.d,0)),IF(_xlpm.l=0,100,100-100/(1+_xlpm.g/_xlpm.l))))</f>
        <v/>
      </c>
      <c r="M451" s="211">
        <f>MAX($E$2:E451)</f>
        <v/>
      </c>
      <c r="N451" s="341">
        <f>E451/M451-1</f>
        <v/>
      </c>
    </row>
    <row r="452">
      <c r="A452" s="424" t="n">
        <v>45119</v>
      </c>
      <c r="B452" s="425" t="n">
        <v>100.8882194626452</v>
      </c>
      <c r="C452" s="425" t="n">
        <v>101.4087866535179</v>
      </c>
      <c r="D452" s="425" t="n">
        <v>99.67046103019837</v>
      </c>
      <c r="E452" s="425" t="n">
        <v>100.1724395751953</v>
      </c>
      <c r="F452" s="207" t="n">
        <v>8305000</v>
      </c>
      <c r="G452" s="208" t="n">
        <v>0.008045852856455316</v>
      </c>
      <c r="H452" s="209" cm="1">
        <f t="array" ref="H452">IF(ROW()&lt;3,"",E452/INDEX(E:E,ROW()-1)-1)</f>
        <v/>
      </c>
      <c r="I452" s="211">
        <f>IF(ROW()&lt;51,NA(),AVERAGE(INDEX(E:E,ROW()-49):E452))</f>
        <v/>
      </c>
      <c r="J452" s="211">
        <f>IF(ROW()&lt;201,NA(),AVERAGE(INDEX(E:E,ROW()-199):E452))</f>
        <v/>
      </c>
      <c r="K452" s="341">
        <f>IF(ROW()&lt;22,NA(),_xlfn.STDEV.S(INDEX(H:H,ROW()-19):H452)*SQRT(252))</f>
        <v/>
      </c>
      <c r="L452" s="426" cm="1">
        <f t="array" ref="L452">IF(ROW()&lt;17,NA(),_xlfn.LET(_xlpm.d,INDEX(E:E,ROW()-13):E452-INDEX(E:E,ROW()-14):INDEX(E:E,ROW()-1),_xlpm.g,SUM(IF(_xlpm.d&gt;0,_xlpm.d,0)),_xlpm.l,-SUM(IF(_xlpm.d&lt;0,_xlpm.d,0)),IF(_xlpm.l=0,100,100-100/(1+_xlpm.g/_xlpm.l))))</f>
        <v/>
      </c>
      <c r="M452" s="211">
        <f>MAX($E$2:E452)</f>
        <v/>
      </c>
      <c r="N452" s="341">
        <f>E452/M452-1</f>
        <v/>
      </c>
    </row>
    <row r="453">
      <c r="A453" s="424" t="n">
        <v>45120</v>
      </c>
      <c r="B453" s="425" t="n">
        <v>101.3901923472111</v>
      </c>
      <c r="C453" s="425" t="n">
        <v>101.4459653739205</v>
      </c>
      <c r="D453" s="425" t="n">
        <v>100.0980652190064</v>
      </c>
      <c r="E453" s="425" t="n">
        <v>100.2467956542969</v>
      </c>
      <c r="F453" s="207" t="n">
        <v>6692300</v>
      </c>
      <c r="G453" s="208" t="n">
        <v>0.007936850364212544</v>
      </c>
      <c r="H453" s="209" cm="1">
        <f t="array" ref="H453">IF(ROW()&lt;3,"",E453/INDEX(E:E,ROW()-1)-1)</f>
        <v/>
      </c>
      <c r="I453" s="211">
        <f>IF(ROW()&lt;51,NA(),AVERAGE(INDEX(E:E,ROW()-49):E453))</f>
        <v/>
      </c>
      <c r="J453" s="211">
        <f>IF(ROW()&lt;201,NA(),AVERAGE(INDEX(E:E,ROW()-199):E453))</f>
        <v/>
      </c>
      <c r="K453" s="341">
        <f>IF(ROW()&lt;22,NA(),_xlfn.STDEV.S(INDEX(H:H,ROW()-19):H453)*SQRT(252))</f>
        <v/>
      </c>
      <c r="L453" s="426" cm="1">
        <f t="array" ref="L453">IF(ROW()&lt;17,NA(),_xlfn.LET(_xlpm.d,INDEX(E:E,ROW()-13):E453-INDEX(E:E,ROW()-14):INDEX(E:E,ROW()-1),_xlpm.g,SUM(IF(_xlpm.d&gt;0,_xlpm.d,0)),_xlpm.l,-SUM(IF(_xlpm.d&lt;0,_xlpm.d,0)),IF(_xlpm.l=0,100,100-100/(1+_xlpm.g/_xlpm.l))))</f>
        <v/>
      </c>
      <c r="M453" s="211">
        <f>MAX($E$2:E453)</f>
        <v/>
      </c>
      <c r="N453" s="341">
        <f>E453/M453-1</f>
        <v/>
      </c>
    </row>
    <row r="454">
      <c r="A454" s="424" t="n">
        <v>45121</v>
      </c>
      <c r="B454" s="425" t="n">
        <v>100.3397692814276</v>
      </c>
      <c r="C454" s="425" t="n">
        <v>100.9904782928754</v>
      </c>
      <c r="D454" s="425" t="n">
        <v>99.64257801536361</v>
      </c>
      <c r="E454" s="425" t="n">
        <v>100.3490600585938</v>
      </c>
      <c r="F454" s="207" t="n">
        <v>6933600</v>
      </c>
      <c r="G454" s="208" t="n">
        <v>-0.0006228082158977744</v>
      </c>
      <c r="H454" s="209" cm="1">
        <f t="array" ref="H454">IF(ROW()&lt;3,"",E454/INDEX(E:E,ROW()-1)-1)</f>
        <v/>
      </c>
      <c r="I454" s="211">
        <f>IF(ROW()&lt;51,NA(),AVERAGE(INDEX(E:E,ROW()-49):E454))</f>
        <v/>
      </c>
      <c r="J454" s="211">
        <f>IF(ROW()&lt;201,NA(),AVERAGE(INDEX(E:E,ROW()-199):E454))</f>
        <v/>
      </c>
      <c r="K454" s="341">
        <f>IF(ROW()&lt;22,NA(),_xlfn.STDEV.S(INDEX(H:H,ROW()-19):H454)*SQRT(252))</f>
        <v/>
      </c>
      <c r="L454" s="426" cm="1">
        <f t="array" ref="L454">IF(ROW()&lt;17,NA(),_xlfn.LET(_xlpm.d,INDEX(E:E,ROW()-13):E454-INDEX(E:E,ROW()-14):INDEX(E:E,ROW()-1),_xlpm.g,SUM(IF(_xlpm.d&gt;0,_xlpm.d,0)),_xlpm.l,-SUM(IF(_xlpm.d&lt;0,_xlpm.d,0)),IF(_xlpm.l=0,100,100-100/(1+_xlpm.g/_xlpm.l))))</f>
        <v/>
      </c>
      <c r="M454" s="211">
        <f>MAX($E$2:E454)</f>
        <v/>
      </c>
      <c r="N454" s="341">
        <f>E454/M454-1</f>
        <v/>
      </c>
    </row>
    <row r="455">
      <c r="A455" s="424" t="n">
        <v>45124</v>
      </c>
      <c r="B455" s="425" t="n">
        <v>99.70764181073528</v>
      </c>
      <c r="C455" s="425" t="n">
        <v>101.4180808573283</v>
      </c>
      <c r="D455" s="425" t="n">
        <v>99.24284766648336</v>
      </c>
      <c r="E455" s="425" t="n">
        <v>101.0555419921875</v>
      </c>
      <c r="F455" s="207" t="n">
        <v>6682900</v>
      </c>
      <c r="G455" s="208" t="n">
        <v>0.003472215105015719</v>
      </c>
      <c r="H455" s="209" cm="1">
        <f t="array" ref="H455">IF(ROW()&lt;3,"",E455/INDEX(E:E,ROW()-1)-1)</f>
        <v/>
      </c>
      <c r="I455" s="211">
        <f>IF(ROW()&lt;51,NA(),AVERAGE(INDEX(E:E,ROW()-49):E455))</f>
        <v/>
      </c>
      <c r="J455" s="211">
        <f>IF(ROW()&lt;201,NA(),AVERAGE(INDEX(E:E,ROW()-199):E455))</f>
        <v/>
      </c>
      <c r="K455" s="341">
        <f>IF(ROW()&lt;22,NA(),_xlfn.STDEV.S(INDEX(H:H,ROW()-19):H455)*SQRT(252))</f>
        <v/>
      </c>
      <c r="L455" s="426" cm="1">
        <f t="array" ref="L455">IF(ROW()&lt;17,NA(),_xlfn.LET(_xlpm.d,INDEX(E:E,ROW()-13):E455-INDEX(E:E,ROW()-14):INDEX(E:E,ROW()-1),_xlpm.g,SUM(IF(_xlpm.d&gt;0,_xlpm.d,0)),_xlpm.l,-SUM(IF(_xlpm.d&lt;0,_xlpm.d,0)),IF(_xlpm.l=0,100,100-100/(1+_xlpm.g/_xlpm.l))))</f>
        <v/>
      </c>
      <c r="M455" s="211">
        <f>MAX($E$2:E455)</f>
        <v/>
      </c>
      <c r="N455" s="341">
        <f>E455/M455-1</f>
        <v/>
      </c>
    </row>
    <row r="456">
      <c r="A456" s="424" t="n">
        <v>45125</v>
      </c>
      <c r="B456" s="425" t="n">
        <v>100.9347079857387</v>
      </c>
      <c r="C456" s="425" t="n">
        <v>102.5707784278851</v>
      </c>
      <c r="D456" s="425" t="n">
        <v>100.6837151515504</v>
      </c>
      <c r="E456" s="425" t="n">
        <v>101.9944381713867</v>
      </c>
      <c r="F456" s="207" t="n">
        <v>5717200</v>
      </c>
      <c r="G456" s="208" t="n">
        <v>0.007430573761473713</v>
      </c>
      <c r="H456" s="209" cm="1">
        <f t="array" ref="H456">IF(ROW()&lt;3,"",E456/INDEX(E:E,ROW()-1)-1)</f>
        <v/>
      </c>
      <c r="I456" s="211">
        <f>IF(ROW()&lt;51,NA(),AVERAGE(INDEX(E:E,ROW()-49):E456))</f>
        <v/>
      </c>
      <c r="J456" s="211">
        <f>IF(ROW()&lt;201,NA(),AVERAGE(INDEX(E:E,ROW()-199):E456))</f>
        <v/>
      </c>
      <c r="K456" s="341">
        <f>IF(ROW()&lt;22,NA(),_xlfn.STDEV.S(INDEX(H:H,ROW()-19):H456)*SQRT(252))</f>
        <v/>
      </c>
      <c r="L456" s="426" cm="1">
        <f t="array" ref="L456">IF(ROW()&lt;17,NA(),_xlfn.LET(_xlpm.d,INDEX(E:E,ROW()-13):E456-INDEX(E:E,ROW()-14):INDEX(E:E,ROW()-1),_xlpm.g,SUM(IF(_xlpm.d&gt;0,_xlpm.d,0)),_xlpm.l,-SUM(IF(_xlpm.d&lt;0,_xlpm.d,0)),IF(_xlpm.l=0,100,100-100/(1+_xlpm.g/_xlpm.l))))</f>
        <v/>
      </c>
      <c r="M456" s="211">
        <f>MAX($E$2:E456)</f>
        <v/>
      </c>
      <c r="N456" s="341">
        <f>E456/M456-1</f>
        <v/>
      </c>
    </row>
    <row r="457">
      <c r="A457" s="424" t="n">
        <v>45126</v>
      </c>
      <c r="B457" s="425" t="n">
        <v>101.3995067357711</v>
      </c>
      <c r="C457" s="425" t="n">
        <v>102.487123486975</v>
      </c>
      <c r="D457" s="425" t="n">
        <v>100.9347125249458</v>
      </c>
      <c r="E457" s="425" t="n">
        <v>102.1431732177734</v>
      </c>
      <c r="F457" s="207" t="n">
        <v>5027100</v>
      </c>
      <c r="G457" s="208" t="n">
        <v>0.00222378417086011</v>
      </c>
      <c r="H457" s="209" cm="1">
        <f t="array" ref="H457">IF(ROW()&lt;3,"",E457/INDEX(E:E,ROW()-1)-1)</f>
        <v/>
      </c>
      <c r="I457" s="211">
        <f>IF(ROW()&lt;51,NA(),AVERAGE(INDEX(E:E,ROW()-49):E457))</f>
        <v/>
      </c>
      <c r="J457" s="211">
        <f>IF(ROW()&lt;201,NA(),AVERAGE(INDEX(E:E,ROW()-199):E457))</f>
        <v/>
      </c>
      <c r="K457" s="341">
        <f>IF(ROW()&lt;22,NA(),_xlfn.STDEV.S(INDEX(H:H,ROW()-19):H457)*SQRT(252))</f>
        <v/>
      </c>
      <c r="L457" s="426" cm="1">
        <f t="array" ref="L457">IF(ROW()&lt;17,NA(),_xlfn.LET(_xlpm.d,INDEX(E:E,ROW()-13):E457-INDEX(E:E,ROW()-14):INDEX(E:E,ROW()-1),_xlpm.g,SUM(IF(_xlpm.d&gt;0,_xlpm.d,0)),_xlpm.l,-SUM(IF(_xlpm.d&lt;0,_xlpm.d,0)),IF(_xlpm.l=0,100,100-100/(1+_xlpm.g/_xlpm.l))))</f>
        <v/>
      </c>
      <c r="M457" s="211">
        <f>MAX($E$2:E457)</f>
        <v/>
      </c>
      <c r="N457" s="341">
        <f>E457/M457-1</f>
        <v/>
      </c>
    </row>
    <row r="458">
      <c r="A458" s="424" t="n">
        <v>45127</v>
      </c>
      <c r="B458" s="425" t="n">
        <v>101.8549867201603</v>
      </c>
      <c r="C458" s="425" t="n">
        <v>102.2732986058496</v>
      </c>
      <c r="D458" s="425" t="n">
        <v>99.91215063515583</v>
      </c>
      <c r="E458" s="425" t="n">
        <v>99.95862579345703</v>
      </c>
      <c r="F458" s="207" t="n">
        <v>6458000</v>
      </c>
      <c r="G458" s="208" t="n">
        <v>-0.006634574754962763</v>
      </c>
      <c r="H458" s="209" cm="1">
        <f t="array" ref="H458">IF(ROW()&lt;3,"",E458/INDEX(E:E,ROW()-1)-1)</f>
        <v/>
      </c>
      <c r="I458" s="211">
        <f>IF(ROW()&lt;51,NA(),AVERAGE(INDEX(E:E,ROW()-49):E458))</f>
        <v/>
      </c>
      <c r="J458" s="211">
        <f>IF(ROW()&lt;201,NA(),AVERAGE(INDEX(E:E,ROW()-199):E458))</f>
        <v/>
      </c>
      <c r="K458" s="341">
        <f>IF(ROW()&lt;22,NA(),_xlfn.STDEV.S(INDEX(H:H,ROW()-19):H458)*SQRT(252))</f>
        <v/>
      </c>
      <c r="L458" s="426" cm="1">
        <f t="array" ref="L458">IF(ROW()&lt;17,NA(),_xlfn.LET(_xlpm.d,INDEX(E:E,ROW()-13):E458-INDEX(E:E,ROW()-14):INDEX(E:E,ROW()-1),_xlpm.g,SUM(IF(_xlpm.d&gt;0,_xlpm.d,0)),_xlpm.l,-SUM(IF(_xlpm.d&lt;0,_xlpm.d,0)),IF(_xlpm.l=0,100,100-100/(1+_xlpm.g/_xlpm.l))))</f>
        <v/>
      </c>
      <c r="M458" s="211">
        <f>MAX($E$2:E458)</f>
        <v/>
      </c>
      <c r="N458" s="341">
        <f>E458/M458-1</f>
        <v/>
      </c>
    </row>
    <row r="459">
      <c r="A459" s="424" t="n">
        <v>45128</v>
      </c>
      <c r="B459" s="425" t="n">
        <v>100.3955361954826</v>
      </c>
      <c r="C459" s="425" t="n">
        <v>101.5947059511033</v>
      </c>
      <c r="D459" s="425" t="n">
        <v>99.94003991522538</v>
      </c>
      <c r="E459" s="425" t="n">
        <v>101.3808975219727</v>
      </c>
      <c r="F459" s="207" t="n">
        <v>6631600</v>
      </c>
      <c r="G459" s="208" t="n">
        <v>0</v>
      </c>
      <c r="H459" s="209" cm="1">
        <f t="array" ref="H459">IF(ROW()&lt;3,"",E459/INDEX(E:E,ROW()-1)-1)</f>
        <v/>
      </c>
      <c r="I459" s="211">
        <f>IF(ROW()&lt;51,NA(),AVERAGE(INDEX(E:E,ROW()-49):E459))</f>
        <v/>
      </c>
      <c r="J459" s="211">
        <f>IF(ROW()&lt;201,NA(),AVERAGE(INDEX(E:E,ROW()-199):E459))</f>
        <v/>
      </c>
      <c r="K459" s="341">
        <f>IF(ROW()&lt;22,NA(),_xlfn.STDEV.S(INDEX(H:H,ROW()-19):H459)*SQRT(252))</f>
        <v/>
      </c>
      <c r="L459" s="426" cm="1">
        <f t="array" ref="L459">IF(ROW()&lt;17,NA(),_xlfn.LET(_xlpm.d,INDEX(E:E,ROW()-13):E459-INDEX(E:E,ROW()-14):INDEX(E:E,ROW()-1),_xlpm.g,SUM(IF(_xlpm.d&gt;0,_xlpm.d,0)),_xlpm.l,-SUM(IF(_xlpm.d&lt;0,_xlpm.d,0)),IF(_xlpm.l=0,100,100-100/(1+_xlpm.g/_xlpm.l))))</f>
        <v/>
      </c>
      <c r="M459" s="211">
        <f>MAX($E$2:E459)</f>
        <v/>
      </c>
      <c r="N459" s="341">
        <f>E459/M459-1</f>
        <v/>
      </c>
    </row>
    <row r="460">
      <c r="A460" s="424" t="n">
        <v>45131</v>
      </c>
      <c r="B460" s="425" t="n">
        <v>102.6358596405604</v>
      </c>
      <c r="C460" s="425" t="n">
        <v>102.7660014504429</v>
      </c>
      <c r="D460" s="425" t="n">
        <v>100.8696402450449</v>
      </c>
      <c r="E460" s="425" t="n">
        <v>101.111328125</v>
      </c>
      <c r="F460" s="207" t="n">
        <v>6787600</v>
      </c>
      <c r="G460" s="208" t="n">
        <v>0.004467408975830978</v>
      </c>
      <c r="H460" s="209" cm="1">
        <f t="array" ref="H460">IF(ROW()&lt;3,"",E460/INDEX(E:E,ROW()-1)-1)</f>
        <v/>
      </c>
      <c r="I460" s="211">
        <f>IF(ROW()&lt;51,NA(),AVERAGE(INDEX(E:E,ROW()-49):E460))</f>
        <v/>
      </c>
      <c r="J460" s="211">
        <f>IF(ROW()&lt;201,NA(),AVERAGE(INDEX(E:E,ROW()-199):E460))</f>
        <v/>
      </c>
      <c r="K460" s="341">
        <f>IF(ROW()&lt;22,NA(),_xlfn.STDEV.S(INDEX(H:H,ROW()-19):H460)*SQRT(252))</f>
        <v/>
      </c>
      <c r="L460" s="426" cm="1">
        <f t="array" ref="L460">IF(ROW()&lt;17,NA(),_xlfn.LET(_xlpm.d,INDEX(E:E,ROW()-13):E460-INDEX(E:E,ROW()-14):INDEX(E:E,ROW()-1),_xlpm.g,SUM(IF(_xlpm.d&gt;0,_xlpm.d,0)),_xlpm.l,-SUM(IF(_xlpm.d&lt;0,_xlpm.d,0)),IF(_xlpm.l=0,100,100-100/(1+_xlpm.g/_xlpm.l))))</f>
        <v/>
      </c>
      <c r="M460" s="211">
        <f>MAX($E$2:E460)</f>
        <v/>
      </c>
      <c r="N460" s="341">
        <f>E460/M460-1</f>
        <v/>
      </c>
    </row>
    <row r="461">
      <c r="A461" s="424" t="n">
        <v>45132</v>
      </c>
      <c r="B461" s="425" t="n">
        <v>100.6558198507748</v>
      </c>
      <c r="C461" s="425" t="n">
        <v>101.185684897358</v>
      </c>
      <c r="D461" s="425" t="n">
        <v>99.82848683228865</v>
      </c>
      <c r="E461" s="425" t="n">
        <v>100.6744155883789</v>
      </c>
      <c r="F461" s="207" t="n">
        <v>7692800</v>
      </c>
      <c r="G461" s="208" t="n">
        <v>0.00273006369379547</v>
      </c>
      <c r="H461" s="209" cm="1">
        <f t="array" ref="H461">IF(ROW()&lt;3,"",E461/INDEX(E:E,ROW()-1)-1)</f>
        <v/>
      </c>
      <c r="I461" s="211">
        <f>IF(ROW()&lt;51,NA(),AVERAGE(INDEX(E:E,ROW()-49):E461))</f>
        <v/>
      </c>
      <c r="J461" s="211">
        <f>IF(ROW()&lt;201,NA(),AVERAGE(INDEX(E:E,ROW()-199):E461))</f>
        <v/>
      </c>
      <c r="K461" s="341">
        <f>IF(ROW()&lt;22,NA(),_xlfn.STDEV.S(INDEX(H:H,ROW()-19):H461)*SQRT(252))</f>
        <v/>
      </c>
      <c r="L461" s="426" cm="1">
        <f t="array" ref="L461">IF(ROW()&lt;17,NA(),_xlfn.LET(_xlpm.d,INDEX(E:E,ROW()-13):E461-INDEX(E:E,ROW()-14):INDEX(E:E,ROW()-1),_xlpm.g,SUM(IF(_xlpm.d&gt;0,_xlpm.d,0)),_xlpm.l,-SUM(IF(_xlpm.d&lt;0,_xlpm.d,0)),IF(_xlpm.l=0,100,100-100/(1+_xlpm.g/_xlpm.l))))</f>
        <v/>
      </c>
      <c r="M461" s="211">
        <f>MAX($E$2:E461)</f>
        <v/>
      </c>
      <c r="N461" s="341">
        <f>E461/M461-1</f>
        <v/>
      </c>
    </row>
    <row r="462">
      <c r="A462" s="424" t="n">
        <v>45133</v>
      </c>
      <c r="B462" s="425" t="n">
        <v>100.6744004881692</v>
      </c>
      <c r="C462" s="425" t="n">
        <v>101.8735629725241</v>
      </c>
      <c r="D462" s="425" t="n">
        <v>100.3490389586613</v>
      </c>
      <c r="E462" s="425" t="n">
        <v>101.6039886474609</v>
      </c>
      <c r="F462" s="207" t="n">
        <v>5148900</v>
      </c>
      <c r="G462" s="208" t="n">
        <v>0.000153674404516968</v>
      </c>
      <c r="H462" s="209" cm="1">
        <f t="array" ref="H462">IF(ROW()&lt;3,"",E462/INDEX(E:E,ROW()-1)-1)</f>
        <v/>
      </c>
      <c r="I462" s="211">
        <f>IF(ROW()&lt;51,NA(),AVERAGE(INDEX(E:E,ROW()-49):E462))</f>
        <v/>
      </c>
      <c r="J462" s="211">
        <f>IF(ROW()&lt;201,NA(),AVERAGE(INDEX(E:E,ROW()-199):E462))</f>
        <v/>
      </c>
      <c r="K462" s="341">
        <f>IF(ROW()&lt;22,NA(),_xlfn.STDEV.S(INDEX(H:H,ROW()-19):H462)*SQRT(252))</f>
        <v/>
      </c>
      <c r="L462" s="426" cm="1">
        <f t="array" ref="L462">IF(ROW()&lt;17,NA(),_xlfn.LET(_xlpm.d,INDEX(E:E,ROW()-13):E462-INDEX(E:E,ROW()-14):INDEX(E:E,ROW()-1),_xlpm.g,SUM(IF(_xlpm.d&gt;0,_xlpm.d,0)),_xlpm.l,-SUM(IF(_xlpm.d&lt;0,_xlpm.d,0)),IF(_xlpm.l=0,100,100-100/(1+_xlpm.g/_xlpm.l))))</f>
        <v/>
      </c>
      <c r="M462" s="211">
        <f>MAX($E$2:E462)</f>
        <v/>
      </c>
      <c r="N462" s="341">
        <f>E462/M462-1</f>
        <v/>
      </c>
    </row>
    <row r="463">
      <c r="A463" s="424" t="n">
        <v>45134</v>
      </c>
      <c r="B463" s="425" t="n">
        <v>102.0966820863985</v>
      </c>
      <c r="C463" s="425" t="n">
        <v>102.4685188153512</v>
      </c>
      <c r="D463" s="425" t="n">
        <v>99.83778229134053</v>
      </c>
      <c r="E463" s="425" t="n">
        <v>100.0887680053711</v>
      </c>
      <c r="F463" s="207" t="n">
        <v>6544600</v>
      </c>
      <c r="G463" s="208" t="n">
        <v>-0.006630059574539326</v>
      </c>
      <c r="H463" s="209" cm="1">
        <f t="array" ref="H463">IF(ROW()&lt;3,"",E463/INDEX(E:E,ROW()-1)-1)</f>
        <v/>
      </c>
      <c r="I463" s="211">
        <f>IF(ROW()&lt;51,NA(),AVERAGE(INDEX(E:E,ROW()-49):E463))</f>
        <v/>
      </c>
      <c r="J463" s="211">
        <f>IF(ROW()&lt;201,NA(),AVERAGE(INDEX(E:E,ROW()-199):E463))</f>
        <v/>
      </c>
      <c r="K463" s="341">
        <f>IF(ROW()&lt;22,NA(),_xlfn.STDEV.S(INDEX(H:H,ROW()-19):H463)*SQRT(252))</f>
        <v/>
      </c>
      <c r="L463" s="426" cm="1">
        <f t="array" ref="L463">IF(ROW()&lt;17,NA(),_xlfn.LET(_xlpm.d,INDEX(E:E,ROW()-13):E463-INDEX(E:E,ROW()-14):INDEX(E:E,ROW()-1),_xlpm.g,SUM(IF(_xlpm.d&gt;0,_xlpm.d,0)),_xlpm.l,-SUM(IF(_xlpm.d&lt;0,_xlpm.d,0)),IF(_xlpm.l=0,100,100-100/(1+_xlpm.g/_xlpm.l))))</f>
        <v/>
      </c>
      <c r="M463" s="211">
        <f>MAX($E$2:E463)</f>
        <v/>
      </c>
      <c r="N463" s="341">
        <f>E463/M463-1</f>
        <v/>
      </c>
    </row>
    <row r="464">
      <c r="A464" s="424" t="n">
        <v>45135</v>
      </c>
      <c r="B464" s="425" t="n">
        <v>100.4977936530316</v>
      </c>
      <c r="C464" s="425" t="n">
        <v>101.2879423051021</v>
      </c>
      <c r="D464" s="425" t="n">
        <v>100.0515881397069</v>
      </c>
      <c r="E464" s="425" t="n">
        <v>100.9718856811523</v>
      </c>
      <c r="F464" s="207" t="n">
        <v>5988300</v>
      </c>
      <c r="G464" s="208" t="n">
        <v>0.00979036448025683</v>
      </c>
      <c r="H464" s="209" cm="1">
        <f t="array" ref="H464">IF(ROW()&lt;3,"",E464/INDEX(E:E,ROW()-1)-1)</f>
        <v/>
      </c>
      <c r="I464" s="211">
        <f>IF(ROW()&lt;51,NA(),AVERAGE(INDEX(E:E,ROW()-49):E464))</f>
        <v/>
      </c>
      <c r="J464" s="211">
        <f>IF(ROW()&lt;201,NA(),AVERAGE(INDEX(E:E,ROW()-199):E464))</f>
        <v/>
      </c>
      <c r="K464" s="341">
        <f>IF(ROW()&lt;22,NA(),_xlfn.STDEV.S(INDEX(H:H,ROW()-19):H464)*SQRT(252))</f>
        <v/>
      </c>
      <c r="L464" s="426" cm="1">
        <f t="array" ref="L464">IF(ROW()&lt;17,NA(),_xlfn.LET(_xlpm.d,INDEX(E:E,ROW()-13):E464-INDEX(E:E,ROW()-14):INDEX(E:E,ROW()-1),_xlpm.g,SUM(IF(_xlpm.d&gt;0,_xlpm.d,0)),_xlpm.l,-SUM(IF(_xlpm.d&lt;0,_xlpm.d,0)),IF(_xlpm.l=0,100,100-100/(1+_xlpm.g/_xlpm.l))))</f>
        <v/>
      </c>
      <c r="M464" s="211">
        <f>MAX($E$2:E464)</f>
        <v/>
      </c>
      <c r="N464" s="341">
        <f>E464/M464-1</f>
        <v/>
      </c>
    </row>
    <row r="465">
      <c r="A465" s="424" t="n">
        <v>45138</v>
      </c>
      <c r="B465" s="425" t="n">
        <v>101.7062635640519</v>
      </c>
      <c r="C465" s="425" t="n">
        <v>103.0448659493844</v>
      </c>
      <c r="D465" s="425" t="n">
        <v>101.3716111946698</v>
      </c>
      <c r="E465" s="425" t="n">
        <v>102.6172561645508</v>
      </c>
      <c r="F465" s="207" t="n">
        <v>6406000</v>
      </c>
      <c r="G465" s="208" t="n">
        <v>0.001904074721293503</v>
      </c>
      <c r="H465" s="209" cm="1">
        <f t="array" ref="H465">IF(ROW()&lt;3,"",E465/INDEX(E:E,ROW()-1)-1)</f>
        <v/>
      </c>
      <c r="I465" s="211">
        <f>IF(ROW()&lt;51,NA(),AVERAGE(INDEX(E:E,ROW()-49):E465))</f>
        <v/>
      </c>
      <c r="J465" s="211">
        <f>IF(ROW()&lt;201,NA(),AVERAGE(INDEX(E:E,ROW()-199):E465))</f>
        <v/>
      </c>
      <c r="K465" s="341">
        <f>IF(ROW()&lt;22,NA(),_xlfn.STDEV.S(INDEX(H:H,ROW()-19):H465)*SQRT(252))</f>
        <v/>
      </c>
      <c r="L465" s="426" cm="1">
        <f t="array" ref="L465">IF(ROW()&lt;17,NA(),_xlfn.LET(_xlpm.d,INDEX(E:E,ROW()-13):E465-INDEX(E:E,ROW()-14):INDEX(E:E,ROW()-1),_xlpm.g,SUM(IF(_xlpm.d&gt;0,_xlpm.d,0)),_xlpm.l,-SUM(IF(_xlpm.d&lt;0,_xlpm.d,0)),IF(_xlpm.l=0,100,100-100/(1+_xlpm.g/_xlpm.l))))</f>
        <v/>
      </c>
      <c r="M465" s="211">
        <f>MAX($E$2:E465)</f>
        <v/>
      </c>
      <c r="N465" s="341">
        <f>E465/M465-1</f>
        <v/>
      </c>
    </row>
    <row r="466">
      <c r="A466" s="424" t="n">
        <v>45139</v>
      </c>
      <c r="B466" s="425" t="n">
        <v>102.2547196765918</v>
      </c>
      <c r="C466" s="425" t="n">
        <v>102.7474003730094</v>
      </c>
      <c r="D466" s="425" t="n">
        <v>101.4552731190173</v>
      </c>
      <c r="E466" s="425" t="n">
        <v>101.6969680786133</v>
      </c>
      <c r="F466" s="207" t="n">
        <v>4566700</v>
      </c>
      <c r="G466" s="208" t="n">
        <v>-0.002861609517138985</v>
      </c>
      <c r="H466" s="209" cm="1">
        <f t="array" ref="H466">IF(ROW()&lt;3,"",E466/INDEX(E:E,ROW()-1)-1)</f>
        <v/>
      </c>
      <c r="I466" s="211">
        <f>IF(ROW()&lt;51,NA(),AVERAGE(INDEX(E:E,ROW()-49):E466))</f>
        <v/>
      </c>
      <c r="J466" s="211">
        <f>IF(ROW()&lt;201,NA(),AVERAGE(INDEX(E:E,ROW()-199):E466))</f>
        <v/>
      </c>
      <c r="K466" s="341">
        <f>IF(ROW()&lt;22,NA(),_xlfn.STDEV.S(INDEX(H:H,ROW()-19):H466)*SQRT(252))</f>
        <v/>
      </c>
      <c r="L466" s="426" cm="1">
        <f t="array" ref="L466">IF(ROW()&lt;17,NA(),_xlfn.LET(_xlpm.d,INDEX(E:E,ROW()-13):E466-INDEX(E:E,ROW()-14):INDEX(E:E,ROW()-1),_xlpm.g,SUM(IF(_xlpm.d&gt;0,_xlpm.d,0)),_xlpm.l,-SUM(IF(_xlpm.d&lt;0,_xlpm.d,0)),IF(_xlpm.l=0,100,100-100/(1+_xlpm.g/_xlpm.l))))</f>
        <v/>
      </c>
      <c r="M466" s="211">
        <f>MAX($E$2:E466)</f>
        <v/>
      </c>
      <c r="N466" s="341">
        <f>E466/M466-1</f>
        <v/>
      </c>
    </row>
    <row r="467">
      <c r="A467" s="424" t="n">
        <v>45140</v>
      </c>
      <c r="B467" s="425" t="n">
        <v>100.6558358302497</v>
      </c>
      <c r="C467" s="425" t="n">
        <v>100.8789350715457</v>
      </c>
      <c r="D467" s="425" t="n">
        <v>99.88427571769621</v>
      </c>
      <c r="E467" s="425" t="n">
        <v>99.94005584716797</v>
      </c>
      <c r="F467" s="207" t="n">
        <v>6213200</v>
      </c>
      <c r="G467" s="208" t="n">
        <v>-0.01391077137983521</v>
      </c>
      <c r="H467" s="209" cm="1">
        <f t="array" ref="H467">IF(ROW()&lt;3,"",E467/INDEX(E:E,ROW()-1)-1)</f>
        <v/>
      </c>
      <c r="I467" s="211">
        <f>IF(ROW()&lt;51,NA(),AVERAGE(INDEX(E:E,ROW()-49):E467))</f>
        <v/>
      </c>
      <c r="J467" s="211">
        <f>IF(ROW()&lt;201,NA(),AVERAGE(INDEX(E:E,ROW()-199):E467))</f>
        <v/>
      </c>
      <c r="K467" s="341">
        <f>IF(ROW()&lt;22,NA(),_xlfn.STDEV.S(INDEX(H:H,ROW()-19):H467)*SQRT(252))</f>
        <v/>
      </c>
      <c r="L467" s="426" cm="1">
        <f t="array" ref="L467">IF(ROW()&lt;17,NA(),_xlfn.LET(_xlpm.d,INDEX(E:E,ROW()-13):E467-INDEX(E:E,ROW()-14):INDEX(E:E,ROW()-1),_xlpm.g,SUM(IF(_xlpm.d&gt;0,_xlpm.d,0)),_xlpm.l,-SUM(IF(_xlpm.d&lt;0,_xlpm.d,0)),IF(_xlpm.l=0,100,100-100/(1+_xlpm.g/_xlpm.l))))</f>
        <v/>
      </c>
      <c r="M467" s="211">
        <f>MAX($E$2:E467)</f>
        <v/>
      </c>
      <c r="N467" s="341">
        <f>E467/M467-1</f>
        <v/>
      </c>
    </row>
    <row r="468">
      <c r="A468" s="424" t="n">
        <v>45141</v>
      </c>
      <c r="B468" s="425" t="n">
        <v>99.46595417784495</v>
      </c>
      <c r="C468" s="425" t="n">
        <v>101.4087904393075</v>
      </c>
      <c r="D468" s="425" t="n">
        <v>99.14059967140341</v>
      </c>
      <c r="E468" s="425" t="n">
        <v>100.990478515625</v>
      </c>
      <c r="F468" s="207" t="n">
        <v>5084300</v>
      </c>
      <c r="G468" s="208" t="n">
        <v>-0.002865861349962251</v>
      </c>
      <c r="H468" s="209" cm="1">
        <f t="array" ref="H468">IF(ROW()&lt;3,"",E468/INDEX(E:E,ROW()-1)-1)</f>
        <v/>
      </c>
      <c r="I468" s="211">
        <f>IF(ROW()&lt;51,NA(),AVERAGE(INDEX(E:E,ROW()-49):E468))</f>
        <v/>
      </c>
      <c r="J468" s="211">
        <f>IF(ROW()&lt;201,NA(),AVERAGE(INDEX(E:E,ROW()-199):E468))</f>
        <v/>
      </c>
      <c r="K468" s="341">
        <f>IF(ROW()&lt;22,NA(),_xlfn.STDEV.S(INDEX(H:H,ROW()-19):H468)*SQRT(252))</f>
        <v/>
      </c>
      <c r="L468" s="426" cm="1">
        <f t="array" ref="L468">IF(ROW()&lt;17,NA(),_xlfn.LET(_xlpm.d,INDEX(E:E,ROW()-13):E468-INDEX(E:E,ROW()-14):INDEX(E:E,ROW()-1),_xlpm.g,SUM(IF(_xlpm.d&gt;0,_xlpm.d,0)),_xlpm.l,-SUM(IF(_xlpm.d&lt;0,_xlpm.d,0)),IF(_xlpm.l=0,100,100-100/(1+_xlpm.g/_xlpm.l))))</f>
        <v/>
      </c>
      <c r="M468" s="211">
        <f>MAX($E$2:E468)</f>
        <v/>
      </c>
      <c r="N468" s="341">
        <f>E468/M468-1</f>
        <v/>
      </c>
    </row>
    <row r="469">
      <c r="A469" s="424" t="n">
        <v>45142</v>
      </c>
      <c r="B469" s="425" t="n">
        <v>101.0555487479252</v>
      </c>
      <c r="C469" s="425" t="n">
        <v>102.5428886905234</v>
      </c>
      <c r="D469" s="425" t="n">
        <v>100.618641088369</v>
      </c>
      <c r="E469" s="425" t="n">
        <v>101.1485061645508</v>
      </c>
      <c r="F469" s="207" t="n">
        <v>5621400</v>
      </c>
      <c r="G469" s="208" t="n">
        <v>-0.004522797336639406</v>
      </c>
      <c r="H469" s="209" cm="1">
        <f t="array" ref="H469">IF(ROW()&lt;3,"",E469/INDEX(E:E,ROW()-1)-1)</f>
        <v/>
      </c>
      <c r="I469" s="211">
        <f>IF(ROW()&lt;51,NA(),AVERAGE(INDEX(E:E,ROW()-49):E469))</f>
        <v/>
      </c>
      <c r="J469" s="211">
        <f>IF(ROW()&lt;201,NA(),AVERAGE(INDEX(E:E,ROW()-199):E469))</f>
        <v/>
      </c>
      <c r="K469" s="341">
        <f>IF(ROW()&lt;22,NA(),_xlfn.STDEV.S(INDEX(H:H,ROW()-19):H469)*SQRT(252))</f>
        <v/>
      </c>
      <c r="L469" s="426" cm="1">
        <f t="array" ref="L469">IF(ROW()&lt;17,NA(),_xlfn.LET(_xlpm.d,INDEX(E:E,ROW()-13):E469-INDEX(E:E,ROW()-14):INDEX(E:E,ROW()-1),_xlpm.g,SUM(IF(_xlpm.d&gt;0,_xlpm.d,0)),_xlpm.l,-SUM(IF(_xlpm.d&lt;0,_xlpm.d,0)),IF(_xlpm.l=0,100,100-100/(1+_xlpm.g/_xlpm.l))))</f>
        <v/>
      </c>
      <c r="M469" s="211">
        <f>MAX($E$2:E469)</f>
        <v/>
      </c>
      <c r="N469" s="341">
        <f>E469/M469-1</f>
        <v/>
      </c>
    </row>
    <row r="470">
      <c r="A470" s="424" t="n">
        <v>45145</v>
      </c>
      <c r="B470" s="425" t="n">
        <v>102.1338554912286</v>
      </c>
      <c r="C470" s="425" t="n">
        <v>103.1285145562593</v>
      </c>
      <c r="D470" s="425" t="n">
        <v>101.4924373800293</v>
      </c>
      <c r="E470" s="425" t="n">
        <v>102.7009048461914</v>
      </c>
      <c r="F470" s="207" t="n">
        <v>4887300</v>
      </c>
      <c r="G470" s="208" t="n">
        <v>0.008728631416349719</v>
      </c>
      <c r="H470" s="209" cm="1">
        <f t="array" ref="H470">IF(ROW()&lt;3,"",E470/INDEX(E:E,ROW()-1)-1)</f>
        <v/>
      </c>
      <c r="I470" s="211">
        <f>IF(ROW()&lt;51,NA(),AVERAGE(INDEX(E:E,ROW()-49):E470))</f>
        <v/>
      </c>
      <c r="J470" s="211">
        <f>IF(ROW()&lt;201,NA(),AVERAGE(INDEX(E:E,ROW()-199):E470))</f>
        <v/>
      </c>
      <c r="K470" s="341">
        <f>IF(ROW()&lt;22,NA(),_xlfn.STDEV.S(INDEX(H:H,ROW()-19):H470)*SQRT(252))</f>
        <v/>
      </c>
      <c r="L470" s="426" cm="1">
        <f t="array" ref="L470">IF(ROW()&lt;17,NA(),_xlfn.LET(_xlpm.d,INDEX(E:E,ROW()-13):E470-INDEX(E:E,ROW()-14):INDEX(E:E,ROW()-1),_xlpm.g,SUM(IF(_xlpm.d&gt;0,_xlpm.d,0)),_xlpm.l,-SUM(IF(_xlpm.d&lt;0,_xlpm.d,0)),IF(_xlpm.l=0,100,100-100/(1+_xlpm.g/_xlpm.l))))</f>
        <v/>
      </c>
      <c r="M470" s="211">
        <f>MAX($E$2:E470)</f>
        <v/>
      </c>
      <c r="N470" s="341">
        <f>E470/M470-1</f>
        <v/>
      </c>
    </row>
    <row r="471">
      <c r="A471" s="424" t="n">
        <v>45146</v>
      </c>
      <c r="B471" s="425" t="n">
        <v>101.9107726083001</v>
      </c>
      <c r="C471" s="425" t="n">
        <v>102.152467575434</v>
      </c>
      <c r="D471" s="425" t="n">
        <v>99.79131221456296</v>
      </c>
      <c r="E471" s="425" t="n">
        <v>101.966552734375</v>
      </c>
      <c r="F471" s="207" t="n">
        <v>5851900</v>
      </c>
      <c r="G471" s="208" t="n">
        <v>-0.004348744784511194</v>
      </c>
      <c r="H471" s="209" cm="1">
        <f t="array" ref="H471">IF(ROW()&lt;3,"",E471/INDEX(E:E,ROW()-1)-1)</f>
        <v/>
      </c>
      <c r="I471" s="211">
        <f>IF(ROW()&lt;51,NA(),AVERAGE(INDEX(E:E,ROW()-49):E471))</f>
        <v/>
      </c>
      <c r="J471" s="211">
        <f>IF(ROW()&lt;201,NA(),AVERAGE(INDEX(E:E,ROW()-199):E471))</f>
        <v/>
      </c>
      <c r="K471" s="341">
        <f>IF(ROW()&lt;22,NA(),_xlfn.STDEV.S(INDEX(H:H,ROW()-19):H471)*SQRT(252))</f>
        <v/>
      </c>
      <c r="L471" s="426" cm="1">
        <f t="array" ref="L471">IF(ROW()&lt;17,NA(),_xlfn.LET(_xlpm.d,INDEX(E:E,ROW()-13):E471-INDEX(E:E,ROW()-14):INDEX(E:E,ROW()-1),_xlpm.g,SUM(IF(_xlpm.d&gt;0,_xlpm.d,0)),_xlpm.l,-SUM(IF(_xlpm.d&lt;0,_xlpm.d,0)),IF(_xlpm.l=0,100,100-100/(1+_xlpm.g/_xlpm.l))))</f>
        <v/>
      </c>
      <c r="M471" s="211">
        <f>MAX($E$2:E471)</f>
        <v/>
      </c>
      <c r="N471" s="341">
        <f>E471/M471-1</f>
        <v/>
      </c>
    </row>
    <row r="472">
      <c r="A472" s="424" t="n">
        <v>45147</v>
      </c>
      <c r="B472" s="425" t="n">
        <v>102.0595101549045</v>
      </c>
      <c r="C472" s="425" t="n">
        <v>102.2733115129026</v>
      </c>
      <c r="D472" s="425" t="n">
        <v>100.6744254400845</v>
      </c>
      <c r="E472" s="425" t="n">
        <v>101.966552734375</v>
      </c>
      <c r="F472" s="207" t="n">
        <v>4328600</v>
      </c>
      <c r="G472" s="208" t="n">
        <v>-0.006685282972830775</v>
      </c>
      <c r="H472" s="209" cm="1">
        <f t="array" ref="H472">IF(ROW()&lt;3,"",E472/INDEX(E:E,ROW()-1)-1)</f>
        <v/>
      </c>
      <c r="I472" s="211">
        <f>IF(ROW()&lt;51,NA(),AVERAGE(INDEX(E:E,ROW()-49):E472))</f>
        <v/>
      </c>
      <c r="J472" s="211">
        <f>IF(ROW()&lt;201,NA(),AVERAGE(INDEX(E:E,ROW()-199):E472))</f>
        <v/>
      </c>
      <c r="K472" s="341">
        <f>IF(ROW()&lt;22,NA(),_xlfn.STDEV.S(INDEX(H:H,ROW()-19):H472)*SQRT(252))</f>
        <v/>
      </c>
      <c r="L472" s="426" cm="1">
        <f t="array" ref="L472">IF(ROW()&lt;17,NA(),_xlfn.LET(_xlpm.d,INDEX(E:E,ROW()-13):E472-INDEX(E:E,ROW()-14):INDEX(E:E,ROW()-1),_xlpm.g,SUM(IF(_xlpm.d&gt;0,_xlpm.d,0)),_xlpm.l,-SUM(IF(_xlpm.d&lt;0,_xlpm.d,0)),IF(_xlpm.l=0,100,100-100/(1+_xlpm.g/_xlpm.l))))</f>
        <v/>
      </c>
      <c r="M472" s="211">
        <f>MAX($E$2:E472)</f>
        <v/>
      </c>
      <c r="N472" s="341">
        <f>E472/M472-1</f>
        <v/>
      </c>
    </row>
    <row r="473">
      <c r="A473" s="424" t="n">
        <v>45148</v>
      </c>
      <c r="B473" s="425" t="n">
        <v>102.542899422357</v>
      </c>
      <c r="C473" s="425" t="n">
        <v>104.0674239095969</v>
      </c>
      <c r="D473" s="425" t="n">
        <v>100.8789352494873</v>
      </c>
      <c r="E473" s="425" t="n">
        <v>101.35302734375</v>
      </c>
      <c r="F473" s="207" t="n">
        <v>7276500</v>
      </c>
      <c r="G473" s="208" t="n">
        <v>0.0003589119993798739</v>
      </c>
      <c r="H473" s="209" cm="1">
        <f t="array" ref="H473">IF(ROW()&lt;3,"",E473/INDEX(E:E,ROW()-1)-1)</f>
        <v/>
      </c>
      <c r="I473" s="211">
        <f>IF(ROW()&lt;51,NA(),AVERAGE(INDEX(E:E,ROW()-49):E473))</f>
        <v/>
      </c>
      <c r="J473" s="211">
        <f>IF(ROW()&lt;201,NA(),AVERAGE(INDEX(E:E,ROW()-199):E473))</f>
        <v/>
      </c>
      <c r="K473" s="341">
        <f>IF(ROW()&lt;22,NA(),_xlfn.STDEV.S(INDEX(H:H,ROW()-19):H473)*SQRT(252))</f>
        <v/>
      </c>
      <c r="L473" s="426" cm="1">
        <f t="array" ref="L473">IF(ROW()&lt;17,NA(),_xlfn.LET(_xlpm.d,INDEX(E:E,ROW()-13):E473-INDEX(E:E,ROW()-14):INDEX(E:E,ROW()-1),_xlpm.g,SUM(IF(_xlpm.d&gt;0,_xlpm.d,0)),_xlpm.l,-SUM(IF(_xlpm.d&lt;0,_xlpm.d,0)),IF(_xlpm.l=0,100,100-100/(1+_xlpm.g/_xlpm.l))))</f>
        <v/>
      </c>
      <c r="M473" s="211">
        <f>MAX($E$2:E473)</f>
        <v/>
      </c>
      <c r="N473" s="341">
        <f>E473/M473-1</f>
        <v/>
      </c>
    </row>
    <row r="474">
      <c r="A474" s="424" t="n">
        <v>45149</v>
      </c>
      <c r="B474" s="425" t="n">
        <v>101.23217366362</v>
      </c>
      <c r="C474" s="425" t="n">
        <v>101.8178117763105</v>
      </c>
      <c r="D474" s="425" t="n">
        <v>100.2654009196732</v>
      </c>
      <c r="E474" s="425" t="n">
        <v>100.4792022705078</v>
      </c>
      <c r="F474" s="207" t="n">
        <v>5104300</v>
      </c>
      <c r="G474" s="208" t="n">
        <v>-0.0005830405489853918</v>
      </c>
      <c r="H474" s="209" cm="1">
        <f t="array" ref="H474">IF(ROW()&lt;3,"",E474/INDEX(E:E,ROW()-1)-1)</f>
        <v/>
      </c>
      <c r="I474" s="211">
        <f>IF(ROW()&lt;51,NA(),AVERAGE(INDEX(E:E,ROW()-49):E474))</f>
        <v/>
      </c>
      <c r="J474" s="211">
        <f>IF(ROW()&lt;201,NA(),AVERAGE(INDEX(E:E,ROW()-199):E474))</f>
        <v/>
      </c>
      <c r="K474" s="341">
        <f>IF(ROW()&lt;22,NA(),_xlfn.STDEV.S(INDEX(H:H,ROW()-19):H474)*SQRT(252))</f>
        <v/>
      </c>
      <c r="L474" s="426" cm="1">
        <f t="array" ref="L474">IF(ROW()&lt;17,NA(),_xlfn.LET(_xlpm.d,INDEX(E:E,ROW()-13):E474-INDEX(E:E,ROW()-14):INDEX(E:E,ROW()-1),_xlpm.g,SUM(IF(_xlpm.d&gt;0,_xlpm.d,0)),_xlpm.l,-SUM(IF(_xlpm.d&lt;0,_xlpm.d,0)),IF(_xlpm.l=0,100,100-100/(1+_xlpm.g/_xlpm.l))))</f>
        <v/>
      </c>
      <c r="M474" s="211">
        <f>MAX($E$2:E474)</f>
        <v/>
      </c>
      <c r="N474" s="341">
        <f>E474/M474-1</f>
        <v/>
      </c>
    </row>
    <row r="475">
      <c r="A475" s="424" t="n">
        <v>45152</v>
      </c>
      <c r="B475" s="425" t="n">
        <v>100.3211891014894</v>
      </c>
      <c r="C475" s="425" t="n">
        <v>100.674437270086</v>
      </c>
      <c r="D475" s="425" t="n">
        <v>99.53104029584557</v>
      </c>
      <c r="E475" s="425" t="n">
        <v>100.060905456543</v>
      </c>
      <c r="F475" s="207" t="n">
        <v>5305200</v>
      </c>
      <c r="G475" s="208" t="n">
        <v>0.005520062466696229</v>
      </c>
      <c r="H475" s="209" cm="1">
        <f t="array" ref="H475">IF(ROW()&lt;3,"",E475/INDEX(E:E,ROW()-1)-1)</f>
        <v/>
      </c>
      <c r="I475" s="211">
        <f>IF(ROW()&lt;51,NA(),AVERAGE(INDEX(E:E,ROW()-49):E475))</f>
        <v/>
      </c>
      <c r="J475" s="211">
        <f>IF(ROW()&lt;201,NA(),AVERAGE(INDEX(E:E,ROW()-199):E475))</f>
        <v/>
      </c>
      <c r="K475" s="341">
        <f>IF(ROW()&lt;22,NA(),_xlfn.STDEV.S(INDEX(H:H,ROW()-19):H475)*SQRT(252))</f>
        <v/>
      </c>
      <c r="L475" s="426" cm="1">
        <f t="array" ref="L475">IF(ROW()&lt;17,NA(),_xlfn.LET(_xlpm.d,INDEX(E:E,ROW()-13):E475-INDEX(E:E,ROW()-14):INDEX(E:E,ROW()-1),_xlpm.g,SUM(IF(_xlpm.d&gt;0,_xlpm.d,0)),_xlpm.l,-SUM(IF(_xlpm.d&lt;0,_xlpm.d,0)),IF(_xlpm.l=0,100,100-100/(1+_xlpm.g/_xlpm.l))))</f>
        <v/>
      </c>
      <c r="M475" s="211">
        <f>MAX($E$2:E475)</f>
        <v/>
      </c>
      <c r="N475" s="341">
        <f>E475/M475-1</f>
        <v/>
      </c>
    </row>
    <row r="476">
      <c r="A476" s="424" t="n">
        <v>45153</v>
      </c>
      <c r="B476" s="425" t="n">
        <v>98.60141723701038</v>
      </c>
      <c r="C476" s="425" t="n">
        <v>99.29860836683525</v>
      </c>
      <c r="D476" s="425" t="n">
        <v>98.16450966090228</v>
      </c>
      <c r="E476" s="425" t="n">
        <v>99.04762268066406</v>
      </c>
      <c r="F476" s="207" t="n">
        <v>6197600</v>
      </c>
      <c r="G476" s="208" t="n">
        <v>-0.01164891538166357</v>
      </c>
      <c r="H476" s="209" cm="1">
        <f t="array" ref="H476">IF(ROW()&lt;3,"",E476/INDEX(E:E,ROW()-1)-1)</f>
        <v/>
      </c>
      <c r="I476" s="211">
        <f>IF(ROW()&lt;51,NA(),AVERAGE(INDEX(E:E,ROW()-49):E476))</f>
        <v/>
      </c>
      <c r="J476" s="211">
        <f>IF(ROW()&lt;201,NA(),AVERAGE(INDEX(E:E,ROW()-199):E476))</f>
        <v/>
      </c>
      <c r="K476" s="341">
        <f>IF(ROW()&lt;22,NA(),_xlfn.STDEV.S(INDEX(H:H,ROW()-19):H476)*SQRT(252))</f>
        <v/>
      </c>
      <c r="L476" s="426" cm="1">
        <f t="array" ref="L476">IF(ROW()&lt;17,NA(),_xlfn.LET(_xlpm.d,INDEX(E:E,ROW()-13):E476-INDEX(E:E,ROW()-14):INDEX(E:E,ROW()-1),_xlpm.g,SUM(IF(_xlpm.d&gt;0,_xlpm.d,0)),_xlpm.l,-SUM(IF(_xlpm.d&lt;0,_xlpm.d,0)),IF(_xlpm.l=0,100,100-100/(1+_xlpm.g/_xlpm.l))))</f>
        <v/>
      </c>
      <c r="M476" s="211">
        <f>MAX($E$2:E476)</f>
        <v/>
      </c>
      <c r="N476" s="341">
        <f>E476/M476-1</f>
        <v/>
      </c>
    </row>
    <row r="477">
      <c r="A477" s="424" t="n">
        <v>45154</v>
      </c>
      <c r="B477" s="425" t="n">
        <v>98.60143531800519</v>
      </c>
      <c r="C477" s="425" t="n">
        <v>100.7487821221322</v>
      </c>
      <c r="D477" s="425" t="n">
        <v>98.60143531800519</v>
      </c>
      <c r="E477" s="425" t="n">
        <v>99.02904510498047</v>
      </c>
      <c r="F477" s="207" t="n">
        <v>5953100</v>
      </c>
      <c r="G477" s="208" t="n">
        <v>-0.007338311534433872</v>
      </c>
      <c r="H477" s="209" cm="1">
        <f t="array" ref="H477">IF(ROW()&lt;3,"",E477/INDEX(E:E,ROW()-1)-1)</f>
        <v/>
      </c>
      <c r="I477" s="211">
        <f>IF(ROW()&lt;51,NA(),AVERAGE(INDEX(E:E,ROW()-49):E477))</f>
        <v/>
      </c>
      <c r="J477" s="211">
        <f>IF(ROW()&lt;201,NA(),AVERAGE(INDEX(E:E,ROW()-199):E477))</f>
        <v/>
      </c>
      <c r="K477" s="341">
        <f>IF(ROW()&lt;22,NA(),_xlfn.STDEV.S(INDEX(H:H,ROW()-19):H477)*SQRT(252))</f>
        <v/>
      </c>
      <c r="L477" s="426" cm="1">
        <f t="array" ref="L477">IF(ROW()&lt;17,NA(),_xlfn.LET(_xlpm.d,INDEX(E:E,ROW()-13):E477-INDEX(E:E,ROW()-14):INDEX(E:E,ROW()-1),_xlpm.g,SUM(IF(_xlpm.d&gt;0,_xlpm.d,0)),_xlpm.l,-SUM(IF(_xlpm.d&lt;0,_xlpm.d,0)),IF(_xlpm.l=0,100,100-100/(1+_xlpm.g/_xlpm.l))))</f>
        <v/>
      </c>
      <c r="M477" s="211">
        <f>MAX($E$2:E477)</f>
        <v/>
      </c>
      <c r="N477" s="341">
        <f>E477/M477-1</f>
        <v/>
      </c>
    </row>
    <row r="478">
      <c r="A478" s="424" t="n">
        <v>45155</v>
      </c>
      <c r="B478" s="425" t="n">
        <v>99.86567700333735</v>
      </c>
      <c r="C478" s="425" t="n">
        <v>100.237513762816</v>
      </c>
      <c r="D478" s="425" t="n">
        <v>97.40226645051224</v>
      </c>
      <c r="E478" s="425" t="n">
        <v>97.65325927734375</v>
      </c>
      <c r="F478" s="207" t="n">
        <v>5692800</v>
      </c>
      <c r="G478" s="208" t="n">
        <v>-0.00761979937244206</v>
      </c>
      <c r="H478" s="209" cm="1">
        <f t="array" ref="H478">IF(ROW()&lt;3,"",E478/INDEX(E:E,ROW()-1)-1)</f>
        <v/>
      </c>
      <c r="I478" s="211">
        <f>IF(ROW()&lt;51,NA(),AVERAGE(INDEX(E:E,ROW()-49):E478))</f>
        <v/>
      </c>
      <c r="J478" s="211">
        <f>IF(ROW()&lt;201,NA(),AVERAGE(INDEX(E:E,ROW()-199):E478))</f>
        <v/>
      </c>
      <c r="K478" s="341">
        <f>IF(ROW()&lt;22,NA(),_xlfn.STDEV.S(INDEX(H:H,ROW()-19):H478)*SQRT(252))</f>
        <v/>
      </c>
      <c r="L478" s="426" cm="1">
        <f t="array" ref="L478">IF(ROW()&lt;17,NA(),_xlfn.LET(_xlpm.d,INDEX(E:E,ROW()-13):E478-INDEX(E:E,ROW()-14):INDEX(E:E,ROW()-1),_xlpm.g,SUM(IF(_xlpm.d&gt;0,_xlpm.d,0)),_xlpm.l,-SUM(IF(_xlpm.d&lt;0,_xlpm.d,0)),IF(_xlpm.l=0,100,100-100/(1+_xlpm.g/_xlpm.l))))</f>
        <v/>
      </c>
      <c r="M478" s="211">
        <f>MAX($E$2:E478)</f>
        <v/>
      </c>
      <c r="N478" s="341">
        <f>E478/M478-1</f>
        <v/>
      </c>
    </row>
    <row r="479">
      <c r="A479" s="424" t="n">
        <v>45156</v>
      </c>
      <c r="B479" s="425" t="n">
        <v>96.5191527217769</v>
      </c>
      <c r="C479" s="425" t="n">
        <v>97.65325155703842</v>
      </c>
      <c r="D479" s="425" t="n">
        <v>96.45408182592728</v>
      </c>
      <c r="E479" s="425" t="n">
        <v>97.43014526367188</v>
      </c>
      <c r="F479" s="207" t="n">
        <v>5836100</v>
      </c>
      <c r="G479" s="208" t="n">
        <v>0.0004814044607575063</v>
      </c>
      <c r="H479" s="209" cm="1">
        <f t="array" ref="H479">IF(ROW()&lt;3,"",E479/INDEX(E:E,ROW()-1)-1)</f>
        <v/>
      </c>
      <c r="I479" s="211">
        <f>IF(ROW()&lt;51,NA(),AVERAGE(INDEX(E:E,ROW()-49):E479))</f>
        <v/>
      </c>
      <c r="J479" s="211">
        <f>IF(ROW()&lt;201,NA(),AVERAGE(INDEX(E:E,ROW()-199):E479))</f>
        <v/>
      </c>
      <c r="K479" s="341">
        <f>IF(ROW()&lt;22,NA(),_xlfn.STDEV.S(INDEX(H:H,ROW()-19):H479)*SQRT(252))</f>
        <v/>
      </c>
      <c r="L479" s="426" cm="1">
        <f t="array" ref="L479">IF(ROW()&lt;17,NA(),_xlfn.LET(_xlpm.d,INDEX(E:E,ROW()-13):E479-INDEX(E:E,ROW()-14):INDEX(E:E,ROW()-1),_xlpm.g,SUM(IF(_xlpm.d&gt;0,_xlpm.d,0)),_xlpm.l,-SUM(IF(_xlpm.d&lt;0,_xlpm.d,0)),IF(_xlpm.l=0,100,100-100/(1+_xlpm.g/_xlpm.l))))</f>
        <v/>
      </c>
      <c r="M479" s="211">
        <f>MAX($E$2:E479)</f>
        <v/>
      </c>
      <c r="N479" s="341">
        <f>E479/M479-1</f>
        <v/>
      </c>
    </row>
    <row r="480">
      <c r="A480" s="424" t="n">
        <v>45159</v>
      </c>
      <c r="B480" s="425" t="n">
        <v>98.04368059530287</v>
      </c>
      <c r="C480" s="425" t="n">
        <v>98.05297846425614</v>
      </c>
      <c r="D480" s="425" t="n">
        <v>95.40364609605949</v>
      </c>
      <c r="E480" s="425" t="n">
        <v>95.61745452880859</v>
      </c>
      <c r="F480" s="207" t="n">
        <v>6697600</v>
      </c>
      <c r="G480" s="208" t="n">
        <v>0.006506236440642299</v>
      </c>
      <c r="H480" s="209" cm="1">
        <f t="array" ref="H480">IF(ROW()&lt;3,"",E480/INDEX(E:E,ROW()-1)-1)</f>
        <v/>
      </c>
      <c r="I480" s="211">
        <f>IF(ROW()&lt;51,NA(),AVERAGE(INDEX(E:E,ROW()-49):E480))</f>
        <v/>
      </c>
      <c r="J480" s="211">
        <f>IF(ROW()&lt;201,NA(),AVERAGE(INDEX(E:E,ROW()-199):E480))</f>
        <v/>
      </c>
      <c r="K480" s="341">
        <f>IF(ROW()&lt;22,NA(),_xlfn.STDEV.S(INDEX(H:H,ROW()-19):H480)*SQRT(252))</f>
        <v/>
      </c>
      <c r="L480" s="426" cm="1">
        <f t="array" ref="L480">IF(ROW()&lt;17,NA(),_xlfn.LET(_xlpm.d,INDEX(E:E,ROW()-13):E480-INDEX(E:E,ROW()-14):INDEX(E:E,ROW()-1),_xlpm.g,SUM(IF(_xlpm.d&gt;0,_xlpm.d,0)),_xlpm.l,-SUM(IF(_xlpm.d&lt;0,_xlpm.d,0)),IF(_xlpm.l=0,100,100-100/(1+_xlpm.g/_xlpm.l))))</f>
        <v/>
      </c>
      <c r="M480" s="211">
        <f>MAX($E$2:E480)</f>
        <v/>
      </c>
      <c r="N480" s="341">
        <f>E480/M480-1</f>
        <v/>
      </c>
    </row>
    <row r="481">
      <c r="A481" s="424" t="n">
        <v>45160</v>
      </c>
      <c r="B481" s="425" t="n">
        <v>93.85123823826677</v>
      </c>
      <c r="C481" s="425" t="n">
        <v>95.16196120587233</v>
      </c>
      <c r="D481" s="425" t="n">
        <v>93.6374368910521</v>
      </c>
      <c r="E481" s="425" t="n">
        <v>94.31603240966797</v>
      </c>
      <c r="F481" s="207" t="n">
        <v>9814700</v>
      </c>
      <c r="G481" s="208" t="n">
        <v>-0.002708779529155492</v>
      </c>
      <c r="H481" s="209" cm="1">
        <f t="array" ref="H481">IF(ROW()&lt;3,"",E481/INDEX(E:E,ROW()-1)-1)</f>
        <v/>
      </c>
      <c r="I481" s="211">
        <f>IF(ROW()&lt;51,NA(),AVERAGE(INDEX(E:E,ROW()-49):E481))</f>
        <v/>
      </c>
      <c r="J481" s="211">
        <f>IF(ROW()&lt;201,NA(),AVERAGE(INDEX(E:E,ROW()-199):E481))</f>
        <v/>
      </c>
      <c r="K481" s="341">
        <f>IF(ROW()&lt;22,NA(),_xlfn.STDEV.S(INDEX(H:H,ROW()-19):H481)*SQRT(252))</f>
        <v/>
      </c>
      <c r="L481" s="426" cm="1">
        <f t="array" ref="L481">IF(ROW()&lt;17,NA(),_xlfn.LET(_xlpm.d,INDEX(E:E,ROW()-13):E481-INDEX(E:E,ROW()-14):INDEX(E:E,ROW()-1),_xlpm.g,SUM(IF(_xlpm.d&gt;0,_xlpm.d,0)),_xlpm.l,-SUM(IF(_xlpm.d&lt;0,_xlpm.d,0)),IF(_xlpm.l=0,100,100-100/(1+_xlpm.g/_xlpm.l))))</f>
        <v/>
      </c>
      <c r="M481" s="211">
        <f>MAX($E$2:E481)</f>
        <v/>
      </c>
      <c r="N481" s="341">
        <f>E481/M481-1</f>
        <v/>
      </c>
    </row>
    <row r="482">
      <c r="A482" s="424" t="n">
        <v>45161</v>
      </c>
      <c r="B482" s="425" t="n">
        <v>90.1514688218985</v>
      </c>
      <c r="C482" s="425" t="n">
        <v>92.20585793990028</v>
      </c>
      <c r="D482" s="425" t="n">
        <v>89.75174560305321</v>
      </c>
      <c r="E482" s="425" t="n">
        <v>91.79683685302734</v>
      </c>
      <c r="F482" s="207" t="n">
        <v>20909100</v>
      </c>
      <c r="G482" s="208" t="n">
        <v>0.01113792990734508</v>
      </c>
      <c r="H482" s="209" cm="1">
        <f t="array" ref="H482">IF(ROW()&lt;3,"",E482/INDEX(E:E,ROW()-1)-1)</f>
        <v/>
      </c>
      <c r="I482" s="211">
        <f>IF(ROW()&lt;51,NA(),AVERAGE(INDEX(E:E,ROW()-49):E482))</f>
        <v/>
      </c>
      <c r="J482" s="211">
        <f>IF(ROW()&lt;201,NA(),AVERAGE(INDEX(E:E,ROW()-199):E482))</f>
        <v/>
      </c>
      <c r="K482" s="341">
        <f>IF(ROW()&lt;22,NA(),_xlfn.STDEV.S(INDEX(H:H,ROW()-19):H482)*SQRT(252))</f>
        <v/>
      </c>
      <c r="L482" s="426" cm="1">
        <f t="array" ref="L482">IF(ROW()&lt;17,NA(),_xlfn.LET(_xlpm.d,INDEX(E:E,ROW()-13):E482-INDEX(E:E,ROW()-14):INDEX(E:E,ROW()-1),_xlpm.g,SUM(IF(_xlpm.d&gt;0,_xlpm.d,0)),_xlpm.l,-SUM(IF(_xlpm.d&lt;0,_xlpm.d,0)),IF(_xlpm.l=0,100,100-100/(1+_xlpm.g/_xlpm.l))))</f>
        <v/>
      </c>
      <c r="M482" s="211">
        <f>MAX($E$2:E482)</f>
        <v/>
      </c>
      <c r="N482" s="341">
        <f>E482/M482-1</f>
        <v/>
      </c>
    </row>
    <row r="483">
      <c r="A483" s="424" t="n">
        <v>45162</v>
      </c>
      <c r="B483" s="425" t="n">
        <v>91.75038145002193</v>
      </c>
      <c r="C483" s="425" t="n">
        <v>92.20588491811205</v>
      </c>
      <c r="D483" s="425" t="n">
        <v>90.69065113505661</v>
      </c>
      <c r="E483" s="425" t="n">
        <v>90.75572204589844</v>
      </c>
      <c r="F483" s="207" t="n">
        <v>10310000</v>
      </c>
      <c r="G483" s="208" t="n">
        <v>-0.01385915332236698</v>
      </c>
      <c r="H483" s="209" cm="1">
        <f t="array" ref="H483">IF(ROW()&lt;3,"",E483/INDEX(E:E,ROW()-1)-1)</f>
        <v/>
      </c>
      <c r="I483" s="211">
        <f>IF(ROW()&lt;51,NA(),AVERAGE(INDEX(E:E,ROW()-49):E483))</f>
        <v/>
      </c>
      <c r="J483" s="211">
        <f>IF(ROW()&lt;201,NA(),AVERAGE(INDEX(E:E,ROW()-199):E483))</f>
        <v/>
      </c>
      <c r="K483" s="341">
        <f>IF(ROW()&lt;22,NA(),_xlfn.STDEV.S(INDEX(H:H,ROW()-19):H483)*SQRT(252))</f>
        <v/>
      </c>
      <c r="L483" s="426" cm="1">
        <f t="array" ref="L483">IF(ROW()&lt;17,NA(),_xlfn.LET(_xlpm.d,INDEX(E:E,ROW()-13):E483-INDEX(E:E,ROW()-14):INDEX(E:E,ROW()-1),_xlpm.g,SUM(IF(_xlpm.d&gt;0,_xlpm.d,0)),_xlpm.l,-SUM(IF(_xlpm.d&lt;0,_xlpm.d,0)),IF(_xlpm.l=0,100,100-100/(1+_xlpm.g/_xlpm.l))))</f>
        <v/>
      </c>
      <c r="M483" s="211">
        <f>MAX($E$2:E483)</f>
        <v/>
      </c>
      <c r="N483" s="341">
        <f>E483/M483-1</f>
        <v/>
      </c>
    </row>
    <row r="484">
      <c r="A484" s="424" t="n">
        <v>45163</v>
      </c>
      <c r="B484" s="425" t="n">
        <v>91.5644517904686</v>
      </c>
      <c r="C484" s="425" t="n">
        <v>92.11290550861418</v>
      </c>
      <c r="D484" s="425" t="n">
        <v>90.923033564261</v>
      </c>
      <c r="E484" s="425" t="n">
        <v>91.88050842285156</v>
      </c>
      <c r="F484" s="207" t="n">
        <v>7290600</v>
      </c>
      <c r="G484" s="208" t="n">
        <v>0.007049933125505392</v>
      </c>
      <c r="H484" s="209" cm="1">
        <f t="array" ref="H484">IF(ROW()&lt;3,"",E484/INDEX(E:E,ROW()-1)-1)</f>
        <v/>
      </c>
      <c r="I484" s="211">
        <f>IF(ROW()&lt;51,NA(),AVERAGE(INDEX(E:E,ROW()-49):E484))</f>
        <v/>
      </c>
      <c r="J484" s="211">
        <f>IF(ROW()&lt;201,NA(),AVERAGE(INDEX(E:E,ROW()-199):E484))</f>
        <v/>
      </c>
      <c r="K484" s="341">
        <f>IF(ROW()&lt;22,NA(),_xlfn.STDEV.S(INDEX(H:H,ROW()-19):H484)*SQRT(252))</f>
        <v/>
      </c>
      <c r="L484" s="426" cm="1">
        <f t="array" ref="L484">IF(ROW()&lt;17,NA(),_xlfn.LET(_xlpm.d,INDEX(E:E,ROW()-13):E484-INDEX(E:E,ROW()-14):INDEX(E:E,ROW()-1),_xlpm.g,SUM(IF(_xlpm.d&gt;0,_xlpm.d,0)),_xlpm.l,-SUM(IF(_xlpm.d&lt;0,_xlpm.d,0)),IF(_xlpm.l=0,100,100-100/(1+_xlpm.g/_xlpm.l))))</f>
        <v/>
      </c>
      <c r="M484" s="211">
        <f>MAX($E$2:E484)</f>
        <v/>
      </c>
      <c r="N484" s="341">
        <f>E484/M484-1</f>
        <v/>
      </c>
    </row>
    <row r="485">
      <c r="A485" s="424" t="n">
        <v>45166</v>
      </c>
      <c r="B485" s="425" t="n">
        <v>92.57769903832379</v>
      </c>
      <c r="C485" s="425" t="n">
        <v>93.01460669127992</v>
      </c>
      <c r="D485" s="425" t="n">
        <v>91.90840139341235</v>
      </c>
      <c r="E485" s="425" t="n">
        <v>92.61488342285156</v>
      </c>
      <c r="F485" s="207" t="n">
        <v>6006600</v>
      </c>
      <c r="G485" s="208" t="n">
        <v>0.006341315927350433</v>
      </c>
      <c r="H485" s="209" cm="1">
        <f t="array" ref="H485">IF(ROW()&lt;3,"",E485/INDEX(E:E,ROW()-1)-1)</f>
        <v/>
      </c>
      <c r="I485" s="211">
        <f>IF(ROW()&lt;51,NA(),AVERAGE(INDEX(E:E,ROW()-49):E485))</f>
        <v/>
      </c>
      <c r="J485" s="211">
        <f>IF(ROW()&lt;201,NA(),AVERAGE(INDEX(E:E,ROW()-199):E485))</f>
        <v/>
      </c>
      <c r="K485" s="341">
        <f>IF(ROW()&lt;22,NA(),_xlfn.STDEV.S(INDEX(H:H,ROW()-19):H485)*SQRT(252))</f>
        <v/>
      </c>
      <c r="L485" s="426" cm="1">
        <f t="array" ref="L485">IF(ROW()&lt;17,NA(),_xlfn.LET(_xlpm.d,INDEX(E:E,ROW()-13):E485-INDEX(E:E,ROW()-14):INDEX(E:E,ROW()-1),_xlpm.g,SUM(IF(_xlpm.d&gt;0,_xlpm.d,0)),_xlpm.l,-SUM(IF(_xlpm.d&lt;0,_xlpm.d,0)),IF(_xlpm.l=0,100,100-100/(1+_xlpm.g/_xlpm.l))))</f>
        <v/>
      </c>
      <c r="M485" s="211">
        <f>MAX($E$2:E485)</f>
        <v/>
      </c>
      <c r="N485" s="341">
        <f>E485/M485-1</f>
        <v/>
      </c>
    </row>
    <row r="486">
      <c r="A486" s="424" t="n">
        <v>45167</v>
      </c>
      <c r="B486" s="425" t="n">
        <v>92.98672054422224</v>
      </c>
      <c r="C486" s="425" t="n">
        <v>94.9667482480405</v>
      </c>
      <c r="D486" s="425" t="n">
        <v>92.69855042823585</v>
      </c>
      <c r="E486" s="425" t="n">
        <v>94.60420227050781</v>
      </c>
      <c r="F486" s="207" t="n">
        <v>8641600</v>
      </c>
      <c r="G486" s="208" t="n">
        <v>0.01445472118012048</v>
      </c>
      <c r="H486" s="209" cm="1">
        <f t="array" ref="H486">IF(ROW()&lt;3,"",E486/INDEX(E:E,ROW()-1)-1)</f>
        <v/>
      </c>
      <c r="I486" s="211">
        <f>IF(ROW()&lt;51,NA(),AVERAGE(INDEX(E:E,ROW()-49):E486))</f>
        <v/>
      </c>
      <c r="J486" s="211">
        <f>IF(ROW()&lt;201,NA(),AVERAGE(INDEX(E:E,ROW()-199):E486))</f>
        <v/>
      </c>
      <c r="K486" s="341">
        <f>IF(ROW()&lt;22,NA(),_xlfn.STDEV.S(INDEX(H:H,ROW()-19):H486)*SQRT(252))</f>
        <v/>
      </c>
      <c r="L486" s="426" cm="1">
        <f t="array" ref="L486">IF(ROW()&lt;17,NA(),_xlfn.LET(_xlpm.d,INDEX(E:E,ROW()-13):E486-INDEX(E:E,ROW()-14):INDEX(E:E,ROW()-1),_xlpm.g,SUM(IF(_xlpm.d&gt;0,_xlpm.d,0)),_xlpm.l,-SUM(IF(_xlpm.d&lt;0,_xlpm.d,0)),IF(_xlpm.l=0,100,100-100/(1+_xlpm.g/_xlpm.l))))</f>
        <v/>
      </c>
      <c r="M486" s="211">
        <f>MAX($E$2:E486)</f>
        <v/>
      </c>
      <c r="N486" s="341">
        <f>E486/M486-1</f>
        <v/>
      </c>
    </row>
    <row r="487">
      <c r="A487" s="424" t="n">
        <v>45168</v>
      </c>
      <c r="B487" s="425" t="n">
        <v>94.48335519458452</v>
      </c>
      <c r="C487" s="425" t="n">
        <v>95.57097181439269</v>
      </c>
      <c r="D487" s="425" t="n">
        <v>94.36251126756005</v>
      </c>
      <c r="E487" s="425" t="n">
        <v>94.91096496582031</v>
      </c>
      <c r="F487" s="207" t="n">
        <v>4822100</v>
      </c>
      <c r="G487" s="208" t="n">
        <v>0.004118847172444484</v>
      </c>
      <c r="H487" s="209" cm="1">
        <f t="array" ref="H487">IF(ROW()&lt;3,"",E487/INDEX(E:E,ROW()-1)-1)</f>
        <v/>
      </c>
      <c r="I487" s="211">
        <f>IF(ROW()&lt;51,NA(),AVERAGE(INDEX(E:E,ROW()-49):E487))</f>
        <v/>
      </c>
      <c r="J487" s="211">
        <f>IF(ROW()&lt;201,NA(),AVERAGE(INDEX(E:E,ROW()-199):E487))</f>
        <v/>
      </c>
      <c r="K487" s="341">
        <f>IF(ROW()&lt;22,NA(),_xlfn.STDEV.S(INDEX(H:H,ROW()-19):H487)*SQRT(252))</f>
        <v/>
      </c>
      <c r="L487" s="426" cm="1">
        <f t="array" ref="L487">IF(ROW()&lt;17,NA(),_xlfn.LET(_xlpm.d,INDEX(E:E,ROW()-13):E487-INDEX(E:E,ROW()-14):INDEX(E:E,ROW()-1),_xlpm.g,SUM(IF(_xlpm.d&gt;0,_xlpm.d,0)),_xlpm.l,-SUM(IF(_xlpm.d&lt;0,_xlpm.d,0)),IF(_xlpm.l=0,100,100-100/(1+_xlpm.g/_xlpm.l))))</f>
        <v/>
      </c>
      <c r="M487" s="211">
        <f>MAX($E$2:E487)</f>
        <v/>
      </c>
      <c r="N487" s="341">
        <f>E487/M487-1</f>
        <v/>
      </c>
    </row>
    <row r="488">
      <c r="A488" s="424" t="n">
        <v>45169</v>
      </c>
      <c r="B488" s="425" t="n">
        <v>95.39436020969811</v>
      </c>
      <c r="C488" s="425" t="n">
        <v>95.64534594673506</v>
      </c>
      <c r="D488" s="425" t="n">
        <v>94.45547397877425</v>
      </c>
      <c r="E488" s="425" t="n">
        <v>94.54843139648438</v>
      </c>
      <c r="F488" s="207" t="n">
        <v>7046200</v>
      </c>
      <c r="G488" s="208" t="n">
        <v>-0.001463333198850059</v>
      </c>
      <c r="H488" s="209" cm="1">
        <f t="array" ref="H488">IF(ROW()&lt;3,"",E488/INDEX(E:E,ROW()-1)-1)</f>
        <v/>
      </c>
      <c r="I488" s="211">
        <f>IF(ROW()&lt;51,NA(),AVERAGE(INDEX(E:E,ROW()-49):E488))</f>
        <v/>
      </c>
      <c r="J488" s="211">
        <f>IF(ROW()&lt;201,NA(),AVERAGE(INDEX(E:E,ROW()-199):E488))</f>
        <v/>
      </c>
      <c r="K488" s="341">
        <f>IF(ROW()&lt;22,NA(),_xlfn.STDEV.S(INDEX(H:H,ROW()-19):H488)*SQRT(252))</f>
        <v/>
      </c>
      <c r="L488" s="426" cm="1">
        <f t="array" ref="L488">IF(ROW()&lt;17,NA(),_xlfn.LET(_xlpm.d,INDEX(E:E,ROW()-13):E488-INDEX(E:E,ROW()-14):INDEX(E:E,ROW()-1),_xlpm.g,SUM(IF(_xlpm.d&gt;0,_xlpm.d,0)),_xlpm.l,-SUM(IF(_xlpm.d&lt;0,_xlpm.d,0)),IF(_xlpm.l=0,100,100-100/(1+_xlpm.g/_xlpm.l))))</f>
        <v/>
      </c>
      <c r="M488" s="211">
        <f>MAX($E$2:E488)</f>
        <v/>
      </c>
      <c r="N488" s="341">
        <f>E488/M488-1</f>
        <v/>
      </c>
    </row>
    <row r="489">
      <c r="A489" s="424" t="n">
        <v>45170</v>
      </c>
      <c r="B489" s="425" t="n">
        <v>95.10805453015716</v>
      </c>
      <c r="C489" s="425" t="n">
        <v>96.03143169682346</v>
      </c>
      <c r="D489" s="425" t="n">
        <v>94.68833246095703</v>
      </c>
      <c r="E489" s="425" t="n">
        <v>95.47180938720703</v>
      </c>
      <c r="F489" s="207" t="n">
        <v>6359400</v>
      </c>
      <c r="G489" s="208" t="n">
        <v>0.001865147001873568</v>
      </c>
      <c r="H489" s="209" cm="1">
        <f t="array" ref="H489">IF(ROW()&lt;3,"",E489/INDEX(E:E,ROW()-1)-1)</f>
        <v/>
      </c>
      <c r="I489" s="211">
        <f>IF(ROW()&lt;51,NA(),AVERAGE(INDEX(E:E,ROW()-49):E489))</f>
        <v/>
      </c>
      <c r="J489" s="211">
        <f>IF(ROW()&lt;201,NA(),AVERAGE(INDEX(E:E,ROW()-199):E489))</f>
        <v/>
      </c>
      <c r="K489" s="341">
        <f>IF(ROW()&lt;22,NA(),_xlfn.STDEV.S(INDEX(H:H,ROW()-19):H489)*SQRT(252))</f>
        <v/>
      </c>
      <c r="L489" s="426" cm="1">
        <f t="array" ref="L489">IF(ROW()&lt;17,NA(),_xlfn.LET(_xlpm.d,INDEX(E:E,ROW()-13):E489-INDEX(E:E,ROW()-14):INDEX(E:E,ROW()-1),_xlpm.g,SUM(IF(_xlpm.d&gt;0,_xlpm.d,0)),_xlpm.l,-SUM(IF(_xlpm.d&lt;0,_xlpm.d,0)),IF(_xlpm.l=0,100,100-100/(1+_xlpm.g/_xlpm.l))))</f>
        <v/>
      </c>
      <c r="M489" s="211">
        <f>MAX($E$2:E489)</f>
        <v/>
      </c>
      <c r="N489" s="341">
        <f>E489/M489-1</f>
        <v/>
      </c>
    </row>
    <row r="490">
      <c r="A490" s="424" t="n">
        <v>45174</v>
      </c>
      <c r="B490" s="425" t="n">
        <v>94.66967775010127</v>
      </c>
      <c r="C490" s="425" t="n">
        <v>95.0987217411591</v>
      </c>
      <c r="D490" s="425" t="n">
        <v>93.48514402652683</v>
      </c>
      <c r="E490" s="425" t="n">
        <v>93.56908416748047</v>
      </c>
      <c r="F490" s="207" t="n">
        <v>6698700</v>
      </c>
      <c r="G490" s="208" t="n">
        <v>-0.004321878073714647</v>
      </c>
      <c r="H490" s="209" cm="1">
        <f t="array" ref="H490">IF(ROW()&lt;3,"",E490/INDEX(E:E,ROW()-1)-1)</f>
        <v/>
      </c>
      <c r="I490" s="211">
        <f>IF(ROW()&lt;51,NA(),AVERAGE(INDEX(E:E,ROW()-49):E490))</f>
        <v/>
      </c>
      <c r="J490" s="211">
        <f>IF(ROW()&lt;201,NA(),AVERAGE(INDEX(E:E,ROW()-199):E490))</f>
        <v/>
      </c>
      <c r="K490" s="341">
        <f>IF(ROW()&lt;22,NA(),_xlfn.STDEV.S(INDEX(H:H,ROW()-19):H490)*SQRT(252))</f>
        <v/>
      </c>
      <c r="L490" s="426" cm="1">
        <f t="array" ref="L490">IF(ROW()&lt;17,NA(),_xlfn.LET(_xlpm.d,INDEX(E:E,ROW()-13):E490-INDEX(E:E,ROW()-14):INDEX(E:E,ROW()-1),_xlpm.g,SUM(IF(_xlpm.d&gt;0,_xlpm.d,0)),_xlpm.l,-SUM(IF(_xlpm.d&lt;0,_xlpm.d,0)),IF(_xlpm.l=0,100,100-100/(1+_xlpm.g/_xlpm.l))))</f>
        <v/>
      </c>
      <c r="M490" s="211">
        <f>MAX($E$2:E490)</f>
        <v/>
      </c>
      <c r="N490" s="341">
        <f>E490/M490-1</f>
        <v/>
      </c>
    </row>
    <row r="491">
      <c r="A491" s="424" t="n">
        <v>45175</v>
      </c>
      <c r="B491" s="425" t="n">
        <v>93.04676458784932</v>
      </c>
      <c r="C491" s="425" t="n">
        <v>93.55974868461335</v>
      </c>
      <c r="D491" s="425" t="n">
        <v>92.36588598874722</v>
      </c>
      <c r="E491" s="425" t="n">
        <v>93.43849945068359</v>
      </c>
      <c r="F491" s="207" t="n">
        <v>6096000</v>
      </c>
      <c r="G491" s="208" t="n">
        <v>-0.00672245372777347</v>
      </c>
      <c r="H491" s="209" cm="1">
        <f t="array" ref="H491">IF(ROW()&lt;3,"",E491/INDEX(E:E,ROW()-1)-1)</f>
        <v/>
      </c>
      <c r="I491" s="211">
        <f>IF(ROW()&lt;51,NA(),AVERAGE(INDEX(E:E,ROW()-49):E491))</f>
        <v/>
      </c>
      <c r="J491" s="211">
        <f>IF(ROW()&lt;201,NA(),AVERAGE(INDEX(E:E,ROW()-199):E491))</f>
        <v/>
      </c>
      <c r="K491" s="341">
        <f>IF(ROW()&lt;22,NA(),_xlfn.STDEV.S(INDEX(H:H,ROW()-19):H491)*SQRT(252))</f>
        <v/>
      </c>
      <c r="L491" s="426" cm="1">
        <f t="array" ref="L491">IF(ROW()&lt;17,NA(),_xlfn.LET(_xlpm.d,INDEX(E:E,ROW()-13):E491-INDEX(E:E,ROW()-14):INDEX(E:E,ROW()-1),_xlpm.g,SUM(IF(_xlpm.d&gt;0,_xlpm.d,0)),_xlpm.l,-SUM(IF(_xlpm.d&lt;0,_xlpm.d,0)),IF(_xlpm.l=0,100,100-100/(1+_xlpm.g/_xlpm.l))))</f>
        <v/>
      </c>
      <c r="M491" s="211">
        <f>MAX($E$2:E491)</f>
        <v/>
      </c>
      <c r="N491" s="341">
        <f>E491/M491-1</f>
        <v/>
      </c>
    </row>
    <row r="492">
      <c r="A492" s="424" t="n">
        <v>45176</v>
      </c>
      <c r="B492" s="425" t="n">
        <v>91.64771480315045</v>
      </c>
      <c r="C492" s="425" t="n">
        <v>92.11406791128537</v>
      </c>
      <c r="D492" s="425" t="n">
        <v>91.069434387309</v>
      </c>
      <c r="E492" s="425" t="n">
        <v>91.33992004394531</v>
      </c>
      <c r="F492" s="207" t="n">
        <v>9927100</v>
      </c>
      <c r="G492" s="208" t="n">
        <v>-0.00307031165268068</v>
      </c>
      <c r="H492" s="209" cm="1">
        <f t="array" ref="H492">IF(ROW()&lt;3,"",E492/INDEX(E:E,ROW()-1)-1)</f>
        <v/>
      </c>
      <c r="I492" s="211">
        <f>IF(ROW()&lt;51,NA(),AVERAGE(INDEX(E:E,ROW()-49):E492))</f>
        <v/>
      </c>
      <c r="J492" s="211">
        <f>IF(ROW()&lt;201,NA(),AVERAGE(INDEX(E:E,ROW()-199):E492))</f>
        <v/>
      </c>
      <c r="K492" s="341">
        <f>IF(ROW()&lt;22,NA(),_xlfn.STDEV.S(INDEX(H:H,ROW()-19):H492)*SQRT(252))</f>
        <v/>
      </c>
      <c r="L492" s="426" cm="1">
        <f t="array" ref="L492">IF(ROW()&lt;17,NA(),_xlfn.LET(_xlpm.d,INDEX(E:E,ROW()-13):E492-INDEX(E:E,ROW()-14):INDEX(E:E,ROW()-1),_xlpm.g,SUM(IF(_xlpm.d&gt;0,_xlpm.d,0)),_xlpm.l,-SUM(IF(_xlpm.d&lt;0,_xlpm.d,0)),IF(_xlpm.l=0,100,100-100/(1+_xlpm.g/_xlpm.l))))</f>
        <v/>
      </c>
      <c r="M492" s="211">
        <f>MAX($E$2:E492)</f>
        <v/>
      </c>
      <c r="N492" s="341">
        <f>E492/M492-1</f>
        <v/>
      </c>
    </row>
    <row r="493">
      <c r="A493" s="424" t="n">
        <v>45177</v>
      </c>
      <c r="B493" s="425" t="n">
        <v>91.49848371975415</v>
      </c>
      <c r="C493" s="425" t="n">
        <v>91.52646376931379</v>
      </c>
      <c r="D493" s="425" t="n">
        <v>90.73366486252583</v>
      </c>
      <c r="E493" s="425" t="n">
        <v>91.09741973876953</v>
      </c>
      <c r="F493" s="207" t="n">
        <v>6435000</v>
      </c>
      <c r="G493" s="208" t="n">
        <v>0.001506225673295392</v>
      </c>
      <c r="H493" s="209" cm="1">
        <f t="array" ref="H493">IF(ROW()&lt;3,"",E493/INDEX(E:E,ROW()-1)-1)</f>
        <v/>
      </c>
      <c r="I493" s="211">
        <f>IF(ROW()&lt;51,NA(),AVERAGE(INDEX(E:E,ROW()-49):E493))</f>
        <v/>
      </c>
      <c r="J493" s="211">
        <f>IF(ROW()&lt;201,NA(),AVERAGE(INDEX(E:E,ROW()-199):E493))</f>
        <v/>
      </c>
      <c r="K493" s="341">
        <f>IF(ROW()&lt;22,NA(),_xlfn.STDEV.S(INDEX(H:H,ROW()-19):H493)*SQRT(252))</f>
        <v/>
      </c>
      <c r="L493" s="426" cm="1">
        <f t="array" ref="L493">IF(ROW()&lt;17,NA(),_xlfn.LET(_xlpm.d,INDEX(E:E,ROW()-13):E493-INDEX(E:E,ROW()-14):INDEX(E:E,ROW()-1),_xlpm.g,SUM(IF(_xlpm.d&gt;0,_xlpm.d,0)),_xlpm.l,-SUM(IF(_xlpm.d&lt;0,_xlpm.d,0)),IF(_xlpm.l=0,100,100-100/(1+_xlpm.g/_xlpm.l))))</f>
        <v/>
      </c>
      <c r="M493" s="211">
        <f>MAX($E$2:E493)</f>
        <v/>
      </c>
      <c r="N493" s="341">
        <f>E493/M493-1</f>
        <v/>
      </c>
    </row>
    <row r="494">
      <c r="A494" s="424" t="n">
        <v>45180</v>
      </c>
      <c r="B494" s="425" t="n">
        <v>91.71301037321714</v>
      </c>
      <c r="C494" s="425" t="n">
        <v>91.75964141770442</v>
      </c>
      <c r="D494" s="425" t="n">
        <v>90.0807743804945</v>
      </c>
      <c r="E494" s="425" t="n">
        <v>90.27664184570312</v>
      </c>
      <c r="F494" s="207" t="n">
        <v>7584700</v>
      </c>
      <c r="G494" s="208" t="n">
        <v>0.006576583479601217</v>
      </c>
      <c r="H494" s="209" cm="1">
        <f t="array" ref="H494">IF(ROW()&lt;3,"",E494/INDEX(E:E,ROW()-1)-1)</f>
        <v/>
      </c>
      <c r="I494" s="211">
        <f>IF(ROW()&lt;51,NA(),AVERAGE(INDEX(E:E,ROW()-49):E494))</f>
        <v/>
      </c>
      <c r="J494" s="211">
        <f>IF(ROW()&lt;201,NA(),AVERAGE(INDEX(E:E,ROW()-199):E494))</f>
        <v/>
      </c>
      <c r="K494" s="341">
        <f>IF(ROW()&lt;22,NA(),_xlfn.STDEV.S(INDEX(H:H,ROW()-19):H494)*SQRT(252))</f>
        <v/>
      </c>
      <c r="L494" s="426" cm="1">
        <f t="array" ref="L494">IF(ROW()&lt;17,NA(),_xlfn.LET(_xlpm.d,INDEX(E:E,ROW()-13):E494-INDEX(E:E,ROW()-14):INDEX(E:E,ROW()-1),_xlpm.g,SUM(IF(_xlpm.d&gt;0,_xlpm.d,0)),_xlpm.l,-SUM(IF(_xlpm.d&lt;0,_xlpm.d,0)),IF(_xlpm.l=0,100,100-100/(1+_xlpm.g/_xlpm.l))))</f>
        <v/>
      </c>
      <c r="M494" s="211">
        <f>MAX($E$2:E494)</f>
        <v/>
      </c>
      <c r="N494" s="341">
        <f>E494/M494-1</f>
        <v/>
      </c>
    </row>
    <row r="495">
      <c r="A495" s="424" t="n">
        <v>45181</v>
      </c>
      <c r="B495" s="425" t="n">
        <v>90.46318840789235</v>
      </c>
      <c r="C495" s="425" t="n">
        <v>90.63107583834127</v>
      </c>
      <c r="D495" s="425" t="n">
        <v>89.70769852886463</v>
      </c>
      <c r="E495" s="425" t="n">
        <v>89.81962585449219</v>
      </c>
      <c r="F495" s="207" t="n">
        <v>6307700</v>
      </c>
      <c r="G495" s="208" t="n">
        <v>-0.005485596405920723</v>
      </c>
      <c r="H495" s="209" cm="1">
        <f t="array" ref="H495">IF(ROW()&lt;3,"",E495/INDEX(E:E,ROW()-1)-1)</f>
        <v/>
      </c>
      <c r="I495" s="211">
        <f>IF(ROW()&lt;51,NA(),AVERAGE(INDEX(E:E,ROW()-49):E495))</f>
        <v/>
      </c>
      <c r="J495" s="211">
        <f>IF(ROW()&lt;201,NA(),AVERAGE(INDEX(E:E,ROW()-199):E495))</f>
        <v/>
      </c>
      <c r="K495" s="341">
        <f>IF(ROW()&lt;22,NA(),_xlfn.STDEV.S(INDEX(H:H,ROW()-19):H495)*SQRT(252))</f>
        <v/>
      </c>
      <c r="L495" s="426" cm="1">
        <f t="array" ref="L495">IF(ROW()&lt;17,NA(),_xlfn.LET(_xlpm.d,INDEX(E:E,ROW()-13):E495-INDEX(E:E,ROW()-14):INDEX(E:E,ROW()-1),_xlpm.g,SUM(IF(_xlpm.d&gt;0,_xlpm.d,0)),_xlpm.l,-SUM(IF(_xlpm.d&lt;0,_xlpm.d,0)),IF(_xlpm.l=0,100,100-100/(1+_xlpm.g/_xlpm.l))))</f>
        <v/>
      </c>
      <c r="M495" s="211">
        <f>MAX($E$2:E495)</f>
        <v/>
      </c>
      <c r="N495" s="341">
        <f>E495/M495-1</f>
        <v/>
      </c>
    </row>
    <row r="496">
      <c r="A496" s="424" t="n">
        <v>45182</v>
      </c>
      <c r="B496" s="425" t="n">
        <v>89.81961435916851</v>
      </c>
      <c r="C496" s="425" t="n">
        <v>90.65904428799608</v>
      </c>
      <c r="D496" s="425" t="n">
        <v>89.22268293085453</v>
      </c>
      <c r="E496" s="425" t="n">
        <v>89.66104888916016</v>
      </c>
      <c r="F496" s="207" t="n">
        <v>7140700</v>
      </c>
      <c r="G496" s="208" t="n">
        <v>0.001166014272567129</v>
      </c>
      <c r="H496" s="209" cm="1">
        <f t="array" ref="H496">IF(ROW()&lt;3,"",E496/INDEX(E:E,ROW()-1)-1)</f>
        <v/>
      </c>
      <c r="I496" s="211">
        <f>IF(ROW()&lt;51,NA(),AVERAGE(INDEX(E:E,ROW()-49):E496))</f>
        <v/>
      </c>
      <c r="J496" s="211">
        <f>IF(ROW()&lt;201,NA(),AVERAGE(INDEX(E:E,ROW()-199):E496))</f>
        <v/>
      </c>
      <c r="K496" s="341">
        <f>IF(ROW()&lt;22,NA(),_xlfn.STDEV.S(INDEX(H:H,ROW()-19):H496)*SQRT(252))</f>
        <v/>
      </c>
      <c r="L496" s="426" cm="1">
        <f t="array" ref="L496">IF(ROW()&lt;17,NA(),_xlfn.LET(_xlpm.d,INDEX(E:E,ROW()-13):E496-INDEX(E:E,ROW()-14):INDEX(E:E,ROW()-1),_xlpm.g,SUM(IF(_xlpm.d&gt;0,_xlpm.d,0)),_xlpm.l,-SUM(IF(_xlpm.d&lt;0,_xlpm.d,0)),IF(_xlpm.l=0,100,100-100/(1+_xlpm.g/_xlpm.l))))</f>
        <v/>
      </c>
      <c r="M496" s="211">
        <f>MAX($E$2:E496)</f>
        <v/>
      </c>
      <c r="N496" s="341">
        <f>E496/M496-1</f>
        <v/>
      </c>
    </row>
    <row r="497">
      <c r="A497" s="424" t="n">
        <v>45183</v>
      </c>
      <c r="B497" s="425" t="n">
        <v>90.21136136403409</v>
      </c>
      <c r="C497" s="425" t="n">
        <v>91.10675862649781</v>
      </c>
      <c r="D497" s="425" t="n">
        <v>89.44654242426395</v>
      </c>
      <c r="E497" s="425" t="n">
        <v>90.64973449707031</v>
      </c>
      <c r="F497" s="207" t="n">
        <v>7075300</v>
      </c>
      <c r="G497" s="208" t="n">
        <v>0.008622268389973042</v>
      </c>
      <c r="H497" s="209" cm="1">
        <f t="array" ref="H497">IF(ROW()&lt;3,"",E497/INDEX(E:E,ROW()-1)-1)</f>
        <v/>
      </c>
      <c r="I497" s="211">
        <f>IF(ROW()&lt;51,NA(),AVERAGE(INDEX(E:E,ROW()-49):E497))</f>
        <v/>
      </c>
      <c r="J497" s="211">
        <f>IF(ROW()&lt;201,NA(),AVERAGE(INDEX(E:E,ROW()-199):E497))</f>
        <v/>
      </c>
      <c r="K497" s="341">
        <f>IF(ROW()&lt;22,NA(),_xlfn.STDEV.S(INDEX(H:H,ROW()-19):H497)*SQRT(252))</f>
        <v/>
      </c>
      <c r="L497" s="426" cm="1">
        <f t="array" ref="L497">IF(ROW()&lt;17,NA(),_xlfn.LET(_xlpm.d,INDEX(E:E,ROW()-13):E497-INDEX(E:E,ROW()-14):INDEX(E:E,ROW()-1),_xlpm.g,SUM(IF(_xlpm.d&gt;0,_xlpm.d,0)),_xlpm.l,-SUM(IF(_xlpm.d&lt;0,_xlpm.d,0)),IF(_xlpm.l=0,100,100-100/(1+_xlpm.g/_xlpm.l))))</f>
        <v/>
      </c>
      <c r="M497" s="211">
        <f>MAX($E$2:E497)</f>
        <v/>
      </c>
      <c r="N497" s="341">
        <f>E497/M497-1</f>
        <v/>
      </c>
    </row>
    <row r="498">
      <c r="A498" s="424" t="n">
        <v>45184</v>
      </c>
      <c r="B498" s="425" t="n">
        <v>91.54513260384061</v>
      </c>
      <c r="C498" s="425" t="n">
        <v>91.54513260384061</v>
      </c>
      <c r="D498" s="425" t="n">
        <v>89.66106173162567</v>
      </c>
      <c r="E498" s="425" t="n">
        <v>89.78231811523438</v>
      </c>
      <c r="F498" s="207" t="n">
        <v>10467300</v>
      </c>
      <c r="G498" s="208" t="n">
        <v>-0.01204826922958957</v>
      </c>
      <c r="H498" s="209" cm="1">
        <f t="array" ref="H498">IF(ROW()&lt;3,"",E498/INDEX(E:E,ROW()-1)-1)</f>
        <v/>
      </c>
      <c r="I498" s="211">
        <f>IF(ROW()&lt;51,NA(),AVERAGE(INDEX(E:E,ROW()-49):E498))</f>
        <v/>
      </c>
      <c r="J498" s="211">
        <f>IF(ROW()&lt;201,NA(),AVERAGE(INDEX(E:E,ROW()-199):E498))</f>
        <v/>
      </c>
      <c r="K498" s="341">
        <f>IF(ROW()&lt;22,NA(),_xlfn.STDEV.S(INDEX(H:H,ROW()-19):H498)*SQRT(252))</f>
        <v/>
      </c>
      <c r="L498" s="426" cm="1">
        <f t="array" ref="L498">IF(ROW()&lt;17,NA(),_xlfn.LET(_xlpm.d,INDEX(E:E,ROW()-13):E498-INDEX(E:E,ROW()-14):INDEX(E:E,ROW()-1),_xlpm.g,SUM(IF(_xlpm.d&gt;0,_xlpm.d,0)),_xlpm.l,-SUM(IF(_xlpm.d&lt;0,_xlpm.d,0)),IF(_xlpm.l=0,100,100-100/(1+_xlpm.g/_xlpm.l))))</f>
        <v/>
      </c>
      <c r="M498" s="211">
        <f>MAX($E$2:E498)</f>
        <v/>
      </c>
      <c r="N498" s="341">
        <f>E498/M498-1</f>
        <v/>
      </c>
    </row>
    <row r="499">
      <c r="A499" s="424" t="n">
        <v>45187</v>
      </c>
      <c r="B499" s="425" t="n">
        <v>89.53980301608308</v>
      </c>
      <c r="C499" s="425" t="n">
        <v>89.88490690196188</v>
      </c>
      <c r="D499" s="425" t="n">
        <v>88.86825335490498</v>
      </c>
      <c r="E499" s="425" t="n">
        <v>89.08277893066406</v>
      </c>
      <c r="F499" s="207" t="n">
        <v>6946300</v>
      </c>
      <c r="G499" s="208" t="n">
        <v>0.0005864607433156976</v>
      </c>
      <c r="H499" s="209" cm="1">
        <f t="array" ref="H499">IF(ROW()&lt;3,"",E499/INDEX(E:E,ROW()-1)-1)</f>
        <v/>
      </c>
      <c r="I499" s="211">
        <f>IF(ROW()&lt;51,NA(),AVERAGE(INDEX(E:E,ROW()-49):E499))</f>
        <v/>
      </c>
      <c r="J499" s="211">
        <f>IF(ROW()&lt;201,NA(),AVERAGE(INDEX(E:E,ROW()-199):E499))</f>
        <v/>
      </c>
      <c r="K499" s="341">
        <f>IF(ROW()&lt;22,NA(),_xlfn.STDEV.S(INDEX(H:H,ROW()-19):H499)*SQRT(252))</f>
        <v/>
      </c>
      <c r="L499" s="426" cm="1">
        <f t="array" ref="L499">IF(ROW()&lt;17,NA(),_xlfn.LET(_xlpm.d,INDEX(E:E,ROW()-13):E499-INDEX(E:E,ROW()-14):INDEX(E:E,ROW()-1),_xlpm.g,SUM(IF(_xlpm.d&gt;0,_xlpm.d,0)),_xlpm.l,-SUM(IF(_xlpm.d&lt;0,_xlpm.d,0)),IF(_xlpm.l=0,100,100-100/(1+_xlpm.g/_xlpm.l))))</f>
        <v/>
      </c>
      <c r="M499" s="211">
        <f>MAX($E$2:E499)</f>
        <v/>
      </c>
      <c r="N499" s="341">
        <f>E499/M499-1</f>
        <v/>
      </c>
    </row>
    <row r="500">
      <c r="A500" s="424" t="n">
        <v>45188</v>
      </c>
      <c r="B500" s="425" t="n">
        <v>88.64440521568686</v>
      </c>
      <c r="C500" s="425" t="n">
        <v>89.06412019297581</v>
      </c>
      <c r="D500" s="425" t="n">
        <v>88.05680282428548</v>
      </c>
      <c r="E500" s="425" t="n">
        <v>88.25267028808594</v>
      </c>
      <c r="F500" s="207" t="n">
        <v>9386600</v>
      </c>
      <c r="G500" s="208" t="n">
        <v>-0.002073628764742486</v>
      </c>
      <c r="H500" s="209" cm="1">
        <f t="array" ref="H500">IF(ROW()&lt;3,"",E500/INDEX(E:E,ROW()-1)-1)</f>
        <v/>
      </c>
      <c r="I500" s="211">
        <f>IF(ROW()&lt;51,NA(),AVERAGE(INDEX(E:E,ROW()-49):E500))</f>
        <v/>
      </c>
      <c r="J500" s="211">
        <f>IF(ROW()&lt;201,NA(),AVERAGE(INDEX(E:E,ROW()-199):E500))</f>
        <v/>
      </c>
      <c r="K500" s="341">
        <f>IF(ROW()&lt;22,NA(),_xlfn.STDEV.S(INDEX(H:H,ROW()-19):H500)*SQRT(252))</f>
        <v/>
      </c>
      <c r="L500" s="426" cm="1">
        <f t="array" ref="L500">IF(ROW()&lt;17,NA(),_xlfn.LET(_xlpm.d,INDEX(E:E,ROW()-13):E500-INDEX(E:E,ROW()-14):INDEX(E:E,ROW()-1),_xlpm.g,SUM(IF(_xlpm.d&gt;0,_xlpm.d,0)),_xlpm.l,-SUM(IF(_xlpm.d&lt;0,_xlpm.d,0)),IF(_xlpm.l=0,100,100-100/(1+_xlpm.g/_xlpm.l))))</f>
        <v/>
      </c>
      <c r="M500" s="211">
        <f>MAX($E$2:E500)</f>
        <v/>
      </c>
      <c r="N500" s="341">
        <f>E500/M500-1</f>
        <v/>
      </c>
    </row>
    <row r="501">
      <c r="A501" s="424" t="n">
        <v>45189</v>
      </c>
      <c r="B501" s="425" t="n">
        <v>87.64639603630644</v>
      </c>
      <c r="C501" s="425" t="n">
        <v>88.98016608474039</v>
      </c>
      <c r="D501" s="425" t="n">
        <v>87.5158177475912</v>
      </c>
      <c r="E501" s="425" t="n">
        <v>87.71168518066406</v>
      </c>
      <c r="F501" s="207" t="n">
        <v>10274200</v>
      </c>
      <c r="G501" s="208" t="n">
        <v>-0.009193574926195325</v>
      </c>
      <c r="H501" s="209" cm="1">
        <f t="array" ref="H501">IF(ROW()&lt;3,"",E501/INDEX(E:E,ROW()-1)-1)</f>
        <v/>
      </c>
      <c r="I501" s="211">
        <f>IF(ROW()&lt;51,NA(),AVERAGE(INDEX(E:E,ROW()-49):E501))</f>
        <v/>
      </c>
      <c r="J501" s="211">
        <f>IF(ROW()&lt;201,NA(),AVERAGE(INDEX(E:E,ROW()-199):E501))</f>
        <v/>
      </c>
      <c r="K501" s="341">
        <f>IF(ROW()&lt;22,NA(),_xlfn.STDEV.S(INDEX(H:H,ROW()-19):H501)*SQRT(252))</f>
        <v/>
      </c>
      <c r="L501" s="426" cm="1">
        <f t="array" ref="L501">IF(ROW()&lt;17,NA(),_xlfn.LET(_xlpm.d,INDEX(E:E,ROW()-13):E501-INDEX(E:E,ROW()-14):INDEX(E:E,ROW()-1),_xlpm.g,SUM(IF(_xlpm.d&gt;0,_xlpm.d,0)),_xlpm.l,-SUM(IF(_xlpm.d&lt;0,_xlpm.d,0)),IF(_xlpm.l=0,100,100-100/(1+_xlpm.g/_xlpm.l))))</f>
        <v/>
      </c>
      <c r="M501" s="211">
        <f>MAX($E$2:E501)</f>
        <v/>
      </c>
      <c r="N501" s="341">
        <f>E501/M501-1</f>
        <v/>
      </c>
    </row>
    <row r="502">
      <c r="A502" s="424" t="n">
        <v>45190</v>
      </c>
      <c r="B502" s="425" t="n">
        <v>87.13342132398979</v>
      </c>
      <c r="C502" s="425" t="n">
        <v>87.19871048071445</v>
      </c>
      <c r="D502" s="425" t="n">
        <v>85.3239759307703</v>
      </c>
      <c r="E502" s="425" t="n">
        <v>85.42656707763672</v>
      </c>
      <c r="F502" s="207" t="n">
        <v>7958600</v>
      </c>
      <c r="G502" s="208" t="n">
        <v>-0.01652828409920781</v>
      </c>
      <c r="H502" s="209" cm="1">
        <f t="array" ref="H502">IF(ROW()&lt;3,"",E502/INDEX(E:E,ROW()-1)-1)</f>
        <v/>
      </c>
      <c r="I502" s="211">
        <f>IF(ROW()&lt;51,NA(),AVERAGE(INDEX(E:E,ROW()-49):E502))</f>
        <v/>
      </c>
      <c r="J502" s="211">
        <f>IF(ROW()&lt;201,NA(),AVERAGE(INDEX(E:E,ROW()-199):E502))</f>
        <v/>
      </c>
      <c r="K502" s="341">
        <f>IF(ROW()&lt;22,NA(),_xlfn.STDEV.S(INDEX(H:H,ROW()-19):H502)*SQRT(252))</f>
        <v/>
      </c>
      <c r="L502" s="426" cm="1">
        <f t="array" ref="L502">IF(ROW()&lt;17,NA(),_xlfn.LET(_xlpm.d,INDEX(E:E,ROW()-13):E502-INDEX(E:E,ROW()-14):INDEX(E:E,ROW()-1),_xlpm.g,SUM(IF(_xlpm.d&gt;0,_xlpm.d,0)),_xlpm.l,-SUM(IF(_xlpm.d&lt;0,_xlpm.d,0)),IF(_xlpm.l=0,100,100-100/(1+_xlpm.g/_xlpm.l))))</f>
        <v/>
      </c>
      <c r="M502" s="211">
        <f>MAX($E$2:E502)</f>
        <v/>
      </c>
      <c r="N502" s="341">
        <f>E502/M502-1</f>
        <v/>
      </c>
    </row>
    <row r="503">
      <c r="A503" s="424" t="n">
        <v>45191</v>
      </c>
      <c r="B503" s="425" t="n">
        <v>85.41725269543782</v>
      </c>
      <c r="C503" s="425" t="n">
        <v>86.1167824862295</v>
      </c>
      <c r="D503" s="425" t="n">
        <v>84.45656625464153</v>
      </c>
      <c r="E503" s="425" t="n">
        <v>84.73637390136719</v>
      </c>
      <c r="F503" s="207" t="n">
        <v>9289400</v>
      </c>
      <c r="G503" s="208" t="n">
        <v>-0.002248583412255756</v>
      </c>
      <c r="H503" s="209" cm="1">
        <f t="array" ref="H503">IF(ROW()&lt;3,"",E503/INDEX(E:E,ROW()-1)-1)</f>
        <v/>
      </c>
      <c r="I503" s="211">
        <f>IF(ROW()&lt;51,NA(),AVERAGE(INDEX(E:E,ROW()-49):E503))</f>
        <v/>
      </c>
      <c r="J503" s="211">
        <f>IF(ROW()&lt;201,NA(),AVERAGE(INDEX(E:E,ROW()-199):E503))</f>
        <v/>
      </c>
      <c r="K503" s="341">
        <f>IF(ROW()&lt;22,NA(),_xlfn.STDEV.S(INDEX(H:H,ROW()-19):H503)*SQRT(252))</f>
        <v/>
      </c>
      <c r="L503" s="426" cm="1">
        <f t="array" ref="L503">IF(ROW()&lt;17,NA(),_xlfn.LET(_xlpm.d,INDEX(E:E,ROW()-13):E503-INDEX(E:E,ROW()-14):INDEX(E:E,ROW()-1),_xlpm.g,SUM(IF(_xlpm.d&gt;0,_xlpm.d,0)),_xlpm.l,-SUM(IF(_xlpm.d&lt;0,_xlpm.d,0)),IF(_xlpm.l=0,100,100-100/(1+_xlpm.g/_xlpm.l))))</f>
        <v/>
      </c>
      <c r="M503" s="211">
        <f>MAX($E$2:E503)</f>
        <v/>
      </c>
      <c r="N503" s="341">
        <f>E503/M503-1</f>
        <v/>
      </c>
    </row>
    <row r="504">
      <c r="A504" s="424" t="n">
        <v>45194</v>
      </c>
      <c r="B504" s="425" t="n">
        <v>83.94358188963601</v>
      </c>
      <c r="C504" s="425" t="n">
        <v>84.73638096206322</v>
      </c>
      <c r="D504" s="425" t="n">
        <v>83.74771438581179</v>
      </c>
      <c r="E504" s="425" t="n">
        <v>84.50320434570312</v>
      </c>
      <c r="F504" s="207" t="n">
        <v>8291700</v>
      </c>
      <c r="G504" s="208" t="n">
        <v>0.004205065325660895</v>
      </c>
      <c r="H504" s="209" cm="1">
        <f t="array" ref="H504">IF(ROW()&lt;3,"",E504/INDEX(E:E,ROW()-1)-1)</f>
        <v/>
      </c>
      <c r="I504" s="211">
        <f>IF(ROW()&lt;51,NA(),AVERAGE(INDEX(E:E,ROW()-49):E504))</f>
        <v/>
      </c>
      <c r="J504" s="211">
        <f>IF(ROW()&lt;201,NA(),AVERAGE(INDEX(E:E,ROW()-199):E504))</f>
        <v/>
      </c>
      <c r="K504" s="341">
        <f>IF(ROW()&lt;22,NA(),_xlfn.STDEV.S(INDEX(H:H,ROW()-19):H504)*SQRT(252))</f>
        <v/>
      </c>
      <c r="L504" s="426" cm="1">
        <f t="array" ref="L504">IF(ROW()&lt;17,NA(),_xlfn.LET(_xlpm.d,INDEX(E:E,ROW()-13):E504-INDEX(E:E,ROW()-14):INDEX(E:E,ROW()-1),_xlpm.g,SUM(IF(_xlpm.d&gt;0,_xlpm.d,0)),_xlpm.l,-SUM(IF(_xlpm.d&lt;0,_xlpm.d,0)),IF(_xlpm.l=0,100,100-100/(1+_xlpm.g/_xlpm.l))))</f>
        <v/>
      </c>
      <c r="M504" s="211">
        <f>MAX($E$2:E504)</f>
        <v/>
      </c>
      <c r="N504" s="341">
        <f>E504/M504-1</f>
        <v/>
      </c>
    </row>
    <row r="505">
      <c r="A505" s="424" t="n">
        <v>45195</v>
      </c>
      <c r="B505" s="425" t="n">
        <v>83.94356109379308</v>
      </c>
      <c r="C505" s="425" t="n">
        <v>84.59645261146237</v>
      </c>
      <c r="D505" s="425" t="n">
        <v>83.73836458367306</v>
      </c>
      <c r="E505" s="425" t="n">
        <v>84.10211944580078</v>
      </c>
      <c r="F505" s="207" t="n">
        <v>8060500</v>
      </c>
      <c r="G505" s="208" t="n">
        <v>-0.01469098388872025</v>
      </c>
      <c r="H505" s="209" cm="1">
        <f t="array" ref="H505">IF(ROW()&lt;3,"",E505/INDEX(E:E,ROW()-1)-1)</f>
        <v/>
      </c>
      <c r="I505" s="211">
        <f>IF(ROW()&lt;51,NA(),AVERAGE(INDEX(E:E,ROW()-49):E505))</f>
        <v/>
      </c>
      <c r="J505" s="211">
        <f>IF(ROW()&lt;201,NA(),AVERAGE(INDEX(E:E,ROW()-199):E505))</f>
        <v/>
      </c>
      <c r="K505" s="341">
        <f>IF(ROW()&lt;22,NA(),_xlfn.STDEV.S(INDEX(H:H,ROW()-19):H505)*SQRT(252))</f>
        <v/>
      </c>
      <c r="L505" s="426" cm="1">
        <f t="array" ref="L505">IF(ROW()&lt;17,NA(),_xlfn.LET(_xlpm.d,INDEX(E:E,ROW()-13):E505-INDEX(E:E,ROW()-14):INDEX(E:E,ROW()-1),_xlpm.g,SUM(IF(_xlpm.d&gt;0,_xlpm.d,0)),_xlpm.l,-SUM(IF(_xlpm.d&lt;0,_xlpm.d,0)),IF(_xlpm.l=0,100,100-100/(1+_xlpm.g/_xlpm.l))))</f>
        <v/>
      </c>
      <c r="M505" s="211">
        <f>MAX($E$2:E505)</f>
        <v/>
      </c>
      <c r="N505" s="341">
        <f>E505/M505-1</f>
        <v/>
      </c>
    </row>
    <row r="506">
      <c r="A506" s="424" t="n">
        <v>45196</v>
      </c>
      <c r="B506" s="425" t="n">
        <v>84.46586467791398</v>
      </c>
      <c r="C506" s="425" t="n">
        <v>84.59644296656052</v>
      </c>
      <c r="D506" s="425" t="n">
        <v>83.20671282826066</v>
      </c>
      <c r="E506" s="425" t="n">
        <v>83.40258026123047</v>
      </c>
      <c r="F506" s="207" t="n">
        <v>7631000</v>
      </c>
      <c r="G506" s="208" t="n">
        <v>0.0003990055325795439</v>
      </c>
      <c r="H506" s="209" cm="1">
        <f t="array" ref="H506">IF(ROW()&lt;3,"",E506/INDEX(E:E,ROW()-1)-1)</f>
        <v/>
      </c>
      <c r="I506" s="211">
        <f>IF(ROW()&lt;51,NA(),AVERAGE(INDEX(E:E,ROW()-49):E506))</f>
        <v/>
      </c>
      <c r="J506" s="211">
        <f>IF(ROW()&lt;201,NA(),AVERAGE(INDEX(E:E,ROW()-199):E506))</f>
        <v/>
      </c>
      <c r="K506" s="341">
        <f>IF(ROW()&lt;22,NA(),_xlfn.STDEV.S(INDEX(H:H,ROW()-19):H506)*SQRT(252))</f>
        <v/>
      </c>
      <c r="L506" s="426" cm="1">
        <f t="array" ref="L506">IF(ROW()&lt;17,NA(),_xlfn.LET(_xlpm.d,INDEX(E:E,ROW()-13):E506-INDEX(E:E,ROW()-14):INDEX(E:E,ROW()-1),_xlpm.g,SUM(IF(_xlpm.d&gt;0,_xlpm.d,0)),_xlpm.l,-SUM(IF(_xlpm.d&lt;0,_xlpm.d,0)),IF(_xlpm.l=0,100,100-100/(1+_xlpm.g/_xlpm.l))))</f>
        <v/>
      </c>
      <c r="M506" s="211">
        <f>MAX($E$2:E506)</f>
        <v/>
      </c>
      <c r="N506" s="341">
        <f>E506/M506-1</f>
        <v/>
      </c>
    </row>
    <row r="507">
      <c r="A507" s="424" t="n">
        <v>45197</v>
      </c>
      <c r="B507" s="425" t="n">
        <v>83.10412417010721</v>
      </c>
      <c r="C507" s="425" t="n">
        <v>83.73836469496482</v>
      </c>
      <c r="D507" s="425" t="n">
        <v>82.69373826530558</v>
      </c>
      <c r="E507" s="425" t="n">
        <v>83.59845733642578</v>
      </c>
      <c r="F507" s="207" t="n">
        <v>16315600</v>
      </c>
      <c r="G507" s="208" t="n">
        <v>0.005797533094223484</v>
      </c>
      <c r="H507" s="209" cm="1">
        <f t="array" ref="H507">IF(ROW()&lt;3,"",E507/INDEX(E:E,ROW()-1)-1)</f>
        <v/>
      </c>
      <c r="I507" s="211">
        <f>IF(ROW()&lt;51,NA(),AVERAGE(INDEX(E:E,ROW()-49):E507))</f>
        <v/>
      </c>
      <c r="J507" s="211">
        <f>IF(ROW()&lt;201,NA(),AVERAGE(INDEX(E:E,ROW()-199):E507))</f>
        <v/>
      </c>
      <c r="K507" s="341">
        <f>IF(ROW()&lt;22,NA(),_xlfn.STDEV.S(INDEX(H:H,ROW()-19):H507)*SQRT(252))</f>
        <v/>
      </c>
      <c r="L507" s="426" cm="1">
        <f t="array" ref="L507">IF(ROW()&lt;17,NA(),_xlfn.LET(_xlpm.d,INDEX(E:E,ROW()-13):E507-INDEX(E:E,ROW()-14):INDEX(E:E,ROW()-1),_xlpm.g,SUM(IF(_xlpm.d&gt;0,_xlpm.d,0)),_xlpm.l,-SUM(IF(_xlpm.d&lt;0,_xlpm.d,0)),IF(_xlpm.l=0,100,100-100/(1+_xlpm.g/_xlpm.l))))</f>
        <v/>
      </c>
      <c r="M507" s="211">
        <f>MAX($E$2:E507)</f>
        <v/>
      </c>
      <c r="N507" s="341">
        <f>E507/M507-1</f>
        <v/>
      </c>
    </row>
    <row r="508">
      <c r="A508" s="424" t="n">
        <v>45198</v>
      </c>
      <c r="B508" s="425" t="n">
        <v>92.68301972709347</v>
      </c>
      <c r="C508" s="425" t="n">
        <v>92.77628892598119</v>
      </c>
      <c r="D508" s="425" t="n">
        <v>88.25266517808107</v>
      </c>
      <c r="E508" s="425" t="n">
        <v>89.18537139892578</v>
      </c>
      <c r="F508" s="207" t="n">
        <v>34935400</v>
      </c>
      <c r="G508" s="208" t="n">
        <v>-0.00242698820334275</v>
      </c>
      <c r="H508" s="209" cm="1">
        <f t="array" ref="H508">IF(ROW()&lt;3,"",E508/INDEX(E:E,ROW()-1)-1)</f>
        <v/>
      </c>
      <c r="I508" s="211">
        <f>IF(ROW()&lt;51,NA(),AVERAGE(INDEX(E:E,ROW()-49):E508))</f>
        <v/>
      </c>
      <c r="J508" s="211">
        <f>IF(ROW()&lt;201,NA(),AVERAGE(INDEX(E:E,ROW()-199):E508))</f>
        <v/>
      </c>
      <c r="K508" s="341">
        <f>IF(ROW()&lt;22,NA(),_xlfn.STDEV.S(INDEX(H:H,ROW()-19):H508)*SQRT(252))</f>
        <v/>
      </c>
      <c r="L508" s="426" cm="1">
        <f t="array" ref="L508">IF(ROW()&lt;17,NA(),_xlfn.LET(_xlpm.d,INDEX(E:E,ROW()-13):E508-INDEX(E:E,ROW()-14):INDEX(E:E,ROW()-1),_xlpm.g,SUM(IF(_xlpm.d&gt;0,_xlpm.d,0)),_xlpm.l,-SUM(IF(_xlpm.d&lt;0,_xlpm.d,0)),IF(_xlpm.l=0,100,100-100/(1+_xlpm.g/_xlpm.l))))</f>
        <v/>
      </c>
      <c r="M508" s="211">
        <f>MAX($E$2:E508)</f>
        <v/>
      </c>
      <c r="N508" s="341">
        <f>E508/M508-1</f>
        <v/>
      </c>
    </row>
    <row r="509">
      <c r="A509" s="424" t="n">
        <v>45201</v>
      </c>
      <c r="B509" s="425" t="n">
        <v>89.72633097448112</v>
      </c>
      <c r="C509" s="425" t="n">
        <v>89.89421837021979</v>
      </c>
      <c r="D509" s="425" t="n">
        <v>87.42255270515496</v>
      </c>
      <c r="E509" s="425" t="n">
        <v>88.19669342041016</v>
      </c>
      <c r="F509" s="207" t="n">
        <v>12776300</v>
      </c>
      <c r="G509" s="208" t="n">
        <v>-0.0003978082497614333</v>
      </c>
      <c r="H509" s="209" cm="1">
        <f t="array" ref="H509">IF(ROW()&lt;3,"",E509/INDEX(E:E,ROW()-1)-1)</f>
        <v/>
      </c>
      <c r="I509" s="211">
        <f>IF(ROW()&lt;51,NA(),AVERAGE(INDEX(E:E,ROW()-49):E509))</f>
        <v/>
      </c>
      <c r="J509" s="211">
        <f>IF(ROW()&lt;201,NA(),AVERAGE(INDEX(E:E,ROW()-199):E509))</f>
        <v/>
      </c>
      <c r="K509" s="341">
        <f>IF(ROW()&lt;22,NA(),_xlfn.STDEV.S(INDEX(H:H,ROW()-19):H509)*SQRT(252))</f>
        <v/>
      </c>
      <c r="L509" s="426" cm="1">
        <f t="array" ref="L509">IF(ROW()&lt;17,NA(),_xlfn.LET(_xlpm.d,INDEX(E:E,ROW()-13):E509-INDEX(E:E,ROW()-14):INDEX(E:E,ROW()-1),_xlpm.g,SUM(IF(_xlpm.d&gt;0,_xlpm.d,0)),_xlpm.l,-SUM(IF(_xlpm.d&lt;0,_xlpm.d,0)),IF(_xlpm.l=0,100,100-100/(1+_xlpm.g/_xlpm.l))))</f>
        <v/>
      </c>
      <c r="M509" s="211">
        <f>MAX($E$2:E509)</f>
        <v/>
      </c>
      <c r="N509" s="341">
        <f>E509/M509-1</f>
        <v/>
      </c>
    </row>
    <row r="510">
      <c r="A510" s="424" t="n">
        <v>45202</v>
      </c>
      <c r="B510" s="425" t="n">
        <v>87.97285930785834</v>
      </c>
      <c r="C510" s="425" t="n">
        <v>89.58644436313897</v>
      </c>
      <c r="D510" s="425" t="n">
        <v>87.84228099309395</v>
      </c>
      <c r="E510" s="425" t="n">
        <v>88.6910400390625</v>
      </c>
      <c r="F510" s="207" t="n">
        <v>10964300</v>
      </c>
      <c r="G510" s="208" t="n">
        <v>-0.01338608747696091</v>
      </c>
      <c r="H510" s="209" cm="1">
        <f t="array" ref="H510">IF(ROW()&lt;3,"",E510/INDEX(E:E,ROW()-1)-1)</f>
        <v/>
      </c>
      <c r="I510" s="211">
        <f>IF(ROW()&lt;51,NA(),AVERAGE(INDEX(E:E,ROW()-49):E510))</f>
        <v/>
      </c>
      <c r="J510" s="211">
        <f>IF(ROW()&lt;201,NA(),AVERAGE(INDEX(E:E,ROW()-199):E510))</f>
        <v/>
      </c>
      <c r="K510" s="341">
        <f>IF(ROW()&lt;22,NA(),_xlfn.STDEV.S(INDEX(H:H,ROW()-19):H510)*SQRT(252))</f>
        <v/>
      </c>
      <c r="L510" s="426" cm="1">
        <f t="array" ref="L510">IF(ROW()&lt;17,NA(),_xlfn.LET(_xlpm.d,INDEX(E:E,ROW()-13):E510-INDEX(E:E,ROW()-14):INDEX(E:E,ROW()-1),_xlpm.g,SUM(IF(_xlpm.d&gt;0,_xlpm.d,0)),_xlpm.l,-SUM(IF(_xlpm.d&lt;0,_xlpm.d,0)),IF(_xlpm.l=0,100,100-100/(1+_xlpm.g/_xlpm.l))))</f>
        <v/>
      </c>
      <c r="M510" s="211">
        <f>MAX($E$2:E510)</f>
        <v/>
      </c>
      <c r="N510" s="341">
        <f>E510/M510-1</f>
        <v/>
      </c>
    </row>
    <row r="511">
      <c r="A511" s="424" t="n">
        <v>45203</v>
      </c>
      <c r="B511" s="425" t="n">
        <v>89.14807339566144</v>
      </c>
      <c r="C511" s="425" t="n">
        <v>89.78231398944207</v>
      </c>
      <c r="D511" s="425" t="n">
        <v>88.71902933457227</v>
      </c>
      <c r="E511" s="425" t="n">
        <v>89.43721008300781</v>
      </c>
      <c r="F511" s="207" t="n">
        <v>8045400</v>
      </c>
      <c r="G511" s="208" t="n">
        <v>0.007281980796052689</v>
      </c>
      <c r="H511" s="209" cm="1">
        <f t="array" ref="H511">IF(ROW()&lt;3,"",E511/INDEX(E:E,ROW()-1)-1)</f>
        <v/>
      </c>
      <c r="I511" s="211">
        <f>IF(ROW()&lt;51,NA(),AVERAGE(INDEX(E:E,ROW()-49):E511))</f>
        <v/>
      </c>
      <c r="J511" s="211">
        <f>IF(ROW()&lt;201,NA(),AVERAGE(INDEX(E:E,ROW()-199):E511))</f>
        <v/>
      </c>
      <c r="K511" s="341">
        <f>IF(ROW()&lt;22,NA(),_xlfn.STDEV.S(INDEX(H:H,ROW()-19):H511)*SQRT(252))</f>
        <v/>
      </c>
      <c r="L511" s="426" cm="1">
        <f t="array" ref="L511">IF(ROW()&lt;17,NA(),_xlfn.LET(_xlpm.d,INDEX(E:E,ROW()-13):E511-INDEX(E:E,ROW()-14):INDEX(E:E,ROW()-1),_xlpm.g,SUM(IF(_xlpm.d&gt;0,_xlpm.d,0)),_xlpm.l,-SUM(IF(_xlpm.d&lt;0,_xlpm.d,0)),IF(_xlpm.l=0,100,100-100/(1+_xlpm.g/_xlpm.l))))</f>
        <v/>
      </c>
      <c r="M511" s="211">
        <f>MAX($E$2:E511)</f>
        <v/>
      </c>
      <c r="N511" s="341">
        <f>E511/M511-1</f>
        <v/>
      </c>
    </row>
    <row r="512">
      <c r="A512" s="424" t="n">
        <v>45204</v>
      </c>
      <c r="B512" s="425" t="n">
        <v>89.34393310546875</v>
      </c>
      <c r="C512" s="425" t="n">
        <v>89.75432613517454</v>
      </c>
      <c r="D512" s="425" t="n">
        <v>88.86825092249015</v>
      </c>
      <c r="E512" s="425" t="n">
        <v>89.34393310546875</v>
      </c>
      <c r="F512" s="207" t="n">
        <v>7430000</v>
      </c>
      <c r="G512" s="208" t="n">
        <v>-0.0003768283571050635</v>
      </c>
      <c r="H512" s="209" cm="1">
        <f t="array" ref="H512">IF(ROW()&lt;3,"",E512/INDEX(E:E,ROW()-1)-1)</f>
        <v/>
      </c>
      <c r="I512" s="211">
        <f>IF(ROW()&lt;51,NA(),AVERAGE(INDEX(E:E,ROW()-49):E512))</f>
        <v/>
      </c>
      <c r="J512" s="211">
        <f>IF(ROW()&lt;201,NA(),AVERAGE(INDEX(E:E,ROW()-199):E512))</f>
        <v/>
      </c>
      <c r="K512" s="341">
        <f>IF(ROW()&lt;22,NA(),_xlfn.STDEV.S(INDEX(H:H,ROW()-19):H512)*SQRT(252))</f>
        <v/>
      </c>
      <c r="L512" s="426" cm="1">
        <f t="array" ref="L512">IF(ROW()&lt;17,NA(),_xlfn.LET(_xlpm.d,INDEX(E:E,ROW()-13):E512-INDEX(E:E,ROW()-14):INDEX(E:E,ROW()-1),_xlpm.g,SUM(IF(_xlpm.d&gt;0,_xlpm.d,0)),_xlpm.l,-SUM(IF(_xlpm.d&lt;0,_xlpm.d,0)),IF(_xlpm.l=0,100,100-100/(1+_xlpm.g/_xlpm.l))))</f>
        <v/>
      </c>
      <c r="M512" s="211">
        <f>MAX($E$2:E512)</f>
        <v/>
      </c>
      <c r="N512" s="341">
        <f>E512/M512-1</f>
        <v/>
      </c>
    </row>
    <row r="513">
      <c r="A513" s="424" t="n">
        <v>45205</v>
      </c>
      <c r="B513" s="425" t="n">
        <v>89.34393180455901</v>
      </c>
      <c r="C513" s="425" t="n">
        <v>91.13472608195337</v>
      </c>
      <c r="D513" s="425" t="n">
        <v>88.66305311664156</v>
      </c>
      <c r="E513" s="425" t="n">
        <v>90.57510375976562</v>
      </c>
      <c r="F513" s="207" t="n">
        <v>8532900</v>
      </c>
      <c r="G513" s="208" t="n">
        <v>0.01187303976504839</v>
      </c>
      <c r="H513" s="209" cm="1">
        <f t="array" ref="H513">IF(ROW()&lt;3,"",E513/INDEX(E:E,ROW()-1)-1)</f>
        <v/>
      </c>
      <c r="I513" s="211">
        <f>IF(ROW()&lt;51,NA(),AVERAGE(INDEX(E:E,ROW()-49):E513))</f>
        <v/>
      </c>
      <c r="J513" s="211">
        <f>IF(ROW()&lt;201,NA(),AVERAGE(INDEX(E:E,ROW()-199):E513))</f>
        <v/>
      </c>
      <c r="K513" s="341">
        <f>IF(ROW()&lt;22,NA(),_xlfn.STDEV.S(INDEX(H:H,ROW()-19):H513)*SQRT(252))</f>
        <v/>
      </c>
      <c r="L513" s="426" cm="1">
        <f t="array" ref="L513">IF(ROW()&lt;17,NA(),_xlfn.LET(_xlpm.d,INDEX(E:E,ROW()-13):E513-INDEX(E:E,ROW()-14):INDEX(E:E,ROW()-1),_xlpm.g,SUM(IF(_xlpm.d&gt;0,_xlpm.d,0)),_xlpm.l,-SUM(IF(_xlpm.d&lt;0,_xlpm.d,0)),IF(_xlpm.l=0,100,100-100/(1+_xlpm.g/_xlpm.l))))</f>
        <v/>
      </c>
      <c r="M513" s="211">
        <f>MAX($E$2:E513)</f>
        <v/>
      </c>
      <c r="N513" s="341">
        <f>E513/M513-1</f>
        <v/>
      </c>
    </row>
    <row r="514">
      <c r="A514" s="424" t="n">
        <v>45208</v>
      </c>
      <c r="B514" s="425" t="n">
        <v>90.26731124097816</v>
      </c>
      <c r="C514" s="425" t="n">
        <v>90.60308606585343</v>
      </c>
      <c r="D514" s="425" t="n">
        <v>89.46518328332994</v>
      </c>
      <c r="E514" s="425" t="n">
        <v>90.36058044433594</v>
      </c>
      <c r="F514" s="207" t="n">
        <v>5964200</v>
      </c>
      <c r="G514" s="208" t="n">
        <v>0.006402182505961251</v>
      </c>
      <c r="H514" s="209" cm="1">
        <f t="array" ref="H514">IF(ROW()&lt;3,"",E514/INDEX(E:E,ROW()-1)-1)</f>
        <v/>
      </c>
      <c r="I514" s="211">
        <f>IF(ROW()&lt;51,NA(),AVERAGE(INDEX(E:E,ROW()-49):E514))</f>
        <v/>
      </c>
      <c r="J514" s="211">
        <f>IF(ROW()&lt;201,NA(),AVERAGE(INDEX(E:E,ROW()-199):E514))</f>
        <v/>
      </c>
      <c r="K514" s="341">
        <f>IF(ROW()&lt;22,NA(),_xlfn.STDEV.S(INDEX(H:H,ROW()-19):H514)*SQRT(252))</f>
        <v/>
      </c>
      <c r="L514" s="426" cm="1">
        <f t="array" ref="L514">IF(ROW()&lt;17,NA(),_xlfn.LET(_xlpm.d,INDEX(E:E,ROW()-13):E514-INDEX(E:E,ROW()-14):INDEX(E:E,ROW()-1),_xlpm.g,SUM(IF(_xlpm.d&gt;0,_xlpm.d,0)),_xlpm.l,-SUM(IF(_xlpm.d&lt;0,_xlpm.d,0)),IF(_xlpm.l=0,100,100-100/(1+_xlpm.g/_xlpm.l))))</f>
        <v/>
      </c>
      <c r="M514" s="211">
        <f>MAX($E$2:E514)</f>
        <v/>
      </c>
      <c r="N514" s="341">
        <f>E514/M514-1</f>
        <v/>
      </c>
    </row>
    <row r="515">
      <c r="A515" s="424" t="n">
        <v>45209</v>
      </c>
      <c r="B515" s="425" t="n">
        <v>90.70568499682969</v>
      </c>
      <c r="C515" s="425" t="n">
        <v>92.20734266477058</v>
      </c>
      <c r="D515" s="425" t="n">
        <v>90.68703400241348</v>
      </c>
      <c r="E515" s="425" t="n">
        <v>91.05078887939453</v>
      </c>
      <c r="F515" s="207" t="n">
        <v>8499000</v>
      </c>
      <c r="G515" s="208" t="n">
        <v>0.00520466070444936</v>
      </c>
      <c r="H515" s="209" cm="1">
        <f t="array" ref="H515">IF(ROW()&lt;3,"",E515/INDEX(E:E,ROW()-1)-1)</f>
        <v/>
      </c>
      <c r="I515" s="211">
        <f>IF(ROW()&lt;51,NA(),AVERAGE(INDEX(E:E,ROW()-49):E515))</f>
        <v/>
      </c>
      <c r="J515" s="211">
        <f>IF(ROW()&lt;201,NA(),AVERAGE(INDEX(E:E,ROW()-199):E515))</f>
        <v/>
      </c>
      <c r="K515" s="341">
        <f>IF(ROW()&lt;22,NA(),_xlfn.STDEV.S(INDEX(H:H,ROW()-19):H515)*SQRT(252))</f>
        <v/>
      </c>
      <c r="L515" s="426" cm="1">
        <f t="array" ref="L515">IF(ROW()&lt;17,NA(),_xlfn.LET(_xlpm.d,INDEX(E:E,ROW()-13):E515-INDEX(E:E,ROW()-14):INDEX(E:E,ROW()-1),_xlpm.g,SUM(IF(_xlpm.d&gt;0,_xlpm.d,0)),_xlpm.l,-SUM(IF(_xlpm.d&lt;0,_xlpm.d,0)),IF(_xlpm.l=0,100,100-100/(1+_xlpm.g/_xlpm.l))))</f>
        <v/>
      </c>
      <c r="M515" s="211">
        <f>MAX($E$2:E515)</f>
        <v/>
      </c>
      <c r="N515" s="341">
        <f>E515/M515-1</f>
        <v/>
      </c>
    </row>
    <row r="516">
      <c r="A516" s="424" t="n">
        <v>45210</v>
      </c>
      <c r="B516" s="425" t="n">
        <v>91.69435077846722</v>
      </c>
      <c r="C516" s="425" t="n">
        <v>92.29128221972223</v>
      </c>
      <c r="D516" s="425" t="n">
        <v>91.41454316811998</v>
      </c>
      <c r="E516" s="425" t="n">
        <v>92.011474609375</v>
      </c>
      <c r="F516" s="207" t="n">
        <v>7642900</v>
      </c>
      <c r="G516" s="208" t="n">
        <v>0.004096379540939221</v>
      </c>
      <c r="H516" s="209" cm="1">
        <f t="array" ref="H516">IF(ROW()&lt;3,"",E516/INDEX(E:E,ROW()-1)-1)</f>
        <v/>
      </c>
      <c r="I516" s="211">
        <f>IF(ROW()&lt;51,NA(),AVERAGE(INDEX(E:E,ROW()-49):E516))</f>
        <v/>
      </c>
      <c r="J516" s="211">
        <f>IF(ROW()&lt;201,NA(),AVERAGE(INDEX(E:E,ROW()-199):E516))</f>
        <v/>
      </c>
      <c r="K516" s="341">
        <f>IF(ROW()&lt;22,NA(),_xlfn.STDEV.S(INDEX(H:H,ROW()-19):H516)*SQRT(252))</f>
        <v/>
      </c>
      <c r="L516" s="426" cm="1">
        <f t="array" ref="L516">IF(ROW()&lt;17,NA(),_xlfn.LET(_xlpm.d,INDEX(E:E,ROW()-13):E516-INDEX(E:E,ROW()-14):INDEX(E:E,ROW()-1),_xlpm.g,SUM(IF(_xlpm.d&gt;0,_xlpm.d,0)),_xlpm.l,-SUM(IF(_xlpm.d&lt;0,_xlpm.d,0)),IF(_xlpm.l=0,100,100-100/(1+_xlpm.g/_xlpm.l))))</f>
        <v/>
      </c>
      <c r="M516" s="211">
        <f>MAX($E$2:E516)</f>
        <v/>
      </c>
      <c r="N516" s="341">
        <f>E516/M516-1</f>
        <v/>
      </c>
    </row>
    <row r="517">
      <c r="A517" s="424" t="n">
        <v>45211</v>
      </c>
      <c r="B517" s="425" t="n">
        <v>92.84156869949072</v>
      </c>
      <c r="C517" s="425" t="n">
        <v>93.31725081655148</v>
      </c>
      <c r="D517" s="425" t="n">
        <v>91.89020446536919</v>
      </c>
      <c r="E517" s="425" t="n">
        <v>92.57108306884766</v>
      </c>
      <c r="F517" s="207" t="n">
        <v>10705200</v>
      </c>
      <c r="G517" s="208" t="n">
        <v>-0.006096438609385357</v>
      </c>
      <c r="H517" s="209" cm="1">
        <f t="array" ref="H517">IF(ROW()&lt;3,"",E517/INDEX(E:E,ROW()-1)-1)</f>
        <v/>
      </c>
      <c r="I517" s="211">
        <f>IF(ROW()&lt;51,NA(),AVERAGE(INDEX(E:E,ROW()-49):E517))</f>
        <v/>
      </c>
      <c r="J517" s="211">
        <f>IF(ROW()&lt;201,NA(),AVERAGE(INDEX(E:E,ROW()-199):E517))</f>
        <v/>
      </c>
      <c r="K517" s="341">
        <f>IF(ROW()&lt;22,NA(),_xlfn.STDEV.S(INDEX(H:H,ROW()-19):H517)*SQRT(252))</f>
        <v/>
      </c>
      <c r="L517" s="426" cm="1">
        <f t="array" ref="L517">IF(ROW()&lt;17,NA(),_xlfn.LET(_xlpm.d,INDEX(E:E,ROW()-13):E517-INDEX(E:E,ROW()-14):INDEX(E:E,ROW()-1),_xlpm.g,SUM(IF(_xlpm.d&gt;0,_xlpm.d,0)),_xlpm.l,-SUM(IF(_xlpm.d&lt;0,_xlpm.d,0)),IF(_xlpm.l=0,100,100-100/(1+_xlpm.g/_xlpm.l))))</f>
        <v/>
      </c>
      <c r="M517" s="211">
        <f>MAX($E$2:E517)</f>
        <v/>
      </c>
      <c r="N517" s="341">
        <f>E517/M517-1</f>
        <v/>
      </c>
    </row>
    <row r="518">
      <c r="A518" s="424" t="n">
        <v>45212</v>
      </c>
      <c r="B518" s="425" t="n">
        <v>92.88821082727894</v>
      </c>
      <c r="C518" s="425" t="n">
        <v>94.06342267964114</v>
      </c>
      <c r="D518" s="425" t="n">
        <v>92.75763252323689</v>
      </c>
      <c r="E518" s="425" t="n">
        <v>93.18668365478516</v>
      </c>
      <c r="F518" s="207" t="n">
        <v>8774700</v>
      </c>
      <c r="G518" s="208" t="n">
        <v>-0.004980838885962791</v>
      </c>
      <c r="H518" s="209" cm="1">
        <f t="array" ref="H518">IF(ROW()&lt;3,"",E518/INDEX(E:E,ROW()-1)-1)</f>
        <v/>
      </c>
      <c r="I518" s="211">
        <f>IF(ROW()&lt;51,NA(),AVERAGE(INDEX(E:E,ROW()-49):E518))</f>
        <v/>
      </c>
      <c r="J518" s="211">
        <f>IF(ROW()&lt;201,NA(),AVERAGE(INDEX(E:E,ROW()-199):E518))</f>
        <v/>
      </c>
      <c r="K518" s="341">
        <f>IF(ROW()&lt;22,NA(),_xlfn.STDEV.S(INDEX(H:H,ROW()-19):H518)*SQRT(252))</f>
        <v/>
      </c>
      <c r="L518" s="426" cm="1">
        <f t="array" ref="L518">IF(ROW()&lt;17,NA(),_xlfn.LET(_xlpm.d,INDEX(E:E,ROW()-13):E518-INDEX(E:E,ROW()-14):INDEX(E:E,ROW()-1),_xlpm.g,SUM(IF(_xlpm.d&gt;0,_xlpm.d,0)),_xlpm.l,-SUM(IF(_xlpm.d&lt;0,_xlpm.d,0)),IF(_xlpm.l=0,100,100-100/(1+_xlpm.g/_xlpm.l))))</f>
        <v/>
      </c>
      <c r="M518" s="211">
        <f>MAX($E$2:E518)</f>
        <v/>
      </c>
      <c r="N518" s="341">
        <f>E518/M518-1</f>
        <v/>
      </c>
    </row>
    <row r="519">
      <c r="A519" s="424" t="n">
        <v>45215</v>
      </c>
      <c r="B519" s="425" t="n">
        <v>93.009469238021</v>
      </c>
      <c r="C519" s="425" t="n">
        <v>95.6770097066626</v>
      </c>
      <c r="D519" s="425" t="n">
        <v>92.89754192524452</v>
      </c>
      <c r="E519" s="425" t="n">
        <v>95.17334747314453</v>
      </c>
      <c r="F519" s="207" t="n">
        <v>10845400</v>
      </c>
      <c r="G519" s="208" t="n">
        <v>0.01052144171567448</v>
      </c>
      <c r="H519" s="209" cm="1">
        <f t="array" ref="H519">IF(ROW()&lt;3,"",E519/INDEX(E:E,ROW()-1)-1)</f>
        <v/>
      </c>
      <c r="I519" s="211">
        <f>IF(ROW()&lt;51,NA(),AVERAGE(INDEX(E:E,ROW()-49):E519))</f>
        <v/>
      </c>
      <c r="J519" s="211">
        <f>IF(ROW()&lt;201,NA(),AVERAGE(INDEX(E:E,ROW()-199):E519))</f>
        <v/>
      </c>
      <c r="K519" s="341">
        <f>IF(ROW()&lt;22,NA(),_xlfn.STDEV.S(INDEX(H:H,ROW()-19):H519)*SQRT(252))</f>
        <v/>
      </c>
      <c r="L519" s="426" cm="1">
        <f t="array" ref="L519">IF(ROW()&lt;17,NA(),_xlfn.LET(_xlpm.d,INDEX(E:E,ROW()-13):E519-INDEX(E:E,ROW()-14):INDEX(E:E,ROW()-1),_xlpm.g,SUM(IF(_xlpm.d&gt;0,_xlpm.d,0)),_xlpm.l,-SUM(IF(_xlpm.d&lt;0,_xlpm.d,0)),IF(_xlpm.l=0,100,100-100/(1+_xlpm.g/_xlpm.l))))</f>
        <v/>
      </c>
      <c r="M519" s="211">
        <f>MAX($E$2:E519)</f>
        <v/>
      </c>
      <c r="N519" s="341">
        <f>E519/M519-1</f>
        <v/>
      </c>
    </row>
    <row r="520">
      <c r="A520" s="424" t="n">
        <v>45216</v>
      </c>
      <c r="B520" s="425" t="n">
        <v>95.10806380491123</v>
      </c>
      <c r="C520" s="425" t="n">
        <v>96.61904347662502</v>
      </c>
      <c r="D520" s="425" t="n">
        <v>95.10806380491123</v>
      </c>
      <c r="E520" s="425" t="n">
        <v>96.07807922363281</v>
      </c>
      <c r="F520" s="207" t="n">
        <v>9253800</v>
      </c>
      <c r="G520" s="208" t="n">
        <v>-4.593770614813586e-05</v>
      </c>
      <c r="H520" s="209" cm="1">
        <f t="array" ref="H520">IF(ROW()&lt;3,"",E520/INDEX(E:E,ROW()-1)-1)</f>
        <v/>
      </c>
      <c r="I520" s="211">
        <f>IF(ROW()&lt;51,NA(),AVERAGE(INDEX(E:E,ROW()-49):E520))</f>
        <v/>
      </c>
      <c r="J520" s="211">
        <f>IF(ROW()&lt;201,NA(),AVERAGE(INDEX(E:E,ROW()-199):E520))</f>
        <v/>
      </c>
      <c r="K520" s="341">
        <f>IF(ROW()&lt;22,NA(),_xlfn.STDEV.S(INDEX(H:H,ROW()-19):H520)*SQRT(252))</f>
        <v/>
      </c>
      <c r="L520" s="426" cm="1">
        <f t="array" ref="L520">IF(ROW()&lt;17,NA(),_xlfn.LET(_xlpm.d,INDEX(E:E,ROW()-13):E520-INDEX(E:E,ROW()-14):INDEX(E:E,ROW()-1),_xlpm.g,SUM(IF(_xlpm.d&gt;0,_xlpm.d,0)),_xlpm.l,-SUM(IF(_xlpm.d&lt;0,_xlpm.d,0)),IF(_xlpm.l=0,100,100-100/(1+_xlpm.g/_xlpm.l))))</f>
        <v/>
      </c>
      <c r="M520" s="211">
        <f>MAX($E$2:E520)</f>
        <v/>
      </c>
      <c r="N520" s="341">
        <f>E520/M520-1</f>
        <v/>
      </c>
    </row>
    <row r="521">
      <c r="A521" s="424" t="n">
        <v>45217</v>
      </c>
      <c r="B521" s="425" t="n">
        <v>96.04075795437429</v>
      </c>
      <c r="C521" s="425" t="n">
        <v>96.90817499961098</v>
      </c>
      <c r="D521" s="425" t="n">
        <v>96.00344885268863</v>
      </c>
      <c r="E521" s="425" t="n">
        <v>96.78691864013672</v>
      </c>
      <c r="F521" s="207" t="n">
        <v>8757300</v>
      </c>
      <c r="G521" s="208" t="n">
        <v>-0.01332508690644829</v>
      </c>
      <c r="H521" s="209" cm="1">
        <f t="array" ref="H521">IF(ROW()&lt;3,"",E521/INDEX(E:E,ROW()-1)-1)</f>
        <v/>
      </c>
      <c r="I521" s="211">
        <f>IF(ROW()&lt;51,NA(),AVERAGE(INDEX(E:E,ROW()-49):E521))</f>
        <v/>
      </c>
      <c r="J521" s="211">
        <f>IF(ROW()&lt;201,NA(),AVERAGE(INDEX(E:E,ROW()-199):E521))</f>
        <v/>
      </c>
      <c r="K521" s="341">
        <f>IF(ROW()&lt;22,NA(),_xlfn.STDEV.S(INDEX(H:H,ROW()-19):H521)*SQRT(252))</f>
        <v/>
      </c>
      <c r="L521" s="426" cm="1">
        <f t="array" ref="L521">IF(ROW()&lt;17,NA(),_xlfn.LET(_xlpm.d,INDEX(E:E,ROW()-13):E521-INDEX(E:E,ROW()-14):INDEX(E:E,ROW()-1),_xlpm.g,SUM(IF(_xlpm.d&gt;0,_xlpm.d,0)),_xlpm.l,-SUM(IF(_xlpm.d&lt;0,_xlpm.d,0)),IF(_xlpm.l=0,100,100-100/(1+_xlpm.g/_xlpm.l))))</f>
        <v/>
      </c>
      <c r="M521" s="211">
        <f>MAX($E$2:E521)</f>
        <v/>
      </c>
      <c r="N521" s="341">
        <f>E521/M521-1</f>
        <v/>
      </c>
    </row>
    <row r="522">
      <c r="A522" s="424" t="n">
        <v>45218</v>
      </c>
      <c r="B522" s="425" t="n">
        <v>96.78692183807568</v>
      </c>
      <c r="C522" s="425" t="n">
        <v>97.32789315641658</v>
      </c>
      <c r="D522" s="425" t="n">
        <v>95.92883381890418</v>
      </c>
      <c r="E522" s="425" t="n">
        <v>96.11537933349609</v>
      </c>
      <c r="F522" s="207" t="n">
        <v>8391100</v>
      </c>
      <c r="G522" s="208" t="n">
        <v>-0.008786424006192783</v>
      </c>
      <c r="H522" s="209" cm="1">
        <f t="array" ref="H522">IF(ROW()&lt;3,"",E522/INDEX(E:E,ROW()-1)-1)</f>
        <v/>
      </c>
      <c r="I522" s="211">
        <f>IF(ROW()&lt;51,NA(),AVERAGE(INDEX(E:E,ROW()-49):E522))</f>
        <v/>
      </c>
      <c r="J522" s="211">
        <f>IF(ROW()&lt;201,NA(),AVERAGE(INDEX(E:E,ROW()-199):E522))</f>
        <v/>
      </c>
      <c r="K522" s="341">
        <f>IF(ROW()&lt;22,NA(),_xlfn.STDEV.S(INDEX(H:H,ROW()-19):H522)*SQRT(252))</f>
        <v/>
      </c>
      <c r="L522" s="426" cm="1">
        <f t="array" ref="L522">IF(ROW()&lt;17,NA(),_xlfn.LET(_xlpm.d,INDEX(E:E,ROW()-13):E522-INDEX(E:E,ROW()-14):INDEX(E:E,ROW()-1),_xlpm.g,SUM(IF(_xlpm.d&gt;0,_xlpm.d,0)),_xlpm.l,-SUM(IF(_xlpm.d&lt;0,_xlpm.d,0)),IF(_xlpm.l=0,100,100-100/(1+_xlpm.g/_xlpm.l))))</f>
        <v/>
      </c>
      <c r="M522" s="211">
        <f>MAX($E$2:E522)</f>
        <v/>
      </c>
      <c r="N522" s="341">
        <f>E522/M522-1</f>
        <v/>
      </c>
    </row>
    <row r="523">
      <c r="A523" s="424" t="n">
        <v>45219</v>
      </c>
      <c r="B523" s="425" t="n">
        <v>96.36721633948984</v>
      </c>
      <c r="C523" s="425" t="n">
        <v>96.78693133553564</v>
      </c>
      <c r="D523" s="425" t="n">
        <v>95.66768660209053</v>
      </c>
      <c r="E523" s="425" t="n">
        <v>95.76095581054688</v>
      </c>
      <c r="F523" s="207" t="n">
        <v>7823500</v>
      </c>
      <c r="G523" s="208" t="n">
        <v>-0.01228791856951683</v>
      </c>
      <c r="H523" s="209" cm="1">
        <f t="array" ref="H523">IF(ROW()&lt;3,"",E523/INDEX(E:E,ROW()-1)-1)</f>
        <v/>
      </c>
      <c r="I523" s="211">
        <f>IF(ROW()&lt;51,NA(),AVERAGE(INDEX(E:E,ROW()-49):E523))</f>
        <v/>
      </c>
      <c r="J523" s="211">
        <f>IF(ROW()&lt;201,NA(),AVERAGE(INDEX(E:E,ROW()-199):E523))</f>
        <v/>
      </c>
      <c r="K523" s="341">
        <f>IF(ROW()&lt;22,NA(),_xlfn.STDEV.S(INDEX(H:H,ROW()-19):H523)*SQRT(252))</f>
        <v/>
      </c>
      <c r="L523" s="426" cm="1">
        <f t="array" ref="L523">IF(ROW()&lt;17,NA(),_xlfn.LET(_xlpm.d,INDEX(E:E,ROW()-13):E523-INDEX(E:E,ROW()-14):INDEX(E:E,ROW()-1),_xlpm.g,SUM(IF(_xlpm.d&gt;0,_xlpm.d,0)),_xlpm.l,-SUM(IF(_xlpm.d&lt;0,_xlpm.d,0)),IF(_xlpm.l=0,100,100-100/(1+_xlpm.g/_xlpm.l))))</f>
        <v/>
      </c>
      <c r="M523" s="211">
        <f>MAX($E$2:E523)</f>
        <v/>
      </c>
      <c r="N523" s="341">
        <f>E523/M523-1</f>
        <v/>
      </c>
    </row>
    <row r="524">
      <c r="A524" s="424" t="n">
        <v>45222</v>
      </c>
      <c r="B524" s="425" t="n">
        <v>95.25728474725494</v>
      </c>
      <c r="C524" s="425" t="n">
        <v>96.77760045700877</v>
      </c>
      <c r="D524" s="425" t="n">
        <v>94.92150993503839</v>
      </c>
      <c r="E524" s="425" t="n">
        <v>95.89152526855469</v>
      </c>
      <c r="F524" s="207" t="n">
        <v>5966100</v>
      </c>
      <c r="G524" s="208" t="n">
        <v>-0.001733250950695986</v>
      </c>
      <c r="H524" s="209" cm="1">
        <f t="array" ref="H524">IF(ROW()&lt;3,"",E524/INDEX(E:E,ROW()-1)-1)</f>
        <v/>
      </c>
      <c r="I524" s="211">
        <f>IF(ROW()&lt;51,NA(),AVERAGE(INDEX(E:E,ROW()-49):E524))</f>
        <v/>
      </c>
      <c r="J524" s="211">
        <f>IF(ROW()&lt;201,NA(),AVERAGE(INDEX(E:E,ROW()-199):E524))</f>
        <v/>
      </c>
      <c r="K524" s="341">
        <f>IF(ROW()&lt;22,NA(),_xlfn.STDEV.S(INDEX(H:H,ROW()-19):H524)*SQRT(252))</f>
        <v/>
      </c>
      <c r="L524" s="426" cm="1">
        <f t="array" ref="L524">IF(ROW()&lt;17,NA(),_xlfn.LET(_xlpm.d,INDEX(E:E,ROW()-13):E524-INDEX(E:E,ROW()-14):INDEX(E:E,ROW()-1),_xlpm.g,SUM(IF(_xlpm.d&gt;0,_xlpm.d,0)),_xlpm.l,-SUM(IF(_xlpm.d&lt;0,_xlpm.d,0)),IF(_xlpm.l=0,100,100-100/(1+_xlpm.g/_xlpm.l))))</f>
        <v/>
      </c>
      <c r="M524" s="211">
        <f>MAX($E$2:E524)</f>
        <v/>
      </c>
      <c r="N524" s="341">
        <f>E524/M524-1</f>
        <v/>
      </c>
    </row>
    <row r="525">
      <c r="A525" s="424" t="n">
        <v>45223</v>
      </c>
      <c r="B525" s="425" t="n">
        <v>96.68434030936581</v>
      </c>
      <c r="C525" s="425" t="n">
        <v>98.54042388913065</v>
      </c>
      <c r="D525" s="425" t="n">
        <v>96.68434030936581</v>
      </c>
      <c r="E525" s="425" t="n">
        <v>98.10205078125</v>
      </c>
      <c r="F525" s="207" t="n">
        <v>9252200</v>
      </c>
      <c r="G525" s="208" t="n">
        <v>0.007539298412349016</v>
      </c>
      <c r="H525" s="209" cm="1">
        <f t="array" ref="H525">IF(ROW()&lt;3,"",E525/INDEX(E:E,ROW()-1)-1)</f>
        <v/>
      </c>
      <c r="I525" s="211">
        <f>IF(ROW()&lt;51,NA(),AVERAGE(INDEX(E:E,ROW()-49):E525))</f>
        <v/>
      </c>
      <c r="J525" s="211">
        <f>IF(ROW()&lt;201,NA(),AVERAGE(INDEX(E:E,ROW()-199):E525))</f>
        <v/>
      </c>
      <c r="K525" s="341">
        <f>IF(ROW()&lt;22,NA(),_xlfn.STDEV.S(INDEX(H:H,ROW()-19):H525)*SQRT(252))</f>
        <v/>
      </c>
      <c r="L525" s="426" cm="1">
        <f t="array" ref="L525">IF(ROW()&lt;17,NA(),_xlfn.LET(_xlpm.d,INDEX(E:E,ROW()-13):E525-INDEX(E:E,ROW()-14):INDEX(E:E,ROW()-1),_xlpm.g,SUM(IF(_xlpm.d&gt;0,_xlpm.d,0)),_xlpm.l,-SUM(IF(_xlpm.d&lt;0,_xlpm.d,0)),IF(_xlpm.l=0,100,100-100/(1+_xlpm.g/_xlpm.l))))</f>
        <v/>
      </c>
      <c r="M525" s="211">
        <f>MAX($E$2:E525)</f>
        <v/>
      </c>
      <c r="N525" s="341">
        <f>E525/M525-1</f>
        <v/>
      </c>
    </row>
    <row r="526">
      <c r="A526" s="424" t="n">
        <v>45224</v>
      </c>
      <c r="B526" s="425" t="n">
        <v>97.43050636375867</v>
      </c>
      <c r="C526" s="425" t="n">
        <v>97.97147776512607</v>
      </c>
      <c r="D526" s="425" t="n">
        <v>96.52578004808883</v>
      </c>
      <c r="E526" s="425" t="n">
        <v>96.57241821289062</v>
      </c>
      <c r="F526" s="207" t="n">
        <v>7054700</v>
      </c>
      <c r="G526" s="208" t="n">
        <v>-0.01435212664130636</v>
      </c>
      <c r="H526" s="209" cm="1">
        <f t="array" ref="H526">IF(ROW()&lt;3,"",E526/INDEX(E:E,ROW()-1)-1)</f>
        <v/>
      </c>
      <c r="I526" s="211">
        <f>IF(ROW()&lt;51,NA(),AVERAGE(INDEX(E:E,ROW()-49):E526))</f>
        <v/>
      </c>
      <c r="J526" s="211">
        <f>IF(ROW()&lt;201,NA(),AVERAGE(INDEX(E:E,ROW()-199):E526))</f>
        <v/>
      </c>
      <c r="K526" s="341">
        <f>IF(ROW()&lt;22,NA(),_xlfn.STDEV.S(INDEX(H:H,ROW()-19):H526)*SQRT(252))</f>
        <v/>
      </c>
      <c r="L526" s="426" cm="1">
        <f t="array" ref="L526">IF(ROW()&lt;17,NA(),_xlfn.LET(_xlpm.d,INDEX(E:E,ROW()-13):E526-INDEX(E:E,ROW()-14):INDEX(E:E,ROW()-1),_xlpm.g,SUM(IF(_xlpm.d&gt;0,_xlpm.d,0)),_xlpm.l,-SUM(IF(_xlpm.d&lt;0,_xlpm.d,0)),IF(_xlpm.l=0,100,100-100/(1+_xlpm.g/_xlpm.l))))</f>
        <v/>
      </c>
      <c r="M526" s="211">
        <f>MAX($E$2:E526)</f>
        <v/>
      </c>
      <c r="N526" s="341">
        <f>E526/M526-1</f>
        <v/>
      </c>
    </row>
    <row r="527">
      <c r="A527" s="424" t="n">
        <v>45225</v>
      </c>
      <c r="B527" s="425" t="n">
        <v>95.30392504150674</v>
      </c>
      <c r="C527" s="425" t="n">
        <v>95.7236400081939</v>
      </c>
      <c r="D527" s="425" t="n">
        <v>93.22398697009589</v>
      </c>
      <c r="E527" s="425" t="n">
        <v>93.28927612304688</v>
      </c>
      <c r="F527" s="207" t="n">
        <v>11222600</v>
      </c>
      <c r="G527" s="208" t="n">
        <v>-0.01197464202369691</v>
      </c>
      <c r="H527" s="209" cm="1">
        <f t="array" ref="H527">IF(ROW()&lt;3,"",E527/INDEX(E:E,ROW()-1)-1)</f>
        <v/>
      </c>
      <c r="I527" s="211">
        <f>IF(ROW()&lt;51,NA(),AVERAGE(INDEX(E:E,ROW()-49):E527))</f>
        <v/>
      </c>
      <c r="J527" s="211">
        <f>IF(ROW()&lt;201,NA(),AVERAGE(INDEX(E:E,ROW()-199):E527))</f>
        <v/>
      </c>
      <c r="K527" s="341">
        <f>IF(ROW()&lt;22,NA(),_xlfn.STDEV.S(INDEX(H:H,ROW()-19):H527)*SQRT(252))</f>
        <v/>
      </c>
      <c r="L527" s="426" cm="1">
        <f t="array" ref="L527">IF(ROW()&lt;17,NA(),_xlfn.LET(_xlpm.d,INDEX(E:E,ROW()-13):E527-INDEX(E:E,ROW()-14):INDEX(E:E,ROW()-1),_xlpm.g,SUM(IF(_xlpm.d&gt;0,_xlpm.d,0)),_xlpm.l,-SUM(IF(_xlpm.d&lt;0,_xlpm.d,0)),IF(_xlpm.l=0,100,100-100/(1+_xlpm.g/_xlpm.l))))</f>
        <v/>
      </c>
      <c r="M527" s="211">
        <f>MAX($E$2:E527)</f>
        <v/>
      </c>
      <c r="N527" s="341">
        <f>E527/M527-1</f>
        <v/>
      </c>
    </row>
    <row r="528">
      <c r="A528" s="424" t="n">
        <v>45226</v>
      </c>
      <c r="B528" s="425" t="n">
        <v>93.06542545850149</v>
      </c>
      <c r="C528" s="425" t="n">
        <v>93.58773866439284</v>
      </c>
      <c r="D528" s="425" t="n">
        <v>91.22799306722607</v>
      </c>
      <c r="E528" s="425" t="n">
        <v>91.38655853271484</v>
      </c>
      <c r="F528" s="207" t="n">
        <v>9602700</v>
      </c>
      <c r="G528" s="208" t="n">
        <v>-0.004532641917453395</v>
      </c>
      <c r="H528" s="209" cm="1">
        <f t="array" ref="H528">IF(ROW()&lt;3,"",E528/INDEX(E:E,ROW()-1)-1)</f>
        <v/>
      </c>
      <c r="I528" s="211">
        <f>IF(ROW()&lt;51,NA(),AVERAGE(INDEX(E:E,ROW()-49):E528))</f>
        <v/>
      </c>
      <c r="J528" s="211">
        <f>IF(ROW()&lt;201,NA(),AVERAGE(INDEX(E:E,ROW()-199):E528))</f>
        <v/>
      </c>
      <c r="K528" s="341">
        <f>IF(ROW()&lt;22,NA(),_xlfn.STDEV.S(INDEX(H:H,ROW()-19):H528)*SQRT(252))</f>
        <v/>
      </c>
      <c r="L528" s="426" cm="1">
        <f t="array" ref="L528">IF(ROW()&lt;17,NA(),_xlfn.LET(_xlpm.d,INDEX(E:E,ROW()-13):E528-INDEX(E:E,ROW()-14):INDEX(E:E,ROW()-1),_xlpm.g,SUM(IF(_xlpm.d&gt;0,_xlpm.d,0)),_xlpm.l,-SUM(IF(_xlpm.d&lt;0,_xlpm.d,0)),IF(_xlpm.l=0,100,100-100/(1+_xlpm.g/_xlpm.l))))</f>
        <v/>
      </c>
      <c r="M528" s="211">
        <f>MAX($E$2:E528)</f>
        <v/>
      </c>
      <c r="N528" s="341">
        <f>E528/M528-1</f>
        <v/>
      </c>
    </row>
    <row r="529">
      <c r="A529" s="424" t="n">
        <v>45229</v>
      </c>
      <c r="B529" s="425" t="n">
        <v>92.33792063781137</v>
      </c>
      <c r="C529" s="425" t="n">
        <v>95.18267760486486</v>
      </c>
      <c r="D529" s="425" t="n">
        <v>92.33792063781137</v>
      </c>
      <c r="E529" s="425" t="n">
        <v>94.94950103759766</v>
      </c>
      <c r="F529" s="207" t="n">
        <v>8206700</v>
      </c>
      <c r="G529" s="208" t="n">
        <v>0.01195566444312868</v>
      </c>
      <c r="H529" s="209" cm="1">
        <f t="array" ref="H529">IF(ROW()&lt;3,"",E529/INDEX(E:E,ROW()-1)-1)</f>
        <v/>
      </c>
      <c r="I529" s="211">
        <f>IF(ROW()&lt;51,NA(),AVERAGE(INDEX(E:E,ROW()-49):E529))</f>
        <v/>
      </c>
      <c r="J529" s="211">
        <f>IF(ROW()&lt;201,NA(),AVERAGE(INDEX(E:E,ROW()-199):E529))</f>
        <v/>
      </c>
      <c r="K529" s="341">
        <f>IF(ROW()&lt;22,NA(),_xlfn.STDEV.S(INDEX(H:H,ROW()-19):H529)*SQRT(252))</f>
        <v/>
      </c>
      <c r="L529" s="426" cm="1">
        <f t="array" ref="L529">IF(ROW()&lt;17,NA(),_xlfn.LET(_xlpm.d,INDEX(E:E,ROW()-13):E529-INDEX(E:E,ROW()-14):INDEX(E:E,ROW()-1),_xlpm.g,SUM(IF(_xlpm.d&gt;0,_xlpm.d,0)),_xlpm.l,-SUM(IF(_xlpm.d&lt;0,_xlpm.d,0)),IF(_xlpm.l=0,100,100-100/(1+_xlpm.g/_xlpm.l))))</f>
        <v/>
      </c>
      <c r="M529" s="211">
        <f>MAX($E$2:E529)</f>
        <v/>
      </c>
      <c r="N529" s="341">
        <f>E529/M529-1</f>
        <v/>
      </c>
    </row>
    <row r="530">
      <c r="A530" s="424" t="n">
        <v>45230</v>
      </c>
      <c r="B530" s="425" t="n">
        <v>94.57642205740991</v>
      </c>
      <c r="C530" s="425" t="n">
        <v>96.00346158522662</v>
      </c>
      <c r="D530" s="425" t="n">
        <v>94.57642205740991</v>
      </c>
      <c r="E530" s="425" t="n">
        <v>95.85422515869141</v>
      </c>
      <c r="F530" s="207" t="n">
        <v>6558500</v>
      </c>
      <c r="G530" s="208" t="n">
        <v>0.006280305647988316</v>
      </c>
      <c r="H530" s="209" cm="1">
        <f t="array" ref="H530">IF(ROW()&lt;3,"",E530/INDEX(E:E,ROW()-1)-1)</f>
        <v/>
      </c>
      <c r="I530" s="211">
        <f>IF(ROW()&lt;51,NA(),AVERAGE(INDEX(E:E,ROW()-49):E530))</f>
        <v/>
      </c>
      <c r="J530" s="211">
        <f>IF(ROW()&lt;201,NA(),AVERAGE(INDEX(E:E,ROW()-199):E530))</f>
        <v/>
      </c>
      <c r="K530" s="341">
        <f>IF(ROW()&lt;22,NA(),_xlfn.STDEV.S(INDEX(H:H,ROW()-19):H530)*SQRT(252))</f>
        <v/>
      </c>
      <c r="L530" s="426" cm="1">
        <f t="array" ref="L530">IF(ROW()&lt;17,NA(),_xlfn.LET(_xlpm.d,INDEX(E:E,ROW()-13):E530-INDEX(E:E,ROW()-14):INDEX(E:E,ROW()-1),_xlpm.g,SUM(IF(_xlpm.d&gt;0,_xlpm.d,0)),_xlpm.l,-SUM(IF(_xlpm.d&lt;0,_xlpm.d,0)),IF(_xlpm.l=0,100,100-100/(1+_xlpm.g/_xlpm.l))))</f>
        <v/>
      </c>
      <c r="M530" s="211">
        <f>MAX($E$2:E530)</f>
        <v/>
      </c>
      <c r="N530" s="341">
        <f>E530/M530-1</f>
        <v/>
      </c>
    </row>
    <row r="531">
      <c r="A531" s="424" t="n">
        <v>45231</v>
      </c>
      <c r="B531" s="425" t="n">
        <v>95.64902492936193</v>
      </c>
      <c r="C531" s="425" t="n">
        <v>95.76094512062195</v>
      </c>
      <c r="D531" s="425" t="n">
        <v>93.24264119349992</v>
      </c>
      <c r="E531" s="425" t="n">
        <v>94.09140014648438</v>
      </c>
      <c r="F531" s="207" t="n">
        <v>7272400</v>
      </c>
      <c r="G531" s="208" t="n">
        <v>0.01066476772162694</v>
      </c>
      <c r="H531" s="209" cm="1">
        <f t="array" ref="H531">IF(ROW()&lt;3,"",E531/INDEX(E:E,ROW()-1)-1)</f>
        <v/>
      </c>
      <c r="I531" s="211">
        <f>IF(ROW()&lt;51,NA(),AVERAGE(INDEX(E:E,ROW()-49):E531))</f>
        <v/>
      </c>
      <c r="J531" s="211">
        <f>IF(ROW()&lt;201,NA(),AVERAGE(INDEX(E:E,ROW()-199):E531))</f>
        <v/>
      </c>
      <c r="K531" s="341">
        <f>IF(ROW()&lt;22,NA(),_xlfn.STDEV.S(INDEX(H:H,ROW()-19):H531)*SQRT(252))</f>
        <v/>
      </c>
      <c r="L531" s="426" cm="1">
        <f t="array" ref="L531">IF(ROW()&lt;17,NA(),_xlfn.LET(_xlpm.d,INDEX(E:E,ROW()-13):E531-INDEX(E:E,ROW()-14):INDEX(E:E,ROW()-1),_xlpm.g,SUM(IF(_xlpm.d&gt;0,_xlpm.d,0)),_xlpm.l,-SUM(IF(_xlpm.d&lt;0,_xlpm.d,0)),IF(_xlpm.l=0,100,100-100/(1+_xlpm.g/_xlpm.l))))</f>
        <v/>
      </c>
      <c r="M531" s="211">
        <f>MAX($E$2:E531)</f>
        <v/>
      </c>
      <c r="N531" s="341">
        <f>E531/M531-1</f>
        <v/>
      </c>
    </row>
    <row r="532">
      <c r="A532" s="424" t="n">
        <v>45232</v>
      </c>
      <c r="B532" s="425" t="n">
        <v>95.18267502363017</v>
      </c>
      <c r="C532" s="425" t="n">
        <v>98.4471468768426</v>
      </c>
      <c r="D532" s="425" t="n">
        <v>95.0334386089539</v>
      </c>
      <c r="E532" s="425" t="n">
        <v>98.00877380371094</v>
      </c>
      <c r="F532" s="207" t="n">
        <v>8135100</v>
      </c>
      <c r="G532" s="208" t="n">
        <v>0.01916423680037194</v>
      </c>
      <c r="H532" s="209" cm="1">
        <f t="array" ref="H532">IF(ROW()&lt;3,"",E532/INDEX(E:E,ROW()-1)-1)</f>
        <v/>
      </c>
      <c r="I532" s="211">
        <f>IF(ROW()&lt;51,NA(),AVERAGE(INDEX(E:E,ROW()-49):E532))</f>
        <v/>
      </c>
      <c r="J532" s="211">
        <f>IF(ROW()&lt;201,NA(),AVERAGE(INDEX(E:E,ROW()-199):E532))</f>
        <v/>
      </c>
      <c r="K532" s="341">
        <f>IF(ROW()&lt;22,NA(),_xlfn.STDEV.S(INDEX(H:H,ROW()-19):H532)*SQRT(252))</f>
        <v/>
      </c>
      <c r="L532" s="426" cm="1">
        <f t="array" ref="L532">IF(ROW()&lt;17,NA(),_xlfn.LET(_xlpm.d,INDEX(E:E,ROW()-13):E532-INDEX(E:E,ROW()-14):INDEX(E:E,ROW()-1),_xlpm.g,SUM(IF(_xlpm.d&gt;0,_xlpm.d,0)),_xlpm.l,-SUM(IF(_xlpm.d&lt;0,_xlpm.d,0)),IF(_xlpm.l=0,100,100-100/(1+_xlpm.g/_xlpm.l))))</f>
        <v/>
      </c>
      <c r="M532" s="211">
        <f>MAX($E$2:E532)</f>
        <v/>
      </c>
      <c r="N532" s="341">
        <f>E532/M532-1</f>
        <v/>
      </c>
    </row>
    <row r="533">
      <c r="A533" s="424" t="n">
        <v>45233</v>
      </c>
      <c r="B533" s="425" t="n">
        <v>99.26791981939591</v>
      </c>
      <c r="C533" s="425" t="n">
        <v>100.4058225066933</v>
      </c>
      <c r="D533" s="425" t="n">
        <v>98.91349402990308</v>
      </c>
      <c r="E533" s="425" t="n">
        <v>99.85552215576172</v>
      </c>
      <c r="F533" s="207" t="n">
        <v>7568000</v>
      </c>
      <c r="G533" s="208" t="n">
        <v>0.009123410222224626</v>
      </c>
      <c r="H533" s="209" cm="1">
        <f t="array" ref="H533">IF(ROW()&lt;3,"",E533/INDEX(E:E,ROW()-1)-1)</f>
        <v/>
      </c>
      <c r="I533" s="211">
        <f>IF(ROW()&lt;51,NA(),AVERAGE(INDEX(E:E,ROW()-49):E533))</f>
        <v/>
      </c>
      <c r="J533" s="211">
        <f>IF(ROW()&lt;201,NA(),AVERAGE(INDEX(E:E,ROW()-199):E533))</f>
        <v/>
      </c>
      <c r="K533" s="341">
        <f>IF(ROW()&lt;22,NA(),_xlfn.STDEV.S(INDEX(H:H,ROW()-19):H533)*SQRT(252))</f>
        <v/>
      </c>
      <c r="L533" s="426" cm="1">
        <f t="array" ref="L533">IF(ROW()&lt;17,NA(),_xlfn.LET(_xlpm.d,INDEX(E:E,ROW()-13):E533-INDEX(E:E,ROW()-14):INDEX(E:E,ROW()-1),_xlpm.g,SUM(IF(_xlpm.d&gt;0,_xlpm.d,0)),_xlpm.l,-SUM(IF(_xlpm.d&lt;0,_xlpm.d,0)),IF(_xlpm.l=0,100,100-100/(1+_xlpm.g/_xlpm.l))))</f>
        <v/>
      </c>
      <c r="M533" s="211">
        <f>MAX($E$2:E533)</f>
        <v/>
      </c>
      <c r="N533" s="341">
        <f>E533/M533-1</f>
        <v/>
      </c>
    </row>
    <row r="534">
      <c r="A534" s="424" t="n">
        <v>45236</v>
      </c>
      <c r="B534" s="425" t="n">
        <v>99.76225208601315</v>
      </c>
      <c r="C534" s="425" t="n">
        <v>100.3591834714985</v>
      </c>
      <c r="D534" s="425" t="n">
        <v>99.21195885588715</v>
      </c>
      <c r="E534" s="425" t="n">
        <v>100.0327377319336</v>
      </c>
      <c r="F534" s="207" t="n">
        <v>5231900</v>
      </c>
      <c r="G534" s="208" t="n">
        <v>0.00230052456648222</v>
      </c>
      <c r="H534" s="209" cm="1">
        <f t="array" ref="H534">IF(ROW()&lt;3,"",E534/INDEX(E:E,ROW()-1)-1)</f>
        <v/>
      </c>
      <c r="I534" s="211">
        <f>IF(ROW()&lt;51,NA(),AVERAGE(INDEX(E:E,ROW()-49):E534))</f>
        <v/>
      </c>
      <c r="J534" s="211">
        <f>IF(ROW()&lt;201,NA(),AVERAGE(INDEX(E:E,ROW()-199):E534))</f>
        <v/>
      </c>
      <c r="K534" s="341">
        <f>IF(ROW()&lt;22,NA(),_xlfn.STDEV.S(INDEX(H:H,ROW()-19):H534)*SQRT(252))</f>
        <v/>
      </c>
      <c r="L534" s="426" cm="1">
        <f t="array" ref="L534">IF(ROW()&lt;17,NA(),_xlfn.LET(_xlpm.d,INDEX(E:E,ROW()-13):E534-INDEX(E:E,ROW()-14):INDEX(E:E,ROW()-1),_xlpm.g,SUM(IF(_xlpm.d&gt;0,_xlpm.d,0)),_xlpm.l,-SUM(IF(_xlpm.d&lt;0,_xlpm.d,0)),IF(_xlpm.l=0,100,100-100/(1+_xlpm.g/_xlpm.l))))</f>
        <v/>
      </c>
      <c r="M534" s="211">
        <f>MAX($E$2:E534)</f>
        <v/>
      </c>
      <c r="N534" s="341">
        <f>E534/M534-1</f>
        <v/>
      </c>
    </row>
    <row r="535">
      <c r="A535" s="424" t="n">
        <v>45237</v>
      </c>
      <c r="B535" s="425" t="n">
        <v>100.098033720303</v>
      </c>
      <c r="C535" s="425" t="n">
        <v>102.0007553100586</v>
      </c>
      <c r="D535" s="425" t="n">
        <v>100.0140935741001</v>
      </c>
      <c r="E535" s="425" t="n">
        <v>102.0007553100586</v>
      </c>
      <c r="F535" s="207" t="n">
        <v>7745800</v>
      </c>
      <c r="G535" s="208" t="n">
        <v>0.002845995440742266</v>
      </c>
      <c r="H535" s="209" cm="1">
        <f t="array" ref="H535">IF(ROW()&lt;3,"",E535/INDEX(E:E,ROW()-1)-1)</f>
        <v/>
      </c>
      <c r="I535" s="211">
        <f>IF(ROW()&lt;51,NA(),AVERAGE(INDEX(E:E,ROW()-49):E535))</f>
        <v/>
      </c>
      <c r="J535" s="211">
        <f>IF(ROW()&lt;201,NA(),AVERAGE(INDEX(E:E,ROW()-199):E535))</f>
        <v/>
      </c>
      <c r="K535" s="341">
        <f>IF(ROW()&lt;22,NA(),_xlfn.STDEV.S(INDEX(H:H,ROW()-19):H535)*SQRT(252))</f>
        <v/>
      </c>
      <c r="L535" s="426" cm="1">
        <f t="array" ref="L535">IF(ROW()&lt;17,NA(),_xlfn.LET(_xlpm.d,INDEX(E:E,ROW()-13):E535-INDEX(E:E,ROW()-14):INDEX(E:E,ROW()-1),_xlpm.g,SUM(IF(_xlpm.d&gt;0,_xlpm.d,0)),_xlpm.l,-SUM(IF(_xlpm.d&lt;0,_xlpm.d,0)),IF(_xlpm.l=0,100,100-100/(1+_xlpm.g/_xlpm.l))))</f>
        <v/>
      </c>
      <c r="M535" s="211">
        <f>MAX($E$2:E535)</f>
        <v/>
      </c>
      <c r="N535" s="341">
        <f>E535/M535-1</f>
        <v/>
      </c>
    </row>
    <row r="536">
      <c r="A536" s="424" t="n">
        <v>45238</v>
      </c>
      <c r="B536" s="425" t="n">
        <v>102.0100813065357</v>
      </c>
      <c r="C536" s="425" t="n">
        <v>103.2505751644625</v>
      </c>
      <c r="D536" s="425" t="n">
        <v>101.5717082468843</v>
      </c>
      <c r="E536" s="425" t="n">
        <v>102.0287322998047</v>
      </c>
      <c r="F536" s="207" t="n">
        <v>8639700</v>
      </c>
      <c r="G536" s="208" t="n">
        <v>0.0007325647065026253</v>
      </c>
      <c r="H536" s="209" cm="1">
        <f t="array" ref="H536">IF(ROW()&lt;3,"",E536/INDEX(E:E,ROW()-1)-1)</f>
        <v/>
      </c>
      <c r="I536" s="211">
        <f>IF(ROW()&lt;51,NA(),AVERAGE(INDEX(E:E,ROW()-49):E536))</f>
        <v/>
      </c>
      <c r="J536" s="211">
        <f>IF(ROW()&lt;201,NA(),AVERAGE(INDEX(E:E,ROW()-199):E536))</f>
        <v/>
      </c>
      <c r="K536" s="341">
        <f>IF(ROW()&lt;22,NA(),_xlfn.STDEV.S(INDEX(H:H,ROW()-19):H536)*SQRT(252))</f>
        <v/>
      </c>
      <c r="L536" s="426" cm="1">
        <f t="array" ref="L536">IF(ROW()&lt;17,NA(),_xlfn.LET(_xlpm.d,INDEX(E:E,ROW()-13):E536-INDEX(E:E,ROW()-14):INDEX(E:E,ROW()-1),_xlpm.g,SUM(IF(_xlpm.d&gt;0,_xlpm.d,0)),_xlpm.l,-SUM(IF(_xlpm.d&lt;0,_xlpm.d,0)),IF(_xlpm.l=0,100,100-100/(1+_xlpm.g/_xlpm.l))))</f>
        <v/>
      </c>
      <c r="M536" s="211">
        <f>MAX($E$2:E536)</f>
        <v/>
      </c>
      <c r="N536" s="341">
        <f>E536/M536-1</f>
        <v/>
      </c>
    </row>
    <row r="537">
      <c r="A537" s="424" t="n">
        <v>45239</v>
      </c>
      <c r="B537" s="425" t="n">
        <v>102.4297995015094</v>
      </c>
      <c r="C537" s="425" t="n">
        <v>102.5044177089166</v>
      </c>
      <c r="D537" s="425" t="n">
        <v>99.72494996886235</v>
      </c>
      <c r="E537" s="425" t="n">
        <v>99.79956817626953</v>
      </c>
      <c r="F537" s="207" t="n">
        <v>9154200</v>
      </c>
      <c r="G537" s="208" t="n">
        <v>-0.007798798778587246</v>
      </c>
      <c r="H537" s="209" cm="1">
        <f t="array" ref="H537">IF(ROW()&lt;3,"",E537/INDEX(E:E,ROW()-1)-1)</f>
        <v/>
      </c>
      <c r="I537" s="211">
        <f>IF(ROW()&lt;51,NA(),AVERAGE(INDEX(E:E,ROW()-49):E537))</f>
        <v/>
      </c>
      <c r="J537" s="211">
        <f>IF(ROW()&lt;201,NA(),AVERAGE(INDEX(E:E,ROW()-199):E537))</f>
        <v/>
      </c>
      <c r="K537" s="341">
        <f>IF(ROW()&lt;22,NA(),_xlfn.STDEV.S(INDEX(H:H,ROW()-19):H537)*SQRT(252))</f>
        <v/>
      </c>
      <c r="L537" s="426" cm="1">
        <f t="array" ref="L537">IF(ROW()&lt;17,NA(),_xlfn.LET(_xlpm.d,INDEX(E:E,ROW()-13):E537-INDEX(E:E,ROW()-14):INDEX(E:E,ROW()-1),_xlpm.g,SUM(IF(_xlpm.d&gt;0,_xlpm.d,0)),_xlpm.l,-SUM(IF(_xlpm.d&lt;0,_xlpm.d,0)),IF(_xlpm.l=0,100,100-100/(1+_xlpm.g/_xlpm.l))))</f>
        <v/>
      </c>
      <c r="M537" s="211">
        <f>MAX($E$2:E537)</f>
        <v/>
      </c>
      <c r="N537" s="341">
        <f>E537/M537-1</f>
        <v/>
      </c>
    </row>
    <row r="538">
      <c r="A538" s="424" t="n">
        <v>45240</v>
      </c>
      <c r="B538" s="425" t="n">
        <v>100.1166842220627</v>
      </c>
      <c r="C538" s="425" t="n">
        <v>100.5737154024231</v>
      </c>
      <c r="D538" s="425" t="n">
        <v>98.50310641445471</v>
      </c>
      <c r="E538" s="425" t="n">
        <v>98.96945953369141</v>
      </c>
      <c r="F538" s="207" t="n">
        <v>8897700</v>
      </c>
      <c r="G538" s="208" t="n">
        <v>0.01560480603693337</v>
      </c>
      <c r="H538" s="209" cm="1">
        <f t="array" ref="H538">IF(ROW()&lt;3,"",E538/INDEX(E:E,ROW()-1)-1)</f>
        <v/>
      </c>
      <c r="I538" s="211">
        <f>IF(ROW()&lt;51,NA(),AVERAGE(INDEX(E:E,ROW()-49):E538))</f>
        <v/>
      </c>
      <c r="J538" s="211">
        <f>IF(ROW()&lt;201,NA(),AVERAGE(INDEX(E:E,ROW()-199):E538))</f>
        <v/>
      </c>
      <c r="K538" s="341">
        <f>IF(ROW()&lt;22,NA(),_xlfn.STDEV.S(INDEX(H:H,ROW()-19):H538)*SQRT(252))</f>
        <v/>
      </c>
      <c r="L538" s="426" cm="1">
        <f t="array" ref="L538">IF(ROW()&lt;17,NA(),_xlfn.LET(_xlpm.d,INDEX(E:E,ROW()-13):E538-INDEX(E:E,ROW()-14):INDEX(E:E,ROW()-1),_xlpm.g,SUM(IF(_xlpm.d&gt;0,_xlpm.d,0)),_xlpm.l,-SUM(IF(_xlpm.d&lt;0,_xlpm.d,0)),IF(_xlpm.l=0,100,100-100/(1+_xlpm.g/_xlpm.l))))</f>
        <v/>
      </c>
      <c r="M538" s="211">
        <f>MAX($E$2:E538)</f>
        <v/>
      </c>
      <c r="N538" s="341">
        <f>E538/M538-1</f>
        <v/>
      </c>
    </row>
    <row r="539">
      <c r="A539" s="424" t="n">
        <v>45243</v>
      </c>
      <c r="B539" s="425" t="n">
        <v>98.27926771558484</v>
      </c>
      <c r="C539" s="425" t="n">
        <v>98.60571350510352</v>
      </c>
      <c r="D539" s="425" t="n">
        <v>97.16934491523682</v>
      </c>
      <c r="E539" s="425" t="n">
        <v>97.18799591064453</v>
      </c>
      <c r="F539" s="207" t="n">
        <v>7055600</v>
      </c>
      <c r="G539" s="208" t="n">
        <v>-0.0009533215038348697</v>
      </c>
      <c r="H539" s="209" cm="1">
        <f t="array" ref="H539">IF(ROW()&lt;3,"",E539/INDEX(E:E,ROW()-1)-1)</f>
        <v/>
      </c>
      <c r="I539" s="211">
        <f>IF(ROW()&lt;51,NA(),AVERAGE(INDEX(E:E,ROW()-49):E539))</f>
        <v/>
      </c>
      <c r="J539" s="211">
        <f>IF(ROW()&lt;201,NA(),AVERAGE(INDEX(E:E,ROW()-199):E539))</f>
        <v/>
      </c>
      <c r="K539" s="341">
        <f>IF(ROW()&lt;22,NA(),_xlfn.STDEV.S(INDEX(H:H,ROW()-19):H539)*SQRT(252))</f>
        <v/>
      </c>
      <c r="L539" s="426" cm="1">
        <f t="array" ref="L539">IF(ROW()&lt;17,NA(),_xlfn.LET(_xlpm.d,INDEX(E:E,ROW()-13):E539-INDEX(E:E,ROW()-14):INDEX(E:E,ROW()-1),_xlpm.g,SUM(IF(_xlpm.d&gt;0,_xlpm.d,0)),_xlpm.l,-SUM(IF(_xlpm.d&lt;0,_xlpm.d,0)),IF(_xlpm.l=0,100,100-100/(1+_xlpm.g/_xlpm.l))))</f>
        <v/>
      </c>
      <c r="M539" s="211">
        <f>MAX($E$2:E539)</f>
        <v/>
      </c>
      <c r="N539" s="341">
        <f>E539/M539-1</f>
        <v/>
      </c>
    </row>
    <row r="540">
      <c r="A540" s="424" t="n">
        <v>45244</v>
      </c>
      <c r="B540" s="425" t="n">
        <v>98.45647340867203</v>
      </c>
      <c r="C540" s="425" t="n">
        <v>99.89284194500877</v>
      </c>
      <c r="D540" s="425" t="n">
        <v>98.28858599232137</v>
      </c>
      <c r="E540" s="425" t="n">
        <v>98.63368988037109</v>
      </c>
      <c r="F540" s="207" t="n">
        <v>9674800</v>
      </c>
      <c r="G540" s="208" t="n">
        <v>0.01940085581756468</v>
      </c>
      <c r="H540" s="209" cm="1">
        <f t="array" ref="H540">IF(ROW()&lt;3,"",E540/INDEX(E:E,ROW()-1)-1)</f>
        <v/>
      </c>
      <c r="I540" s="211">
        <f>IF(ROW()&lt;51,NA(),AVERAGE(INDEX(E:E,ROW()-49):E540))</f>
        <v/>
      </c>
      <c r="J540" s="211">
        <f>IF(ROW()&lt;201,NA(),AVERAGE(INDEX(E:E,ROW()-199):E540))</f>
        <v/>
      </c>
      <c r="K540" s="341">
        <f>IF(ROW()&lt;22,NA(),_xlfn.STDEV.S(INDEX(H:H,ROW()-19):H540)*SQRT(252))</f>
        <v/>
      </c>
      <c r="L540" s="426" cm="1">
        <f t="array" ref="L540">IF(ROW()&lt;17,NA(),_xlfn.LET(_xlpm.d,INDEX(E:E,ROW()-13):E540-INDEX(E:E,ROW()-14):INDEX(E:E,ROW()-1),_xlpm.g,SUM(IF(_xlpm.d&gt;0,_xlpm.d,0)),_xlpm.l,-SUM(IF(_xlpm.d&lt;0,_xlpm.d,0)),IF(_xlpm.l=0,100,100-100/(1+_xlpm.g/_xlpm.l))))</f>
        <v/>
      </c>
      <c r="M540" s="211">
        <f>MAX($E$2:E540)</f>
        <v/>
      </c>
      <c r="N540" s="341">
        <f>E540/M540-1</f>
        <v/>
      </c>
    </row>
    <row r="541">
      <c r="A541" s="424" t="n">
        <v>45245</v>
      </c>
      <c r="B541" s="425" t="n">
        <v>99.63169335674637</v>
      </c>
      <c r="C541" s="425" t="n">
        <v>101.7209536162525</v>
      </c>
      <c r="D541" s="425" t="n">
        <v>99.53842414369414</v>
      </c>
      <c r="E541" s="425" t="n">
        <v>100.5643997192383</v>
      </c>
      <c r="F541" s="207" t="n">
        <v>11140800</v>
      </c>
      <c r="G541" s="208" t="n">
        <v>0.002116983581882614</v>
      </c>
      <c r="H541" s="209" cm="1">
        <f t="array" ref="H541">IF(ROW()&lt;3,"",E541/INDEX(E:E,ROW()-1)-1)</f>
        <v/>
      </c>
      <c r="I541" s="211">
        <f>IF(ROW()&lt;51,NA(),AVERAGE(INDEX(E:E,ROW()-49):E541))</f>
        <v/>
      </c>
      <c r="J541" s="211">
        <f>IF(ROW()&lt;201,NA(),AVERAGE(INDEX(E:E,ROW()-199):E541))</f>
        <v/>
      </c>
      <c r="K541" s="341">
        <f>IF(ROW()&lt;22,NA(),_xlfn.STDEV.S(INDEX(H:H,ROW()-19):H541)*SQRT(252))</f>
        <v/>
      </c>
      <c r="L541" s="426" cm="1">
        <f t="array" ref="L541">IF(ROW()&lt;17,NA(),_xlfn.LET(_xlpm.d,INDEX(E:E,ROW()-13):E541-INDEX(E:E,ROW()-14):INDEX(E:E,ROW()-1),_xlpm.g,SUM(IF(_xlpm.d&gt;0,_xlpm.d,0)),_xlpm.l,-SUM(IF(_xlpm.d&lt;0,_xlpm.d,0)),IF(_xlpm.l=0,100,100-100/(1+_xlpm.g/_xlpm.l))))</f>
        <v/>
      </c>
      <c r="M541" s="211">
        <f>MAX($E$2:E541)</f>
        <v/>
      </c>
      <c r="N541" s="341">
        <f>E541/M541-1</f>
        <v/>
      </c>
    </row>
    <row r="542">
      <c r="A542" s="424" t="n">
        <v>45246</v>
      </c>
      <c r="B542" s="425" t="n">
        <v>99.89282526568871</v>
      </c>
      <c r="C542" s="425" t="n">
        <v>100.7322622072793</v>
      </c>
      <c r="D542" s="425" t="n">
        <v>99.79955607573044</v>
      </c>
      <c r="E542" s="425" t="n">
        <v>100.3685073852539</v>
      </c>
      <c r="F542" s="207" t="n">
        <v>5386800</v>
      </c>
      <c r="G542" s="208" t="n">
        <v>0.001223032933082013</v>
      </c>
      <c r="H542" s="209" cm="1">
        <f t="array" ref="H542">IF(ROW()&lt;3,"",E542/INDEX(E:E,ROW()-1)-1)</f>
        <v/>
      </c>
      <c r="I542" s="211">
        <f>IF(ROW()&lt;51,NA(),AVERAGE(INDEX(E:E,ROW()-49):E542))</f>
        <v/>
      </c>
      <c r="J542" s="211">
        <f>IF(ROW()&lt;201,NA(),AVERAGE(INDEX(E:E,ROW()-199):E542))</f>
        <v/>
      </c>
      <c r="K542" s="341">
        <f>IF(ROW()&lt;22,NA(),_xlfn.STDEV.S(INDEX(H:H,ROW()-19):H542)*SQRT(252))</f>
        <v/>
      </c>
      <c r="L542" s="426" cm="1">
        <f t="array" ref="L542">IF(ROW()&lt;17,NA(),_xlfn.LET(_xlpm.d,INDEX(E:E,ROW()-13):E542-INDEX(E:E,ROW()-14):INDEX(E:E,ROW()-1),_xlpm.g,SUM(IF(_xlpm.d&gt;0,_xlpm.d,0)),_xlpm.l,-SUM(IF(_xlpm.d&lt;0,_xlpm.d,0)),IF(_xlpm.l=0,100,100-100/(1+_xlpm.g/_xlpm.l))))</f>
        <v/>
      </c>
      <c r="M542" s="211">
        <f>MAX($E$2:E542)</f>
        <v/>
      </c>
      <c r="N542" s="341">
        <f>E542/M542-1</f>
        <v/>
      </c>
    </row>
    <row r="543">
      <c r="A543" s="424" t="n">
        <v>45247</v>
      </c>
      <c r="B543" s="425" t="n">
        <v>100.7882255843025</v>
      </c>
      <c r="C543" s="425" t="n">
        <v>100.9281329317932</v>
      </c>
      <c r="D543" s="425" t="n">
        <v>98.41915107900569</v>
      </c>
      <c r="E543" s="425" t="n">
        <v>98.82954406738281</v>
      </c>
      <c r="F543" s="207" t="n">
        <v>6352600</v>
      </c>
      <c r="G543" s="208" t="n">
        <v>0.001244029886517728</v>
      </c>
      <c r="H543" s="209" cm="1">
        <f t="array" ref="H543">IF(ROW()&lt;3,"",E543/INDEX(E:E,ROW()-1)-1)</f>
        <v/>
      </c>
      <c r="I543" s="211">
        <f>IF(ROW()&lt;51,NA(),AVERAGE(INDEX(E:E,ROW()-49):E543))</f>
        <v/>
      </c>
      <c r="J543" s="211">
        <f>IF(ROW()&lt;201,NA(),AVERAGE(INDEX(E:E,ROW()-199):E543))</f>
        <v/>
      </c>
      <c r="K543" s="341">
        <f>IF(ROW()&lt;22,NA(),_xlfn.STDEV.S(INDEX(H:H,ROW()-19):H543)*SQRT(252))</f>
        <v/>
      </c>
      <c r="L543" s="426" cm="1">
        <f t="array" ref="L543">IF(ROW()&lt;17,NA(),_xlfn.LET(_xlpm.d,INDEX(E:E,ROW()-13):E543-INDEX(E:E,ROW()-14):INDEX(E:E,ROW()-1),_xlpm.g,SUM(IF(_xlpm.d&gt;0,_xlpm.d,0)),_xlpm.l,-SUM(IF(_xlpm.d&lt;0,_xlpm.d,0)),IF(_xlpm.l=0,100,100-100/(1+_xlpm.g/_xlpm.l))))</f>
        <v/>
      </c>
      <c r="M543" s="211">
        <f>MAX($E$2:E543)</f>
        <v/>
      </c>
      <c r="N543" s="341">
        <f>E543/M543-1</f>
        <v/>
      </c>
    </row>
    <row r="544">
      <c r="A544" s="424" t="n">
        <v>45250</v>
      </c>
      <c r="B544" s="425" t="n">
        <v>98.86685565539995</v>
      </c>
      <c r="C544" s="425" t="n">
        <v>99.3798469037789</v>
      </c>
      <c r="D544" s="425" t="n">
        <v>98.02741866531777</v>
      </c>
      <c r="E544" s="425" t="n">
        <v>99.16532135009766</v>
      </c>
      <c r="F544" s="207" t="n">
        <v>6197400</v>
      </c>
      <c r="G544" s="208" t="n">
        <v>0.007697294908327823</v>
      </c>
      <c r="H544" s="209" cm="1">
        <f t="array" ref="H544">IF(ROW()&lt;3,"",E544/INDEX(E:E,ROW()-1)-1)</f>
        <v/>
      </c>
      <c r="I544" s="211">
        <f>IF(ROW()&lt;51,NA(),AVERAGE(INDEX(E:E,ROW()-49):E544))</f>
        <v/>
      </c>
      <c r="J544" s="211">
        <f>IF(ROW()&lt;201,NA(),AVERAGE(INDEX(E:E,ROW()-199):E544))</f>
        <v/>
      </c>
      <c r="K544" s="341">
        <f>IF(ROW()&lt;22,NA(),_xlfn.STDEV.S(INDEX(H:H,ROW()-19):H544)*SQRT(252))</f>
        <v/>
      </c>
      <c r="L544" s="426" cm="1">
        <f t="array" ref="L544">IF(ROW()&lt;17,NA(),_xlfn.LET(_xlpm.d,INDEX(E:E,ROW()-13):E544-INDEX(E:E,ROW()-14):INDEX(E:E,ROW()-1),_xlpm.g,SUM(IF(_xlpm.d&gt;0,_xlpm.d,0)),_xlpm.l,-SUM(IF(_xlpm.d&lt;0,_xlpm.d,0)),IF(_xlpm.l=0,100,100-100/(1+_xlpm.g/_xlpm.l))))</f>
        <v/>
      </c>
      <c r="M544" s="211">
        <f>MAX($E$2:E544)</f>
        <v/>
      </c>
      <c r="N544" s="341">
        <f>E544/M544-1</f>
        <v/>
      </c>
    </row>
    <row r="545">
      <c r="A545" s="424" t="n">
        <v>45251</v>
      </c>
      <c r="B545" s="425" t="n">
        <v>99.02541176881778</v>
      </c>
      <c r="C545" s="425" t="n">
        <v>99.51974489740395</v>
      </c>
      <c r="D545" s="425" t="n">
        <v>98.2605929986313</v>
      </c>
      <c r="E545" s="425" t="n">
        <v>99.37984466552734</v>
      </c>
      <c r="F545" s="207" t="n">
        <v>5803500</v>
      </c>
      <c r="G545" s="208" t="n">
        <v>-0.002179194077841728</v>
      </c>
      <c r="H545" s="209" cm="1">
        <f t="array" ref="H545">IF(ROW()&lt;3,"",E545/INDEX(E:E,ROW()-1)-1)</f>
        <v/>
      </c>
      <c r="I545" s="211">
        <f>IF(ROW()&lt;51,NA(),AVERAGE(INDEX(E:E,ROW()-49):E545))</f>
        <v/>
      </c>
      <c r="J545" s="211">
        <f>IF(ROW()&lt;201,NA(),AVERAGE(INDEX(E:E,ROW()-199):E545))</f>
        <v/>
      </c>
      <c r="K545" s="341">
        <f>IF(ROW()&lt;22,NA(),_xlfn.STDEV.S(INDEX(H:H,ROW()-19):H545)*SQRT(252))</f>
        <v/>
      </c>
      <c r="L545" s="426" cm="1">
        <f t="array" ref="L545">IF(ROW()&lt;17,NA(),_xlfn.LET(_xlpm.d,INDEX(E:E,ROW()-13):E545-INDEX(E:E,ROW()-14):INDEX(E:E,ROW()-1),_xlpm.g,SUM(IF(_xlpm.d&gt;0,_xlpm.d,0)),_xlpm.l,-SUM(IF(_xlpm.d&lt;0,_xlpm.d,0)),IF(_xlpm.l=0,100,100-100/(1+_xlpm.g/_xlpm.l))))</f>
        <v/>
      </c>
      <c r="M545" s="211">
        <f>MAX($E$2:E545)</f>
        <v/>
      </c>
      <c r="N545" s="341">
        <f>E545/M545-1</f>
        <v/>
      </c>
    </row>
    <row r="546">
      <c r="A546" s="424" t="n">
        <v>45252</v>
      </c>
      <c r="B546" s="425" t="n">
        <v>100.2659189030412</v>
      </c>
      <c r="C546" s="425" t="n">
        <v>100.7602520623314</v>
      </c>
      <c r="D546" s="425" t="n">
        <v>99.63167838720125</v>
      </c>
      <c r="E546" s="425" t="n">
        <v>100.6576538085938</v>
      </c>
      <c r="F546" s="207" t="n">
        <v>6280300</v>
      </c>
      <c r="G546" s="208" t="n">
        <v>0.003860716792990493</v>
      </c>
      <c r="H546" s="209" cm="1">
        <f t="array" ref="H546">IF(ROW()&lt;3,"",E546/INDEX(E:E,ROW()-1)-1)</f>
        <v/>
      </c>
      <c r="I546" s="211">
        <f>IF(ROW()&lt;51,NA(),AVERAGE(INDEX(E:E,ROW()-49):E546))</f>
        <v/>
      </c>
      <c r="J546" s="211">
        <f>IF(ROW()&lt;201,NA(),AVERAGE(INDEX(E:E,ROW()-199):E546))</f>
        <v/>
      </c>
      <c r="K546" s="341">
        <f>IF(ROW()&lt;22,NA(),_xlfn.STDEV.S(INDEX(H:H,ROW()-19):H546)*SQRT(252))</f>
        <v/>
      </c>
      <c r="L546" s="426" cm="1">
        <f t="array" ref="L546">IF(ROW()&lt;17,NA(),_xlfn.LET(_xlpm.d,INDEX(E:E,ROW()-13):E546-INDEX(E:E,ROW()-14):INDEX(E:E,ROW()-1),_xlpm.g,SUM(IF(_xlpm.d&gt;0,_xlpm.d,0)),_xlpm.l,-SUM(IF(_xlpm.d&lt;0,_xlpm.d,0)),IF(_xlpm.l=0,100,100-100/(1+_xlpm.g/_xlpm.l))))</f>
        <v/>
      </c>
      <c r="M546" s="211">
        <f>MAX($E$2:E546)</f>
        <v/>
      </c>
      <c r="N546" s="341">
        <f>E546/M546-1</f>
        <v/>
      </c>
    </row>
    <row r="547">
      <c r="A547" s="424" t="n">
        <v>45254</v>
      </c>
      <c r="B547" s="425" t="n">
        <v>100.2659213287791</v>
      </c>
      <c r="C547" s="425" t="n">
        <v>100.7322744512386</v>
      </c>
      <c r="D547" s="425" t="n">
        <v>100.172652127484</v>
      </c>
      <c r="E547" s="425" t="n">
        <v>100.3964996337891</v>
      </c>
      <c r="F547" s="207" t="n">
        <v>2443600</v>
      </c>
      <c r="G547" s="208" t="n">
        <v>0.0006153974543310348</v>
      </c>
      <c r="H547" s="209" cm="1">
        <f t="array" ref="H547">IF(ROW()&lt;3,"",E547/INDEX(E:E,ROW()-1)-1)</f>
        <v/>
      </c>
      <c r="I547" s="211">
        <f>IF(ROW()&lt;51,NA(),AVERAGE(INDEX(E:E,ROW()-49):E547))</f>
        <v/>
      </c>
      <c r="J547" s="211">
        <f>IF(ROW()&lt;201,NA(),AVERAGE(INDEX(E:E,ROW()-199):E547))</f>
        <v/>
      </c>
      <c r="K547" s="341">
        <f>IF(ROW()&lt;22,NA(),_xlfn.STDEV.S(INDEX(H:H,ROW()-19):H547)*SQRT(252))</f>
        <v/>
      </c>
      <c r="L547" s="426" cm="1">
        <f t="array" ref="L547">IF(ROW()&lt;17,NA(),_xlfn.LET(_xlpm.d,INDEX(E:E,ROW()-13):E547-INDEX(E:E,ROW()-14):INDEX(E:E,ROW()-1),_xlpm.g,SUM(IF(_xlpm.d&gt;0,_xlpm.d,0)),_xlpm.l,-SUM(IF(_xlpm.d&lt;0,_xlpm.d,0)),IF(_xlpm.l=0,100,100-100/(1+_xlpm.g/_xlpm.l))))</f>
        <v/>
      </c>
      <c r="M547" s="211">
        <f>MAX($E$2:E547)</f>
        <v/>
      </c>
      <c r="N547" s="341">
        <f>E547/M547-1</f>
        <v/>
      </c>
    </row>
    <row r="548">
      <c r="A548" s="424" t="n">
        <v>45257</v>
      </c>
      <c r="B548" s="425" t="n">
        <v>100.4151539545246</v>
      </c>
      <c r="C548" s="425" t="n">
        <v>100.9374671548551</v>
      </c>
      <c r="D548" s="425" t="n">
        <v>99.70629524265922</v>
      </c>
      <c r="E548" s="425" t="n">
        <v>100.6949615478516</v>
      </c>
      <c r="F548" s="207" t="n">
        <v>5785000</v>
      </c>
      <c r="G548" s="208" t="n">
        <v>-0.001800992954352654</v>
      </c>
      <c r="H548" s="209" cm="1">
        <f t="array" ref="H548">IF(ROW()&lt;3,"",E548/INDEX(E:E,ROW()-1)-1)</f>
        <v/>
      </c>
      <c r="I548" s="211">
        <f>IF(ROW()&lt;51,NA(),AVERAGE(INDEX(E:E,ROW()-49):E548))</f>
        <v/>
      </c>
      <c r="J548" s="211">
        <f>IF(ROW()&lt;201,NA(),AVERAGE(INDEX(E:E,ROW()-199):E548))</f>
        <v/>
      </c>
      <c r="K548" s="341">
        <f>IF(ROW()&lt;22,NA(),_xlfn.STDEV.S(INDEX(H:H,ROW()-19):H548)*SQRT(252))</f>
        <v/>
      </c>
      <c r="L548" s="426" cm="1">
        <f t="array" ref="L548">IF(ROW()&lt;17,NA(),_xlfn.LET(_xlpm.d,INDEX(E:E,ROW()-13):E548-INDEX(E:E,ROW()-14):INDEX(E:E,ROW()-1),_xlpm.g,SUM(IF(_xlpm.d&gt;0,_xlpm.d,0)),_xlpm.l,-SUM(IF(_xlpm.d&lt;0,_xlpm.d,0)),IF(_xlpm.l=0,100,100-100/(1+_xlpm.g/_xlpm.l))))</f>
        <v/>
      </c>
      <c r="M548" s="211">
        <f>MAX($E$2:E548)</f>
        <v/>
      </c>
      <c r="N548" s="341">
        <f>E548/M548-1</f>
        <v/>
      </c>
    </row>
    <row r="549">
      <c r="A549" s="424" t="n">
        <v>45258</v>
      </c>
      <c r="B549" s="425" t="n">
        <v>101.2639134390103</v>
      </c>
      <c r="C549" s="425" t="n">
        <v>102.5044144123198</v>
      </c>
      <c r="D549" s="425" t="n">
        <v>100.8721785366969</v>
      </c>
      <c r="E549" s="425" t="n">
        <v>101.4318008422852</v>
      </c>
      <c r="F549" s="207" t="n">
        <v>7287400</v>
      </c>
      <c r="G549" s="208" t="n">
        <v>0.0009901644316310243</v>
      </c>
      <c r="H549" s="209" cm="1">
        <f t="array" ref="H549">IF(ROW()&lt;3,"",E549/INDEX(E:E,ROW()-1)-1)</f>
        <v/>
      </c>
      <c r="I549" s="211">
        <f>IF(ROW()&lt;51,NA(),AVERAGE(INDEX(E:E,ROW()-49):E549))</f>
        <v/>
      </c>
      <c r="J549" s="211">
        <f>IF(ROW()&lt;201,NA(),AVERAGE(INDEX(E:E,ROW()-199):E549))</f>
        <v/>
      </c>
      <c r="K549" s="341">
        <f>IF(ROW()&lt;22,NA(),_xlfn.STDEV.S(INDEX(H:H,ROW()-19):H549)*SQRT(252))</f>
        <v/>
      </c>
      <c r="L549" s="426" cm="1">
        <f t="array" ref="L549">IF(ROW()&lt;17,NA(),_xlfn.LET(_xlpm.d,INDEX(E:E,ROW()-13):E549-INDEX(E:E,ROW()-14):INDEX(E:E,ROW()-1),_xlpm.g,SUM(IF(_xlpm.d&gt;0,_xlpm.d,0)),_xlpm.l,-SUM(IF(_xlpm.d&lt;0,_xlpm.d,0)),IF(_xlpm.l=0,100,100-100/(1+_xlpm.g/_xlpm.l))))</f>
        <v/>
      </c>
      <c r="M549" s="211">
        <f>MAX($E$2:E549)</f>
        <v/>
      </c>
      <c r="N549" s="341">
        <f>E549/M549-1</f>
        <v/>
      </c>
    </row>
    <row r="550">
      <c r="A550" s="424" t="n">
        <v>45259</v>
      </c>
      <c r="B550" s="425" t="n">
        <v>103.3438664444085</v>
      </c>
      <c r="C550" s="425" t="n">
        <v>104.6030185939311</v>
      </c>
      <c r="D550" s="425" t="n">
        <v>102.7376058936059</v>
      </c>
      <c r="E550" s="425" t="n">
        <v>102.9428024291992</v>
      </c>
      <c r="F550" s="207" t="n">
        <v>9601800</v>
      </c>
      <c r="G550" s="208" t="n">
        <v>-0.000703440521818921</v>
      </c>
      <c r="H550" s="209" cm="1">
        <f t="array" ref="H550">IF(ROW()&lt;3,"",E550/INDEX(E:E,ROW()-1)-1)</f>
        <v/>
      </c>
      <c r="I550" s="211">
        <f>IF(ROW()&lt;51,NA(),AVERAGE(INDEX(E:E,ROW()-49):E550))</f>
        <v/>
      </c>
      <c r="J550" s="211">
        <f>IF(ROW()&lt;201,NA(),AVERAGE(INDEX(E:E,ROW()-199):E550))</f>
        <v/>
      </c>
      <c r="K550" s="341">
        <f>IF(ROW()&lt;22,NA(),_xlfn.STDEV.S(INDEX(H:H,ROW()-19):H550)*SQRT(252))</f>
        <v/>
      </c>
      <c r="L550" s="426" cm="1">
        <f t="array" ref="L550">IF(ROW()&lt;17,NA(),_xlfn.LET(_xlpm.d,INDEX(E:E,ROW()-13):E550-INDEX(E:E,ROW()-14):INDEX(E:E,ROW()-1),_xlpm.g,SUM(IF(_xlpm.d&gt;0,_xlpm.d,0)),_xlpm.l,-SUM(IF(_xlpm.d&lt;0,_xlpm.d,0)),IF(_xlpm.l=0,100,100-100/(1+_xlpm.g/_xlpm.l))))</f>
        <v/>
      </c>
      <c r="M550" s="211">
        <f>MAX($E$2:E550)</f>
        <v/>
      </c>
      <c r="N550" s="341">
        <f>E550/M550-1</f>
        <v/>
      </c>
    </row>
    <row r="551">
      <c r="A551" s="424" t="n">
        <v>45260</v>
      </c>
      <c r="B551" s="425" t="n">
        <v>103.0920310936462</v>
      </c>
      <c r="C551" s="425" t="n">
        <v>103.1573202531057</v>
      </c>
      <c r="D551" s="425" t="n">
        <v>101.6276824177811</v>
      </c>
      <c r="E551" s="425" t="n">
        <v>102.8495254516602</v>
      </c>
      <c r="F551" s="207" t="n">
        <v>8690900</v>
      </c>
      <c r="G551" s="208" t="n">
        <v>0.003937598985519486</v>
      </c>
      <c r="H551" s="209" cm="1">
        <f t="array" ref="H551">IF(ROW()&lt;3,"",E551/INDEX(E:E,ROW()-1)-1)</f>
        <v/>
      </c>
      <c r="I551" s="211">
        <f>IF(ROW()&lt;51,NA(),AVERAGE(INDEX(E:E,ROW()-49):E551))</f>
        <v/>
      </c>
      <c r="J551" s="211">
        <f>IF(ROW()&lt;201,NA(),AVERAGE(INDEX(E:E,ROW()-199):E551))</f>
        <v/>
      </c>
      <c r="K551" s="341">
        <f>IF(ROW()&lt;22,NA(),_xlfn.STDEV.S(INDEX(H:H,ROW()-19):H551)*SQRT(252))</f>
        <v/>
      </c>
      <c r="L551" s="426" cm="1">
        <f t="array" ref="L551">IF(ROW()&lt;17,NA(),_xlfn.LET(_xlpm.d,INDEX(E:E,ROW()-13):E551-INDEX(E:E,ROW()-14):INDEX(E:E,ROW()-1),_xlpm.g,SUM(IF(_xlpm.d&gt;0,_xlpm.d,0)),_xlpm.l,-SUM(IF(_xlpm.d&lt;0,_xlpm.d,0)),IF(_xlpm.l=0,100,100-100/(1+_xlpm.g/_xlpm.l))))</f>
        <v/>
      </c>
      <c r="M551" s="211">
        <f>MAX($E$2:E551)</f>
        <v/>
      </c>
      <c r="N551" s="341">
        <f>E551/M551-1</f>
        <v/>
      </c>
    </row>
    <row r="552">
      <c r="A552" s="424" t="n">
        <v>45261</v>
      </c>
      <c r="B552" s="425" t="n">
        <v>103.2519418366904</v>
      </c>
      <c r="C552" s="425" t="n">
        <v>106.2653685858643</v>
      </c>
      <c r="D552" s="425" t="n">
        <v>102.7091491752986</v>
      </c>
      <c r="E552" s="425" t="n">
        <v>106.1998596191406</v>
      </c>
      <c r="F552" s="207" t="n">
        <v>8051800</v>
      </c>
      <c r="G552" s="208" t="n">
        <v>0.005915715646839681</v>
      </c>
      <c r="H552" s="209" cm="1">
        <f t="array" ref="H552">IF(ROW()&lt;3,"",E552/INDEX(E:E,ROW()-1)-1)</f>
        <v/>
      </c>
      <c r="I552" s="211">
        <f>IF(ROW()&lt;51,NA(),AVERAGE(INDEX(E:E,ROW()-49):E552))</f>
        <v/>
      </c>
      <c r="J552" s="211">
        <f>IF(ROW()&lt;201,NA(),AVERAGE(INDEX(E:E,ROW()-199):E552))</f>
        <v/>
      </c>
      <c r="K552" s="341">
        <f>IF(ROW()&lt;22,NA(),_xlfn.STDEV.S(INDEX(H:H,ROW()-19):H552)*SQRT(252))</f>
        <v/>
      </c>
      <c r="L552" s="426" cm="1">
        <f t="array" ref="L552">IF(ROW()&lt;17,NA(),_xlfn.LET(_xlpm.d,INDEX(E:E,ROW()-13):E552-INDEX(E:E,ROW()-14):INDEX(E:E,ROW()-1),_xlpm.g,SUM(IF(_xlpm.d&gt;0,_xlpm.d,0)),_xlpm.l,-SUM(IF(_xlpm.d&lt;0,_xlpm.d,0)),IF(_xlpm.l=0,100,100-100/(1+_xlpm.g/_xlpm.l))))</f>
        <v/>
      </c>
      <c r="M552" s="211">
        <f>MAX($E$2:E552)</f>
        <v/>
      </c>
      <c r="N552" s="341">
        <f>E552/M552-1</f>
        <v/>
      </c>
    </row>
    <row r="553">
      <c r="A553" s="424" t="n">
        <v>45264</v>
      </c>
      <c r="B553" s="425" t="n">
        <v>105.8255088774978</v>
      </c>
      <c r="C553" s="425" t="n">
        <v>107.9218027400685</v>
      </c>
      <c r="D553" s="425" t="n">
        <v>105.7506394545636</v>
      </c>
      <c r="E553" s="425" t="n">
        <v>107.7627105712891</v>
      </c>
      <c r="F553" s="207" t="n">
        <v>10086600</v>
      </c>
      <c r="G553" s="208" t="n">
        <v>-0.005249354505640236</v>
      </c>
      <c r="H553" s="209" cm="1">
        <f t="array" ref="H553">IF(ROW()&lt;3,"",E553/INDEX(E:E,ROW()-1)-1)</f>
        <v/>
      </c>
      <c r="I553" s="211">
        <f>IF(ROW()&lt;51,NA(),AVERAGE(INDEX(E:E,ROW()-49):E553))</f>
        <v/>
      </c>
      <c r="J553" s="211">
        <f>IF(ROW()&lt;201,NA(),AVERAGE(INDEX(E:E,ROW()-199):E553))</f>
        <v/>
      </c>
      <c r="K553" s="341">
        <f>IF(ROW()&lt;22,NA(),_xlfn.STDEV.S(INDEX(H:H,ROW()-19):H553)*SQRT(252))</f>
        <v/>
      </c>
      <c r="L553" s="426" cm="1">
        <f t="array" ref="L553">IF(ROW()&lt;17,NA(),_xlfn.LET(_xlpm.d,INDEX(E:E,ROW()-13):E553-INDEX(E:E,ROW()-14):INDEX(E:E,ROW()-1),_xlpm.g,SUM(IF(_xlpm.d&gt;0,_xlpm.d,0)),_xlpm.l,-SUM(IF(_xlpm.d&lt;0,_xlpm.d,0)),IF(_xlpm.l=0,100,100-100/(1+_xlpm.g/_xlpm.l))))</f>
        <v/>
      </c>
      <c r="M553" s="211">
        <f>MAX($E$2:E553)</f>
        <v/>
      </c>
      <c r="N553" s="341">
        <f>E553/M553-1</f>
        <v/>
      </c>
    </row>
    <row r="554">
      <c r="A554" s="424" t="n">
        <v>45265</v>
      </c>
      <c r="B554" s="425" t="n">
        <v>107.3041500614726</v>
      </c>
      <c r="C554" s="425" t="n">
        <v>108.5956155039607</v>
      </c>
      <c r="D554" s="425" t="n">
        <v>107.2479944231443</v>
      </c>
      <c r="E554" s="425" t="n">
        <v>108.0060348510742</v>
      </c>
      <c r="F554" s="207" t="n">
        <v>6960000</v>
      </c>
      <c r="G554" s="208" t="n">
        <v>-0.0001970607051600126</v>
      </c>
      <c r="H554" s="209" cm="1">
        <f t="array" ref="H554">IF(ROW()&lt;3,"",E554/INDEX(E:E,ROW()-1)-1)</f>
        <v/>
      </c>
      <c r="I554" s="211">
        <f>IF(ROW()&lt;51,NA(),AVERAGE(INDEX(E:E,ROW()-49):E554))</f>
        <v/>
      </c>
      <c r="J554" s="211">
        <f>IF(ROW()&lt;201,NA(),AVERAGE(INDEX(E:E,ROW()-199):E554))</f>
        <v/>
      </c>
      <c r="K554" s="341">
        <f>IF(ROW()&lt;22,NA(),_xlfn.STDEV.S(INDEX(H:H,ROW()-19):H554)*SQRT(252))</f>
        <v/>
      </c>
      <c r="L554" s="426" cm="1">
        <f t="array" ref="L554">IF(ROW()&lt;17,NA(),_xlfn.LET(_xlpm.d,INDEX(E:E,ROW()-13):E554-INDEX(E:E,ROW()-14):INDEX(E:E,ROW()-1),_xlpm.g,SUM(IF(_xlpm.d&gt;0,_xlpm.d,0)),_xlpm.l,-SUM(IF(_xlpm.d&lt;0,_xlpm.d,0)),IF(_xlpm.l=0,100,100-100/(1+_xlpm.g/_xlpm.l))))</f>
        <v/>
      </c>
      <c r="M554" s="211">
        <f>MAX($E$2:E554)</f>
        <v/>
      </c>
      <c r="N554" s="341">
        <f>E554/M554-1</f>
        <v/>
      </c>
    </row>
    <row r="555">
      <c r="A555" s="424" t="n">
        <v>45266</v>
      </c>
      <c r="B555" s="425" t="n">
        <v>108.5581738865887</v>
      </c>
      <c r="C555" s="425" t="n">
        <v>109.6250381277272</v>
      </c>
      <c r="D555" s="425" t="n">
        <v>108.1557596805494</v>
      </c>
      <c r="E555" s="425" t="n">
        <v>108.6611175537109</v>
      </c>
      <c r="F555" s="207" t="n">
        <v>6317000</v>
      </c>
      <c r="G555" s="208" t="n">
        <v>-0.004029798623726766</v>
      </c>
      <c r="H555" s="209" cm="1">
        <f t="array" ref="H555">IF(ROW()&lt;3,"",E555/INDEX(E:E,ROW()-1)-1)</f>
        <v/>
      </c>
      <c r="I555" s="211">
        <f>IF(ROW()&lt;51,NA(),AVERAGE(INDEX(E:E,ROW()-49):E555))</f>
        <v/>
      </c>
      <c r="J555" s="211">
        <f>IF(ROW()&lt;201,NA(),AVERAGE(INDEX(E:E,ROW()-199):E555))</f>
        <v/>
      </c>
      <c r="K555" s="341">
        <f>IF(ROW()&lt;22,NA(),_xlfn.STDEV.S(INDEX(H:H,ROW()-19):H555)*SQRT(252))</f>
        <v/>
      </c>
      <c r="L555" s="426" cm="1">
        <f t="array" ref="L555">IF(ROW()&lt;17,NA(),_xlfn.LET(_xlpm.d,INDEX(E:E,ROW()-13):E555-INDEX(E:E,ROW()-14):INDEX(E:E,ROW()-1),_xlpm.g,SUM(IF(_xlpm.d&gt;0,_xlpm.d,0)),_xlpm.l,-SUM(IF(_xlpm.d&lt;0,_xlpm.d,0)),IF(_xlpm.l=0,100,100-100/(1+_xlpm.g/_xlpm.l))))</f>
        <v/>
      </c>
      <c r="M555" s="211">
        <f>MAX($E$2:E555)</f>
        <v/>
      </c>
      <c r="N555" s="341">
        <f>E555/M555-1</f>
        <v/>
      </c>
    </row>
    <row r="556">
      <c r="A556" s="424" t="n">
        <v>45267</v>
      </c>
      <c r="B556" s="425" t="n">
        <v>106.7987974888473</v>
      </c>
      <c r="C556" s="425" t="n">
        <v>108.5581862122531</v>
      </c>
      <c r="D556" s="425" t="n">
        <v>106.7987974888473</v>
      </c>
      <c r="E556" s="425" t="n">
        <v>107.4445266723633</v>
      </c>
      <c r="F556" s="207" t="n">
        <v>7294500</v>
      </c>
      <c r="G556" s="208" t="n">
        <v>0.007630447474133772</v>
      </c>
      <c r="H556" s="209" cm="1">
        <f t="array" ref="H556">IF(ROW()&lt;3,"",E556/INDEX(E:E,ROW()-1)-1)</f>
        <v/>
      </c>
      <c r="I556" s="211">
        <f>IF(ROW()&lt;51,NA(),AVERAGE(INDEX(E:E,ROW()-49):E556))</f>
        <v/>
      </c>
      <c r="J556" s="211">
        <f>IF(ROW()&lt;201,NA(),AVERAGE(INDEX(E:E,ROW()-199):E556))</f>
        <v/>
      </c>
      <c r="K556" s="341">
        <f>IF(ROW()&lt;22,NA(),_xlfn.STDEV.S(INDEX(H:H,ROW()-19):H556)*SQRT(252))</f>
        <v/>
      </c>
      <c r="L556" s="426" cm="1">
        <f t="array" ref="L556">IF(ROW()&lt;17,NA(),_xlfn.LET(_xlpm.d,INDEX(E:E,ROW()-13):E556-INDEX(E:E,ROW()-14):INDEX(E:E,ROW()-1),_xlpm.g,SUM(IF(_xlpm.d&gt;0,_xlpm.d,0)),_xlpm.l,-SUM(IF(_xlpm.d&lt;0,_xlpm.d,0)),IF(_xlpm.l=0,100,100-100/(1+_xlpm.g/_xlpm.l))))</f>
        <v/>
      </c>
      <c r="M556" s="211">
        <f>MAX($E$2:E556)</f>
        <v/>
      </c>
      <c r="N556" s="341">
        <f>E556/M556-1</f>
        <v/>
      </c>
    </row>
    <row r="557">
      <c r="A557" s="424" t="n">
        <v>45268</v>
      </c>
      <c r="B557" s="425" t="n">
        <v>107.1544140103877</v>
      </c>
      <c r="C557" s="425" t="n">
        <v>108.8295799421029</v>
      </c>
      <c r="D557" s="425" t="n">
        <v>107.1263397604612</v>
      </c>
      <c r="E557" s="425" t="n">
        <v>108.4739608764648</v>
      </c>
      <c r="F557" s="207" t="n">
        <v>6122200</v>
      </c>
      <c r="G557" s="208" t="n">
        <v>0.004299012317578788</v>
      </c>
      <c r="H557" s="209" cm="1">
        <f t="array" ref="H557">IF(ROW()&lt;3,"",E557/INDEX(E:E,ROW()-1)-1)</f>
        <v/>
      </c>
      <c r="I557" s="211">
        <f>IF(ROW()&lt;51,NA(),AVERAGE(INDEX(E:E,ROW()-49):E557))</f>
        <v/>
      </c>
      <c r="J557" s="211">
        <f>IF(ROW()&lt;201,NA(),AVERAGE(INDEX(E:E,ROW()-199):E557))</f>
        <v/>
      </c>
      <c r="K557" s="341">
        <f>IF(ROW()&lt;22,NA(),_xlfn.STDEV.S(INDEX(H:H,ROW()-19):H557)*SQRT(252))</f>
        <v/>
      </c>
      <c r="L557" s="426" cm="1">
        <f t="array" ref="L557">IF(ROW()&lt;17,NA(),_xlfn.LET(_xlpm.d,INDEX(E:E,ROW()-13):E557-INDEX(E:E,ROW()-14):INDEX(E:E,ROW()-1),_xlpm.g,SUM(IF(_xlpm.d&gt;0,_xlpm.d,0)),_xlpm.l,-SUM(IF(_xlpm.d&lt;0,_xlpm.d,0)),IF(_xlpm.l=0,100,100-100/(1+_xlpm.g/_xlpm.l))))</f>
        <v/>
      </c>
      <c r="M557" s="211">
        <f>MAX($E$2:E557)</f>
        <v/>
      </c>
      <c r="N557" s="341">
        <f>E557/M557-1</f>
        <v/>
      </c>
    </row>
    <row r="558">
      <c r="A558" s="424" t="n">
        <v>45271</v>
      </c>
      <c r="B558" s="425" t="n">
        <v>110.2333538795088</v>
      </c>
      <c r="C558" s="425" t="n">
        <v>111.758781018163</v>
      </c>
      <c r="D558" s="425" t="n">
        <v>109.8964485873</v>
      </c>
      <c r="E558" s="425" t="n">
        <v>111.0007476806641</v>
      </c>
      <c r="F558" s="207" t="n">
        <v>7972800</v>
      </c>
      <c r="G558" s="208" t="n">
        <v>0.003889632009745458</v>
      </c>
      <c r="H558" s="209" cm="1">
        <f t="array" ref="H558">IF(ROW()&lt;3,"",E558/INDEX(E:E,ROW()-1)-1)</f>
        <v/>
      </c>
      <c r="I558" s="211">
        <f>IF(ROW()&lt;51,NA(),AVERAGE(INDEX(E:E,ROW()-49):E558))</f>
        <v/>
      </c>
      <c r="J558" s="211">
        <f>IF(ROW()&lt;201,NA(),AVERAGE(INDEX(E:E,ROW()-199):E558))</f>
        <v/>
      </c>
      <c r="K558" s="341">
        <f>IF(ROW()&lt;22,NA(),_xlfn.STDEV.S(INDEX(H:H,ROW()-19):H558)*SQRT(252))</f>
        <v/>
      </c>
      <c r="L558" s="426" cm="1">
        <f t="array" ref="L558">IF(ROW()&lt;17,NA(),_xlfn.LET(_xlpm.d,INDEX(E:E,ROW()-13):E558-INDEX(E:E,ROW()-14):INDEX(E:E,ROW()-1),_xlpm.g,SUM(IF(_xlpm.d&gt;0,_xlpm.d,0)),_xlpm.l,-SUM(IF(_xlpm.d&lt;0,_xlpm.d,0)),IF(_xlpm.l=0,100,100-100/(1+_xlpm.g/_xlpm.l))))</f>
        <v/>
      </c>
      <c r="M558" s="211">
        <f>MAX($E$2:E558)</f>
        <v/>
      </c>
      <c r="N558" s="341">
        <f>E558/M558-1</f>
        <v/>
      </c>
    </row>
    <row r="559">
      <c r="A559" s="424" t="n">
        <v>45272</v>
      </c>
      <c r="B559" s="425" t="n">
        <v>112.0020953566287</v>
      </c>
      <c r="C559" s="425" t="n">
        <v>112.2922054504573</v>
      </c>
      <c r="D559" s="425" t="n">
        <v>110.9726657637435</v>
      </c>
      <c r="E559" s="425" t="n">
        <v>111.9646606445312</v>
      </c>
      <c r="F559" s="207" t="n">
        <v>7378400</v>
      </c>
      <c r="G559" s="208" t="n">
        <v>0.00456738916194066</v>
      </c>
      <c r="H559" s="209" cm="1">
        <f t="array" ref="H559">IF(ROW()&lt;3,"",E559/INDEX(E:E,ROW()-1)-1)</f>
        <v/>
      </c>
      <c r="I559" s="211">
        <f>IF(ROW()&lt;51,NA(),AVERAGE(INDEX(E:E,ROW()-49):E559))</f>
        <v/>
      </c>
      <c r="J559" s="211">
        <f>IF(ROW()&lt;201,NA(),AVERAGE(INDEX(E:E,ROW()-199):E559))</f>
        <v/>
      </c>
      <c r="K559" s="341">
        <f>IF(ROW()&lt;22,NA(),_xlfn.STDEV.S(INDEX(H:H,ROW()-19):H559)*SQRT(252))</f>
        <v/>
      </c>
      <c r="L559" s="426" cm="1">
        <f t="array" ref="L559">IF(ROW()&lt;17,NA(),_xlfn.LET(_xlpm.d,INDEX(E:E,ROW()-13):E559-INDEX(E:E,ROW()-14):INDEX(E:E,ROW()-1),_xlpm.g,SUM(IF(_xlpm.d&gt;0,_xlpm.d,0)),_xlpm.l,-SUM(IF(_xlpm.d&lt;0,_xlpm.d,0)),IF(_xlpm.l=0,100,100-100/(1+_xlpm.g/_xlpm.l))))</f>
        <v/>
      </c>
      <c r="M559" s="211">
        <f>MAX($E$2:E559)</f>
        <v/>
      </c>
      <c r="N559" s="341">
        <f>E559/M559-1</f>
        <v/>
      </c>
    </row>
    <row r="560">
      <c r="A560" s="424" t="n">
        <v>45273</v>
      </c>
      <c r="B560" s="425" t="n">
        <v>111.6932595756364</v>
      </c>
      <c r="C560" s="425" t="n">
        <v>113.6491821446904</v>
      </c>
      <c r="D560" s="425" t="n">
        <v>111.5528811962402</v>
      </c>
      <c r="E560" s="425" t="n">
        <v>113.3964996337891</v>
      </c>
      <c r="F560" s="207" t="n">
        <v>8182900</v>
      </c>
      <c r="G560" s="208" t="n">
        <v>0.01379000932070662</v>
      </c>
      <c r="H560" s="209" cm="1">
        <f t="array" ref="H560">IF(ROW()&lt;3,"",E560/INDEX(E:E,ROW()-1)-1)</f>
        <v/>
      </c>
      <c r="I560" s="211">
        <f>IF(ROW()&lt;51,NA(),AVERAGE(INDEX(E:E,ROW()-49):E560))</f>
        <v/>
      </c>
      <c r="J560" s="211">
        <f>IF(ROW()&lt;201,NA(),AVERAGE(INDEX(E:E,ROW()-199):E560))</f>
        <v/>
      </c>
      <c r="K560" s="341">
        <f>IF(ROW()&lt;22,NA(),_xlfn.STDEV.S(INDEX(H:H,ROW()-19):H560)*SQRT(252))</f>
        <v/>
      </c>
      <c r="L560" s="426" cm="1">
        <f t="array" ref="L560">IF(ROW()&lt;17,NA(),_xlfn.LET(_xlpm.d,INDEX(E:E,ROW()-13):E560-INDEX(E:E,ROW()-14):INDEX(E:E,ROW()-1),_xlpm.g,SUM(IF(_xlpm.d&gt;0,_xlpm.d,0)),_xlpm.l,-SUM(IF(_xlpm.d&lt;0,_xlpm.d,0)),IF(_xlpm.l=0,100,100-100/(1+_xlpm.g/_xlpm.l))))</f>
        <v/>
      </c>
      <c r="M560" s="211">
        <f>MAX($E$2:E560)</f>
        <v/>
      </c>
      <c r="N560" s="341">
        <f>E560/M560-1</f>
        <v/>
      </c>
    </row>
    <row r="561">
      <c r="A561" s="424" t="n">
        <v>45274</v>
      </c>
      <c r="B561" s="425" t="n">
        <v>113.6491796561047</v>
      </c>
      <c r="C561" s="425" t="n">
        <v>114.7253972147138</v>
      </c>
      <c r="D561" s="425" t="n">
        <v>112.1331060437172</v>
      </c>
      <c r="E561" s="425" t="n">
        <v>113.2561187744141</v>
      </c>
      <c r="F561" s="207" t="n">
        <v>9590500</v>
      </c>
      <c r="G561" s="208" t="n">
        <v>0.00320933128641343</v>
      </c>
      <c r="H561" s="209" cm="1">
        <f t="array" ref="H561">IF(ROW()&lt;3,"",E561/INDEX(E:E,ROW()-1)-1)</f>
        <v/>
      </c>
      <c r="I561" s="211">
        <f>IF(ROW()&lt;51,NA(),AVERAGE(INDEX(E:E,ROW()-49):E561))</f>
        <v/>
      </c>
      <c r="J561" s="211">
        <f>IF(ROW()&lt;201,NA(),AVERAGE(INDEX(E:E,ROW()-199):E561))</f>
        <v/>
      </c>
      <c r="K561" s="341">
        <f>IF(ROW()&lt;22,NA(),_xlfn.STDEV.S(INDEX(H:H,ROW()-19):H561)*SQRT(252))</f>
        <v/>
      </c>
      <c r="L561" s="426" cm="1">
        <f t="array" ref="L561">IF(ROW()&lt;17,NA(),_xlfn.LET(_xlpm.d,INDEX(E:E,ROW()-13):E561-INDEX(E:E,ROW()-14):INDEX(E:E,ROW()-1),_xlpm.g,SUM(IF(_xlpm.d&gt;0,_xlpm.d,0)),_xlpm.l,-SUM(IF(_xlpm.d&lt;0,_xlpm.d,0)),IF(_xlpm.l=0,100,100-100/(1+_xlpm.g/_xlpm.l))))</f>
        <v/>
      </c>
      <c r="M561" s="211">
        <f>MAX($E$2:E561)</f>
        <v/>
      </c>
      <c r="N561" s="341">
        <f>E561/M561-1</f>
        <v/>
      </c>
    </row>
    <row r="562">
      <c r="A562" s="424" t="n">
        <v>45275</v>
      </c>
      <c r="B562" s="425" t="n">
        <v>113.1719088744692</v>
      </c>
      <c r="C562" s="425" t="n">
        <v>114.2294127682052</v>
      </c>
      <c r="D562" s="425" t="n">
        <v>112.8630778395045</v>
      </c>
      <c r="E562" s="425" t="n">
        <v>113.7521362304688</v>
      </c>
      <c r="F562" s="207" t="n">
        <v>13633300</v>
      </c>
      <c r="G562" s="208" t="n">
        <v>-0.001646393902590471</v>
      </c>
      <c r="H562" s="209" cm="1">
        <f t="array" ref="H562">IF(ROW()&lt;3,"",E562/INDEX(E:E,ROW()-1)-1)</f>
        <v/>
      </c>
      <c r="I562" s="211">
        <f>IF(ROW()&lt;51,NA(),AVERAGE(INDEX(E:E,ROW()-49):E562))</f>
        <v/>
      </c>
      <c r="J562" s="211">
        <f>IF(ROW()&lt;201,NA(),AVERAGE(INDEX(E:E,ROW()-199):E562))</f>
        <v/>
      </c>
      <c r="K562" s="341">
        <f>IF(ROW()&lt;22,NA(),_xlfn.STDEV.S(INDEX(H:H,ROW()-19):H562)*SQRT(252))</f>
        <v/>
      </c>
      <c r="L562" s="426" cm="1">
        <f t="array" ref="L562">IF(ROW()&lt;17,NA(),_xlfn.LET(_xlpm.d,INDEX(E:E,ROW()-13):E562-INDEX(E:E,ROW()-14):INDEX(E:E,ROW()-1),_xlpm.g,SUM(IF(_xlpm.d&gt;0,_xlpm.d,0)),_xlpm.l,-SUM(IF(_xlpm.d&lt;0,_xlpm.d,0)),IF(_xlpm.l=0,100,100-100/(1+_xlpm.g/_xlpm.l))))</f>
        <v/>
      </c>
      <c r="M562" s="211">
        <f>MAX($E$2:E562)</f>
        <v/>
      </c>
      <c r="N562" s="341">
        <f>E562/M562-1</f>
        <v/>
      </c>
    </row>
    <row r="563">
      <c r="A563" s="424" t="n">
        <v>45278</v>
      </c>
      <c r="B563" s="425" t="n">
        <v>113.6211136149265</v>
      </c>
      <c r="C563" s="425" t="n">
        <v>114.0235207082044</v>
      </c>
      <c r="D563" s="425" t="n">
        <v>113.1063952445503</v>
      </c>
      <c r="E563" s="425" t="n">
        <v>113.3684310913086</v>
      </c>
      <c r="F563" s="207" t="n">
        <v>6874800</v>
      </c>
      <c r="G563" s="208" t="n">
        <v>0.005624953749335804</v>
      </c>
      <c r="H563" s="209" cm="1">
        <f t="array" ref="H563">IF(ROW()&lt;3,"",E563/INDEX(E:E,ROW()-1)-1)</f>
        <v/>
      </c>
      <c r="I563" s="211">
        <f>IF(ROW()&lt;51,NA(),AVERAGE(INDEX(E:E,ROW()-49):E563))</f>
        <v/>
      </c>
      <c r="J563" s="211">
        <f>IF(ROW()&lt;201,NA(),AVERAGE(INDEX(E:E,ROW()-199):E563))</f>
        <v/>
      </c>
      <c r="K563" s="341">
        <f>IF(ROW()&lt;22,NA(),_xlfn.STDEV.S(INDEX(H:H,ROW()-19):H563)*SQRT(252))</f>
        <v/>
      </c>
      <c r="L563" s="426" cm="1">
        <f t="array" ref="L563">IF(ROW()&lt;17,NA(),_xlfn.LET(_xlpm.d,INDEX(E:E,ROW()-13):E563-INDEX(E:E,ROW()-14):INDEX(E:E,ROW()-1),_xlpm.g,SUM(IF(_xlpm.d&gt;0,_xlpm.d,0)),_xlpm.l,-SUM(IF(_xlpm.d&lt;0,_xlpm.d,0)),IF(_xlpm.l=0,100,100-100/(1+_xlpm.g/_xlpm.l))))</f>
        <v/>
      </c>
      <c r="M563" s="211">
        <f>MAX($E$2:E563)</f>
        <v/>
      </c>
      <c r="N563" s="341">
        <f>E563/M563-1</f>
        <v/>
      </c>
    </row>
    <row r="564">
      <c r="A564" s="424" t="n">
        <v>45279</v>
      </c>
      <c r="B564" s="425" t="n">
        <v>113.9299383529356</v>
      </c>
      <c r="C564" s="425" t="n">
        <v>115.4272911599021</v>
      </c>
      <c r="D564" s="425" t="n">
        <v>113.8363551412392</v>
      </c>
      <c r="E564" s="425" t="n">
        <v>114.7722015380859</v>
      </c>
      <c r="F564" s="207" t="n">
        <v>7697300</v>
      </c>
      <c r="G564" s="208" t="n">
        <v>0.006080888558689157</v>
      </c>
      <c r="H564" s="209" cm="1">
        <f t="array" ref="H564">IF(ROW()&lt;3,"",E564/INDEX(E:E,ROW()-1)-1)</f>
        <v/>
      </c>
      <c r="I564" s="211">
        <f>IF(ROW()&lt;51,NA(),AVERAGE(INDEX(E:E,ROW()-49):E564))</f>
        <v/>
      </c>
      <c r="J564" s="211">
        <f>IF(ROW()&lt;201,NA(),AVERAGE(INDEX(E:E,ROW()-199):E564))</f>
        <v/>
      </c>
      <c r="K564" s="341">
        <f>IF(ROW()&lt;22,NA(),_xlfn.STDEV.S(INDEX(H:H,ROW()-19):H564)*SQRT(252))</f>
        <v/>
      </c>
      <c r="L564" s="426" cm="1">
        <f t="array" ref="L564">IF(ROW()&lt;17,NA(),_xlfn.LET(_xlpm.d,INDEX(E:E,ROW()-13):E564-INDEX(E:E,ROW()-14):INDEX(E:E,ROW()-1),_xlpm.g,SUM(IF(_xlpm.d&gt;0,_xlpm.d,0)),_xlpm.l,-SUM(IF(_xlpm.d&lt;0,_xlpm.d,0)),IF(_xlpm.l=0,100,100-100/(1+_xlpm.g/_xlpm.l))))</f>
        <v/>
      </c>
      <c r="M564" s="211">
        <f>MAX($E$2:E564)</f>
        <v/>
      </c>
      <c r="N564" s="341">
        <f>E564/M564-1</f>
        <v/>
      </c>
    </row>
    <row r="565">
      <c r="A565" s="424" t="n">
        <v>45280</v>
      </c>
      <c r="B565" s="425" t="n">
        <v>113.3590747598142</v>
      </c>
      <c r="C565" s="425" t="n">
        <v>115.4740896770713</v>
      </c>
      <c r="D565" s="425" t="n">
        <v>113.2374172950828</v>
      </c>
      <c r="E565" s="425" t="n">
        <v>113.6398315429688</v>
      </c>
      <c r="F565" s="207" t="n">
        <v>9176600</v>
      </c>
      <c r="G565" s="208" t="n">
        <v>-0.01385729286821424</v>
      </c>
      <c r="H565" s="209" cm="1">
        <f t="array" ref="H565">IF(ROW()&lt;3,"",E565/INDEX(E:E,ROW()-1)-1)</f>
        <v/>
      </c>
      <c r="I565" s="211">
        <f>IF(ROW()&lt;51,NA(),AVERAGE(INDEX(E:E,ROW()-49):E565))</f>
        <v/>
      </c>
      <c r="J565" s="211">
        <f>IF(ROW()&lt;201,NA(),AVERAGE(INDEX(E:E,ROW()-199):E565))</f>
        <v/>
      </c>
      <c r="K565" s="341">
        <f>IF(ROW()&lt;22,NA(),_xlfn.STDEV.S(INDEX(H:H,ROW()-19):H565)*SQRT(252))</f>
        <v/>
      </c>
      <c r="L565" s="426" cm="1">
        <f t="array" ref="L565">IF(ROW()&lt;17,NA(),_xlfn.LET(_xlpm.d,INDEX(E:E,ROW()-13):E565-INDEX(E:E,ROW()-14):INDEX(E:E,ROW()-1),_xlpm.g,SUM(IF(_xlpm.d&gt;0,_xlpm.d,0)),_xlpm.l,-SUM(IF(_xlpm.d&lt;0,_xlpm.d,0)),IF(_xlpm.l=0,100,100-100/(1+_xlpm.g/_xlpm.l))))</f>
        <v/>
      </c>
      <c r="M565" s="211">
        <f>MAX($E$2:E565)</f>
        <v/>
      </c>
      <c r="N565" s="341">
        <f>E565/M565-1</f>
        <v/>
      </c>
    </row>
    <row r="566">
      <c r="A566" s="424" t="n">
        <v>45281</v>
      </c>
      <c r="B566" s="425" t="n">
        <v>114.4540174442906</v>
      </c>
      <c r="C566" s="425" t="n">
        <v>115.3898638432139</v>
      </c>
      <c r="D566" s="425" t="n">
        <v>113.5181710453674</v>
      </c>
      <c r="E566" s="425" t="n">
        <v>114.6692581176758</v>
      </c>
      <c r="F566" s="207" t="n">
        <v>16533300</v>
      </c>
      <c r="G566" s="208" t="n">
        <v>0.009482002831388892</v>
      </c>
      <c r="H566" s="209" cm="1">
        <f t="array" ref="H566">IF(ROW()&lt;3,"",E566/INDEX(E:E,ROW()-1)-1)</f>
        <v/>
      </c>
      <c r="I566" s="211">
        <f>IF(ROW()&lt;51,NA(),AVERAGE(INDEX(E:E,ROW()-49):E566))</f>
        <v/>
      </c>
      <c r="J566" s="211">
        <f>IF(ROW()&lt;201,NA(),AVERAGE(INDEX(E:E,ROW()-199):E566))</f>
        <v/>
      </c>
      <c r="K566" s="341">
        <f>IF(ROW()&lt;22,NA(),_xlfn.STDEV.S(INDEX(H:H,ROW()-19):H566)*SQRT(252))</f>
        <v/>
      </c>
      <c r="L566" s="426" cm="1">
        <f t="array" ref="L566">IF(ROW()&lt;17,NA(),_xlfn.LET(_xlpm.d,INDEX(E:E,ROW()-13):E566-INDEX(E:E,ROW()-14):INDEX(E:E,ROW()-1),_xlpm.g,SUM(IF(_xlpm.d&gt;0,_xlpm.d,0)),_xlpm.l,-SUM(IF(_xlpm.d&lt;0,_xlpm.d,0)),IF(_xlpm.l=0,100,100-100/(1+_xlpm.g/_xlpm.l))))</f>
        <v/>
      </c>
      <c r="M566" s="211">
        <f>MAX($E$2:E566)</f>
        <v/>
      </c>
      <c r="N566" s="341">
        <f>E566/M566-1</f>
        <v/>
      </c>
    </row>
    <row r="567">
      <c r="A567" s="424" t="n">
        <v>45282</v>
      </c>
      <c r="B567" s="425" t="n">
        <v>101.314720637722</v>
      </c>
      <c r="C567" s="425" t="n">
        <v>103.6917710542958</v>
      </c>
      <c r="D567" s="425" t="n">
        <v>100.556680293026</v>
      </c>
      <c r="E567" s="425" t="n">
        <v>101.1088333129883</v>
      </c>
      <c r="F567" s="207" t="n">
        <v>46666200</v>
      </c>
      <c r="G567" s="208" t="n">
        <v>0.002009653296469516</v>
      </c>
      <c r="H567" s="209" cm="1">
        <f t="array" ref="H567">IF(ROW()&lt;3,"",E567/INDEX(E:E,ROW()-1)-1)</f>
        <v/>
      </c>
      <c r="I567" s="211">
        <f>IF(ROW()&lt;51,NA(),AVERAGE(INDEX(E:E,ROW()-49):E567))</f>
        <v/>
      </c>
      <c r="J567" s="211">
        <f>IF(ROW()&lt;201,NA(),AVERAGE(INDEX(E:E,ROW()-199):E567))</f>
        <v/>
      </c>
      <c r="K567" s="341">
        <f>IF(ROW()&lt;22,NA(),_xlfn.STDEV.S(INDEX(H:H,ROW()-19):H567)*SQRT(252))</f>
        <v/>
      </c>
      <c r="L567" s="426" cm="1">
        <f t="array" ref="L567">IF(ROW()&lt;17,NA(),_xlfn.LET(_xlpm.d,INDEX(E:E,ROW()-13):E567-INDEX(E:E,ROW()-14):INDEX(E:E,ROW()-1),_xlpm.g,SUM(IF(_xlpm.d&gt;0,_xlpm.d,0)),_xlpm.l,-SUM(IF(_xlpm.d&lt;0,_xlpm.d,0)),IF(_xlpm.l=0,100,100-100/(1+_xlpm.g/_xlpm.l))))</f>
        <v/>
      </c>
      <c r="M567" s="211">
        <f>MAX($E$2:E567)</f>
        <v/>
      </c>
      <c r="N567" s="341">
        <f>E567/M567-1</f>
        <v/>
      </c>
    </row>
    <row r="568">
      <c r="A568" s="424" t="n">
        <v>45286</v>
      </c>
      <c r="B568" s="425" t="n">
        <v>101.3521690298733</v>
      </c>
      <c r="C568" s="425" t="n">
        <v>101.7171485584731</v>
      </c>
      <c r="D568" s="425" t="n">
        <v>100.5847752594913</v>
      </c>
      <c r="E568" s="425" t="n">
        <v>101.0901260375977</v>
      </c>
      <c r="F568" s="207" t="n">
        <v>12846700</v>
      </c>
      <c r="G568" s="208" t="n">
        <v>0.004222573681947894</v>
      </c>
      <c r="H568" s="209" cm="1">
        <f t="array" ref="H568">IF(ROW()&lt;3,"",E568/INDEX(E:E,ROW()-1)-1)</f>
        <v/>
      </c>
      <c r="I568" s="211">
        <f>IF(ROW()&lt;51,NA(),AVERAGE(INDEX(E:E,ROW()-49):E568))</f>
        <v/>
      </c>
      <c r="J568" s="211">
        <f>IF(ROW()&lt;201,NA(),AVERAGE(INDEX(E:E,ROW()-199):E568))</f>
        <v/>
      </c>
      <c r="K568" s="341">
        <f>IF(ROW()&lt;22,NA(),_xlfn.STDEV.S(INDEX(H:H,ROW()-19):H568)*SQRT(252))</f>
        <v/>
      </c>
      <c r="L568" s="426" cm="1">
        <f t="array" ref="L568">IF(ROW()&lt;17,NA(),_xlfn.LET(_xlpm.d,INDEX(E:E,ROW()-13):E568-INDEX(E:E,ROW()-14):INDEX(E:E,ROW()-1),_xlpm.g,SUM(IF(_xlpm.d&gt;0,_xlpm.d,0)),_xlpm.l,-SUM(IF(_xlpm.d&lt;0,_xlpm.d,0)),IF(_xlpm.l=0,100,100-100/(1+_xlpm.g/_xlpm.l))))</f>
        <v/>
      </c>
      <c r="M568" s="211">
        <f>MAX($E$2:E568)</f>
        <v/>
      </c>
      <c r="N568" s="341">
        <f>E568/M568-1</f>
        <v/>
      </c>
    </row>
    <row r="569">
      <c r="A569" s="424" t="n">
        <v>45287</v>
      </c>
      <c r="B569" s="425" t="n">
        <v>101.3895906396047</v>
      </c>
      <c r="C569" s="425" t="n">
        <v>101.6235522282765</v>
      </c>
      <c r="D569" s="425" t="n">
        <v>99.99518157030481</v>
      </c>
      <c r="E569" s="425" t="n">
        <v>100.2572174072266</v>
      </c>
      <c r="F569" s="207" t="n">
        <v>10157900</v>
      </c>
      <c r="G569" s="208" t="n">
        <v>0.00180801895865601</v>
      </c>
      <c r="H569" s="209" cm="1">
        <f t="array" ref="H569">IF(ROW()&lt;3,"",E569/INDEX(E:E,ROW()-1)-1)</f>
        <v/>
      </c>
      <c r="I569" s="211">
        <f>IF(ROW()&lt;51,NA(),AVERAGE(INDEX(E:E,ROW()-49):E569))</f>
        <v/>
      </c>
      <c r="J569" s="211">
        <f>IF(ROW()&lt;201,NA(),AVERAGE(INDEX(E:E,ROW()-199):E569))</f>
        <v/>
      </c>
      <c r="K569" s="341">
        <f>IF(ROW()&lt;22,NA(),_xlfn.STDEV.S(INDEX(H:H,ROW()-19):H569)*SQRT(252))</f>
        <v/>
      </c>
      <c r="L569" s="426" cm="1">
        <f t="array" ref="L569">IF(ROW()&lt;17,NA(),_xlfn.LET(_xlpm.d,INDEX(E:E,ROW()-13):E569-INDEX(E:E,ROW()-14):INDEX(E:E,ROW()-1),_xlpm.g,SUM(IF(_xlpm.d&gt;0,_xlpm.d,0)),_xlpm.l,-SUM(IF(_xlpm.d&lt;0,_xlpm.d,0)),IF(_xlpm.l=0,100,100-100/(1+_xlpm.g/_xlpm.l))))</f>
        <v/>
      </c>
      <c r="M569" s="211">
        <f>MAX($E$2:E569)</f>
        <v/>
      </c>
      <c r="N569" s="341">
        <f>E569/M569-1</f>
        <v/>
      </c>
    </row>
    <row r="570">
      <c r="A570" s="424" t="n">
        <v>45288</v>
      </c>
      <c r="B570" s="425" t="n">
        <v>100.3320778265091</v>
      </c>
      <c r="C570" s="425" t="n">
        <v>102.3815834441548</v>
      </c>
      <c r="D570" s="425" t="n">
        <v>99.95773789023521</v>
      </c>
      <c r="E570" s="425" t="n">
        <v>101.8387908935547</v>
      </c>
      <c r="F570" s="207" t="n">
        <v>9352900</v>
      </c>
      <c r="G570" s="208" t="n">
        <v>0.0003777903707902208</v>
      </c>
      <c r="H570" s="209" cm="1">
        <f t="array" ref="H570">IF(ROW()&lt;3,"",E570/INDEX(E:E,ROW()-1)-1)</f>
        <v/>
      </c>
      <c r="I570" s="211">
        <f>IF(ROW()&lt;51,NA(),AVERAGE(INDEX(E:E,ROW()-49):E570))</f>
        <v/>
      </c>
      <c r="J570" s="211">
        <f>IF(ROW()&lt;201,NA(),AVERAGE(INDEX(E:E,ROW()-199):E570))</f>
        <v/>
      </c>
      <c r="K570" s="341">
        <f>IF(ROW()&lt;22,NA(),_xlfn.STDEV.S(INDEX(H:H,ROW()-19):H570)*SQRT(252))</f>
        <v/>
      </c>
      <c r="L570" s="426" cm="1">
        <f t="array" ref="L570">IF(ROW()&lt;17,NA(),_xlfn.LET(_xlpm.d,INDEX(E:E,ROW()-13):E570-INDEX(E:E,ROW()-14):INDEX(E:E,ROW()-1),_xlpm.g,SUM(IF(_xlpm.d&gt;0,_xlpm.d,0)),_xlpm.l,-SUM(IF(_xlpm.d&lt;0,_xlpm.d,0)),IF(_xlpm.l=0,100,100-100/(1+_xlpm.g/_xlpm.l))))</f>
        <v/>
      </c>
      <c r="M570" s="211">
        <f>MAX($E$2:E570)</f>
        <v/>
      </c>
      <c r="N570" s="341">
        <f>E570/M570-1</f>
        <v/>
      </c>
    </row>
    <row r="571">
      <c r="A571" s="424" t="n">
        <v>45289</v>
      </c>
      <c r="B571" s="425" t="n">
        <v>101.969822663653</v>
      </c>
      <c r="C571" s="425" t="n">
        <v>102.9056690616012</v>
      </c>
      <c r="D571" s="425" t="n">
        <v>101.155633727059</v>
      </c>
      <c r="E571" s="425" t="n">
        <v>101.6048431396484</v>
      </c>
      <c r="F571" s="207" t="n">
        <v>7667500</v>
      </c>
      <c r="G571" s="208" t="n">
        <v>-0.002895034567458543</v>
      </c>
      <c r="H571" s="209" cm="1">
        <f t="array" ref="H571">IF(ROW()&lt;3,"",E571/INDEX(E:E,ROW()-1)-1)</f>
        <v/>
      </c>
      <c r="I571" s="211">
        <f>IF(ROW()&lt;51,NA(),AVERAGE(INDEX(E:E,ROW()-49):E571))</f>
        <v/>
      </c>
      <c r="J571" s="211">
        <f>IF(ROW()&lt;201,NA(),AVERAGE(INDEX(E:E,ROW()-199):E571))</f>
        <v/>
      </c>
      <c r="K571" s="341">
        <f>IF(ROW()&lt;22,NA(),_xlfn.STDEV.S(INDEX(H:H,ROW()-19):H571)*SQRT(252))</f>
        <v/>
      </c>
      <c r="L571" s="426" cm="1">
        <f t="array" ref="L571">IF(ROW()&lt;17,NA(),_xlfn.LET(_xlpm.d,INDEX(E:E,ROW()-13):E571-INDEX(E:E,ROW()-14):INDEX(E:E,ROW()-1),_xlpm.g,SUM(IF(_xlpm.d&gt;0,_xlpm.d,0)),_xlpm.l,-SUM(IF(_xlpm.d&lt;0,_xlpm.d,0)),IF(_xlpm.l=0,100,100-100/(1+_xlpm.g/_xlpm.l))))</f>
        <v/>
      </c>
      <c r="M571" s="211">
        <f>MAX($E$2:E571)</f>
        <v/>
      </c>
      <c r="N571" s="341">
        <f>E571/M571-1</f>
        <v/>
      </c>
    </row>
    <row r="572">
      <c r="A572" s="424" t="n">
        <v>45293</v>
      </c>
      <c r="B572" s="425" t="n">
        <v>100.7064189067457</v>
      </c>
      <c r="C572" s="425" t="n">
        <v>100.9310200150852</v>
      </c>
      <c r="D572" s="425" t="n">
        <v>99.62083379321386</v>
      </c>
      <c r="E572" s="425" t="n">
        <v>99.71442413330078</v>
      </c>
      <c r="F572" s="207" t="n">
        <v>9326600</v>
      </c>
      <c r="G572" s="208" t="n">
        <v>-0.005596223697768465</v>
      </c>
      <c r="H572" s="209" cm="1">
        <f t="array" ref="H572">IF(ROW()&lt;3,"",E572/INDEX(E:E,ROW()-1)-1)</f>
        <v/>
      </c>
      <c r="I572" s="211">
        <f>IF(ROW()&lt;51,NA(),AVERAGE(INDEX(E:E,ROW()-49):E572))</f>
        <v/>
      </c>
      <c r="J572" s="211">
        <f>IF(ROW()&lt;201,NA(),AVERAGE(INDEX(E:E,ROW()-199):E572))</f>
        <v/>
      </c>
      <c r="K572" s="341">
        <f>IF(ROW()&lt;22,NA(),_xlfn.STDEV.S(INDEX(H:H,ROW()-19):H572)*SQRT(252))</f>
        <v/>
      </c>
      <c r="L572" s="426" cm="1">
        <f t="array" ref="L572">IF(ROW()&lt;17,NA(),_xlfn.LET(_xlpm.d,INDEX(E:E,ROW()-13):E572-INDEX(E:E,ROW()-14):INDEX(E:E,ROW()-1),_xlpm.g,SUM(IF(_xlpm.d&gt;0,_xlpm.d,0)),_xlpm.l,-SUM(IF(_xlpm.d&lt;0,_xlpm.d,0)),IF(_xlpm.l=0,100,100-100/(1+_xlpm.g/_xlpm.l))))</f>
        <v/>
      </c>
      <c r="M572" s="211">
        <f>MAX($E$2:E572)</f>
        <v/>
      </c>
      <c r="N572" s="341">
        <f>E572/M572-1</f>
        <v/>
      </c>
    </row>
    <row r="573">
      <c r="A573" s="424" t="n">
        <v>45294</v>
      </c>
      <c r="B573" s="425" t="n">
        <v>98.93769329456417</v>
      </c>
      <c r="C573" s="425" t="n">
        <v>100.5847851366143</v>
      </c>
      <c r="D573" s="425" t="n">
        <v>97.32803616937225</v>
      </c>
      <c r="E573" s="425" t="n">
        <v>97.36547088623047</v>
      </c>
      <c r="F573" s="207" t="n">
        <v>10573700</v>
      </c>
      <c r="G573" s="208" t="n">
        <v>-0.008166755250926139</v>
      </c>
      <c r="H573" s="209" cm="1">
        <f t="array" ref="H573">IF(ROW()&lt;3,"",E573/INDEX(E:E,ROW()-1)-1)</f>
        <v/>
      </c>
      <c r="I573" s="211">
        <f>IF(ROW()&lt;51,NA(),AVERAGE(INDEX(E:E,ROW()-49):E573))</f>
        <v/>
      </c>
      <c r="J573" s="211">
        <f>IF(ROW()&lt;201,NA(),AVERAGE(INDEX(E:E,ROW()-199):E573))</f>
        <v/>
      </c>
      <c r="K573" s="341">
        <f>IF(ROW()&lt;22,NA(),_xlfn.STDEV.S(INDEX(H:H,ROW()-19):H573)*SQRT(252))</f>
        <v/>
      </c>
      <c r="L573" s="426" cm="1">
        <f t="array" ref="L573">IF(ROW()&lt;17,NA(),_xlfn.LET(_xlpm.d,INDEX(E:E,ROW()-13):E573-INDEX(E:E,ROW()-14):INDEX(E:E,ROW()-1),_xlpm.g,SUM(IF(_xlpm.d&gt;0,_xlpm.d,0)),_xlpm.l,-SUM(IF(_xlpm.d&lt;0,_xlpm.d,0)),IF(_xlpm.l=0,100,100-100/(1+_xlpm.g/_xlpm.l))))</f>
        <v/>
      </c>
      <c r="M573" s="211">
        <f>MAX($E$2:E573)</f>
        <v/>
      </c>
      <c r="N573" s="341">
        <f>E573/M573-1</f>
        <v/>
      </c>
    </row>
    <row r="574">
      <c r="A574" s="424" t="n">
        <v>45295</v>
      </c>
      <c r="B574" s="425" t="n">
        <v>95.88682277801156</v>
      </c>
      <c r="C574" s="425" t="n">
        <v>96.97240804606162</v>
      </c>
      <c r="D574" s="425" t="n">
        <v>95.73709106445312</v>
      </c>
      <c r="E574" s="425" t="n">
        <v>95.73709106445312</v>
      </c>
      <c r="F574" s="207" t="n">
        <v>10420600</v>
      </c>
      <c r="G574" s="208" t="n">
        <v>-0.003221207991317199</v>
      </c>
      <c r="H574" s="209" cm="1">
        <f t="array" ref="H574">IF(ROW()&lt;3,"",E574/INDEX(E:E,ROW()-1)-1)</f>
        <v/>
      </c>
      <c r="I574" s="211">
        <f>IF(ROW()&lt;51,NA(),AVERAGE(INDEX(E:E,ROW()-49):E574))</f>
        <v/>
      </c>
      <c r="J574" s="211">
        <f>IF(ROW()&lt;201,NA(),AVERAGE(INDEX(E:E,ROW()-199):E574))</f>
        <v/>
      </c>
      <c r="K574" s="341">
        <f>IF(ROW()&lt;22,NA(),_xlfn.STDEV.S(INDEX(H:H,ROW()-19):H574)*SQRT(252))</f>
        <v/>
      </c>
      <c r="L574" s="426" cm="1">
        <f t="array" ref="L574">IF(ROW()&lt;17,NA(),_xlfn.LET(_xlpm.d,INDEX(E:E,ROW()-13):E574-INDEX(E:E,ROW()-14):INDEX(E:E,ROW()-1),_xlpm.g,SUM(IF(_xlpm.d&gt;0,_xlpm.d,0)),_xlpm.l,-SUM(IF(_xlpm.d&lt;0,_xlpm.d,0)),IF(_xlpm.l=0,100,100-100/(1+_xlpm.g/_xlpm.l))))</f>
        <v/>
      </c>
      <c r="M574" s="211">
        <f>MAX($E$2:E574)</f>
        <v/>
      </c>
      <c r="N574" s="341">
        <f>E574/M574-1</f>
        <v/>
      </c>
    </row>
    <row r="575">
      <c r="A575" s="424" t="n">
        <v>45296</v>
      </c>
      <c r="B575" s="425" t="n">
        <v>95.88681563489644</v>
      </c>
      <c r="C575" s="425" t="n">
        <v>97.02854931798444</v>
      </c>
      <c r="D575" s="425" t="n">
        <v>95.36274396657052</v>
      </c>
      <c r="E575" s="425" t="n">
        <v>95.53119659423828</v>
      </c>
      <c r="F575" s="207" t="n">
        <v>8044500</v>
      </c>
      <c r="G575" s="208" t="n">
        <v>0.001369832524316106</v>
      </c>
      <c r="H575" s="209" cm="1">
        <f t="array" ref="H575">IF(ROW()&lt;3,"",E575/INDEX(E:E,ROW()-1)-1)</f>
        <v/>
      </c>
      <c r="I575" s="211">
        <f>IF(ROW()&lt;51,NA(),AVERAGE(INDEX(E:E,ROW()-49):E575))</f>
        <v/>
      </c>
      <c r="J575" s="211">
        <f>IF(ROW()&lt;201,NA(),AVERAGE(INDEX(E:E,ROW()-199):E575))</f>
        <v/>
      </c>
      <c r="K575" s="341">
        <f>IF(ROW()&lt;22,NA(),_xlfn.STDEV.S(INDEX(H:H,ROW()-19):H575)*SQRT(252))</f>
        <v/>
      </c>
      <c r="L575" s="426" cm="1">
        <f t="array" ref="L575">IF(ROW()&lt;17,NA(),_xlfn.LET(_xlpm.d,INDEX(E:E,ROW()-13):E575-INDEX(E:E,ROW()-14):INDEX(E:E,ROW()-1),_xlpm.g,SUM(IF(_xlpm.d&gt;0,_xlpm.d,0)),_xlpm.l,-SUM(IF(_xlpm.d&lt;0,_xlpm.d,0)),IF(_xlpm.l=0,100,100-100/(1+_xlpm.g/_xlpm.l))))</f>
        <v/>
      </c>
      <c r="M575" s="211">
        <f>MAX($E$2:E575)</f>
        <v/>
      </c>
      <c r="N575" s="341">
        <f>E575/M575-1</f>
        <v/>
      </c>
    </row>
    <row r="576">
      <c r="A576" s="424" t="n">
        <v>45299</v>
      </c>
      <c r="B576" s="425" t="n">
        <v>95.53120771378586</v>
      </c>
      <c r="C576" s="425" t="n">
        <v>97.03792107554078</v>
      </c>
      <c r="D576" s="425" t="n">
        <v>95.20366288295692</v>
      </c>
      <c r="E576" s="425" t="n">
        <v>96.972412109375</v>
      </c>
      <c r="F576" s="207" t="n">
        <v>9414200</v>
      </c>
      <c r="G576" s="208" t="n">
        <v>0.014275870987557</v>
      </c>
      <c r="H576" s="209" cm="1">
        <f t="array" ref="H576">IF(ROW()&lt;3,"",E576/INDEX(E:E,ROW()-1)-1)</f>
        <v/>
      </c>
      <c r="I576" s="211">
        <f>IF(ROW()&lt;51,NA(),AVERAGE(INDEX(E:E,ROW()-49):E576))</f>
        <v/>
      </c>
      <c r="J576" s="211">
        <f>IF(ROW()&lt;201,NA(),AVERAGE(INDEX(E:E,ROW()-199):E576))</f>
        <v/>
      </c>
      <c r="K576" s="341">
        <f>IF(ROW()&lt;22,NA(),_xlfn.STDEV.S(INDEX(H:H,ROW()-19):H576)*SQRT(252))</f>
        <v/>
      </c>
      <c r="L576" s="426" cm="1">
        <f t="array" ref="L576">IF(ROW()&lt;17,NA(),_xlfn.LET(_xlpm.d,INDEX(E:E,ROW()-13):E576-INDEX(E:E,ROW()-14):INDEX(E:E,ROW()-1),_xlpm.g,SUM(IF(_xlpm.d&gt;0,_xlpm.d,0)),_xlpm.l,-SUM(IF(_xlpm.d&lt;0,_xlpm.d,0)),IF(_xlpm.l=0,100,100-100/(1+_xlpm.g/_xlpm.l))))</f>
        <v/>
      </c>
      <c r="M576" s="211">
        <f>MAX($E$2:E576)</f>
        <v/>
      </c>
      <c r="N576" s="341">
        <f>E576/M576-1</f>
        <v/>
      </c>
    </row>
    <row r="577">
      <c r="A577" s="424" t="n">
        <v>45300</v>
      </c>
      <c r="B577" s="425" t="n">
        <v>96.55127135421269</v>
      </c>
      <c r="C577" s="425" t="n">
        <v>96.76651916774186</v>
      </c>
      <c r="D577" s="425" t="n">
        <v>95.92425597992981</v>
      </c>
      <c r="E577" s="425" t="n">
        <v>96.14885711669922</v>
      </c>
      <c r="F577" s="207" t="n">
        <v>7759500</v>
      </c>
      <c r="G577" s="208" t="n">
        <v>-0.001517110188643978</v>
      </c>
      <c r="H577" s="209" cm="1">
        <f t="array" ref="H577">IF(ROW()&lt;3,"",E577/INDEX(E:E,ROW()-1)-1)</f>
        <v/>
      </c>
      <c r="I577" s="211">
        <f>IF(ROW()&lt;51,NA(),AVERAGE(INDEX(E:E,ROW()-49):E577))</f>
        <v/>
      </c>
      <c r="J577" s="211">
        <f>IF(ROW()&lt;201,NA(),AVERAGE(INDEX(E:E,ROW()-199):E577))</f>
        <v/>
      </c>
      <c r="K577" s="341">
        <f>IF(ROW()&lt;22,NA(),_xlfn.STDEV.S(INDEX(H:H,ROW()-19):H577)*SQRT(252))</f>
        <v/>
      </c>
      <c r="L577" s="426" cm="1">
        <f t="array" ref="L577">IF(ROW()&lt;17,NA(),_xlfn.LET(_xlpm.d,INDEX(E:E,ROW()-13):E577-INDEX(E:E,ROW()-14):INDEX(E:E,ROW()-1),_xlpm.g,SUM(IF(_xlpm.d&gt;0,_xlpm.d,0)),_xlpm.l,-SUM(IF(_xlpm.d&lt;0,_xlpm.d,0)),IF(_xlpm.l=0,100,100-100/(1+_xlpm.g/_xlpm.l))))</f>
        <v/>
      </c>
      <c r="M577" s="211">
        <f>MAX($E$2:E577)</f>
        <v/>
      </c>
      <c r="N577" s="341">
        <f>E577/M577-1</f>
        <v/>
      </c>
    </row>
    <row r="578">
      <c r="A578" s="424" t="n">
        <v>45301</v>
      </c>
      <c r="B578" s="425" t="n">
        <v>96.10206902511223</v>
      </c>
      <c r="C578" s="425" t="n">
        <v>97.16893334907688</v>
      </c>
      <c r="D578" s="425" t="n">
        <v>95.80259846294568</v>
      </c>
      <c r="E578" s="425" t="n">
        <v>97.11277770996094</v>
      </c>
      <c r="F578" s="207" t="n">
        <v>6784700</v>
      </c>
      <c r="G578" s="208" t="n">
        <v>0.005655475804245524</v>
      </c>
      <c r="H578" s="209" cm="1">
        <f t="array" ref="H578">IF(ROW()&lt;3,"",E578/INDEX(E:E,ROW()-1)-1)</f>
        <v/>
      </c>
      <c r="I578" s="211">
        <f>IF(ROW()&lt;51,NA(),AVERAGE(INDEX(E:E,ROW()-49):E578))</f>
        <v/>
      </c>
      <c r="J578" s="211">
        <f>IF(ROW()&lt;201,NA(),AVERAGE(INDEX(E:E,ROW()-199):E578))</f>
        <v/>
      </c>
      <c r="K578" s="341">
        <f>IF(ROW()&lt;22,NA(),_xlfn.STDEV.S(INDEX(H:H,ROW()-19):H578)*SQRT(252))</f>
        <v/>
      </c>
      <c r="L578" s="426" cm="1">
        <f t="array" ref="L578">IF(ROW()&lt;17,NA(),_xlfn.LET(_xlpm.d,INDEX(E:E,ROW()-13):E578-INDEX(E:E,ROW()-14):INDEX(E:E,ROW()-1),_xlpm.g,SUM(IF(_xlpm.d&gt;0,_xlpm.d,0)),_xlpm.l,-SUM(IF(_xlpm.d&lt;0,_xlpm.d,0)),IF(_xlpm.l=0,100,100-100/(1+_xlpm.g/_xlpm.l))))</f>
        <v/>
      </c>
      <c r="M578" s="211">
        <f>MAX($E$2:E578)</f>
        <v/>
      </c>
      <c r="N578" s="341">
        <f>E578/M578-1</f>
        <v/>
      </c>
    </row>
    <row r="579">
      <c r="A579" s="424" t="n">
        <v>45302</v>
      </c>
      <c r="B579" s="425" t="n">
        <v>97.53392532897593</v>
      </c>
      <c r="C579" s="425" t="n">
        <v>99.20909145437376</v>
      </c>
      <c r="D579" s="425" t="n">
        <v>97.07536253396071</v>
      </c>
      <c r="E579" s="425" t="n">
        <v>99.10614776611328</v>
      </c>
      <c r="F579" s="207" t="n">
        <v>9537700</v>
      </c>
      <c r="G579" s="208" t="n">
        <v>-0.0004408414397302218</v>
      </c>
      <c r="H579" s="209" cm="1">
        <f t="array" ref="H579">IF(ROW()&lt;3,"",E579/INDEX(E:E,ROW()-1)-1)</f>
        <v/>
      </c>
      <c r="I579" s="211">
        <f>IF(ROW()&lt;51,NA(),AVERAGE(INDEX(E:E,ROW()-49):E579))</f>
        <v/>
      </c>
      <c r="J579" s="211">
        <f>IF(ROW()&lt;201,NA(),AVERAGE(INDEX(E:E,ROW()-199):E579))</f>
        <v/>
      </c>
      <c r="K579" s="341">
        <f>IF(ROW()&lt;22,NA(),_xlfn.STDEV.S(INDEX(H:H,ROW()-19):H579)*SQRT(252))</f>
        <v/>
      </c>
      <c r="L579" s="426" cm="1">
        <f t="array" ref="L579">IF(ROW()&lt;17,NA(),_xlfn.LET(_xlpm.d,INDEX(E:E,ROW()-13):E579-INDEX(E:E,ROW()-14):INDEX(E:E,ROW()-1),_xlpm.g,SUM(IF(_xlpm.d&gt;0,_xlpm.d,0)),_xlpm.l,-SUM(IF(_xlpm.d&lt;0,_xlpm.d,0)),IF(_xlpm.l=0,100,100-100/(1+_xlpm.g/_xlpm.l))))</f>
        <v/>
      </c>
      <c r="M579" s="211">
        <f>MAX($E$2:E579)</f>
        <v/>
      </c>
      <c r="N579" s="341">
        <f>E579/M579-1</f>
        <v/>
      </c>
    </row>
    <row r="580">
      <c r="A580" s="424" t="n">
        <v>45303</v>
      </c>
      <c r="B580" s="425" t="n">
        <v>99.19970510711943</v>
      </c>
      <c r="C580" s="425" t="n">
        <v>99.49917562939235</v>
      </c>
      <c r="D580" s="425" t="n">
        <v>98.00182301802771</v>
      </c>
      <c r="E580" s="425" t="n">
        <v>98.32000732421875</v>
      </c>
      <c r="F580" s="207" t="n">
        <v>6680900</v>
      </c>
      <c r="G580" s="208" t="n">
        <v>0.0006929807481161898</v>
      </c>
      <c r="H580" s="209" cm="1">
        <f t="array" ref="H580">IF(ROW()&lt;3,"",E580/INDEX(E:E,ROW()-1)-1)</f>
        <v/>
      </c>
      <c r="I580" s="211">
        <f>IF(ROW()&lt;51,NA(),AVERAGE(INDEX(E:E,ROW()-49):E580))</f>
        <v/>
      </c>
      <c r="J580" s="211">
        <f>IF(ROW()&lt;201,NA(),AVERAGE(INDEX(E:E,ROW()-199):E580))</f>
        <v/>
      </c>
      <c r="K580" s="341">
        <f>IF(ROW()&lt;22,NA(),_xlfn.STDEV.S(INDEX(H:H,ROW()-19):H580)*SQRT(252))</f>
        <v/>
      </c>
      <c r="L580" s="426" cm="1">
        <f t="array" ref="L580">IF(ROW()&lt;17,NA(),_xlfn.LET(_xlpm.d,INDEX(E:E,ROW()-13):E580-INDEX(E:E,ROW()-14):INDEX(E:E,ROW()-1),_xlpm.g,SUM(IF(_xlpm.d&gt;0,_xlpm.d,0)),_xlpm.l,-SUM(IF(_xlpm.d&lt;0,_xlpm.d,0)),IF(_xlpm.l=0,100,100-100/(1+_xlpm.g/_xlpm.l))))</f>
        <v/>
      </c>
      <c r="M580" s="211">
        <f>MAX($E$2:E580)</f>
        <v/>
      </c>
      <c r="N580" s="341">
        <f>E580/M580-1</f>
        <v/>
      </c>
    </row>
    <row r="581">
      <c r="A581" s="424" t="n">
        <v>45307</v>
      </c>
      <c r="B581" s="425" t="n">
        <v>97.27187016335041</v>
      </c>
      <c r="C581" s="425" t="n">
        <v>97.53390599427139</v>
      </c>
      <c r="D581" s="425" t="n">
        <v>94.85738490996559</v>
      </c>
      <c r="E581" s="425" t="n">
        <v>95.19429016113281</v>
      </c>
      <c r="F581" s="207" t="n">
        <v>10547900</v>
      </c>
      <c r="G581" s="208" t="n">
        <v>-0.003671365301078811</v>
      </c>
      <c r="H581" s="209" cm="1">
        <f t="array" ref="H581">IF(ROW()&lt;3,"",E581/INDEX(E:E,ROW()-1)-1)</f>
        <v/>
      </c>
      <c r="I581" s="211">
        <f>IF(ROW()&lt;51,NA(),AVERAGE(INDEX(E:E,ROW()-49):E581))</f>
        <v/>
      </c>
      <c r="J581" s="211">
        <f>IF(ROW()&lt;201,NA(),AVERAGE(INDEX(E:E,ROW()-199):E581))</f>
        <v/>
      </c>
      <c r="K581" s="341">
        <f>IF(ROW()&lt;22,NA(),_xlfn.STDEV.S(INDEX(H:H,ROW()-19):H581)*SQRT(252))</f>
        <v/>
      </c>
      <c r="L581" s="426" cm="1">
        <f t="array" ref="L581">IF(ROW()&lt;17,NA(),_xlfn.LET(_xlpm.d,INDEX(E:E,ROW()-13):E581-INDEX(E:E,ROW()-14):INDEX(E:E,ROW()-1),_xlpm.g,SUM(IF(_xlpm.d&gt;0,_xlpm.d,0)),_xlpm.l,-SUM(IF(_xlpm.d&lt;0,_xlpm.d,0)),IF(_xlpm.l=0,100,100-100/(1+_xlpm.g/_xlpm.l))))</f>
        <v/>
      </c>
      <c r="M581" s="211">
        <f>MAX($E$2:E581)</f>
        <v/>
      </c>
      <c r="N581" s="341">
        <f>E581/M581-1</f>
        <v/>
      </c>
    </row>
    <row r="582">
      <c r="A582" s="424" t="n">
        <v>45308</v>
      </c>
      <c r="B582" s="425" t="n">
        <v>94.56727569325076</v>
      </c>
      <c r="C582" s="425" t="n">
        <v>94.81059060135711</v>
      </c>
      <c r="D582" s="425" t="n">
        <v>93.80923530124585</v>
      </c>
      <c r="E582" s="425" t="n">
        <v>94.35202789306641</v>
      </c>
      <c r="F582" s="207" t="n">
        <v>8226200</v>
      </c>
      <c r="G582" s="208" t="n">
        <v>-0.005558563129613558</v>
      </c>
      <c r="H582" s="209" cm="1">
        <f t="array" ref="H582">IF(ROW()&lt;3,"",E582/INDEX(E:E,ROW()-1)-1)</f>
        <v/>
      </c>
      <c r="I582" s="211">
        <f>IF(ROW()&lt;51,NA(),AVERAGE(INDEX(E:E,ROW()-49):E582))</f>
        <v/>
      </c>
      <c r="J582" s="211">
        <f>IF(ROW()&lt;201,NA(),AVERAGE(INDEX(E:E,ROW()-199):E582))</f>
        <v/>
      </c>
      <c r="K582" s="341">
        <f>IF(ROW()&lt;22,NA(),_xlfn.STDEV.S(INDEX(H:H,ROW()-19):H582)*SQRT(252))</f>
        <v/>
      </c>
      <c r="L582" s="426" cm="1">
        <f t="array" ref="L582">IF(ROW()&lt;17,NA(),_xlfn.LET(_xlpm.d,INDEX(E:E,ROW()-13):E582-INDEX(E:E,ROW()-14):INDEX(E:E,ROW()-1),_xlpm.g,SUM(IF(_xlpm.d&gt;0,_xlpm.d,0)),_xlpm.l,-SUM(IF(_xlpm.d&lt;0,_xlpm.d,0)),IF(_xlpm.l=0,100,100-100/(1+_xlpm.g/_xlpm.l))))</f>
        <v/>
      </c>
      <c r="M582" s="211">
        <f>MAX($E$2:E582)</f>
        <v/>
      </c>
      <c r="N582" s="341">
        <f>E582/M582-1</f>
        <v/>
      </c>
    </row>
    <row r="583">
      <c r="A583" s="424" t="n">
        <v>45309</v>
      </c>
      <c r="B583" s="425" t="n">
        <v>94.52046580876417</v>
      </c>
      <c r="C583" s="425" t="n">
        <v>94.92287995869611</v>
      </c>
      <c r="D583" s="425" t="n">
        <v>93.65012856076905</v>
      </c>
      <c r="E583" s="425" t="n">
        <v>94.46431732177734</v>
      </c>
      <c r="F583" s="207" t="n">
        <v>8852400</v>
      </c>
      <c r="G583" s="208" t="n">
        <v>0.008892671483647252</v>
      </c>
      <c r="H583" s="209" cm="1">
        <f t="array" ref="H583">IF(ROW()&lt;3,"",E583/INDEX(E:E,ROW()-1)-1)</f>
        <v/>
      </c>
      <c r="I583" s="211">
        <f>IF(ROW()&lt;51,NA(),AVERAGE(INDEX(E:E,ROW()-49):E583))</f>
        <v/>
      </c>
      <c r="J583" s="211">
        <f>IF(ROW()&lt;201,NA(),AVERAGE(INDEX(E:E,ROW()-199):E583))</f>
        <v/>
      </c>
      <c r="K583" s="341">
        <f>IF(ROW()&lt;22,NA(),_xlfn.STDEV.S(INDEX(H:H,ROW()-19):H583)*SQRT(252))</f>
        <v/>
      </c>
      <c r="L583" s="426" cm="1">
        <f t="array" ref="L583">IF(ROW()&lt;17,NA(),_xlfn.LET(_xlpm.d,INDEX(E:E,ROW()-13):E583-INDEX(E:E,ROW()-14):INDEX(E:E,ROW()-1),_xlpm.g,SUM(IF(_xlpm.d&gt;0,_xlpm.d,0)),_xlpm.l,-SUM(IF(_xlpm.d&lt;0,_xlpm.d,0)),IF(_xlpm.l=0,100,100-100/(1+_xlpm.g/_xlpm.l))))</f>
        <v/>
      </c>
      <c r="M583" s="211">
        <f>MAX($E$2:E583)</f>
        <v/>
      </c>
      <c r="N583" s="341">
        <f>E583/M583-1</f>
        <v/>
      </c>
    </row>
    <row r="584">
      <c r="A584" s="424" t="n">
        <v>45310</v>
      </c>
      <c r="B584" s="425" t="n">
        <v>94.53919726368781</v>
      </c>
      <c r="C584" s="425" t="n">
        <v>95.62478248129814</v>
      </c>
      <c r="D584" s="425" t="n">
        <v>93.27580609073462</v>
      </c>
      <c r="E584" s="425" t="n">
        <v>95.25044250488281</v>
      </c>
      <c r="F584" s="207" t="n">
        <v>8517200</v>
      </c>
      <c r="G584" s="208" t="n">
        <v>0.0124662838335694</v>
      </c>
      <c r="H584" s="209" cm="1">
        <f t="array" ref="H584">IF(ROW()&lt;3,"",E584/INDEX(E:E,ROW()-1)-1)</f>
        <v/>
      </c>
      <c r="I584" s="211">
        <f>IF(ROW()&lt;51,NA(),AVERAGE(INDEX(E:E,ROW()-49):E584))</f>
        <v/>
      </c>
      <c r="J584" s="211">
        <f>IF(ROW()&lt;201,NA(),AVERAGE(INDEX(E:E,ROW()-199):E584))</f>
        <v/>
      </c>
      <c r="K584" s="341">
        <f>IF(ROW()&lt;22,NA(),_xlfn.STDEV.S(INDEX(H:H,ROW()-19):H584)*SQRT(252))</f>
        <v/>
      </c>
      <c r="L584" s="426" cm="1">
        <f t="array" ref="L584">IF(ROW()&lt;17,NA(),_xlfn.LET(_xlpm.d,INDEX(E:E,ROW()-13):E584-INDEX(E:E,ROW()-14):INDEX(E:E,ROW()-1),_xlpm.g,SUM(IF(_xlpm.d&gt;0,_xlpm.d,0)),_xlpm.l,-SUM(IF(_xlpm.d&lt;0,_xlpm.d,0)),IF(_xlpm.l=0,100,100-100/(1+_xlpm.g/_xlpm.l))))</f>
        <v/>
      </c>
      <c r="M584" s="211">
        <f>MAX($E$2:E584)</f>
        <v/>
      </c>
      <c r="N584" s="341">
        <f>E584/M584-1</f>
        <v/>
      </c>
    </row>
    <row r="585">
      <c r="A585" s="424" t="n">
        <v>45313</v>
      </c>
      <c r="B585" s="425" t="n">
        <v>95.22237073805442</v>
      </c>
      <c r="C585" s="425" t="n">
        <v>95.27851923700078</v>
      </c>
      <c r="D585" s="425" t="n">
        <v>93.66886229441897</v>
      </c>
      <c r="E585" s="425" t="n">
        <v>94.10871124267578</v>
      </c>
      <c r="F585" s="207" t="n">
        <v>9897400</v>
      </c>
      <c r="G585" s="208" t="n">
        <v>0.002114280368576305</v>
      </c>
      <c r="H585" s="209" cm="1">
        <f t="array" ref="H585">IF(ROW()&lt;3,"",E585/INDEX(E:E,ROW()-1)-1)</f>
        <v/>
      </c>
      <c r="I585" s="211">
        <f>IF(ROW()&lt;51,NA(),AVERAGE(INDEX(E:E,ROW()-49):E585))</f>
        <v/>
      </c>
      <c r="J585" s="211">
        <f>IF(ROW()&lt;201,NA(),AVERAGE(INDEX(E:E,ROW()-199):E585))</f>
        <v/>
      </c>
      <c r="K585" s="341">
        <f>IF(ROW()&lt;22,NA(),_xlfn.STDEV.S(INDEX(H:H,ROW()-19):H585)*SQRT(252))</f>
        <v/>
      </c>
      <c r="L585" s="426" cm="1">
        <f t="array" ref="L585">IF(ROW()&lt;17,NA(),_xlfn.LET(_xlpm.d,INDEX(E:E,ROW()-13):E585-INDEX(E:E,ROW()-14):INDEX(E:E,ROW()-1),_xlpm.g,SUM(IF(_xlpm.d&gt;0,_xlpm.d,0)),_xlpm.l,-SUM(IF(_xlpm.d&lt;0,_xlpm.d,0)),IF(_xlpm.l=0,100,100-100/(1+_xlpm.g/_xlpm.l))))</f>
        <v/>
      </c>
      <c r="M585" s="211">
        <f>MAX($E$2:E585)</f>
        <v/>
      </c>
      <c r="N585" s="341">
        <f>E585/M585-1</f>
        <v/>
      </c>
    </row>
    <row r="586">
      <c r="A586" s="424" t="n">
        <v>45314</v>
      </c>
      <c r="B586" s="425" t="n">
        <v>95.11005706318431</v>
      </c>
      <c r="C586" s="425" t="n">
        <v>95.58734067619351</v>
      </c>
      <c r="D586" s="425" t="n">
        <v>94.73572425448914</v>
      </c>
      <c r="E586" s="425" t="n">
        <v>95.36273956298828</v>
      </c>
      <c r="F586" s="207" t="n">
        <v>8208000</v>
      </c>
      <c r="G586" s="208" t="n">
        <v>0.002916549867337803</v>
      </c>
      <c r="H586" s="209" cm="1">
        <f t="array" ref="H586">IF(ROW()&lt;3,"",E586/INDEX(E:E,ROW()-1)-1)</f>
        <v/>
      </c>
      <c r="I586" s="211">
        <f>IF(ROW()&lt;51,NA(),AVERAGE(INDEX(E:E,ROW()-49):E586))</f>
        <v/>
      </c>
      <c r="J586" s="211">
        <f>IF(ROW()&lt;201,NA(),AVERAGE(INDEX(E:E,ROW()-199):E586))</f>
        <v/>
      </c>
      <c r="K586" s="341">
        <f>IF(ROW()&lt;22,NA(),_xlfn.STDEV.S(INDEX(H:H,ROW()-19):H586)*SQRT(252))</f>
        <v/>
      </c>
      <c r="L586" s="426" cm="1">
        <f t="array" ref="L586">IF(ROW()&lt;17,NA(),_xlfn.LET(_xlpm.d,INDEX(E:E,ROW()-13):E586-INDEX(E:E,ROW()-14):INDEX(E:E,ROW()-1),_xlpm.g,SUM(IF(_xlpm.d&gt;0,_xlpm.d,0)),_xlpm.l,-SUM(IF(_xlpm.d&lt;0,_xlpm.d,0)),IF(_xlpm.l=0,100,100-100/(1+_xlpm.g/_xlpm.l))))</f>
        <v/>
      </c>
      <c r="M586" s="211">
        <f>MAX($E$2:E586)</f>
        <v/>
      </c>
      <c r="N586" s="341">
        <f>E586/M586-1</f>
        <v/>
      </c>
    </row>
    <row r="587">
      <c r="A587" s="424" t="n">
        <v>45315</v>
      </c>
      <c r="B587" s="425" t="n">
        <v>95.25042793078127</v>
      </c>
      <c r="C587" s="425" t="n">
        <v>95.26914885370523</v>
      </c>
      <c r="D587" s="425" t="n">
        <v>94.23035896956819</v>
      </c>
      <c r="E587" s="425" t="n">
        <v>94.29586791992188</v>
      </c>
      <c r="F587" s="207" t="n">
        <v>7879300</v>
      </c>
      <c r="G587" s="208" t="n">
        <v>0.001093117532592558</v>
      </c>
      <c r="H587" s="209" cm="1">
        <f t="array" ref="H587">IF(ROW()&lt;3,"",E587/INDEX(E:E,ROW()-1)-1)</f>
        <v/>
      </c>
      <c r="I587" s="211">
        <f>IF(ROW()&lt;51,NA(),AVERAGE(INDEX(E:E,ROW()-49):E587))</f>
        <v/>
      </c>
      <c r="J587" s="211">
        <f>IF(ROW()&lt;201,NA(),AVERAGE(INDEX(E:E,ROW()-199):E587))</f>
        <v/>
      </c>
      <c r="K587" s="341">
        <f>IF(ROW()&lt;22,NA(),_xlfn.STDEV.S(INDEX(H:H,ROW()-19):H587)*SQRT(252))</f>
        <v/>
      </c>
      <c r="L587" s="426" cm="1">
        <f t="array" ref="L587">IF(ROW()&lt;17,NA(),_xlfn.LET(_xlpm.d,INDEX(E:E,ROW()-13):E587-INDEX(E:E,ROW()-14):INDEX(E:E,ROW()-1),_xlpm.g,SUM(IF(_xlpm.d&gt;0,_xlpm.d,0)),_xlpm.l,-SUM(IF(_xlpm.d&lt;0,_xlpm.d,0)),IF(_xlpm.l=0,100,100-100/(1+_xlpm.g/_xlpm.l))))</f>
        <v/>
      </c>
      <c r="M587" s="211">
        <f>MAX($E$2:E587)</f>
        <v/>
      </c>
      <c r="N587" s="341">
        <f>E587/M587-1</f>
        <v/>
      </c>
    </row>
    <row r="588">
      <c r="A588" s="424" t="n">
        <v>45316</v>
      </c>
      <c r="B588" s="425" t="n">
        <v>95.01648206624044</v>
      </c>
      <c r="C588" s="425" t="n">
        <v>95.21300894975886</v>
      </c>
      <c r="D588" s="425" t="n">
        <v>93.66886099075276</v>
      </c>
      <c r="E588" s="425" t="n">
        <v>94.30523681640625</v>
      </c>
      <c r="F588" s="207" t="n">
        <v>10063700</v>
      </c>
      <c r="G588" s="208" t="n">
        <v>0.005438971990336272</v>
      </c>
      <c r="H588" s="209" cm="1">
        <f t="array" ref="H588">IF(ROW()&lt;3,"",E588/INDEX(E:E,ROW()-1)-1)</f>
        <v/>
      </c>
      <c r="I588" s="211">
        <f>IF(ROW()&lt;51,NA(),AVERAGE(INDEX(E:E,ROW()-49):E588))</f>
        <v/>
      </c>
      <c r="J588" s="211">
        <f>IF(ROW()&lt;201,NA(),AVERAGE(INDEX(E:E,ROW()-199):E588))</f>
        <v/>
      </c>
      <c r="K588" s="341">
        <f>IF(ROW()&lt;22,NA(),_xlfn.STDEV.S(INDEX(H:H,ROW()-19):H588)*SQRT(252))</f>
        <v/>
      </c>
      <c r="L588" s="426" cm="1">
        <f t="array" ref="L588">IF(ROW()&lt;17,NA(),_xlfn.LET(_xlpm.d,INDEX(E:E,ROW()-13):E588-INDEX(E:E,ROW()-14):INDEX(E:E,ROW()-1),_xlpm.g,SUM(IF(_xlpm.d&gt;0,_xlpm.d,0)),_xlpm.l,-SUM(IF(_xlpm.d&lt;0,_xlpm.d,0)),IF(_xlpm.l=0,100,100-100/(1+_xlpm.g/_xlpm.l))))</f>
        <v/>
      </c>
      <c r="M588" s="211">
        <f>MAX($E$2:E588)</f>
        <v/>
      </c>
      <c r="N588" s="341">
        <f>E588/M588-1</f>
        <v/>
      </c>
    </row>
    <row r="589">
      <c r="A589" s="424" t="n">
        <v>45317</v>
      </c>
      <c r="B589" s="425" t="n">
        <v>95.05391179541309</v>
      </c>
      <c r="C589" s="425" t="n">
        <v>96.64484770617611</v>
      </c>
      <c r="D589" s="425" t="n">
        <v>94.72636700671963</v>
      </c>
      <c r="E589" s="425" t="n">
        <v>96.15821075439453</v>
      </c>
      <c r="F589" s="207" t="n">
        <v>9735800</v>
      </c>
      <c r="G589" s="208" t="n">
        <v>-0.00127038881375896</v>
      </c>
      <c r="H589" s="209" cm="1">
        <f t="array" ref="H589">IF(ROW()&lt;3,"",E589/INDEX(E:E,ROW()-1)-1)</f>
        <v/>
      </c>
      <c r="I589" s="211">
        <f>IF(ROW()&lt;51,NA(),AVERAGE(INDEX(E:E,ROW()-49):E589))</f>
        <v/>
      </c>
      <c r="J589" s="211">
        <f>IF(ROW()&lt;201,NA(),AVERAGE(INDEX(E:E,ROW()-199):E589))</f>
        <v/>
      </c>
      <c r="K589" s="341">
        <f>IF(ROW()&lt;22,NA(),_xlfn.STDEV.S(INDEX(H:H,ROW()-19):H589)*SQRT(252))</f>
        <v/>
      </c>
      <c r="L589" s="426" cm="1">
        <f t="array" ref="L589">IF(ROW()&lt;17,NA(),_xlfn.LET(_xlpm.d,INDEX(E:E,ROW()-13):E589-INDEX(E:E,ROW()-14):INDEX(E:E,ROW()-1),_xlpm.g,SUM(IF(_xlpm.d&gt;0,_xlpm.d,0)),_xlpm.l,-SUM(IF(_xlpm.d&lt;0,_xlpm.d,0)),IF(_xlpm.l=0,100,100-100/(1+_xlpm.g/_xlpm.l))))</f>
        <v/>
      </c>
      <c r="M589" s="211">
        <f>MAX($E$2:E589)</f>
        <v/>
      </c>
      <c r="N589" s="341">
        <f>E589/M589-1</f>
        <v/>
      </c>
    </row>
    <row r="590">
      <c r="A590" s="424" t="n">
        <v>45320</v>
      </c>
      <c r="B590" s="425" t="n">
        <v>96.27986717760965</v>
      </c>
      <c r="C590" s="425" t="n">
        <v>97.33737809257639</v>
      </c>
      <c r="D590" s="425" t="n">
        <v>94.83866298283169</v>
      </c>
      <c r="E590" s="425" t="n">
        <v>97.21571350097656</v>
      </c>
      <c r="F590" s="207" t="n">
        <v>8860800</v>
      </c>
      <c r="G590" s="208" t="n">
        <v>0.007919251234582481</v>
      </c>
      <c r="H590" s="209" cm="1">
        <f t="array" ref="H590">IF(ROW()&lt;3,"",E590/INDEX(E:E,ROW()-1)-1)</f>
        <v/>
      </c>
      <c r="I590" s="211">
        <f>IF(ROW()&lt;51,NA(),AVERAGE(INDEX(E:E,ROW()-49):E590))</f>
        <v/>
      </c>
      <c r="J590" s="211">
        <f>IF(ROW()&lt;201,NA(),AVERAGE(INDEX(E:E,ROW()-199):E590))</f>
        <v/>
      </c>
      <c r="K590" s="341">
        <f>IF(ROW()&lt;22,NA(),_xlfn.STDEV.S(INDEX(H:H,ROW()-19):H590)*SQRT(252))</f>
        <v/>
      </c>
      <c r="L590" s="426" cm="1">
        <f t="array" ref="L590">IF(ROW()&lt;17,NA(),_xlfn.LET(_xlpm.d,INDEX(E:E,ROW()-13):E590-INDEX(E:E,ROW()-14):INDEX(E:E,ROW()-1),_xlpm.g,SUM(IF(_xlpm.d&gt;0,_xlpm.d,0)),_xlpm.l,-SUM(IF(_xlpm.d&lt;0,_xlpm.d,0)),IF(_xlpm.l=0,100,100-100/(1+_xlpm.g/_xlpm.l))))</f>
        <v/>
      </c>
      <c r="M590" s="211">
        <f>MAX($E$2:E590)</f>
        <v/>
      </c>
      <c r="N590" s="341">
        <f>E590/M590-1</f>
        <v/>
      </c>
    </row>
    <row r="591">
      <c r="A591" s="424" t="n">
        <v>45321</v>
      </c>
      <c r="B591" s="425" t="n">
        <v>96.71036812316882</v>
      </c>
      <c r="C591" s="425" t="n">
        <v>97.61814031649652</v>
      </c>
      <c r="D591" s="425" t="n">
        <v>96.51384122666619</v>
      </c>
      <c r="E591" s="425" t="n">
        <v>97.49648284912109</v>
      </c>
      <c r="F591" s="207" t="n">
        <v>7542800</v>
      </c>
      <c r="G591" s="208" t="n">
        <v>-0.0007734241306917022</v>
      </c>
      <c r="H591" s="209" cm="1">
        <f t="array" ref="H591">IF(ROW()&lt;3,"",E591/INDEX(E:E,ROW()-1)-1)</f>
        <v/>
      </c>
      <c r="I591" s="211">
        <f>IF(ROW()&lt;51,NA(),AVERAGE(INDEX(E:E,ROW()-49):E591))</f>
        <v/>
      </c>
      <c r="J591" s="211">
        <f>IF(ROW()&lt;201,NA(),AVERAGE(INDEX(E:E,ROW()-199):E591))</f>
        <v/>
      </c>
      <c r="K591" s="341">
        <f>IF(ROW()&lt;22,NA(),_xlfn.STDEV.S(INDEX(H:H,ROW()-19):H591)*SQRT(252))</f>
        <v/>
      </c>
      <c r="L591" s="426" cm="1">
        <f t="array" ref="L591">IF(ROW()&lt;17,NA(),_xlfn.LET(_xlpm.d,INDEX(E:E,ROW()-13):E591-INDEX(E:E,ROW()-14):INDEX(E:E,ROW()-1),_xlpm.g,SUM(IF(_xlpm.d&gt;0,_xlpm.d,0)),_xlpm.l,-SUM(IF(_xlpm.d&lt;0,_xlpm.d,0)),IF(_xlpm.l=0,100,100-100/(1+_xlpm.g/_xlpm.l))))</f>
        <v/>
      </c>
      <c r="M591" s="211">
        <f>MAX($E$2:E591)</f>
        <v/>
      </c>
      <c r="N591" s="341">
        <f>E591/M591-1</f>
        <v/>
      </c>
    </row>
    <row r="592">
      <c r="A592" s="424" t="n">
        <v>45322</v>
      </c>
      <c r="B592" s="425" t="n">
        <v>97.41225170330095</v>
      </c>
      <c r="C592" s="425" t="n">
        <v>97.6087857372172</v>
      </c>
      <c r="D592" s="425" t="n">
        <v>94.63279379713876</v>
      </c>
      <c r="E592" s="425" t="n">
        <v>95.01648712158203</v>
      </c>
      <c r="F592" s="207" t="n">
        <v>11547600</v>
      </c>
      <c r="G592" s="208" t="n">
        <v>-0.01631733238981647</v>
      </c>
      <c r="H592" s="209" cm="1">
        <f t="array" ref="H592">IF(ROW()&lt;3,"",E592/INDEX(E:E,ROW()-1)-1)</f>
        <v/>
      </c>
      <c r="I592" s="211">
        <f>IF(ROW()&lt;51,NA(),AVERAGE(INDEX(E:E,ROW()-49):E592))</f>
        <v/>
      </c>
      <c r="J592" s="211">
        <f>IF(ROW()&lt;201,NA(),AVERAGE(INDEX(E:E,ROW()-199):E592))</f>
        <v/>
      </c>
      <c r="K592" s="341">
        <f>IF(ROW()&lt;22,NA(),_xlfn.STDEV.S(INDEX(H:H,ROW()-19):H592)*SQRT(252))</f>
        <v/>
      </c>
      <c r="L592" s="426" cm="1">
        <f t="array" ref="L592">IF(ROW()&lt;17,NA(),_xlfn.LET(_xlpm.d,INDEX(E:E,ROW()-13):E592-INDEX(E:E,ROW()-14):INDEX(E:E,ROW()-1),_xlpm.g,SUM(IF(_xlpm.d&gt;0,_xlpm.d,0)),_xlpm.l,-SUM(IF(_xlpm.d&lt;0,_xlpm.d,0)),IF(_xlpm.l=0,100,100-100/(1+_xlpm.g/_xlpm.l))))</f>
        <v/>
      </c>
      <c r="M592" s="211">
        <f>MAX($E$2:E592)</f>
        <v/>
      </c>
      <c r="N592" s="341">
        <f>E592/M592-1</f>
        <v/>
      </c>
    </row>
    <row r="593">
      <c r="A593" s="424" t="n">
        <v>45323</v>
      </c>
      <c r="B593" s="425" t="n">
        <v>95.36275315920334</v>
      </c>
      <c r="C593" s="425" t="n">
        <v>95.6902979834812</v>
      </c>
      <c r="D593" s="425" t="n">
        <v>94.15551040120064</v>
      </c>
      <c r="E593" s="425" t="n">
        <v>95.23173522949219</v>
      </c>
      <c r="F593" s="207" t="n">
        <v>7666700</v>
      </c>
      <c r="G593" s="208" t="n">
        <v>0.01308824253110674</v>
      </c>
      <c r="H593" s="209" cm="1">
        <f t="array" ref="H593">IF(ROW()&lt;3,"",E593/INDEX(E:E,ROW()-1)-1)</f>
        <v/>
      </c>
      <c r="I593" s="211">
        <f>IF(ROW()&lt;51,NA(),AVERAGE(INDEX(E:E,ROW()-49):E593))</f>
        <v/>
      </c>
      <c r="J593" s="211">
        <f>IF(ROW()&lt;201,NA(),AVERAGE(INDEX(E:E,ROW()-199):E593))</f>
        <v/>
      </c>
      <c r="K593" s="341">
        <f>IF(ROW()&lt;22,NA(),_xlfn.STDEV.S(INDEX(H:H,ROW()-19):H593)*SQRT(252))</f>
        <v/>
      </c>
      <c r="L593" s="426" cm="1">
        <f t="array" ref="L593">IF(ROW()&lt;17,NA(),_xlfn.LET(_xlpm.d,INDEX(E:E,ROW()-13):E593-INDEX(E:E,ROW()-14):INDEX(E:E,ROW()-1),_xlpm.g,SUM(IF(_xlpm.d&gt;0,_xlpm.d,0)),_xlpm.l,-SUM(IF(_xlpm.d&lt;0,_xlpm.d,0)),IF(_xlpm.l=0,100,100-100/(1+_xlpm.g/_xlpm.l))))</f>
        <v/>
      </c>
      <c r="M593" s="211">
        <f>MAX($E$2:E593)</f>
        <v/>
      </c>
      <c r="N593" s="341">
        <f>E593/M593-1</f>
        <v/>
      </c>
    </row>
    <row r="594">
      <c r="A594" s="424" t="n">
        <v>45324</v>
      </c>
      <c r="B594" s="425" t="n">
        <v>94.40817663759297</v>
      </c>
      <c r="C594" s="425" t="n">
        <v>94.90418119759606</v>
      </c>
      <c r="D594" s="425" t="n">
        <v>93.05120229440641</v>
      </c>
      <c r="E594" s="425" t="n">
        <v>94.24908447265625</v>
      </c>
      <c r="F594" s="207" t="n">
        <v>8966900</v>
      </c>
      <c r="G594" s="208" t="n">
        <v>0.01052734521841603</v>
      </c>
      <c r="H594" s="209" cm="1">
        <f t="array" ref="H594">IF(ROW()&lt;3,"",E594/INDEX(E:E,ROW()-1)-1)</f>
        <v/>
      </c>
      <c r="I594" s="211">
        <f>IF(ROW()&lt;51,NA(),AVERAGE(INDEX(E:E,ROW()-49):E594))</f>
        <v/>
      </c>
      <c r="J594" s="211">
        <f>IF(ROW()&lt;201,NA(),AVERAGE(INDEX(E:E,ROW()-199):E594))</f>
        <v/>
      </c>
      <c r="K594" s="341">
        <f>IF(ROW()&lt;22,NA(),_xlfn.STDEV.S(INDEX(H:H,ROW()-19):H594)*SQRT(252))</f>
        <v/>
      </c>
      <c r="L594" s="426" cm="1">
        <f t="array" ref="L594">IF(ROW()&lt;17,NA(),_xlfn.LET(_xlpm.d,INDEX(E:E,ROW()-13):E594-INDEX(E:E,ROW()-14):INDEX(E:E,ROW()-1),_xlpm.g,SUM(IF(_xlpm.d&gt;0,_xlpm.d,0)),_xlpm.l,-SUM(IF(_xlpm.d&lt;0,_xlpm.d,0)),IF(_xlpm.l=0,100,100-100/(1+_xlpm.g/_xlpm.l))))</f>
        <v/>
      </c>
      <c r="M594" s="211">
        <f>MAX($E$2:E594)</f>
        <v/>
      </c>
      <c r="N594" s="341">
        <f>E594/M594-1</f>
        <v/>
      </c>
    </row>
    <row r="595">
      <c r="A595" s="424" t="n">
        <v>45327</v>
      </c>
      <c r="B595" s="425" t="n">
        <v>94.05256528822969</v>
      </c>
      <c r="C595" s="425" t="n">
        <v>94.13678803892779</v>
      </c>
      <c r="D595" s="425" t="n">
        <v>92.69559083407762</v>
      </c>
      <c r="E595" s="425" t="n">
        <v>93.28517150878906</v>
      </c>
      <c r="F595" s="207" t="n">
        <v>10097900</v>
      </c>
      <c r="G595" s="208" t="n">
        <v>-0.003641248501646821</v>
      </c>
      <c r="H595" s="209" cm="1">
        <f t="array" ref="H595">IF(ROW()&lt;3,"",E595/INDEX(E:E,ROW()-1)-1)</f>
        <v/>
      </c>
      <c r="I595" s="211">
        <f>IF(ROW()&lt;51,NA(),AVERAGE(INDEX(E:E,ROW()-49):E595))</f>
        <v/>
      </c>
      <c r="J595" s="211">
        <f>IF(ROW()&lt;201,NA(),AVERAGE(INDEX(E:E,ROW()-199):E595))</f>
        <v/>
      </c>
      <c r="K595" s="341">
        <f>IF(ROW()&lt;22,NA(),_xlfn.STDEV.S(INDEX(H:H,ROW()-19):H595)*SQRT(252))</f>
        <v/>
      </c>
      <c r="L595" s="426" cm="1">
        <f t="array" ref="L595">IF(ROW()&lt;17,NA(),_xlfn.LET(_xlpm.d,INDEX(E:E,ROW()-13):E595-INDEX(E:E,ROW()-14):INDEX(E:E,ROW()-1),_xlpm.g,SUM(IF(_xlpm.d&gt;0,_xlpm.d,0)),_xlpm.l,-SUM(IF(_xlpm.d&lt;0,_xlpm.d,0)),IF(_xlpm.l=0,100,100-100/(1+_xlpm.g/_xlpm.l))))</f>
        <v/>
      </c>
      <c r="M595" s="211">
        <f>MAX($E$2:E595)</f>
        <v/>
      </c>
      <c r="N595" s="341">
        <f>E595/M595-1</f>
        <v/>
      </c>
    </row>
    <row r="596">
      <c r="A596" s="424" t="n">
        <v>45328</v>
      </c>
      <c r="B596" s="425" t="n">
        <v>93.11671594309234</v>
      </c>
      <c r="C596" s="425" t="n">
        <v>96.04591257775748</v>
      </c>
      <c r="D596" s="425" t="n">
        <v>92.77045020789996</v>
      </c>
      <c r="E596" s="425" t="n">
        <v>96.02719879150391</v>
      </c>
      <c r="F596" s="207" t="n">
        <v>11368600</v>
      </c>
      <c r="G596" s="208" t="n">
        <v>0.002903296995944382</v>
      </c>
      <c r="H596" s="209" cm="1">
        <f t="array" ref="H596">IF(ROW()&lt;3,"",E596/INDEX(E:E,ROW()-1)-1)</f>
        <v/>
      </c>
      <c r="I596" s="211">
        <f>IF(ROW()&lt;51,NA(),AVERAGE(INDEX(E:E,ROW()-49):E596))</f>
        <v/>
      </c>
      <c r="J596" s="211">
        <f>IF(ROW()&lt;201,NA(),AVERAGE(INDEX(E:E,ROW()-199):E596))</f>
        <v/>
      </c>
      <c r="K596" s="341">
        <f>IF(ROW()&lt;22,NA(),_xlfn.STDEV.S(INDEX(H:H,ROW()-19):H596)*SQRT(252))</f>
        <v/>
      </c>
      <c r="L596" s="426" cm="1">
        <f t="array" ref="L596">IF(ROW()&lt;17,NA(),_xlfn.LET(_xlpm.d,INDEX(E:E,ROW()-13):E596-INDEX(E:E,ROW()-14):INDEX(E:E,ROW()-1),_xlpm.g,SUM(IF(_xlpm.d&gt;0,_xlpm.d,0)),_xlpm.l,-SUM(IF(_xlpm.d&lt;0,_xlpm.d,0)),IF(_xlpm.l=0,100,100-100/(1+_xlpm.g/_xlpm.l))))</f>
        <v/>
      </c>
      <c r="M596" s="211">
        <f>MAX($E$2:E596)</f>
        <v/>
      </c>
      <c r="N596" s="341">
        <f>E596/M596-1</f>
        <v/>
      </c>
    </row>
    <row r="597">
      <c r="A597" s="424" t="n">
        <v>45329</v>
      </c>
      <c r="B597" s="425" t="n">
        <v>95.82131383549631</v>
      </c>
      <c r="C597" s="425" t="n">
        <v>97.64621148829058</v>
      </c>
      <c r="D597" s="425" t="n">
        <v>95.78387912211316</v>
      </c>
      <c r="E597" s="425" t="n">
        <v>97.13150024414062</v>
      </c>
      <c r="F597" s="207" t="n">
        <v>9447800</v>
      </c>
      <c r="G597" s="208" t="n">
        <v>0.008340472098269824</v>
      </c>
      <c r="H597" s="209" cm="1">
        <f t="array" ref="H597">IF(ROW()&lt;3,"",E597/INDEX(E:E,ROW()-1)-1)</f>
        <v/>
      </c>
      <c r="I597" s="211">
        <f>IF(ROW()&lt;51,NA(),AVERAGE(INDEX(E:E,ROW()-49):E597))</f>
        <v/>
      </c>
      <c r="J597" s="211">
        <f>IF(ROW()&lt;201,NA(),AVERAGE(INDEX(E:E,ROW()-199):E597))</f>
        <v/>
      </c>
      <c r="K597" s="341">
        <f>IF(ROW()&lt;22,NA(),_xlfn.STDEV.S(INDEX(H:H,ROW()-19):H597)*SQRT(252))</f>
        <v/>
      </c>
      <c r="L597" s="426" cm="1">
        <f t="array" ref="L597">IF(ROW()&lt;17,NA(),_xlfn.LET(_xlpm.d,INDEX(E:E,ROW()-13):E597-INDEX(E:E,ROW()-14):INDEX(E:E,ROW()-1),_xlpm.g,SUM(IF(_xlpm.d&gt;0,_xlpm.d,0)),_xlpm.l,-SUM(IF(_xlpm.d&lt;0,_xlpm.d,0)),IF(_xlpm.l=0,100,100-100/(1+_xlpm.g/_xlpm.l))))</f>
        <v/>
      </c>
      <c r="M597" s="211">
        <f>MAX($E$2:E597)</f>
        <v/>
      </c>
      <c r="N597" s="341">
        <f>E597/M597-1</f>
        <v/>
      </c>
    </row>
    <row r="598">
      <c r="A598" s="424" t="n">
        <v>45330</v>
      </c>
      <c r="B598" s="425" t="n">
        <v>97.73043976064648</v>
      </c>
      <c r="C598" s="425" t="n">
        <v>98.22643720986531</v>
      </c>
      <c r="D598" s="425" t="n">
        <v>96.43897430004226</v>
      </c>
      <c r="E598" s="425" t="n">
        <v>97.11277770996094</v>
      </c>
      <c r="F598" s="207" t="n">
        <v>6330400</v>
      </c>
      <c r="G598" s="208" t="n">
        <v>0.000441581975812122</v>
      </c>
      <c r="H598" s="209" cm="1">
        <f t="array" ref="H598">IF(ROW()&lt;3,"",E598/INDEX(E:E,ROW()-1)-1)</f>
        <v/>
      </c>
      <c r="I598" s="211">
        <f>IF(ROW()&lt;51,NA(),AVERAGE(INDEX(E:E,ROW()-49):E598))</f>
        <v/>
      </c>
      <c r="J598" s="211">
        <f>IF(ROW()&lt;201,NA(),AVERAGE(INDEX(E:E,ROW()-199):E598))</f>
        <v/>
      </c>
      <c r="K598" s="341">
        <f>IF(ROW()&lt;22,NA(),_xlfn.STDEV.S(INDEX(H:H,ROW()-19):H598)*SQRT(252))</f>
        <v/>
      </c>
      <c r="L598" s="426" cm="1">
        <f t="array" ref="L598">IF(ROW()&lt;17,NA(),_xlfn.LET(_xlpm.d,INDEX(E:E,ROW()-13):E598-INDEX(E:E,ROW()-14):INDEX(E:E,ROW()-1),_xlpm.g,SUM(IF(_xlpm.d&gt;0,_xlpm.d,0)),_xlpm.l,-SUM(IF(_xlpm.d&lt;0,_xlpm.d,0)),IF(_xlpm.l=0,100,100-100/(1+_xlpm.g/_xlpm.l))))</f>
        <v/>
      </c>
      <c r="M598" s="211">
        <f>MAX($E$2:E598)</f>
        <v/>
      </c>
      <c r="N598" s="341">
        <f>E598/M598-1</f>
        <v/>
      </c>
    </row>
    <row r="599">
      <c r="A599" s="424" t="n">
        <v>45331</v>
      </c>
      <c r="B599" s="425" t="n">
        <v>97.14085462056413</v>
      </c>
      <c r="C599" s="425" t="n">
        <v>98.2077188953383</v>
      </c>
      <c r="D599" s="425" t="n">
        <v>96.70100569080017</v>
      </c>
      <c r="E599" s="425" t="n">
        <v>97.79594421386719</v>
      </c>
      <c r="F599" s="207" t="n">
        <v>5449000</v>
      </c>
      <c r="G599" s="208" t="n">
        <v>0.005779457369023078</v>
      </c>
      <c r="H599" s="209" cm="1">
        <f t="array" ref="H599">IF(ROW()&lt;3,"",E599/INDEX(E:E,ROW()-1)-1)</f>
        <v/>
      </c>
      <c r="I599" s="211">
        <f>IF(ROW()&lt;51,NA(),AVERAGE(INDEX(E:E,ROW()-49):E599))</f>
        <v/>
      </c>
      <c r="J599" s="211">
        <f>IF(ROW()&lt;201,NA(),AVERAGE(INDEX(E:E,ROW()-199):E599))</f>
        <v/>
      </c>
      <c r="K599" s="341">
        <f>IF(ROW()&lt;22,NA(),_xlfn.STDEV.S(INDEX(H:H,ROW()-19):H599)*SQRT(252))</f>
        <v/>
      </c>
      <c r="L599" s="426" cm="1">
        <f t="array" ref="L599">IF(ROW()&lt;17,NA(),_xlfn.LET(_xlpm.d,INDEX(E:E,ROW()-13):E599-INDEX(E:E,ROW()-14):INDEX(E:E,ROW()-1),_xlpm.g,SUM(IF(_xlpm.d&gt;0,_xlpm.d,0)),_xlpm.l,-SUM(IF(_xlpm.d&lt;0,_xlpm.d,0)),IF(_xlpm.l=0,100,100-100/(1+_xlpm.g/_xlpm.l))))</f>
        <v/>
      </c>
      <c r="M599" s="211">
        <f>MAX($E$2:E599)</f>
        <v/>
      </c>
      <c r="N599" s="341">
        <f>E599/M599-1</f>
        <v/>
      </c>
    </row>
    <row r="600">
      <c r="A600" s="424" t="n">
        <v>45334</v>
      </c>
      <c r="B600" s="425" t="n">
        <v>98.02054864264868</v>
      </c>
      <c r="C600" s="425" t="n">
        <v>100.5379777101923</v>
      </c>
      <c r="D600" s="425" t="n">
        <v>97.93632589493255</v>
      </c>
      <c r="E600" s="425" t="n">
        <v>100.3040161132812</v>
      </c>
      <c r="F600" s="207" t="n">
        <v>7501900</v>
      </c>
      <c r="G600" s="208" t="n">
        <v>-0.0004389765112666755</v>
      </c>
      <c r="H600" s="209" cm="1">
        <f t="array" ref="H600">IF(ROW()&lt;3,"",E600/INDEX(E:E,ROW()-1)-1)</f>
        <v/>
      </c>
      <c r="I600" s="211">
        <f>IF(ROW()&lt;51,NA(),AVERAGE(INDEX(E:E,ROW()-49):E600))</f>
        <v/>
      </c>
      <c r="J600" s="211">
        <f>IF(ROW()&lt;201,NA(),AVERAGE(INDEX(E:E,ROW()-199):E600))</f>
        <v/>
      </c>
      <c r="K600" s="341">
        <f>IF(ROW()&lt;22,NA(),_xlfn.STDEV.S(INDEX(H:H,ROW()-19):H600)*SQRT(252))</f>
        <v/>
      </c>
      <c r="L600" s="426" cm="1">
        <f t="array" ref="L600">IF(ROW()&lt;17,NA(),_xlfn.LET(_xlpm.d,INDEX(E:E,ROW()-13):E600-INDEX(E:E,ROW()-14):INDEX(E:E,ROW()-1),_xlpm.g,SUM(IF(_xlpm.d&gt;0,_xlpm.d,0)),_xlpm.l,-SUM(IF(_xlpm.d&lt;0,_xlpm.d,0)),IF(_xlpm.l=0,100,100-100/(1+_xlpm.g/_xlpm.l))))</f>
        <v/>
      </c>
      <c r="M600" s="211">
        <f>MAX($E$2:E600)</f>
        <v/>
      </c>
      <c r="N600" s="341">
        <f>E600/M600-1</f>
        <v/>
      </c>
    </row>
    <row r="601">
      <c r="A601" s="424" t="n">
        <v>45335</v>
      </c>
      <c r="B601" s="425" t="n">
        <v>98.25450977624195</v>
      </c>
      <c r="C601" s="425" t="n">
        <v>99.01255020181914</v>
      </c>
      <c r="D601" s="425" t="n">
        <v>97.56198545183454</v>
      </c>
      <c r="E601" s="425" t="n">
        <v>98.26387023925781</v>
      </c>
      <c r="F601" s="207" t="n">
        <v>6180500</v>
      </c>
      <c r="G601" s="208" t="n">
        <v>-0.01377303106709138</v>
      </c>
      <c r="H601" s="209" cm="1">
        <f t="array" ref="H601">IF(ROW()&lt;3,"",E601/INDEX(E:E,ROW()-1)-1)</f>
        <v/>
      </c>
      <c r="I601" s="211">
        <f>IF(ROW()&lt;51,NA(),AVERAGE(INDEX(E:E,ROW()-49):E601))</f>
        <v/>
      </c>
      <c r="J601" s="211">
        <f>IF(ROW()&lt;201,NA(),AVERAGE(INDEX(E:E,ROW()-199):E601))</f>
        <v/>
      </c>
      <c r="K601" s="341">
        <f>IF(ROW()&lt;22,NA(),_xlfn.STDEV.S(INDEX(H:H,ROW()-19):H601)*SQRT(252))</f>
        <v/>
      </c>
      <c r="L601" s="426" cm="1">
        <f t="array" ref="L601">IF(ROW()&lt;17,NA(),_xlfn.LET(_xlpm.d,INDEX(E:E,ROW()-13):E601-INDEX(E:E,ROW()-14):INDEX(E:E,ROW()-1),_xlpm.g,SUM(IF(_xlpm.d&gt;0,_xlpm.d,0)),_xlpm.l,-SUM(IF(_xlpm.d&lt;0,_xlpm.d,0)),IF(_xlpm.l=0,100,100-100/(1+_xlpm.g/_xlpm.l))))</f>
        <v/>
      </c>
      <c r="M601" s="211">
        <f>MAX($E$2:E601)</f>
        <v/>
      </c>
      <c r="N601" s="341">
        <f>E601/M601-1</f>
        <v/>
      </c>
    </row>
    <row r="602">
      <c r="A602" s="424" t="n">
        <v>45336</v>
      </c>
      <c r="B602" s="425" t="n">
        <v>98.09542996474661</v>
      </c>
      <c r="C602" s="425" t="n">
        <v>99.59278293859515</v>
      </c>
      <c r="D602" s="425" t="n">
        <v>97.75852465313793</v>
      </c>
      <c r="E602" s="425" t="n">
        <v>99.50856018066406</v>
      </c>
      <c r="F602" s="207" t="n">
        <v>5743300</v>
      </c>
      <c r="G602" s="208" t="n">
        <v>0.009087653014913322</v>
      </c>
      <c r="H602" s="209" cm="1">
        <f t="array" ref="H602">IF(ROW()&lt;3,"",E602/INDEX(E:E,ROW()-1)-1)</f>
        <v/>
      </c>
      <c r="I602" s="211">
        <f>IF(ROW()&lt;51,NA(),AVERAGE(INDEX(E:E,ROW()-49):E602))</f>
        <v/>
      </c>
      <c r="J602" s="211">
        <f>IF(ROW()&lt;201,NA(),AVERAGE(INDEX(E:E,ROW()-199):E602))</f>
        <v/>
      </c>
      <c r="K602" s="341">
        <f>IF(ROW()&lt;22,NA(),_xlfn.STDEV.S(INDEX(H:H,ROW()-19):H602)*SQRT(252))</f>
        <v/>
      </c>
      <c r="L602" s="426" cm="1">
        <f t="array" ref="L602">IF(ROW()&lt;17,NA(),_xlfn.LET(_xlpm.d,INDEX(E:E,ROW()-13):E602-INDEX(E:E,ROW()-14):INDEX(E:E,ROW()-1),_xlpm.g,SUM(IF(_xlpm.d&gt;0,_xlpm.d,0)),_xlpm.l,-SUM(IF(_xlpm.d&lt;0,_xlpm.d,0)),IF(_xlpm.l=0,100,100-100/(1+_xlpm.g/_xlpm.l))))</f>
        <v/>
      </c>
      <c r="M602" s="211">
        <f>MAX($E$2:E602)</f>
        <v/>
      </c>
      <c r="N602" s="341">
        <f>E602/M602-1</f>
        <v/>
      </c>
    </row>
    <row r="603">
      <c r="A603" s="424" t="n">
        <v>45337</v>
      </c>
      <c r="B603" s="425" t="n">
        <v>100.154270676057</v>
      </c>
      <c r="C603" s="425" t="n">
        <v>100.4537412148066</v>
      </c>
      <c r="D603" s="425" t="n">
        <v>99.04061840317543</v>
      </c>
      <c r="E603" s="425" t="n">
        <v>99.24650573730469</v>
      </c>
      <c r="F603" s="207" t="n">
        <v>7201300</v>
      </c>
      <c r="G603" s="208" t="n">
        <v>0.006899796528982094</v>
      </c>
      <c r="H603" s="209" cm="1">
        <f t="array" ref="H603">IF(ROW()&lt;3,"",E603/INDEX(E:E,ROW()-1)-1)</f>
        <v/>
      </c>
      <c r="I603" s="211">
        <f>IF(ROW()&lt;51,NA(),AVERAGE(INDEX(E:E,ROW()-49):E603))</f>
        <v/>
      </c>
      <c r="J603" s="211">
        <f>IF(ROW()&lt;201,NA(),AVERAGE(INDEX(E:E,ROW()-199):E603))</f>
        <v/>
      </c>
      <c r="K603" s="341">
        <f>IF(ROW()&lt;22,NA(),_xlfn.STDEV.S(INDEX(H:H,ROW()-19):H603)*SQRT(252))</f>
        <v/>
      </c>
      <c r="L603" s="426" cm="1">
        <f t="array" ref="L603">IF(ROW()&lt;17,NA(),_xlfn.LET(_xlpm.d,INDEX(E:E,ROW()-13):E603-INDEX(E:E,ROW()-14):INDEX(E:E,ROW()-1),_xlpm.g,SUM(IF(_xlpm.d&gt;0,_xlpm.d,0)),_xlpm.l,-SUM(IF(_xlpm.d&lt;0,_xlpm.d,0)),IF(_xlpm.l=0,100,100-100/(1+_xlpm.g/_xlpm.l))))</f>
        <v/>
      </c>
      <c r="M603" s="211">
        <f>MAX($E$2:E603)</f>
        <v/>
      </c>
      <c r="N603" s="341">
        <f>E603/M603-1</f>
        <v/>
      </c>
    </row>
    <row r="604">
      <c r="A604" s="424" t="n">
        <v>45338</v>
      </c>
      <c r="B604" s="425" t="n">
        <v>97.91760443849242</v>
      </c>
      <c r="C604" s="425" t="n">
        <v>97.98311339967505</v>
      </c>
      <c r="D604" s="425" t="n">
        <v>95.12878621678463</v>
      </c>
      <c r="E604" s="425" t="n">
        <v>96.86946105957031</v>
      </c>
      <c r="F604" s="207" t="n">
        <v>14590100</v>
      </c>
      <c r="G604" s="208" t="n">
        <v>-0.004979972192162729</v>
      </c>
      <c r="H604" s="209" cm="1">
        <f t="array" ref="H604">IF(ROW()&lt;3,"",E604/INDEX(E:E,ROW()-1)-1)</f>
        <v/>
      </c>
      <c r="I604" s="211">
        <f>IF(ROW()&lt;51,NA(),AVERAGE(INDEX(E:E,ROW()-49):E604))</f>
        <v/>
      </c>
      <c r="J604" s="211">
        <f>IF(ROW()&lt;201,NA(),AVERAGE(INDEX(E:E,ROW()-199):E604))</f>
        <v/>
      </c>
      <c r="K604" s="341">
        <f>IF(ROW()&lt;22,NA(),_xlfn.STDEV.S(INDEX(H:H,ROW()-19):H604)*SQRT(252))</f>
        <v/>
      </c>
      <c r="L604" s="426" cm="1">
        <f t="array" ref="L604">IF(ROW()&lt;17,NA(),_xlfn.LET(_xlpm.d,INDEX(E:E,ROW()-13):E604-INDEX(E:E,ROW()-14):INDEX(E:E,ROW()-1),_xlpm.g,SUM(IF(_xlpm.d&gt;0,_xlpm.d,0)),_xlpm.l,-SUM(IF(_xlpm.d&lt;0,_xlpm.d,0)),IF(_xlpm.l=0,100,100-100/(1+_xlpm.g/_xlpm.l))))</f>
        <v/>
      </c>
      <c r="M604" s="211">
        <f>MAX($E$2:E604)</f>
        <v/>
      </c>
      <c r="N604" s="341">
        <f>E604/M604-1</f>
        <v/>
      </c>
    </row>
    <row r="605">
      <c r="A605" s="424" t="n">
        <v>45342</v>
      </c>
      <c r="B605" s="425" t="n">
        <v>96.51383617229101</v>
      </c>
      <c r="C605" s="425" t="n">
        <v>97.17828625612925</v>
      </c>
      <c r="D605" s="425" t="n">
        <v>95.61542448963897</v>
      </c>
      <c r="E605" s="425" t="n">
        <v>96.67293548583984</v>
      </c>
      <c r="F605" s="207" t="n">
        <v>8759500</v>
      </c>
      <c r="G605" s="208" t="n">
        <v>-0.005505487031933765</v>
      </c>
      <c r="H605" s="209" cm="1">
        <f t="array" ref="H605">IF(ROW()&lt;3,"",E605/INDEX(E:E,ROW()-1)-1)</f>
        <v/>
      </c>
      <c r="I605" s="211">
        <f>IF(ROW()&lt;51,NA(),AVERAGE(INDEX(E:E,ROW()-49):E605))</f>
        <v/>
      </c>
      <c r="J605" s="211">
        <f>IF(ROW()&lt;201,NA(),AVERAGE(INDEX(E:E,ROW()-199):E605))</f>
        <v/>
      </c>
      <c r="K605" s="341">
        <f>IF(ROW()&lt;22,NA(),_xlfn.STDEV.S(INDEX(H:H,ROW()-19):H605)*SQRT(252))</f>
        <v/>
      </c>
      <c r="L605" s="426" cm="1">
        <f t="array" ref="L605">IF(ROW()&lt;17,NA(),_xlfn.LET(_xlpm.d,INDEX(E:E,ROW()-13):E605-INDEX(E:E,ROW()-14):INDEX(E:E,ROW()-1),_xlpm.g,SUM(IF(_xlpm.d&gt;0,_xlpm.d,0)),_xlpm.l,-SUM(IF(_xlpm.d&lt;0,_xlpm.d,0)),IF(_xlpm.l=0,100,100-100/(1+_xlpm.g/_xlpm.l))))</f>
        <v/>
      </c>
      <c r="M605" s="211">
        <f>MAX($E$2:E605)</f>
        <v/>
      </c>
      <c r="N605" s="341">
        <f>E605/M605-1</f>
        <v/>
      </c>
    </row>
    <row r="606">
      <c r="A606" s="424" t="n">
        <v>45343</v>
      </c>
      <c r="B606" s="425" t="n">
        <v>96.71972476827465</v>
      </c>
      <c r="C606" s="425" t="n">
        <v>98.75050975856766</v>
      </c>
      <c r="D606" s="425" t="n">
        <v>96.32667099078725</v>
      </c>
      <c r="E606" s="425" t="n">
        <v>98.51654815673828</v>
      </c>
      <c r="F606" s="207" t="n">
        <v>8888100</v>
      </c>
      <c r="G606" s="208" t="n">
        <v>0.0009059117482459467</v>
      </c>
      <c r="H606" s="209" cm="1">
        <f t="array" ref="H606">IF(ROW()&lt;3,"",E606/INDEX(E:E,ROW()-1)-1)</f>
        <v/>
      </c>
      <c r="I606" s="211">
        <f>IF(ROW()&lt;51,NA(),AVERAGE(INDEX(E:E,ROW()-49):E606))</f>
        <v/>
      </c>
      <c r="J606" s="211">
        <f>IF(ROW()&lt;201,NA(),AVERAGE(INDEX(E:E,ROW()-199):E606))</f>
        <v/>
      </c>
      <c r="K606" s="341">
        <f>IF(ROW()&lt;22,NA(),_xlfn.STDEV.S(INDEX(H:H,ROW()-19):H606)*SQRT(252))</f>
        <v/>
      </c>
      <c r="L606" s="426" cm="1">
        <f t="array" ref="L606">IF(ROW()&lt;17,NA(),_xlfn.LET(_xlpm.d,INDEX(E:E,ROW()-13):E606-INDEX(E:E,ROW()-14):INDEX(E:E,ROW()-1),_xlpm.g,SUM(IF(_xlpm.d&gt;0,_xlpm.d,0)),_xlpm.l,-SUM(IF(_xlpm.d&lt;0,_xlpm.d,0)),IF(_xlpm.l=0,100,100-100/(1+_xlpm.g/_xlpm.l))))</f>
        <v/>
      </c>
      <c r="M606" s="211">
        <f>MAX($E$2:E606)</f>
        <v/>
      </c>
      <c r="N606" s="341">
        <f>E606/M606-1</f>
        <v/>
      </c>
    </row>
    <row r="607">
      <c r="A607" s="424" t="n">
        <v>45344</v>
      </c>
      <c r="B607" s="425" t="n">
        <v>99.0125480112021</v>
      </c>
      <c r="C607" s="425" t="n">
        <v>99.20907489053957</v>
      </c>
      <c r="D607" s="425" t="n">
        <v>97.4028911252672</v>
      </c>
      <c r="E607" s="425" t="n">
        <v>98.33873748779297</v>
      </c>
      <c r="F607" s="207" t="n">
        <v>6705500</v>
      </c>
      <c r="G607" s="208" t="n">
        <v>0.02069553697635063</v>
      </c>
      <c r="H607" s="209" cm="1">
        <f t="array" ref="H607">IF(ROW()&lt;3,"",E607/INDEX(E:E,ROW()-1)-1)</f>
        <v/>
      </c>
      <c r="I607" s="211">
        <f>IF(ROW()&lt;51,NA(),AVERAGE(INDEX(E:E,ROW()-49):E607))</f>
        <v/>
      </c>
      <c r="J607" s="211">
        <f>IF(ROW()&lt;201,NA(),AVERAGE(INDEX(E:E,ROW()-199):E607))</f>
        <v/>
      </c>
      <c r="K607" s="341">
        <f>IF(ROW()&lt;22,NA(),_xlfn.STDEV.S(INDEX(H:H,ROW()-19):H607)*SQRT(252))</f>
        <v/>
      </c>
      <c r="L607" s="426" cm="1">
        <f t="array" ref="L607">IF(ROW()&lt;17,NA(),_xlfn.LET(_xlpm.d,INDEX(E:E,ROW()-13):E607-INDEX(E:E,ROW()-14):INDEX(E:E,ROW()-1),_xlpm.g,SUM(IF(_xlpm.d&gt;0,_xlpm.d,0)),_xlpm.l,-SUM(IF(_xlpm.d&lt;0,_xlpm.d,0)),IF(_xlpm.l=0,100,100-100/(1+_xlpm.g/_xlpm.l))))</f>
        <v/>
      </c>
      <c r="M607" s="211">
        <f>MAX($E$2:E607)</f>
        <v/>
      </c>
      <c r="N607" s="341">
        <f>E607/M607-1</f>
        <v/>
      </c>
    </row>
    <row r="608">
      <c r="A608" s="424" t="n">
        <v>45345</v>
      </c>
      <c r="B608" s="425" t="n">
        <v>98.50718838198148</v>
      </c>
      <c r="C608" s="425" t="n">
        <v>99.77993998377343</v>
      </c>
      <c r="D608" s="425" t="n">
        <v>98.44167942335723</v>
      </c>
      <c r="E608" s="425" t="n">
        <v>98.85344696044922</v>
      </c>
      <c r="F608" s="207" t="n">
        <v>6947300</v>
      </c>
      <c r="G608" s="208" t="n">
        <v>0.0006896316596884944</v>
      </c>
      <c r="H608" s="209" cm="1">
        <f t="array" ref="H608">IF(ROW()&lt;3,"",E608/INDEX(E:E,ROW()-1)-1)</f>
        <v/>
      </c>
      <c r="I608" s="211">
        <f>IF(ROW()&lt;51,NA(),AVERAGE(INDEX(E:E,ROW()-49):E608))</f>
        <v/>
      </c>
      <c r="J608" s="211">
        <f>IF(ROW()&lt;201,NA(),AVERAGE(INDEX(E:E,ROW()-199):E608))</f>
        <v/>
      </c>
      <c r="K608" s="341">
        <f>IF(ROW()&lt;22,NA(),_xlfn.STDEV.S(INDEX(H:H,ROW()-19):H608)*SQRT(252))</f>
        <v/>
      </c>
      <c r="L608" s="426" cm="1">
        <f t="array" ref="L608">IF(ROW()&lt;17,NA(),_xlfn.LET(_xlpm.d,INDEX(E:E,ROW()-13):E608-INDEX(E:E,ROW()-14):INDEX(E:E,ROW()-1),_xlpm.g,SUM(IF(_xlpm.d&gt;0,_xlpm.d,0)),_xlpm.l,-SUM(IF(_xlpm.d&lt;0,_xlpm.d,0)),IF(_xlpm.l=0,100,100-100/(1+_xlpm.g/_xlpm.l))))</f>
        <v/>
      </c>
      <c r="M608" s="211">
        <f>MAX($E$2:E608)</f>
        <v/>
      </c>
      <c r="N608" s="341">
        <f>E608/M608-1</f>
        <v/>
      </c>
    </row>
    <row r="609">
      <c r="A609" s="424" t="n">
        <v>45348</v>
      </c>
      <c r="B609" s="425" t="n">
        <v>98.55398022555815</v>
      </c>
      <c r="C609" s="425" t="n">
        <v>99.29329972429552</v>
      </c>
      <c r="D609" s="425" t="n">
        <v>97.10342261710029</v>
      </c>
      <c r="E609" s="425" t="n">
        <v>97.83338165283203</v>
      </c>
      <c r="F609" s="207" t="n">
        <v>5831500</v>
      </c>
      <c r="G609" s="208" t="n">
        <v>-0.003662613355522093</v>
      </c>
      <c r="H609" s="209" cm="1">
        <f t="array" ref="H609">IF(ROW()&lt;3,"",E609/INDEX(E:E,ROW()-1)-1)</f>
        <v/>
      </c>
      <c r="I609" s="211">
        <f>IF(ROW()&lt;51,NA(),AVERAGE(INDEX(E:E,ROW()-49):E609))</f>
        <v/>
      </c>
      <c r="J609" s="211">
        <f>IF(ROW()&lt;201,NA(),AVERAGE(INDEX(E:E,ROW()-199):E609))</f>
        <v/>
      </c>
      <c r="K609" s="341">
        <f>IF(ROW()&lt;22,NA(),_xlfn.STDEV.S(INDEX(H:H,ROW()-19):H609)*SQRT(252))</f>
        <v/>
      </c>
      <c r="L609" s="426" cm="1">
        <f t="array" ref="L609">IF(ROW()&lt;17,NA(),_xlfn.LET(_xlpm.d,INDEX(E:E,ROW()-13):E609-INDEX(E:E,ROW()-14):INDEX(E:E,ROW()-1),_xlpm.g,SUM(IF(_xlpm.d&gt;0,_xlpm.d,0)),_xlpm.l,-SUM(IF(_xlpm.d&lt;0,_xlpm.d,0)),IF(_xlpm.l=0,100,100-100/(1+_xlpm.g/_xlpm.l))))</f>
        <v/>
      </c>
      <c r="M609" s="211">
        <f>MAX($E$2:E609)</f>
        <v/>
      </c>
      <c r="N609" s="341">
        <f>E609/M609-1</f>
        <v/>
      </c>
    </row>
    <row r="610">
      <c r="A610" s="424" t="n">
        <v>45349</v>
      </c>
      <c r="B610" s="425" t="n">
        <v>98.10478053406779</v>
      </c>
      <c r="C610" s="425" t="n">
        <v>98.49783431132036</v>
      </c>
      <c r="D610" s="425" t="n">
        <v>97.31866583962119</v>
      </c>
      <c r="E610" s="425" t="n">
        <v>98.40425109863281</v>
      </c>
      <c r="F610" s="207" t="n">
        <v>5317400</v>
      </c>
      <c r="G610" s="208" t="n">
        <v>0.001857876901640854</v>
      </c>
      <c r="H610" s="209" cm="1">
        <f t="array" ref="H610">IF(ROW()&lt;3,"",E610/INDEX(E:E,ROW()-1)-1)</f>
        <v/>
      </c>
      <c r="I610" s="211">
        <f>IF(ROW()&lt;51,NA(),AVERAGE(INDEX(E:E,ROW()-49):E610))</f>
        <v/>
      </c>
      <c r="J610" s="211">
        <f>IF(ROW()&lt;201,NA(),AVERAGE(INDEX(E:E,ROW()-199):E610))</f>
        <v/>
      </c>
      <c r="K610" s="341">
        <f>IF(ROW()&lt;22,NA(),_xlfn.STDEV.S(INDEX(H:H,ROW()-19):H610)*SQRT(252))</f>
        <v/>
      </c>
      <c r="L610" s="426" cm="1">
        <f t="array" ref="L610">IF(ROW()&lt;17,NA(),_xlfn.LET(_xlpm.d,INDEX(E:E,ROW()-13):E610-INDEX(E:E,ROW()-14):INDEX(E:E,ROW()-1),_xlpm.g,SUM(IF(_xlpm.d&gt;0,_xlpm.d,0)),_xlpm.l,-SUM(IF(_xlpm.d&lt;0,_xlpm.d,0)),IF(_xlpm.l=0,100,100-100/(1+_xlpm.g/_xlpm.l))))</f>
        <v/>
      </c>
      <c r="M610" s="211">
        <f>MAX($E$2:E610)</f>
        <v/>
      </c>
      <c r="N610" s="341">
        <f>E610/M610-1</f>
        <v/>
      </c>
    </row>
    <row r="611">
      <c r="A611" s="424" t="n">
        <v>45350</v>
      </c>
      <c r="B611" s="425" t="n">
        <v>97.4216169936328</v>
      </c>
      <c r="C611" s="425" t="n">
        <v>98.6756549877184</v>
      </c>
      <c r="D611" s="425" t="n">
        <v>97.04727697420684</v>
      </c>
      <c r="E611" s="425" t="n">
        <v>97.65557861328125</v>
      </c>
      <c r="F611" s="207" t="n">
        <v>4219800</v>
      </c>
      <c r="G611" s="208" t="n">
        <v>-0.001321627560280425</v>
      </c>
      <c r="H611" s="209" cm="1">
        <f t="array" ref="H611">IF(ROW()&lt;3,"",E611/INDEX(E:E,ROW()-1)-1)</f>
        <v/>
      </c>
      <c r="I611" s="211">
        <f>IF(ROW()&lt;51,NA(),AVERAGE(INDEX(E:E,ROW()-49):E611))</f>
        <v/>
      </c>
      <c r="J611" s="211">
        <f>IF(ROW()&lt;201,NA(),AVERAGE(INDEX(E:E,ROW()-199):E611))</f>
        <v/>
      </c>
      <c r="K611" s="341">
        <f>IF(ROW()&lt;22,NA(),_xlfn.STDEV.S(INDEX(H:H,ROW()-19):H611)*SQRT(252))</f>
        <v/>
      </c>
      <c r="L611" s="426" cm="1">
        <f t="array" ref="L611">IF(ROW()&lt;17,NA(),_xlfn.LET(_xlpm.d,INDEX(E:E,ROW()-13):E611-INDEX(E:E,ROW()-14):INDEX(E:E,ROW()-1),_xlpm.g,SUM(IF(_xlpm.d&gt;0,_xlpm.d,0)),_xlpm.l,-SUM(IF(_xlpm.d&lt;0,_xlpm.d,0)),IF(_xlpm.l=0,100,100-100/(1+_xlpm.g/_xlpm.l))))</f>
        <v/>
      </c>
      <c r="M611" s="211">
        <f>MAX($E$2:E611)</f>
        <v/>
      </c>
      <c r="N611" s="341">
        <f>E611/M611-1</f>
        <v/>
      </c>
    </row>
    <row r="612">
      <c r="A612" s="424" t="n">
        <v>45351</v>
      </c>
      <c r="B612" s="425" t="n">
        <v>98.24515373824588</v>
      </c>
      <c r="C612" s="425" t="n">
        <v>98.79729966192228</v>
      </c>
      <c r="D612" s="425" t="n">
        <v>97.02855061768882</v>
      </c>
      <c r="E612" s="425" t="n">
        <v>97.26251220703125</v>
      </c>
      <c r="F612" s="207" t="n">
        <v>10811600</v>
      </c>
      <c r="G612" s="208" t="n">
        <v>0.003594992484493575</v>
      </c>
      <c r="H612" s="209" cm="1">
        <f t="array" ref="H612">IF(ROW()&lt;3,"",E612/INDEX(E:E,ROW()-1)-1)</f>
        <v/>
      </c>
      <c r="I612" s="211">
        <f>IF(ROW()&lt;51,NA(),AVERAGE(INDEX(E:E,ROW()-49):E612))</f>
        <v/>
      </c>
      <c r="J612" s="211">
        <f>IF(ROW()&lt;201,NA(),AVERAGE(INDEX(E:E,ROW()-199):E612))</f>
        <v/>
      </c>
      <c r="K612" s="341">
        <f>IF(ROW()&lt;22,NA(),_xlfn.STDEV.S(INDEX(H:H,ROW()-19):H612)*SQRT(252))</f>
        <v/>
      </c>
      <c r="L612" s="426" cm="1">
        <f t="array" ref="L612">IF(ROW()&lt;17,NA(),_xlfn.LET(_xlpm.d,INDEX(E:E,ROW()-13):E612-INDEX(E:E,ROW()-14):INDEX(E:E,ROW()-1),_xlpm.g,SUM(IF(_xlpm.d&gt;0,_xlpm.d,0)),_xlpm.l,-SUM(IF(_xlpm.d&lt;0,_xlpm.d,0)),IF(_xlpm.l=0,100,100-100/(1+_xlpm.g/_xlpm.l))))</f>
        <v/>
      </c>
      <c r="M612" s="211">
        <f>MAX($E$2:E612)</f>
        <v/>
      </c>
      <c r="N612" s="341">
        <f>E612/M612-1</f>
        <v/>
      </c>
    </row>
    <row r="613">
      <c r="A613" s="424" t="n">
        <v>45352</v>
      </c>
      <c r="B613" s="425" t="n">
        <v>97.55365487521381</v>
      </c>
      <c r="C613" s="425" t="n">
        <v>97.61939787983192</v>
      </c>
      <c r="D613" s="425" t="n">
        <v>95.63770667076435</v>
      </c>
      <c r="E613" s="425" t="n">
        <v>95.68466186523438</v>
      </c>
      <c r="F613" s="207" t="n">
        <v>7349300</v>
      </c>
      <c r="G613" s="208" t="n">
        <v>0.009388133131255749</v>
      </c>
      <c r="H613" s="209" cm="1">
        <f t="array" ref="H613">IF(ROW()&lt;3,"",E613/INDEX(E:E,ROW()-1)-1)</f>
        <v/>
      </c>
      <c r="I613" s="211">
        <f>IF(ROW()&lt;51,NA(),AVERAGE(INDEX(E:E,ROW()-49):E613))</f>
        <v/>
      </c>
      <c r="J613" s="211">
        <f>IF(ROW()&lt;201,NA(),AVERAGE(INDEX(E:E,ROW()-199):E613))</f>
        <v/>
      </c>
      <c r="K613" s="341">
        <f>IF(ROW()&lt;22,NA(),_xlfn.STDEV.S(INDEX(H:H,ROW()-19):H613)*SQRT(252))</f>
        <v/>
      </c>
      <c r="L613" s="426" cm="1">
        <f t="array" ref="L613">IF(ROW()&lt;17,NA(),_xlfn.LET(_xlpm.d,INDEX(E:E,ROW()-13):E613-INDEX(E:E,ROW()-14):INDEX(E:E,ROW()-1),_xlpm.g,SUM(IF(_xlpm.d&gt;0,_xlpm.d,0)),_xlpm.l,-SUM(IF(_xlpm.d&lt;0,_xlpm.d,0)),IF(_xlpm.l=0,100,100-100/(1+_xlpm.g/_xlpm.l))))</f>
        <v/>
      </c>
      <c r="M613" s="211">
        <f>MAX($E$2:E613)</f>
        <v/>
      </c>
      <c r="N613" s="341">
        <f>E613/M613-1</f>
        <v/>
      </c>
    </row>
    <row r="614">
      <c r="A614" s="424" t="n">
        <v>45355</v>
      </c>
      <c r="B614" s="425" t="n">
        <v>95.46866037271468</v>
      </c>
      <c r="C614" s="425" t="n">
        <v>95.58135858144261</v>
      </c>
      <c r="D614" s="425" t="n">
        <v>92.9891994643904</v>
      </c>
      <c r="E614" s="425" t="n">
        <v>93.48696899414062</v>
      </c>
      <c r="F614" s="207" t="n">
        <v>11050900</v>
      </c>
      <c r="G614" s="208" t="n">
        <v>-0.001072296531748451</v>
      </c>
      <c r="H614" s="209" cm="1">
        <f t="array" ref="H614">IF(ROW()&lt;3,"",E614/INDEX(E:E,ROW()-1)-1)</f>
        <v/>
      </c>
      <c r="I614" s="211">
        <f>IF(ROW()&lt;51,NA(),AVERAGE(INDEX(E:E,ROW()-49):E614))</f>
        <v/>
      </c>
      <c r="J614" s="211">
        <f>IF(ROW()&lt;201,NA(),AVERAGE(INDEX(E:E,ROW()-199):E614))</f>
        <v/>
      </c>
      <c r="K614" s="341">
        <f>IF(ROW()&lt;22,NA(),_xlfn.STDEV.S(INDEX(H:H,ROW()-19):H614)*SQRT(252))</f>
        <v/>
      </c>
      <c r="L614" s="426" cm="1">
        <f t="array" ref="L614">IF(ROW()&lt;17,NA(),_xlfn.LET(_xlpm.d,INDEX(E:E,ROW()-13):E614-INDEX(E:E,ROW()-14):INDEX(E:E,ROW()-1),_xlpm.g,SUM(IF(_xlpm.d&gt;0,_xlpm.d,0)),_xlpm.l,-SUM(IF(_xlpm.d&lt;0,_xlpm.d,0)),IF(_xlpm.l=0,100,100-100/(1+_xlpm.g/_xlpm.l))))</f>
        <v/>
      </c>
      <c r="M614" s="211">
        <f>MAX($E$2:E614)</f>
        <v/>
      </c>
      <c r="N614" s="341">
        <f>E614/M614-1</f>
        <v/>
      </c>
    </row>
    <row r="615">
      <c r="A615" s="424" t="n">
        <v>45356</v>
      </c>
      <c r="B615" s="425" t="n">
        <v>92.97980759739022</v>
      </c>
      <c r="C615" s="425" t="n">
        <v>93.13946817355631</v>
      </c>
      <c r="D615" s="425" t="n">
        <v>92.04061762165901</v>
      </c>
      <c r="E615" s="425" t="n">
        <v>92.33176422119141</v>
      </c>
      <c r="F615" s="207" t="n">
        <v>8670600</v>
      </c>
      <c r="G615" s="208" t="n">
        <v>-0.009994215969853615</v>
      </c>
      <c r="H615" s="209" cm="1">
        <f t="array" ref="H615">IF(ROW()&lt;3,"",E615/INDEX(E:E,ROW()-1)-1)</f>
        <v/>
      </c>
      <c r="I615" s="211">
        <f>IF(ROW()&lt;51,NA(),AVERAGE(INDEX(E:E,ROW()-49):E615))</f>
        <v/>
      </c>
      <c r="J615" s="211">
        <f>IF(ROW()&lt;201,NA(),AVERAGE(INDEX(E:E,ROW()-199):E615))</f>
        <v/>
      </c>
      <c r="K615" s="341">
        <f>IF(ROW()&lt;22,NA(),_xlfn.STDEV.S(INDEX(H:H,ROW()-19):H615)*SQRT(252))</f>
        <v/>
      </c>
      <c r="L615" s="426" cm="1">
        <f t="array" ref="L615">IF(ROW()&lt;17,NA(),_xlfn.LET(_xlpm.d,INDEX(E:E,ROW()-13):E615-INDEX(E:E,ROW()-14):INDEX(E:E,ROW()-1),_xlpm.g,SUM(IF(_xlpm.d&gt;0,_xlpm.d,0)),_xlpm.l,-SUM(IF(_xlpm.d&lt;0,_xlpm.d,0)),IF(_xlpm.l=0,100,100-100/(1+_xlpm.g/_xlpm.l))))</f>
        <v/>
      </c>
      <c r="M615" s="211">
        <f>MAX($E$2:E615)</f>
        <v/>
      </c>
      <c r="N615" s="341">
        <f>E615/M615-1</f>
        <v/>
      </c>
    </row>
    <row r="616">
      <c r="A616" s="424" t="n">
        <v>45357</v>
      </c>
      <c r="B616" s="425" t="n">
        <v>93.91899806815253</v>
      </c>
      <c r="C616" s="425" t="n">
        <v>94.0129156331305</v>
      </c>
      <c r="D616" s="425" t="n">
        <v>91.15777723200456</v>
      </c>
      <c r="E616" s="425" t="n">
        <v>91.693115234375</v>
      </c>
      <c r="F616" s="207" t="n">
        <v>10045300</v>
      </c>
      <c r="G616" s="208" t="n">
        <v>0.005067097422456035</v>
      </c>
      <c r="H616" s="209" cm="1">
        <f t="array" ref="H616">IF(ROW()&lt;3,"",E616/INDEX(E:E,ROW()-1)-1)</f>
        <v/>
      </c>
      <c r="I616" s="211">
        <f>IF(ROW()&lt;51,NA(),AVERAGE(INDEX(E:E,ROW()-49):E616))</f>
        <v/>
      </c>
      <c r="J616" s="211">
        <f>IF(ROW()&lt;201,NA(),AVERAGE(INDEX(E:E,ROW()-199):E616))</f>
        <v/>
      </c>
      <c r="K616" s="341">
        <f>IF(ROW()&lt;22,NA(),_xlfn.STDEV.S(INDEX(H:H,ROW()-19):H616)*SQRT(252))</f>
        <v/>
      </c>
      <c r="L616" s="426" cm="1">
        <f t="array" ref="L616">IF(ROW()&lt;17,NA(),_xlfn.LET(_xlpm.d,INDEX(E:E,ROW()-13):E616-INDEX(E:E,ROW()-14):INDEX(E:E,ROW()-1),_xlpm.g,SUM(IF(_xlpm.d&gt;0,_xlpm.d,0)),_xlpm.l,-SUM(IF(_xlpm.d&lt;0,_xlpm.d,0)),IF(_xlpm.l=0,100,100-100/(1+_xlpm.g/_xlpm.l))))</f>
        <v/>
      </c>
      <c r="M616" s="211">
        <f>MAX($E$2:E616)</f>
        <v/>
      </c>
      <c r="N616" s="341">
        <f>E616/M616-1</f>
        <v/>
      </c>
    </row>
    <row r="617">
      <c r="A617" s="424" t="n">
        <v>45358</v>
      </c>
      <c r="B617" s="425" t="n">
        <v>92.03123574499517</v>
      </c>
      <c r="C617" s="425" t="n">
        <v>92.41630712479413</v>
      </c>
      <c r="D617" s="425" t="n">
        <v>91.74008910740694</v>
      </c>
      <c r="E617" s="425" t="n">
        <v>92.21907806396484</v>
      </c>
      <c r="F617" s="207" t="n">
        <v>8133900</v>
      </c>
      <c r="G617" s="208" t="n">
        <v>0.009926557054981577</v>
      </c>
      <c r="H617" s="209" cm="1">
        <f t="array" ref="H617">IF(ROW()&lt;3,"",E617/INDEX(E:E,ROW()-1)-1)</f>
        <v/>
      </c>
      <c r="I617" s="211">
        <f>IF(ROW()&lt;51,NA(),AVERAGE(INDEX(E:E,ROW()-49):E617))</f>
        <v/>
      </c>
      <c r="J617" s="211">
        <f>IF(ROW()&lt;201,NA(),AVERAGE(INDEX(E:E,ROW()-199):E617))</f>
        <v/>
      </c>
      <c r="K617" s="341">
        <f>IF(ROW()&lt;22,NA(),_xlfn.STDEV.S(INDEX(H:H,ROW()-19):H617)*SQRT(252))</f>
        <v/>
      </c>
      <c r="L617" s="426" cm="1">
        <f t="array" ref="L617">IF(ROW()&lt;17,NA(),_xlfn.LET(_xlpm.d,INDEX(E:E,ROW()-13):E617-INDEX(E:E,ROW()-14):INDEX(E:E,ROW()-1),_xlpm.g,SUM(IF(_xlpm.d&gt;0,_xlpm.d,0)),_xlpm.l,-SUM(IF(_xlpm.d&lt;0,_xlpm.d,0)),IF(_xlpm.l=0,100,100-100/(1+_xlpm.g/_xlpm.l))))</f>
        <v/>
      </c>
      <c r="M617" s="211">
        <f>MAX($E$2:E617)</f>
        <v/>
      </c>
      <c r="N617" s="341">
        <f>E617/M617-1</f>
        <v/>
      </c>
    </row>
    <row r="618">
      <c r="A618" s="424" t="n">
        <v>45359</v>
      </c>
      <c r="B618" s="425" t="n">
        <v>92.50082602685022</v>
      </c>
      <c r="C618" s="425" t="n">
        <v>93.28035548813169</v>
      </c>
      <c r="D618" s="425" t="n">
        <v>92.05940555683659</v>
      </c>
      <c r="E618" s="425" t="n">
        <v>93.13008880615234</v>
      </c>
      <c r="F618" s="207" t="n">
        <v>9043500</v>
      </c>
      <c r="G618" s="208" t="n">
        <v>-0.006002298658895233</v>
      </c>
      <c r="H618" s="209" cm="1">
        <f t="array" ref="H618">IF(ROW()&lt;3,"",E618/INDEX(E:E,ROW()-1)-1)</f>
        <v/>
      </c>
      <c r="I618" s="211">
        <f>IF(ROW()&lt;51,NA(),AVERAGE(INDEX(E:E,ROW()-49):E618))</f>
        <v/>
      </c>
      <c r="J618" s="211">
        <f>IF(ROW()&lt;201,NA(),AVERAGE(INDEX(E:E,ROW()-199):E618))</f>
        <v/>
      </c>
      <c r="K618" s="341">
        <f>IF(ROW()&lt;22,NA(),_xlfn.STDEV.S(INDEX(H:H,ROW()-19):H618)*SQRT(252))</f>
        <v/>
      </c>
      <c r="L618" s="426" cm="1">
        <f t="array" ref="L618">IF(ROW()&lt;17,NA(),_xlfn.LET(_xlpm.d,INDEX(E:E,ROW()-13):E618-INDEX(E:E,ROW()-14):INDEX(E:E,ROW()-1),_xlpm.g,SUM(IF(_xlpm.d&gt;0,_xlpm.d,0)),_xlpm.l,-SUM(IF(_xlpm.d&lt;0,_xlpm.d,0)),IF(_xlpm.l=0,100,100-100/(1+_xlpm.g/_xlpm.l))))</f>
        <v/>
      </c>
      <c r="M618" s="211">
        <f>MAX($E$2:E618)</f>
        <v/>
      </c>
      <c r="N618" s="341">
        <f>E618/M618-1</f>
        <v/>
      </c>
    </row>
    <row r="619">
      <c r="A619" s="424" t="n">
        <v>45362</v>
      </c>
      <c r="B619" s="425" t="n">
        <v>93.82506715623173</v>
      </c>
      <c r="C619" s="425" t="n">
        <v>95.57196084503371</v>
      </c>
      <c r="D619" s="425" t="n">
        <v>93.3930406864296</v>
      </c>
      <c r="E619" s="425" t="n">
        <v>94.93331146240234</v>
      </c>
      <c r="F619" s="207" t="n">
        <v>8537400</v>
      </c>
      <c r="G619" s="208" t="n">
        <v>-0.0008597808322580169</v>
      </c>
      <c r="H619" s="209" cm="1">
        <f t="array" ref="H619">IF(ROW()&lt;3,"",E619/INDEX(E:E,ROW()-1)-1)</f>
        <v/>
      </c>
      <c r="I619" s="211">
        <f>IF(ROW()&lt;51,NA(),AVERAGE(INDEX(E:E,ROW()-49):E619))</f>
        <v/>
      </c>
      <c r="J619" s="211">
        <f>IF(ROW()&lt;201,NA(),AVERAGE(INDEX(E:E,ROW()-199):E619))</f>
        <v/>
      </c>
      <c r="K619" s="341">
        <f>IF(ROW()&lt;22,NA(),_xlfn.STDEV.S(INDEX(H:H,ROW()-19):H619)*SQRT(252))</f>
        <v/>
      </c>
      <c r="L619" s="426" cm="1">
        <f t="array" ref="L619">IF(ROW()&lt;17,NA(),_xlfn.LET(_xlpm.d,INDEX(E:E,ROW()-13):E619-INDEX(E:E,ROW()-14):INDEX(E:E,ROW()-1),_xlpm.g,SUM(IF(_xlpm.d&gt;0,_xlpm.d,0)),_xlpm.l,-SUM(IF(_xlpm.d&lt;0,_xlpm.d,0)),IF(_xlpm.l=0,100,100-100/(1+_xlpm.g/_xlpm.l))))</f>
        <v/>
      </c>
      <c r="M619" s="211">
        <f>MAX($E$2:E619)</f>
        <v/>
      </c>
      <c r="N619" s="341">
        <f>E619/M619-1</f>
        <v/>
      </c>
    </row>
    <row r="620">
      <c r="A620" s="424" t="n">
        <v>45363</v>
      </c>
      <c r="B620" s="425" t="n">
        <v>94.66094961748047</v>
      </c>
      <c r="C620" s="425" t="n">
        <v>95.20568147191838</v>
      </c>
      <c r="D620" s="425" t="n">
        <v>93.59027371900605</v>
      </c>
      <c r="E620" s="425" t="n">
        <v>94.08804321289062</v>
      </c>
      <c r="F620" s="207" t="n">
        <v>7040900</v>
      </c>
      <c r="G620" s="208" t="n">
        <v>0.01075730998766167</v>
      </c>
      <c r="H620" s="209" cm="1">
        <f t="array" ref="H620">IF(ROW()&lt;3,"",E620/INDEX(E:E,ROW()-1)-1)</f>
        <v/>
      </c>
      <c r="I620" s="211">
        <f>IF(ROW()&lt;51,NA(),AVERAGE(INDEX(E:E,ROW()-49):E620))</f>
        <v/>
      </c>
      <c r="J620" s="211">
        <f>IF(ROW()&lt;201,NA(),AVERAGE(INDEX(E:E,ROW()-199):E620))</f>
        <v/>
      </c>
      <c r="K620" s="341">
        <f>IF(ROW()&lt;22,NA(),_xlfn.STDEV.S(INDEX(H:H,ROW()-19):H620)*SQRT(252))</f>
        <v/>
      </c>
      <c r="L620" s="426" cm="1">
        <f t="array" ref="L620">IF(ROW()&lt;17,NA(),_xlfn.LET(_xlpm.d,INDEX(E:E,ROW()-13):E620-INDEX(E:E,ROW()-14):INDEX(E:E,ROW()-1),_xlpm.g,SUM(IF(_xlpm.d&gt;0,_xlpm.d,0)),_xlpm.l,-SUM(IF(_xlpm.d&lt;0,_xlpm.d,0)),IF(_xlpm.l=0,100,100-100/(1+_xlpm.g/_xlpm.l))))</f>
        <v/>
      </c>
      <c r="M620" s="211">
        <f>MAX($E$2:E620)</f>
        <v/>
      </c>
      <c r="N620" s="341">
        <f>E620/M620-1</f>
        <v/>
      </c>
    </row>
    <row r="621">
      <c r="A621" s="424" t="n">
        <v>45364</v>
      </c>
      <c r="B621" s="425" t="n">
        <v>94.49191178171685</v>
      </c>
      <c r="C621" s="425" t="n">
        <v>95.79738538182124</v>
      </c>
      <c r="D621" s="425" t="n">
        <v>94.22893971341546</v>
      </c>
      <c r="E621" s="425" t="n">
        <v>95.19630432128906</v>
      </c>
      <c r="F621" s="207" t="n">
        <v>7326400</v>
      </c>
      <c r="G621" s="208" t="n">
        <v>-0.001567397067642307</v>
      </c>
      <c r="H621" s="209" cm="1">
        <f t="array" ref="H621">IF(ROW()&lt;3,"",E621/INDEX(E:E,ROW()-1)-1)</f>
        <v/>
      </c>
      <c r="I621" s="211">
        <f>IF(ROW()&lt;51,NA(),AVERAGE(INDEX(E:E,ROW()-49):E621))</f>
        <v/>
      </c>
      <c r="J621" s="211">
        <f>IF(ROW()&lt;201,NA(),AVERAGE(INDEX(E:E,ROW()-199):E621))</f>
        <v/>
      </c>
      <c r="K621" s="341">
        <f>IF(ROW()&lt;22,NA(),_xlfn.STDEV.S(INDEX(H:H,ROW()-19):H621)*SQRT(252))</f>
        <v/>
      </c>
      <c r="L621" s="426" cm="1">
        <f t="array" ref="L621">IF(ROW()&lt;17,NA(),_xlfn.LET(_xlpm.d,INDEX(E:E,ROW()-13):E621-INDEX(E:E,ROW()-14):INDEX(E:E,ROW()-1),_xlpm.g,SUM(IF(_xlpm.d&gt;0,_xlpm.d,0)),_xlpm.l,-SUM(IF(_xlpm.d&lt;0,_xlpm.d,0)),IF(_xlpm.l=0,100,100-100/(1+_xlpm.g/_xlpm.l))))</f>
        <v/>
      </c>
      <c r="M621" s="211">
        <f>MAX($E$2:E621)</f>
        <v/>
      </c>
      <c r="N621" s="341">
        <f>E621/M621-1</f>
        <v/>
      </c>
    </row>
    <row r="622">
      <c r="A622" s="424" t="n">
        <v>45365</v>
      </c>
      <c r="B622" s="425" t="n">
        <v>95.98521650249744</v>
      </c>
      <c r="C622" s="425" t="n">
        <v>96.25758246623529</v>
      </c>
      <c r="D622" s="425" t="n">
        <v>94.00352500100389</v>
      </c>
      <c r="E622" s="425" t="n">
        <v>94.16319274902344</v>
      </c>
      <c r="F622" s="207" t="n">
        <v>8350900</v>
      </c>
      <c r="G622" s="208" t="n">
        <v>-0.001976966380943357</v>
      </c>
      <c r="H622" s="209" cm="1">
        <f t="array" ref="H622">IF(ROW()&lt;3,"",E622/INDEX(E:E,ROW()-1)-1)</f>
        <v/>
      </c>
      <c r="I622" s="211">
        <f>IF(ROW()&lt;51,NA(),AVERAGE(INDEX(E:E,ROW()-49):E622))</f>
        <v/>
      </c>
      <c r="J622" s="211">
        <f>IF(ROW()&lt;201,NA(),AVERAGE(INDEX(E:E,ROW()-199):E622))</f>
        <v/>
      </c>
      <c r="K622" s="341">
        <f>IF(ROW()&lt;22,NA(),_xlfn.STDEV.S(INDEX(H:H,ROW()-19):H622)*SQRT(252))</f>
        <v/>
      </c>
      <c r="L622" s="426" cm="1">
        <f t="array" ref="L622">IF(ROW()&lt;17,NA(),_xlfn.LET(_xlpm.d,INDEX(E:E,ROW()-13):E622-INDEX(E:E,ROW()-14):INDEX(E:E,ROW()-1),_xlpm.g,SUM(IF(_xlpm.d&gt;0,_xlpm.d,0)),_xlpm.l,-SUM(IF(_xlpm.d&lt;0,_xlpm.d,0)),IF(_xlpm.l=0,100,100-100/(1+_xlpm.g/_xlpm.l))))</f>
        <v/>
      </c>
      <c r="M622" s="211">
        <f>MAX($E$2:E622)</f>
        <v/>
      </c>
      <c r="N622" s="341">
        <f>E622/M622-1</f>
        <v/>
      </c>
    </row>
    <row r="623">
      <c r="A623" s="424" t="n">
        <v>45366</v>
      </c>
      <c r="B623" s="425" t="n">
        <v>94.20075565250961</v>
      </c>
      <c r="C623" s="425" t="n">
        <v>95.00845958961649</v>
      </c>
      <c r="D623" s="425" t="n">
        <v>93.29912698724323</v>
      </c>
      <c r="E623" s="425" t="n">
        <v>93.58088684082031</v>
      </c>
      <c r="F623" s="207" t="n">
        <v>15208500</v>
      </c>
      <c r="G623" s="208" t="n">
        <v>-0.006866439213419673</v>
      </c>
      <c r="H623" s="209" cm="1">
        <f t="array" ref="H623">IF(ROW()&lt;3,"",E623/INDEX(E:E,ROW()-1)-1)</f>
        <v/>
      </c>
      <c r="I623" s="211">
        <f>IF(ROW()&lt;51,NA(),AVERAGE(INDEX(E:E,ROW()-49):E623))</f>
        <v/>
      </c>
      <c r="J623" s="211">
        <f>IF(ROW()&lt;201,NA(),AVERAGE(INDEX(E:E,ROW()-199):E623))</f>
        <v/>
      </c>
      <c r="K623" s="341">
        <f>IF(ROW()&lt;22,NA(),_xlfn.STDEV.S(INDEX(H:H,ROW()-19):H623)*SQRT(252))</f>
        <v/>
      </c>
      <c r="L623" s="426" cm="1">
        <f t="array" ref="L623">IF(ROW()&lt;17,NA(),_xlfn.LET(_xlpm.d,INDEX(E:E,ROW()-13):E623-INDEX(E:E,ROW()-14):INDEX(E:E,ROW()-1),_xlpm.g,SUM(IF(_xlpm.d&gt;0,_xlpm.d,0)),_xlpm.l,-SUM(IF(_xlpm.d&lt;0,_xlpm.d,0)),IF(_xlpm.l=0,100,100-100/(1+_xlpm.g/_xlpm.l))))</f>
        <v/>
      </c>
      <c r="M623" s="211">
        <f>MAX($E$2:E623)</f>
        <v/>
      </c>
      <c r="N623" s="341">
        <f>E623/M623-1</f>
        <v/>
      </c>
    </row>
    <row r="624">
      <c r="A624" s="424" t="n">
        <v>45369</v>
      </c>
      <c r="B624" s="425" t="n">
        <v>92.96102935042759</v>
      </c>
      <c r="C624" s="425" t="n">
        <v>93.59967883702934</v>
      </c>
      <c r="D624" s="425" t="n">
        <v>92.52899564484169</v>
      </c>
      <c r="E624" s="425" t="n">
        <v>92.73561859130859</v>
      </c>
      <c r="F624" s="207" t="n">
        <v>7207000</v>
      </c>
      <c r="G624" s="208" t="n">
        <v>0.005943184780418331</v>
      </c>
      <c r="H624" s="209" cm="1">
        <f t="array" ref="H624">IF(ROW()&lt;3,"",E624/INDEX(E:E,ROW()-1)-1)</f>
        <v/>
      </c>
      <c r="I624" s="211">
        <f>IF(ROW()&lt;51,NA(),AVERAGE(INDEX(E:E,ROW()-49):E624))</f>
        <v/>
      </c>
      <c r="J624" s="211">
        <f>IF(ROW()&lt;201,NA(),AVERAGE(INDEX(E:E,ROW()-199):E624))</f>
        <v/>
      </c>
      <c r="K624" s="341">
        <f>IF(ROW()&lt;22,NA(),_xlfn.STDEV.S(INDEX(H:H,ROW()-19):H624)*SQRT(252))</f>
        <v/>
      </c>
      <c r="L624" s="426" cm="1">
        <f t="array" ref="L624">IF(ROW()&lt;17,NA(),_xlfn.LET(_xlpm.d,INDEX(E:E,ROW()-13):E624-INDEX(E:E,ROW()-14):INDEX(E:E,ROW()-1),_xlpm.g,SUM(IF(_xlpm.d&gt;0,_xlpm.d,0)),_xlpm.l,-SUM(IF(_xlpm.d&lt;0,_xlpm.d,0)),IF(_xlpm.l=0,100,100-100/(1+_xlpm.g/_xlpm.l))))</f>
        <v/>
      </c>
      <c r="M624" s="211">
        <f>MAX($E$2:E624)</f>
        <v/>
      </c>
      <c r="N624" s="341">
        <f>E624/M624-1</f>
        <v/>
      </c>
    </row>
    <row r="625">
      <c r="A625" s="424" t="n">
        <v>45370</v>
      </c>
      <c r="B625" s="425" t="n">
        <v>92.51020752090699</v>
      </c>
      <c r="C625" s="425" t="n">
        <v>93.95656086382903</v>
      </c>
      <c r="D625" s="425" t="n">
        <v>92.45385841840692</v>
      </c>
      <c r="E625" s="425" t="n">
        <v>93.88142395019531</v>
      </c>
      <c r="F625" s="207" t="n">
        <v>6168900</v>
      </c>
      <c r="G625" s="208" t="n">
        <v>0.005557042851900507</v>
      </c>
      <c r="H625" s="209" cm="1">
        <f t="array" ref="H625">IF(ROW()&lt;3,"",E625/INDEX(E:E,ROW()-1)-1)</f>
        <v/>
      </c>
      <c r="I625" s="211">
        <f>IF(ROW()&lt;51,NA(),AVERAGE(INDEX(E:E,ROW()-49):E625))</f>
        <v/>
      </c>
      <c r="J625" s="211">
        <f>IF(ROW()&lt;201,NA(),AVERAGE(INDEX(E:E,ROW()-199):E625))</f>
        <v/>
      </c>
      <c r="K625" s="341">
        <f>IF(ROW()&lt;22,NA(),_xlfn.STDEV.S(INDEX(H:H,ROW()-19):H625)*SQRT(252))</f>
        <v/>
      </c>
      <c r="L625" s="426" cm="1">
        <f t="array" ref="L625">IF(ROW()&lt;17,NA(),_xlfn.LET(_xlpm.d,INDEX(E:E,ROW()-13):E625-INDEX(E:E,ROW()-14):INDEX(E:E,ROW()-1),_xlpm.g,SUM(IF(_xlpm.d&gt;0,_xlpm.d,0)),_xlpm.l,-SUM(IF(_xlpm.d&lt;0,_xlpm.d,0)),IF(_xlpm.l=0,100,100-100/(1+_xlpm.g/_xlpm.l))))</f>
        <v/>
      </c>
      <c r="M625" s="211">
        <f>MAX($E$2:E625)</f>
        <v/>
      </c>
      <c r="N625" s="341">
        <f>E625/M625-1</f>
        <v/>
      </c>
    </row>
    <row r="626">
      <c r="A626" s="424" t="n">
        <v>45371</v>
      </c>
      <c r="B626" s="425" t="n">
        <v>93.40242626707533</v>
      </c>
      <c r="C626" s="425" t="n">
        <v>94.3322293632723</v>
      </c>
      <c r="D626" s="425" t="n">
        <v>93.00796825590378</v>
      </c>
      <c r="E626" s="425" t="n">
        <v>94.17256164550781</v>
      </c>
      <c r="F626" s="207" t="n">
        <v>7771700</v>
      </c>
      <c r="G626" s="208" t="n">
        <v>0.009249403258410061</v>
      </c>
      <c r="H626" s="209" cm="1">
        <f t="array" ref="H626">IF(ROW()&lt;3,"",E626/INDEX(E:E,ROW()-1)-1)</f>
        <v/>
      </c>
      <c r="I626" s="211">
        <f>IF(ROW()&lt;51,NA(),AVERAGE(INDEX(E:E,ROW()-49):E626))</f>
        <v/>
      </c>
      <c r="J626" s="211">
        <f>IF(ROW()&lt;201,NA(),AVERAGE(INDEX(E:E,ROW()-199):E626))</f>
        <v/>
      </c>
      <c r="K626" s="341">
        <f>IF(ROW()&lt;22,NA(),_xlfn.STDEV.S(INDEX(H:H,ROW()-19):H626)*SQRT(252))</f>
        <v/>
      </c>
      <c r="L626" s="426" cm="1">
        <f t="array" ref="L626">IF(ROW()&lt;17,NA(),_xlfn.LET(_xlpm.d,INDEX(E:E,ROW()-13):E626-INDEX(E:E,ROW()-14):INDEX(E:E,ROW()-1),_xlpm.g,SUM(IF(_xlpm.d&gt;0,_xlpm.d,0)),_xlpm.l,-SUM(IF(_xlpm.d&lt;0,_xlpm.d,0)),IF(_xlpm.l=0,100,100-100/(1+_xlpm.g/_xlpm.l))))</f>
        <v/>
      </c>
      <c r="M626" s="211">
        <f>MAX($E$2:E626)</f>
        <v/>
      </c>
      <c r="N626" s="341">
        <f>E626/M626-1</f>
        <v/>
      </c>
    </row>
    <row r="627">
      <c r="A627" s="424" t="n">
        <v>45372</v>
      </c>
      <c r="B627" s="425" t="n">
        <v>94.33223547999312</v>
      </c>
      <c r="C627" s="425" t="n">
        <v>95.72223251390442</v>
      </c>
      <c r="D627" s="425" t="n">
        <v>93.69358606387298</v>
      </c>
      <c r="E627" s="425" t="n">
        <v>94.68912506103516</v>
      </c>
      <c r="F627" s="207" t="n">
        <v>17176000</v>
      </c>
      <c r="G627" s="208" t="n">
        <v>0.003304607562458983</v>
      </c>
      <c r="H627" s="209" cm="1">
        <f t="array" ref="H627">IF(ROW()&lt;3,"",E627/INDEX(E:E,ROW()-1)-1)</f>
        <v/>
      </c>
      <c r="I627" s="211">
        <f>IF(ROW()&lt;51,NA(),AVERAGE(INDEX(E:E,ROW()-49):E627))</f>
        <v/>
      </c>
      <c r="J627" s="211">
        <f>IF(ROW()&lt;201,NA(),AVERAGE(INDEX(E:E,ROW()-199):E627))</f>
        <v/>
      </c>
      <c r="K627" s="341">
        <f>IF(ROW()&lt;22,NA(),_xlfn.STDEV.S(INDEX(H:H,ROW()-19):H627)*SQRT(252))</f>
        <v/>
      </c>
      <c r="L627" s="426" cm="1">
        <f t="array" ref="L627">IF(ROW()&lt;17,NA(),_xlfn.LET(_xlpm.d,INDEX(E:E,ROW()-13):E627-INDEX(E:E,ROW()-14):INDEX(E:E,ROW()-1),_xlpm.g,SUM(IF(_xlpm.d&gt;0,_xlpm.d,0)),_xlpm.l,-SUM(IF(_xlpm.d&lt;0,_xlpm.d,0)),IF(_xlpm.l=0,100,100-100/(1+_xlpm.g/_xlpm.l))))</f>
        <v/>
      </c>
      <c r="M627" s="211">
        <f>MAX($E$2:E627)</f>
        <v/>
      </c>
      <c r="N627" s="341">
        <f>E627/M627-1</f>
        <v/>
      </c>
    </row>
    <row r="628">
      <c r="A628" s="424" t="n">
        <v>45373</v>
      </c>
      <c r="B628" s="425" t="n">
        <v>88.14297273263895</v>
      </c>
      <c r="C628" s="425" t="n">
        <v>89.38270314286443</v>
      </c>
      <c r="D628" s="425" t="n">
        <v>86.1425007786582</v>
      </c>
      <c r="E628" s="425" t="n">
        <v>88.15236663818359</v>
      </c>
      <c r="F628" s="207" t="n">
        <v>41837400</v>
      </c>
      <c r="G628" s="208" t="n">
        <v>-0.001895767959301353</v>
      </c>
      <c r="H628" s="209" cm="1">
        <f t="array" ref="H628">IF(ROW()&lt;3,"",E628/INDEX(E:E,ROW()-1)-1)</f>
        <v/>
      </c>
      <c r="I628" s="211">
        <f>IF(ROW()&lt;51,NA(),AVERAGE(INDEX(E:E,ROW()-49):E628))</f>
        <v/>
      </c>
      <c r="J628" s="211">
        <f>IF(ROW()&lt;201,NA(),AVERAGE(INDEX(E:E,ROW()-199):E628))</f>
        <v/>
      </c>
      <c r="K628" s="341">
        <f>IF(ROW()&lt;22,NA(),_xlfn.STDEV.S(INDEX(H:H,ROW()-19):H628)*SQRT(252))</f>
        <v/>
      </c>
      <c r="L628" s="426" cm="1">
        <f t="array" ref="L628">IF(ROW()&lt;17,NA(),_xlfn.LET(_xlpm.d,INDEX(E:E,ROW()-13):E628-INDEX(E:E,ROW()-14):INDEX(E:E,ROW()-1),_xlpm.g,SUM(IF(_xlpm.d&gt;0,_xlpm.d,0)),_xlpm.l,-SUM(IF(_xlpm.d&lt;0,_xlpm.d,0)),IF(_xlpm.l=0,100,100-100/(1+_xlpm.g/_xlpm.l))))</f>
        <v/>
      </c>
      <c r="M628" s="211">
        <f>MAX($E$2:E628)</f>
        <v/>
      </c>
      <c r="N628" s="341">
        <f>E628/M628-1</f>
        <v/>
      </c>
    </row>
    <row r="629">
      <c r="A629" s="424" t="n">
        <v>45376</v>
      </c>
      <c r="B629" s="425" t="n">
        <v>88.34959750146791</v>
      </c>
      <c r="C629" s="425" t="n">
        <v>89.71142005032674</v>
      </c>
      <c r="D629" s="425" t="n">
        <v>87.12864771145955</v>
      </c>
      <c r="E629" s="425" t="n">
        <v>88.04905700683594</v>
      </c>
      <c r="F629" s="207" t="n">
        <v>14548800</v>
      </c>
      <c r="G629" s="208" t="n">
        <v>-0.002762701700552594</v>
      </c>
      <c r="H629" s="209" cm="1">
        <f t="array" ref="H629">IF(ROW()&lt;3,"",E629/INDEX(E:E,ROW()-1)-1)</f>
        <v/>
      </c>
      <c r="I629" s="211">
        <f>IF(ROW()&lt;51,NA(),AVERAGE(INDEX(E:E,ROW()-49):E629))</f>
        <v/>
      </c>
      <c r="J629" s="211">
        <f>IF(ROW()&lt;201,NA(),AVERAGE(INDEX(E:E,ROW()-199):E629))</f>
        <v/>
      </c>
      <c r="K629" s="341">
        <f>IF(ROW()&lt;22,NA(),_xlfn.STDEV.S(INDEX(H:H,ROW()-19):H629)*SQRT(252))</f>
        <v/>
      </c>
      <c r="L629" s="426" cm="1">
        <f t="array" ref="L629">IF(ROW()&lt;17,NA(),_xlfn.LET(_xlpm.d,INDEX(E:E,ROW()-13):E629-INDEX(E:E,ROW()-14):INDEX(E:E,ROW()-1),_xlpm.g,SUM(IF(_xlpm.d&gt;0,_xlpm.d,0)),_xlpm.l,-SUM(IF(_xlpm.d&lt;0,_xlpm.d,0)),IF(_xlpm.l=0,100,100-100/(1+_xlpm.g/_xlpm.l))))</f>
        <v/>
      </c>
      <c r="M629" s="211">
        <f>MAX($E$2:E629)</f>
        <v/>
      </c>
      <c r="N629" s="341">
        <f>E629/M629-1</f>
        <v/>
      </c>
    </row>
    <row r="630">
      <c r="A630" s="424" t="n">
        <v>45377</v>
      </c>
      <c r="B630" s="425" t="n">
        <v>88.03966722835928</v>
      </c>
      <c r="C630" s="425" t="n">
        <v>88.15237260617383</v>
      </c>
      <c r="D630" s="425" t="n">
        <v>86.79054999347332</v>
      </c>
      <c r="E630" s="425" t="n">
        <v>86.95021057128906</v>
      </c>
      <c r="F630" s="207" t="n">
        <v>10816900</v>
      </c>
      <c r="G630" s="208" t="n">
        <v>-0.001847024471744452</v>
      </c>
      <c r="H630" s="209" cm="1">
        <f t="array" ref="H630">IF(ROW()&lt;3,"",E630/INDEX(E:E,ROW()-1)-1)</f>
        <v/>
      </c>
      <c r="I630" s="211">
        <f>IF(ROW()&lt;51,NA(),AVERAGE(INDEX(E:E,ROW()-49):E630))</f>
        <v/>
      </c>
      <c r="J630" s="211">
        <f>IF(ROW()&lt;201,NA(),AVERAGE(INDEX(E:E,ROW()-199):E630))</f>
        <v/>
      </c>
      <c r="K630" s="341">
        <f>IF(ROW()&lt;22,NA(),_xlfn.STDEV.S(INDEX(H:H,ROW()-19):H630)*SQRT(252))</f>
        <v/>
      </c>
      <c r="L630" s="426" cm="1">
        <f t="array" ref="L630">IF(ROW()&lt;17,NA(),_xlfn.LET(_xlpm.d,INDEX(E:E,ROW()-13):E630-INDEX(E:E,ROW()-14):INDEX(E:E,ROW()-1),_xlpm.g,SUM(IF(_xlpm.d&gt;0,_xlpm.d,0)),_xlpm.l,-SUM(IF(_xlpm.d&lt;0,_xlpm.d,0)),IF(_xlpm.l=0,100,100-100/(1+_xlpm.g/_xlpm.l))))</f>
        <v/>
      </c>
      <c r="M630" s="211">
        <f>MAX($E$2:E630)</f>
        <v/>
      </c>
      <c r="N630" s="341">
        <f>E630/M630-1</f>
        <v/>
      </c>
    </row>
    <row r="631">
      <c r="A631" s="424" t="n">
        <v>45378</v>
      </c>
      <c r="B631" s="425" t="n">
        <v>87.59824091764317</v>
      </c>
      <c r="C631" s="425" t="n">
        <v>88.42473263532077</v>
      </c>
      <c r="D631" s="425" t="n">
        <v>86.7060133574599</v>
      </c>
      <c r="E631" s="425" t="n">
        <v>88.40594482421875</v>
      </c>
      <c r="F631" s="207" t="n">
        <v>11095700</v>
      </c>
      <c r="G631" s="208" t="n">
        <v>0.008403718592033593</v>
      </c>
      <c r="H631" s="209" cm="1">
        <f t="array" ref="H631">IF(ROW()&lt;3,"",E631/INDEX(E:E,ROW()-1)-1)</f>
        <v/>
      </c>
      <c r="I631" s="211">
        <f>IF(ROW()&lt;51,NA(),AVERAGE(INDEX(E:E,ROW()-49):E631))</f>
        <v/>
      </c>
      <c r="J631" s="211">
        <f>IF(ROW()&lt;201,NA(),AVERAGE(INDEX(E:E,ROW()-199):E631))</f>
        <v/>
      </c>
      <c r="K631" s="341">
        <f>IF(ROW()&lt;22,NA(),_xlfn.STDEV.S(INDEX(H:H,ROW()-19):H631)*SQRT(252))</f>
        <v/>
      </c>
      <c r="L631" s="426" cm="1">
        <f t="array" ref="L631">IF(ROW()&lt;17,NA(),_xlfn.LET(_xlpm.d,INDEX(E:E,ROW()-13):E631-INDEX(E:E,ROW()-14):INDEX(E:E,ROW()-1),_xlpm.g,SUM(IF(_xlpm.d&gt;0,_xlpm.d,0)),_xlpm.l,-SUM(IF(_xlpm.d&lt;0,_xlpm.d,0)),IF(_xlpm.l=0,100,100-100/(1+_xlpm.g/_xlpm.l))))</f>
        <v/>
      </c>
      <c r="M631" s="211">
        <f>MAX($E$2:E631)</f>
        <v/>
      </c>
      <c r="N631" s="341">
        <f>E631/M631-1</f>
        <v/>
      </c>
    </row>
    <row r="632">
      <c r="A632" s="424" t="n">
        <v>45379</v>
      </c>
      <c r="B632" s="425" t="n">
        <v>88.63135153407606</v>
      </c>
      <c r="C632" s="425" t="n">
        <v>89.04459020867166</v>
      </c>
      <c r="D632" s="425" t="n">
        <v>87.74851075414206</v>
      </c>
      <c r="E632" s="425" t="n">
        <v>88.26506805419922</v>
      </c>
      <c r="F632" s="207" t="n">
        <v>11331700</v>
      </c>
      <c r="G632" s="208" t="n">
        <v>-0.0001911530546834239</v>
      </c>
      <c r="H632" s="209" cm="1">
        <f t="array" ref="H632">IF(ROW()&lt;3,"",E632/INDEX(E:E,ROW()-1)-1)</f>
        <v/>
      </c>
      <c r="I632" s="211">
        <f>IF(ROW()&lt;51,NA(),AVERAGE(INDEX(E:E,ROW()-49):E632))</f>
        <v/>
      </c>
      <c r="J632" s="211">
        <f>IF(ROW()&lt;201,NA(),AVERAGE(INDEX(E:E,ROW()-199):E632))</f>
        <v/>
      </c>
      <c r="K632" s="341">
        <f>IF(ROW()&lt;22,NA(),_xlfn.STDEV.S(INDEX(H:H,ROW()-19):H632)*SQRT(252))</f>
        <v/>
      </c>
      <c r="L632" s="426" cm="1">
        <f t="array" ref="L632">IF(ROW()&lt;17,NA(),_xlfn.LET(_xlpm.d,INDEX(E:E,ROW()-13):E632-INDEX(E:E,ROW()-14):INDEX(E:E,ROW()-1),_xlpm.g,SUM(IF(_xlpm.d&gt;0,_xlpm.d,0)),_xlpm.l,-SUM(IF(_xlpm.d&lt;0,_xlpm.d,0)),IF(_xlpm.l=0,100,100-100/(1+_xlpm.g/_xlpm.l))))</f>
        <v/>
      </c>
      <c r="M632" s="211">
        <f>MAX($E$2:E632)</f>
        <v/>
      </c>
      <c r="N632" s="341">
        <f>E632/M632-1</f>
        <v/>
      </c>
    </row>
    <row r="633">
      <c r="A633" s="424" t="n">
        <v>45383</v>
      </c>
      <c r="B633" s="425" t="n">
        <v>88.10542227347563</v>
      </c>
      <c r="C633" s="425" t="n">
        <v>88.20873375921904</v>
      </c>
      <c r="D633" s="425" t="n">
        <v>86.1143438183158</v>
      </c>
      <c r="E633" s="425" t="n">
        <v>86.93143463134766</v>
      </c>
      <c r="F633" s="207" t="n">
        <v>10360000</v>
      </c>
      <c r="G633" s="208" t="n">
        <v>-0.001739747284948523</v>
      </c>
      <c r="H633" s="209" cm="1">
        <f t="array" ref="H633">IF(ROW()&lt;3,"",E633/INDEX(E:E,ROW()-1)-1)</f>
        <v/>
      </c>
      <c r="I633" s="211">
        <f>IF(ROW()&lt;51,NA(),AVERAGE(INDEX(E:E,ROW()-49):E633))</f>
        <v/>
      </c>
      <c r="J633" s="211">
        <f>IF(ROW()&lt;201,NA(),AVERAGE(INDEX(E:E,ROW()-199):E633))</f>
        <v/>
      </c>
      <c r="K633" s="341">
        <f>IF(ROW()&lt;22,NA(),_xlfn.STDEV.S(INDEX(H:H,ROW()-19):H633)*SQRT(252))</f>
        <v/>
      </c>
      <c r="L633" s="426" cm="1">
        <f t="array" ref="L633">IF(ROW()&lt;17,NA(),_xlfn.LET(_xlpm.d,INDEX(E:E,ROW()-13):E633-INDEX(E:E,ROW()-14):INDEX(E:E,ROW()-1),_xlpm.g,SUM(IF(_xlpm.d&gt;0,_xlpm.d,0)),_xlpm.l,-SUM(IF(_xlpm.d&lt;0,_xlpm.d,0)),IF(_xlpm.l=0,100,100-100/(1+_xlpm.g/_xlpm.l))))</f>
        <v/>
      </c>
      <c r="M633" s="211">
        <f>MAX($E$2:E633)</f>
        <v/>
      </c>
      <c r="N633" s="341">
        <f>E633/M633-1</f>
        <v/>
      </c>
    </row>
    <row r="634">
      <c r="A634" s="424" t="n">
        <v>45384</v>
      </c>
      <c r="B634" s="425" t="n">
        <v>86.18007554714895</v>
      </c>
      <c r="C634" s="425" t="n">
        <v>86.311561572602</v>
      </c>
      <c r="D634" s="425" t="n">
        <v>85.12818017807349</v>
      </c>
      <c r="E634" s="425" t="n">
        <v>85.41932678222656</v>
      </c>
      <c r="F634" s="207" t="n">
        <v>11107300</v>
      </c>
      <c r="G634" s="208" t="n">
        <v>-0.006357979403747382</v>
      </c>
      <c r="H634" s="209" cm="1">
        <f t="array" ref="H634">IF(ROW()&lt;3,"",E634/INDEX(E:E,ROW()-1)-1)</f>
        <v/>
      </c>
      <c r="I634" s="211">
        <f>IF(ROW()&lt;51,NA(),AVERAGE(INDEX(E:E,ROW()-49):E634))</f>
        <v/>
      </c>
      <c r="J634" s="211">
        <f>IF(ROW()&lt;201,NA(),AVERAGE(INDEX(E:E,ROW()-199):E634))</f>
        <v/>
      </c>
      <c r="K634" s="341">
        <f>IF(ROW()&lt;22,NA(),_xlfn.STDEV.S(INDEX(H:H,ROW()-19):H634)*SQRT(252))</f>
        <v/>
      </c>
      <c r="L634" s="426" cm="1">
        <f t="array" ref="L634">IF(ROW()&lt;17,NA(),_xlfn.LET(_xlpm.d,INDEX(E:E,ROW()-13):E634-INDEX(E:E,ROW()-14):INDEX(E:E,ROW()-1),_xlpm.g,SUM(IF(_xlpm.d&gt;0,_xlpm.d,0)),_xlpm.l,-SUM(IF(_xlpm.d&lt;0,_xlpm.d,0)),IF(_xlpm.l=0,100,100-100/(1+_xlpm.g/_xlpm.l))))</f>
        <v/>
      </c>
      <c r="M634" s="211">
        <f>MAX($E$2:E634)</f>
        <v/>
      </c>
      <c r="N634" s="341">
        <f>E634/M634-1</f>
        <v/>
      </c>
    </row>
    <row r="635">
      <c r="A635" s="424" t="n">
        <v>45385</v>
      </c>
      <c r="B635" s="425" t="n">
        <v>85.47567025867015</v>
      </c>
      <c r="C635" s="425" t="n">
        <v>85.87952218080632</v>
      </c>
      <c r="D635" s="425" t="n">
        <v>84.79005851534136</v>
      </c>
      <c r="E635" s="425" t="n">
        <v>84.83702087402344</v>
      </c>
      <c r="F635" s="207" t="n">
        <v>8876600</v>
      </c>
      <c r="G635" s="208" t="n">
        <v>0.001098477542825549</v>
      </c>
      <c r="H635" s="209" cm="1">
        <f t="array" ref="H635">IF(ROW()&lt;3,"",E635/INDEX(E:E,ROW()-1)-1)</f>
        <v/>
      </c>
      <c r="I635" s="211">
        <f>IF(ROW()&lt;51,NA(),AVERAGE(INDEX(E:E,ROW()-49):E635))</f>
        <v/>
      </c>
      <c r="J635" s="211">
        <f>IF(ROW()&lt;201,NA(),AVERAGE(INDEX(E:E,ROW()-199):E635))</f>
        <v/>
      </c>
      <c r="K635" s="341">
        <f>IF(ROW()&lt;22,NA(),_xlfn.STDEV.S(INDEX(H:H,ROW()-19):H635)*SQRT(252))</f>
        <v/>
      </c>
      <c r="L635" s="426" cm="1">
        <f t="array" ref="L635">IF(ROW()&lt;17,NA(),_xlfn.LET(_xlpm.d,INDEX(E:E,ROW()-13):E635-INDEX(E:E,ROW()-14):INDEX(E:E,ROW()-1),_xlpm.g,SUM(IF(_xlpm.d&gt;0,_xlpm.d,0)),_xlpm.l,-SUM(IF(_xlpm.d&lt;0,_xlpm.d,0)),IF(_xlpm.l=0,100,100-100/(1+_xlpm.g/_xlpm.l))))</f>
        <v/>
      </c>
      <c r="M635" s="211">
        <f>MAX($E$2:E635)</f>
        <v/>
      </c>
      <c r="N635" s="341">
        <f>E635/M635-1</f>
        <v/>
      </c>
    </row>
    <row r="636">
      <c r="A636" s="424" t="n">
        <v>45386</v>
      </c>
      <c r="B636" s="425" t="n">
        <v>85.41932289903123</v>
      </c>
      <c r="C636" s="425" t="n">
        <v>85.51324762618583</v>
      </c>
      <c r="D636" s="425" t="n">
        <v>83.48459389921749</v>
      </c>
      <c r="E636" s="425" t="n">
        <v>83.65364837646484</v>
      </c>
      <c r="F636" s="207" t="n">
        <v>12110300</v>
      </c>
      <c r="G636" s="208" t="n">
        <v>-0.01220615530999003</v>
      </c>
      <c r="H636" s="209" cm="1">
        <f t="array" ref="H636">IF(ROW()&lt;3,"",E636/INDEX(E:E,ROW()-1)-1)</f>
        <v/>
      </c>
      <c r="I636" s="211">
        <f>IF(ROW()&lt;51,NA(),AVERAGE(INDEX(E:E,ROW()-49):E636))</f>
        <v/>
      </c>
      <c r="J636" s="211">
        <f>IF(ROW()&lt;201,NA(),AVERAGE(INDEX(E:E,ROW()-199):E636))</f>
        <v/>
      </c>
      <c r="K636" s="341">
        <f>IF(ROW()&lt;22,NA(),_xlfn.STDEV.S(INDEX(H:H,ROW()-19):H636)*SQRT(252))</f>
        <v/>
      </c>
      <c r="L636" s="426" cm="1">
        <f t="array" ref="L636">IF(ROW()&lt;17,NA(),_xlfn.LET(_xlpm.d,INDEX(E:E,ROW()-13):E636-INDEX(E:E,ROW()-14):INDEX(E:E,ROW()-1),_xlpm.g,SUM(IF(_xlpm.d&gt;0,_xlpm.d,0)),_xlpm.l,-SUM(IF(_xlpm.d&lt;0,_xlpm.d,0)),IF(_xlpm.l=0,100,100-100/(1+_xlpm.g/_xlpm.l))))</f>
        <v/>
      </c>
      <c r="M636" s="211">
        <f>MAX($E$2:E636)</f>
        <v/>
      </c>
      <c r="N636" s="341">
        <f>E636/M636-1</f>
        <v/>
      </c>
    </row>
    <row r="637">
      <c r="A637" s="424" t="n">
        <v>45387</v>
      </c>
      <c r="B637" s="425" t="n">
        <v>83.72879110568579</v>
      </c>
      <c r="C637" s="425" t="n">
        <v>84.76189868706393</v>
      </c>
      <c r="D637" s="425" t="n">
        <v>83.40007603417244</v>
      </c>
      <c r="E637" s="425" t="n">
        <v>83.43763732910156</v>
      </c>
      <c r="F637" s="207" t="n">
        <v>9716700</v>
      </c>
      <c r="G637" s="208" t="n">
        <v>0.0104467121295051</v>
      </c>
      <c r="H637" s="209" cm="1">
        <f t="array" ref="H637">IF(ROW()&lt;3,"",E637/INDEX(E:E,ROW()-1)-1)</f>
        <v/>
      </c>
      <c r="I637" s="211">
        <f>IF(ROW()&lt;51,NA(),AVERAGE(INDEX(E:E,ROW()-49):E637))</f>
        <v/>
      </c>
      <c r="J637" s="211">
        <f>IF(ROW()&lt;201,NA(),AVERAGE(INDEX(E:E,ROW()-199):E637))</f>
        <v/>
      </c>
      <c r="K637" s="341">
        <f>IF(ROW()&lt;22,NA(),_xlfn.STDEV.S(INDEX(H:H,ROW()-19):H637)*SQRT(252))</f>
        <v/>
      </c>
      <c r="L637" s="426" cm="1">
        <f t="array" ref="L637">IF(ROW()&lt;17,NA(),_xlfn.LET(_xlpm.d,INDEX(E:E,ROW()-13):E637-INDEX(E:E,ROW()-14):INDEX(E:E,ROW()-1),_xlpm.g,SUM(IF(_xlpm.d&gt;0,_xlpm.d,0)),_xlpm.l,-SUM(IF(_xlpm.d&lt;0,_xlpm.d,0)),IF(_xlpm.l=0,100,100-100/(1+_xlpm.g/_xlpm.l))))</f>
        <v/>
      </c>
      <c r="M637" s="211">
        <f>MAX($E$2:E637)</f>
        <v/>
      </c>
      <c r="N637" s="341">
        <f>E637/M637-1</f>
        <v/>
      </c>
    </row>
    <row r="638">
      <c r="A638" s="424" t="n">
        <v>45390</v>
      </c>
      <c r="B638" s="425" t="n">
        <v>83.69122108647393</v>
      </c>
      <c r="C638" s="425" t="n">
        <v>84.77129101457282</v>
      </c>
      <c r="D638" s="425" t="n">
        <v>83.40007448076375</v>
      </c>
      <c r="E638" s="425" t="n">
        <v>84.527099609375</v>
      </c>
      <c r="F638" s="207" t="n">
        <v>8452500</v>
      </c>
      <c r="G638" s="208" t="n">
        <v>0.0005594304729916733</v>
      </c>
      <c r="H638" s="209" cm="1">
        <f t="array" ref="H638">IF(ROW()&lt;3,"",E638/INDEX(E:E,ROW()-1)-1)</f>
        <v/>
      </c>
      <c r="I638" s="211">
        <f>IF(ROW()&lt;51,NA(),AVERAGE(INDEX(E:E,ROW()-49):E638))</f>
        <v/>
      </c>
      <c r="J638" s="211">
        <f>IF(ROW()&lt;201,NA(),AVERAGE(INDEX(E:E,ROW()-199):E638))</f>
        <v/>
      </c>
      <c r="K638" s="341">
        <f>IF(ROW()&lt;22,NA(),_xlfn.STDEV.S(INDEX(H:H,ROW()-19):H638)*SQRT(252))</f>
        <v/>
      </c>
      <c r="L638" s="426" cm="1">
        <f t="array" ref="L638">IF(ROW()&lt;17,NA(),_xlfn.LET(_xlpm.d,INDEX(E:E,ROW()-13):E638-INDEX(E:E,ROW()-14):INDEX(E:E,ROW()-1),_xlpm.g,SUM(IF(_xlpm.d&gt;0,_xlpm.d,0)),_xlpm.l,-SUM(IF(_xlpm.d&lt;0,_xlpm.d,0)),IF(_xlpm.l=0,100,100-100/(1+_xlpm.g/_xlpm.l))))</f>
        <v/>
      </c>
      <c r="M638" s="211">
        <f>MAX($E$2:E638)</f>
        <v/>
      </c>
      <c r="N638" s="341">
        <f>E638/M638-1</f>
        <v/>
      </c>
    </row>
    <row r="639">
      <c r="A639" s="424" t="n">
        <v>45391</v>
      </c>
      <c r="B639" s="425" t="n">
        <v>84.52709575275799</v>
      </c>
      <c r="C639" s="425" t="n">
        <v>85.6165595374321</v>
      </c>
      <c r="D639" s="425" t="n">
        <v>84.40500363845514</v>
      </c>
      <c r="E639" s="425" t="n">
        <v>85.46628570556641</v>
      </c>
      <c r="F639" s="207" t="n">
        <v>7191900</v>
      </c>
      <c r="G639" s="208" t="n">
        <v>0.001156697046948763</v>
      </c>
      <c r="H639" s="209" cm="1">
        <f t="array" ref="H639">IF(ROW()&lt;3,"",E639/INDEX(E:E,ROW()-1)-1)</f>
        <v/>
      </c>
      <c r="I639" s="211">
        <f>IF(ROW()&lt;51,NA(),AVERAGE(INDEX(E:E,ROW()-49):E639))</f>
        <v/>
      </c>
      <c r="J639" s="211">
        <f>IF(ROW()&lt;201,NA(),AVERAGE(INDEX(E:E,ROW()-199):E639))</f>
        <v/>
      </c>
      <c r="K639" s="341">
        <f>IF(ROW()&lt;22,NA(),_xlfn.STDEV.S(INDEX(H:H,ROW()-19):H639)*SQRT(252))</f>
        <v/>
      </c>
      <c r="L639" s="426" cm="1">
        <f t="array" ref="L639">IF(ROW()&lt;17,NA(),_xlfn.LET(_xlpm.d,INDEX(E:E,ROW()-13):E639-INDEX(E:E,ROW()-14):INDEX(E:E,ROW()-1),_xlpm.g,SUM(IF(_xlpm.d&gt;0,_xlpm.d,0)),_xlpm.l,-SUM(IF(_xlpm.d&lt;0,_xlpm.d,0)),IF(_xlpm.l=0,100,100-100/(1+_xlpm.g/_xlpm.l))))</f>
        <v/>
      </c>
      <c r="M639" s="211">
        <f>MAX($E$2:E639)</f>
        <v/>
      </c>
      <c r="N639" s="341">
        <f>E639/M639-1</f>
        <v/>
      </c>
    </row>
    <row r="640">
      <c r="A640" s="424" t="n">
        <v>45392</v>
      </c>
      <c r="B640" s="425" t="n">
        <v>84.43317056870876</v>
      </c>
      <c r="C640" s="425" t="n">
        <v>84.62100567613412</v>
      </c>
      <c r="D640" s="425" t="n">
        <v>83.37188143195033</v>
      </c>
      <c r="E640" s="425" t="n">
        <v>83.58789825439453</v>
      </c>
      <c r="F640" s="207" t="n">
        <v>7932900</v>
      </c>
      <c r="G640" s="208" t="n">
        <v>-0.01001298442171894</v>
      </c>
      <c r="H640" s="209" cm="1">
        <f t="array" ref="H640">IF(ROW()&lt;3,"",E640/INDEX(E:E,ROW()-1)-1)</f>
        <v/>
      </c>
      <c r="I640" s="211">
        <f>IF(ROW()&lt;51,NA(),AVERAGE(INDEX(E:E,ROW()-49):E640))</f>
        <v/>
      </c>
      <c r="J640" s="211">
        <f>IF(ROW()&lt;201,NA(),AVERAGE(INDEX(E:E,ROW()-199):E640))</f>
        <v/>
      </c>
      <c r="K640" s="341">
        <f>IF(ROW()&lt;22,NA(),_xlfn.STDEV.S(INDEX(H:H,ROW()-19):H640)*SQRT(252))</f>
        <v/>
      </c>
      <c r="L640" s="426" cm="1">
        <f t="array" ref="L640">IF(ROW()&lt;17,NA(),_xlfn.LET(_xlpm.d,INDEX(E:E,ROW()-13):E640-INDEX(E:E,ROW()-14):INDEX(E:E,ROW()-1),_xlpm.g,SUM(IF(_xlpm.d&gt;0,_xlpm.d,0)),_xlpm.l,-SUM(IF(_xlpm.d&lt;0,_xlpm.d,0)),IF(_xlpm.l=0,100,100-100/(1+_xlpm.g/_xlpm.l))))</f>
        <v/>
      </c>
      <c r="M640" s="211">
        <f>MAX($E$2:E640)</f>
        <v/>
      </c>
      <c r="N640" s="341">
        <f>E640/M640-1</f>
        <v/>
      </c>
    </row>
    <row r="641">
      <c r="A641" s="424" t="n">
        <v>45393</v>
      </c>
      <c r="B641" s="425" t="n">
        <v>85.68230628871179</v>
      </c>
      <c r="C641" s="425" t="n">
        <v>86.79055076803374</v>
      </c>
      <c r="D641" s="425" t="n">
        <v>85.30662885809484</v>
      </c>
      <c r="E641" s="425" t="n">
        <v>86.40547943115234</v>
      </c>
      <c r="F641" s="207" t="n">
        <v>15330200</v>
      </c>
      <c r="G641" s="208" t="n">
        <v>0.007546903226827606</v>
      </c>
      <c r="H641" s="209" cm="1">
        <f t="array" ref="H641">IF(ROW()&lt;3,"",E641/INDEX(E:E,ROW()-1)-1)</f>
        <v/>
      </c>
      <c r="I641" s="211">
        <f>IF(ROW()&lt;51,NA(),AVERAGE(INDEX(E:E,ROW()-49):E641))</f>
        <v/>
      </c>
      <c r="J641" s="211">
        <f>IF(ROW()&lt;201,NA(),AVERAGE(INDEX(E:E,ROW()-199):E641))</f>
        <v/>
      </c>
      <c r="K641" s="341">
        <f>IF(ROW()&lt;22,NA(),_xlfn.STDEV.S(INDEX(H:H,ROW()-19):H641)*SQRT(252))</f>
        <v/>
      </c>
      <c r="L641" s="426" cm="1">
        <f t="array" ref="L641">IF(ROW()&lt;17,NA(),_xlfn.LET(_xlpm.d,INDEX(E:E,ROW()-13):E641-INDEX(E:E,ROW()-14):INDEX(E:E,ROW()-1),_xlpm.g,SUM(IF(_xlpm.d&gt;0,_xlpm.d,0)),_xlpm.l,-SUM(IF(_xlpm.d&lt;0,_xlpm.d,0)),IF(_xlpm.l=0,100,100-100/(1+_xlpm.g/_xlpm.l))))</f>
        <v/>
      </c>
      <c r="M641" s="211">
        <f>MAX($E$2:E641)</f>
        <v/>
      </c>
      <c r="N641" s="341">
        <f>E641/M641-1</f>
        <v/>
      </c>
    </row>
    <row r="642">
      <c r="A642" s="424" t="n">
        <v>45394</v>
      </c>
      <c r="B642" s="425" t="n">
        <v>86.41487333741679</v>
      </c>
      <c r="C642" s="425" t="n">
        <v>87.22257730533538</v>
      </c>
      <c r="D642" s="425" t="n">
        <v>85.57899481615586</v>
      </c>
      <c r="E642" s="425" t="n">
        <v>86.40547943115234</v>
      </c>
      <c r="F642" s="207" t="n">
        <v>10905900</v>
      </c>
      <c r="G642" s="208" t="n">
        <v>-0.01380315565686885</v>
      </c>
      <c r="H642" s="209" cm="1">
        <f t="array" ref="H642">IF(ROW()&lt;3,"",E642/INDEX(E:E,ROW()-1)-1)</f>
        <v/>
      </c>
      <c r="I642" s="211">
        <f>IF(ROW()&lt;51,NA(),AVERAGE(INDEX(E:E,ROW()-49):E642))</f>
        <v/>
      </c>
      <c r="J642" s="211">
        <f>IF(ROW()&lt;201,NA(),AVERAGE(INDEX(E:E,ROW()-199):E642))</f>
        <v/>
      </c>
      <c r="K642" s="341">
        <f>IF(ROW()&lt;22,NA(),_xlfn.STDEV.S(INDEX(H:H,ROW()-19):H642)*SQRT(252))</f>
        <v/>
      </c>
      <c r="L642" s="426" cm="1">
        <f t="array" ref="L642">IF(ROW()&lt;17,NA(),_xlfn.LET(_xlpm.d,INDEX(E:E,ROW()-13):E642-INDEX(E:E,ROW()-14):INDEX(E:E,ROW()-1),_xlpm.g,SUM(IF(_xlpm.d&gt;0,_xlpm.d,0)),_xlpm.l,-SUM(IF(_xlpm.d&lt;0,_xlpm.d,0)),IF(_xlpm.l=0,100,100-100/(1+_xlpm.g/_xlpm.l))))</f>
        <v/>
      </c>
      <c r="M642" s="211">
        <f>MAX($E$2:E642)</f>
        <v/>
      </c>
      <c r="N642" s="341">
        <f>E642/M642-1</f>
        <v/>
      </c>
    </row>
    <row r="643">
      <c r="A643" s="424" t="n">
        <v>45397</v>
      </c>
      <c r="B643" s="425" t="n">
        <v>87.89878444562942</v>
      </c>
      <c r="C643" s="425" t="n">
        <v>88.20871885047559</v>
      </c>
      <c r="D643" s="425" t="n">
        <v>86.91263929218803</v>
      </c>
      <c r="E643" s="425" t="n">
        <v>87.43858337402344</v>
      </c>
      <c r="F643" s="207" t="n">
        <v>11597300</v>
      </c>
      <c r="G643" s="208" t="n">
        <v>-0.01252797295653352</v>
      </c>
      <c r="H643" s="209" cm="1">
        <f t="array" ref="H643">IF(ROW()&lt;3,"",E643/INDEX(E:E,ROW()-1)-1)</f>
        <v/>
      </c>
      <c r="I643" s="211">
        <f>IF(ROW()&lt;51,NA(),AVERAGE(INDEX(E:E,ROW()-49):E643))</f>
        <v/>
      </c>
      <c r="J643" s="211">
        <f>IF(ROW()&lt;201,NA(),AVERAGE(INDEX(E:E,ROW()-199):E643))</f>
        <v/>
      </c>
      <c r="K643" s="341">
        <f>IF(ROW()&lt;22,NA(),_xlfn.STDEV.S(INDEX(H:H,ROW()-19):H643)*SQRT(252))</f>
        <v/>
      </c>
      <c r="L643" s="426" cm="1">
        <f t="array" ref="L643">IF(ROW()&lt;17,NA(),_xlfn.LET(_xlpm.d,INDEX(E:E,ROW()-13):E643-INDEX(E:E,ROW()-14):INDEX(E:E,ROW()-1),_xlpm.g,SUM(IF(_xlpm.d&gt;0,_xlpm.d,0)),_xlpm.l,-SUM(IF(_xlpm.d&lt;0,_xlpm.d,0)),IF(_xlpm.l=0,100,100-100/(1+_xlpm.g/_xlpm.l))))</f>
        <v/>
      </c>
      <c r="M643" s="211">
        <f>MAX($E$2:E643)</f>
        <v/>
      </c>
      <c r="N643" s="341">
        <f>E643/M643-1</f>
        <v/>
      </c>
    </row>
    <row r="644">
      <c r="A644" s="424" t="n">
        <v>45398</v>
      </c>
      <c r="B644" s="425" t="n">
        <v>87.3822452955592</v>
      </c>
      <c r="C644" s="425" t="n">
        <v>88.46231531314072</v>
      </c>
      <c r="D644" s="425" t="n">
        <v>86.07677166667119</v>
      </c>
      <c r="E644" s="425" t="n">
        <v>87.71096038818359</v>
      </c>
      <c r="F644" s="207" t="n">
        <v>10388200</v>
      </c>
      <c r="G644" s="208" t="n">
        <v>-0.001823956467699173</v>
      </c>
      <c r="H644" s="209" cm="1">
        <f t="array" ref="H644">IF(ROW()&lt;3,"",E644/INDEX(E:E,ROW()-1)-1)</f>
        <v/>
      </c>
      <c r="I644" s="211">
        <f>IF(ROW()&lt;51,NA(),AVERAGE(INDEX(E:E,ROW()-49):E644))</f>
        <v/>
      </c>
      <c r="J644" s="211">
        <f>IF(ROW()&lt;201,NA(),AVERAGE(INDEX(E:E,ROW()-199):E644))</f>
        <v/>
      </c>
      <c r="K644" s="341">
        <f>IF(ROW()&lt;22,NA(),_xlfn.STDEV.S(INDEX(H:H,ROW()-19):H644)*SQRT(252))</f>
        <v/>
      </c>
      <c r="L644" s="426" cm="1">
        <f t="array" ref="L644">IF(ROW()&lt;17,NA(),_xlfn.LET(_xlpm.d,INDEX(E:E,ROW()-13):E644-INDEX(E:E,ROW()-14):INDEX(E:E,ROW()-1),_xlpm.g,SUM(IF(_xlpm.d&gt;0,_xlpm.d,0)),_xlpm.l,-SUM(IF(_xlpm.d&lt;0,_xlpm.d,0)),IF(_xlpm.l=0,100,100-100/(1+_xlpm.g/_xlpm.l))))</f>
        <v/>
      </c>
      <c r="M644" s="211">
        <f>MAX($E$2:E644)</f>
        <v/>
      </c>
      <c r="N644" s="341">
        <f>E644/M644-1</f>
        <v/>
      </c>
    </row>
    <row r="645">
      <c r="A645" s="424" t="n">
        <v>45399</v>
      </c>
      <c r="B645" s="425" t="n">
        <v>88.85675188376395</v>
      </c>
      <c r="C645" s="425" t="n">
        <v>89.288778352975</v>
      </c>
      <c r="D645" s="425" t="n">
        <v>87.96452439644003</v>
      </c>
      <c r="E645" s="425" t="n">
        <v>89.07276153564453</v>
      </c>
      <c r="F645" s="207" t="n">
        <v>10181200</v>
      </c>
      <c r="G645" s="208" t="n">
        <v>-0.005918208693604488</v>
      </c>
      <c r="H645" s="209" cm="1">
        <f t="array" ref="H645">IF(ROW()&lt;3,"",E645/INDEX(E:E,ROW()-1)-1)</f>
        <v/>
      </c>
      <c r="I645" s="211">
        <f>IF(ROW()&lt;51,NA(),AVERAGE(INDEX(E:E,ROW()-49):E645))</f>
        <v/>
      </c>
      <c r="J645" s="211">
        <f>IF(ROW()&lt;201,NA(),AVERAGE(INDEX(E:E,ROW()-199):E645))</f>
        <v/>
      </c>
      <c r="K645" s="341">
        <f>IF(ROW()&lt;22,NA(),_xlfn.STDEV.S(INDEX(H:H,ROW()-19):H645)*SQRT(252))</f>
        <v/>
      </c>
      <c r="L645" s="426" cm="1">
        <f t="array" ref="L645">IF(ROW()&lt;17,NA(),_xlfn.LET(_xlpm.d,INDEX(E:E,ROW()-13):E645-INDEX(E:E,ROW()-14):INDEX(E:E,ROW()-1),_xlpm.g,SUM(IF(_xlpm.d&gt;0,_xlpm.d,0)),_xlpm.l,-SUM(IF(_xlpm.d&lt;0,_xlpm.d,0)),IF(_xlpm.l=0,100,100-100/(1+_xlpm.g/_xlpm.l))))</f>
        <v/>
      </c>
      <c r="M645" s="211">
        <f>MAX($E$2:E645)</f>
        <v/>
      </c>
      <c r="N645" s="341">
        <f>E645/M645-1</f>
        <v/>
      </c>
    </row>
    <row r="646">
      <c r="A646" s="424" t="n">
        <v>45400</v>
      </c>
      <c r="B646" s="425" t="n">
        <v>89.37332789436796</v>
      </c>
      <c r="C646" s="425" t="n">
        <v>90.0495387060694</v>
      </c>
      <c r="D646" s="425" t="n">
        <v>88.78163358163357</v>
      </c>
      <c r="E646" s="425" t="n">
        <v>89.91805267333984</v>
      </c>
      <c r="F646" s="207" t="n">
        <v>10062900</v>
      </c>
      <c r="G646" s="208" t="n">
        <v>-0.002057668575260685</v>
      </c>
      <c r="H646" s="209" cm="1">
        <f t="array" ref="H646">IF(ROW()&lt;3,"",E646/INDEX(E:E,ROW()-1)-1)</f>
        <v/>
      </c>
      <c r="I646" s="211">
        <f>IF(ROW()&lt;51,NA(),AVERAGE(INDEX(E:E,ROW()-49):E646))</f>
        <v/>
      </c>
      <c r="J646" s="211">
        <f>IF(ROW()&lt;201,NA(),AVERAGE(INDEX(E:E,ROW()-199):E646))</f>
        <v/>
      </c>
      <c r="K646" s="341">
        <f>IF(ROW()&lt;22,NA(),_xlfn.STDEV.S(INDEX(H:H,ROW()-19):H646)*SQRT(252))</f>
        <v/>
      </c>
      <c r="L646" s="426" cm="1">
        <f t="array" ref="L646">IF(ROW()&lt;17,NA(),_xlfn.LET(_xlpm.d,INDEX(E:E,ROW()-13):E646-INDEX(E:E,ROW()-14):INDEX(E:E,ROW()-1),_xlpm.g,SUM(IF(_xlpm.d&gt;0,_xlpm.d,0)),_xlpm.l,-SUM(IF(_xlpm.d&lt;0,_xlpm.d,0)),IF(_xlpm.l=0,100,100-100/(1+_xlpm.g/_xlpm.l))))</f>
        <v/>
      </c>
      <c r="M646" s="211">
        <f>MAX($E$2:E646)</f>
        <v/>
      </c>
      <c r="N646" s="341">
        <f>E646/M646-1</f>
        <v/>
      </c>
    </row>
    <row r="647">
      <c r="A647" s="424" t="n">
        <v>45401</v>
      </c>
      <c r="B647" s="425" t="n">
        <v>89.61750231330623</v>
      </c>
      <c r="C647" s="425" t="n">
        <v>90.36885713113614</v>
      </c>
      <c r="D647" s="425" t="n">
        <v>88.74405538289547</v>
      </c>
      <c r="E647" s="425" t="n">
        <v>88.78162384033203</v>
      </c>
      <c r="F647" s="207" t="n">
        <v>11241900</v>
      </c>
      <c r="G647" s="208" t="n">
        <v>-0.008728434984663358</v>
      </c>
      <c r="H647" s="209" cm="1">
        <f t="array" ref="H647">IF(ROW()&lt;3,"",E647/INDEX(E:E,ROW()-1)-1)</f>
        <v/>
      </c>
      <c r="I647" s="211">
        <f>IF(ROW()&lt;51,NA(),AVERAGE(INDEX(E:E,ROW()-49):E647))</f>
        <v/>
      </c>
      <c r="J647" s="211">
        <f>IF(ROW()&lt;201,NA(),AVERAGE(INDEX(E:E,ROW()-199):E647))</f>
        <v/>
      </c>
      <c r="K647" s="341">
        <f>IF(ROW()&lt;22,NA(),_xlfn.STDEV.S(INDEX(H:H,ROW()-19):H647)*SQRT(252))</f>
        <v/>
      </c>
      <c r="L647" s="426" cm="1">
        <f t="array" ref="L647">IF(ROW()&lt;17,NA(),_xlfn.LET(_xlpm.d,INDEX(E:E,ROW()-13):E647-INDEX(E:E,ROW()-14):INDEX(E:E,ROW()-1),_xlpm.g,SUM(IF(_xlpm.d&gt;0,_xlpm.d,0)),_xlpm.l,-SUM(IF(_xlpm.d&lt;0,_xlpm.d,0)),IF(_xlpm.l=0,100,100-100/(1+_xlpm.g/_xlpm.l))))</f>
        <v/>
      </c>
      <c r="M647" s="211">
        <f>MAX($E$2:E647)</f>
        <v/>
      </c>
      <c r="N647" s="341">
        <f>E647/M647-1</f>
        <v/>
      </c>
    </row>
    <row r="648">
      <c r="A648" s="424" t="n">
        <v>45404</v>
      </c>
      <c r="B648" s="425" t="n">
        <v>88.87554186467702</v>
      </c>
      <c r="C648" s="425" t="n">
        <v>89.27939382741279</v>
      </c>
      <c r="D648" s="425" t="n">
        <v>88.14297485447041</v>
      </c>
      <c r="E648" s="425" t="n">
        <v>88.46230316162109</v>
      </c>
      <c r="F648" s="207" t="n">
        <v>8642000</v>
      </c>
      <c r="G648" s="208" t="n">
        <v>0.009209287091319185</v>
      </c>
      <c r="H648" s="209" cm="1">
        <f t="array" ref="H648">IF(ROW()&lt;3,"",E648/INDEX(E:E,ROW()-1)-1)</f>
        <v/>
      </c>
      <c r="I648" s="211">
        <f>IF(ROW()&lt;51,NA(),AVERAGE(INDEX(E:E,ROW()-49):E648))</f>
        <v/>
      </c>
      <c r="J648" s="211">
        <f>IF(ROW()&lt;201,NA(),AVERAGE(INDEX(E:E,ROW()-199):E648))</f>
        <v/>
      </c>
      <c r="K648" s="341">
        <f>IF(ROW()&lt;22,NA(),_xlfn.STDEV.S(INDEX(H:H,ROW()-19):H648)*SQRT(252))</f>
        <v/>
      </c>
      <c r="L648" s="426" cm="1">
        <f t="array" ref="L648">IF(ROW()&lt;17,NA(),_xlfn.LET(_xlpm.d,INDEX(E:E,ROW()-13):E648-INDEX(E:E,ROW()-14):INDEX(E:E,ROW()-1),_xlpm.g,SUM(IF(_xlpm.d&gt;0,_xlpm.d,0)),_xlpm.l,-SUM(IF(_xlpm.d&lt;0,_xlpm.d,0)),IF(_xlpm.l=0,100,100-100/(1+_xlpm.g/_xlpm.l))))</f>
        <v/>
      </c>
      <c r="M648" s="211">
        <f>MAX($E$2:E648)</f>
        <v/>
      </c>
      <c r="N648" s="341">
        <f>E648/M648-1</f>
        <v/>
      </c>
    </row>
    <row r="649">
      <c r="A649" s="424" t="n">
        <v>45405</v>
      </c>
      <c r="B649" s="425" t="n">
        <v>88.63134974713091</v>
      </c>
      <c r="C649" s="425" t="n">
        <v>88.96006476533528</v>
      </c>
      <c r="D649" s="425" t="n">
        <v>88.19932327099804</v>
      </c>
      <c r="E649" s="425" t="n">
        <v>88.30262756347656</v>
      </c>
      <c r="F649" s="207" t="n">
        <v>6582700</v>
      </c>
      <c r="G649" s="208" t="n">
        <v>0.01186649052310407</v>
      </c>
      <c r="H649" s="209" cm="1">
        <f t="array" ref="H649">IF(ROW()&lt;3,"",E649/INDEX(E:E,ROW()-1)-1)</f>
        <v/>
      </c>
      <c r="I649" s="211">
        <f>IF(ROW()&lt;51,NA(),AVERAGE(INDEX(E:E,ROW()-49):E649))</f>
        <v/>
      </c>
      <c r="J649" s="211">
        <f>IF(ROW()&lt;201,NA(),AVERAGE(INDEX(E:E,ROW()-199):E649))</f>
        <v/>
      </c>
      <c r="K649" s="341">
        <f>IF(ROW()&lt;22,NA(),_xlfn.STDEV.S(INDEX(H:H,ROW()-19):H649)*SQRT(252))</f>
        <v/>
      </c>
      <c r="L649" s="426" cm="1">
        <f t="array" ref="L649">IF(ROW()&lt;17,NA(),_xlfn.LET(_xlpm.d,INDEX(E:E,ROW()-13):E649-INDEX(E:E,ROW()-14):INDEX(E:E,ROW()-1),_xlpm.g,SUM(IF(_xlpm.d&gt;0,_xlpm.d,0)),_xlpm.l,-SUM(IF(_xlpm.d&lt;0,_xlpm.d,0)),IF(_xlpm.l=0,100,100-100/(1+_xlpm.g/_xlpm.l))))</f>
        <v/>
      </c>
      <c r="M649" s="211">
        <f>MAX($E$2:E649)</f>
        <v/>
      </c>
      <c r="N649" s="341">
        <f>E649/M649-1</f>
        <v/>
      </c>
    </row>
    <row r="650">
      <c r="A650" s="424" t="n">
        <v>45406</v>
      </c>
      <c r="B650" s="425" t="n">
        <v>88.37777005493368</v>
      </c>
      <c r="C650" s="425" t="n">
        <v>89.40149079395351</v>
      </c>
      <c r="D650" s="425" t="n">
        <v>88.37777005493368</v>
      </c>
      <c r="E650" s="425" t="n">
        <v>88.88493347167969</v>
      </c>
      <c r="F650" s="207" t="n">
        <v>6493200</v>
      </c>
      <c r="G650" s="208" t="n">
        <v>-0.0004745262302653375</v>
      </c>
      <c r="H650" s="209" cm="1">
        <f t="array" ref="H650">IF(ROW()&lt;3,"",E650/INDEX(E:E,ROW()-1)-1)</f>
        <v/>
      </c>
      <c r="I650" s="211">
        <f>IF(ROW()&lt;51,NA(),AVERAGE(INDEX(E:E,ROW()-49):E650))</f>
        <v/>
      </c>
      <c r="J650" s="211">
        <f>IF(ROW()&lt;201,NA(),AVERAGE(INDEX(E:E,ROW()-199):E650))</f>
        <v/>
      </c>
      <c r="K650" s="341">
        <f>IF(ROW()&lt;22,NA(),_xlfn.STDEV.S(INDEX(H:H,ROW()-19):H650)*SQRT(252))</f>
        <v/>
      </c>
      <c r="L650" s="426" cm="1">
        <f t="array" ref="L650">IF(ROW()&lt;17,NA(),_xlfn.LET(_xlpm.d,INDEX(E:E,ROW()-13):E650-INDEX(E:E,ROW()-14):INDEX(E:E,ROW()-1),_xlpm.g,SUM(IF(_xlpm.d&gt;0,_xlpm.d,0)),_xlpm.l,-SUM(IF(_xlpm.d&lt;0,_xlpm.d,0)),IF(_xlpm.l=0,100,100-100/(1+_xlpm.g/_xlpm.l))))</f>
        <v/>
      </c>
      <c r="M650" s="211">
        <f>MAX($E$2:E650)</f>
        <v/>
      </c>
      <c r="N650" s="341">
        <f>E650/M650-1</f>
        <v/>
      </c>
    </row>
    <row r="651">
      <c r="A651" s="424" t="n">
        <v>45407</v>
      </c>
      <c r="B651" s="425" t="n">
        <v>88.28385001621064</v>
      </c>
      <c r="C651" s="425" t="n">
        <v>89.02581089215835</v>
      </c>
      <c r="D651" s="425" t="n">
        <v>86.81871607484312</v>
      </c>
      <c r="E651" s="425" t="n">
        <v>88.22750091552734</v>
      </c>
      <c r="F651" s="207" t="n">
        <v>5317900</v>
      </c>
      <c r="G651" s="208" t="n">
        <v>-0.003798944568393914</v>
      </c>
      <c r="H651" s="209" cm="1">
        <f t="array" ref="H651">IF(ROW()&lt;3,"",E651/INDEX(E:E,ROW()-1)-1)</f>
        <v/>
      </c>
      <c r="I651" s="211">
        <f>IF(ROW()&lt;51,NA(),AVERAGE(INDEX(E:E,ROW()-49):E651))</f>
        <v/>
      </c>
      <c r="J651" s="211">
        <f>IF(ROW()&lt;201,NA(),AVERAGE(INDEX(E:E,ROW()-199):E651))</f>
        <v/>
      </c>
      <c r="K651" s="341">
        <f>IF(ROW()&lt;22,NA(),_xlfn.STDEV.S(INDEX(H:H,ROW()-19):H651)*SQRT(252))</f>
        <v/>
      </c>
      <c r="L651" s="426" cm="1">
        <f t="array" ref="L651">IF(ROW()&lt;17,NA(),_xlfn.LET(_xlpm.d,INDEX(E:E,ROW()-13):E651-INDEX(E:E,ROW()-14):INDEX(E:E,ROW()-1),_xlpm.g,SUM(IF(_xlpm.d&gt;0,_xlpm.d,0)),_xlpm.l,-SUM(IF(_xlpm.d&lt;0,_xlpm.d,0)),IF(_xlpm.l=0,100,100-100/(1+_xlpm.g/_xlpm.l))))</f>
        <v/>
      </c>
      <c r="M651" s="211">
        <f>MAX($E$2:E651)</f>
        <v/>
      </c>
      <c r="N651" s="341">
        <f>E651/M651-1</f>
        <v/>
      </c>
    </row>
    <row r="652">
      <c r="A652" s="424" t="n">
        <v>45408</v>
      </c>
      <c r="B652" s="425" t="n">
        <v>88.83798159393605</v>
      </c>
      <c r="C652" s="425" t="n">
        <v>89.61751103938369</v>
      </c>
      <c r="D652" s="425" t="n">
        <v>88.19933925168165</v>
      </c>
      <c r="E652" s="425" t="n">
        <v>88.39656829833984</v>
      </c>
      <c r="F652" s="207" t="n">
        <v>6115700</v>
      </c>
      <c r="G652" s="208" t="n">
        <v>0.009473829310949533</v>
      </c>
      <c r="H652" s="209" cm="1">
        <f t="array" ref="H652">IF(ROW()&lt;3,"",E652/INDEX(E:E,ROW()-1)-1)</f>
        <v/>
      </c>
      <c r="I652" s="211">
        <f>IF(ROW()&lt;51,NA(),AVERAGE(INDEX(E:E,ROW()-49):E652))</f>
        <v/>
      </c>
      <c r="J652" s="211">
        <f>IF(ROW()&lt;201,NA(),AVERAGE(INDEX(E:E,ROW()-199):E652))</f>
        <v/>
      </c>
      <c r="K652" s="341">
        <f>IF(ROW()&lt;22,NA(),_xlfn.STDEV.S(INDEX(H:H,ROW()-19):H652)*SQRT(252))</f>
        <v/>
      </c>
      <c r="L652" s="426" cm="1">
        <f t="array" ref="L652">IF(ROW()&lt;17,NA(),_xlfn.LET(_xlpm.d,INDEX(E:E,ROW()-13):E652-INDEX(E:E,ROW()-14):INDEX(E:E,ROW()-1),_xlpm.g,SUM(IF(_xlpm.d&gt;0,_xlpm.d,0)),_xlpm.l,-SUM(IF(_xlpm.d&lt;0,_xlpm.d,0)),IF(_xlpm.l=0,100,100-100/(1+_xlpm.g/_xlpm.l))))</f>
        <v/>
      </c>
      <c r="M652" s="211">
        <f>MAX($E$2:E652)</f>
        <v/>
      </c>
      <c r="N652" s="341">
        <f>E652/M652-1</f>
        <v/>
      </c>
    </row>
    <row r="653">
      <c r="A653" s="424" t="n">
        <v>45411</v>
      </c>
      <c r="B653" s="425" t="n">
        <v>88.6970914298409</v>
      </c>
      <c r="C653" s="425" t="n">
        <v>89.11972399474527</v>
      </c>
      <c r="D653" s="425" t="n">
        <v>88.00208578404498</v>
      </c>
      <c r="E653" s="425" t="n">
        <v>88.34019470214844</v>
      </c>
      <c r="F653" s="207" t="n">
        <v>5030700</v>
      </c>
      <c r="G653" s="208" t="n">
        <v>0.003541443574987424</v>
      </c>
      <c r="H653" s="209" cm="1">
        <f t="array" ref="H653">IF(ROW()&lt;3,"",E653/INDEX(E:E,ROW()-1)-1)</f>
        <v/>
      </c>
      <c r="I653" s="211">
        <f>IF(ROW()&lt;51,NA(),AVERAGE(INDEX(E:E,ROW()-49):E653))</f>
        <v/>
      </c>
      <c r="J653" s="211">
        <f>IF(ROW()&lt;201,NA(),AVERAGE(INDEX(E:E,ROW()-199):E653))</f>
        <v/>
      </c>
      <c r="K653" s="341">
        <f>IF(ROW()&lt;22,NA(),_xlfn.STDEV.S(INDEX(H:H,ROW()-19):H653)*SQRT(252))</f>
        <v/>
      </c>
      <c r="L653" s="426" cm="1">
        <f t="array" ref="L653">IF(ROW()&lt;17,NA(),_xlfn.LET(_xlpm.d,INDEX(E:E,ROW()-13):E653-INDEX(E:E,ROW()-14):INDEX(E:E,ROW()-1),_xlpm.g,SUM(IF(_xlpm.d&gt;0,_xlpm.d,0)),_xlpm.l,-SUM(IF(_xlpm.d&lt;0,_xlpm.d,0)),IF(_xlpm.l=0,100,100-100/(1+_xlpm.g/_xlpm.l))))</f>
        <v/>
      </c>
      <c r="M653" s="211">
        <f>MAX($E$2:E653)</f>
        <v/>
      </c>
      <c r="N653" s="341">
        <f>E653/M653-1</f>
        <v/>
      </c>
    </row>
    <row r="654">
      <c r="A654" s="424" t="n">
        <v>45412</v>
      </c>
      <c r="B654" s="425" t="n">
        <v>87.26015609263264</v>
      </c>
      <c r="C654" s="425" t="n">
        <v>87.82366872252719</v>
      </c>
      <c r="D654" s="425" t="n">
        <v>86.64028718393233</v>
      </c>
      <c r="E654" s="425" t="n">
        <v>86.64968109130859</v>
      </c>
      <c r="F654" s="207" t="n">
        <v>6493300</v>
      </c>
      <c r="G654" s="208" t="n">
        <v>-0.01584114236090983</v>
      </c>
      <c r="H654" s="209" cm="1">
        <f t="array" ref="H654">IF(ROW()&lt;3,"",E654/INDEX(E:E,ROW()-1)-1)</f>
        <v/>
      </c>
      <c r="I654" s="211">
        <f>IF(ROW()&lt;51,NA(),AVERAGE(INDEX(E:E,ROW()-49):E654))</f>
        <v/>
      </c>
      <c r="J654" s="211">
        <f>IF(ROW()&lt;201,NA(),AVERAGE(INDEX(E:E,ROW()-199):E654))</f>
        <v/>
      </c>
      <c r="K654" s="341">
        <f>IF(ROW()&lt;22,NA(),_xlfn.STDEV.S(INDEX(H:H,ROW()-19):H654)*SQRT(252))</f>
        <v/>
      </c>
      <c r="L654" s="426" cm="1">
        <f t="array" ref="L654">IF(ROW()&lt;17,NA(),_xlfn.LET(_xlpm.d,INDEX(E:E,ROW()-13):E654-INDEX(E:E,ROW()-14):INDEX(E:E,ROW()-1),_xlpm.g,SUM(IF(_xlpm.d&gt;0,_xlpm.d,0)),_xlpm.l,-SUM(IF(_xlpm.d&lt;0,_xlpm.d,0)),IF(_xlpm.l=0,100,100-100/(1+_xlpm.g/_xlpm.l))))</f>
        <v/>
      </c>
      <c r="M654" s="211">
        <f>MAX($E$2:E654)</f>
        <v/>
      </c>
      <c r="N654" s="341">
        <f>E654/M654-1</f>
        <v/>
      </c>
    </row>
    <row r="655">
      <c r="A655" s="424" t="n">
        <v>45413</v>
      </c>
      <c r="B655" s="425" t="n">
        <v>86.22703072036094</v>
      </c>
      <c r="C655" s="425" t="n">
        <v>86.28338699228813</v>
      </c>
      <c r="D655" s="425" t="n">
        <v>84.61162279050042</v>
      </c>
      <c r="E655" s="425" t="n">
        <v>84.84642028808594</v>
      </c>
      <c r="F655" s="207" t="n">
        <v>9783100</v>
      </c>
      <c r="G655" s="208" t="n">
        <v>-0.003247202143011996</v>
      </c>
      <c r="H655" s="209" cm="1">
        <f t="array" ref="H655">IF(ROW()&lt;3,"",E655/INDEX(E:E,ROW()-1)-1)</f>
        <v/>
      </c>
      <c r="I655" s="211">
        <f>IF(ROW()&lt;51,NA(),AVERAGE(INDEX(E:E,ROW()-49):E655))</f>
        <v/>
      </c>
      <c r="J655" s="211">
        <f>IF(ROW()&lt;201,NA(),AVERAGE(INDEX(E:E,ROW()-199):E655))</f>
        <v/>
      </c>
      <c r="K655" s="341">
        <f>IF(ROW()&lt;22,NA(),_xlfn.STDEV.S(INDEX(H:H,ROW()-19):H655)*SQRT(252))</f>
        <v/>
      </c>
      <c r="L655" s="426" cm="1">
        <f t="array" ref="L655">IF(ROW()&lt;17,NA(),_xlfn.LET(_xlpm.d,INDEX(E:E,ROW()-13):E655-INDEX(E:E,ROW()-14):INDEX(E:E,ROW()-1),_xlpm.g,SUM(IF(_xlpm.d&gt;0,_xlpm.d,0)),_xlpm.l,-SUM(IF(_xlpm.d&lt;0,_xlpm.d,0)),IF(_xlpm.l=0,100,100-100/(1+_xlpm.g/_xlpm.l))))</f>
        <v/>
      </c>
      <c r="M655" s="211">
        <f>MAX($E$2:E655)</f>
        <v/>
      </c>
      <c r="N655" s="341">
        <f>E655/M655-1</f>
        <v/>
      </c>
    </row>
    <row r="656">
      <c r="A656" s="424" t="n">
        <v>45414</v>
      </c>
      <c r="B656" s="425" t="n">
        <v>85.77622332516857</v>
      </c>
      <c r="C656" s="425" t="n">
        <v>86.82811152585738</v>
      </c>
      <c r="D656" s="425" t="n">
        <v>85.38176524991027</v>
      </c>
      <c r="E656" s="425" t="n">
        <v>86.79055023193359</v>
      </c>
      <c r="F656" s="207" t="n">
        <v>7333300</v>
      </c>
      <c r="G656" s="208" t="n">
        <v>0.009353443441858289</v>
      </c>
      <c r="H656" s="209" cm="1">
        <f t="array" ref="H656">IF(ROW()&lt;3,"",E656/INDEX(E:E,ROW()-1)-1)</f>
        <v/>
      </c>
      <c r="I656" s="211">
        <f>IF(ROW()&lt;51,NA(),AVERAGE(INDEX(E:E,ROW()-49):E656))</f>
        <v/>
      </c>
      <c r="J656" s="211">
        <f>IF(ROW()&lt;201,NA(),AVERAGE(INDEX(E:E,ROW()-199):E656))</f>
        <v/>
      </c>
      <c r="K656" s="341">
        <f>IF(ROW()&lt;22,NA(),_xlfn.STDEV.S(INDEX(H:H,ROW()-19):H656)*SQRT(252))</f>
        <v/>
      </c>
      <c r="L656" s="426" cm="1">
        <f t="array" ref="L656">IF(ROW()&lt;17,NA(),_xlfn.LET(_xlpm.d,INDEX(E:E,ROW()-13):E656-INDEX(E:E,ROW()-14):INDEX(E:E,ROW()-1),_xlpm.g,SUM(IF(_xlpm.d&gt;0,_xlpm.d,0)),_xlpm.l,-SUM(IF(_xlpm.d&lt;0,_xlpm.d,0)),IF(_xlpm.l=0,100,100-100/(1+_xlpm.g/_xlpm.l))))</f>
        <v/>
      </c>
      <c r="M656" s="211">
        <f>MAX($E$2:E656)</f>
        <v/>
      </c>
      <c r="N656" s="341">
        <f>E656/M656-1</f>
        <v/>
      </c>
    </row>
    <row r="657">
      <c r="A657" s="424" t="n">
        <v>45415</v>
      </c>
      <c r="B657" s="425" t="n">
        <v>87.42918989059697</v>
      </c>
      <c r="C657" s="425" t="n">
        <v>87.95514114042443</v>
      </c>
      <c r="D657" s="425" t="n">
        <v>86.28338415898352</v>
      </c>
      <c r="E657" s="425" t="n">
        <v>86.54635620117188</v>
      </c>
      <c r="F657" s="207" t="n">
        <v>5736700</v>
      </c>
      <c r="G657" s="208" t="n">
        <v>0.01239519394229793</v>
      </c>
      <c r="H657" s="209" cm="1">
        <f t="array" ref="H657">IF(ROW()&lt;3,"",E657/INDEX(E:E,ROW()-1)-1)</f>
        <v/>
      </c>
      <c r="I657" s="211">
        <f>IF(ROW()&lt;51,NA(),AVERAGE(INDEX(E:E,ROW()-49):E657))</f>
        <v/>
      </c>
      <c r="J657" s="211">
        <f>IF(ROW()&lt;201,NA(),AVERAGE(INDEX(E:E,ROW()-199):E657))</f>
        <v/>
      </c>
      <c r="K657" s="341">
        <f>IF(ROW()&lt;22,NA(),_xlfn.STDEV.S(INDEX(H:H,ROW()-19):H657)*SQRT(252))</f>
        <v/>
      </c>
      <c r="L657" s="426" cm="1">
        <f t="array" ref="L657">IF(ROW()&lt;17,NA(),_xlfn.LET(_xlpm.d,INDEX(E:E,ROW()-13):E657-INDEX(E:E,ROW()-14):INDEX(E:E,ROW()-1),_xlpm.g,SUM(IF(_xlpm.d&gt;0,_xlpm.d,0)),_xlpm.l,-SUM(IF(_xlpm.d&lt;0,_xlpm.d,0)),IF(_xlpm.l=0,100,100-100/(1+_xlpm.g/_xlpm.l))))</f>
        <v/>
      </c>
      <c r="M657" s="211">
        <f>MAX($E$2:E657)</f>
        <v/>
      </c>
      <c r="N657" s="341">
        <f>E657/M657-1</f>
        <v/>
      </c>
    </row>
    <row r="658">
      <c r="A658" s="424" t="n">
        <v>45418</v>
      </c>
      <c r="B658" s="425" t="n">
        <v>87.1662200478448</v>
      </c>
      <c r="C658" s="425" t="n">
        <v>87.69217131094341</v>
      </c>
      <c r="D658" s="425" t="n">
        <v>86.85629279913151</v>
      </c>
      <c r="E658" s="425" t="n">
        <v>87.68277740478516</v>
      </c>
      <c r="F658" s="207" t="n">
        <v>6696300</v>
      </c>
      <c r="G658" s="208" t="n">
        <v>0.01032693913776273</v>
      </c>
      <c r="H658" s="209" cm="1">
        <f t="array" ref="H658">IF(ROW()&lt;3,"",E658/INDEX(E:E,ROW()-1)-1)</f>
        <v/>
      </c>
      <c r="I658" s="211">
        <f>IF(ROW()&lt;51,NA(),AVERAGE(INDEX(E:E,ROW()-49):E658))</f>
        <v/>
      </c>
      <c r="J658" s="211">
        <f>IF(ROW()&lt;201,NA(),AVERAGE(INDEX(E:E,ROW()-199):E658))</f>
        <v/>
      </c>
      <c r="K658" s="341">
        <f>IF(ROW()&lt;22,NA(),_xlfn.STDEV.S(INDEX(H:H,ROW()-19):H658)*SQRT(252))</f>
        <v/>
      </c>
      <c r="L658" s="426" cm="1">
        <f t="array" ref="L658">IF(ROW()&lt;17,NA(),_xlfn.LET(_xlpm.d,INDEX(E:E,ROW()-13):E658-INDEX(E:E,ROW()-14):INDEX(E:E,ROW()-1),_xlpm.g,SUM(IF(_xlpm.d&gt;0,_xlpm.d,0)),_xlpm.l,-SUM(IF(_xlpm.d&lt;0,_xlpm.d,0)),IF(_xlpm.l=0,100,100-100/(1+_xlpm.g/_xlpm.l))))</f>
        <v/>
      </c>
      <c r="M658" s="211">
        <f>MAX($E$2:E658)</f>
        <v/>
      </c>
      <c r="N658" s="341">
        <f>E658/M658-1</f>
        <v/>
      </c>
    </row>
    <row r="659">
      <c r="A659" s="424" t="n">
        <v>45419</v>
      </c>
      <c r="B659" s="425" t="n">
        <v>88.35899221200832</v>
      </c>
      <c r="C659" s="425" t="n">
        <v>88.58439579367268</v>
      </c>
      <c r="D659" s="425" t="n">
        <v>87.54189437598029</v>
      </c>
      <c r="E659" s="425" t="n">
        <v>88.07723236083984</v>
      </c>
      <c r="F659" s="207" t="n">
        <v>7113500</v>
      </c>
      <c r="G659" s="208" t="n">
        <v>0.001103487319171093</v>
      </c>
      <c r="H659" s="209" cm="1">
        <f t="array" ref="H659">IF(ROW()&lt;3,"",E659/INDEX(E:E,ROW()-1)-1)</f>
        <v/>
      </c>
      <c r="I659" s="211">
        <f>IF(ROW()&lt;51,NA(),AVERAGE(INDEX(E:E,ROW()-49):E659))</f>
        <v/>
      </c>
      <c r="J659" s="211">
        <f>IF(ROW()&lt;201,NA(),AVERAGE(INDEX(E:E,ROW()-199):E659))</f>
        <v/>
      </c>
      <c r="K659" s="341">
        <f>IF(ROW()&lt;22,NA(),_xlfn.STDEV.S(INDEX(H:H,ROW()-19):H659)*SQRT(252))</f>
        <v/>
      </c>
      <c r="L659" s="426" cm="1">
        <f t="array" ref="L659">IF(ROW()&lt;17,NA(),_xlfn.LET(_xlpm.d,INDEX(E:E,ROW()-13):E659-INDEX(E:E,ROW()-14):INDEX(E:E,ROW()-1),_xlpm.g,SUM(IF(_xlpm.d&gt;0,_xlpm.d,0)),_xlpm.l,-SUM(IF(_xlpm.d&lt;0,_xlpm.d,0)),IF(_xlpm.l=0,100,100-100/(1+_xlpm.g/_xlpm.l))))</f>
        <v/>
      </c>
      <c r="M659" s="211">
        <f>MAX($E$2:E659)</f>
        <v/>
      </c>
      <c r="N659" s="341">
        <f>E659/M659-1</f>
        <v/>
      </c>
    </row>
    <row r="660">
      <c r="A660" s="424" t="n">
        <v>45420</v>
      </c>
      <c r="B660" s="425" t="n">
        <v>87.45737517217404</v>
      </c>
      <c r="C660" s="425" t="n">
        <v>87.94575081821749</v>
      </c>
      <c r="D660" s="425" t="n">
        <v>87.0910916462787</v>
      </c>
      <c r="E660" s="425" t="n">
        <v>87.89878845214844</v>
      </c>
      <c r="F660" s="207" t="n">
        <v>5372900</v>
      </c>
      <c r="G660" s="208" t="n">
        <v>9.653908298812297e-05</v>
      </c>
      <c r="H660" s="209" cm="1">
        <f t="array" ref="H660">IF(ROW()&lt;3,"",E660/INDEX(E:E,ROW()-1)-1)</f>
        <v/>
      </c>
      <c r="I660" s="211">
        <f>IF(ROW()&lt;51,NA(),AVERAGE(INDEX(E:E,ROW()-49):E660))</f>
        <v/>
      </c>
      <c r="J660" s="211">
        <f>IF(ROW()&lt;201,NA(),AVERAGE(INDEX(E:E,ROW()-199):E660))</f>
        <v/>
      </c>
      <c r="K660" s="341">
        <f>IF(ROW()&lt;22,NA(),_xlfn.STDEV.S(INDEX(H:H,ROW()-19):H660)*SQRT(252))</f>
        <v/>
      </c>
      <c r="L660" s="426" cm="1">
        <f t="array" ref="L660">IF(ROW()&lt;17,NA(),_xlfn.LET(_xlpm.d,INDEX(E:E,ROW()-13):E660-INDEX(E:E,ROW()-14):INDEX(E:E,ROW()-1),_xlpm.g,SUM(IF(_xlpm.d&gt;0,_xlpm.d,0)),_xlpm.l,-SUM(IF(_xlpm.d&lt;0,_xlpm.d,0)),IF(_xlpm.l=0,100,100-100/(1+_xlpm.g/_xlpm.l))))</f>
        <v/>
      </c>
      <c r="M660" s="211">
        <f>MAX($E$2:E660)</f>
        <v/>
      </c>
      <c r="N660" s="341">
        <f>E660/M660-1</f>
        <v/>
      </c>
    </row>
    <row r="661">
      <c r="A661" s="424" t="n">
        <v>45421</v>
      </c>
      <c r="B661" s="425" t="n">
        <v>87.94575790655124</v>
      </c>
      <c r="C661" s="425" t="n">
        <v>88.26508625756608</v>
      </c>
      <c r="D661" s="425" t="n">
        <v>87.35407073982734</v>
      </c>
      <c r="E661" s="425" t="n">
        <v>87.71096038818359</v>
      </c>
      <c r="F661" s="207" t="n">
        <v>6429800</v>
      </c>
      <c r="G661" s="208" t="n">
        <v>0.005761958209233864</v>
      </c>
      <c r="H661" s="209" cm="1">
        <f t="array" ref="H661">IF(ROW()&lt;3,"",E661/INDEX(E:E,ROW()-1)-1)</f>
        <v/>
      </c>
      <c r="I661" s="211">
        <f>IF(ROW()&lt;51,NA(),AVERAGE(INDEX(E:E,ROW()-49):E661))</f>
        <v/>
      </c>
      <c r="J661" s="211">
        <f>IF(ROW()&lt;201,NA(),AVERAGE(INDEX(E:E,ROW()-199):E661))</f>
        <v/>
      </c>
      <c r="K661" s="341">
        <f>IF(ROW()&lt;22,NA(),_xlfn.STDEV.S(INDEX(H:H,ROW()-19):H661)*SQRT(252))</f>
        <v/>
      </c>
      <c r="L661" s="426" cm="1">
        <f t="array" ref="L661">IF(ROW()&lt;17,NA(),_xlfn.LET(_xlpm.d,INDEX(E:E,ROW()-13):E661-INDEX(E:E,ROW()-14):INDEX(E:E,ROW()-1),_xlpm.g,SUM(IF(_xlpm.d&gt;0,_xlpm.d,0)),_xlpm.l,-SUM(IF(_xlpm.d&lt;0,_xlpm.d,0)),IF(_xlpm.l=0,100,100-100/(1+_xlpm.g/_xlpm.l))))</f>
        <v/>
      </c>
      <c r="M661" s="211">
        <f>MAX($E$2:E661)</f>
        <v/>
      </c>
      <c r="N661" s="341">
        <f>E661/M661-1</f>
        <v/>
      </c>
    </row>
    <row r="662">
      <c r="A662" s="424" t="n">
        <v>45422</v>
      </c>
      <c r="B662" s="425" t="n">
        <v>87.41040697991446</v>
      </c>
      <c r="C662" s="425" t="n">
        <v>87.47614998875854</v>
      </c>
      <c r="D662" s="425" t="n">
        <v>85.35357872894184</v>
      </c>
      <c r="E662" s="425" t="n">
        <v>85.40993499755859</v>
      </c>
      <c r="F662" s="207" t="n">
        <v>10548400</v>
      </c>
      <c r="G662" s="208" t="n">
        <v>0.001288045434390872</v>
      </c>
      <c r="H662" s="209" cm="1">
        <f t="array" ref="H662">IF(ROW()&lt;3,"",E662/INDEX(E:E,ROW()-1)-1)</f>
        <v/>
      </c>
      <c r="I662" s="211">
        <f>IF(ROW()&lt;51,NA(),AVERAGE(INDEX(E:E,ROW()-49):E662))</f>
        <v/>
      </c>
      <c r="J662" s="211">
        <f>IF(ROW()&lt;201,NA(),AVERAGE(INDEX(E:E,ROW()-199):E662))</f>
        <v/>
      </c>
      <c r="K662" s="341">
        <f>IF(ROW()&lt;22,NA(),_xlfn.STDEV.S(INDEX(H:H,ROW()-19):H662)*SQRT(252))</f>
        <v/>
      </c>
      <c r="L662" s="426" cm="1">
        <f t="array" ref="L662">IF(ROW()&lt;17,NA(),_xlfn.LET(_xlpm.d,INDEX(E:E,ROW()-13):E662-INDEX(E:E,ROW()-14):INDEX(E:E,ROW()-1),_xlpm.g,SUM(IF(_xlpm.d&gt;0,_xlpm.d,0)),_xlpm.l,-SUM(IF(_xlpm.d&lt;0,_xlpm.d,0)),IF(_xlpm.l=0,100,100-100/(1+_xlpm.g/_xlpm.l))))</f>
        <v/>
      </c>
      <c r="M662" s="211">
        <f>MAX($E$2:E662)</f>
        <v/>
      </c>
      <c r="N662" s="341">
        <f>E662/M662-1</f>
        <v/>
      </c>
    </row>
    <row r="663">
      <c r="A663" s="424" t="n">
        <v>45425</v>
      </c>
      <c r="B663" s="425" t="n">
        <v>85.71985077457943</v>
      </c>
      <c r="C663" s="425" t="n">
        <v>87.12863548906465</v>
      </c>
      <c r="D663" s="425" t="n">
        <v>85.60715258330835</v>
      </c>
      <c r="E663" s="425" t="n">
        <v>87.08168029785156</v>
      </c>
      <c r="F663" s="207" t="n">
        <v>8792100</v>
      </c>
      <c r="G663" s="208" t="n">
        <v>0.0001342790535896476</v>
      </c>
      <c r="H663" s="209" cm="1">
        <f t="array" ref="H663">IF(ROW()&lt;3,"",E663/INDEX(E:E,ROW()-1)-1)</f>
        <v/>
      </c>
      <c r="I663" s="211">
        <f>IF(ROW()&lt;51,NA(),AVERAGE(INDEX(E:E,ROW()-49):E663))</f>
        <v/>
      </c>
      <c r="J663" s="211">
        <f>IF(ROW()&lt;201,NA(),AVERAGE(INDEX(E:E,ROW()-199):E663))</f>
        <v/>
      </c>
      <c r="K663" s="341">
        <f>IF(ROW()&lt;22,NA(),_xlfn.STDEV.S(INDEX(H:H,ROW()-19):H663)*SQRT(252))</f>
        <v/>
      </c>
      <c r="L663" s="426" cm="1">
        <f t="array" ref="L663">IF(ROW()&lt;17,NA(),_xlfn.LET(_xlpm.d,INDEX(E:E,ROW()-13):E663-INDEX(E:E,ROW()-14):INDEX(E:E,ROW()-1),_xlpm.g,SUM(IF(_xlpm.d&gt;0,_xlpm.d,0)),_xlpm.l,-SUM(IF(_xlpm.d&lt;0,_xlpm.d,0)),IF(_xlpm.l=0,100,100-100/(1+_xlpm.g/_xlpm.l))))</f>
        <v/>
      </c>
      <c r="M663" s="211">
        <f>MAX($E$2:E663)</f>
        <v/>
      </c>
      <c r="N663" s="341">
        <f>E663/M663-1</f>
        <v/>
      </c>
    </row>
    <row r="664">
      <c r="A664" s="424" t="n">
        <v>45426</v>
      </c>
      <c r="B664" s="425" t="n">
        <v>87.33528082270141</v>
      </c>
      <c r="C664" s="425" t="n">
        <v>88.60318595826567</v>
      </c>
      <c r="D664" s="425" t="n">
        <v>86.96899727610398</v>
      </c>
      <c r="E664" s="425" t="n">
        <v>87.14744567871094</v>
      </c>
      <c r="F664" s="207" t="n">
        <v>7811000</v>
      </c>
      <c r="G664" s="208" t="n">
        <v>0.004588277046238209</v>
      </c>
      <c r="H664" s="209" cm="1">
        <f t="array" ref="H664">IF(ROW()&lt;3,"",E664/INDEX(E:E,ROW()-1)-1)</f>
        <v/>
      </c>
      <c r="I664" s="211">
        <f>IF(ROW()&lt;51,NA(),AVERAGE(INDEX(E:E,ROW()-49):E664))</f>
        <v/>
      </c>
      <c r="J664" s="211">
        <f>IF(ROW()&lt;201,NA(),AVERAGE(INDEX(E:E,ROW()-199):E664))</f>
        <v/>
      </c>
      <c r="K664" s="341">
        <f>IF(ROW()&lt;22,NA(),_xlfn.STDEV.S(INDEX(H:H,ROW()-19):H664)*SQRT(252))</f>
        <v/>
      </c>
      <c r="L664" s="426" cm="1">
        <f t="array" ref="L664">IF(ROW()&lt;17,NA(),_xlfn.LET(_xlpm.d,INDEX(E:E,ROW()-13):E664-INDEX(E:E,ROW()-14):INDEX(E:E,ROW()-1),_xlpm.g,SUM(IF(_xlpm.d&gt;0,_xlpm.d,0)),_xlpm.l,-SUM(IF(_xlpm.d&lt;0,_xlpm.d,0)),IF(_xlpm.l=0,100,100-100/(1+_xlpm.g/_xlpm.l))))</f>
        <v/>
      </c>
      <c r="M664" s="211">
        <f>MAX($E$2:E664)</f>
        <v/>
      </c>
      <c r="N664" s="341">
        <f>E664/M664-1</f>
        <v/>
      </c>
    </row>
    <row r="665">
      <c r="A665" s="424" t="n">
        <v>45427</v>
      </c>
      <c r="B665" s="425" t="n">
        <v>86.67784326920146</v>
      </c>
      <c r="C665" s="425" t="n">
        <v>86.98777767928873</v>
      </c>
      <c r="D665" s="425" t="n">
        <v>85.32540741823942</v>
      </c>
      <c r="E665" s="425" t="n">
        <v>86.09554290771484</v>
      </c>
      <c r="F665" s="207" t="n">
        <v>15614400</v>
      </c>
      <c r="G665" s="208" t="n">
        <v>0.01238289605802589</v>
      </c>
      <c r="H665" s="209" cm="1">
        <f t="array" ref="H665">IF(ROW()&lt;3,"",E665/INDEX(E:E,ROW()-1)-1)</f>
        <v/>
      </c>
      <c r="I665" s="211">
        <f>IF(ROW()&lt;51,NA(),AVERAGE(INDEX(E:E,ROW()-49):E665))</f>
        <v/>
      </c>
      <c r="J665" s="211">
        <f>IF(ROW()&lt;201,NA(),AVERAGE(INDEX(E:E,ROW()-199):E665))</f>
        <v/>
      </c>
      <c r="K665" s="341">
        <f>IF(ROW()&lt;22,NA(),_xlfn.STDEV.S(INDEX(H:H,ROW()-19):H665)*SQRT(252))</f>
        <v/>
      </c>
      <c r="L665" s="426" cm="1">
        <f t="array" ref="L665">IF(ROW()&lt;17,NA(),_xlfn.LET(_xlpm.d,INDEX(E:E,ROW()-13):E665-INDEX(E:E,ROW()-14):INDEX(E:E,ROW()-1),_xlpm.g,SUM(IF(_xlpm.d&gt;0,_xlpm.d,0)),_xlpm.l,-SUM(IF(_xlpm.d&lt;0,_xlpm.d,0)),IF(_xlpm.l=0,100,100-100/(1+_xlpm.g/_xlpm.l))))</f>
        <v/>
      </c>
      <c r="M665" s="211">
        <f>MAX($E$2:E665)</f>
        <v/>
      </c>
      <c r="N665" s="341">
        <f>E665/M665-1</f>
        <v/>
      </c>
    </row>
    <row r="666">
      <c r="A666" s="424" t="n">
        <v>45428</v>
      </c>
      <c r="B666" s="425" t="n">
        <v>86.11432337947898</v>
      </c>
      <c r="C666" s="425" t="n">
        <v>87.19438602152729</v>
      </c>
      <c r="D666" s="425" t="n">
        <v>85.96404955753647</v>
      </c>
      <c r="E666" s="425" t="n">
        <v>86.189453125</v>
      </c>
      <c r="F666" s="207" t="n">
        <v>12711700</v>
      </c>
      <c r="G666" s="208" t="n">
        <v>-0.002057649044636678</v>
      </c>
      <c r="H666" s="209" cm="1">
        <f t="array" ref="H666">IF(ROW()&lt;3,"",E666/INDEX(E:E,ROW()-1)-1)</f>
        <v/>
      </c>
      <c r="I666" s="211">
        <f>IF(ROW()&lt;51,NA(),AVERAGE(INDEX(E:E,ROW()-49):E666))</f>
        <v/>
      </c>
      <c r="J666" s="211">
        <f>IF(ROW()&lt;201,NA(),AVERAGE(INDEX(E:E,ROW()-199):E666))</f>
        <v/>
      </c>
      <c r="K666" s="341">
        <f>IF(ROW()&lt;22,NA(),_xlfn.STDEV.S(INDEX(H:H,ROW()-19):H666)*SQRT(252))</f>
        <v/>
      </c>
      <c r="L666" s="426" cm="1">
        <f t="array" ref="L666">IF(ROW()&lt;17,NA(),_xlfn.LET(_xlpm.d,INDEX(E:E,ROW()-13):E666-INDEX(E:E,ROW()-14):INDEX(E:E,ROW()-1),_xlpm.g,SUM(IF(_xlpm.d&gt;0,_xlpm.d,0)),_xlpm.l,-SUM(IF(_xlpm.d&lt;0,_xlpm.d,0)),IF(_xlpm.l=0,100,100-100/(1+_xlpm.g/_xlpm.l))))</f>
        <v/>
      </c>
      <c r="M666" s="211">
        <f>MAX($E$2:E666)</f>
        <v/>
      </c>
      <c r="N666" s="341">
        <f>E666/M666-1</f>
        <v/>
      </c>
    </row>
    <row r="667">
      <c r="A667" s="424" t="n">
        <v>45429</v>
      </c>
      <c r="B667" s="425" t="n">
        <v>86.41488621093903</v>
      </c>
      <c r="C667" s="425" t="n">
        <v>86.67785830191144</v>
      </c>
      <c r="D667" s="425" t="n">
        <v>85.78562337559552</v>
      </c>
      <c r="E667" s="425" t="n">
        <v>86.57454681396484</v>
      </c>
      <c r="F667" s="207" t="n">
        <v>12019600</v>
      </c>
      <c r="G667" s="208" t="n">
        <v>0.001438023265336152</v>
      </c>
      <c r="H667" s="209" cm="1">
        <f t="array" ref="H667">IF(ROW()&lt;3,"",E667/INDEX(E:E,ROW()-1)-1)</f>
        <v/>
      </c>
      <c r="I667" s="211">
        <f>IF(ROW()&lt;51,NA(),AVERAGE(INDEX(E:E,ROW()-49):E667))</f>
        <v/>
      </c>
      <c r="J667" s="211">
        <f>IF(ROW()&lt;201,NA(),AVERAGE(INDEX(E:E,ROW()-199):E667))</f>
        <v/>
      </c>
      <c r="K667" s="341">
        <f>IF(ROW()&lt;22,NA(),_xlfn.STDEV.S(INDEX(H:H,ROW()-19):H667)*SQRT(252))</f>
        <v/>
      </c>
      <c r="L667" s="426" cm="1">
        <f t="array" ref="L667">IF(ROW()&lt;17,NA(),_xlfn.LET(_xlpm.d,INDEX(E:E,ROW()-13):E667-INDEX(E:E,ROW()-14):INDEX(E:E,ROW()-1),_xlpm.g,SUM(IF(_xlpm.d&gt;0,_xlpm.d,0)),_xlpm.l,-SUM(IF(_xlpm.d&lt;0,_xlpm.d,0)),IF(_xlpm.l=0,100,100-100/(1+_xlpm.g/_xlpm.l))))</f>
        <v/>
      </c>
      <c r="M667" s="211">
        <f>MAX($E$2:E667)</f>
        <v/>
      </c>
      <c r="N667" s="341">
        <f>E667/M667-1</f>
        <v/>
      </c>
    </row>
    <row r="668">
      <c r="A668" s="424" t="n">
        <v>45432</v>
      </c>
      <c r="B668" s="425" t="n">
        <v>86.6402674253773</v>
      </c>
      <c r="C668" s="425" t="n">
        <v>87.06290001005272</v>
      </c>
      <c r="D668" s="425" t="n">
        <v>85.30661950016355</v>
      </c>
      <c r="E668" s="425" t="n">
        <v>86.189453125</v>
      </c>
      <c r="F668" s="207" t="n">
        <v>9701500</v>
      </c>
      <c r="G668" s="208" t="n">
        <v>0.001151828707582903</v>
      </c>
      <c r="H668" s="209" cm="1">
        <f t="array" ref="H668">IF(ROW()&lt;3,"",E668/INDEX(E:E,ROW()-1)-1)</f>
        <v/>
      </c>
      <c r="I668" s="211">
        <f>IF(ROW()&lt;51,NA(),AVERAGE(INDEX(E:E,ROW()-49):E668))</f>
        <v/>
      </c>
      <c r="J668" s="211">
        <f>IF(ROW()&lt;201,NA(),AVERAGE(INDEX(E:E,ROW()-199):E668))</f>
        <v/>
      </c>
      <c r="K668" s="341">
        <f>IF(ROW()&lt;22,NA(),_xlfn.STDEV.S(INDEX(H:H,ROW()-19):H668)*SQRT(252))</f>
        <v/>
      </c>
      <c r="L668" s="426" cm="1">
        <f t="array" ref="L668">IF(ROW()&lt;17,NA(),_xlfn.LET(_xlpm.d,INDEX(E:E,ROW()-13):E668-INDEX(E:E,ROW()-14):INDEX(E:E,ROW()-1),_xlpm.g,SUM(IF(_xlpm.d&gt;0,_xlpm.d,0)),_xlpm.l,-SUM(IF(_xlpm.d&lt;0,_xlpm.d,0)),IF(_xlpm.l=0,100,100-100/(1+_xlpm.g/_xlpm.l))))</f>
        <v/>
      </c>
      <c r="M668" s="211">
        <f>MAX($E$2:E668)</f>
        <v/>
      </c>
      <c r="N668" s="341">
        <f>E668/M668-1</f>
        <v/>
      </c>
    </row>
    <row r="669">
      <c r="A669" s="424" t="n">
        <v>45433</v>
      </c>
      <c r="B669" s="425" t="n">
        <v>86.00162593173636</v>
      </c>
      <c r="C669" s="425" t="n">
        <v>87.2037879561662</v>
      </c>
      <c r="D669" s="425" t="n">
        <v>85.88892055490199</v>
      </c>
      <c r="E669" s="425" t="n">
        <v>87.17561340332031</v>
      </c>
      <c r="F669" s="207" t="n">
        <v>7809700</v>
      </c>
      <c r="G669" s="208" t="n">
        <v>0.002452629306578968</v>
      </c>
      <c r="H669" s="209" cm="1">
        <f t="array" ref="H669">IF(ROW()&lt;3,"",E669/INDEX(E:E,ROW()-1)-1)</f>
        <v/>
      </c>
      <c r="I669" s="211">
        <f>IF(ROW()&lt;51,NA(),AVERAGE(INDEX(E:E,ROW()-49):E669))</f>
        <v/>
      </c>
      <c r="J669" s="211">
        <f>IF(ROW()&lt;201,NA(),AVERAGE(INDEX(E:E,ROW()-199):E669))</f>
        <v/>
      </c>
      <c r="K669" s="341">
        <f>IF(ROW()&lt;22,NA(),_xlfn.STDEV.S(INDEX(H:H,ROW()-19):H669)*SQRT(252))</f>
        <v/>
      </c>
      <c r="L669" s="426" cm="1">
        <f t="array" ref="L669">IF(ROW()&lt;17,NA(),_xlfn.LET(_xlpm.d,INDEX(E:E,ROW()-13):E669-INDEX(E:E,ROW()-14):INDEX(E:E,ROW()-1),_xlpm.g,SUM(IF(_xlpm.d&gt;0,_xlpm.d,0)),_xlpm.l,-SUM(IF(_xlpm.d&lt;0,_xlpm.d,0)),IF(_xlpm.l=0,100,100-100/(1+_xlpm.g/_xlpm.l))))</f>
        <v/>
      </c>
      <c r="M669" s="211">
        <f>MAX($E$2:E669)</f>
        <v/>
      </c>
      <c r="N669" s="341">
        <f>E669/M669-1</f>
        <v/>
      </c>
    </row>
    <row r="670">
      <c r="A670" s="424" t="n">
        <v>45434</v>
      </c>
      <c r="B670" s="425" t="n">
        <v>86.35851133604082</v>
      </c>
      <c r="C670" s="425" t="n">
        <v>87.11926005306918</v>
      </c>
      <c r="D670" s="425" t="n">
        <v>86.07675865585853</v>
      </c>
      <c r="E670" s="425" t="n">
        <v>86.87506866455078</v>
      </c>
      <c r="F670" s="207" t="n">
        <v>7611900</v>
      </c>
      <c r="G670" s="208" t="n">
        <v>-0.002879332687332203</v>
      </c>
      <c r="H670" s="209" cm="1">
        <f t="array" ref="H670">IF(ROW()&lt;3,"",E670/INDEX(E:E,ROW()-1)-1)</f>
        <v/>
      </c>
      <c r="I670" s="211">
        <f>IF(ROW()&lt;51,NA(),AVERAGE(INDEX(E:E,ROW()-49):E670))</f>
        <v/>
      </c>
      <c r="J670" s="211">
        <f>IF(ROW()&lt;201,NA(),AVERAGE(INDEX(E:E,ROW()-199):E670))</f>
        <v/>
      </c>
      <c r="K670" s="341">
        <f>IF(ROW()&lt;22,NA(),_xlfn.STDEV.S(INDEX(H:H,ROW()-19):H670)*SQRT(252))</f>
        <v/>
      </c>
      <c r="L670" s="426" cm="1">
        <f t="array" ref="L670">IF(ROW()&lt;17,NA(),_xlfn.LET(_xlpm.d,INDEX(E:E,ROW()-13):E670-INDEX(E:E,ROW()-14):INDEX(E:E,ROW()-1),_xlpm.g,SUM(IF(_xlpm.d&gt;0,_xlpm.d,0)),_xlpm.l,-SUM(IF(_xlpm.d&lt;0,_xlpm.d,0)),IF(_xlpm.l=0,100,100-100/(1+_xlpm.g/_xlpm.l))))</f>
        <v/>
      </c>
      <c r="M670" s="211">
        <f>MAX($E$2:E670)</f>
        <v/>
      </c>
      <c r="N670" s="341">
        <f>E670/M670-1</f>
        <v/>
      </c>
    </row>
    <row r="671">
      <c r="A671" s="424" t="n">
        <v>45435</v>
      </c>
      <c r="B671" s="425" t="n">
        <v>86.8281098912606</v>
      </c>
      <c r="C671" s="425" t="n">
        <v>86.95020917329263</v>
      </c>
      <c r="D671" s="425" t="n">
        <v>85.60716722909601</v>
      </c>
      <c r="E671" s="425" t="n">
        <v>85.84196472167969</v>
      </c>
      <c r="F671" s="207" t="n">
        <v>7729000</v>
      </c>
      <c r="G671" s="208" t="n">
        <v>-0.007304272005263845</v>
      </c>
      <c r="H671" s="209" cm="1">
        <f t="array" ref="H671">IF(ROW()&lt;3,"",E671/INDEX(E:E,ROW()-1)-1)</f>
        <v/>
      </c>
      <c r="I671" s="211">
        <f>IF(ROW()&lt;51,NA(),AVERAGE(INDEX(E:E,ROW()-49):E671))</f>
        <v/>
      </c>
      <c r="J671" s="211">
        <f>IF(ROW()&lt;201,NA(),AVERAGE(INDEX(E:E,ROW()-199):E671))</f>
        <v/>
      </c>
      <c r="K671" s="341">
        <f>IF(ROW()&lt;22,NA(),_xlfn.STDEV.S(INDEX(H:H,ROW()-19):H671)*SQRT(252))</f>
        <v/>
      </c>
      <c r="L671" s="426" cm="1">
        <f t="array" ref="L671">IF(ROW()&lt;17,NA(),_xlfn.LET(_xlpm.d,INDEX(E:E,ROW()-13):E671-INDEX(E:E,ROW()-14):INDEX(E:E,ROW()-1),_xlpm.g,SUM(IF(_xlpm.d&gt;0,_xlpm.d,0)),_xlpm.l,-SUM(IF(_xlpm.d&lt;0,_xlpm.d,0)),IF(_xlpm.l=0,100,100-100/(1+_xlpm.g/_xlpm.l))))</f>
        <v/>
      </c>
      <c r="M671" s="211">
        <f>MAX($E$2:E671)</f>
        <v/>
      </c>
      <c r="N671" s="341">
        <f>E671/M671-1</f>
        <v/>
      </c>
    </row>
    <row r="672">
      <c r="A672" s="424" t="n">
        <v>45436</v>
      </c>
      <c r="B672" s="425" t="n">
        <v>86.18945783110176</v>
      </c>
      <c r="C672" s="425" t="n">
        <v>86.59330979281052</v>
      </c>
      <c r="D672" s="425" t="n">
        <v>85.92648579379384</v>
      </c>
      <c r="E672" s="425" t="n">
        <v>86.17067718505859</v>
      </c>
      <c r="F672" s="207" t="n">
        <v>6936800</v>
      </c>
      <c r="G672" s="208" t="n">
        <v>0.00661633726355082</v>
      </c>
      <c r="H672" s="209" cm="1">
        <f t="array" ref="H672">IF(ROW()&lt;3,"",E672/INDEX(E:E,ROW()-1)-1)</f>
        <v/>
      </c>
      <c r="I672" s="211">
        <f>IF(ROW()&lt;51,NA(),AVERAGE(INDEX(E:E,ROW()-49):E672))</f>
        <v/>
      </c>
      <c r="J672" s="211">
        <f>IF(ROW()&lt;201,NA(),AVERAGE(INDEX(E:E,ROW()-199):E672))</f>
        <v/>
      </c>
      <c r="K672" s="341">
        <f>IF(ROW()&lt;22,NA(),_xlfn.STDEV.S(INDEX(H:H,ROW()-19):H672)*SQRT(252))</f>
        <v/>
      </c>
      <c r="L672" s="426" cm="1">
        <f t="array" ref="L672">IF(ROW()&lt;17,NA(),_xlfn.LET(_xlpm.d,INDEX(E:E,ROW()-13):E672-INDEX(E:E,ROW()-14):INDEX(E:E,ROW()-1),_xlpm.g,SUM(IF(_xlpm.d&gt;0,_xlpm.d,0)),_xlpm.l,-SUM(IF(_xlpm.d&lt;0,_xlpm.d,0)),IF(_xlpm.l=0,100,100-100/(1+_xlpm.g/_xlpm.l))))</f>
        <v/>
      </c>
      <c r="M672" s="211">
        <f>MAX($E$2:E672)</f>
        <v/>
      </c>
      <c r="N672" s="341">
        <f>E672/M672-1</f>
        <v/>
      </c>
    </row>
    <row r="673">
      <c r="A673" s="424" t="n">
        <v>45440</v>
      </c>
      <c r="B673" s="425" t="n">
        <v>86.16128802643368</v>
      </c>
      <c r="C673" s="425" t="n">
        <v>86.89385507513867</v>
      </c>
      <c r="D673" s="425" t="n">
        <v>85.79500450208117</v>
      </c>
      <c r="E673" s="425" t="n">
        <v>86.40547943115234</v>
      </c>
      <c r="F673" s="207" t="n">
        <v>10835000</v>
      </c>
      <c r="G673" s="208" t="n">
        <v>0.0006990624966618508</v>
      </c>
      <c r="H673" s="209" cm="1">
        <f t="array" ref="H673">IF(ROW()&lt;3,"",E673/INDEX(E:E,ROW()-1)-1)</f>
        <v/>
      </c>
      <c r="I673" s="211">
        <f>IF(ROW()&lt;51,NA(),AVERAGE(INDEX(E:E,ROW()-49):E673))</f>
        <v/>
      </c>
      <c r="J673" s="211">
        <f>IF(ROW()&lt;201,NA(),AVERAGE(INDEX(E:E,ROW()-199):E673))</f>
        <v/>
      </c>
      <c r="K673" s="341">
        <f>IF(ROW()&lt;22,NA(),_xlfn.STDEV.S(INDEX(H:H,ROW()-19):H673)*SQRT(252))</f>
        <v/>
      </c>
      <c r="L673" s="426" cm="1">
        <f t="array" ref="L673">IF(ROW()&lt;17,NA(),_xlfn.LET(_xlpm.d,INDEX(E:E,ROW()-13):E673-INDEX(E:E,ROW()-14):INDEX(E:E,ROW()-1),_xlpm.g,SUM(IF(_xlpm.d&gt;0,_xlpm.d,0)),_xlpm.l,-SUM(IF(_xlpm.d&lt;0,_xlpm.d,0)),IF(_xlpm.l=0,100,100-100/(1+_xlpm.g/_xlpm.l))))</f>
        <v/>
      </c>
      <c r="M673" s="211">
        <f>MAX($E$2:E673)</f>
        <v/>
      </c>
      <c r="N673" s="341">
        <f>E673/M673-1</f>
        <v/>
      </c>
    </row>
    <row r="674">
      <c r="A674" s="424" t="n">
        <v>45441</v>
      </c>
      <c r="B674" s="425" t="n">
        <v>86.10493681374953</v>
      </c>
      <c r="C674" s="425" t="n">
        <v>87.08169524328314</v>
      </c>
      <c r="D674" s="425" t="n">
        <v>85.82317695631549</v>
      </c>
      <c r="E674" s="425" t="n">
        <v>86.09554290771484</v>
      </c>
      <c r="F674" s="207" t="n">
        <v>7237300</v>
      </c>
      <c r="G674" s="208" t="n">
        <v>-0.007002701785930321</v>
      </c>
      <c r="H674" s="209" cm="1">
        <f t="array" ref="H674">IF(ROW()&lt;3,"",E674/INDEX(E:E,ROW()-1)-1)</f>
        <v/>
      </c>
      <c r="I674" s="211">
        <f>IF(ROW()&lt;51,NA(),AVERAGE(INDEX(E:E,ROW()-49):E674))</f>
        <v/>
      </c>
      <c r="J674" s="211">
        <f>IF(ROW()&lt;201,NA(),AVERAGE(INDEX(E:E,ROW()-199):E674))</f>
        <v/>
      </c>
      <c r="K674" s="341">
        <f>IF(ROW()&lt;22,NA(),_xlfn.STDEV.S(INDEX(H:H,ROW()-19):H674)*SQRT(252))</f>
        <v/>
      </c>
      <c r="L674" s="426" cm="1">
        <f t="array" ref="L674">IF(ROW()&lt;17,NA(),_xlfn.LET(_xlpm.d,INDEX(E:E,ROW()-13):E674-INDEX(E:E,ROW()-14):INDEX(E:E,ROW()-1),_xlpm.g,SUM(IF(_xlpm.d&gt;0,_xlpm.d,0)),_xlpm.l,-SUM(IF(_xlpm.d&lt;0,_xlpm.d,0)),IF(_xlpm.l=0,100,100-100/(1+_xlpm.g/_xlpm.l))))</f>
        <v/>
      </c>
      <c r="M674" s="211">
        <f>MAX($E$2:E674)</f>
        <v/>
      </c>
      <c r="N674" s="341">
        <f>E674/M674-1</f>
        <v/>
      </c>
    </row>
    <row r="675">
      <c r="A675" s="424" t="n">
        <v>45442</v>
      </c>
      <c r="B675" s="425" t="n">
        <v>86.62149767490121</v>
      </c>
      <c r="C675" s="425" t="n">
        <v>88.17115545724778</v>
      </c>
      <c r="D675" s="425" t="n">
        <v>86.36791235984191</v>
      </c>
      <c r="E675" s="425" t="n">
        <v>87.76730346679688</v>
      </c>
      <c r="F675" s="207" t="n">
        <v>9300100</v>
      </c>
      <c r="G675" s="208" t="n">
        <v>-0.006633628019244608</v>
      </c>
      <c r="H675" s="209" cm="1">
        <f t="array" ref="H675">IF(ROW()&lt;3,"",E675/INDEX(E:E,ROW()-1)-1)</f>
        <v/>
      </c>
      <c r="I675" s="211">
        <f>IF(ROW()&lt;51,NA(),AVERAGE(INDEX(E:E,ROW()-49):E675))</f>
        <v/>
      </c>
      <c r="J675" s="211">
        <f>IF(ROW()&lt;201,NA(),AVERAGE(INDEX(E:E,ROW()-199):E675))</f>
        <v/>
      </c>
      <c r="K675" s="341">
        <f>IF(ROW()&lt;22,NA(),_xlfn.STDEV.S(INDEX(H:H,ROW()-19):H675)*SQRT(252))</f>
        <v/>
      </c>
      <c r="L675" s="426" cm="1">
        <f t="array" ref="L675">IF(ROW()&lt;17,NA(),_xlfn.LET(_xlpm.d,INDEX(E:E,ROW()-13):E675-INDEX(E:E,ROW()-14):INDEX(E:E,ROW()-1),_xlpm.g,SUM(IF(_xlpm.d&gt;0,_xlpm.d,0)),_xlpm.l,-SUM(IF(_xlpm.d&lt;0,_xlpm.d,0)),IF(_xlpm.l=0,100,100-100/(1+_xlpm.g/_xlpm.l))))</f>
        <v/>
      </c>
      <c r="M675" s="211">
        <f>MAX($E$2:E675)</f>
        <v/>
      </c>
      <c r="N675" s="341">
        <f>E675/M675-1</f>
        <v/>
      </c>
    </row>
    <row r="676">
      <c r="A676" s="424" t="n">
        <v>45443</v>
      </c>
      <c r="B676" s="425" t="n">
        <v>87.81425703826673</v>
      </c>
      <c r="C676" s="425" t="n">
        <v>89.28878491795972</v>
      </c>
      <c r="D676" s="425" t="n">
        <v>87.31648752986948</v>
      </c>
      <c r="E676" s="425" t="n">
        <v>89.27000427246094</v>
      </c>
      <c r="F676" s="207" t="n">
        <v>12565600</v>
      </c>
      <c r="G676" s="208" t="n">
        <v>0.009108045657760355</v>
      </c>
      <c r="H676" s="209" cm="1">
        <f t="array" ref="H676">IF(ROW()&lt;3,"",E676/INDEX(E:E,ROW()-1)-1)</f>
        <v/>
      </c>
      <c r="I676" s="211">
        <f>IF(ROW()&lt;51,NA(),AVERAGE(INDEX(E:E,ROW()-49):E676))</f>
        <v/>
      </c>
      <c r="J676" s="211">
        <f>IF(ROW()&lt;201,NA(),AVERAGE(INDEX(E:E,ROW()-199):E676))</f>
        <v/>
      </c>
      <c r="K676" s="341">
        <f>IF(ROW()&lt;22,NA(),_xlfn.STDEV.S(INDEX(H:H,ROW()-19):H676)*SQRT(252))</f>
        <v/>
      </c>
      <c r="L676" s="426" cm="1">
        <f t="array" ref="L676">IF(ROW()&lt;17,NA(),_xlfn.LET(_xlpm.d,INDEX(E:E,ROW()-13):E676-INDEX(E:E,ROW()-14):INDEX(E:E,ROW()-1),_xlpm.g,SUM(IF(_xlpm.d&gt;0,_xlpm.d,0)),_xlpm.l,-SUM(IF(_xlpm.d&lt;0,_xlpm.d,0)),IF(_xlpm.l=0,100,100-100/(1+_xlpm.g/_xlpm.l))))</f>
        <v/>
      </c>
      <c r="M676" s="211">
        <f>MAX($E$2:E676)</f>
        <v/>
      </c>
      <c r="N676" s="341">
        <f>E676/M676-1</f>
        <v/>
      </c>
    </row>
    <row r="677">
      <c r="A677" s="424" t="n">
        <v>45446</v>
      </c>
      <c r="B677" s="425" t="n">
        <v>89.11914295370535</v>
      </c>
      <c r="C677" s="425" t="n">
        <v>89.80743406493892</v>
      </c>
      <c r="D677" s="425" t="n">
        <v>88.67600470213169</v>
      </c>
      <c r="E677" s="425" t="n">
        <v>89.00600433349609</v>
      </c>
      <c r="F677" s="207" t="n">
        <v>9668100</v>
      </c>
      <c r="G677" s="208" t="n">
        <v>0.0008154775834219308</v>
      </c>
      <c r="H677" s="209" cm="1">
        <f t="array" ref="H677">IF(ROW()&lt;3,"",E677/INDEX(E:E,ROW()-1)-1)</f>
        <v/>
      </c>
      <c r="I677" s="211">
        <f>IF(ROW()&lt;51,NA(),AVERAGE(INDEX(E:E,ROW()-49):E677))</f>
        <v/>
      </c>
      <c r="J677" s="211">
        <f>IF(ROW()&lt;201,NA(),AVERAGE(INDEX(E:E,ROW()-199):E677))</f>
        <v/>
      </c>
      <c r="K677" s="341">
        <f>IF(ROW()&lt;22,NA(),_xlfn.STDEV.S(INDEX(H:H,ROW()-19):H677)*SQRT(252))</f>
        <v/>
      </c>
      <c r="L677" s="426" cm="1">
        <f t="array" ref="L677">IF(ROW()&lt;17,NA(),_xlfn.LET(_xlpm.d,INDEX(E:E,ROW()-13):E677-INDEX(E:E,ROW()-14):INDEX(E:E,ROW()-1),_xlpm.g,SUM(IF(_xlpm.d&gt;0,_xlpm.d,0)),_xlpm.l,-SUM(IF(_xlpm.d&lt;0,_xlpm.d,0)),IF(_xlpm.l=0,100,100-100/(1+_xlpm.g/_xlpm.l))))</f>
        <v/>
      </c>
      <c r="M677" s="211">
        <f>MAX($E$2:E677)</f>
        <v/>
      </c>
      <c r="N677" s="341">
        <f>E677/M677-1</f>
        <v/>
      </c>
    </row>
    <row r="678">
      <c r="A678" s="424" t="n">
        <v>45447</v>
      </c>
      <c r="B678" s="425" t="n">
        <v>88.90229200652108</v>
      </c>
      <c r="C678" s="425" t="n">
        <v>89.67543710787525</v>
      </c>
      <c r="D678" s="425" t="n">
        <v>88.07257759323574</v>
      </c>
      <c r="E678" s="425" t="n">
        <v>89.32657623291016</v>
      </c>
      <c r="F678" s="207" t="n">
        <v>7838400</v>
      </c>
      <c r="G678" s="208" t="n">
        <v>0.001117808357477657</v>
      </c>
      <c r="H678" s="209" cm="1">
        <f t="array" ref="H678">IF(ROW()&lt;3,"",E678/INDEX(E:E,ROW()-1)-1)</f>
        <v/>
      </c>
      <c r="I678" s="211">
        <f>IF(ROW()&lt;51,NA(),AVERAGE(INDEX(E:E,ROW()-49):E678))</f>
        <v/>
      </c>
      <c r="J678" s="211">
        <f>IF(ROW()&lt;201,NA(),AVERAGE(INDEX(E:E,ROW()-199):E678))</f>
        <v/>
      </c>
      <c r="K678" s="341">
        <f>IF(ROW()&lt;22,NA(),_xlfn.STDEV.S(INDEX(H:H,ROW()-19):H678)*SQRT(252))</f>
        <v/>
      </c>
      <c r="L678" s="426" cm="1">
        <f t="array" ref="L678">IF(ROW()&lt;17,NA(),_xlfn.LET(_xlpm.d,INDEX(E:E,ROW()-13):E678-INDEX(E:E,ROW()-14):INDEX(E:E,ROW()-1),_xlpm.g,SUM(IF(_xlpm.d&gt;0,_xlpm.d,0)),_xlpm.l,-SUM(IF(_xlpm.d&lt;0,_xlpm.d,0)),IF(_xlpm.l=0,100,100-100/(1+_xlpm.g/_xlpm.l))))</f>
        <v/>
      </c>
      <c r="M678" s="211">
        <f>MAX($E$2:E678)</f>
        <v/>
      </c>
      <c r="N678" s="341">
        <f>E678/M678-1</f>
        <v/>
      </c>
    </row>
    <row r="679">
      <c r="A679" s="424" t="n">
        <v>45448</v>
      </c>
      <c r="B679" s="425" t="n">
        <v>89.87344811690384</v>
      </c>
      <c r="C679" s="425" t="n">
        <v>89.87344811690384</v>
      </c>
      <c r="D679" s="425" t="n">
        <v>88.34601176293492</v>
      </c>
      <c r="E679" s="425" t="n">
        <v>88.93058776855469</v>
      </c>
      <c r="F679" s="207" t="n">
        <v>7463300</v>
      </c>
      <c r="G679" s="208" t="n">
        <v>0.01188520062348508</v>
      </c>
      <c r="H679" s="209" cm="1">
        <f t="array" ref="H679">IF(ROW()&lt;3,"",E679/INDEX(E:E,ROW()-1)-1)</f>
        <v/>
      </c>
      <c r="I679" s="211">
        <f>IF(ROW()&lt;51,NA(),AVERAGE(INDEX(E:E,ROW()-49):E679))</f>
        <v/>
      </c>
      <c r="J679" s="211">
        <f>IF(ROW()&lt;201,NA(),AVERAGE(INDEX(E:E,ROW()-199):E679))</f>
        <v/>
      </c>
      <c r="K679" s="341">
        <f>IF(ROW()&lt;22,NA(),_xlfn.STDEV.S(INDEX(H:H,ROW()-19):H679)*SQRT(252))</f>
        <v/>
      </c>
      <c r="L679" s="426" cm="1">
        <f t="array" ref="L679">IF(ROW()&lt;17,NA(),_xlfn.LET(_xlpm.d,INDEX(E:E,ROW()-13):E679-INDEX(E:E,ROW()-14):INDEX(E:E,ROW()-1),_xlpm.g,SUM(IF(_xlpm.d&gt;0,_xlpm.d,0)),_xlpm.l,-SUM(IF(_xlpm.d&lt;0,_xlpm.d,0)),IF(_xlpm.l=0,100,100-100/(1+_xlpm.g/_xlpm.l))))</f>
        <v/>
      </c>
      <c r="M679" s="211">
        <f>MAX($E$2:E679)</f>
        <v/>
      </c>
      <c r="N679" s="341">
        <f>E679/M679-1</f>
        <v/>
      </c>
    </row>
    <row r="680">
      <c r="A680" s="424" t="n">
        <v>45449</v>
      </c>
      <c r="B680" s="425" t="n">
        <v>89.43971192261424</v>
      </c>
      <c r="C680" s="425" t="n">
        <v>91.2688628647618</v>
      </c>
      <c r="D680" s="425" t="n">
        <v>88.61942102523373</v>
      </c>
      <c r="E680" s="425" t="n">
        <v>90.25057220458984</v>
      </c>
      <c r="F680" s="207" t="n">
        <v>9760100</v>
      </c>
      <c r="G680" s="208" t="n">
        <v>-1.880405725740442e-05</v>
      </c>
      <c r="H680" s="209" cm="1">
        <f t="array" ref="H680">IF(ROW()&lt;3,"",E680/INDEX(E:E,ROW()-1)-1)</f>
        <v/>
      </c>
      <c r="I680" s="211">
        <f>IF(ROW()&lt;51,NA(),AVERAGE(INDEX(E:E,ROW()-49):E680))</f>
        <v/>
      </c>
      <c r="J680" s="211">
        <f>IF(ROW()&lt;201,NA(),AVERAGE(INDEX(E:E,ROW()-199):E680))</f>
        <v/>
      </c>
      <c r="K680" s="341">
        <f>IF(ROW()&lt;22,NA(),_xlfn.STDEV.S(INDEX(H:H,ROW()-19):H680)*SQRT(252))</f>
        <v/>
      </c>
      <c r="L680" s="426" cm="1">
        <f t="array" ref="L680">IF(ROW()&lt;17,NA(),_xlfn.LET(_xlpm.d,INDEX(E:E,ROW()-13):E680-INDEX(E:E,ROW()-14):INDEX(E:E,ROW()-1),_xlpm.g,SUM(IF(_xlpm.d&gt;0,_xlpm.d,0)),_xlpm.l,-SUM(IF(_xlpm.d&lt;0,_xlpm.d,0)),IF(_xlpm.l=0,100,100-100/(1+_xlpm.g/_xlpm.l))))</f>
        <v/>
      </c>
      <c r="M680" s="211">
        <f>MAX($E$2:E680)</f>
        <v/>
      </c>
      <c r="N680" s="341">
        <f>E680/M680-1</f>
        <v/>
      </c>
    </row>
    <row r="681">
      <c r="A681" s="424" t="n">
        <v>45450</v>
      </c>
      <c r="B681" s="425" t="n">
        <v>89.93944357554007</v>
      </c>
      <c r="C681" s="425" t="n">
        <v>92.34374022150394</v>
      </c>
      <c r="D681" s="425" t="n">
        <v>89.85458960127117</v>
      </c>
      <c r="E681" s="425" t="n">
        <v>91.03316497802734</v>
      </c>
      <c r="F681" s="207" t="n">
        <v>9397400</v>
      </c>
      <c r="G681" s="208" t="n">
        <v>-0.001215705161881298</v>
      </c>
      <c r="H681" s="209" cm="1">
        <f t="array" ref="H681">IF(ROW()&lt;3,"",E681/INDEX(E:E,ROW()-1)-1)</f>
        <v/>
      </c>
      <c r="I681" s="211">
        <f>IF(ROW()&lt;51,NA(),AVERAGE(INDEX(E:E,ROW()-49):E681))</f>
        <v/>
      </c>
      <c r="J681" s="211">
        <f>IF(ROW()&lt;201,NA(),AVERAGE(INDEX(E:E,ROW()-199):E681))</f>
        <v/>
      </c>
      <c r="K681" s="341">
        <f>IF(ROW()&lt;22,NA(),_xlfn.STDEV.S(INDEX(H:H,ROW()-19):H681)*SQRT(252))</f>
        <v/>
      </c>
      <c r="L681" s="426" cm="1">
        <f t="array" ref="L681">IF(ROW()&lt;17,NA(),_xlfn.LET(_xlpm.d,INDEX(E:E,ROW()-13):E681-INDEX(E:E,ROW()-14):INDEX(E:E,ROW()-1),_xlpm.g,SUM(IF(_xlpm.d&gt;0,_xlpm.d,0)),_xlpm.l,-SUM(IF(_xlpm.d&lt;0,_xlpm.d,0)),IF(_xlpm.l=0,100,100-100/(1+_xlpm.g/_xlpm.l))))</f>
        <v/>
      </c>
      <c r="M681" s="211">
        <f>MAX($E$2:E681)</f>
        <v/>
      </c>
      <c r="N681" s="341">
        <f>E681/M681-1</f>
        <v/>
      </c>
    </row>
    <row r="682">
      <c r="A682" s="424" t="n">
        <v>45453</v>
      </c>
      <c r="B682" s="425" t="n">
        <v>90.26000307451977</v>
      </c>
      <c r="C682" s="425" t="n">
        <v>91.44800165461857</v>
      </c>
      <c r="D682" s="425" t="n">
        <v>90.13742665426616</v>
      </c>
      <c r="E682" s="425" t="n">
        <v>90.51457214355469</v>
      </c>
      <c r="F682" s="207" t="n">
        <v>7035100</v>
      </c>
      <c r="G682" s="208" t="n">
        <v>0.003089795156630215</v>
      </c>
      <c r="H682" s="209" cm="1">
        <f t="array" ref="H682">IF(ROW()&lt;3,"",E682/INDEX(E:E,ROW()-1)-1)</f>
        <v/>
      </c>
      <c r="I682" s="211">
        <f>IF(ROW()&lt;51,NA(),AVERAGE(INDEX(E:E,ROW()-49):E682))</f>
        <v/>
      </c>
      <c r="J682" s="211">
        <f>IF(ROW()&lt;201,NA(),AVERAGE(INDEX(E:E,ROW()-199):E682))</f>
        <v/>
      </c>
      <c r="K682" s="341">
        <f>IF(ROW()&lt;22,NA(),_xlfn.STDEV.S(INDEX(H:H,ROW()-19):H682)*SQRT(252))</f>
        <v/>
      </c>
      <c r="L682" s="426" cm="1">
        <f t="array" ref="L682">IF(ROW()&lt;17,NA(),_xlfn.LET(_xlpm.d,INDEX(E:E,ROW()-13):E682-INDEX(E:E,ROW()-14):INDEX(E:E,ROW()-1),_xlpm.g,SUM(IF(_xlpm.d&gt;0,_xlpm.d,0)),_xlpm.l,-SUM(IF(_xlpm.d&lt;0,_xlpm.d,0)),IF(_xlpm.l=0,100,100-100/(1+_xlpm.g/_xlpm.l))))</f>
        <v/>
      </c>
      <c r="M682" s="211">
        <f>MAX($E$2:E682)</f>
        <v/>
      </c>
      <c r="N682" s="341">
        <f>E682/M682-1</f>
        <v/>
      </c>
    </row>
    <row r="683">
      <c r="A683" s="424" t="n">
        <v>45454</v>
      </c>
      <c r="B683" s="425" t="n">
        <v>90.06199911040939</v>
      </c>
      <c r="C683" s="425" t="n">
        <v>90.51457515128476</v>
      </c>
      <c r="D683" s="425" t="n">
        <v>89.11913895258351</v>
      </c>
      <c r="E683" s="425" t="n">
        <v>90.39200592041016</v>
      </c>
      <c r="F683" s="207" t="n">
        <v>7301500</v>
      </c>
      <c r="G683" s="208" t="n">
        <v>0.002408336574948988</v>
      </c>
      <c r="H683" s="209" cm="1">
        <f t="array" ref="H683">IF(ROW()&lt;3,"",E683/INDEX(E:E,ROW()-1)-1)</f>
        <v/>
      </c>
      <c r="I683" s="211">
        <f>IF(ROW()&lt;51,NA(),AVERAGE(INDEX(E:E,ROW()-49):E683))</f>
        <v/>
      </c>
      <c r="J683" s="211">
        <f>IF(ROW()&lt;201,NA(),AVERAGE(INDEX(E:E,ROW()-199):E683))</f>
        <v/>
      </c>
      <c r="K683" s="341">
        <f>IF(ROW()&lt;22,NA(),_xlfn.STDEV.S(INDEX(H:H,ROW()-19):H683)*SQRT(252))</f>
        <v/>
      </c>
      <c r="L683" s="426" cm="1">
        <f t="array" ref="L683">IF(ROW()&lt;17,NA(),_xlfn.LET(_xlpm.d,INDEX(E:E,ROW()-13):E683-INDEX(E:E,ROW()-14):INDEX(E:E,ROW()-1),_xlpm.g,SUM(IF(_xlpm.d&gt;0,_xlpm.d,0)),_xlpm.l,-SUM(IF(_xlpm.d&lt;0,_xlpm.d,0)),IF(_xlpm.l=0,100,100-100/(1+_xlpm.g/_xlpm.l))))</f>
        <v/>
      </c>
      <c r="M683" s="211">
        <f>MAX($E$2:E683)</f>
        <v/>
      </c>
      <c r="N683" s="341">
        <f>E683/M683-1</f>
        <v/>
      </c>
    </row>
    <row r="684">
      <c r="A684" s="424" t="n">
        <v>45455</v>
      </c>
      <c r="B684" s="425" t="n">
        <v>90.84456788288566</v>
      </c>
      <c r="C684" s="425" t="n">
        <v>90.9859983345312</v>
      </c>
      <c r="D684" s="425" t="n">
        <v>88.15741807542661</v>
      </c>
      <c r="E684" s="425" t="n">
        <v>88.32713317871094</v>
      </c>
      <c r="F684" s="207" t="n">
        <v>9861300</v>
      </c>
      <c r="G684" s="208" t="n">
        <v>0.008213141447610983</v>
      </c>
      <c r="H684" s="209" cm="1">
        <f t="array" ref="H684">IF(ROW()&lt;3,"",E684/INDEX(E:E,ROW()-1)-1)</f>
        <v/>
      </c>
      <c r="I684" s="211">
        <f>IF(ROW()&lt;51,NA(),AVERAGE(INDEX(E:E,ROW()-49):E684))</f>
        <v/>
      </c>
      <c r="J684" s="211">
        <f>IF(ROW()&lt;201,NA(),AVERAGE(INDEX(E:E,ROW()-199):E684))</f>
        <v/>
      </c>
      <c r="K684" s="341">
        <f>IF(ROW()&lt;22,NA(),_xlfn.STDEV.S(INDEX(H:H,ROW()-19):H684)*SQRT(252))</f>
        <v/>
      </c>
      <c r="L684" s="426" cm="1">
        <f t="array" ref="L684">IF(ROW()&lt;17,NA(),_xlfn.LET(_xlpm.d,INDEX(E:E,ROW()-13):E684-INDEX(E:E,ROW()-14):INDEX(E:E,ROW()-1),_xlpm.g,SUM(IF(_xlpm.d&gt;0,_xlpm.d,0)),_xlpm.l,-SUM(IF(_xlpm.d&lt;0,_xlpm.d,0)),IF(_xlpm.l=0,100,100-100/(1+_xlpm.g/_xlpm.l))))</f>
        <v/>
      </c>
      <c r="M684" s="211">
        <f>MAX($E$2:E684)</f>
        <v/>
      </c>
      <c r="N684" s="341">
        <f>E684/M684-1</f>
        <v/>
      </c>
    </row>
    <row r="685">
      <c r="A685" s="424" t="n">
        <v>45456</v>
      </c>
      <c r="B685" s="425" t="n">
        <v>88.66658411689598</v>
      </c>
      <c r="C685" s="425" t="n">
        <v>89.12858365307257</v>
      </c>
      <c r="D685" s="425" t="n">
        <v>88.36486910645058</v>
      </c>
      <c r="E685" s="425" t="n">
        <v>88.798583984375</v>
      </c>
      <c r="F685" s="207" t="n">
        <v>8348200</v>
      </c>
      <c r="G685" s="208" t="n">
        <v>0.002013402252837526</v>
      </c>
      <c r="H685" s="209" cm="1">
        <f t="array" ref="H685">IF(ROW()&lt;3,"",E685/INDEX(E:E,ROW()-1)-1)</f>
        <v/>
      </c>
      <c r="I685" s="211">
        <f>IF(ROW()&lt;51,NA(),AVERAGE(INDEX(E:E,ROW()-49):E685))</f>
        <v/>
      </c>
      <c r="J685" s="211">
        <f>IF(ROW()&lt;201,NA(),AVERAGE(INDEX(E:E,ROW()-199):E685))</f>
        <v/>
      </c>
      <c r="K685" s="341">
        <f>IF(ROW()&lt;22,NA(),_xlfn.STDEV.S(INDEX(H:H,ROW()-19):H685)*SQRT(252))</f>
        <v/>
      </c>
      <c r="L685" s="426" cm="1">
        <f t="array" ref="L685">IF(ROW()&lt;17,NA(),_xlfn.LET(_xlpm.d,INDEX(E:E,ROW()-13):E685-INDEX(E:E,ROW()-14):INDEX(E:E,ROW()-1),_xlpm.g,SUM(IF(_xlpm.d&gt;0,_xlpm.d,0)),_xlpm.l,-SUM(IF(_xlpm.d&lt;0,_xlpm.d,0)),IF(_xlpm.l=0,100,100-100/(1+_xlpm.g/_xlpm.l))))</f>
        <v/>
      </c>
      <c r="M685" s="211">
        <f>MAX($E$2:E685)</f>
        <v/>
      </c>
      <c r="N685" s="341">
        <f>E685/M685-1</f>
        <v/>
      </c>
    </row>
    <row r="686">
      <c r="A686" s="424" t="n">
        <v>45457</v>
      </c>
      <c r="B686" s="425" t="n">
        <v>88.44028706109613</v>
      </c>
      <c r="C686" s="425" t="n">
        <v>89.36428600184647</v>
      </c>
      <c r="D686" s="425" t="n">
        <v>87.968856974829</v>
      </c>
      <c r="E686" s="425" t="n">
        <v>88.0537109375</v>
      </c>
      <c r="F686" s="207" t="n">
        <v>7426800</v>
      </c>
      <c r="G686" s="208" t="n">
        <v>0.0006081587801793908</v>
      </c>
      <c r="H686" s="209" cm="1">
        <f t="array" ref="H686">IF(ROW()&lt;3,"",E686/INDEX(E:E,ROW()-1)-1)</f>
        <v/>
      </c>
      <c r="I686" s="211">
        <f>IF(ROW()&lt;51,NA(),AVERAGE(INDEX(E:E,ROW()-49):E686))</f>
        <v/>
      </c>
      <c r="J686" s="211">
        <f>IF(ROW()&lt;201,NA(),AVERAGE(INDEX(E:E,ROW()-199):E686))</f>
        <v/>
      </c>
      <c r="K686" s="341">
        <f>IF(ROW()&lt;22,NA(),_xlfn.STDEV.S(INDEX(H:H,ROW()-19):H686)*SQRT(252))</f>
        <v/>
      </c>
      <c r="L686" s="426" cm="1">
        <f t="array" ref="L686">IF(ROW()&lt;17,NA(),_xlfn.LET(_xlpm.d,INDEX(E:E,ROW()-13):E686-INDEX(E:E,ROW()-14):INDEX(E:E,ROW()-1),_xlpm.g,SUM(IF(_xlpm.d&gt;0,_xlpm.d,0)),_xlpm.l,-SUM(IF(_xlpm.d&lt;0,_xlpm.d,0)),IF(_xlpm.l=0,100,100-100/(1+_xlpm.g/_xlpm.l))))</f>
        <v/>
      </c>
      <c r="M686" s="211">
        <f>MAX($E$2:E686)</f>
        <v/>
      </c>
      <c r="N686" s="341">
        <f>E686/M686-1</f>
        <v/>
      </c>
    </row>
    <row r="687">
      <c r="A687" s="424" t="n">
        <v>45460</v>
      </c>
      <c r="B687" s="425" t="n">
        <v>86.75256640946886</v>
      </c>
      <c r="C687" s="425" t="n">
        <v>89.68486211883689</v>
      </c>
      <c r="D687" s="425" t="n">
        <v>86.75256640946886</v>
      </c>
      <c r="E687" s="425" t="n">
        <v>89.57171630859375</v>
      </c>
      <c r="F687" s="207" t="n">
        <v>6365400</v>
      </c>
      <c r="G687" s="208" t="n">
        <v>0.007959143603094576</v>
      </c>
      <c r="H687" s="209" cm="1">
        <f t="array" ref="H687">IF(ROW()&lt;3,"",E687/INDEX(E:E,ROW()-1)-1)</f>
        <v/>
      </c>
      <c r="I687" s="211">
        <f>IF(ROW()&lt;51,NA(),AVERAGE(INDEX(E:E,ROW()-49):E687))</f>
        <v/>
      </c>
      <c r="J687" s="211">
        <f>IF(ROW()&lt;201,NA(),AVERAGE(INDEX(E:E,ROW()-199):E687))</f>
        <v/>
      </c>
      <c r="K687" s="341">
        <f>IF(ROW()&lt;22,NA(),_xlfn.STDEV.S(INDEX(H:H,ROW()-19):H687)*SQRT(252))</f>
        <v/>
      </c>
      <c r="L687" s="426" cm="1">
        <f t="array" ref="L687">IF(ROW()&lt;17,NA(),_xlfn.LET(_xlpm.d,INDEX(E:E,ROW()-13):E687-INDEX(E:E,ROW()-14):INDEX(E:E,ROW()-1),_xlpm.g,SUM(IF(_xlpm.d&gt;0,_xlpm.d,0)),_xlpm.l,-SUM(IF(_xlpm.d&lt;0,_xlpm.d,0)),IF(_xlpm.l=0,100,100-100/(1+_xlpm.g/_xlpm.l))))</f>
        <v/>
      </c>
      <c r="M687" s="211">
        <f>MAX($E$2:E687)</f>
        <v/>
      </c>
      <c r="N687" s="341">
        <f>E687/M687-1</f>
        <v/>
      </c>
    </row>
    <row r="688">
      <c r="A688" s="424" t="n">
        <v>45461</v>
      </c>
      <c r="B688" s="425" t="n">
        <v>89.26056551238111</v>
      </c>
      <c r="C688" s="425" t="n">
        <v>89.81685672177184</v>
      </c>
      <c r="D688" s="425" t="n">
        <v>88.82685072195794</v>
      </c>
      <c r="E688" s="425" t="n">
        <v>89.36428070068359</v>
      </c>
      <c r="F688" s="207" t="n">
        <v>6712000</v>
      </c>
      <c r="G688" s="208" t="n">
        <v>0.002540712152852898</v>
      </c>
      <c r="H688" s="209" cm="1">
        <f t="array" ref="H688">IF(ROW()&lt;3,"",E688/INDEX(E:E,ROW()-1)-1)</f>
        <v/>
      </c>
      <c r="I688" s="211">
        <f>IF(ROW()&lt;51,NA(),AVERAGE(INDEX(E:E,ROW()-49):E688))</f>
        <v/>
      </c>
      <c r="J688" s="211">
        <f>IF(ROW()&lt;201,NA(),AVERAGE(INDEX(E:E,ROW()-199):E688))</f>
        <v/>
      </c>
      <c r="K688" s="341">
        <f>IF(ROW()&lt;22,NA(),_xlfn.STDEV.S(INDEX(H:H,ROW()-19):H688)*SQRT(252))</f>
        <v/>
      </c>
      <c r="L688" s="426" cm="1">
        <f t="array" ref="L688">IF(ROW()&lt;17,NA(),_xlfn.LET(_xlpm.d,INDEX(E:E,ROW()-13):E688-INDEX(E:E,ROW()-14):INDEX(E:E,ROW()-1),_xlpm.g,SUM(IF(_xlpm.d&gt;0,_xlpm.d,0)),_xlpm.l,-SUM(IF(_xlpm.d&lt;0,_xlpm.d,0)),IF(_xlpm.l=0,100,100-100/(1+_xlpm.g/_xlpm.l))))</f>
        <v/>
      </c>
      <c r="M688" s="211">
        <f>MAX($E$2:E688)</f>
        <v/>
      </c>
      <c r="N688" s="341">
        <f>E688/M688-1</f>
        <v/>
      </c>
    </row>
    <row r="689">
      <c r="A689" s="424" t="n">
        <v>45463</v>
      </c>
      <c r="B689" s="425" t="n">
        <v>88.51571012968434</v>
      </c>
      <c r="C689" s="425" t="n">
        <v>90.59943024122201</v>
      </c>
      <c r="D689" s="425" t="n">
        <v>88.17627989316259</v>
      </c>
      <c r="E689" s="425" t="n">
        <v>90.10914611816406</v>
      </c>
      <c r="F689" s="207" t="n">
        <v>9393800</v>
      </c>
      <c r="G689" s="208" t="n">
        <v>-0.002716544837253032</v>
      </c>
      <c r="H689" s="209" cm="1">
        <f t="array" ref="H689">IF(ROW()&lt;3,"",E689/INDEX(E:E,ROW()-1)-1)</f>
        <v/>
      </c>
      <c r="I689" s="211">
        <f>IF(ROW()&lt;51,NA(),AVERAGE(INDEX(E:E,ROW()-49):E689))</f>
        <v/>
      </c>
      <c r="J689" s="211">
        <f>IF(ROW()&lt;201,NA(),AVERAGE(INDEX(E:E,ROW()-199):E689))</f>
        <v/>
      </c>
      <c r="K689" s="341">
        <f>IF(ROW()&lt;22,NA(),_xlfn.STDEV.S(INDEX(H:H,ROW()-19):H689)*SQRT(252))</f>
        <v/>
      </c>
      <c r="L689" s="426" cm="1">
        <f t="array" ref="L689">IF(ROW()&lt;17,NA(),_xlfn.LET(_xlpm.d,INDEX(E:E,ROW()-13):E689-INDEX(E:E,ROW()-14):INDEX(E:E,ROW()-1),_xlpm.g,SUM(IF(_xlpm.d&gt;0,_xlpm.d,0)),_xlpm.l,-SUM(IF(_xlpm.d&lt;0,_xlpm.d,0)),IF(_xlpm.l=0,100,100-100/(1+_xlpm.g/_xlpm.l))))</f>
        <v/>
      </c>
      <c r="M689" s="211">
        <f>MAX($E$2:E689)</f>
        <v/>
      </c>
      <c r="N689" s="341">
        <f>E689/M689-1</f>
        <v/>
      </c>
    </row>
    <row r="690">
      <c r="A690" s="424" t="n">
        <v>45464</v>
      </c>
      <c r="B690" s="425" t="n">
        <v>90.47686846601523</v>
      </c>
      <c r="C690" s="425" t="n">
        <v>91.65544377511837</v>
      </c>
      <c r="D690" s="425" t="n">
        <v>89.96772306926835</v>
      </c>
      <c r="E690" s="425" t="n">
        <v>91.62715911865234</v>
      </c>
      <c r="F690" s="207" t="n">
        <v>15124400</v>
      </c>
      <c r="G690" s="208" t="n">
        <v>-0.001340720179602073</v>
      </c>
      <c r="H690" s="209" cm="1">
        <f t="array" ref="H690">IF(ROW()&lt;3,"",E690/INDEX(E:E,ROW()-1)-1)</f>
        <v/>
      </c>
      <c r="I690" s="211">
        <f>IF(ROW()&lt;51,NA(),AVERAGE(INDEX(E:E,ROW()-49):E690))</f>
        <v/>
      </c>
      <c r="J690" s="211">
        <f>IF(ROW()&lt;201,NA(),AVERAGE(INDEX(E:E,ROW()-199):E690))</f>
        <v/>
      </c>
      <c r="K690" s="341">
        <f>IF(ROW()&lt;22,NA(),_xlfn.STDEV.S(INDEX(H:H,ROW()-19):H690)*SQRT(252))</f>
        <v/>
      </c>
      <c r="L690" s="426" cm="1">
        <f t="array" ref="L690">IF(ROW()&lt;17,NA(),_xlfn.LET(_xlpm.d,INDEX(E:E,ROW()-13):E690-INDEX(E:E,ROW()-14):INDEX(E:E,ROW()-1),_xlpm.g,SUM(IF(_xlpm.d&gt;0,_xlpm.d,0)),_xlpm.l,-SUM(IF(_xlpm.d&lt;0,_xlpm.d,0)),IF(_xlpm.l=0,100,100-100/(1+_xlpm.g/_xlpm.l))))</f>
        <v/>
      </c>
      <c r="M690" s="211">
        <f>MAX($E$2:E690)</f>
        <v/>
      </c>
      <c r="N690" s="341">
        <f>E690/M690-1</f>
        <v/>
      </c>
    </row>
    <row r="691">
      <c r="A691" s="424" t="n">
        <v>45467</v>
      </c>
      <c r="B691" s="425" t="n">
        <v>91.74030562388472</v>
      </c>
      <c r="C691" s="425" t="n">
        <v>92.43802019792359</v>
      </c>
      <c r="D691" s="425" t="n">
        <v>91.15572967655585</v>
      </c>
      <c r="E691" s="425" t="n">
        <v>91.61772918701172</v>
      </c>
      <c r="F691" s="207" t="n">
        <v>9466900</v>
      </c>
      <c r="G691" s="208" t="n">
        <v>-0.003250644860578467</v>
      </c>
      <c r="H691" s="209" cm="1">
        <f t="array" ref="H691">IF(ROW()&lt;3,"",E691/INDEX(E:E,ROW()-1)-1)</f>
        <v/>
      </c>
      <c r="I691" s="211">
        <f>IF(ROW()&lt;51,NA(),AVERAGE(INDEX(E:E,ROW()-49):E691))</f>
        <v/>
      </c>
      <c r="J691" s="211">
        <f>IF(ROW()&lt;201,NA(),AVERAGE(INDEX(E:E,ROW()-199):E691))</f>
        <v/>
      </c>
      <c r="K691" s="341">
        <f>IF(ROW()&lt;22,NA(),_xlfn.STDEV.S(INDEX(H:H,ROW()-19):H691)*SQRT(252))</f>
        <v/>
      </c>
      <c r="L691" s="426" cm="1">
        <f t="array" ref="L691">IF(ROW()&lt;17,NA(),_xlfn.LET(_xlpm.d,INDEX(E:E,ROW()-13):E691-INDEX(E:E,ROW()-14):INDEX(E:E,ROW()-1),_xlpm.g,SUM(IF(_xlpm.d&gt;0,_xlpm.d,0)),_xlpm.l,-SUM(IF(_xlpm.d&lt;0,_xlpm.d,0)),IF(_xlpm.l=0,100,100-100/(1+_xlpm.g/_xlpm.l))))</f>
        <v/>
      </c>
      <c r="M691" s="211">
        <f>MAX($E$2:E691)</f>
        <v/>
      </c>
      <c r="N691" s="341">
        <f>E691/M691-1</f>
        <v/>
      </c>
    </row>
    <row r="692">
      <c r="A692" s="424" t="n">
        <v>45468</v>
      </c>
      <c r="B692" s="425" t="n">
        <v>91.74971819895082</v>
      </c>
      <c r="C692" s="425" t="n">
        <v>92.06086377252021</v>
      </c>
      <c r="D692" s="425" t="n">
        <v>89.10028349944344</v>
      </c>
      <c r="E692" s="425" t="n">
        <v>89.33599853515625</v>
      </c>
      <c r="F692" s="207" t="n">
        <v>9006500</v>
      </c>
      <c r="G692" s="208" t="n">
        <v>0.003850737666635462</v>
      </c>
      <c r="H692" s="209" cm="1">
        <f t="array" ref="H692">IF(ROW()&lt;3,"",E692/INDEX(E:E,ROW()-1)-1)</f>
        <v/>
      </c>
      <c r="I692" s="211">
        <f>IF(ROW()&lt;51,NA(),AVERAGE(INDEX(E:E,ROW()-49):E692))</f>
        <v/>
      </c>
      <c r="J692" s="211">
        <f>IF(ROW()&lt;201,NA(),AVERAGE(INDEX(E:E,ROW()-199):E692))</f>
        <v/>
      </c>
      <c r="K692" s="341">
        <f>IF(ROW()&lt;22,NA(),_xlfn.STDEV.S(INDEX(H:H,ROW()-19):H692)*SQRT(252))</f>
        <v/>
      </c>
      <c r="L692" s="426" cm="1">
        <f t="array" ref="L692">IF(ROW()&lt;17,NA(),_xlfn.LET(_xlpm.d,INDEX(E:E,ROW()-13):E692-INDEX(E:E,ROW()-14):INDEX(E:E,ROW()-1),_xlpm.g,SUM(IF(_xlpm.d&gt;0,_xlpm.d,0)),_xlpm.l,-SUM(IF(_xlpm.d&lt;0,_xlpm.d,0)),IF(_xlpm.l=0,100,100-100/(1+_xlpm.g/_xlpm.l))))</f>
        <v/>
      </c>
      <c r="M692" s="211">
        <f>MAX($E$2:E692)</f>
        <v/>
      </c>
      <c r="N692" s="341">
        <f>E692/M692-1</f>
        <v/>
      </c>
    </row>
    <row r="693">
      <c r="A693" s="424" t="n">
        <v>45469</v>
      </c>
      <c r="B693" s="425" t="n">
        <v>88.71370182685311</v>
      </c>
      <c r="C693" s="425" t="n">
        <v>89.0814238774897</v>
      </c>
      <c r="D693" s="425" t="n">
        <v>87.82741823967845</v>
      </c>
      <c r="E693" s="425" t="n">
        <v>88.68541717529297</v>
      </c>
      <c r="F693" s="207" t="n">
        <v>10160400</v>
      </c>
      <c r="G693" s="208" t="n">
        <v>0.001248266934606779</v>
      </c>
      <c r="H693" s="209" cm="1">
        <f t="array" ref="H693">IF(ROW()&lt;3,"",E693/INDEX(E:E,ROW()-1)-1)</f>
        <v/>
      </c>
      <c r="I693" s="211">
        <f>IF(ROW()&lt;51,NA(),AVERAGE(INDEX(E:E,ROW()-49):E693))</f>
        <v/>
      </c>
      <c r="J693" s="211">
        <f>IF(ROW()&lt;201,NA(),AVERAGE(INDEX(E:E,ROW()-199):E693))</f>
        <v/>
      </c>
      <c r="K693" s="341">
        <f>IF(ROW()&lt;22,NA(),_xlfn.STDEV.S(INDEX(H:H,ROW()-19):H693)*SQRT(252))</f>
        <v/>
      </c>
      <c r="L693" s="426" cm="1">
        <f t="array" ref="L693">IF(ROW()&lt;17,NA(),_xlfn.LET(_xlpm.d,INDEX(E:E,ROW()-13):E693-INDEX(E:E,ROW()-14):INDEX(E:E,ROW()-1),_xlpm.g,SUM(IF(_xlpm.d&gt;0,_xlpm.d,0)),_xlpm.l,-SUM(IF(_xlpm.d&lt;0,_xlpm.d,0)),IF(_xlpm.l=0,100,100-100/(1+_xlpm.g/_xlpm.l))))</f>
        <v/>
      </c>
      <c r="M693" s="211">
        <f>MAX($E$2:E693)</f>
        <v/>
      </c>
      <c r="N693" s="341">
        <f>E693/M693-1</f>
        <v/>
      </c>
    </row>
    <row r="694">
      <c r="A694" s="424" t="n">
        <v>45470</v>
      </c>
      <c r="B694" s="425" t="n">
        <v>88.4119843370603</v>
      </c>
      <c r="C694" s="425" t="n">
        <v>89.3265597428607</v>
      </c>
      <c r="D694" s="425" t="n">
        <v>88.05370010521588</v>
      </c>
      <c r="E694" s="425" t="n">
        <v>88.80799102783203</v>
      </c>
      <c r="F694" s="207" t="n">
        <v>25772700</v>
      </c>
      <c r="G694" s="208" t="n">
        <v>0.001576472463171052</v>
      </c>
      <c r="H694" s="209" cm="1">
        <f t="array" ref="H694">IF(ROW()&lt;3,"",E694/INDEX(E:E,ROW()-1)-1)</f>
        <v/>
      </c>
      <c r="I694" s="211">
        <f>IF(ROW()&lt;51,NA(),AVERAGE(INDEX(E:E,ROW()-49):E694))</f>
        <v/>
      </c>
      <c r="J694" s="211">
        <f>IF(ROW()&lt;201,NA(),AVERAGE(INDEX(E:E,ROW()-199):E694))</f>
        <v/>
      </c>
      <c r="K694" s="341">
        <f>IF(ROW()&lt;22,NA(),_xlfn.STDEV.S(INDEX(H:H,ROW()-19):H694)*SQRT(252))</f>
        <v/>
      </c>
      <c r="L694" s="426" cm="1">
        <f t="array" ref="L694">IF(ROW()&lt;17,NA(),_xlfn.LET(_xlpm.d,INDEX(E:E,ROW()-13):E694-INDEX(E:E,ROW()-14):INDEX(E:E,ROW()-1),_xlpm.g,SUM(IF(_xlpm.d&gt;0,_xlpm.d,0)),_xlpm.l,-SUM(IF(_xlpm.d&lt;0,_xlpm.d,0)),IF(_xlpm.l=0,100,100-100/(1+_xlpm.g/_xlpm.l))))</f>
        <v/>
      </c>
      <c r="M694" s="211">
        <f>MAX($E$2:E694)</f>
        <v/>
      </c>
      <c r="N694" s="341">
        <f>E694/M694-1</f>
        <v/>
      </c>
    </row>
    <row r="695">
      <c r="A695" s="424" t="n">
        <v>45471</v>
      </c>
      <c r="B695" s="425" t="n">
        <v>72.72279838095153</v>
      </c>
      <c r="C695" s="425" t="n">
        <v>74.53309527625886</v>
      </c>
      <c r="D695" s="425" t="n">
        <v>70.29022474121837</v>
      </c>
      <c r="E695" s="425" t="n">
        <v>71.06336975097656</v>
      </c>
      <c r="F695" s="207" t="n">
        <v>129967000</v>
      </c>
      <c r="G695" s="208" t="n">
        <v>-0.003935207051480205</v>
      </c>
      <c r="H695" s="209" cm="1">
        <f t="array" ref="H695">IF(ROW()&lt;3,"",E695/INDEX(E:E,ROW()-1)-1)</f>
        <v/>
      </c>
      <c r="I695" s="211">
        <f>IF(ROW()&lt;51,NA(),AVERAGE(INDEX(E:E,ROW()-49):E695))</f>
        <v/>
      </c>
      <c r="J695" s="211">
        <f>IF(ROW()&lt;201,NA(),AVERAGE(INDEX(E:E,ROW()-199):E695))</f>
        <v/>
      </c>
      <c r="K695" s="341">
        <f>IF(ROW()&lt;22,NA(),_xlfn.STDEV.S(INDEX(H:H,ROW()-19):H695)*SQRT(252))</f>
        <v/>
      </c>
      <c r="L695" s="426" cm="1">
        <f t="array" ref="L695">IF(ROW()&lt;17,NA(),_xlfn.LET(_xlpm.d,INDEX(E:E,ROW()-13):E695-INDEX(E:E,ROW()-14):INDEX(E:E,ROW()-1),_xlpm.g,SUM(IF(_xlpm.d&gt;0,_xlpm.d,0)),_xlpm.l,-SUM(IF(_xlpm.d&lt;0,_xlpm.d,0)),IF(_xlpm.l=0,100,100-100/(1+_xlpm.g/_xlpm.l))))</f>
        <v/>
      </c>
      <c r="M695" s="211">
        <f>MAX($E$2:E695)</f>
        <v/>
      </c>
      <c r="N695" s="341">
        <f>E695/M695-1</f>
        <v/>
      </c>
    </row>
    <row r="696">
      <c r="A696" s="424" t="n">
        <v>45474</v>
      </c>
      <c r="B696" s="425" t="n">
        <v>71.18595077268098</v>
      </c>
      <c r="C696" s="425" t="n">
        <v>72.65681049998638</v>
      </c>
      <c r="D696" s="425" t="n">
        <v>70.04509070298218</v>
      </c>
      <c r="E696" s="425" t="n">
        <v>72.43995666503906</v>
      </c>
      <c r="F696" s="207" t="n">
        <v>44369000</v>
      </c>
      <c r="G696" s="208" t="n">
        <v>0.002058070457090277</v>
      </c>
      <c r="H696" s="209" cm="1">
        <f t="array" ref="H696">IF(ROW()&lt;3,"",E696/INDEX(E:E,ROW()-1)-1)</f>
        <v/>
      </c>
      <c r="I696" s="211">
        <f>IF(ROW()&lt;51,NA(),AVERAGE(INDEX(E:E,ROW()-49):E696))</f>
        <v/>
      </c>
      <c r="J696" s="211">
        <f>IF(ROW()&lt;201,NA(),AVERAGE(INDEX(E:E,ROW()-199):E696))</f>
        <v/>
      </c>
      <c r="K696" s="341">
        <f>IF(ROW()&lt;22,NA(),_xlfn.STDEV.S(INDEX(H:H,ROW()-19):H696)*SQRT(252))</f>
        <v/>
      </c>
      <c r="L696" s="426" cm="1">
        <f t="array" ref="L696">IF(ROW()&lt;17,NA(),_xlfn.LET(_xlpm.d,INDEX(E:E,ROW()-13):E696-INDEX(E:E,ROW()-14):INDEX(E:E,ROW()-1),_xlpm.g,SUM(IF(_xlpm.d&gt;0,_xlpm.d,0)),_xlpm.l,-SUM(IF(_xlpm.d&lt;0,_xlpm.d,0)),IF(_xlpm.l=0,100,100-100/(1+_xlpm.g/_xlpm.l))))</f>
        <v/>
      </c>
      <c r="M696" s="211">
        <f>MAX($E$2:E696)</f>
        <v/>
      </c>
      <c r="N696" s="341">
        <f>E696/M696-1</f>
        <v/>
      </c>
    </row>
    <row r="697">
      <c r="A697" s="424" t="n">
        <v>45475</v>
      </c>
      <c r="B697" s="425" t="n">
        <v>72.43051335291484</v>
      </c>
      <c r="C697" s="425" t="n">
        <v>72.54365915574256</v>
      </c>
      <c r="D697" s="425" t="n">
        <v>71.08222310805449</v>
      </c>
      <c r="E697" s="425" t="n">
        <v>71.69508361816406</v>
      </c>
      <c r="F697" s="207" t="n">
        <v>26183400</v>
      </c>
      <c r="G697" s="208" t="n">
        <v>0.006729719960815839</v>
      </c>
      <c r="H697" s="209" cm="1">
        <f t="array" ref="H697">IF(ROW()&lt;3,"",E697/INDEX(E:E,ROW()-1)-1)</f>
        <v/>
      </c>
      <c r="I697" s="211">
        <f>IF(ROW()&lt;51,NA(),AVERAGE(INDEX(E:E,ROW()-49):E697))</f>
        <v/>
      </c>
      <c r="J697" s="211">
        <f>IF(ROW()&lt;201,NA(),AVERAGE(INDEX(E:E,ROW()-199):E697))</f>
        <v/>
      </c>
      <c r="K697" s="341">
        <f>IF(ROW()&lt;22,NA(),_xlfn.STDEV.S(INDEX(H:H,ROW()-19):H697)*SQRT(252))</f>
        <v/>
      </c>
      <c r="L697" s="426" cm="1">
        <f t="array" ref="L697">IF(ROW()&lt;17,NA(),_xlfn.LET(_xlpm.d,INDEX(E:E,ROW()-13):E697-INDEX(E:E,ROW()-14):INDEX(E:E,ROW()-1),_xlpm.g,SUM(IF(_xlpm.d&gt;0,_xlpm.d,0)),_xlpm.l,-SUM(IF(_xlpm.d&lt;0,_xlpm.d,0)),IF(_xlpm.l=0,100,100-100/(1+_xlpm.g/_xlpm.l))))</f>
        <v/>
      </c>
      <c r="M697" s="211">
        <f>MAX($E$2:E697)</f>
        <v/>
      </c>
      <c r="N697" s="341">
        <f>E697/M697-1</f>
        <v/>
      </c>
    </row>
    <row r="698">
      <c r="A698" s="424" t="n">
        <v>45476</v>
      </c>
      <c r="B698" s="425" t="n">
        <v>71.18594155238713</v>
      </c>
      <c r="C698" s="425" t="n">
        <v>71.58194109022357</v>
      </c>
      <c r="D698" s="425" t="n">
        <v>70.73336551382258</v>
      </c>
      <c r="E698" s="425" t="n">
        <v>70.9407958984375</v>
      </c>
      <c r="F698" s="207" t="n">
        <v>15952000</v>
      </c>
      <c r="G698" s="208" t="n">
        <v>0.004462535692299374</v>
      </c>
      <c r="H698" s="209" cm="1">
        <f t="array" ref="H698">IF(ROW()&lt;3,"",E698/INDEX(E:E,ROW()-1)-1)</f>
        <v/>
      </c>
      <c r="I698" s="211">
        <f>IF(ROW()&lt;51,NA(),AVERAGE(INDEX(E:E,ROW()-49):E698))</f>
        <v/>
      </c>
      <c r="J698" s="211">
        <f>IF(ROW()&lt;201,NA(),AVERAGE(INDEX(E:E,ROW()-199):E698))</f>
        <v/>
      </c>
      <c r="K698" s="341">
        <f>IF(ROW()&lt;22,NA(),_xlfn.STDEV.S(INDEX(H:H,ROW()-19):H698)*SQRT(252))</f>
        <v/>
      </c>
      <c r="L698" s="426" cm="1">
        <f t="array" ref="L698">IF(ROW()&lt;17,NA(),_xlfn.LET(_xlpm.d,INDEX(E:E,ROW()-13):E698-INDEX(E:E,ROW()-14):INDEX(E:E,ROW()-1),_xlpm.g,SUM(IF(_xlpm.d&gt;0,_xlpm.d,0)),_xlpm.l,-SUM(IF(_xlpm.d&lt;0,_xlpm.d,0)),IF(_xlpm.l=0,100,100-100/(1+_xlpm.g/_xlpm.l))))</f>
        <v/>
      </c>
      <c r="M698" s="211">
        <f>MAX($E$2:E698)</f>
        <v/>
      </c>
      <c r="N698" s="341">
        <f>E698/M698-1</f>
        <v/>
      </c>
    </row>
    <row r="699">
      <c r="A699" s="424" t="n">
        <v>45478</v>
      </c>
      <c r="B699" s="425" t="n">
        <v>71.0539570330057</v>
      </c>
      <c r="C699" s="425" t="n">
        <v>71.74224106483616</v>
      </c>
      <c r="D699" s="425" t="n">
        <v>70.5070962998708</v>
      </c>
      <c r="E699" s="425" t="n">
        <v>71.11995697021484</v>
      </c>
      <c r="F699" s="207" t="n">
        <v>19603700</v>
      </c>
      <c r="G699" s="208" t="n">
        <v>0.005766720416850335</v>
      </c>
      <c r="H699" s="209" cm="1">
        <f t="array" ref="H699">IF(ROW()&lt;3,"",E699/INDEX(E:E,ROW()-1)-1)</f>
        <v/>
      </c>
      <c r="I699" s="211">
        <f>IF(ROW()&lt;51,NA(),AVERAGE(INDEX(E:E,ROW()-49):E699))</f>
        <v/>
      </c>
      <c r="J699" s="211">
        <f>IF(ROW()&lt;201,NA(),AVERAGE(INDEX(E:E,ROW()-199):E699))</f>
        <v/>
      </c>
      <c r="K699" s="341">
        <f>IF(ROW()&lt;22,NA(),_xlfn.STDEV.S(INDEX(H:H,ROW()-19):H699)*SQRT(252))</f>
        <v/>
      </c>
      <c r="L699" s="426" cm="1">
        <f t="array" ref="L699">IF(ROW()&lt;17,NA(),_xlfn.LET(_xlpm.d,INDEX(E:E,ROW()-13):E699-INDEX(E:E,ROW()-14):INDEX(E:E,ROW()-1),_xlpm.g,SUM(IF(_xlpm.d&gt;0,_xlpm.d,0)),_xlpm.l,-SUM(IF(_xlpm.d&lt;0,_xlpm.d,0)),IF(_xlpm.l=0,100,100-100/(1+_xlpm.g/_xlpm.l))))</f>
        <v/>
      </c>
      <c r="M699" s="211">
        <f>MAX($E$2:E699)</f>
        <v/>
      </c>
      <c r="N699" s="341">
        <f>E699/M699-1</f>
        <v/>
      </c>
    </row>
    <row r="700">
      <c r="A700" s="424" t="n">
        <v>45481</v>
      </c>
      <c r="B700" s="425" t="n">
        <v>71.1010889960689</v>
      </c>
      <c r="C700" s="425" t="n">
        <v>71.17651234277622</v>
      </c>
      <c r="D700" s="425" t="n">
        <v>68.82879252956455</v>
      </c>
      <c r="E700" s="425" t="n">
        <v>68.87593841552734</v>
      </c>
      <c r="F700" s="207" t="n">
        <v>29905000</v>
      </c>
      <c r="G700" s="208" t="n">
        <v>0.00115391352062999</v>
      </c>
      <c r="H700" s="209" cm="1">
        <f t="array" ref="H700">IF(ROW()&lt;3,"",E700/INDEX(E:E,ROW()-1)-1)</f>
        <v/>
      </c>
      <c r="I700" s="211">
        <f>IF(ROW()&lt;51,NA(),AVERAGE(INDEX(E:E,ROW()-49):E700))</f>
        <v/>
      </c>
      <c r="J700" s="211">
        <f>IF(ROW()&lt;201,NA(),AVERAGE(INDEX(E:E,ROW()-199):E700))</f>
        <v/>
      </c>
      <c r="K700" s="341">
        <f>IF(ROW()&lt;22,NA(),_xlfn.STDEV.S(INDEX(H:H,ROW()-19):H700)*SQRT(252))</f>
        <v/>
      </c>
      <c r="L700" s="426" cm="1">
        <f t="array" ref="L700">IF(ROW()&lt;17,NA(),_xlfn.LET(_xlpm.d,INDEX(E:E,ROW()-13):E700-INDEX(E:E,ROW()-14):INDEX(E:E,ROW()-1),_xlpm.g,SUM(IF(_xlpm.d&gt;0,_xlpm.d,0)),_xlpm.l,-SUM(IF(_xlpm.d&lt;0,_xlpm.d,0)),IF(_xlpm.l=0,100,100-100/(1+_xlpm.g/_xlpm.l))))</f>
        <v/>
      </c>
      <c r="M700" s="211">
        <f>MAX($E$2:E700)</f>
        <v/>
      </c>
      <c r="N700" s="341">
        <f>E700/M700-1</f>
        <v/>
      </c>
    </row>
    <row r="701">
      <c r="A701" s="424" t="n">
        <v>45482</v>
      </c>
      <c r="B701" s="425" t="n">
        <v>69.11165504563574</v>
      </c>
      <c r="C701" s="425" t="n">
        <v>69.90365415514331</v>
      </c>
      <c r="D701" s="425" t="n">
        <v>68.24421820078389</v>
      </c>
      <c r="E701" s="425" t="n">
        <v>68.31964874267578</v>
      </c>
      <c r="F701" s="207" t="n">
        <v>23445500</v>
      </c>
      <c r="G701" s="208" t="n">
        <v>0.0009724430112412197</v>
      </c>
      <c r="H701" s="209" cm="1">
        <f t="array" ref="H701">IF(ROW()&lt;3,"",E701/INDEX(E:E,ROW()-1)-1)</f>
        <v/>
      </c>
      <c r="I701" s="211">
        <f>IF(ROW()&lt;51,NA(),AVERAGE(INDEX(E:E,ROW()-49):E701))</f>
        <v/>
      </c>
      <c r="J701" s="211">
        <f>IF(ROW()&lt;201,NA(),AVERAGE(INDEX(E:E,ROW()-199):E701))</f>
        <v/>
      </c>
      <c r="K701" s="341">
        <f>IF(ROW()&lt;22,NA(),_xlfn.STDEV.S(INDEX(H:H,ROW()-19):H701)*SQRT(252))</f>
        <v/>
      </c>
      <c r="L701" s="426" cm="1">
        <f t="array" ref="L701">IF(ROW()&lt;17,NA(),_xlfn.LET(_xlpm.d,INDEX(E:E,ROW()-13):E701-INDEX(E:E,ROW()-14):INDEX(E:E,ROW()-1),_xlpm.g,SUM(IF(_xlpm.d&gt;0,_xlpm.d,0)),_xlpm.l,-SUM(IF(_xlpm.d&lt;0,_xlpm.d,0)),IF(_xlpm.l=0,100,100-100/(1+_xlpm.g/_xlpm.l))))</f>
        <v/>
      </c>
      <c r="M701" s="211">
        <f>MAX($E$2:E701)</f>
        <v/>
      </c>
      <c r="N701" s="341">
        <f>E701/M701-1</f>
        <v/>
      </c>
    </row>
    <row r="702">
      <c r="A702" s="424" t="n">
        <v>45483</v>
      </c>
      <c r="B702" s="425" t="n">
        <v>68.13108085828927</v>
      </c>
      <c r="C702" s="425" t="n">
        <v>68.48936514881196</v>
      </c>
      <c r="D702" s="425" t="n">
        <v>67.5747895932263</v>
      </c>
      <c r="E702" s="425" t="n">
        <v>68.39508056640625</v>
      </c>
      <c r="F702" s="207" t="n">
        <v>21378200</v>
      </c>
      <c r="G702" s="208" t="n">
        <v>0.009895173746174546</v>
      </c>
      <c r="H702" s="209" cm="1">
        <f t="array" ref="H702">IF(ROW()&lt;3,"",E702/INDEX(E:E,ROW()-1)-1)</f>
        <v/>
      </c>
      <c r="I702" s="211">
        <f>IF(ROW()&lt;51,NA(),AVERAGE(INDEX(E:E,ROW()-49):E702))</f>
        <v/>
      </c>
      <c r="J702" s="211">
        <f>IF(ROW()&lt;201,NA(),AVERAGE(INDEX(E:E,ROW()-199):E702))</f>
        <v/>
      </c>
      <c r="K702" s="341">
        <f>IF(ROW()&lt;22,NA(),_xlfn.STDEV.S(INDEX(H:H,ROW()-19):H702)*SQRT(252))</f>
        <v/>
      </c>
      <c r="L702" s="426" cm="1">
        <f t="array" ref="L702">IF(ROW()&lt;17,NA(),_xlfn.LET(_xlpm.d,INDEX(E:E,ROW()-13):E702-INDEX(E:E,ROW()-14):INDEX(E:E,ROW()-1),_xlpm.g,SUM(IF(_xlpm.d&gt;0,_xlpm.d,0)),_xlpm.l,-SUM(IF(_xlpm.d&lt;0,_xlpm.d,0)),IF(_xlpm.l=0,100,100-100/(1+_xlpm.g/_xlpm.l))))</f>
        <v/>
      </c>
      <c r="M702" s="211">
        <f>MAX($E$2:E702)</f>
        <v/>
      </c>
      <c r="N702" s="341">
        <f>E702/M702-1</f>
        <v/>
      </c>
    </row>
    <row r="703">
      <c r="A703" s="424" t="n">
        <v>45484</v>
      </c>
      <c r="B703" s="425" t="n">
        <v>68.54593446739838</v>
      </c>
      <c r="C703" s="425" t="n">
        <v>69.53594056640276</v>
      </c>
      <c r="D703" s="425" t="n">
        <v>68.15936552145506</v>
      </c>
      <c r="E703" s="425" t="n">
        <v>69.19651031494141</v>
      </c>
      <c r="F703" s="207" t="n">
        <v>15876700</v>
      </c>
      <c r="G703" s="208" t="n">
        <v>-0.008622552942059936</v>
      </c>
      <c r="H703" s="209" cm="1">
        <f t="array" ref="H703">IF(ROW()&lt;3,"",E703/INDEX(E:E,ROW()-1)-1)</f>
        <v/>
      </c>
      <c r="I703" s="211">
        <f>IF(ROW()&lt;51,NA(),AVERAGE(INDEX(E:E,ROW()-49):E703))</f>
        <v/>
      </c>
      <c r="J703" s="211">
        <f>IF(ROW()&lt;201,NA(),AVERAGE(INDEX(E:E,ROW()-199):E703))</f>
        <v/>
      </c>
      <c r="K703" s="341">
        <f>IF(ROW()&lt;22,NA(),_xlfn.STDEV.S(INDEX(H:H,ROW()-19):H703)*SQRT(252))</f>
        <v/>
      </c>
      <c r="L703" s="426" cm="1">
        <f t="array" ref="L703">IF(ROW()&lt;17,NA(),_xlfn.LET(_xlpm.d,INDEX(E:E,ROW()-13):E703-INDEX(E:E,ROW()-14):INDEX(E:E,ROW()-1),_xlpm.g,SUM(IF(_xlpm.d&gt;0,_xlpm.d,0)),_xlpm.l,-SUM(IF(_xlpm.d&lt;0,_xlpm.d,0)),IF(_xlpm.l=0,100,100-100/(1+_xlpm.g/_xlpm.l))))</f>
        <v/>
      </c>
      <c r="M703" s="211">
        <f>MAX($E$2:E703)</f>
        <v/>
      </c>
      <c r="N703" s="341">
        <f>E703/M703-1</f>
        <v/>
      </c>
    </row>
    <row r="704">
      <c r="A704" s="424" t="n">
        <v>45485</v>
      </c>
      <c r="B704" s="425" t="n">
        <v>69.36623059071466</v>
      </c>
      <c r="C704" s="425" t="n">
        <v>69.81880669074849</v>
      </c>
      <c r="D704" s="425" t="n">
        <v>68.98908503959532</v>
      </c>
      <c r="E704" s="425" t="n">
        <v>69.22480010986328</v>
      </c>
      <c r="F704" s="207" t="n">
        <v>14527500</v>
      </c>
      <c r="G704" s="208" t="n">
        <v>0.006307531646837727</v>
      </c>
      <c r="H704" s="209" cm="1">
        <f t="array" ref="H704">IF(ROW()&lt;3,"",E704/INDEX(E:E,ROW()-1)-1)</f>
        <v/>
      </c>
      <c r="I704" s="211">
        <f>IF(ROW()&lt;51,NA(),AVERAGE(INDEX(E:E,ROW()-49):E704))</f>
        <v/>
      </c>
      <c r="J704" s="211">
        <f>IF(ROW()&lt;201,NA(),AVERAGE(INDEX(E:E,ROW()-199):E704))</f>
        <v/>
      </c>
      <c r="K704" s="341">
        <f>IF(ROW()&lt;22,NA(),_xlfn.STDEV.S(INDEX(H:H,ROW()-19):H704)*SQRT(252))</f>
        <v/>
      </c>
      <c r="L704" s="426" cm="1">
        <f t="array" ref="L704">IF(ROW()&lt;17,NA(),_xlfn.LET(_xlpm.d,INDEX(E:E,ROW()-13):E704-INDEX(E:E,ROW()-14):INDEX(E:E,ROW()-1),_xlpm.g,SUM(IF(_xlpm.d&gt;0,_xlpm.d,0)),_xlpm.l,-SUM(IF(_xlpm.d&lt;0,_xlpm.d,0)),IF(_xlpm.l=0,100,100-100/(1+_xlpm.g/_xlpm.l))))</f>
        <v/>
      </c>
      <c r="M704" s="211">
        <f>MAX($E$2:E704)</f>
        <v/>
      </c>
      <c r="N704" s="341">
        <f>E704/M704-1</f>
        <v/>
      </c>
    </row>
    <row r="705">
      <c r="A705" s="424" t="n">
        <v>45488</v>
      </c>
      <c r="B705" s="425" t="n">
        <v>68.82880305697898</v>
      </c>
      <c r="C705" s="425" t="n">
        <v>68.8382336743044</v>
      </c>
      <c r="D705" s="425" t="n">
        <v>67.16936688691776</v>
      </c>
      <c r="E705" s="425" t="n">
        <v>67.23536682128906</v>
      </c>
      <c r="F705" s="207" t="n">
        <v>20775800</v>
      </c>
      <c r="G705" s="208" t="n">
        <v>0.002750182680000934</v>
      </c>
      <c r="H705" s="209" cm="1">
        <f t="array" ref="H705">IF(ROW()&lt;3,"",E705/INDEX(E:E,ROW()-1)-1)</f>
        <v/>
      </c>
      <c r="I705" s="211">
        <f>IF(ROW()&lt;51,NA(),AVERAGE(INDEX(E:E,ROW()-49):E705))</f>
        <v/>
      </c>
      <c r="J705" s="211">
        <f>IF(ROW()&lt;201,NA(),AVERAGE(INDEX(E:E,ROW()-199):E705))</f>
        <v/>
      </c>
      <c r="K705" s="341">
        <f>IF(ROW()&lt;22,NA(),_xlfn.STDEV.S(INDEX(H:H,ROW()-19):H705)*SQRT(252))</f>
        <v/>
      </c>
      <c r="L705" s="426" cm="1">
        <f t="array" ref="L705">IF(ROW()&lt;17,NA(),_xlfn.LET(_xlpm.d,INDEX(E:E,ROW()-13):E705-INDEX(E:E,ROW()-14):INDEX(E:E,ROW()-1),_xlpm.g,SUM(IF(_xlpm.d&gt;0,_xlpm.d,0)),_xlpm.l,-SUM(IF(_xlpm.d&lt;0,_xlpm.d,0)),IF(_xlpm.l=0,100,100-100/(1+_xlpm.g/_xlpm.l))))</f>
        <v/>
      </c>
      <c r="M705" s="211">
        <f>MAX($E$2:E705)</f>
        <v/>
      </c>
      <c r="N705" s="341">
        <f>E705/M705-1</f>
        <v/>
      </c>
    </row>
    <row r="706">
      <c r="A706" s="424" t="n">
        <v>45489</v>
      </c>
      <c r="B706" s="425" t="n">
        <v>67.42393659920562</v>
      </c>
      <c r="C706" s="425" t="n">
        <v>68.79108104595134</v>
      </c>
      <c r="D706" s="425" t="n">
        <v>67.42393659920562</v>
      </c>
      <c r="E706" s="425" t="n">
        <v>68.64965057373047</v>
      </c>
      <c r="F706" s="207" t="n">
        <v>20980700</v>
      </c>
      <c r="G706" s="208" t="n">
        <v>0.005930005125439397</v>
      </c>
      <c r="H706" s="209" cm="1">
        <f t="array" ref="H706">IF(ROW()&lt;3,"",E706/INDEX(E:E,ROW()-1)-1)</f>
        <v/>
      </c>
      <c r="I706" s="211">
        <f>IF(ROW()&lt;51,NA(),AVERAGE(INDEX(E:E,ROW()-49):E706))</f>
        <v/>
      </c>
      <c r="J706" s="211">
        <f>IF(ROW()&lt;201,NA(),AVERAGE(INDEX(E:E,ROW()-199):E706))</f>
        <v/>
      </c>
      <c r="K706" s="341">
        <f>IF(ROW()&lt;22,NA(),_xlfn.STDEV.S(INDEX(H:H,ROW()-19):H706)*SQRT(252))</f>
        <v/>
      </c>
      <c r="L706" s="426" cm="1">
        <f t="array" ref="L706">IF(ROW()&lt;17,NA(),_xlfn.LET(_xlpm.d,INDEX(E:E,ROW()-13):E706-INDEX(E:E,ROW()-14):INDEX(E:E,ROW()-1),_xlpm.g,SUM(IF(_xlpm.d&gt;0,_xlpm.d,0)),_xlpm.l,-SUM(IF(_xlpm.d&lt;0,_xlpm.d,0)),IF(_xlpm.l=0,100,100-100/(1+_xlpm.g/_xlpm.l))))</f>
        <v/>
      </c>
      <c r="M706" s="211">
        <f>MAX($E$2:E706)</f>
        <v/>
      </c>
      <c r="N706" s="341">
        <f>E706/M706-1</f>
        <v/>
      </c>
    </row>
    <row r="707">
      <c r="A707" s="424" t="n">
        <v>45490</v>
      </c>
      <c r="B707" s="425" t="n">
        <v>68.38564530685039</v>
      </c>
      <c r="C707" s="425" t="n">
        <v>69.14935972396988</v>
      </c>
      <c r="D707" s="425" t="n">
        <v>68.35736065339442</v>
      </c>
      <c r="E707" s="425" t="n">
        <v>68.89479064941406</v>
      </c>
      <c r="F707" s="207" t="n">
        <v>11161600</v>
      </c>
      <c r="G707" s="208" t="n">
        <v>-0.0140210160554467</v>
      </c>
      <c r="H707" s="209" cm="1">
        <f t="array" ref="H707">IF(ROW()&lt;3,"",E707/INDEX(E:E,ROW()-1)-1)</f>
        <v/>
      </c>
      <c r="I707" s="211">
        <f>IF(ROW()&lt;51,NA(),AVERAGE(INDEX(E:E,ROW()-49):E707))</f>
        <v/>
      </c>
      <c r="J707" s="211">
        <f>IF(ROW()&lt;201,NA(),AVERAGE(INDEX(E:E,ROW()-199):E707))</f>
        <v/>
      </c>
      <c r="K707" s="341">
        <f>IF(ROW()&lt;22,NA(),_xlfn.STDEV.S(INDEX(H:H,ROW()-19):H707)*SQRT(252))</f>
        <v/>
      </c>
      <c r="L707" s="426" cm="1">
        <f t="array" ref="L707">IF(ROW()&lt;17,NA(),_xlfn.LET(_xlpm.d,INDEX(E:E,ROW()-13):E707-INDEX(E:E,ROW()-14):INDEX(E:E,ROW()-1),_xlpm.g,SUM(IF(_xlpm.d&gt;0,_xlpm.d,0)),_xlpm.l,-SUM(IF(_xlpm.d&lt;0,_xlpm.d,0)),IF(_xlpm.l=0,100,100-100/(1+_xlpm.g/_xlpm.l))))</f>
        <v/>
      </c>
      <c r="M707" s="211">
        <f>MAX($E$2:E707)</f>
        <v/>
      </c>
      <c r="N707" s="341">
        <f>E707/M707-1</f>
        <v/>
      </c>
    </row>
    <row r="708">
      <c r="A708" s="424" t="n">
        <v>45491</v>
      </c>
      <c r="B708" s="425" t="n">
        <v>68.80050816313357</v>
      </c>
      <c r="C708" s="425" t="n">
        <v>69.70565306847753</v>
      </c>
      <c r="D708" s="425" t="n">
        <v>68.21593226463023</v>
      </c>
      <c r="E708" s="425" t="n">
        <v>68.24421691894531</v>
      </c>
      <c r="F708" s="207" t="n">
        <v>14440100</v>
      </c>
      <c r="G708" s="208" t="n">
        <v>-0.007684830624340222</v>
      </c>
      <c r="H708" s="209" cm="1">
        <f t="array" ref="H708">IF(ROW()&lt;3,"",E708/INDEX(E:E,ROW()-1)-1)</f>
        <v/>
      </c>
      <c r="I708" s="211">
        <f>IF(ROW()&lt;51,NA(),AVERAGE(INDEX(E:E,ROW()-49):E708))</f>
        <v/>
      </c>
      <c r="J708" s="211">
        <f>IF(ROW()&lt;201,NA(),AVERAGE(INDEX(E:E,ROW()-199):E708))</f>
        <v/>
      </c>
      <c r="K708" s="341">
        <f>IF(ROW()&lt;22,NA(),_xlfn.STDEV.S(INDEX(H:H,ROW()-19):H708)*SQRT(252))</f>
        <v/>
      </c>
      <c r="L708" s="426" cm="1">
        <f t="array" ref="L708">IF(ROW()&lt;17,NA(),_xlfn.LET(_xlpm.d,INDEX(E:E,ROW()-13):E708-INDEX(E:E,ROW()-14):INDEX(E:E,ROW()-1),_xlpm.g,SUM(IF(_xlpm.d&gt;0,_xlpm.d,0)),_xlpm.l,-SUM(IF(_xlpm.d&lt;0,_xlpm.d,0)),IF(_xlpm.l=0,100,100-100/(1+_xlpm.g/_xlpm.l))))</f>
        <v/>
      </c>
      <c r="M708" s="211">
        <f>MAX($E$2:E708)</f>
        <v/>
      </c>
      <c r="N708" s="341">
        <f>E708/M708-1</f>
        <v/>
      </c>
    </row>
    <row r="709">
      <c r="A709" s="424" t="n">
        <v>45492</v>
      </c>
      <c r="B709" s="425" t="n">
        <v>68.16879065574088</v>
      </c>
      <c r="C709" s="425" t="n">
        <v>68.65907476095047</v>
      </c>
      <c r="D709" s="425" t="n">
        <v>67.74449927880855</v>
      </c>
      <c r="E709" s="425" t="n">
        <v>68.54592895507812</v>
      </c>
      <c r="F709" s="207" t="n">
        <v>11913300</v>
      </c>
      <c r="G709" s="208" t="n">
        <v>-0.006640697294749476</v>
      </c>
      <c r="H709" s="209" cm="1">
        <f t="array" ref="H709">IF(ROW()&lt;3,"",E709/INDEX(E:E,ROW()-1)-1)</f>
        <v/>
      </c>
      <c r="I709" s="211">
        <f>IF(ROW()&lt;51,NA(),AVERAGE(INDEX(E:E,ROW()-49):E709))</f>
        <v/>
      </c>
      <c r="J709" s="211">
        <f>IF(ROW()&lt;201,NA(),AVERAGE(INDEX(E:E,ROW()-199):E709))</f>
        <v/>
      </c>
      <c r="K709" s="341">
        <f>IF(ROW()&lt;22,NA(),_xlfn.STDEV.S(INDEX(H:H,ROW()-19):H709)*SQRT(252))</f>
        <v/>
      </c>
      <c r="L709" s="426" cm="1">
        <f t="array" ref="L709">IF(ROW()&lt;17,NA(),_xlfn.LET(_xlpm.d,INDEX(E:E,ROW()-13):E709-INDEX(E:E,ROW()-14):INDEX(E:E,ROW()-1),_xlpm.g,SUM(IF(_xlpm.d&gt;0,_xlpm.d,0)),_xlpm.l,-SUM(IF(_xlpm.d&lt;0,_xlpm.d,0)),IF(_xlpm.l=0,100,100-100/(1+_xlpm.g/_xlpm.l))))</f>
        <v/>
      </c>
      <c r="M709" s="211">
        <f>MAX($E$2:E709)</f>
        <v/>
      </c>
      <c r="N709" s="341">
        <f>E709/M709-1</f>
        <v/>
      </c>
    </row>
    <row r="710">
      <c r="A710" s="424" t="n">
        <v>45495</v>
      </c>
      <c r="B710" s="425" t="n">
        <v>68.94194469552306</v>
      </c>
      <c r="C710" s="425" t="n">
        <v>71.035088427025</v>
      </c>
      <c r="D710" s="425" t="n">
        <v>68.89479880521391</v>
      </c>
      <c r="E710" s="425" t="n">
        <v>70.58251953125</v>
      </c>
      <c r="F710" s="207" t="n">
        <v>19385500</v>
      </c>
      <c r="G710" s="208" t="n">
        <v>0.01030989938592408</v>
      </c>
      <c r="H710" s="209" cm="1">
        <f t="array" ref="H710">IF(ROW()&lt;3,"",E710/INDEX(E:E,ROW()-1)-1)</f>
        <v/>
      </c>
      <c r="I710" s="211">
        <f>IF(ROW()&lt;51,NA(),AVERAGE(INDEX(E:E,ROW()-49):E710))</f>
        <v/>
      </c>
      <c r="J710" s="211">
        <f>IF(ROW()&lt;201,NA(),AVERAGE(INDEX(E:E,ROW()-199):E710))</f>
        <v/>
      </c>
      <c r="K710" s="341">
        <f>IF(ROW()&lt;22,NA(),_xlfn.STDEV.S(INDEX(H:H,ROW()-19):H710)*SQRT(252))</f>
        <v/>
      </c>
      <c r="L710" s="426" cm="1">
        <f t="array" ref="L710">IF(ROW()&lt;17,NA(),_xlfn.LET(_xlpm.d,INDEX(E:E,ROW()-13):E710-INDEX(E:E,ROW()-14):INDEX(E:E,ROW()-1),_xlpm.g,SUM(IF(_xlpm.d&gt;0,_xlpm.d,0)),_xlpm.l,-SUM(IF(_xlpm.d&lt;0,_xlpm.d,0)),IF(_xlpm.l=0,100,100-100/(1+_xlpm.g/_xlpm.l))))</f>
        <v/>
      </c>
      <c r="M710" s="211">
        <f>MAX($E$2:E710)</f>
        <v/>
      </c>
      <c r="N710" s="341">
        <f>E710/M710-1</f>
        <v/>
      </c>
    </row>
    <row r="711">
      <c r="A711" s="424" t="n">
        <v>45496</v>
      </c>
      <c r="B711" s="425" t="n">
        <v>70.36566202363541</v>
      </c>
      <c r="C711" s="425" t="n">
        <v>70.75223820182386</v>
      </c>
      <c r="D711" s="425" t="n">
        <v>69.05508677420939</v>
      </c>
      <c r="E711" s="425" t="n">
        <v>69.20594787597656</v>
      </c>
      <c r="F711" s="207" t="n">
        <v>11041800</v>
      </c>
      <c r="G711" s="208" t="n">
        <v>-0.001568449512729275</v>
      </c>
      <c r="H711" s="209" cm="1">
        <f t="array" ref="H711">IF(ROW()&lt;3,"",E711/INDEX(E:E,ROW()-1)-1)</f>
        <v/>
      </c>
      <c r="I711" s="211">
        <f>IF(ROW()&lt;51,NA(),AVERAGE(INDEX(E:E,ROW()-49):E711))</f>
        <v/>
      </c>
      <c r="J711" s="211">
        <f>IF(ROW()&lt;201,NA(),AVERAGE(INDEX(E:E,ROW()-199):E711))</f>
        <v/>
      </c>
      <c r="K711" s="341">
        <f>IF(ROW()&lt;22,NA(),_xlfn.STDEV.S(INDEX(H:H,ROW()-19):H711)*SQRT(252))</f>
        <v/>
      </c>
      <c r="L711" s="426" cm="1">
        <f t="array" ref="L711">IF(ROW()&lt;17,NA(),_xlfn.LET(_xlpm.d,INDEX(E:E,ROW()-13):E711-INDEX(E:E,ROW()-14):INDEX(E:E,ROW()-1),_xlpm.g,SUM(IF(_xlpm.d&gt;0,_xlpm.d,0)),_xlpm.l,-SUM(IF(_xlpm.d&lt;0,_xlpm.d,0)),IF(_xlpm.l=0,100,100-100/(1+_xlpm.g/_xlpm.l))))</f>
        <v/>
      </c>
      <c r="M711" s="211">
        <f>MAX($E$2:E711)</f>
        <v/>
      </c>
      <c r="N711" s="341">
        <f>E711/M711-1</f>
        <v/>
      </c>
    </row>
    <row r="712">
      <c r="A712" s="424" t="n">
        <v>45497</v>
      </c>
      <c r="B712" s="425" t="n">
        <v>69.06451279085391</v>
      </c>
      <c r="C712" s="425" t="n">
        <v>69.19651264938069</v>
      </c>
      <c r="D712" s="425" t="n">
        <v>67.01850779023613</v>
      </c>
      <c r="E712" s="425" t="n">
        <v>67.02793121337891</v>
      </c>
      <c r="F712" s="207" t="n">
        <v>18563300</v>
      </c>
      <c r="G712" s="208" t="n">
        <v>-0.02266259474087284</v>
      </c>
      <c r="H712" s="209" cm="1">
        <f t="array" ref="H712">IF(ROW()&lt;3,"",E712/INDEX(E:E,ROW()-1)-1)</f>
        <v/>
      </c>
      <c r="I712" s="211">
        <f>IF(ROW()&lt;51,NA(),AVERAGE(INDEX(E:E,ROW()-49):E712))</f>
        <v/>
      </c>
      <c r="J712" s="211">
        <f>IF(ROW()&lt;201,NA(),AVERAGE(INDEX(E:E,ROW()-199):E712))</f>
        <v/>
      </c>
      <c r="K712" s="341">
        <f>IF(ROW()&lt;22,NA(),_xlfn.STDEV.S(INDEX(H:H,ROW()-19):H712)*SQRT(252))</f>
        <v/>
      </c>
      <c r="L712" s="426" cm="1">
        <f t="array" ref="L712">IF(ROW()&lt;17,NA(),_xlfn.LET(_xlpm.d,INDEX(E:E,ROW()-13):E712-INDEX(E:E,ROW()-14):INDEX(E:E,ROW()-1),_xlpm.g,SUM(IF(_xlpm.d&gt;0,_xlpm.d,0)),_xlpm.l,-SUM(IF(_xlpm.d&lt;0,_xlpm.d,0)),IF(_xlpm.l=0,100,100-100/(1+_xlpm.g/_xlpm.l))))</f>
        <v/>
      </c>
      <c r="M712" s="211">
        <f>MAX($E$2:E712)</f>
        <v/>
      </c>
      <c r="N712" s="341">
        <f>E712/M712-1</f>
        <v/>
      </c>
    </row>
    <row r="713">
      <c r="A713" s="424" t="n">
        <v>45498</v>
      </c>
      <c r="B713" s="425" t="n">
        <v>67.44279714222561</v>
      </c>
      <c r="C713" s="425" t="n">
        <v>68.29137286392844</v>
      </c>
      <c r="D713" s="425" t="n">
        <v>66.8582283510718</v>
      </c>
      <c r="E713" s="425" t="n">
        <v>67.32965850830078</v>
      </c>
      <c r="F713" s="207" t="n">
        <v>13855400</v>
      </c>
      <c r="G713" s="208" t="n">
        <v>-0.005210401360493</v>
      </c>
      <c r="H713" s="209" cm="1">
        <f t="array" ref="H713">IF(ROW()&lt;3,"",E713/INDEX(E:E,ROW()-1)-1)</f>
        <v/>
      </c>
      <c r="I713" s="211">
        <f>IF(ROW()&lt;51,NA(),AVERAGE(INDEX(E:E,ROW()-49):E713))</f>
        <v/>
      </c>
      <c r="J713" s="211">
        <f>IF(ROW()&lt;201,NA(),AVERAGE(INDEX(E:E,ROW()-199):E713))</f>
        <v/>
      </c>
      <c r="K713" s="341">
        <f>IF(ROW()&lt;22,NA(),_xlfn.STDEV.S(INDEX(H:H,ROW()-19):H713)*SQRT(252))</f>
        <v/>
      </c>
      <c r="L713" s="426" cm="1">
        <f t="array" ref="L713">IF(ROW()&lt;17,NA(),_xlfn.LET(_xlpm.d,INDEX(E:E,ROW()-13):E713-INDEX(E:E,ROW()-14):INDEX(E:E,ROW()-1),_xlpm.g,SUM(IF(_xlpm.d&gt;0,_xlpm.d,0)),_xlpm.l,-SUM(IF(_xlpm.d&lt;0,_xlpm.d,0)),IF(_xlpm.l=0,100,100-100/(1+_xlpm.g/_xlpm.l))))</f>
        <v/>
      </c>
      <c r="M713" s="211">
        <f>MAX($E$2:E713)</f>
        <v/>
      </c>
      <c r="N713" s="341">
        <f>E713/M713-1</f>
        <v/>
      </c>
    </row>
    <row r="714">
      <c r="A714" s="424" t="n">
        <v>45499</v>
      </c>
      <c r="B714" s="425" t="n">
        <v>67.8859258274781</v>
      </c>
      <c r="C714" s="425" t="n">
        <v>68.62135553965686</v>
      </c>
      <c r="D714" s="425" t="n">
        <v>67.76335660659882</v>
      </c>
      <c r="E714" s="425" t="n">
        <v>68.41392517089844</v>
      </c>
      <c r="F714" s="207" t="n">
        <v>8892000</v>
      </c>
      <c r="G714" s="208" t="n">
        <v>0.01119979357749612</v>
      </c>
      <c r="H714" s="209" cm="1">
        <f t="array" ref="H714">IF(ROW()&lt;3,"",E714/INDEX(E:E,ROW()-1)-1)</f>
        <v/>
      </c>
      <c r="I714" s="211">
        <f>IF(ROW()&lt;51,NA(),AVERAGE(INDEX(E:E,ROW()-49):E714))</f>
        <v/>
      </c>
      <c r="J714" s="211">
        <f>IF(ROW()&lt;201,NA(),AVERAGE(INDEX(E:E,ROW()-199):E714))</f>
        <v/>
      </c>
      <c r="K714" s="341">
        <f>IF(ROW()&lt;22,NA(),_xlfn.STDEV.S(INDEX(H:H,ROW()-19):H714)*SQRT(252))</f>
        <v/>
      </c>
      <c r="L714" s="426" cm="1">
        <f t="array" ref="L714">IF(ROW()&lt;17,NA(),_xlfn.LET(_xlpm.d,INDEX(E:E,ROW()-13):E714-INDEX(E:E,ROW()-14):INDEX(E:E,ROW()-1),_xlpm.g,SUM(IF(_xlpm.d&gt;0,_xlpm.d,0)),_xlpm.l,-SUM(IF(_xlpm.d&lt;0,_xlpm.d,0)),IF(_xlpm.l=0,100,100-100/(1+_xlpm.g/_xlpm.l))))</f>
        <v/>
      </c>
      <c r="M714" s="211">
        <f>MAX($E$2:E714)</f>
        <v/>
      </c>
      <c r="N714" s="341">
        <f>E714/M714-1</f>
        <v/>
      </c>
    </row>
    <row r="715">
      <c r="A715" s="424" t="n">
        <v>45502</v>
      </c>
      <c r="B715" s="425" t="n">
        <v>68.35736030636245</v>
      </c>
      <c r="C715" s="425" t="n">
        <v>69.64908129075988</v>
      </c>
      <c r="D715" s="425" t="n">
        <v>68.07449938633462</v>
      </c>
      <c r="E715" s="425" t="n">
        <v>69.34736633300781</v>
      </c>
      <c r="F715" s="207" t="n">
        <v>10471800</v>
      </c>
      <c r="G715" s="208" t="n">
        <v>0.0005877659773350086</v>
      </c>
      <c r="H715" s="209" cm="1">
        <f t="array" ref="H715">IF(ROW()&lt;3,"",E715/INDEX(E:E,ROW()-1)-1)</f>
        <v/>
      </c>
      <c r="I715" s="211">
        <f>IF(ROW()&lt;51,NA(),AVERAGE(INDEX(E:E,ROW()-49):E715))</f>
        <v/>
      </c>
      <c r="J715" s="211">
        <f>IF(ROW()&lt;201,NA(),AVERAGE(INDEX(E:E,ROW()-199):E715))</f>
        <v/>
      </c>
      <c r="K715" s="341">
        <f>IF(ROW()&lt;22,NA(),_xlfn.STDEV.S(INDEX(H:H,ROW()-19):H715)*SQRT(252))</f>
        <v/>
      </c>
      <c r="L715" s="426" cm="1">
        <f t="array" ref="L715">IF(ROW()&lt;17,NA(),_xlfn.LET(_xlpm.d,INDEX(E:E,ROW()-13):E715-INDEX(E:E,ROW()-14):INDEX(E:E,ROW()-1),_xlpm.g,SUM(IF(_xlpm.d&gt;0,_xlpm.d,0)),_xlpm.l,-SUM(IF(_xlpm.d&lt;0,_xlpm.d,0)),IF(_xlpm.l=0,100,100-100/(1+_xlpm.g/_xlpm.l))))</f>
        <v/>
      </c>
      <c r="M715" s="211">
        <f>MAX($E$2:E715)</f>
        <v/>
      </c>
      <c r="N715" s="341">
        <f>E715/M715-1</f>
        <v/>
      </c>
    </row>
    <row r="716">
      <c r="A716" s="424" t="n">
        <v>45503</v>
      </c>
      <c r="B716" s="425" t="n">
        <v>69.47937253295581</v>
      </c>
      <c r="C716" s="425" t="n">
        <v>70.23365639960697</v>
      </c>
      <c r="D716" s="425" t="n">
        <v>69.26251151530384</v>
      </c>
      <c r="E716" s="425" t="n">
        <v>70.07337188720703</v>
      </c>
      <c r="F716" s="207" t="n">
        <v>8515700</v>
      </c>
      <c r="G716" s="208" t="n">
        <v>-0.005066374286218922</v>
      </c>
      <c r="H716" s="209" cm="1">
        <f t="array" ref="H716">IF(ROW()&lt;3,"",E716/INDEX(E:E,ROW()-1)-1)</f>
        <v/>
      </c>
      <c r="I716" s="211">
        <f>IF(ROW()&lt;51,NA(),AVERAGE(INDEX(E:E,ROW()-49):E716))</f>
        <v/>
      </c>
      <c r="J716" s="211">
        <f>IF(ROW()&lt;201,NA(),AVERAGE(INDEX(E:E,ROW()-199):E716))</f>
        <v/>
      </c>
      <c r="K716" s="341">
        <f>IF(ROW()&lt;22,NA(),_xlfn.STDEV.S(INDEX(H:H,ROW()-19):H716)*SQRT(252))</f>
        <v/>
      </c>
      <c r="L716" s="426" cm="1">
        <f t="array" ref="L716">IF(ROW()&lt;17,NA(),_xlfn.LET(_xlpm.d,INDEX(E:E,ROW()-13):E716-INDEX(E:E,ROW()-14):INDEX(E:E,ROW()-1),_xlpm.g,SUM(IF(_xlpm.d&gt;0,_xlpm.d,0)),_xlpm.l,-SUM(IF(_xlpm.d&lt;0,_xlpm.d,0)),IF(_xlpm.l=0,100,100-100/(1+_xlpm.g/_xlpm.l))))</f>
        <v/>
      </c>
      <c r="M716" s="211">
        <f>MAX($E$2:E716)</f>
        <v/>
      </c>
      <c r="N716" s="341">
        <f>E716/M716-1</f>
        <v/>
      </c>
    </row>
    <row r="717">
      <c r="A717" s="424" t="n">
        <v>45504</v>
      </c>
      <c r="B717" s="425" t="n">
        <v>70.24308926269229</v>
      </c>
      <c r="C717" s="425" t="n">
        <v>71.11994959089087</v>
      </c>
      <c r="D717" s="425" t="n">
        <v>69.69622858629901</v>
      </c>
      <c r="E717" s="425" t="n">
        <v>70.58251953125</v>
      </c>
      <c r="F717" s="207" t="n">
        <v>14632900</v>
      </c>
      <c r="G717" s="208" t="n">
        <v>0.0162542989479133</v>
      </c>
      <c r="H717" s="209" cm="1">
        <f t="array" ref="H717">IF(ROW()&lt;3,"",E717/INDEX(E:E,ROW()-1)-1)</f>
        <v/>
      </c>
      <c r="I717" s="211">
        <f>IF(ROW()&lt;51,NA(),AVERAGE(INDEX(E:E,ROW()-49):E717))</f>
        <v/>
      </c>
      <c r="J717" s="211">
        <f>IF(ROW()&lt;201,NA(),AVERAGE(INDEX(E:E,ROW()-199):E717))</f>
        <v/>
      </c>
      <c r="K717" s="341">
        <f>IF(ROW()&lt;22,NA(),_xlfn.STDEV.S(INDEX(H:H,ROW()-19):H717)*SQRT(252))</f>
        <v/>
      </c>
      <c r="L717" s="426" cm="1">
        <f t="array" ref="L717">IF(ROW()&lt;17,NA(),_xlfn.LET(_xlpm.d,INDEX(E:E,ROW()-13):E717-INDEX(E:E,ROW()-14):INDEX(E:E,ROW()-1),_xlpm.g,SUM(IF(_xlpm.d&gt;0,_xlpm.d,0)),_xlpm.l,-SUM(IF(_xlpm.d&lt;0,_xlpm.d,0)),IF(_xlpm.l=0,100,100-100/(1+_xlpm.g/_xlpm.l))))</f>
        <v/>
      </c>
      <c r="M717" s="211">
        <f>MAX($E$2:E717)</f>
        <v/>
      </c>
      <c r="N717" s="341">
        <f>E717/M717-1</f>
        <v/>
      </c>
    </row>
    <row r="718">
      <c r="A718" s="424" t="n">
        <v>45505</v>
      </c>
      <c r="B718" s="425" t="n">
        <v>70.43166360453375</v>
      </c>
      <c r="C718" s="425" t="n">
        <v>70.51652477462582</v>
      </c>
      <c r="D718" s="425" t="n">
        <v>69.07394962414156</v>
      </c>
      <c r="E718" s="425" t="n">
        <v>69.63023376464844</v>
      </c>
      <c r="F718" s="207" t="n">
        <v>9563500</v>
      </c>
      <c r="G718" s="208" t="n">
        <v>-0.01416067190868975</v>
      </c>
      <c r="H718" s="209" cm="1">
        <f t="array" ref="H718">IF(ROW()&lt;3,"",E718/INDEX(E:E,ROW()-1)-1)</f>
        <v/>
      </c>
      <c r="I718" s="211">
        <f>IF(ROW()&lt;51,NA(),AVERAGE(INDEX(E:E,ROW()-49):E718))</f>
        <v/>
      </c>
      <c r="J718" s="211">
        <f>IF(ROW()&lt;201,NA(),AVERAGE(INDEX(E:E,ROW()-199):E718))</f>
        <v/>
      </c>
      <c r="K718" s="341">
        <f>IF(ROW()&lt;22,NA(),_xlfn.STDEV.S(INDEX(H:H,ROW()-19):H718)*SQRT(252))</f>
        <v/>
      </c>
      <c r="L718" s="426" cm="1">
        <f t="array" ref="L718">IF(ROW()&lt;17,NA(),_xlfn.LET(_xlpm.d,INDEX(E:E,ROW()-13):E718-INDEX(E:E,ROW()-14):INDEX(E:E,ROW()-1),_xlpm.g,SUM(IF(_xlpm.d&gt;0,_xlpm.d,0)),_xlpm.l,-SUM(IF(_xlpm.d&lt;0,_xlpm.d,0)),IF(_xlpm.l=0,100,100-100/(1+_xlpm.g/_xlpm.l))))</f>
        <v/>
      </c>
      <c r="M718" s="211">
        <f>MAX($E$2:E718)</f>
        <v/>
      </c>
      <c r="N718" s="341">
        <f>E718/M718-1</f>
        <v/>
      </c>
    </row>
    <row r="719">
      <c r="A719" s="424" t="n">
        <v>45506</v>
      </c>
      <c r="B719" s="425" t="n">
        <v>68.66850688160436</v>
      </c>
      <c r="C719" s="425" t="n">
        <v>69.89422076822056</v>
      </c>
      <c r="D719" s="425" t="n">
        <v>67.81050068686612</v>
      </c>
      <c r="E719" s="425" t="n">
        <v>69.78108215332031</v>
      </c>
      <c r="F719" s="207" t="n">
        <v>11526600</v>
      </c>
      <c r="G719" s="208" t="n">
        <v>-0.01861834808732543</v>
      </c>
      <c r="H719" s="209" cm="1">
        <f t="array" ref="H719">IF(ROW()&lt;3,"",E719/INDEX(E:E,ROW()-1)-1)</f>
        <v/>
      </c>
      <c r="I719" s="211">
        <f>IF(ROW()&lt;51,NA(),AVERAGE(INDEX(E:E,ROW()-49):E719))</f>
        <v/>
      </c>
      <c r="J719" s="211">
        <f>IF(ROW()&lt;201,NA(),AVERAGE(INDEX(E:E,ROW()-199):E719))</f>
        <v/>
      </c>
      <c r="K719" s="341">
        <f>IF(ROW()&lt;22,NA(),_xlfn.STDEV.S(INDEX(H:H,ROW()-19):H719)*SQRT(252))</f>
        <v/>
      </c>
      <c r="L719" s="426" cm="1">
        <f t="array" ref="L719">IF(ROW()&lt;17,NA(),_xlfn.LET(_xlpm.d,INDEX(E:E,ROW()-13):E719-INDEX(E:E,ROW()-14):INDEX(E:E,ROW()-1),_xlpm.g,SUM(IF(_xlpm.d&gt;0,_xlpm.d,0)),_xlpm.l,-SUM(IF(_xlpm.d&lt;0,_xlpm.d,0)),IF(_xlpm.l=0,100,100-100/(1+_xlpm.g/_xlpm.l))))</f>
        <v/>
      </c>
      <c r="M719" s="211">
        <f>MAX($E$2:E719)</f>
        <v/>
      </c>
      <c r="N719" s="341">
        <f>E719/M719-1</f>
        <v/>
      </c>
    </row>
    <row r="720">
      <c r="A720" s="424" t="n">
        <v>45509</v>
      </c>
      <c r="B720" s="425" t="n">
        <v>66.99964293658165</v>
      </c>
      <c r="C720" s="425" t="n">
        <v>68.47050972753878</v>
      </c>
      <c r="D720" s="425" t="n">
        <v>66.70735857898838</v>
      </c>
      <c r="E720" s="425" t="n">
        <v>67.33907318115234</v>
      </c>
      <c r="F720" s="207" t="n">
        <v>13191500</v>
      </c>
      <c r="G720" s="208" t="n">
        <v>-0.02912384175119986</v>
      </c>
      <c r="H720" s="209" cm="1">
        <f t="array" ref="H720">IF(ROW()&lt;3,"",E720/INDEX(E:E,ROW()-1)-1)</f>
        <v/>
      </c>
      <c r="I720" s="211">
        <f>IF(ROW()&lt;51,NA(),AVERAGE(INDEX(E:E,ROW()-49):E720))</f>
        <v/>
      </c>
      <c r="J720" s="211">
        <f>IF(ROW()&lt;201,NA(),AVERAGE(INDEX(E:E,ROW()-199):E720))</f>
        <v/>
      </c>
      <c r="K720" s="341">
        <f>IF(ROW()&lt;22,NA(),_xlfn.STDEV.S(INDEX(H:H,ROW()-19):H720)*SQRT(252))</f>
        <v/>
      </c>
      <c r="L720" s="426" cm="1">
        <f t="array" ref="L720">IF(ROW()&lt;17,NA(),_xlfn.LET(_xlpm.d,INDEX(E:E,ROW()-13):E720-INDEX(E:E,ROW()-14):INDEX(E:E,ROW()-1),_xlpm.g,SUM(IF(_xlpm.d&gt;0,_xlpm.d,0)),_xlpm.l,-SUM(IF(_xlpm.d&lt;0,_xlpm.d,0)),IF(_xlpm.l=0,100,100-100/(1+_xlpm.g/_xlpm.l))))</f>
        <v/>
      </c>
      <c r="M720" s="211">
        <f>MAX($E$2:E720)</f>
        <v/>
      </c>
      <c r="N720" s="341">
        <f>E720/M720-1</f>
        <v/>
      </c>
    </row>
    <row r="721">
      <c r="A721" s="424" t="n">
        <v>45510</v>
      </c>
      <c r="B721" s="425" t="n">
        <v>67.56536930810724</v>
      </c>
      <c r="C721" s="425" t="n">
        <v>69.05508304358509</v>
      </c>
      <c r="D721" s="425" t="n">
        <v>67.42393883120445</v>
      </c>
      <c r="E721" s="425" t="n">
        <v>68.35736846923828</v>
      </c>
      <c r="F721" s="207" t="n">
        <v>13469700</v>
      </c>
      <c r="G721" s="208" t="n">
        <v>0.009219560351344525</v>
      </c>
      <c r="H721" s="209" cm="1">
        <f t="array" ref="H721">IF(ROW()&lt;3,"",E721/INDEX(E:E,ROW()-1)-1)</f>
        <v/>
      </c>
      <c r="I721" s="211">
        <f>IF(ROW()&lt;51,NA(),AVERAGE(INDEX(E:E,ROW()-49):E721))</f>
        <v/>
      </c>
      <c r="J721" s="211">
        <f>IF(ROW()&lt;201,NA(),AVERAGE(INDEX(E:E,ROW()-199):E721))</f>
        <v/>
      </c>
      <c r="K721" s="341">
        <f>IF(ROW()&lt;22,NA(),_xlfn.STDEV.S(INDEX(H:H,ROW()-19):H721)*SQRT(252))</f>
        <v/>
      </c>
      <c r="L721" s="426" cm="1">
        <f t="array" ref="L721">IF(ROW()&lt;17,NA(),_xlfn.LET(_xlpm.d,INDEX(E:E,ROW()-13):E721-INDEX(E:E,ROW()-14):INDEX(E:E,ROW()-1),_xlpm.g,SUM(IF(_xlpm.d&gt;0,_xlpm.d,0)),_xlpm.l,-SUM(IF(_xlpm.d&lt;0,_xlpm.d,0)),IF(_xlpm.l=0,100,100-100/(1+_xlpm.g/_xlpm.l))))</f>
        <v/>
      </c>
      <c r="M721" s="211">
        <f>MAX($E$2:E721)</f>
        <v/>
      </c>
      <c r="N721" s="341">
        <f>E721/M721-1</f>
        <v/>
      </c>
    </row>
    <row r="722">
      <c r="A722" s="424" t="n">
        <v>45511</v>
      </c>
      <c r="B722" s="425" t="n">
        <v>68.7156432135759</v>
      </c>
      <c r="C722" s="425" t="n">
        <v>69.96964890430567</v>
      </c>
      <c r="D722" s="425" t="n">
        <v>68.38564360902907</v>
      </c>
      <c r="E722" s="425" t="n">
        <v>68.47050476074219</v>
      </c>
      <c r="F722" s="207" t="n">
        <v>9571200</v>
      </c>
      <c r="G722" s="208" t="n">
        <v>-0.006684028350486093</v>
      </c>
      <c r="H722" s="209" cm="1">
        <f t="array" ref="H722">IF(ROW()&lt;3,"",E722/INDEX(E:E,ROW()-1)-1)</f>
        <v/>
      </c>
      <c r="I722" s="211">
        <f>IF(ROW()&lt;51,NA(),AVERAGE(INDEX(E:E,ROW()-49):E722))</f>
        <v/>
      </c>
      <c r="J722" s="211">
        <f>IF(ROW()&lt;201,NA(),AVERAGE(INDEX(E:E,ROW()-199):E722))</f>
        <v/>
      </c>
      <c r="K722" s="341">
        <f>IF(ROW()&lt;22,NA(),_xlfn.STDEV.S(INDEX(H:H,ROW()-19):H722)*SQRT(252))</f>
        <v/>
      </c>
      <c r="L722" s="426" cm="1">
        <f t="array" ref="L722">IF(ROW()&lt;17,NA(),_xlfn.LET(_xlpm.d,INDEX(E:E,ROW()-13):E722-INDEX(E:E,ROW()-14):INDEX(E:E,ROW()-1),_xlpm.g,SUM(IF(_xlpm.d&gt;0,_xlpm.d,0)),_xlpm.l,-SUM(IF(_xlpm.d&lt;0,_xlpm.d,0)),IF(_xlpm.l=0,100,100-100/(1+_xlpm.g/_xlpm.l))))</f>
        <v/>
      </c>
      <c r="M722" s="211">
        <f>MAX($E$2:E722)</f>
        <v/>
      </c>
      <c r="N722" s="341">
        <f>E722/M722-1</f>
        <v/>
      </c>
    </row>
    <row r="723">
      <c r="A723" s="424" t="n">
        <v>45512</v>
      </c>
      <c r="B723" s="425" t="n">
        <v>69.04564560762719</v>
      </c>
      <c r="C723" s="425" t="n">
        <v>69.96964444142274</v>
      </c>
      <c r="D723" s="425" t="n">
        <v>68.87593050847781</v>
      </c>
      <c r="E723" s="425" t="n">
        <v>69.95079040527344</v>
      </c>
      <c r="F723" s="207" t="n">
        <v>8828000</v>
      </c>
      <c r="G723" s="208" t="n">
        <v>0.02311746386407476</v>
      </c>
      <c r="H723" s="209" cm="1">
        <f t="array" ref="H723">IF(ROW()&lt;3,"",E723/INDEX(E:E,ROW()-1)-1)</f>
        <v/>
      </c>
      <c r="I723" s="211">
        <f>IF(ROW()&lt;51,NA(),AVERAGE(INDEX(E:E,ROW()-49):E723))</f>
        <v/>
      </c>
      <c r="J723" s="211">
        <f>IF(ROW()&lt;201,NA(),AVERAGE(INDEX(E:E,ROW()-199):E723))</f>
        <v/>
      </c>
      <c r="K723" s="341">
        <f>IF(ROW()&lt;22,NA(),_xlfn.STDEV.S(INDEX(H:H,ROW()-19):H723)*SQRT(252))</f>
        <v/>
      </c>
      <c r="L723" s="426" cm="1">
        <f t="array" ref="L723">IF(ROW()&lt;17,NA(),_xlfn.LET(_xlpm.d,INDEX(E:E,ROW()-13):E723-INDEX(E:E,ROW()-14):INDEX(E:E,ROW()-1),_xlpm.g,SUM(IF(_xlpm.d&gt;0,_xlpm.d,0)),_xlpm.l,-SUM(IF(_xlpm.d&lt;0,_xlpm.d,0)),IF(_xlpm.l=0,100,100-100/(1+_xlpm.g/_xlpm.l))))</f>
        <v/>
      </c>
      <c r="M723" s="211">
        <f>MAX($E$2:E723)</f>
        <v/>
      </c>
      <c r="N723" s="341">
        <f>E723/M723-1</f>
        <v/>
      </c>
    </row>
    <row r="724">
      <c r="A724" s="424" t="n">
        <v>45513</v>
      </c>
      <c r="B724" s="425" t="n">
        <v>69.8848161323223</v>
      </c>
      <c r="C724" s="425" t="n">
        <v>70.31853105741909</v>
      </c>
      <c r="D724" s="425" t="n">
        <v>69.17767082529303</v>
      </c>
      <c r="E724" s="425" t="n">
        <v>70.09223937988281</v>
      </c>
      <c r="F724" s="207" t="n">
        <v>7186600</v>
      </c>
      <c r="G724" s="208" t="n">
        <v>0.004409547038788153</v>
      </c>
      <c r="H724" s="209" cm="1">
        <f t="array" ref="H724">IF(ROW()&lt;3,"",E724/INDEX(E:E,ROW()-1)-1)</f>
        <v/>
      </c>
      <c r="I724" s="211">
        <f>IF(ROW()&lt;51,NA(),AVERAGE(INDEX(E:E,ROW()-49):E724))</f>
        <v/>
      </c>
      <c r="J724" s="211">
        <f>IF(ROW()&lt;201,NA(),AVERAGE(INDEX(E:E,ROW()-199):E724))</f>
        <v/>
      </c>
      <c r="K724" s="341">
        <f>IF(ROW()&lt;22,NA(),_xlfn.STDEV.S(INDEX(H:H,ROW()-19):H724)*SQRT(252))</f>
        <v/>
      </c>
      <c r="L724" s="426" cm="1">
        <f t="array" ref="L724">IF(ROW()&lt;17,NA(),_xlfn.LET(_xlpm.d,INDEX(E:E,ROW()-13):E724-INDEX(E:E,ROW()-14):INDEX(E:E,ROW()-1),_xlpm.g,SUM(IF(_xlpm.d&gt;0,_xlpm.d,0)),_xlpm.l,-SUM(IF(_xlpm.d&lt;0,_xlpm.d,0)),IF(_xlpm.l=0,100,100-100/(1+_xlpm.g/_xlpm.l))))</f>
        <v/>
      </c>
      <c r="M724" s="211">
        <f>MAX($E$2:E724)</f>
        <v/>
      </c>
      <c r="N724" s="341">
        <f>E724/M724-1</f>
        <v/>
      </c>
    </row>
    <row r="725">
      <c r="A725" s="424" t="n">
        <v>45516</v>
      </c>
      <c r="B725" s="425" t="n">
        <v>70.44109148537372</v>
      </c>
      <c r="C725" s="425" t="n">
        <v>70.71452183300907</v>
      </c>
      <c r="D725" s="425" t="n">
        <v>69.81880743383888</v>
      </c>
      <c r="E725" s="425" t="n">
        <v>70.37509155273438</v>
      </c>
      <c r="F725" s="207" t="n">
        <v>7067300</v>
      </c>
      <c r="G725" s="208" t="n">
        <v>0.0005252995794078341</v>
      </c>
      <c r="H725" s="209" cm="1">
        <f t="array" ref="H725">IF(ROW()&lt;3,"",E725/INDEX(E:E,ROW()-1)-1)</f>
        <v/>
      </c>
      <c r="I725" s="211">
        <f>IF(ROW()&lt;51,NA(),AVERAGE(INDEX(E:E,ROW()-49):E725))</f>
        <v/>
      </c>
      <c r="J725" s="211">
        <f>IF(ROW()&lt;201,NA(),AVERAGE(INDEX(E:E,ROW()-199):E725))</f>
        <v/>
      </c>
      <c r="K725" s="341">
        <f>IF(ROW()&lt;22,NA(),_xlfn.STDEV.S(INDEX(H:H,ROW()-19):H725)*SQRT(252))</f>
        <v/>
      </c>
      <c r="L725" s="426" cm="1">
        <f t="array" ref="L725">IF(ROW()&lt;17,NA(),_xlfn.LET(_xlpm.d,INDEX(E:E,ROW()-13):E725-INDEX(E:E,ROW()-14):INDEX(E:E,ROW()-1),_xlpm.g,SUM(IF(_xlpm.d&gt;0,_xlpm.d,0)),_xlpm.l,-SUM(IF(_xlpm.d&lt;0,_xlpm.d,0)),IF(_xlpm.l=0,100,100-100/(1+_xlpm.g/_xlpm.l))))</f>
        <v/>
      </c>
      <c r="M725" s="211">
        <f>MAX($E$2:E725)</f>
        <v/>
      </c>
      <c r="N725" s="341">
        <f>E725/M725-1</f>
        <v/>
      </c>
    </row>
    <row r="726">
      <c r="A726" s="424" t="n">
        <v>45517</v>
      </c>
      <c r="B726" s="425" t="n">
        <v>70.95023068956509</v>
      </c>
      <c r="C726" s="425" t="n">
        <v>74.53310235924307</v>
      </c>
      <c r="D726" s="425" t="n">
        <v>70.78051556429713</v>
      </c>
      <c r="E726" s="425" t="n">
        <v>74.0145263671875</v>
      </c>
      <c r="F726" s="207" t="n">
        <v>22114800</v>
      </c>
      <c r="G726" s="208" t="n">
        <v>0.01644581214249641</v>
      </c>
      <c r="H726" s="209" cm="1">
        <f t="array" ref="H726">IF(ROW()&lt;3,"",E726/INDEX(E:E,ROW()-1)-1)</f>
        <v/>
      </c>
      <c r="I726" s="211">
        <f>IF(ROW()&lt;51,NA(),AVERAGE(INDEX(E:E,ROW()-49):E726))</f>
        <v/>
      </c>
      <c r="J726" s="211">
        <f>IF(ROW()&lt;201,NA(),AVERAGE(INDEX(E:E,ROW()-199):E726))</f>
        <v/>
      </c>
      <c r="K726" s="341">
        <f>IF(ROW()&lt;22,NA(),_xlfn.STDEV.S(INDEX(H:H,ROW()-19):H726)*SQRT(252))</f>
        <v/>
      </c>
      <c r="L726" s="426" cm="1">
        <f t="array" ref="L726">IF(ROW()&lt;17,NA(),_xlfn.LET(_xlpm.d,INDEX(E:E,ROW()-13):E726-INDEX(E:E,ROW()-14):INDEX(E:E,ROW()-1),_xlpm.g,SUM(IF(_xlpm.d&gt;0,_xlpm.d,0)),_xlpm.l,-SUM(IF(_xlpm.d&lt;0,_xlpm.d,0)),IF(_xlpm.l=0,100,100-100/(1+_xlpm.g/_xlpm.l))))</f>
        <v/>
      </c>
      <c r="M726" s="211">
        <f>MAX($E$2:E726)</f>
        <v/>
      </c>
      <c r="N726" s="341">
        <f>E726/M726-1</f>
        <v/>
      </c>
    </row>
    <row r="727">
      <c r="A727" s="424" t="n">
        <v>45518</v>
      </c>
      <c r="B727" s="425" t="n">
        <v>73.54310204859746</v>
      </c>
      <c r="C727" s="425" t="n">
        <v>74.570816303855</v>
      </c>
      <c r="D727" s="425" t="n">
        <v>72.99624135821762</v>
      </c>
      <c r="E727" s="425" t="n">
        <v>74.03338623046875</v>
      </c>
      <c r="F727" s="207" t="n">
        <v>13613000</v>
      </c>
      <c r="G727" s="208" t="n">
        <v>0.003154409366947997</v>
      </c>
      <c r="H727" s="209" cm="1">
        <f t="array" ref="H727">IF(ROW()&lt;3,"",E727/INDEX(E:E,ROW()-1)-1)</f>
        <v/>
      </c>
      <c r="I727" s="211">
        <f>IF(ROW()&lt;51,NA(),AVERAGE(INDEX(E:E,ROW()-49):E727))</f>
        <v/>
      </c>
      <c r="J727" s="211">
        <f>IF(ROW()&lt;201,NA(),AVERAGE(INDEX(E:E,ROW()-199):E727))</f>
        <v/>
      </c>
      <c r="K727" s="341">
        <f>IF(ROW()&lt;22,NA(),_xlfn.STDEV.S(INDEX(H:H,ROW()-19):H727)*SQRT(252))</f>
        <v/>
      </c>
      <c r="L727" s="426" cm="1">
        <f t="array" ref="L727">IF(ROW()&lt;17,NA(),_xlfn.LET(_xlpm.d,INDEX(E:E,ROW()-13):E727-INDEX(E:E,ROW()-14):INDEX(E:E,ROW()-1),_xlpm.g,SUM(IF(_xlpm.d&gt;0,_xlpm.d,0)),_xlpm.l,-SUM(IF(_xlpm.d&lt;0,_xlpm.d,0)),IF(_xlpm.l=0,100,100-100/(1+_xlpm.g/_xlpm.l))))</f>
        <v/>
      </c>
      <c r="M727" s="211">
        <f>MAX($E$2:E727)</f>
        <v/>
      </c>
      <c r="N727" s="341">
        <f>E727/M727-1</f>
        <v/>
      </c>
    </row>
    <row r="728">
      <c r="A728" s="424" t="n">
        <v>45519</v>
      </c>
      <c r="B728" s="425" t="n">
        <v>77.4088194545683</v>
      </c>
      <c r="C728" s="425" t="n">
        <v>78.31396436550175</v>
      </c>
      <c r="D728" s="425" t="n">
        <v>76.06052910742265</v>
      </c>
      <c r="E728" s="425" t="n">
        <v>77.78596496582031</v>
      </c>
      <c r="F728" s="207" t="n">
        <v>23583600</v>
      </c>
      <c r="G728" s="208" t="n">
        <v>0.01714045589926583</v>
      </c>
      <c r="H728" s="209" cm="1">
        <f t="array" ref="H728">IF(ROW()&lt;3,"",E728/INDEX(E:E,ROW()-1)-1)</f>
        <v/>
      </c>
      <c r="I728" s="211">
        <f>IF(ROW()&lt;51,NA(),AVERAGE(INDEX(E:E,ROW()-49):E728))</f>
        <v/>
      </c>
      <c r="J728" s="211">
        <f>IF(ROW()&lt;201,NA(),AVERAGE(INDEX(E:E,ROW()-199):E728))</f>
        <v/>
      </c>
      <c r="K728" s="341">
        <f>IF(ROW()&lt;22,NA(),_xlfn.STDEV.S(INDEX(H:H,ROW()-19):H728)*SQRT(252))</f>
        <v/>
      </c>
      <c r="L728" s="426" cm="1">
        <f t="array" ref="L728">IF(ROW()&lt;17,NA(),_xlfn.LET(_xlpm.d,INDEX(E:E,ROW()-13):E728-INDEX(E:E,ROW()-14):INDEX(E:E,ROW()-1),_xlpm.g,SUM(IF(_xlpm.d&gt;0,_xlpm.d,0)),_xlpm.l,-SUM(IF(_xlpm.d&lt;0,_xlpm.d,0)),IF(_xlpm.l=0,100,100-100/(1+_xlpm.g/_xlpm.l))))</f>
        <v/>
      </c>
      <c r="M728" s="211">
        <f>MAX($E$2:E728)</f>
        <v/>
      </c>
      <c r="N728" s="341">
        <f>E728/M728-1</f>
        <v/>
      </c>
    </row>
    <row r="729">
      <c r="A729" s="424" t="n">
        <v>45520</v>
      </c>
      <c r="B729" s="425" t="n">
        <v>78.14424399736529</v>
      </c>
      <c r="C729" s="425" t="n">
        <v>79.14368061408422</v>
      </c>
      <c r="D729" s="425" t="n">
        <v>77.72939043695449</v>
      </c>
      <c r="E729" s="425" t="n">
        <v>78.47425079345703</v>
      </c>
      <c r="F729" s="207" t="n">
        <v>13794200</v>
      </c>
      <c r="G729" s="208" t="n">
        <v>0.002242125042581922</v>
      </c>
      <c r="H729" s="209" cm="1">
        <f t="array" ref="H729">IF(ROW()&lt;3,"",E729/INDEX(E:E,ROW()-1)-1)</f>
        <v/>
      </c>
      <c r="I729" s="211">
        <f>IF(ROW()&lt;51,NA(),AVERAGE(INDEX(E:E,ROW()-49):E729))</f>
        <v/>
      </c>
      <c r="J729" s="211">
        <f>IF(ROW()&lt;201,NA(),AVERAGE(INDEX(E:E,ROW()-199):E729))</f>
        <v/>
      </c>
      <c r="K729" s="341">
        <f>IF(ROW()&lt;22,NA(),_xlfn.STDEV.S(INDEX(H:H,ROW()-19):H729)*SQRT(252))</f>
        <v/>
      </c>
      <c r="L729" s="426" cm="1">
        <f t="array" ref="L729">IF(ROW()&lt;17,NA(),_xlfn.LET(_xlpm.d,INDEX(E:E,ROW()-13):E729-INDEX(E:E,ROW()-14):INDEX(E:E,ROW()-1),_xlpm.g,SUM(IF(_xlpm.d&gt;0,_xlpm.d,0)),_xlpm.l,-SUM(IF(_xlpm.d&lt;0,_xlpm.d,0)),IF(_xlpm.l=0,100,100-100/(1+_xlpm.g/_xlpm.l))))</f>
        <v/>
      </c>
      <c r="M729" s="211">
        <f>MAX($E$2:E729)</f>
        <v/>
      </c>
      <c r="N729" s="341">
        <f>E729/M729-1</f>
        <v/>
      </c>
    </row>
    <row r="730">
      <c r="A730" s="424" t="n">
        <v>45523</v>
      </c>
      <c r="B730" s="425" t="n">
        <v>78.47426938005668</v>
      </c>
      <c r="C730" s="425" t="n">
        <v>79.1908380602361</v>
      </c>
      <c r="D730" s="425" t="n">
        <v>78.18197778267347</v>
      </c>
      <c r="E730" s="425" t="n">
        <v>78.52140808105469</v>
      </c>
      <c r="F730" s="207" t="n">
        <v>9627300</v>
      </c>
      <c r="G730" s="208" t="n">
        <v>0.00956133089350808</v>
      </c>
      <c r="H730" s="209" cm="1">
        <f t="array" ref="H730">IF(ROW()&lt;3,"",E730/INDEX(E:E,ROW()-1)-1)</f>
        <v/>
      </c>
      <c r="I730" s="211">
        <f>IF(ROW()&lt;51,NA(),AVERAGE(INDEX(E:E,ROW()-49):E730))</f>
        <v/>
      </c>
      <c r="J730" s="211">
        <f>IF(ROW()&lt;201,NA(),AVERAGE(INDEX(E:E,ROW()-199):E730))</f>
        <v/>
      </c>
      <c r="K730" s="341">
        <f>IF(ROW()&lt;22,NA(),_xlfn.STDEV.S(INDEX(H:H,ROW()-19):H730)*SQRT(252))</f>
        <v/>
      </c>
      <c r="L730" s="426" cm="1">
        <f t="array" ref="L730">IF(ROW()&lt;17,NA(),_xlfn.LET(_xlpm.d,INDEX(E:E,ROW()-13):E730-INDEX(E:E,ROW()-14):INDEX(E:E,ROW()-1),_xlpm.g,SUM(IF(_xlpm.d&gt;0,_xlpm.d,0)),_xlpm.l,-SUM(IF(_xlpm.d&lt;0,_xlpm.d,0)),IF(_xlpm.l=0,100,100-100/(1+_xlpm.g/_xlpm.l))))</f>
        <v/>
      </c>
      <c r="M730" s="211">
        <f>MAX($E$2:E730)</f>
        <v/>
      </c>
      <c r="N730" s="341">
        <f>E730/M730-1</f>
        <v/>
      </c>
    </row>
    <row r="731">
      <c r="A731" s="424" t="n">
        <v>45524</v>
      </c>
      <c r="B731" s="425" t="n">
        <v>78.71939283769019</v>
      </c>
      <c r="C731" s="425" t="n">
        <v>79.10596895660618</v>
      </c>
      <c r="D731" s="425" t="n">
        <v>78.0405323707319</v>
      </c>
      <c r="E731" s="425" t="n">
        <v>78.78539276123047</v>
      </c>
      <c r="F731" s="207" t="n">
        <v>7863100</v>
      </c>
      <c r="G731" s="208" t="n">
        <v>-0.001626069038539679</v>
      </c>
      <c r="H731" s="209" cm="1">
        <f t="array" ref="H731">IF(ROW()&lt;3,"",E731/INDEX(E:E,ROW()-1)-1)</f>
        <v/>
      </c>
      <c r="I731" s="211">
        <f>IF(ROW()&lt;51,NA(),AVERAGE(INDEX(E:E,ROW()-49):E731))</f>
        <v/>
      </c>
      <c r="J731" s="211">
        <f>IF(ROW()&lt;201,NA(),AVERAGE(INDEX(E:E,ROW()-199):E731))</f>
        <v/>
      </c>
      <c r="K731" s="341">
        <f>IF(ROW()&lt;22,NA(),_xlfn.STDEV.S(INDEX(H:H,ROW()-19):H731)*SQRT(252))</f>
        <v/>
      </c>
      <c r="L731" s="426" cm="1">
        <f t="array" ref="L731">IF(ROW()&lt;17,NA(),_xlfn.LET(_xlpm.d,INDEX(E:E,ROW()-13):E731-INDEX(E:E,ROW()-14):INDEX(E:E,ROW()-1),_xlpm.g,SUM(IF(_xlpm.d&gt;0,_xlpm.d,0)),_xlpm.l,-SUM(IF(_xlpm.d&lt;0,_xlpm.d,0)),IF(_xlpm.l=0,100,100-100/(1+_xlpm.g/_xlpm.l))))</f>
        <v/>
      </c>
      <c r="M731" s="211">
        <f>MAX($E$2:E731)</f>
        <v/>
      </c>
      <c r="N731" s="341">
        <f>E731/M731-1</f>
        <v/>
      </c>
    </row>
    <row r="732">
      <c r="A732" s="424" t="n">
        <v>45525</v>
      </c>
      <c r="B732" s="425" t="n">
        <v>78.88911075700474</v>
      </c>
      <c r="C732" s="425" t="n">
        <v>79.42654078019717</v>
      </c>
      <c r="D732" s="425" t="n">
        <v>78.46482654680898</v>
      </c>
      <c r="E732" s="425" t="n">
        <v>79.20025634765625</v>
      </c>
      <c r="F732" s="207" t="n">
        <v>6915900</v>
      </c>
      <c r="G732" s="208" t="n">
        <v>0.00343647273254799</v>
      </c>
      <c r="H732" s="209" cm="1">
        <f t="array" ref="H732">IF(ROW()&lt;3,"",E732/INDEX(E:E,ROW()-1)-1)</f>
        <v/>
      </c>
      <c r="I732" s="211">
        <f>IF(ROW()&lt;51,NA(),AVERAGE(INDEX(E:E,ROW()-49):E732))</f>
        <v/>
      </c>
      <c r="J732" s="211">
        <f>IF(ROW()&lt;201,NA(),AVERAGE(INDEX(E:E,ROW()-199):E732))</f>
        <v/>
      </c>
      <c r="K732" s="341">
        <f>IF(ROW()&lt;22,NA(),_xlfn.STDEV.S(INDEX(H:H,ROW()-19):H732)*SQRT(252))</f>
        <v/>
      </c>
      <c r="L732" s="426" cm="1">
        <f t="array" ref="L732">IF(ROW()&lt;17,NA(),_xlfn.LET(_xlpm.d,INDEX(E:E,ROW()-13):E732-INDEX(E:E,ROW()-14):INDEX(E:E,ROW()-1),_xlpm.g,SUM(IF(_xlpm.d&gt;0,_xlpm.d,0)),_xlpm.l,-SUM(IF(_xlpm.d&lt;0,_xlpm.d,0)),IF(_xlpm.l=0,100,100-100/(1+_xlpm.g/_xlpm.l))))</f>
        <v/>
      </c>
      <c r="M732" s="211">
        <f>MAX($E$2:E732)</f>
        <v/>
      </c>
      <c r="N732" s="341">
        <f>E732/M732-1</f>
        <v/>
      </c>
    </row>
    <row r="733">
      <c r="A733" s="424" t="n">
        <v>45526</v>
      </c>
      <c r="B733" s="425" t="n">
        <v>79.62454260152832</v>
      </c>
      <c r="C733" s="425" t="n">
        <v>79.84140361697487</v>
      </c>
      <c r="D733" s="425" t="n">
        <v>78.45539794436471</v>
      </c>
      <c r="E733" s="425" t="n">
        <v>78.64397430419922</v>
      </c>
      <c r="F733" s="207" t="n">
        <v>8485500</v>
      </c>
      <c r="G733" s="208" t="n">
        <v>-0.00784845185577876</v>
      </c>
      <c r="H733" s="209" cm="1">
        <f t="array" ref="H733">IF(ROW()&lt;3,"",E733/INDEX(E:E,ROW()-1)-1)</f>
        <v/>
      </c>
      <c r="I733" s="211">
        <f>IF(ROW()&lt;51,NA(),AVERAGE(INDEX(E:E,ROW()-49):E733))</f>
        <v/>
      </c>
      <c r="J733" s="211">
        <f>IF(ROW()&lt;201,NA(),AVERAGE(INDEX(E:E,ROW()-199):E733))</f>
        <v/>
      </c>
      <c r="K733" s="341">
        <f>IF(ROW()&lt;22,NA(),_xlfn.STDEV.S(INDEX(H:H,ROW()-19):H733)*SQRT(252))</f>
        <v/>
      </c>
      <c r="L733" s="426" cm="1">
        <f t="array" ref="L733">IF(ROW()&lt;17,NA(),_xlfn.LET(_xlpm.d,INDEX(E:E,ROW()-13):E733-INDEX(E:E,ROW()-14):INDEX(E:E,ROW()-1),_xlpm.g,SUM(IF(_xlpm.d&gt;0,_xlpm.d,0)),_xlpm.l,-SUM(IF(_xlpm.d&lt;0,_xlpm.d,0)),IF(_xlpm.l=0,100,100-100/(1+_xlpm.g/_xlpm.l))))</f>
        <v/>
      </c>
      <c r="M733" s="211">
        <f>MAX($E$2:E733)</f>
        <v/>
      </c>
      <c r="N733" s="341">
        <f>E733/M733-1</f>
        <v/>
      </c>
    </row>
    <row r="734">
      <c r="A734" s="424" t="n">
        <v>45527</v>
      </c>
      <c r="B734" s="425" t="n">
        <v>78.57797647053434</v>
      </c>
      <c r="C734" s="425" t="n">
        <v>79.42655220645388</v>
      </c>
      <c r="D734" s="425" t="n">
        <v>78.46483783471402</v>
      </c>
      <c r="E734" s="425" t="n">
        <v>79.24741363525391</v>
      </c>
      <c r="F734" s="207" t="n">
        <v>9219700</v>
      </c>
      <c r="G734" s="208" t="n">
        <v>0.01062542094546948</v>
      </c>
      <c r="H734" s="209" cm="1">
        <f t="array" ref="H734">IF(ROW()&lt;3,"",E734/INDEX(E:E,ROW()-1)-1)</f>
        <v/>
      </c>
      <c r="I734" s="211">
        <f>IF(ROW()&lt;51,NA(),AVERAGE(INDEX(E:E,ROW()-49):E734))</f>
        <v/>
      </c>
      <c r="J734" s="211">
        <f>IF(ROW()&lt;201,NA(),AVERAGE(INDEX(E:E,ROW()-199):E734))</f>
        <v/>
      </c>
      <c r="K734" s="341">
        <f>IF(ROW()&lt;22,NA(),_xlfn.STDEV.S(INDEX(H:H,ROW()-19):H734)*SQRT(252))</f>
        <v/>
      </c>
      <c r="L734" s="426" cm="1">
        <f t="array" ref="L734">IF(ROW()&lt;17,NA(),_xlfn.LET(_xlpm.d,INDEX(E:E,ROW()-13):E734-INDEX(E:E,ROW()-14):INDEX(E:E,ROW()-1),_xlpm.g,SUM(IF(_xlpm.d&gt;0,_xlpm.d,0)),_xlpm.l,-SUM(IF(_xlpm.d&lt;0,_xlpm.d,0)),IF(_xlpm.l=0,100,100-100/(1+_xlpm.g/_xlpm.l))))</f>
        <v/>
      </c>
      <c r="M734" s="211">
        <f>MAX($E$2:E734)</f>
        <v/>
      </c>
      <c r="N734" s="341">
        <f>E734/M734-1</f>
        <v/>
      </c>
    </row>
    <row r="735">
      <c r="A735" s="424" t="n">
        <v>45530</v>
      </c>
      <c r="B735" s="425" t="n">
        <v>78.70053427255513</v>
      </c>
      <c r="C735" s="425" t="n">
        <v>79.68110964692863</v>
      </c>
      <c r="D735" s="425" t="n">
        <v>78.61567312234067</v>
      </c>
      <c r="E735" s="425" t="n">
        <v>79.46424865722656</v>
      </c>
      <c r="F735" s="207" t="n">
        <v>7853300</v>
      </c>
      <c r="G735" s="208" t="n">
        <v>-0.002383933259228477</v>
      </c>
      <c r="H735" s="209" cm="1">
        <f t="array" ref="H735">IF(ROW()&lt;3,"",E735/INDEX(E:E,ROW()-1)-1)</f>
        <v/>
      </c>
      <c r="I735" s="211">
        <f>IF(ROW()&lt;51,NA(),AVERAGE(INDEX(E:E,ROW()-49):E735))</f>
        <v/>
      </c>
      <c r="J735" s="211">
        <f>IF(ROW()&lt;201,NA(),AVERAGE(INDEX(E:E,ROW()-199):E735))</f>
        <v/>
      </c>
      <c r="K735" s="341">
        <f>IF(ROW()&lt;22,NA(),_xlfn.STDEV.S(INDEX(H:H,ROW()-19):H735)*SQRT(252))</f>
        <v/>
      </c>
      <c r="L735" s="426" cm="1">
        <f t="array" ref="L735">IF(ROW()&lt;17,NA(),_xlfn.LET(_xlpm.d,INDEX(E:E,ROW()-13):E735-INDEX(E:E,ROW()-14):INDEX(E:E,ROW()-1),_xlpm.g,SUM(IF(_xlpm.d&gt;0,_xlpm.d,0)),_xlpm.l,-SUM(IF(_xlpm.d&lt;0,_xlpm.d,0)),IF(_xlpm.l=0,100,100-100/(1+_xlpm.g/_xlpm.l))))</f>
        <v/>
      </c>
      <c r="M735" s="211">
        <f>MAX($E$2:E735)</f>
        <v/>
      </c>
      <c r="N735" s="341">
        <f>E735/M735-1</f>
        <v/>
      </c>
    </row>
    <row r="736">
      <c r="A736" s="424" t="n">
        <v>45531</v>
      </c>
      <c r="B736" s="425" t="n">
        <v>79.26625153362443</v>
      </c>
      <c r="C736" s="425" t="n">
        <v>80.5108266283557</v>
      </c>
      <c r="D736" s="425" t="n">
        <v>78.83253673325086</v>
      </c>
      <c r="E736" s="425" t="n">
        <v>80.41654205322266</v>
      </c>
      <c r="F736" s="207" t="n">
        <v>14954000</v>
      </c>
      <c r="G736" s="208" t="n">
        <v>0.001373241438406447</v>
      </c>
      <c r="H736" s="209" cm="1">
        <f t="array" ref="H736">IF(ROW()&lt;3,"",E736/INDEX(E:E,ROW()-1)-1)</f>
        <v/>
      </c>
      <c r="I736" s="211">
        <f>IF(ROW()&lt;51,NA(),AVERAGE(INDEX(E:E,ROW()-49):E736))</f>
        <v/>
      </c>
      <c r="J736" s="211">
        <f>IF(ROW()&lt;201,NA(),AVERAGE(INDEX(E:E,ROW()-199):E736))</f>
        <v/>
      </c>
      <c r="K736" s="341">
        <f>IF(ROW()&lt;22,NA(),_xlfn.STDEV.S(INDEX(H:H,ROW()-19):H736)*SQRT(252))</f>
        <v/>
      </c>
      <c r="L736" s="426" cm="1">
        <f t="array" ref="L736">IF(ROW()&lt;17,NA(),_xlfn.LET(_xlpm.d,INDEX(E:E,ROW()-13):E736-INDEX(E:E,ROW()-14):INDEX(E:E,ROW()-1),_xlpm.g,SUM(IF(_xlpm.d&gt;0,_xlpm.d,0)),_xlpm.l,-SUM(IF(_xlpm.d&lt;0,_xlpm.d,0)),IF(_xlpm.l=0,100,100-100/(1+_xlpm.g/_xlpm.l))))</f>
        <v/>
      </c>
      <c r="M736" s="211">
        <f>MAX($E$2:E736)</f>
        <v/>
      </c>
      <c r="N736" s="341">
        <f>E736/M736-1</f>
        <v/>
      </c>
    </row>
    <row r="737">
      <c r="A737" s="424" t="n">
        <v>45532</v>
      </c>
      <c r="B737" s="425" t="n">
        <v>80.1902608484117</v>
      </c>
      <c r="C737" s="425" t="n">
        <v>80.54854512565883</v>
      </c>
      <c r="D737" s="425" t="n">
        <v>77.20138862338482</v>
      </c>
      <c r="E737" s="425" t="n">
        <v>78.05939483642578</v>
      </c>
      <c r="F737" s="207" t="n">
        <v>11088600</v>
      </c>
      <c r="G737" s="208" t="n">
        <v>-0.005805435107038459</v>
      </c>
      <c r="H737" s="209" cm="1">
        <f t="array" ref="H737">IF(ROW()&lt;3,"",E737/INDEX(E:E,ROW()-1)-1)</f>
        <v/>
      </c>
      <c r="I737" s="211">
        <f>IF(ROW()&lt;51,NA(),AVERAGE(INDEX(E:E,ROW()-49):E737))</f>
        <v/>
      </c>
      <c r="J737" s="211">
        <f>IF(ROW()&lt;201,NA(),AVERAGE(INDEX(E:E,ROW()-199):E737))</f>
        <v/>
      </c>
      <c r="K737" s="341">
        <f>IF(ROW()&lt;22,NA(),_xlfn.STDEV.S(INDEX(H:H,ROW()-19):H737)*SQRT(252))</f>
        <v/>
      </c>
      <c r="L737" s="426" cm="1">
        <f t="array" ref="L737">IF(ROW()&lt;17,NA(),_xlfn.LET(_xlpm.d,INDEX(E:E,ROW()-13):E737-INDEX(E:E,ROW()-14):INDEX(E:E,ROW()-1),_xlpm.g,SUM(IF(_xlpm.d&gt;0,_xlpm.d,0)),_xlpm.l,-SUM(IF(_xlpm.d&lt;0,_xlpm.d,0)),IF(_xlpm.l=0,100,100-100/(1+_xlpm.g/_xlpm.l))))</f>
        <v/>
      </c>
      <c r="M737" s="211">
        <f>MAX($E$2:E737)</f>
        <v/>
      </c>
      <c r="N737" s="341">
        <f>E737/M737-1</f>
        <v/>
      </c>
    </row>
    <row r="738">
      <c r="A738" s="424" t="n">
        <v>45533</v>
      </c>
      <c r="B738" s="425" t="n">
        <v>78.68167913100261</v>
      </c>
      <c r="C738" s="425" t="n">
        <v>79.09653991204083</v>
      </c>
      <c r="D738" s="425" t="n">
        <v>78.12539507774892</v>
      </c>
      <c r="E738" s="425" t="n">
        <v>78.50254058837891</v>
      </c>
      <c r="F738" s="207" t="n">
        <v>7477200</v>
      </c>
      <c r="G738" s="208" t="n">
        <v>8.975134949573693e-05</v>
      </c>
      <c r="H738" s="209" cm="1">
        <f t="array" ref="H738">IF(ROW()&lt;3,"",E738/INDEX(E:E,ROW()-1)-1)</f>
        <v/>
      </c>
      <c r="I738" s="211">
        <f>IF(ROW()&lt;51,NA(),AVERAGE(INDEX(E:E,ROW()-49):E738))</f>
        <v/>
      </c>
      <c r="J738" s="211">
        <f>IF(ROW()&lt;201,NA(),AVERAGE(INDEX(E:E,ROW()-199):E738))</f>
        <v/>
      </c>
      <c r="K738" s="341">
        <f>IF(ROW()&lt;22,NA(),_xlfn.STDEV.S(INDEX(H:H,ROW()-19):H738)*SQRT(252))</f>
        <v/>
      </c>
      <c r="L738" s="426" cm="1">
        <f t="array" ref="L738">IF(ROW()&lt;17,NA(),_xlfn.LET(_xlpm.d,INDEX(E:E,ROW()-13):E738-INDEX(E:E,ROW()-14):INDEX(E:E,ROW()-1),_xlpm.g,SUM(IF(_xlpm.d&gt;0,_xlpm.d,0)),_xlpm.l,-SUM(IF(_xlpm.d&lt;0,_xlpm.d,0)),IF(_xlpm.l=0,100,100-100/(1+_xlpm.g/_xlpm.l))))</f>
        <v/>
      </c>
      <c r="M738" s="211">
        <f>MAX($E$2:E738)</f>
        <v/>
      </c>
      <c r="N738" s="341">
        <f>E738/M738-1</f>
        <v/>
      </c>
    </row>
    <row r="739">
      <c r="A739" s="424" t="n">
        <v>45534</v>
      </c>
      <c r="B739" s="425" t="n">
        <v>78.82311225714406</v>
      </c>
      <c r="C739" s="425" t="n">
        <v>79.08711196546</v>
      </c>
      <c r="D739" s="425" t="n">
        <v>77.36168324512296</v>
      </c>
      <c r="E739" s="425" t="n">
        <v>78.55911254882812</v>
      </c>
      <c r="F739" s="207" t="n">
        <v>13755300</v>
      </c>
      <c r="G739" s="208" t="n">
        <v>0.009545882100868042</v>
      </c>
      <c r="H739" s="209" cm="1">
        <f t="array" ref="H739">IF(ROW()&lt;3,"",E739/INDEX(E:E,ROW()-1)-1)</f>
        <v/>
      </c>
      <c r="I739" s="211">
        <f>IF(ROW()&lt;51,NA(),AVERAGE(INDEX(E:E,ROW()-49):E739))</f>
        <v/>
      </c>
      <c r="J739" s="211">
        <f>IF(ROW()&lt;201,NA(),AVERAGE(INDEX(E:E,ROW()-199):E739))</f>
        <v/>
      </c>
      <c r="K739" s="341">
        <f>IF(ROW()&lt;22,NA(),_xlfn.STDEV.S(INDEX(H:H,ROW()-19):H739)*SQRT(252))</f>
        <v/>
      </c>
      <c r="L739" s="426" cm="1">
        <f t="array" ref="L739">IF(ROW()&lt;17,NA(),_xlfn.LET(_xlpm.d,INDEX(E:E,ROW()-13):E739-INDEX(E:E,ROW()-14):INDEX(E:E,ROW()-1),_xlpm.g,SUM(IF(_xlpm.d&gt;0,_xlpm.d,0)),_xlpm.l,-SUM(IF(_xlpm.d&lt;0,_xlpm.d,0)),IF(_xlpm.l=0,100,100-100/(1+_xlpm.g/_xlpm.l))))</f>
        <v/>
      </c>
      <c r="M739" s="211">
        <f>MAX($E$2:E739)</f>
        <v/>
      </c>
      <c r="N739" s="341">
        <f>E739/M739-1</f>
        <v/>
      </c>
    </row>
    <row r="740">
      <c r="A740" s="424" t="n">
        <v>45538</v>
      </c>
      <c r="B740" s="425" t="n">
        <v>78.33180933720371</v>
      </c>
      <c r="C740" s="425" t="n">
        <v>78.54963764456275</v>
      </c>
      <c r="D740" s="425" t="n">
        <v>76.72180041086418</v>
      </c>
      <c r="E740" s="425" t="n">
        <v>77.01538848876953</v>
      </c>
      <c r="F740" s="207" t="n">
        <v>10133700</v>
      </c>
      <c r="G740" s="208" t="n">
        <v>-0.02057912685387153</v>
      </c>
      <c r="H740" s="209" cm="1">
        <f t="array" ref="H740">IF(ROW()&lt;3,"",E740/INDEX(E:E,ROW()-1)-1)</f>
        <v/>
      </c>
      <c r="I740" s="211">
        <f>IF(ROW()&lt;51,NA(),AVERAGE(INDEX(E:E,ROW()-49):E740))</f>
        <v/>
      </c>
      <c r="J740" s="211">
        <f>IF(ROW()&lt;201,NA(),AVERAGE(INDEX(E:E,ROW()-199):E740))</f>
        <v/>
      </c>
      <c r="K740" s="341">
        <f>IF(ROW()&lt;22,NA(),_xlfn.STDEV.S(INDEX(H:H,ROW()-19):H740)*SQRT(252))</f>
        <v/>
      </c>
      <c r="L740" s="426" cm="1">
        <f t="array" ref="L740">IF(ROW()&lt;17,NA(),_xlfn.LET(_xlpm.d,INDEX(E:E,ROW()-13):E740-INDEX(E:E,ROW()-14):INDEX(E:E,ROW()-1),_xlpm.g,SUM(IF(_xlpm.d&gt;0,_xlpm.d,0)),_xlpm.l,-SUM(IF(_xlpm.d&lt;0,_xlpm.d,0)),IF(_xlpm.l=0,100,100-100/(1+_xlpm.g/_xlpm.l))))</f>
        <v/>
      </c>
      <c r="M740" s="211">
        <f>MAX($E$2:E740)</f>
        <v/>
      </c>
      <c r="N740" s="341">
        <f>E740/M740-1</f>
        <v/>
      </c>
    </row>
    <row r="741">
      <c r="A741" s="424" t="n">
        <v>45539</v>
      </c>
      <c r="B741" s="425" t="n">
        <v>75.85998609850648</v>
      </c>
      <c r="C741" s="425" t="n">
        <v>76.79757942701787</v>
      </c>
      <c r="D741" s="425" t="n">
        <v>75.45274742441929</v>
      </c>
      <c r="E741" s="425" t="n">
        <v>76.73128509521484</v>
      </c>
      <c r="F741" s="207" t="n">
        <v>12837400</v>
      </c>
      <c r="G741" s="208" t="n">
        <v>-0.002046695052647984</v>
      </c>
      <c r="H741" s="209" cm="1">
        <f t="array" ref="H741">IF(ROW()&lt;3,"",E741/INDEX(E:E,ROW()-1)-1)</f>
        <v/>
      </c>
      <c r="I741" s="211">
        <f>IF(ROW()&lt;51,NA(),AVERAGE(INDEX(E:E,ROW()-49):E741))</f>
        <v/>
      </c>
      <c r="J741" s="211">
        <f>IF(ROW()&lt;201,NA(),AVERAGE(INDEX(E:E,ROW()-199):E741))</f>
        <v/>
      </c>
      <c r="K741" s="341">
        <f>IF(ROW()&lt;22,NA(),_xlfn.STDEV.S(INDEX(H:H,ROW()-19):H741)*SQRT(252))</f>
        <v/>
      </c>
      <c r="L741" s="426" cm="1">
        <f t="array" ref="L741">IF(ROW()&lt;17,NA(),_xlfn.LET(_xlpm.d,INDEX(E:E,ROW()-13):E741-INDEX(E:E,ROW()-14):INDEX(E:E,ROW()-1),_xlpm.g,SUM(IF(_xlpm.d&gt;0,_xlpm.d,0)),_xlpm.l,-SUM(IF(_xlpm.d&lt;0,_xlpm.d,0)),IF(_xlpm.l=0,100,100-100/(1+_xlpm.g/_xlpm.l))))</f>
        <v/>
      </c>
      <c r="M741" s="211">
        <f>MAX($E$2:E741)</f>
        <v/>
      </c>
      <c r="N741" s="341">
        <f>E741/M741-1</f>
        <v/>
      </c>
    </row>
    <row r="742">
      <c r="A742" s="424" t="n">
        <v>45540</v>
      </c>
      <c r="B742" s="425" t="n">
        <v>76.83544597189319</v>
      </c>
      <c r="C742" s="425" t="n">
        <v>76.93962378823333</v>
      </c>
      <c r="D742" s="425" t="n">
        <v>75.96414716753806</v>
      </c>
      <c r="E742" s="425" t="n">
        <v>76.55133056640625</v>
      </c>
      <c r="F742" s="207" t="n">
        <v>7596300</v>
      </c>
      <c r="G742" s="208" t="n">
        <v>-0.002432422292884318</v>
      </c>
      <c r="H742" s="209" cm="1">
        <f t="array" ref="H742">IF(ROW()&lt;3,"",E742/INDEX(E:E,ROW()-1)-1)</f>
        <v/>
      </c>
      <c r="I742" s="211">
        <f>IF(ROW()&lt;51,NA(),AVERAGE(INDEX(E:E,ROW()-49):E742))</f>
        <v/>
      </c>
      <c r="J742" s="211">
        <f>IF(ROW()&lt;201,NA(),AVERAGE(INDEX(E:E,ROW()-199):E742))</f>
        <v/>
      </c>
      <c r="K742" s="341">
        <f>IF(ROW()&lt;22,NA(),_xlfn.STDEV.S(INDEX(H:H,ROW()-19):H742)*SQRT(252))</f>
        <v/>
      </c>
      <c r="L742" s="426" cm="1">
        <f t="array" ref="L742">IF(ROW()&lt;17,NA(),_xlfn.LET(_xlpm.d,INDEX(E:E,ROW()-13):E742-INDEX(E:E,ROW()-14):INDEX(E:E,ROW()-1),_xlpm.g,SUM(IF(_xlpm.d&gt;0,_xlpm.d,0)),_xlpm.l,-SUM(IF(_xlpm.d&lt;0,_xlpm.d,0)),IF(_xlpm.l=0,100,100-100/(1+_xlpm.g/_xlpm.l))))</f>
        <v/>
      </c>
      <c r="M742" s="211">
        <f>MAX($E$2:E742)</f>
        <v/>
      </c>
      <c r="N742" s="341">
        <f>E742/M742-1</f>
        <v/>
      </c>
    </row>
    <row r="743">
      <c r="A743" s="424" t="n">
        <v>45541</v>
      </c>
      <c r="B743" s="425" t="n">
        <v>76.59868204686077</v>
      </c>
      <c r="C743" s="425" t="n">
        <v>77.54574788078826</v>
      </c>
      <c r="D743" s="425" t="n">
        <v>76.09673831096543</v>
      </c>
      <c r="E743" s="425" t="n">
        <v>76.36191558837891</v>
      </c>
      <c r="F743" s="207" t="n">
        <v>8512200</v>
      </c>
      <c r="G743" s="208" t="n">
        <v>-0.01682983516156655</v>
      </c>
      <c r="H743" s="209" cm="1">
        <f t="array" ref="H743">IF(ROW()&lt;3,"",E743/INDEX(E:E,ROW()-1)-1)</f>
        <v/>
      </c>
      <c r="I743" s="211">
        <f>IF(ROW()&lt;51,NA(),AVERAGE(INDEX(E:E,ROW()-49):E743))</f>
        <v/>
      </c>
      <c r="J743" s="211">
        <f>IF(ROW()&lt;201,NA(),AVERAGE(INDEX(E:E,ROW()-199):E743))</f>
        <v/>
      </c>
      <c r="K743" s="341">
        <f>IF(ROW()&lt;22,NA(),_xlfn.STDEV.S(INDEX(H:H,ROW()-19):H743)*SQRT(252))</f>
        <v/>
      </c>
      <c r="L743" s="426" cm="1">
        <f t="array" ref="L743">IF(ROW()&lt;17,NA(),_xlfn.LET(_xlpm.d,INDEX(E:E,ROW()-13):E743-INDEX(E:E,ROW()-14):INDEX(E:E,ROW()-1),_xlpm.g,SUM(IF(_xlpm.d&gt;0,_xlpm.d,0)),_xlpm.l,-SUM(IF(_xlpm.d&lt;0,_xlpm.d,0)),IF(_xlpm.l=0,100,100-100/(1+_xlpm.g/_xlpm.l))))</f>
        <v/>
      </c>
      <c r="M743" s="211">
        <f>MAX($E$2:E743)</f>
        <v/>
      </c>
      <c r="N743" s="341">
        <f>E743/M743-1</f>
        <v/>
      </c>
    </row>
    <row r="744">
      <c r="A744" s="424" t="n">
        <v>45544</v>
      </c>
      <c r="B744" s="425" t="n">
        <v>76.47556974033664</v>
      </c>
      <c r="C744" s="425" t="n">
        <v>77.26163615415001</v>
      </c>
      <c r="D744" s="425" t="n">
        <v>74.83714259019185</v>
      </c>
      <c r="E744" s="425" t="n">
        <v>75.28226470947266</v>
      </c>
      <c r="F744" s="207" t="n">
        <v>8003300</v>
      </c>
      <c r="G744" s="208" t="n">
        <v>0.01119611976034585</v>
      </c>
      <c r="H744" s="209" cm="1">
        <f t="array" ref="H744">IF(ROW()&lt;3,"",E744/INDEX(E:E,ROW()-1)-1)</f>
        <v/>
      </c>
      <c r="I744" s="211">
        <f>IF(ROW()&lt;51,NA(),AVERAGE(INDEX(E:E,ROW()-49):E744))</f>
        <v/>
      </c>
      <c r="J744" s="211">
        <f>IF(ROW()&lt;201,NA(),AVERAGE(INDEX(E:E,ROW()-199):E744))</f>
        <v/>
      </c>
      <c r="K744" s="341">
        <f>IF(ROW()&lt;22,NA(),_xlfn.STDEV.S(INDEX(H:H,ROW()-19):H744)*SQRT(252))</f>
        <v/>
      </c>
      <c r="L744" s="426" cm="1">
        <f t="array" ref="L744">IF(ROW()&lt;17,NA(),_xlfn.LET(_xlpm.d,INDEX(E:E,ROW()-13):E744-INDEX(E:E,ROW()-14):INDEX(E:E,ROW()-1),_xlpm.g,SUM(IF(_xlpm.d&gt;0,_xlpm.d,0)),_xlpm.l,-SUM(IF(_xlpm.d&lt;0,_xlpm.d,0)),IF(_xlpm.l=0,100,100-100/(1+_xlpm.g/_xlpm.l))))</f>
        <v/>
      </c>
      <c r="M744" s="211">
        <f>MAX($E$2:E744)</f>
        <v/>
      </c>
      <c r="N744" s="341">
        <f>E744/M744-1</f>
        <v/>
      </c>
    </row>
    <row r="745">
      <c r="A745" s="424" t="n">
        <v>45545</v>
      </c>
      <c r="B745" s="425" t="n">
        <v>75.34854765142477</v>
      </c>
      <c r="C745" s="425" t="n">
        <v>75.34854765142477</v>
      </c>
      <c r="D745" s="425" t="n">
        <v>73.44495072426434</v>
      </c>
      <c r="E745" s="425" t="n">
        <v>73.95635986328125</v>
      </c>
      <c r="F745" s="207" t="n">
        <v>9748400</v>
      </c>
      <c r="G745" s="208" t="n">
        <v>0.004355727613304827</v>
      </c>
      <c r="H745" s="209" cm="1">
        <f t="array" ref="H745">IF(ROW()&lt;3,"",E745/INDEX(E:E,ROW()-1)-1)</f>
        <v/>
      </c>
      <c r="I745" s="211">
        <f>IF(ROW()&lt;51,NA(),AVERAGE(INDEX(E:E,ROW()-49):E745))</f>
        <v/>
      </c>
      <c r="J745" s="211">
        <f>IF(ROW()&lt;201,NA(),AVERAGE(INDEX(E:E,ROW()-199):E745))</f>
        <v/>
      </c>
      <c r="K745" s="341">
        <f>IF(ROW()&lt;22,NA(),_xlfn.STDEV.S(INDEX(H:H,ROW()-19):H745)*SQRT(252))</f>
        <v/>
      </c>
      <c r="L745" s="426" cm="1">
        <f t="array" ref="L745">IF(ROW()&lt;17,NA(),_xlfn.LET(_xlpm.d,INDEX(E:E,ROW()-13):E745-INDEX(E:E,ROW()-14):INDEX(E:E,ROW()-1),_xlpm.g,SUM(IF(_xlpm.d&gt;0,_xlpm.d,0)),_xlpm.l,-SUM(IF(_xlpm.d&lt;0,_xlpm.d,0)),IF(_xlpm.l=0,100,100-100/(1+_xlpm.g/_xlpm.l))))</f>
        <v/>
      </c>
      <c r="M745" s="211">
        <f>MAX($E$2:E745)</f>
        <v/>
      </c>
      <c r="N745" s="341">
        <f>E745/M745-1</f>
        <v/>
      </c>
    </row>
    <row r="746">
      <c r="A746" s="424" t="n">
        <v>45546</v>
      </c>
      <c r="B746" s="425" t="n">
        <v>73.87114166977665</v>
      </c>
      <c r="C746" s="425" t="n">
        <v>74.42990709363521</v>
      </c>
      <c r="D746" s="425" t="n">
        <v>72.67783658888304</v>
      </c>
      <c r="E746" s="425" t="n">
        <v>74.24996948242188</v>
      </c>
      <c r="F746" s="207" t="n">
        <v>8265500</v>
      </c>
      <c r="G746" s="208" t="n">
        <v>0.01025898674273118</v>
      </c>
      <c r="H746" s="209" cm="1">
        <f t="array" ref="H746">IF(ROW()&lt;3,"",E746/INDEX(E:E,ROW()-1)-1)</f>
        <v/>
      </c>
      <c r="I746" s="211">
        <f>IF(ROW()&lt;51,NA(),AVERAGE(INDEX(E:E,ROW()-49):E746))</f>
        <v/>
      </c>
      <c r="J746" s="211">
        <f>IF(ROW()&lt;201,NA(),AVERAGE(INDEX(E:E,ROW()-199):E746))</f>
        <v/>
      </c>
      <c r="K746" s="341">
        <f>IF(ROW()&lt;22,NA(),_xlfn.STDEV.S(INDEX(H:H,ROW()-19):H746)*SQRT(252))</f>
        <v/>
      </c>
      <c r="L746" s="426" cm="1">
        <f t="array" ref="L746">IF(ROW()&lt;17,NA(),_xlfn.LET(_xlpm.d,INDEX(E:E,ROW()-13):E746-INDEX(E:E,ROW()-14):INDEX(E:E,ROW()-1),_xlpm.g,SUM(IF(_xlpm.d&gt;0,_xlpm.d,0)),_xlpm.l,-SUM(IF(_xlpm.d&lt;0,_xlpm.d,0)),IF(_xlpm.l=0,100,100-100/(1+_xlpm.g/_xlpm.l))))</f>
        <v/>
      </c>
      <c r="M746" s="211">
        <f>MAX($E$2:E746)</f>
        <v/>
      </c>
      <c r="N746" s="341">
        <f>E746/M746-1</f>
        <v/>
      </c>
    </row>
    <row r="747">
      <c r="A747" s="424" t="n">
        <v>45547</v>
      </c>
      <c r="B747" s="425" t="n">
        <v>74.08897001034801</v>
      </c>
      <c r="C747" s="425" t="n">
        <v>74.88450191391739</v>
      </c>
      <c r="D747" s="425" t="n">
        <v>73.42601953183397</v>
      </c>
      <c r="E747" s="425" t="n">
        <v>74.24996948242188</v>
      </c>
      <c r="F747" s="207" t="n">
        <v>7176900</v>
      </c>
      <c r="G747" s="208" t="n">
        <v>0.008423251468383519</v>
      </c>
      <c r="H747" s="209" cm="1">
        <f t="array" ref="H747">IF(ROW()&lt;3,"",E747/INDEX(E:E,ROW()-1)-1)</f>
        <v/>
      </c>
      <c r="I747" s="211">
        <f>IF(ROW()&lt;51,NA(),AVERAGE(INDEX(E:E,ROW()-49):E747))</f>
        <v/>
      </c>
      <c r="J747" s="211">
        <f>IF(ROW()&lt;201,NA(),AVERAGE(INDEX(E:E,ROW()-199):E747))</f>
        <v/>
      </c>
      <c r="K747" s="341">
        <f>IF(ROW()&lt;22,NA(),_xlfn.STDEV.S(INDEX(H:H,ROW()-19):H747)*SQRT(252))</f>
        <v/>
      </c>
      <c r="L747" s="426" cm="1">
        <f t="array" ref="L747">IF(ROW()&lt;17,NA(),_xlfn.LET(_xlpm.d,INDEX(E:E,ROW()-13):E747-INDEX(E:E,ROW()-14):INDEX(E:E,ROW()-1),_xlpm.g,SUM(IF(_xlpm.d&gt;0,_xlpm.d,0)),_xlpm.l,-SUM(IF(_xlpm.d&lt;0,_xlpm.d,0)),IF(_xlpm.l=0,100,100-100/(1+_xlpm.g/_xlpm.l))))</f>
        <v/>
      </c>
      <c r="M747" s="211">
        <f>MAX($E$2:E747)</f>
        <v/>
      </c>
      <c r="N747" s="341">
        <f>E747/M747-1</f>
        <v/>
      </c>
    </row>
    <row r="748">
      <c r="A748" s="424" t="n">
        <v>45548</v>
      </c>
      <c r="B748" s="425" t="n">
        <v>74.15525141814584</v>
      </c>
      <c r="C748" s="425" t="n">
        <v>75.28225475188373</v>
      </c>
      <c r="D748" s="425" t="n">
        <v>73.97530661273851</v>
      </c>
      <c r="E748" s="425" t="n">
        <v>74.82766723632812</v>
      </c>
      <c r="F748" s="207" t="n">
        <v>5814200</v>
      </c>
      <c r="G748" s="208" t="n">
        <v>0.005222756695539621</v>
      </c>
      <c r="H748" s="209" cm="1">
        <f t="array" ref="H748">IF(ROW()&lt;3,"",E748/INDEX(E:E,ROW()-1)-1)</f>
        <v/>
      </c>
      <c r="I748" s="211">
        <f>IF(ROW()&lt;51,NA(),AVERAGE(INDEX(E:E,ROW()-49):E748))</f>
        <v/>
      </c>
      <c r="J748" s="211">
        <f>IF(ROW()&lt;201,NA(),AVERAGE(INDEX(E:E,ROW()-199):E748))</f>
        <v/>
      </c>
      <c r="K748" s="341">
        <f>IF(ROW()&lt;22,NA(),_xlfn.STDEV.S(INDEX(H:H,ROW()-19):H748)*SQRT(252))</f>
        <v/>
      </c>
      <c r="L748" s="426" cm="1">
        <f t="array" ref="L748">IF(ROW()&lt;17,NA(),_xlfn.LET(_xlpm.d,INDEX(E:E,ROW()-13):E748-INDEX(E:E,ROW()-14):INDEX(E:E,ROW()-1),_xlpm.g,SUM(IF(_xlpm.d&gt;0,_xlpm.d,0)),_xlpm.l,-SUM(IF(_xlpm.d&lt;0,_xlpm.d,0)),IF(_xlpm.l=0,100,100-100/(1+_xlpm.g/_xlpm.l))))</f>
        <v/>
      </c>
      <c r="M748" s="211">
        <f>MAX($E$2:E748)</f>
        <v/>
      </c>
      <c r="N748" s="341">
        <f>E748/M748-1</f>
        <v/>
      </c>
    </row>
    <row r="749">
      <c r="A749" s="424" t="n">
        <v>45551</v>
      </c>
      <c r="B749" s="425" t="n">
        <v>75.13073695628913</v>
      </c>
      <c r="C749" s="425" t="n">
        <v>75.75579667117096</v>
      </c>
      <c r="D749" s="425" t="n">
        <v>74.52461537950833</v>
      </c>
      <c r="E749" s="425" t="n">
        <v>75.57585906982422</v>
      </c>
      <c r="F749" s="207" t="n">
        <v>9547700</v>
      </c>
      <c r="G749" s="208" t="n">
        <v>0.001477027996328539</v>
      </c>
      <c r="H749" s="209" cm="1">
        <f t="array" ref="H749">IF(ROW()&lt;3,"",E749/INDEX(E:E,ROW()-1)-1)</f>
        <v/>
      </c>
      <c r="I749" s="211">
        <f>IF(ROW()&lt;51,NA(),AVERAGE(INDEX(E:E,ROW()-49):E749))</f>
        <v/>
      </c>
      <c r="J749" s="211">
        <f>IF(ROW()&lt;201,NA(),AVERAGE(INDEX(E:E,ROW()-199):E749))</f>
        <v/>
      </c>
      <c r="K749" s="341">
        <f>IF(ROW()&lt;22,NA(),_xlfn.STDEV.S(INDEX(H:H,ROW()-19):H749)*SQRT(252))</f>
        <v/>
      </c>
      <c r="L749" s="426" cm="1">
        <f t="array" ref="L749">IF(ROW()&lt;17,NA(),_xlfn.LET(_xlpm.d,INDEX(E:E,ROW()-13):E749-INDEX(E:E,ROW()-14):INDEX(E:E,ROW()-1),_xlpm.g,SUM(IF(_xlpm.d&gt;0,_xlpm.d,0)),_xlpm.l,-SUM(IF(_xlpm.d&lt;0,_xlpm.d,0)),IF(_xlpm.l=0,100,100-100/(1+_xlpm.g/_xlpm.l))))</f>
        <v/>
      </c>
      <c r="M749" s="211">
        <f>MAX($E$2:E749)</f>
        <v/>
      </c>
      <c r="N749" s="341">
        <f>E749/M749-1</f>
        <v/>
      </c>
    </row>
    <row r="750">
      <c r="A750" s="424" t="n">
        <v>45552</v>
      </c>
      <c r="B750" s="425" t="n">
        <v>75.77474239856184</v>
      </c>
      <c r="C750" s="425" t="n">
        <v>76.69339744996306</v>
      </c>
      <c r="D750" s="425" t="n">
        <v>75.6326810727352</v>
      </c>
      <c r="E750" s="425" t="n">
        <v>76.37139129638672</v>
      </c>
      <c r="F750" s="207" t="n">
        <v>7580600</v>
      </c>
      <c r="G750" s="208" t="n">
        <v>0.0004083017573668357</v>
      </c>
      <c r="H750" s="209" cm="1">
        <f t="array" ref="H750">IF(ROW()&lt;3,"",E750/INDEX(E:E,ROW()-1)-1)</f>
        <v/>
      </c>
      <c r="I750" s="211">
        <f>IF(ROW()&lt;51,NA(),AVERAGE(INDEX(E:E,ROW()-49):E750))</f>
        <v/>
      </c>
      <c r="J750" s="211">
        <f>IF(ROW()&lt;201,NA(),AVERAGE(INDEX(E:E,ROW()-199):E750))</f>
        <v/>
      </c>
      <c r="K750" s="341">
        <f>IF(ROW()&lt;22,NA(),_xlfn.STDEV.S(INDEX(H:H,ROW()-19):H750)*SQRT(252))</f>
        <v/>
      </c>
      <c r="L750" s="426" cm="1">
        <f t="array" ref="L750">IF(ROW()&lt;17,NA(),_xlfn.LET(_xlpm.d,INDEX(E:E,ROW()-13):E750-INDEX(E:E,ROW()-14):INDEX(E:E,ROW()-1),_xlpm.g,SUM(IF(_xlpm.d&gt;0,_xlpm.d,0)),_xlpm.l,-SUM(IF(_xlpm.d&lt;0,_xlpm.d,0)),IF(_xlpm.l=0,100,100-100/(1+_xlpm.g/_xlpm.l))))</f>
        <v/>
      </c>
      <c r="M750" s="211">
        <f>MAX($E$2:E750)</f>
        <v/>
      </c>
      <c r="N750" s="341">
        <f>E750/M750-1</f>
        <v/>
      </c>
    </row>
    <row r="751">
      <c r="A751" s="424" t="n">
        <v>45553</v>
      </c>
      <c r="B751" s="425" t="n">
        <v>76.39032100667031</v>
      </c>
      <c r="C751" s="425" t="n">
        <v>77.43209180669361</v>
      </c>
      <c r="D751" s="425" t="n">
        <v>75.98308247637038</v>
      </c>
      <c r="E751" s="425" t="n">
        <v>76.61761474609375</v>
      </c>
      <c r="F751" s="207" t="n">
        <v>7637000</v>
      </c>
      <c r="G751" s="208" t="n">
        <v>-0.002965737340747787</v>
      </c>
      <c r="H751" s="209" cm="1">
        <f t="array" ref="H751">IF(ROW()&lt;3,"",E751/INDEX(E:E,ROW()-1)-1)</f>
        <v/>
      </c>
      <c r="I751" s="211">
        <f>IF(ROW()&lt;51,NA(),AVERAGE(INDEX(E:E,ROW()-49):E751))</f>
        <v/>
      </c>
      <c r="J751" s="211">
        <f>IF(ROW()&lt;201,NA(),AVERAGE(INDEX(E:E,ROW()-199):E751))</f>
        <v/>
      </c>
      <c r="K751" s="341">
        <f>IF(ROW()&lt;22,NA(),_xlfn.STDEV.S(INDEX(H:H,ROW()-19):H751)*SQRT(252))</f>
        <v/>
      </c>
      <c r="L751" s="426" cm="1">
        <f t="array" ref="L751">IF(ROW()&lt;17,NA(),_xlfn.LET(_xlpm.d,INDEX(E:E,ROW()-13):E751-INDEX(E:E,ROW()-14):INDEX(E:E,ROW()-1),_xlpm.g,SUM(IF(_xlpm.d&gt;0,_xlpm.d,0)),_xlpm.l,-SUM(IF(_xlpm.d&lt;0,_xlpm.d,0)),IF(_xlpm.l=0,100,100-100/(1+_xlpm.g/_xlpm.l))))</f>
        <v/>
      </c>
      <c r="M751" s="211">
        <f>MAX($E$2:E751)</f>
        <v/>
      </c>
      <c r="N751" s="341">
        <f>E751/M751-1</f>
        <v/>
      </c>
    </row>
    <row r="752">
      <c r="A752" s="424" t="n">
        <v>45554</v>
      </c>
      <c r="B752" s="425" t="n">
        <v>78.22763182881158</v>
      </c>
      <c r="C752" s="425" t="n">
        <v>78.72011007974312</v>
      </c>
      <c r="D752" s="425" t="n">
        <v>76.21038432257869</v>
      </c>
      <c r="E752" s="425" t="n">
        <v>76.69338989257812</v>
      </c>
      <c r="F752" s="207" t="n">
        <v>15067100</v>
      </c>
      <c r="G752" s="208" t="n">
        <v>0.01706447020191537</v>
      </c>
      <c r="H752" s="209" cm="1">
        <f t="array" ref="H752">IF(ROW()&lt;3,"",E752/INDEX(E:E,ROW()-1)-1)</f>
        <v/>
      </c>
      <c r="I752" s="211">
        <f>IF(ROW()&lt;51,NA(),AVERAGE(INDEX(E:E,ROW()-49):E752))</f>
        <v/>
      </c>
      <c r="J752" s="211">
        <f>IF(ROW()&lt;201,NA(),AVERAGE(INDEX(E:E,ROW()-199):E752))</f>
        <v/>
      </c>
      <c r="K752" s="341">
        <f>IF(ROW()&lt;22,NA(),_xlfn.STDEV.S(INDEX(H:H,ROW()-19):H752)*SQRT(252))</f>
        <v/>
      </c>
      <c r="L752" s="426" cm="1">
        <f t="array" ref="L752">IF(ROW()&lt;17,NA(),_xlfn.LET(_xlpm.d,INDEX(E:E,ROW()-13):E752-INDEX(E:E,ROW()-14):INDEX(E:E,ROW()-1),_xlpm.g,SUM(IF(_xlpm.d&gt;0,_xlpm.d,0)),_xlpm.l,-SUM(IF(_xlpm.d&lt;0,_xlpm.d,0)),IF(_xlpm.l=0,100,100-100/(1+_xlpm.g/_xlpm.l))))</f>
        <v/>
      </c>
      <c r="M752" s="211">
        <f>MAX($E$2:E752)</f>
        <v/>
      </c>
      <c r="N752" s="341">
        <f>E752/M752-1</f>
        <v/>
      </c>
    </row>
    <row r="753">
      <c r="A753" s="424" t="n">
        <v>45555</v>
      </c>
      <c r="B753" s="425" t="n">
        <v>83.21867678749989</v>
      </c>
      <c r="C753" s="425" t="n">
        <v>83.34179274376829</v>
      </c>
      <c r="D753" s="425" t="n">
        <v>80.32065044463427</v>
      </c>
      <c r="E753" s="425" t="n">
        <v>81.94013214111328</v>
      </c>
      <c r="F753" s="207" t="n">
        <v>52039300</v>
      </c>
      <c r="G753" s="208" t="n">
        <v>-0.001728726701022532</v>
      </c>
      <c r="H753" s="209" cm="1">
        <f t="array" ref="H753">IF(ROW()&lt;3,"",E753/INDEX(E:E,ROW()-1)-1)</f>
        <v/>
      </c>
      <c r="I753" s="211">
        <f>IF(ROW()&lt;51,NA(),AVERAGE(INDEX(E:E,ROW()-49):E753))</f>
        <v/>
      </c>
      <c r="J753" s="211">
        <f>IF(ROW()&lt;201,NA(),AVERAGE(INDEX(E:E,ROW()-199):E753))</f>
        <v/>
      </c>
      <c r="K753" s="341">
        <f>IF(ROW()&lt;22,NA(),_xlfn.STDEV.S(INDEX(H:H,ROW()-19):H753)*SQRT(252))</f>
        <v/>
      </c>
      <c r="L753" s="426" cm="1">
        <f t="array" ref="L753">IF(ROW()&lt;17,NA(),_xlfn.LET(_xlpm.d,INDEX(E:E,ROW()-13):E753-INDEX(E:E,ROW()-14):INDEX(E:E,ROW()-1),_xlpm.g,SUM(IF(_xlpm.d&gt;0,_xlpm.d,0)),_xlpm.l,-SUM(IF(_xlpm.d&lt;0,_xlpm.d,0)),IF(_xlpm.l=0,100,100-100/(1+_xlpm.g/_xlpm.l))))</f>
        <v/>
      </c>
      <c r="M753" s="211">
        <f>MAX($E$2:E753)</f>
        <v/>
      </c>
      <c r="N753" s="341">
        <f>E753/M753-1</f>
        <v/>
      </c>
    </row>
    <row r="754">
      <c r="A754" s="424" t="n">
        <v>45558</v>
      </c>
      <c r="B754" s="425" t="n">
        <v>80.87942895019134</v>
      </c>
      <c r="C754" s="425" t="n">
        <v>81.94961081130096</v>
      </c>
      <c r="D754" s="425" t="n">
        <v>80.54795733175378</v>
      </c>
      <c r="E754" s="425" t="n">
        <v>81.63707733154297</v>
      </c>
      <c r="F754" s="207" t="n">
        <v>17712400</v>
      </c>
      <c r="G754" s="208" t="n">
        <v>0.002498956341504099</v>
      </c>
      <c r="H754" s="209" cm="1">
        <f t="array" ref="H754">IF(ROW()&lt;3,"",E754/INDEX(E:E,ROW()-1)-1)</f>
        <v/>
      </c>
      <c r="I754" s="211">
        <f>IF(ROW()&lt;51,NA(),AVERAGE(INDEX(E:E,ROW()-49):E754))</f>
        <v/>
      </c>
      <c r="J754" s="211">
        <f>IF(ROW()&lt;201,NA(),AVERAGE(INDEX(E:E,ROW()-199):E754))</f>
        <v/>
      </c>
      <c r="K754" s="341">
        <f>IF(ROW()&lt;22,NA(),_xlfn.STDEV.S(INDEX(H:H,ROW()-19):H754)*SQRT(252))</f>
        <v/>
      </c>
      <c r="L754" s="426" cm="1">
        <f t="array" ref="L754">IF(ROW()&lt;17,NA(),_xlfn.LET(_xlpm.d,INDEX(E:E,ROW()-13):E754-INDEX(E:E,ROW()-14):INDEX(E:E,ROW()-1),_xlpm.g,SUM(IF(_xlpm.d&gt;0,_xlpm.d,0)),_xlpm.l,-SUM(IF(_xlpm.d&lt;0,_xlpm.d,0)),IF(_xlpm.l=0,100,100-100/(1+_xlpm.g/_xlpm.l))))</f>
        <v/>
      </c>
      <c r="M754" s="211">
        <f>MAX($E$2:E754)</f>
        <v/>
      </c>
      <c r="N754" s="341">
        <f>E754/M754-1</f>
        <v/>
      </c>
    </row>
    <row r="755">
      <c r="A755" s="424" t="n">
        <v>45559</v>
      </c>
      <c r="B755" s="425" t="n">
        <v>82.81143753424179</v>
      </c>
      <c r="C755" s="425" t="n">
        <v>83.60696935402684</v>
      </c>
      <c r="D755" s="425" t="n">
        <v>82.0727273514303</v>
      </c>
      <c r="E755" s="425" t="n">
        <v>82.83037567138672</v>
      </c>
      <c r="F755" s="207" t="n">
        <v>21123300</v>
      </c>
      <c r="G755" s="208" t="n">
        <v>0.002861248676413464</v>
      </c>
      <c r="H755" s="209" cm="1">
        <f t="array" ref="H755">IF(ROW()&lt;3,"",E755/INDEX(E:E,ROW()-1)-1)</f>
        <v/>
      </c>
      <c r="I755" s="211">
        <f>IF(ROW()&lt;51,NA(),AVERAGE(INDEX(E:E,ROW()-49):E755))</f>
        <v/>
      </c>
      <c r="J755" s="211">
        <f>IF(ROW()&lt;201,NA(),AVERAGE(INDEX(E:E,ROW()-199):E755))</f>
        <v/>
      </c>
      <c r="K755" s="341">
        <f>IF(ROW()&lt;22,NA(),_xlfn.STDEV.S(INDEX(H:H,ROW()-19):H755)*SQRT(252))</f>
        <v/>
      </c>
      <c r="L755" s="426" cm="1">
        <f t="array" ref="L755">IF(ROW()&lt;17,NA(),_xlfn.LET(_xlpm.d,INDEX(E:E,ROW()-13):E755-INDEX(E:E,ROW()-14):INDEX(E:E,ROW()-1),_xlpm.g,SUM(IF(_xlpm.d&gt;0,_xlpm.d,0)),_xlpm.l,-SUM(IF(_xlpm.d&lt;0,_xlpm.d,0)),IF(_xlpm.l=0,100,100-100/(1+_xlpm.g/_xlpm.l))))</f>
        <v/>
      </c>
      <c r="M755" s="211">
        <f>MAX($E$2:E755)</f>
        <v/>
      </c>
      <c r="N755" s="341">
        <f>E755/M755-1</f>
        <v/>
      </c>
    </row>
    <row r="756">
      <c r="A756" s="424" t="n">
        <v>45560</v>
      </c>
      <c r="B756" s="425" t="n">
        <v>83.19974316524498</v>
      </c>
      <c r="C756" s="425" t="n">
        <v>83.43650965531428</v>
      </c>
      <c r="D756" s="425" t="n">
        <v>82.62203235143269</v>
      </c>
      <c r="E756" s="425" t="n">
        <v>83.34180450439453</v>
      </c>
      <c r="F756" s="207" t="n">
        <v>12392800</v>
      </c>
      <c r="G756" s="208" t="n">
        <v>-0.002205476572795684</v>
      </c>
      <c r="H756" s="209" cm="1">
        <f t="array" ref="H756">IF(ROW()&lt;3,"",E756/INDEX(E:E,ROW()-1)-1)</f>
        <v/>
      </c>
      <c r="I756" s="211">
        <f>IF(ROW()&lt;51,NA(),AVERAGE(INDEX(E:E,ROW()-49):E756))</f>
        <v/>
      </c>
      <c r="J756" s="211">
        <f>IF(ROW()&lt;201,NA(),AVERAGE(INDEX(E:E,ROW()-199):E756))</f>
        <v/>
      </c>
      <c r="K756" s="341">
        <f>IF(ROW()&lt;22,NA(),_xlfn.STDEV.S(INDEX(H:H,ROW()-19):H756)*SQRT(252))</f>
        <v/>
      </c>
      <c r="L756" s="426" cm="1">
        <f t="array" ref="L756">IF(ROW()&lt;17,NA(),_xlfn.LET(_xlpm.d,INDEX(E:E,ROW()-13):E756-INDEX(E:E,ROW()-14):INDEX(E:E,ROW()-1),_xlpm.g,SUM(IF(_xlpm.d&gt;0,_xlpm.d,0)),_xlpm.l,-SUM(IF(_xlpm.d&lt;0,_xlpm.d,0)),IF(_xlpm.l=0,100,100-100/(1+_xlpm.g/_xlpm.l))))</f>
        <v/>
      </c>
      <c r="M756" s="211">
        <f>MAX($E$2:E756)</f>
        <v/>
      </c>
      <c r="N756" s="341">
        <f>E756/M756-1</f>
        <v/>
      </c>
    </row>
    <row r="757">
      <c r="A757" s="424" t="n">
        <v>45561</v>
      </c>
      <c r="B757" s="425" t="n">
        <v>85.16015446916855</v>
      </c>
      <c r="C757" s="425" t="n">
        <v>85.82310486034477</v>
      </c>
      <c r="D757" s="425" t="n">
        <v>84.33621185266728</v>
      </c>
      <c r="E757" s="425" t="n">
        <v>84.65821075439453</v>
      </c>
      <c r="F757" s="207" t="n">
        <v>13592800</v>
      </c>
      <c r="G757" s="208" t="n">
        <v>0.003964676879327333</v>
      </c>
      <c r="H757" s="209" cm="1">
        <f t="array" ref="H757">IF(ROW()&lt;3,"",E757/INDEX(E:E,ROW()-1)-1)</f>
        <v/>
      </c>
      <c r="I757" s="211">
        <f>IF(ROW()&lt;51,NA(),AVERAGE(INDEX(E:E,ROW()-49):E757))</f>
        <v/>
      </c>
      <c r="J757" s="211">
        <f>IF(ROW()&lt;201,NA(),AVERAGE(INDEX(E:E,ROW()-199):E757))</f>
        <v/>
      </c>
      <c r="K757" s="341">
        <f>IF(ROW()&lt;22,NA(),_xlfn.STDEV.S(INDEX(H:H,ROW()-19):H757)*SQRT(252))</f>
        <v/>
      </c>
      <c r="L757" s="426" cm="1">
        <f t="array" ref="L757">IF(ROW()&lt;17,NA(),_xlfn.LET(_xlpm.d,INDEX(E:E,ROW()-13):E757-INDEX(E:E,ROW()-14):INDEX(E:E,ROW()-1),_xlpm.g,SUM(IF(_xlpm.d&gt;0,_xlpm.d,0)),_xlpm.l,-SUM(IF(_xlpm.d&lt;0,_xlpm.d,0)),IF(_xlpm.l=0,100,100-100/(1+_xlpm.g/_xlpm.l))))</f>
        <v/>
      </c>
      <c r="M757" s="211">
        <f>MAX($E$2:E757)</f>
        <v/>
      </c>
      <c r="N757" s="341">
        <f>E757/M757-1</f>
        <v/>
      </c>
    </row>
    <row r="758">
      <c r="A758" s="424" t="n">
        <v>45562</v>
      </c>
      <c r="B758" s="425" t="n">
        <v>84.71503949199105</v>
      </c>
      <c r="C758" s="425" t="n">
        <v>85.48216776287126</v>
      </c>
      <c r="D758" s="425" t="n">
        <v>84.48774570550837</v>
      </c>
      <c r="E758" s="425" t="n">
        <v>84.70557403564453</v>
      </c>
      <c r="F758" s="207" t="n">
        <v>9181000</v>
      </c>
      <c r="G758" s="208" t="n">
        <v>-0.001450290876500726</v>
      </c>
      <c r="H758" s="209" cm="1">
        <f t="array" ref="H758">IF(ROW()&lt;3,"",E758/INDEX(E:E,ROW()-1)-1)</f>
        <v/>
      </c>
      <c r="I758" s="211">
        <f>IF(ROW()&lt;51,NA(),AVERAGE(INDEX(E:E,ROW()-49):E758))</f>
        <v/>
      </c>
      <c r="J758" s="211">
        <f>IF(ROW()&lt;201,NA(),AVERAGE(INDEX(E:E,ROW()-199):E758))</f>
        <v/>
      </c>
      <c r="K758" s="341">
        <f>IF(ROW()&lt;22,NA(),_xlfn.STDEV.S(INDEX(H:H,ROW()-19):H758)*SQRT(252))</f>
        <v/>
      </c>
      <c r="L758" s="426" cm="1">
        <f t="array" ref="L758">IF(ROW()&lt;17,NA(),_xlfn.LET(_xlpm.d,INDEX(E:E,ROW()-13):E758-INDEX(E:E,ROW()-14):INDEX(E:E,ROW()-1),_xlpm.g,SUM(IF(_xlpm.d&gt;0,_xlpm.d,0)),_xlpm.l,-SUM(IF(_xlpm.d&lt;0,_xlpm.d,0)),IF(_xlpm.l=0,100,100-100/(1+_xlpm.g/_xlpm.l))))</f>
        <v/>
      </c>
      <c r="M758" s="211">
        <f>MAX($E$2:E758)</f>
        <v/>
      </c>
      <c r="N758" s="341">
        <f>E758/M758-1</f>
        <v/>
      </c>
    </row>
    <row r="759">
      <c r="A759" s="424" t="n">
        <v>45565</v>
      </c>
      <c r="B759" s="425" t="n">
        <v>84.95180816317145</v>
      </c>
      <c r="C759" s="425" t="n">
        <v>84.99916434828876</v>
      </c>
      <c r="D759" s="425" t="n">
        <v>83.08609441350332</v>
      </c>
      <c r="E759" s="425" t="n">
        <v>83.72062683105469</v>
      </c>
      <c r="F759" s="207" t="n">
        <v>12027100</v>
      </c>
      <c r="G759" s="208" t="n">
        <v>0.004007204729666425</v>
      </c>
      <c r="H759" s="209" cm="1">
        <f t="array" ref="H759">IF(ROW()&lt;3,"",E759/INDEX(E:E,ROW()-1)-1)</f>
        <v/>
      </c>
      <c r="I759" s="211">
        <f>IF(ROW()&lt;51,NA(),AVERAGE(INDEX(E:E,ROW()-49):E759))</f>
        <v/>
      </c>
      <c r="J759" s="211">
        <f>IF(ROW()&lt;201,NA(),AVERAGE(INDEX(E:E,ROW()-199):E759))</f>
        <v/>
      </c>
      <c r="K759" s="341">
        <f>IF(ROW()&lt;22,NA(),_xlfn.STDEV.S(INDEX(H:H,ROW()-19):H759)*SQRT(252))</f>
        <v/>
      </c>
      <c r="L759" s="426" cm="1">
        <f t="array" ref="L759">IF(ROW()&lt;17,NA(),_xlfn.LET(_xlpm.d,INDEX(E:E,ROW()-13):E759-INDEX(E:E,ROW()-14):INDEX(E:E,ROW()-1),_xlpm.g,SUM(IF(_xlpm.d&gt;0,_xlpm.d,0)),_xlpm.l,-SUM(IF(_xlpm.d&lt;0,_xlpm.d,0)),IF(_xlpm.l=0,100,100-100/(1+_xlpm.g/_xlpm.l))))</f>
        <v/>
      </c>
      <c r="M759" s="211">
        <f>MAX($E$2:E759)</f>
        <v/>
      </c>
      <c r="N759" s="341">
        <f>E759/M759-1</f>
        <v/>
      </c>
    </row>
    <row r="760">
      <c r="A760" s="424" t="n">
        <v>45566</v>
      </c>
      <c r="B760" s="425" t="n">
        <v>83.34179782711618</v>
      </c>
      <c r="C760" s="425" t="n">
        <v>84.89498529948749</v>
      </c>
      <c r="D760" s="425" t="n">
        <v>83.06714785357575</v>
      </c>
      <c r="E760" s="425" t="n">
        <v>84.41197967529297</v>
      </c>
      <c r="F760" s="207" t="n">
        <v>20623400</v>
      </c>
      <c r="G760" s="208" t="n">
        <v>-0.00895843135052643</v>
      </c>
      <c r="H760" s="209" cm="1">
        <f t="array" ref="H760">IF(ROW()&lt;3,"",E760/INDEX(E:E,ROW()-1)-1)</f>
        <v/>
      </c>
      <c r="I760" s="211">
        <f>IF(ROW()&lt;51,NA(),AVERAGE(INDEX(E:E,ROW()-49):E760))</f>
        <v/>
      </c>
      <c r="J760" s="211">
        <f>IF(ROW()&lt;201,NA(),AVERAGE(INDEX(E:E,ROW()-199):E760))</f>
        <v/>
      </c>
      <c r="K760" s="341">
        <f>IF(ROW()&lt;22,NA(),_xlfn.STDEV.S(INDEX(H:H,ROW()-19):H760)*SQRT(252))</f>
        <v/>
      </c>
      <c r="L760" s="426" cm="1">
        <f t="array" ref="L760">IF(ROW()&lt;17,NA(),_xlfn.LET(_xlpm.d,INDEX(E:E,ROW()-13):E760-INDEX(E:E,ROW()-14):INDEX(E:E,ROW()-1),_xlpm.g,SUM(IF(_xlpm.d&gt;0,_xlpm.d,0)),_xlpm.l,-SUM(IF(_xlpm.d&lt;0,_xlpm.d,0)),IF(_xlpm.l=0,100,100-100/(1+_xlpm.g/_xlpm.l))))</f>
        <v/>
      </c>
      <c r="M760" s="211">
        <f>MAX($E$2:E760)</f>
        <v/>
      </c>
      <c r="N760" s="341">
        <f>E760/M760-1</f>
        <v/>
      </c>
    </row>
    <row r="761">
      <c r="A761" s="424" t="n">
        <v>45567</v>
      </c>
      <c r="B761" s="425" t="n">
        <v>78.50228130045528</v>
      </c>
      <c r="C761" s="425" t="n">
        <v>80.7184189652716</v>
      </c>
      <c r="D761" s="425" t="n">
        <v>77.44156503411585</v>
      </c>
      <c r="E761" s="425" t="n">
        <v>78.70116424560547</v>
      </c>
      <c r="F761" s="207" t="n">
        <v>33208800</v>
      </c>
      <c r="G761" s="208" t="n">
        <v>0.0004220236379359754</v>
      </c>
      <c r="H761" s="209" cm="1">
        <f t="array" ref="H761">IF(ROW()&lt;3,"",E761/INDEX(E:E,ROW()-1)-1)</f>
        <v/>
      </c>
      <c r="I761" s="211">
        <f>IF(ROW()&lt;51,NA(),AVERAGE(INDEX(E:E,ROW()-49):E761))</f>
        <v/>
      </c>
      <c r="J761" s="211">
        <f>IF(ROW()&lt;201,NA(),AVERAGE(INDEX(E:E,ROW()-199):E761))</f>
        <v/>
      </c>
      <c r="K761" s="341">
        <f>IF(ROW()&lt;22,NA(),_xlfn.STDEV.S(INDEX(H:H,ROW()-19):H761)*SQRT(252))</f>
        <v/>
      </c>
      <c r="L761" s="426" cm="1">
        <f t="array" ref="L761">IF(ROW()&lt;17,NA(),_xlfn.LET(_xlpm.d,INDEX(E:E,ROW()-13):E761-INDEX(E:E,ROW()-14):INDEX(E:E,ROW()-1),_xlpm.g,SUM(IF(_xlpm.d&gt;0,_xlpm.d,0)),_xlpm.l,-SUM(IF(_xlpm.d&lt;0,_xlpm.d,0)),IF(_xlpm.l=0,100,100-100/(1+_xlpm.g/_xlpm.l))))</f>
        <v/>
      </c>
      <c r="M761" s="211">
        <f>MAX($E$2:E761)</f>
        <v/>
      </c>
      <c r="N761" s="341">
        <f>E761/M761-1</f>
        <v/>
      </c>
    </row>
    <row r="762">
      <c r="A762" s="424" t="n">
        <v>45568</v>
      </c>
      <c r="B762" s="425" t="n">
        <v>78.03822725864893</v>
      </c>
      <c r="C762" s="425" t="n">
        <v>79.34517552666225</v>
      </c>
      <c r="D762" s="425" t="n">
        <v>77.64046133693256</v>
      </c>
      <c r="E762" s="425" t="n">
        <v>77.75410461425781</v>
      </c>
      <c r="F762" s="207" t="n">
        <v>18143800</v>
      </c>
      <c r="G762" s="208" t="n">
        <v>-0.001828107409378332</v>
      </c>
      <c r="H762" s="209" cm="1">
        <f t="array" ref="H762">IF(ROW()&lt;3,"",E762/INDEX(E:E,ROW()-1)-1)</f>
        <v/>
      </c>
      <c r="I762" s="211">
        <f>IF(ROW()&lt;51,NA(),AVERAGE(INDEX(E:E,ROW()-49):E762))</f>
        <v/>
      </c>
      <c r="J762" s="211">
        <f>IF(ROW()&lt;201,NA(),AVERAGE(INDEX(E:E,ROW()-199):E762))</f>
        <v/>
      </c>
      <c r="K762" s="341">
        <f>IF(ROW()&lt;22,NA(),_xlfn.STDEV.S(INDEX(H:H,ROW()-19):H762)*SQRT(252))</f>
        <v/>
      </c>
      <c r="L762" s="426" cm="1">
        <f t="array" ref="L762">IF(ROW()&lt;17,NA(),_xlfn.LET(_xlpm.d,INDEX(E:E,ROW()-13):E762-INDEX(E:E,ROW()-14):INDEX(E:E,ROW()-1),_xlpm.g,SUM(IF(_xlpm.d&gt;0,_xlpm.d,0)),_xlpm.l,-SUM(IF(_xlpm.d&lt;0,_xlpm.d,0)),IF(_xlpm.l=0,100,100-100/(1+_xlpm.g/_xlpm.l))))</f>
        <v/>
      </c>
      <c r="M762" s="211">
        <f>MAX($E$2:E762)</f>
        <v/>
      </c>
      <c r="N762" s="341">
        <f>E762/M762-1</f>
        <v/>
      </c>
    </row>
    <row r="763">
      <c r="A763" s="424" t="n">
        <v>45569</v>
      </c>
      <c r="B763" s="425" t="n">
        <v>78.25604635196962</v>
      </c>
      <c r="C763" s="425" t="n">
        <v>79.11787971914364</v>
      </c>
      <c r="D763" s="425" t="n">
        <v>77.75410262187434</v>
      </c>
      <c r="E763" s="425" t="n">
        <v>77.89616394042969</v>
      </c>
      <c r="F763" s="207" t="n">
        <v>10322600</v>
      </c>
      <c r="G763" s="208" t="n">
        <v>0.009087116094308456</v>
      </c>
      <c r="H763" s="209" cm="1">
        <f t="array" ref="H763">IF(ROW()&lt;3,"",E763/INDEX(E:E,ROW()-1)-1)</f>
        <v/>
      </c>
      <c r="I763" s="211">
        <f>IF(ROW()&lt;51,NA(),AVERAGE(INDEX(E:E,ROW()-49):E763))</f>
        <v/>
      </c>
      <c r="J763" s="211">
        <f>IF(ROW()&lt;201,NA(),AVERAGE(INDEX(E:E,ROW()-199):E763))</f>
        <v/>
      </c>
      <c r="K763" s="341">
        <f>IF(ROW()&lt;22,NA(),_xlfn.STDEV.S(INDEX(H:H,ROW()-19):H763)*SQRT(252))</f>
        <v/>
      </c>
      <c r="L763" s="426" cm="1">
        <f t="array" ref="L763">IF(ROW()&lt;17,NA(),_xlfn.LET(_xlpm.d,INDEX(E:E,ROW()-13):E763-INDEX(E:E,ROW()-14):INDEX(E:E,ROW()-1),_xlpm.g,SUM(IF(_xlpm.d&gt;0,_xlpm.d,0)),_xlpm.l,-SUM(IF(_xlpm.d&lt;0,_xlpm.d,0)),IF(_xlpm.l=0,100,100-100/(1+_xlpm.g/_xlpm.l))))</f>
        <v/>
      </c>
      <c r="M763" s="211">
        <f>MAX($E$2:E763)</f>
        <v/>
      </c>
      <c r="N763" s="341">
        <f>E763/M763-1</f>
        <v/>
      </c>
    </row>
    <row r="764">
      <c r="A764" s="424" t="n">
        <v>45572</v>
      </c>
      <c r="B764" s="425" t="n">
        <v>77.79198445577147</v>
      </c>
      <c r="C764" s="425" t="n">
        <v>78.10451790479189</v>
      </c>
      <c r="D764" s="425" t="n">
        <v>75.85049667002009</v>
      </c>
      <c r="E764" s="425" t="n">
        <v>76.55133056640625</v>
      </c>
      <c r="F764" s="207" t="n">
        <v>12767400</v>
      </c>
      <c r="G764" s="208" t="n">
        <v>-0.009040266801918828</v>
      </c>
      <c r="H764" s="209" cm="1">
        <f t="array" ref="H764">IF(ROW()&lt;3,"",E764/INDEX(E:E,ROW()-1)-1)</f>
        <v/>
      </c>
      <c r="I764" s="211">
        <f>IF(ROW()&lt;51,NA(),AVERAGE(INDEX(E:E,ROW()-49):E764))</f>
        <v/>
      </c>
      <c r="J764" s="211">
        <f>IF(ROW()&lt;201,NA(),AVERAGE(INDEX(E:E,ROW()-199):E764))</f>
        <v/>
      </c>
      <c r="K764" s="341">
        <f>IF(ROW()&lt;22,NA(),_xlfn.STDEV.S(INDEX(H:H,ROW()-19):H764)*SQRT(252))</f>
        <v/>
      </c>
      <c r="L764" s="426" cm="1">
        <f t="array" ref="L764">IF(ROW()&lt;17,NA(),_xlfn.LET(_xlpm.d,INDEX(E:E,ROW()-13):E764-INDEX(E:E,ROW()-14):INDEX(E:E,ROW()-1),_xlpm.g,SUM(IF(_xlpm.d&gt;0,_xlpm.d,0)),_xlpm.l,-SUM(IF(_xlpm.d&lt;0,_xlpm.d,0)),IF(_xlpm.l=0,100,100-100/(1+_xlpm.g/_xlpm.l))))</f>
        <v/>
      </c>
      <c r="M764" s="211">
        <f>MAX($E$2:E764)</f>
        <v/>
      </c>
      <c r="N764" s="341">
        <f>E764/M764-1</f>
        <v/>
      </c>
    </row>
    <row r="765">
      <c r="A765" s="424" t="n">
        <v>45573</v>
      </c>
      <c r="B765" s="425" t="n">
        <v>76.47557632535586</v>
      </c>
      <c r="C765" s="425" t="n">
        <v>77.1101087848856</v>
      </c>
      <c r="D765" s="425" t="n">
        <v>75.69898252661532</v>
      </c>
      <c r="E765" s="425" t="n">
        <v>76.49451446533203</v>
      </c>
      <c r="F765" s="207" t="n">
        <v>10569600</v>
      </c>
      <c r="G765" s="208" t="n">
        <v>0.009457502056803513</v>
      </c>
      <c r="H765" s="209" cm="1">
        <f t="array" ref="H765">IF(ROW()&lt;3,"",E765/INDEX(E:E,ROW()-1)-1)</f>
        <v/>
      </c>
      <c r="I765" s="211">
        <f>IF(ROW()&lt;51,NA(),AVERAGE(INDEX(E:E,ROW()-49):E765))</f>
        <v/>
      </c>
      <c r="J765" s="211">
        <f>IF(ROW()&lt;201,NA(),AVERAGE(INDEX(E:E,ROW()-199):E765))</f>
        <v/>
      </c>
      <c r="K765" s="341">
        <f>IF(ROW()&lt;22,NA(),_xlfn.STDEV.S(INDEX(H:H,ROW()-19):H765)*SQRT(252))</f>
        <v/>
      </c>
      <c r="L765" s="426" cm="1">
        <f t="array" ref="L765">IF(ROW()&lt;17,NA(),_xlfn.LET(_xlpm.d,INDEX(E:E,ROW()-13):E765-INDEX(E:E,ROW()-14):INDEX(E:E,ROW()-1),_xlpm.g,SUM(IF(_xlpm.d&gt;0,_xlpm.d,0)),_xlpm.l,-SUM(IF(_xlpm.d&lt;0,_xlpm.d,0)),IF(_xlpm.l=0,100,100-100/(1+_xlpm.g/_xlpm.l))))</f>
        <v/>
      </c>
      <c r="M765" s="211">
        <f>MAX($E$2:E765)</f>
        <v/>
      </c>
      <c r="N765" s="341">
        <f>E765/M765-1</f>
        <v/>
      </c>
    </row>
    <row r="766">
      <c r="A766" s="424" t="n">
        <v>45574</v>
      </c>
      <c r="B766" s="425" t="n">
        <v>76.84492492778712</v>
      </c>
      <c r="C766" s="425" t="n">
        <v>78.54017372010985</v>
      </c>
      <c r="D766" s="425" t="n">
        <v>76.77863060520642</v>
      </c>
      <c r="E766" s="425" t="n">
        <v>78.08557891845703</v>
      </c>
      <c r="F766" s="207" t="n">
        <v>11750600</v>
      </c>
      <c r="G766" s="208" t="n">
        <v>0.006926470123619355</v>
      </c>
      <c r="H766" s="209" cm="1">
        <f t="array" ref="H766">IF(ROW()&lt;3,"",E766/INDEX(E:E,ROW()-1)-1)</f>
        <v/>
      </c>
      <c r="I766" s="211">
        <f>IF(ROW()&lt;51,NA(),AVERAGE(INDEX(E:E,ROW()-49):E766))</f>
        <v/>
      </c>
      <c r="J766" s="211">
        <f>IF(ROW()&lt;201,NA(),AVERAGE(INDEX(E:E,ROW()-199):E766))</f>
        <v/>
      </c>
      <c r="K766" s="341">
        <f>IF(ROW()&lt;22,NA(),_xlfn.STDEV.S(INDEX(H:H,ROW()-19):H766)*SQRT(252))</f>
        <v/>
      </c>
      <c r="L766" s="426" cm="1">
        <f t="array" ref="L766">IF(ROW()&lt;17,NA(),_xlfn.LET(_xlpm.d,INDEX(E:E,ROW()-13):E766-INDEX(E:E,ROW()-14):INDEX(E:E,ROW()-1),_xlpm.g,SUM(IF(_xlpm.d&gt;0,_xlpm.d,0)),_xlpm.l,-SUM(IF(_xlpm.d&lt;0,_xlpm.d,0)),IF(_xlpm.l=0,100,100-100/(1+_xlpm.g/_xlpm.l))))</f>
        <v/>
      </c>
      <c r="M766" s="211">
        <f>MAX($E$2:E766)</f>
        <v/>
      </c>
      <c r="N766" s="341">
        <f>E766/M766-1</f>
        <v/>
      </c>
    </row>
    <row r="767">
      <c r="A767" s="424" t="n">
        <v>45575</v>
      </c>
      <c r="B767" s="425" t="n">
        <v>78.98529310590064</v>
      </c>
      <c r="C767" s="425" t="n">
        <v>79.03264206293983</v>
      </c>
      <c r="D767" s="425" t="n">
        <v>77.68781029397175</v>
      </c>
      <c r="E767" s="425" t="n">
        <v>77.75410461425781</v>
      </c>
      <c r="F767" s="207" t="n">
        <v>8370200</v>
      </c>
      <c r="G767" s="208" t="n">
        <v>-0.001749838356612576</v>
      </c>
      <c r="H767" s="209" cm="1">
        <f t="array" ref="H767">IF(ROW()&lt;3,"",E767/INDEX(E:E,ROW()-1)-1)</f>
        <v/>
      </c>
      <c r="I767" s="211">
        <f>IF(ROW()&lt;51,NA(),AVERAGE(INDEX(E:E,ROW()-49):E767))</f>
        <v/>
      </c>
      <c r="J767" s="211">
        <f>IF(ROW()&lt;201,NA(),AVERAGE(INDEX(E:E,ROW()-199):E767))</f>
        <v/>
      </c>
      <c r="K767" s="341">
        <f>IF(ROW()&lt;22,NA(),_xlfn.STDEV.S(INDEX(H:H,ROW()-19):H767)*SQRT(252))</f>
        <v/>
      </c>
      <c r="L767" s="426" cm="1">
        <f t="array" ref="L767">IF(ROW()&lt;17,NA(),_xlfn.LET(_xlpm.d,INDEX(E:E,ROW()-13):E767-INDEX(E:E,ROW()-14):INDEX(E:E,ROW()-1),_xlpm.g,SUM(IF(_xlpm.d&gt;0,_xlpm.d,0)),_xlpm.l,-SUM(IF(_xlpm.d&lt;0,_xlpm.d,0)),IF(_xlpm.l=0,100,100-100/(1+_xlpm.g/_xlpm.l))))</f>
        <v/>
      </c>
      <c r="M767" s="211">
        <f>MAX($E$2:E767)</f>
        <v/>
      </c>
      <c r="N767" s="341">
        <f>E767/M767-1</f>
        <v/>
      </c>
    </row>
    <row r="768">
      <c r="A768" s="424" t="n">
        <v>45576</v>
      </c>
      <c r="B768" s="425" t="n">
        <v>77.69728244558313</v>
      </c>
      <c r="C768" s="425" t="n">
        <v>77.91510354266332</v>
      </c>
      <c r="D768" s="425" t="n">
        <v>76.88280524445949</v>
      </c>
      <c r="E768" s="425" t="n">
        <v>77.80146026611328</v>
      </c>
      <c r="F768" s="207" t="n">
        <v>10171100</v>
      </c>
      <c r="G768" s="208" t="n">
        <v>0.005988037581308836</v>
      </c>
      <c r="H768" s="209" cm="1">
        <f t="array" ref="H768">IF(ROW()&lt;3,"",E768/INDEX(E:E,ROW()-1)-1)</f>
        <v/>
      </c>
      <c r="I768" s="211">
        <f>IF(ROW()&lt;51,NA(),AVERAGE(INDEX(E:E,ROW()-49):E768))</f>
        <v/>
      </c>
      <c r="J768" s="211">
        <f>IF(ROW()&lt;201,NA(),AVERAGE(INDEX(E:E,ROW()-199):E768))</f>
        <v/>
      </c>
      <c r="K768" s="341">
        <f>IF(ROW()&lt;22,NA(),_xlfn.STDEV.S(INDEX(H:H,ROW()-19):H768)*SQRT(252))</f>
        <v/>
      </c>
      <c r="L768" s="426" cm="1">
        <f t="array" ref="L768">IF(ROW()&lt;17,NA(),_xlfn.LET(_xlpm.d,INDEX(E:E,ROW()-13):E768-INDEX(E:E,ROW()-14):INDEX(E:E,ROW()-1),_xlpm.g,SUM(IF(_xlpm.d&gt;0,_xlpm.d,0)),_xlpm.l,-SUM(IF(_xlpm.d&lt;0,_xlpm.d,0)),IF(_xlpm.l=0,100,100-100/(1+_xlpm.g/_xlpm.l))))</f>
        <v/>
      </c>
      <c r="M768" s="211">
        <f>MAX($E$2:E768)</f>
        <v/>
      </c>
      <c r="N768" s="341">
        <f>E768/M768-1</f>
        <v/>
      </c>
    </row>
    <row r="769">
      <c r="A769" s="424" t="n">
        <v>45579</v>
      </c>
      <c r="B769" s="425" t="n">
        <v>77.65939109763708</v>
      </c>
      <c r="C769" s="425" t="n">
        <v>77.6972745945054</v>
      </c>
      <c r="D769" s="425" t="n">
        <v>76.52291509374061</v>
      </c>
      <c r="E769" s="425" t="n">
        <v>77.28056335449219</v>
      </c>
      <c r="F769" s="207" t="n">
        <v>8177700</v>
      </c>
      <c r="G769" s="208" t="n">
        <v>0.008178401173154271</v>
      </c>
      <c r="H769" s="209" cm="1">
        <f t="array" ref="H769">IF(ROW()&lt;3,"",E769/INDEX(E:E,ROW()-1)-1)</f>
        <v/>
      </c>
      <c r="I769" s="211">
        <f>IF(ROW()&lt;51,NA(),AVERAGE(INDEX(E:E,ROW()-49):E769))</f>
        <v/>
      </c>
      <c r="J769" s="211">
        <f>IF(ROW()&lt;201,NA(),AVERAGE(INDEX(E:E,ROW()-199):E769))</f>
        <v/>
      </c>
      <c r="K769" s="341">
        <f>IF(ROW()&lt;22,NA(),_xlfn.STDEV.S(INDEX(H:H,ROW()-19):H769)*SQRT(252))</f>
        <v/>
      </c>
      <c r="L769" s="426" cm="1">
        <f t="array" ref="L769">IF(ROW()&lt;17,NA(),_xlfn.LET(_xlpm.d,INDEX(E:E,ROW()-13):E769-INDEX(E:E,ROW()-14):INDEX(E:E,ROW()-1),_xlpm.g,SUM(IF(_xlpm.d&gt;0,_xlpm.d,0)),_xlpm.l,-SUM(IF(_xlpm.d&lt;0,_xlpm.d,0)),IF(_xlpm.l=0,100,100-100/(1+_xlpm.g/_xlpm.l))))</f>
        <v/>
      </c>
      <c r="M769" s="211">
        <f>MAX($E$2:E769)</f>
        <v/>
      </c>
      <c r="N769" s="341">
        <f>E769/M769-1</f>
        <v/>
      </c>
    </row>
    <row r="770">
      <c r="A770" s="424" t="n">
        <v>45580</v>
      </c>
      <c r="B770" s="425" t="n">
        <v>76.75969578386984</v>
      </c>
      <c r="C770" s="425" t="n">
        <v>78.34129413774038</v>
      </c>
      <c r="D770" s="425" t="n">
        <v>76.75969578386984</v>
      </c>
      <c r="E770" s="425" t="n">
        <v>77.77305603027344</v>
      </c>
      <c r="F770" s="207" t="n">
        <v>11804400</v>
      </c>
      <c r="G770" s="208" t="n">
        <v>-0.007769767135678229</v>
      </c>
      <c r="H770" s="209" cm="1">
        <f t="array" ref="H770">IF(ROW()&lt;3,"",E770/INDEX(E:E,ROW()-1)-1)</f>
        <v/>
      </c>
      <c r="I770" s="211">
        <f>IF(ROW()&lt;51,NA(),AVERAGE(INDEX(E:E,ROW()-49):E770))</f>
        <v/>
      </c>
      <c r="J770" s="211">
        <f>IF(ROW()&lt;201,NA(),AVERAGE(INDEX(E:E,ROW()-199):E770))</f>
        <v/>
      </c>
      <c r="K770" s="341">
        <f>IF(ROW()&lt;22,NA(),_xlfn.STDEV.S(INDEX(H:H,ROW()-19):H770)*SQRT(252))</f>
        <v/>
      </c>
      <c r="L770" s="426" cm="1">
        <f t="array" ref="L770">IF(ROW()&lt;17,NA(),_xlfn.LET(_xlpm.d,INDEX(E:E,ROW()-13):E770-INDEX(E:E,ROW()-14):INDEX(E:E,ROW()-1),_xlpm.g,SUM(IF(_xlpm.d&gt;0,_xlpm.d,0)),_xlpm.l,-SUM(IF(_xlpm.d&lt;0,_xlpm.d,0)),IF(_xlpm.l=0,100,100-100/(1+_xlpm.g/_xlpm.l))))</f>
        <v/>
      </c>
      <c r="M770" s="211">
        <f>MAX($E$2:E770)</f>
        <v/>
      </c>
      <c r="N770" s="341">
        <f>E770/M770-1</f>
        <v/>
      </c>
    </row>
    <row r="771">
      <c r="A771" s="424" t="n">
        <v>45581</v>
      </c>
      <c r="B771" s="425" t="n">
        <v>77.79199026850152</v>
      </c>
      <c r="C771" s="425" t="n">
        <v>79.63876583154567</v>
      </c>
      <c r="D771" s="425" t="n">
        <v>77.70675780814834</v>
      </c>
      <c r="E771" s="425" t="n">
        <v>79.49671173095703</v>
      </c>
      <c r="F771" s="207" t="n">
        <v>11220600</v>
      </c>
      <c r="G771" s="208" t="n">
        <v>0.00434643719454253</v>
      </c>
      <c r="H771" s="209" cm="1">
        <f t="array" ref="H771">IF(ROW()&lt;3,"",E771/INDEX(E:E,ROW()-1)-1)</f>
        <v/>
      </c>
      <c r="I771" s="211">
        <f>IF(ROW()&lt;51,NA(),AVERAGE(INDEX(E:E,ROW()-49):E771))</f>
        <v/>
      </c>
      <c r="J771" s="211">
        <f>IF(ROW()&lt;201,NA(),AVERAGE(INDEX(E:E,ROW()-199):E771))</f>
        <v/>
      </c>
      <c r="K771" s="341">
        <f>IF(ROW()&lt;22,NA(),_xlfn.STDEV.S(INDEX(H:H,ROW()-19):H771)*SQRT(252))</f>
        <v/>
      </c>
      <c r="L771" s="426" cm="1">
        <f t="array" ref="L771">IF(ROW()&lt;17,NA(),_xlfn.LET(_xlpm.d,INDEX(E:E,ROW()-13):E771-INDEX(E:E,ROW()-14):INDEX(E:E,ROW()-1),_xlpm.g,SUM(IF(_xlpm.d&gt;0,_xlpm.d,0)),_xlpm.l,-SUM(IF(_xlpm.d&lt;0,_xlpm.d,0)),IF(_xlpm.l=0,100,100-100/(1+_xlpm.g/_xlpm.l))))</f>
        <v/>
      </c>
      <c r="M771" s="211">
        <f>MAX($E$2:E771)</f>
        <v/>
      </c>
      <c r="N771" s="341">
        <f>E771/M771-1</f>
        <v/>
      </c>
    </row>
    <row r="772">
      <c r="A772" s="424" t="n">
        <v>45582</v>
      </c>
      <c r="B772" s="425" t="n">
        <v>79.65770638987607</v>
      </c>
      <c r="C772" s="425" t="n">
        <v>80.27330061560077</v>
      </c>
      <c r="D772" s="425" t="n">
        <v>78.96634516471536</v>
      </c>
      <c r="E772" s="425" t="n">
        <v>78.98529052734375</v>
      </c>
      <c r="F772" s="207" t="n">
        <v>9204500</v>
      </c>
      <c r="G772" s="208" t="n">
        <v>8.589626262245353e-05</v>
      </c>
      <c r="H772" s="209" cm="1">
        <f t="array" ref="H772">IF(ROW()&lt;3,"",E772/INDEX(E:E,ROW()-1)-1)</f>
        <v/>
      </c>
      <c r="I772" s="211">
        <f>IF(ROW()&lt;51,NA(),AVERAGE(INDEX(E:E,ROW()-49):E772))</f>
        <v/>
      </c>
      <c r="J772" s="211">
        <f>IF(ROW()&lt;201,NA(),AVERAGE(INDEX(E:E,ROW()-199):E772))</f>
        <v/>
      </c>
      <c r="K772" s="341">
        <f>IF(ROW()&lt;22,NA(),_xlfn.STDEV.S(INDEX(H:H,ROW()-19):H772)*SQRT(252))</f>
        <v/>
      </c>
      <c r="L772" s="426" cm="1">
        <f t="array" ref="L772">IF(ROW()&lt;17,NA(),_xlfn.LET(_xlpm.d,INDEX(E:E,ROW()-13):E772-INDEX(E:E,ROW()-14):INDEX(E:E,ROW()-1),_xlpm.g,SUM(IF(_xlpm.d&gt;0,_xlpm.d,0)),_xlpm.l,-SUM(IF(_xlpm.d&lt;0,_xlpm.d,0)),IF(_xlpm.l=0,100,100-100/(1+_xlpm.g/_xlpm.l))))</f>
        <v/>
      </c>
      <c r="M772" s="211">
        <f>MAX($E$2:E772)</f>
        <v/>
      </c>
      <c r="N772" s="341">
        <f>E772/M772-1</f>
        <v/>
      </c>
    </row>
    <row r="773">
      <c r="A773" s="424" t="n">
        <v>45583</v>
      </c>
      <c r="B773" s="425" t="n">
        <v>79.34517020626501</v>
      </c>
      <c r="C773" s="425" t="n">
        <v>79.5061696553728</v>
      </c>
      <c r="D773" s="425" t="n">
        <v>78.25604310984788</v>
      </c>
      <c r="E773" s="425" t="n">
        <v>78.53069305419922</v>
      </c>
      <c r="F773" s="207" t="n">
        <v>7214800</v>
      </c>
      <c r="G773" s="208" t="n">
        <v>0.003846663999572009</v>
      </c>
      <c r="H773" s="209" cm="1">
        <f t="array" ref="H773">IF(ROW()&lt;3,"",E773/INDEX(E:E,ROW()-1)-1)</f>
        <v/>
      </c>
      <c r="I773" s="211">
        <f>IF(ROW()&lt;51,NA(),AVERAGE(INDEX(E:E,ROW()-49):E773))</f>
        <v/>
      </c>
      <c r="J773" s="211">
        <f>IF(ROW()&lt;201,NA(),AVERAGE(INDEX(E:E,ROW()-199):E773))</f>
        <v/>
      </c>
      <c r="K773" s="341">
        <f>IF(ROW()&lt;22,NA(),_xlfn.STDEV.S(INDEX(H:H,ROW()-19):H773)*SQRT(252))</f>
        <v/>
      </c>
      <c r="L773" s="426" cm="1">
        <f t="array" ref="L773">IF(ROW()&lt;17,NA(),_xlfn.LET(_xlpm.d,INDEX(E:E,ROW()-13):E773-INDEX(E:E,ROW()-14):INDEX(E:E,ROW()-1),_xlpm.g,SUM(IF(_xlpm.d&gt;0,_xlpm.d,0)),_xlpm.l,-SUM(IF(_xlpm.d&lt;0,_xlpm.d,0)),IF(_xlpm.l=0,100,100-100/(1+_xlpm.g/_xlpm.l))))</f>
        <v/>
      </c>
      <c r="M773" s="211">
        <f>MAX($E$2:E773)</f>
        <v/>
      </c>
      <c r="N773" s="341">
        <f>E773/M773-1</f>
        <v/>
      </c>
    </row>
    <row r="774">
      <c r="A774" s="424" t="n">
        <v>45586</v>
      </c>
      <c r="B774" s="425" t="n">
        <v>78.46439126943895</v>
      </c>
      <c r="C774" s="425" t="n">
        <v>78.69168501275173</v>
      </c>
      <c r="D774" s="425" t="n">
        <v>77.12903239874625</v>
      </c>
      <c r="E774" s="425" t="n">
        <v>77.16691589355469</v>
      </c>
      <c r="F774" s="207" t="n">
        <v>7550200</v>
      </c>
      <c r="G774" s="208" t="n">
        <v>-0.001642405684244785</v>
      </c>
      <c r="H774" s="209" cm="1">
        <f t="array" ref="H774">IF(ROW()&lt;3,"",E774/INDEX(E:E,ROW()-1)-1)</f>
        <v/>
      </c>
      <c r="I774" s="211">
        <f>IF(ROW()&lt;51,NA(),AVERAGE(INDEX(E:E,ROW()-49):E774))</f>
        <v/>
      </c>
      <c r="J774" s="211">
        <f>IF(ROW()&lt;201,NA(),AVERAGE(INDEX(E:E,ROW()-199):E774))</f>
        <v/>
      </c>
      <c r="K774" s="341">
        <f>IF(ROW()&lt;22,NA(),_xlfn.STDEV.S(INDEX(H:H,ROW()-19):H774)*SQRT(252))</f>
        <v/>
      </c>
      <c r="L774" s="426" cm="1">
        <f t="array" ref="L774">IF(ROW()&lt;17,NA(),_xlfn.LET(_xlpm.d,INDEX(E:E,ROW()-13):E774-INDEX(E:E,ROW()-14):INDEX(E:E,ROW()-1),_xlpm.g,SUM(IF(_xlpm.d&gt;0,_xlpm.d,0)),_xlpm.l,-SUM(IF(_xlpm.d&lt;0,_xlpm.d,0)),IF(_xlpm.l=0,100,100-100/(1+_xlpm.g/_xlpm.l))))</f>
        <v/>
      </c>
      <c r="M774" s="211">
        <f>MAX($E$2:E774)</f>
        <v/>
      </c>
      <c r="N774" s="341">
        <f>E774/M774-1</f>
        <v/>
      </c>
    </row>
    <row r="775">
      <c r="A775" s="424" t="n">
        <v>45587</v>
      </c>
      <c r="B775" s="425" t="n">
        <v>77.04381309482044</v>
      </c>
      <c r="C775" s="425" t="n">
        <v>78.05717336582003</v>
      </c>
      <c r="D775" s="425" t="n">
        <v>76.93016980589246</v>
      </c>
      <c r="E775" s="425" t="n">
        <v>77.110107421875</v>
      </c>
      <c r="F775" s="207" t="n">
        <v>7308800</v>
      </c>
      <c r="G775" s="208" t="n">
        <v>-0.0005311078445291439</v>
      </c>
      <c r="H775" s="209" cm="1">
        <f t="array" ref="H775">IF(ROW()&lt;3,"",E775/INDEX(E:E,ROW()-1)-1)</f>
        <v/>
      </c>
      <c r="I775" s="211">
        <f>IF(ROW()&lt;51,NA(),AVERAGE(INDEX(E:E,ROW()-49):E775))</f>
        <v/>
      </c>
      <c r="J775" s="211">
        <f>IF(ROW()&lt;201,NA(),AVERAGE(INDEX(E:E,ROW()-199):E775))</f>
        <v/>
      </c>
      <c r="K775" s="341">
        <f>IF(ROW()&lt;22,NA(),_xlfn.STDEV.S(INDEX(H:H,ROW()-19):H775)*SQRT(252))</f>
        <v/>
      </c>
      <c r="L775" s="426" cm="1">
        <f t="array" ref="L775">IF(ROW()&lt;17,NA(),_xlfn.LET(_xlpm.d,INDEX(E:E,ROW()-13):E775-INDEX(E:E,ROW()-14):INDEX(E:E,ROW()-1),_xlpm.g,SUM(IF(_xlpm.d&gt;0,_xlpm.d,0)),_xlpm.l,-SUM(IF(_xlpm.d&lt;0,_xlpm.d,0)),IF(_xlpm.l=0,100,100-100/(1+_xlpm.g/_xlpm.l))))</f>
        <v/>
      </c>
      <c r="M775" s="211">
        <f>MAX($E$2:E775)</f>
        <v/>
      </c>
      <c r="N775" s="341">
        <f>E775/M775-1</f>
        <v/>
      </c>
    </row>
    <row r="776">
      <c r="A776" s="424" t="n">
        <v>45588</v>
      </c>
      <c r="B776" s="425" t="n">
        <v>76.71233171252786</v>
      </c>
      <c r="C776" s="425" t="n">
        <v>76.75021521253697</v>
      </c>
      <c r="D776" s="425" t="n">
        <v>75.56638293302265</v>
      </c>
      <c r="E776" s="425" t="n">
        <v>75.8126220703125</v>
      </c>
      <c r="F776" s="207" t="n">
        <v>7253100</v>
      </c>
      <c r="G776" s="208" t="n">
        <v>-0.009137361442768999</v>
      </c>
      <c r="H776" s="209" cm="1">
        <f t="array" ref="H776">IF(ROW()&lt;3,"",E776/INDEX(E:E,ROW()-1)-1)</f>
        <v/>
      </c>
      <c r="I776" s="211">
        <f>IF(ROW()&lt;51,NA(),AVERAGE(INDEX(E:E,ROW()-49):E776))</f>
        <v/>
      </c>
      <c r="J776" s="211">
        <f>IF(ROW()&lt;201,NA(),AVERAGE(INDEX(E:E,ROW()-199):E776))</f>
        <v/>
      </c>
      <c r="K776" s="341">
        <f>IF(ROW()&lt;22,NA(),_xlfn.STDEV.S(INDEX(H:H,ROW()-19):H776)*SQRT(252))</f>
        <v/>
      </c>
      <c r="L776" s="426" cm="1">
        <f t="array" ref="L776">IF(ROW()&lt;17,NA(),_xlfn.LET(_xlpm.d,INDEX(E:E,ROW()-13):E776-INDEX(E:E,ROW()-14):INDEX(E:E,ROW()-1),_xlpm.g,SUM(IF(_xlpm.d&gt;0,_xlpm.d,0)),_xlpm.l,-SUM(IF(_xlpm.d&lt;0,_xlpm.d,0)),IF(_xlpm.l=0,100,100-100/(1+_xlpm.g/_xlpm.l))))</f>
        <v/>
      </c>
      <c r="M776" s="211">
        <f>MAX($E$2:E776)</f>
        <v/>
      </c>
      <c r="N776" s="341">
        <f>E776/M776-1</f>
        <v/>
      </c>
    </row>
    <row r="777">
      <c r="A777" s="424" t="n">
        <v>45589</v>
      </c>
      <c r="B777" s="425" t="n">
        <v>76.23880202483974</v>
      </c>
      <c r="C777" s="425" t="n">
        <v>76.52292467415417</v>
      </c>
      <c r="D777" s="425" t="n">
        <v>74.84661404916945</v>
      </c>
      <c r="E777" s="425" t="n">
        <v>74.85608673095703</v>
      </c>
      <c r="F777" s="207" t="n">
        <v>7424500</v>
      </c>
      <c r="G777" s="208" t="n">
        <v>0.002162663215278915</v>
      </c>
      <c r="H777" s="209" cm="1">
        <f t="array" ref="H777">IF(ROW()&lt;3,"",E777/INDEX(E:E,ROW()-1)-1)</f>
        <v/>
      </c>
      <c r="I777" s="211">
        <f>IF(ROW()&lt;51,NA(),AVERAGE(INDEX(E:E,ROW()-49):E777))</f>
        <v/>
      </c>
      <c r="J777" s="211">
        <f>IF(ROW()&lt;201,NA(),AVERAGE(INDEX(E:E,ROW()-199):E777))</f>
        <v/>
      </c>
      <c r="K777" s="341">
        <f>IF(ROW()&lt;22,NA(),_xlfn.STDEV.S(INDEX(H:H,ROW()-19):H777)*SQRT(252))</f>
        <v/>
      </c>
      <c r="L777" s="426" cm="1">
        <f t="array" ref="L777">IF(ROW()&lt;17,NA(),_xlfn.LET(_xlpm.d,INDEX(E:E,ROW()-13):E777-INDEX(E:E,ROW()-14):INDEX(E:E,ROW()-1),_xlpm.g,SUM(IF(_xlpm.d&gt;0,_xlpm.d,0)),_xlpm.l,-SUM(IF(_xlpm.d&lt;0,_xlpm.d,0)),IF(_xlpm.l=0,100,100-100/(1+_xlpm.g/_xlpm.l))))</f>
        <v/>
      </c>
      <c r="M777" s="211">
        <f>MAX($E$2:E777)</f>
        <v/>
      </c>
      <c r="N777" s="341">
        <f>E777/M777-1</f>
        <v/>
      </c>
    </row>
    <row r="778">
      <c r="A778" s="424" t="n">
        <v>45590</v>
      </c>
      <c r="B778" s="425" t="n">
        <v>75.02656445775938</v>
      </c>
      <c r="C778" s="425" t="n">
        <v>75.36750877208887</v>
      </c>
      <c r="D778" s="425" t="n">
        <v>74.36361396854552</v>
      </c>
      <c r="E778" s="425" t="n">
        <v>74.6761474609375</v>
      </c>
      <c r="F778" s="207" t="n">
        <v>9385400</v>
      </c>
      <c r="G778" s="208" t="n">
        <v>-0.0003452923277402764</v>
      </c>
      <c r="H778" s="209" cm="1">
        <f t="array" ref="H778">IF(ROW()&lt;3,"",E778/INDEX(E:E,ROW()-1)-1)</f>
        <v/>
      </c>
      <c r="I778" s="211">
        <f>IF(ROW()&lt;51,NA(),AVERAGE(INDEX(E:E,ROW()-49):E778))</f>
        <v/>
      </c>
      <c r="J778" s="211">
        <f>IF(ROW()&lt;201,NA(),AVERAGE(INDEX(E:E,ROW()-199):E778))</f>
        <v/>
      </c>
      <c r="K778" s="341">
        <f>IF(ROW()&lt;22,NA(),_xlfn.STDEV.S(INDEX(H:H,ROW()-19):H778)*SQRT(252))</f>
        <v/>
      </c>
      <c r="L778" s="426" cm="1">
        <f t="array" ref="L778">IF(ROW()&lt;17,NA(),_xlfn.LET(_xlpm.d,INDEX(E:E,ROW()-13):E778-INDEX(E:E,ROW()-14):INDEX(E:E,ROW()-1),_xlpm.g,SUM(IF(_xlpm.d&gt;0,_xlpm.d,0)),_xlpm.l,-SUM(IF(_xlpm.d&lt;0,_xlpm.d,0)),IF(_xlpm.l=0,100,100-100/(1+_xlpm.g/_xlpm.l))))</f>
        <v/>
      </c>
      <c r="M778" s="211">
        <f>MAX($E$2:E778)</f>
        <v/>
      </c>
      <c r="N778" s="341">
        <f>E778/M778-1</f>
        <v/>
      </c>
    </row>
    <row r="779">
      <c r="A779" s="424" t="n">
        <v>45593</v>
      </c>
      <c r="B779" s="425" t="n">
        <v>75.12125677138285</v>
      </c>
      <c r="C779" s="425" t="n">
        <v>75.42431752950364</v>
      </c>
      <c r="D779" s="425" t="n">
        <v>74.64772388522296</v>
      </c>
      <c r="E779" s="425" t="n">
        <v>74.73296356201172</v>
      </c>
      <c r="F779" s="207" t="n">
        <v>6617200</v>
      </c>
      <c r="G779" s="208" t="n">
        <v>0.003091449957645764</v>
      </c>
      <c r="H779" s="209" cm="1">
        <f t="array" ref="H779">IF(ROW()&lt;3,"",E779/INDEX(E:E,ROW()-1)-1)</f>
        <v/>
      </c>
      <c r="I779" s="211">
        <f>IF(ROW()&lt;51,NA(),AVERAGE(INDEX(E:E,ROW()-49):E779))</f>
        <v/>
      </c>
      <c r="J779" s="211">
        <f>IF(ROW()&lt;201,NA(),AVERAGE(INDEX(E:E,ROW()-199):E779))</f>
        <v/>
      </c>
      <c r="K779" s="341">
        <f>IF(ROW()&lt;22,NA(),_xlfn.STDEV.S(INDEX(H:H,ROW()-19):H779)*SQRT(252))</f>
        <v/>
      </c>
      <c r="L779" s="426" cm="1">
        <f t="array" ref="L779">IF(ROW()&lt;17,NA(),_xlfn.LET(_xlpm.d,INDEX(E:E,ROW()-13):E779-INDEX(E:E,ROW()-14):INDEX(E:E,ROW()-1),_xlpm.g,SUM(IF(_xlpm.d&gt;0,_xlpm.d,0)),_xlpm.l,-SUM(IF(_xlpm.d&lt;0,_xlpm.d,0)),IF(_xlpm.l=0,100,100-100/(1+_xlpm.g/_xlpm.l))))</f>
        <v/>
      </c>
      <c r="M779" s="211">
        <f>MAX($E$2:E779)</f>
        <v/>
      </c>
      <c r="N779" s="341">
        <f>E779/M779-1</f>
        <v/>
      </c>
    </row>
    <row r="780">
      <c r="A780" s="424" t="n">
        <v>45594</v>
      </c>
      <c r="B780" s="425" t="n">
        <v>74.70455707716451</v>
      </c>
      <c r="C780" s="425" t="n">
        <v>75.26332972656262</v>
      </c>
      <c r="D780" s="425" t="n">
        <v>74.06055196332949</v>
      </c>
      <c r="E780" s="425" t="n">
        <v>74.24996948242188</v>
      </c>
      <c r="F780" s="207" t="n">
        <v>7241100</v>
      </c>
      <c r="G780" s="208" t="n">
        <v>0.001618205434684716</v>
      </c>
      <c r="H780" s="209" cm="1">
        <f t="array" ref="H780">IF(ROW()&lt;3,"",E780/INDEX(E:E,ROW()-1)-1)</f>
        <v/>
      </c>
      <c r="I780" s="211">
        <f>IF(ROW()&lt;51,NA(),AVERAGE(INDEX(E:E,ROW()-49):E780))</f>
        <v/>
      </c>
      <c r="J780" s="211">
        <f>IF(ROW()&lt;201,NA(),AVERAGE(INDEX(E:E,ROW()-199):E780))</f>
        <v/>
      </c>
      <c r="K780" s="341">
        <f>IF(ROW()&lt;22,NA(),_xlfn.STDEV.S(INDEX(H:H,ROW()-19):H780)*SQRT(252))</f>
        <v/>
      </c>
      <c r="L780" s="426" cm="1">
        <f t="array" ref="L780">IF(ROW()&lt;17,NA(),_xlfn.LET(_xlpm.d,INDEX(E:E,ROW()-13):E780-INDEX(E:E,ROW()-14):INDEX(E:E,ROW()-1),_xlpm.g,SUM(IF(_xlpm.d&gt;0,_xlpm.d,0)),_xlpm.l,-SUM(IF(_xlpm.d&lt;0,_xlpm.d,0)),IF(_xlpm.l=0,100,100-100/(1+_xlpm.g/_xlpm.l))))</f>
        <v/>
      </c>
      <c r="M780" s="211">
        <f>MAX($E$2:E780)</f>
        <v/>
      </c>
      <c r="N780" s="341">
        <f>E780/M780-1</f>
        <v/>
      </c>
    </row>
    <row r="781">
      <c r="A781" s="424" t="n">
        <v>45595</v>
      </c>
      <c r="B781" s="425" t="n">
        <v>73.87114575846563</v>
      </c>
      <c r="C781" s="425" t="n">
        <v>73.9753235933477</v>
      </c>
      <c r="D781" s="425" t="n">
        <v>72.37477978974148</v>
      </c>
      <c r="E781" s="425" t="n">
        <v>72.40319061279297</v>
      </c>
      <c r="F781" s="207" t="n">
        <v>15691300</v>
      </c>
      <c r="G781" s="208" t="n">
        <v>-0.003025100910041933</v>
      </c>
      <c r="H781" s="209" cm="1">
        <f t="array" ref="H781">IF(ROW()&lt;3,"",E781/INDEX(E:E,ROW()-1)-1)</f>
        <v/>
      </c>
      <c r="I781" s="211">
        <f>IF(ROW()&lt;51,NA(),AVERAGE(INDEX(E:E,ROW()-49):E781))</f>
        <v/>
      </c>
      <c r="J781" s="211">
        <f>IF(ROW()&lt;201,NA(),AVERAGE(INDEX(E:E,ROW()-199):E781))</f>
        <v/>
      </c>
      <c r="K781" s="341">
        <f>IF(ROW()&lt;22,NA(),_xlfn.STDEV.S(INDEX(H:H,ROW()-19):H781)*SQRT(252))</f>
        <v/>
      </c>
      <c r="L781" s="426" cm="1">
        <f t="array" ref="L781">IF(ROW()&lt;17,NA(),_xlfn.LET(_xlpm.d,INDEX(E:E,ROW()-13):E781-INDEX(E:E,ROW()-14):INDEX(E:E,ROW()-1),_xlpm.g,SUM(IF(_xlpm.d&gt;0,_xlpm.d,0)),_xlpm.l,-SUM(IF(_xlpm.d&lt;0,_xlpm.d,0)),IF(_xlpm.l=0,100,100-100/(1+_xlpm.g/_xlpm.l))))</f>
        <v/>
      </c>
      <c r="M781" s="211">
        <f>MAX($E$2:E781)</f>
        <v/>
      </c>
      <c r="N781" s="341">
        <f>E781/M781-1</f>
        <v/>
      </c>
    </row>
    <row r="782">
      <c r="A782" s="424" t="n">
        <v>45596</v>
      </c>
      <c r="B782" s="425" t="n">
        <v>72.16640872142085</v>
      </c>
      <c r="C782" s="425" t="n">
        <v>73.24606312024477</v>
      </c>
      <c r="D782" s="425" t="n">
        <v>71.21934295223926</v>
      </c>
      <c r="E782" s="425" t="n">
        <v>73.04718017578125</v>
      </c>
      <c r="F782" s="207" t="n">
        <v>13990100</v>
      </c>
      <c r="G782" s="208" t="n">
        <v>-0.01960310189018066</v>
      </c>
      <c r="H782" s="209" cm="1">
        <f t="array" ref="H782">IF(ROW()&lt;3,"",E782/INDEX(E:E,ROW()-1)-1)</f>
        <v/>
      </c>
      <c r="I782" s="211">
        <f>IF(ROW()&lt;51,NA(),AVERAGE(INDEX(E:E,ROW()-49):E782))</f>
        <v/>
      </c>
      <c r="J782" s="211">
        <f>IF(ROW()&lt;201,NA(),AVERAGE(INDEX(E:E,ROW()-199):E782))</f>
        <v/>
      </c>
      <c r="K782" s="341">
        <f>IF(ROW()&lt;22,NA(),_xlfn.STDEV.S(INDEX(H:H,ROW()-19):H782)*SQRT(252))</f>
        <v/>
      </c>
      <c r="L782" s="426" cm="1">
        <f t="array" ref="L782">IF(ROW()&lt;17,NA(),_xlfn.LET(_xlpm.d,INDEX(E:E,ROW()-13):E782-INDEX(E:E,ROW()-14):INDEX(E:E,ROW()-1),_xlpm.g,SUM(IF(_xlpm.d&gt;0,_xlpm.d,0)),_xlpm.l,-SUM(IF(_xlpm.d&lt;0,_xlpm.d,0)),IF(_xlpm.l=0,100,100-100/(1+_xlpm.g/_xlpm.l))))</f>
        <v/>
      </c>
      <c r="M782" s="211">
        <f>MAX($E$2:E782)</f>
        <v/>
      </c>
      <c r="N782" s="341">
        <f>E782/M782-1</f>
        <v/>
      </c>
    </row>
    <row r="783">
      <c r="A783" s="424" t="n">
        <v>45597</v>
      </c>
      <c r="B783" s="425" t="n">
        <v>72.9714168205557</v>
      </c>
      <c r="C783" s="425" t="n">
        <v>73.994242309611</v>
      </c>
      <c r="D783" s="425" t="n">
        <v>72.88617714823722</v>
      </c>
      <c r="E783" s="425" t="n">
        <v>73.92794799804688</v>
      </c>
      <c r="F783" s="207" t="n">
        <v>9623700</v>
      </c>
      <c r="G783" s="208" t="n">
        <v>0.004220307241705523</v>
      </c>
      <c r="H783" s="209" cm="1">
        <f t="array" ref="H783">IF(ROW()&lt;3,"",E783/INDEX(E:E,ROW()-1)-1)</f>
        <v/>
      </c>
      <c r="I783" s="211">
        <f>IF(ROW()&lt;51,NA(),AVERAGE(INDEX(E:E,ROW()-49):E783))</f>
        <v/>
      </c>
      <c r="J783" s="211">
        <f>IF(ROW()&lt;201,NA(),AVERAGE(INDEX(E:E,ROW()-199):E783))</f>
        <v/>
      </c>
      <c r="K783" s="341">
        <f>IF(ROW()&lt;22,NA(),_xlfn.STDEV.S(INDEX(H:H,ROW()-19):H783)*SQRT(252))</f>
        <v/>
      </c>
      <c r="L783" s="426" cm="1">
        <f t="array" ref="L783">IF(ROW()&lt;17,NA(),_xlfn.LET(_xlpm.d,INDEX(E:E,ROW()-13):E783-INDEX(E:E,ROW()-14):INDEX(E:E,ROW()-1),_xlpm.g,SUM(IF(_xlpm.d&gt;0,_xlpm.d,0)),_xlpm.l,-SUM(IF(_xlpm.d&lt;0,_xlpm.d,0)),IF(_xlpm.l=0,100,100-100/(1+_xlpm.g/_xlpm.l))))</f>
        <v/>
      </c>
      <c r="M783" s="211">
        <f>MAX($E$2:E783)</f>
        <v/>
      </c>
      <c r="N783" s="341">
        <f>E783/M783-1</f>
        <v/>
      </c>
    </row>
    <row r="784">
      <c r="A784" s="424" t="n">
        <v>45600</v>
      </c>
      <c r="B784" s="425" t="n">
        <v>73.86165984158029</v>
      </c>
      <c r="C784" s="425" t="n">
        <v>74.39202160382783</v>
      </c>
      <c r="D784" s="425" t="n">
        <v>73.02824453738936</v>
      </c>
      <c r="E784" s="425" t="n">
        <v>73.10401153564453</v>
      </c>
      <c r="F784" s="207" t="n">
        <v>6593800</v>
      </c>
      <c r="G784" s="208" t="n">
        <v>-0.002153773948651905</v>
      </c>
      <c r="H784" s="209" cm="1">
        <f t="array" ref="H784">IF(ROW()&lt;3,"",E784/INDEX(E:E,ROW()-1)-1)</f>
        <v/>
      </c>
      <c r="I784" s="211">
        <f>IF(ROW()&lt;51,NA(),AVERAGE(INDEX(E:E,ROW()-49):E784))</f>
        <v/>
      </c>
      <c r="J784" s="211">
        <f>IF(ROW()&lt;201,NA(),AVERAGE(INDEX(E:E,ROW()-199):E784))</f>
        <v/>
      </c>
      <c r="K784" s="341">
        <f>IF(ROW()&lt;22,NA(),_xlfn.STDEV.S(INDEX(H:H,ROW()-19):H784)*SQRT(252))</f>
        <v/>
      </c>
      <c r="L784" s="426" cm="1">
        <f t="array" ref="L784">IF(ROW()&lt;17,NA(),_xlfn.LET(_xlpm.d,INDEX(E:E,ROW()-13):E784-INDEX(E:E,ROW()-14):INDEX(E:E,ROW()-1),_xlpm.g,SUM(IF(_xlpm.d&gt;0,_xlpm.d,0)),_xlpm.l,-SUM(IF(_xlpm.d&lt;0,_xlpm.d,0)),IF(_xlpm.l=0,100,100-100/(1+_xlpm.g/_xlpm.l))))</f>
        <v/>
      </c>
      <c r="M784" s="211">
        <f>MAX($E$2:E784)</f>
        <v/>
      </c>
      <c r="N784" s="341">
        <f>E784/M784-1</f>
        <v/>
      </c>
    </row>
    <row r="785">
      <c r="A785" s="424" t="n">
        <v>45601</v>
      </c>
      <c r="B785" s="425" t="n">
        <v>73.16084207065947</v>
      </c>
      <c r="C785" s="425" t="n">
        <v>73.87114150823868</v>
      </c>
      <c r="D785" s="425" t="n">
        <v>72.92407559146639</v>
      </c>
      <c r="E785" s="425" t="n">
        <v>73.85220336914062</v>
      </c>
      <c r="F785" s="207" t="n">
        <v>5629200</v>
      </c>
      <c r="G785" s="208" t="n">
        <v>0.01209181362081324</v>
      </c>
      <c r="H785" s="209" cm="1">
        <f t="array" ref="H785">IF(ROW()&lt;3,"",E785/INDEX(E:E,ROW()-1)-1)</f>
        <v/>
      </c>
      <c r="I785" s="211">
        <f>IF(ROW()&lt;51,NA(),AVERAGE(INDEX(E:E,ROW()-49):E785))</f>
        <v/>
      </c>
      <c r="J785" s="211">
        <f>IF(ROW()&lt;201,NA(),AVERAGE(INDEX(E:E,ROW()-199):E785))</f>
        <v/>
      </c>
      <c r="K785" s="341">
        <f>IF(ROW()&lt;22,NA(),_xlfn.STDEV.S(INDEX(H:H,ROW()-19):H785)*SQRT(252))</f>
        <v/>
      </c>
      <c r="L785" s="426" cm="1">
        <f t="array" ref="L785">IF(ROW()&lt;17,NA(),_xlfn.LET(_xlpm.d,INDEX(E:E,ROW()-13):E785-INDEX(E:E,ROW()-14):INDEX(E:E,ROW()-1),_xlpm.g,SUM(IF(_xlpm.d&gt;0,_xlpm.d,0)),_xlpm.l,-SUM(IF(_xlpm.d&lt;0,_xlpm.d,0)),IF(_xlpm.l=0,100,100-100/(1+_xlpm.g/_xlpm.l))))</f>
        <v/>
      </c>
      <c r="M785" s="211">
        <f>MAX($E$2:E785)</f>
        <v/>
      </c>
      <c r="N785" s="341">
        <f>E785/M785-1</f>
        <v/>
      </c>
    </row>
    <row r="786">
      <c r="A786" s="424" t="n">
        <v>45602</v>
      </c>
      <c r="B786" s="425" t="n">
        <v>72.80095515419998</v>
      </c>
      <c r="C786" s="425" t="n">
        <v>72.87671493148081</v>
      </c>
      <c r="D786" s="425" t="n">
        <v>71.14358990159479</v>
      </c>
      <c r="E786" s="425" t="n">
        <v>71.33300018310547</v>
      </c>
      <c r="F786" s="207" t="n">
        <v>16193700</v>
      </c>
      <c r="G786" s="208" t="n">
        <v>0.02486551382802182</v>
      </c>
      <c r="H786" s="209" cm="1">
        <f t="array" ref="H786">IF(ROW()&lt;3,"",E786/INDEX(E:E,ROW()-1)-1)</f>
        <v/>
      </c>
      <c r="I786" s="211">
        <f>IF(ROW()&lt;51,NA(),AVERAGE(INDEX(E:E,ROW()-49):E786))</f>
        <v/>
      </c>
      <c r="J786" s="211">
        <f>IF(ROW()&lt;201,NA(),AVERAGE(INDEX(E:E,ROW()-199):E786))</f>
        <v/>
      </c>
      <c r="K786" s="341">
        <f>IF(ROW()&lt;22,NA(),_xlfn.STDEV.S(INDEX(H:H,ROW()-19):H786)*SQRT(252))</f>
        <v/>
      </c>
      <c r="L786" s="426" cm="1">
        <f t="array" ref="L786">IF(ROW()&lt;17,NA(),_xlfn.LET(_xlpm.d,INDEX(E:E,ROW()-13):E786-INDEX(E:E,ROW()-14):INDEX(E:E,ROW()-1),_xlpm.g,SUM(IF(_xlpm.d&gt;0,_xlpm.d,0)),_xlpm.l,-SUM(IF(_xlpm.d&lt;0,_xlpm.d,0)),IF(_xlpm.l=0,100,100-100/(1+_xlpm.g/_xlpm.l))))</f>
        <v/>
      </c>
      <c r="M786" s="211">
        <f>MAX($E$2:E786)</f>
        <v/>
      </c>
      <c r="N786" s="341">
        <f>E786/M786-1</f>
        <v/>
      </c>
    </row>
    <row r="787">
      <c r="A787" s="424" t="n">
        <v>45603</v>
      </c>
      <c r="B787" s="425" t="n">
        <v>71.69288945231176</v>
      </c>
      <c r="C787" s="425" t="n">
        <v>72.32742912958055</v>
      </c>
      <c r="D787" s="425" t="n">
        <v>71.228829160432</v>
      </c>
      <c r="E787" s="425" t="n">
        <v>71.9012451171875</v>
      </c>
      <c r="F787" s="207" t="n">
        <v>11831100</v>
      </c>
      <c r="G787" s="208" t="n">
        <v>0.007732245217411782</v>
      </c>
      <c r="H787" s="209" cm="1">
        <f t="array" ref="H787">IF(ROW()&lt;3,"",E787/INDEX(E:E,ROW()-1)-1)</f>
        <v/>
      </c>
      <c r="I787" s="211">
        <f>IF(ROW()&lt;51,NA(),AVERAGE(INDEX(E:E,ROW()-49):E787))</f>
        <v/>
      </c>
      <c r="J787" s="211">
        <f>IF(ROW()&lt;201,NA(),AVERAGE(INDEX(E:E,ROW()-199):E787))</f>
        <v/>
      </c>
      <c r="K787" s="341">
        <f>IF(ROW()&lt;22,NA(),_xlfn.STDEV.S(INDEX(H:H,ROW()-19):H787)*SQRT(252))</f>
        <v/>
      </c>
      <c r="L787" s="426" cm="1">
        <f t="array" ref="L787">IF(ROW()&lt;17,NA(),_xlfn.LET(_xlpm.d,INDEX(E:E,ROW()-13):E787-INDEX(E:E,ROW()-14):INDEX(E:E,ROW()-1),_xlpm.g,SUM(IF(_xlpm.d&gt;0,_xlpm.d,0)),_xlpm.l,-SUM(IF(_xlpm.d&lt;0,_xlpm.d,0)),IF(_xlpm.l=0,100,100-100/(1+_xlpm.g/_xlpm.l))))</f>
        <v/>
      </c>
      <c r="M787" s="211">
        <f>MAX($E$2:E787)</f>
        <v/>
      </c>
      <c r="N787" s="341">
        <f>E787/M787-1</f>
        <v/>
      </c>
    </row>
    <row r="788">
      <c r="A788" s="424" t="n">
        <v>45604</v>
      </c>
      <c r="B788" s="425" t="n">
        <v>71.50347510487653</v>
      </c>
      <c r="C788" s="425" t="n">
        <v>72.50736264185849</v>
      </c>
      <c r="D788" s="425" t="n">
        <v>71.26670863101933</v>
      </c>
      <c r="E788" s="425" t="n">
        <v>71.86335754394531</v>
      </c>
      <c r="F788" s="207" t="n">
        <v>8140800</v>
      </c>
      <c r="G788" s="208" t="n">
        <v>0.004331669349693978</v>
      </c>
      <c r="H788" s="209" cm="1">
        <f t="array" ref="H788">IF(ROW()&lt;3,"",E788/INDEX(E:E,ROW()-1)-1)</f>
        <v/>
      </c>
      <c r="I788" s="211">
        <f>IF(ROW()&lt;51,NA(),AVERAGE(INDEX(E:E,ROW()-49):E788))</f>
        <v/>
      </c>
      <c r="J788" s="211">
        <f>IF(ROW()&lt;201,NA(),AVERAGE(INDEX(E:E,ROW()-199):E788))</f>
        <v/>
      </c>
      <c r="K788" s="341">
        <f>IF(ROW()&lt;22,NA(),_xlfn.STDEV.S(INDEX(H:H,ROW()-19):H788)*SQRT(252))</f>
        <v/>
      </c>
      <c r="L788" s="426" cm="1">
        <f t="array" ref="L788">IF(ROW()&lt;17,NA(),_xlfn.LET(_xlpm.d,INDEX(E:E,ROW()-13):E788-INDEX(E:E,ROW()-14):INDEX(E:E,ROW()-1),_xlpm.g,SUM(IF(_xlpm.d&gt;0,_xlpm.d,0)),_xlpm.l,-SUM(IF(_xlpm.d&lt;0,_xlpm.d,0)),IF(_xlpm.l=0,100,100-100/(1+_xlpm.g/_xlpm.l))))</f>
        <v/>
      </c>
      <c r="M788" s="211">
        <f>MAX($E$2:E788)</f>
        <v/>
      </c>
      <c r="N788" s="341">
        <f>E788/M788-1</f>
        <v/>
      </c>
    </row>
    <row r="789">
      <c r="A789" s="424" t="n">
        <v>45607</v>
      </c>
      <c r="B789" s="425" t="n">
        <v>72.11905798479867</v>
      </c>
      <c r="C789" s="425" t="n">
        <v>73.30289016699977</v>
      </c>
      <c r="D789" s="425" t="n">
        <v>72.07170180729534</v>
      </c>
      <c r="E789" s="425" t="n">
        <v>72.54523468017578</v>
      </c>
      <c r="F789" s="207" t="n">
        <v>9877200</v>
      </c>
      <c r="G789" s="208" t="n">
        <v>0.0009528509953158348</v>
      </c>
      <c r="H789" s="209" cm="1">
        <f t="array" ref="H789">IF(ROW()&lt;3,"",E789/INDEX(E:E,ROW()-1)-1)</f>
        <v/>
      </c>
      <c r="I789" s="211">
        <f>IF(ROW()&lt;51,NA(),AVERAGE(INDEX(E:E,ROW()-49):E789))</f>
        <v/>
      </c>
      <c r="J789" s="211">
        <f>IF(ROW()&lt;201,NA(),AVERAGE(INDEX(E:E,ROW()-199):E789))</f>
        <v/>
      </c>
      <c r="K789" s="341">
        <f>IF(ROW()&lt;22,NA(),_xlfn.STDEV.S(INDEX(H:H,ROW()-19):H789)*SQRT(252))</f>
        <v/>
      </c>
      <c r="L789" s="426" cm="1">
        <f t="array" ref="L789">IF(ROW()&lt;17,NA(),_xlfn.LET(_xlpm.d,INDEX(E:E,ROW()-13):E789-INDEX(E:E,ROW()-14):INDEX(E:E,ROW()-1),_xlpm.g,SUM(IF(_xlpm.d&gt;0,_xlpm.d,0)),_xlpm.l,-SUM(IF(_xlpm.d&lt;0,_xlpm.d,0)),IF(_xlpm.l=0,100,100-100/(1+_xlpm.g/_xlpm.l))))</f>
        <v/>
      </c>
      <c r="M789" s="211">
        <f>MAX($E$2:E789)</f>
        <v/>
      </c>
      <c r="N789" s="341">
        <f>E789/M789-1</f>
        <v/>
      </c>
    </row>
    <row r="790">
      <c r="A790" s="424" t="n">
        <v>45608</v>
      </c>
      <c r="B790" s="425" t="n">
        <v>72.41264854903693</v>
      </c>
      <c r="C790" s="425" t="n">
        <v>73.33130351016648</v>
      </c>
      <c r="D790" s="425" t="n">
        <v>72.10958778897198</v>
      </c>
      <c r="E790" s="425" t="n">
        <v>72.60206604003906</v>
      </c>
      <c r="F790" s="207" t="n">
        <v>9013900</v>
      </c>
      <c r="G790" s="208" t="n">
        <v>-0.003106332387785793</v>
      </c>
      <c r="H790" s="209" cm="1">
        <f t="array" ref="H790">IF(ROW()&lt;3,"",E790/INDEX(E:E,ROW()-1)-1)</f>
        <v/>
      </c>
      <c r="I790" s="211">
        <f>IF(ROW()&lt;51,NA(),AVERAGE(INDEX(E:E,ROW()-49):E790))</f>
        <v/>
      </c>
      <c r="J790" s="211">
        <f>IF(ROW()&lt;201,NA(),AVERAGE(INDEX(E:E,ROW()-199):E790))</f>
        <v/>
      </c>
      <c r="K790" s="341">
        <f>IF(ROW()&lt;22,NA(),_xlfn.STDEV.S(INDEX(H:H,ROW()-19):H790)*SQRT(252))</f>
        <v/>
      </c>
      <c r="L790" s="426" cm="1">
        <f t="array" ref="L790">IF(ROW()&lt;17,NA(),_xlfn.LET(_xlpm.d,INDEX(E:E,ROW()-13):E790-INDEX(E:E,ROW()-14):INDEX(E:E,ROW()-1),_xlpm.g,SUM(IF(_xlpm.d&gt;0,_xlpm.d,0)),_xlpm.l,-SUM(IF(_xlpm.d&lt;0,_xlpm.d,0)),IF(_xlpm.l=0,100,100-100/(1+_xlpm.g/_xlpm.l))))</f>
        <v/>
      </c>
      <c r="M790" s="211">
        <f>MAX($E$2:E790)</f>
        <v/>
      </c>
      <c r="N790" s="341">
        <f>E790/M790-1</f>
        <v/>
      </c>
    </row>
    <row r="791">
      <c r="A791" s="424" t="n">
        <v>45609</v>
      </c>
      <c r="B791" s="425" t="n">
        <v>72.83883711704071</v>
      </c>
      <c r="C791" s="425" t="n">
        <v>73.19871953452486</v>
      </c>
      <c r="D791" s="425" t="n">
        <v>72.42212583587249</v>
      </c>
      <c r="E791" s="425" t="n">
        <v>72.46947479248047</v>
      </c>
      <c r="F791" s="207" t="n">
        <v>6835300</v>
      </c>
      <c r="G791" s="208" t="n">
        <v>0.0004857195522467439</v>
      </c>
      <c r="H791" s="209" cm="1">
        <f t="array" ref="H791">IF(ROW()&lt;3,"",E791/INDEX(E:E,ROW()-1)-1)</f>
        <v/>
      </c>
      <c r="I791" s="211">
        <f>IF(ROW()&lt;51,NA(),AVERAGE(INDEX(E:E,ROW()-49):E791))</f>
        <v/>
      </c>
      <c r="J791" s="211">
        <f>IF(ROW()&lt;201,NA(),AVERAGE(INDEX(E:E,ROW()-199):E791))</f>
        <v/>
      </c>
      <c r="K791" s="341">
        <f>IF(ROW()&lt;22,NA(),_xlfn.STDEV.S(INDEX(H:H,ROW()-19):H791)*SQRT(252))</f>
        <v/>
      </c>
      <c r="L791" s="426" cm="1">
        <f t="array" ref="L791">IF(ROW()&lt;17,NA(),_xlfn.LET(_xlpm.d,INDEX(E:E,ROW()-13):E791-INDEX(E:E,ROW()-14):INDEX(E:E,ROW()-1),_xlpm.g,SUM(IF(_xlpm.d&gt;0,_xlpm.d,0)),_xlpm.l,-SUM(IF(_xlpm.d&lt;0,_xlpm.d,0)),IF(_xlpm.l=0,100,100-100/(1+_xlpm.g/_xlpm.l))))</f>
        <v/>
      </c>
      <c r="M791" s="211">
        <f>MAX($E$2:E791)</f>
        <v/>
      </c>
      <c r="N791" s="341">
        <f>E791/M791-1</f>
        <v/>
      </c>
    </row>
    <row r="792">
      <c r="A792" s="424" t="n">
        <v>45610</v>
      </c>
      <c r="B792" s="425" t="n">
        <v>72.62100839938647</v>
      </c>
      <c r="C792" s="425" t="n">
        <v>72.90513103964258</v>
      </c>
      <c r="D792" s="425" t="n">
        <v>71.66446988443239</v>
      </c>
      <c r="E792" s="425" t="n">
        <v>71.67394256591797</v>
      </c>
      <c r="F792" s="207" t="n">
        <v>6991600</v>
      </c>
      <c r="G792" s="208" t="n">
        <v>-0.006430071676556404</v>
      </c>
      <c r="H792" s="209" cm="1">
        <f t="array" ref="H792">IF(ROW()&lt;3,"",E792/INDEX(E:E,ROW()-1)-1)</f>
        <v/>
      </c>
      <c r="I792" s="211">
        <f>IF(ROW()&lt;51,NA(),AVERAGE(INDEX(E:E,ROW()-49):E792))</f>
        <v/>
      </c>
      <c r="J792" s="211">
        <f>IF(ROW()&lt;201,NA(),AVERAGE(INDEX(E:E,ROW()-199):E792))</f>
        <v/>
      </c>
      <c r="K792" s="341">
        <f>IF(ROW()&lt;22,NA(),_xlfn.STDEV.S(INDEX(H:H,ROW()-19):H792)*SQRT(252))</f>
        <v/>
      </c>
      <c r="L792" s="426" cm="1">
        <f t="array" ref="L792">IF(ROW()&lt;17,NA(),_xlfn.LET(_xlpm.d,INDEX(E:E,ROW()-13):E792-INDEX(E:E,ROW()-14):INDEX(E:E,ROW()-1),_xlpm.g,SUM(IF(_xlpm.d&gt;0,_xlpm.d,0)),_xlpm.l,-SUM(IF(_xlpm.d&lt;0,_xlpm.d,0)),IF(_xlpm.l=0,100,100-100/(1+_xlpm.g/_xlpm.l))))</f>
        <v/>
      </c>
      <c r="M792" s="211">
        <f>MAX($E$2:E792)</f>
        <v/>
      </c>
      <c r="N792" s="341">
        <f>E792/M792-1</f>
        <v/>
      </c>
    </row>
    <row r="793">
      <c r="A793" s="424" t="n">
        <v>45611</v>
      </c>
      <c r="B793" s="425" t="n">
        <v>71.97699915803972</v>
      </c>
      <c r="C793" s="425" t="n">
        <v>73.5396591374996</v>
      </c>
      <c r="D793" s="425" t="n">
        <v>71.60764408250866</v>
      </c>
      <c r="E793" s="425" t="n">
        <v>72.60206604003906</v>
      </c>
      <c r="F793" s="207" t="n">
        <v>13584900</v>
      </c>
      <c r="G793" s="208" t="n">
        <v>-0.01280866396510605</v>
      </c>
      <c r="H793" s="209" cm="1">
        <f t="array" ref="H793">IF(ROW()&lt;3,"",E793/INDEX(E:E,ROW()-1)-1)</f>
        <v/>
      </c>
      <c r="I793" s="211">
        <f>IF(ROW()&lt;51,NA(),AVERAGE(INDEX(E:E,ROW()-49):E793))</f>
        <v/>
      </c>
      <c r="J793" s="211">
        <f>IF(ROW()&lt;201,NA(),AVERAGE(INDEX(E:E,ROW()-199):E793))</f>
        <v/>
      </c>
      <c r="K793" s="341">
        <f>IF(ROW()&lt;22,NA(),_xlfn.STDEV.S(INDEX(H:H,ROW()-19):H793)*SQRT(252))</f>
        <v/>
      </c>
      <c r="L793" s="426" cm="1">
        <f t="array" ref="L793">IF(ROW()&lt;17,NA(),_xlfn.LET(_xlpm.d,INDEX(E:E,ROW()-13):E793-INDEX(E:E,ROW()-14):INDEX(E:E,ROW()-1),_xlpm.g,SUM(IF(_xlpm.d&gt;0,_xlpm.d,0)),_xlpm.l,-SUM(IF(_xlpm.d&lt;0,_xlpm.d,0)),IF(_xlpm.l=0,100,100-100/(1+_xlpm.g/_xlpm.l))))</f>
        <v/>
      </c>
      <c r="M793" s="211">
        <f>MAX($E$2:E793)</f>
        <v/>
      </c>
      <c r="N793" s="341">
        <f>E793/M793-1</f>
        <v/>
      </c>
    </row>
    <row r="794">
      <c r="A794" s="424" t="n">
        <v>45614</v>
      </c>
      <c r="B794" s="425" t="n">
        <v>72.12853599409249</v>
      </c>
      <c r="C794" s="425" t="n">
        <v>72.1664122682475</v>
      </c>
      <c r="D794" s="425" t="n">
        <v>70.31963681779368</v>
      </c>
      <c r="E794" s="425" t="n">
        <v>70.92575836181641</v>
      </c>
      <c r="F794" s="207" t="n">
        <v>12595100</v>
      </c>
      <c r="G794" s="208" t="n">
        <v>0.004097350532788813</v>
      </c>
      <c r="H794" s="209" cm="1">
        <f t="array" ref="H794">IF(ROW()&lt;3,"",E794/INDEX(E:E,ROW()-1)-1)</f>
        <v/>
      </c>
      <c r="I794" s="211">
        <f>IF(ROW()&lt;51,NA(),AVERAGE(INDEX(E:E,ROW()-49):E794))</f>
        <v/>
      </c>
      <c r="J794" s="211">
        <f>IF(ROW()&lt;201,NA(),AVERAGE(INDEX(E:E,ROW()-199):E794))</f>
        <v/>
      </c>
      <c r="K794" s="341">
        <f>IF(ROW()&lt;22,NA(),_xlfn.STDEV.S(INDEX(H:H,ROW()-19):H794)*SQRT(252))</f>
        <v/>
      </c>
      <c r="L794" s="426" cm="1">
        <f t="array" ref="L794">IF(ROW()&lt;17,NA(),_xlfn.LET(_xlpm.d,INDEX(E:E,ROW()-13):E794-INDEX(E:E,ROW()-14):INDEX(E:E,ROW()-1),_xlpm.g,SUM(IF(_xlpm.d&gt;0,_xlpm.d,0)),_xlpm.l,-SUM(IF(_xlpm.d&lt;0,_xlpm.d,0)),IF(_xlpm.l=0,100,100-100/(1+_xlpm.g/_xlpm.l))))</f>
        <v/>
      </c>
      <c r="M794" s="211">
        <f>MAX($E$2:E794)</f>
        <v/>
      </c>
      <c r="N794" s="341">
        <f>E794/M794-1</f>
        <v/>
      </c>
    </row>
    <row r="795">
      <c r="A795" s="424" t="n">
        <v>45615</v>
      </c>
      <c r="B795" s="425" t="n">
        <v>70.55640022660054</v>
      </c>
      <c r="C795" s="425" t="n">
        <v>70.7742285340538</v>
      </c>
      <c r="D795" s="425" t="n">
        <v>69.70403958412453</v>
      </c>
      <c r="E795" s="425" t="n">
        <v>69.99763488769531</v>
      </c>
      <c r="F795" s="207" t="n">
        <v>12028400</v>
      </c>
      <c r="G795" s="208" t="n">
        <v>0.003655633622104082</v>
      </c>
      <c r="H795" s="209" cm="1">
        <f t="array" ref="H795">IF(ROW()&lt;3,"",E795/INDEX(E:E,ROW()-1)-1)</f>
        <v/>
      </c>
      <c r="I795" s="211">
        <f>IF(ROW()&lt;51,NA(),AVERAGE(INDEX(E:E,ROW()-49):E795))</f>
        <v/>
      </c>
      <c r="J795" s="211">
        <f>IF(ROW()&lt;201,NA(),AVERAGE(INDEX(E:E,ROW()-199):E795))</f>
        <v/>
      </c>
      <c r="K795" s="341">
        <f>IF(ROW()&lt;22,NA(),_xlfn.STDEV.S(INDEX(H:H,ROW()-19):H795)*SQRT(252))</f>
        <v/>
      </c>
      <c r="L795" s="426" cm="1">
        <f t="array" ref="L795">IF(ROW()&lt;17,NA(),_xlfn.LET(_xlpm.d,INDEX(E:E,ROW()-13):E795-INDEX(E:E,ROW()-14):INDEX(E:E,ROW()-1),_xlpm.g,SUM(IF(_xlpm.d&gt;0,_xlpm.d,0)),_xlpm.l,-SUM(IF(_xlpm.d&lt;0,_xlpm.d,0)),IF(_xlpm.l=0,100,100-100/(1+_xlpm.g/_xlpm.l))))</f>
        <v/>
      </c>
      <c r="M795" s="211">
        <f>MAX($E$2:E795)</f>
        <v/>
      </c>
      <c r="N795" s="341">
        <f>E795/M795-1</f>
        <v/>
      </c>
    </row>
    <row r="796">
      <c r="A796" s="424" t="n">
        <v>45616</v>
      </c>
      <c r="B796" s="425" t="n">
        <v>69.76087588785222</v>
      </c>
      <c r="C796" s="425" t="n">
        <v>69.93134080899853</v>
      </c>
      <c r="D796" s="425" t="n">
        <v>68.86115897041338</v>
      </c>
      <c r="E796" s="425" t="n">
        <v>69.47675323486328</v>
      </c>
      <c r="F796" s="207" t="n">
        <v>12290300</v>
      </c>
      <c r="G796" s="208" t="n">
        <v>0.0003387170156852193</v>
      </c>
      <c r="H796" s="209" cm="1">
        <f t="array" ref="H796">IF(ROW()&lt;3,"",E796/INDEX(E:E,ROW()-1)-1)</f>
        <v/>
      </c>
      <c r="I796" s="211">
        <f>IF(ROW()&lt;51,NA(),AVERAGE(INDEX(E:E,ROW()-49):E796))</f>
        <v/>
      </c>
      <c r="J796" s="211">
        <f>IF(ROW()&lt;201,NA(),AVERAGE(INDEX(E:E,ROW()-199):E796))</f>
        <v/>
      </c>
      <c r="K796" s="341">
        <f>IF(ROW()&lt;22,NA(),_xlfn.STDEV.S(INDEX(H:H,ROW()-19):H796)*SQRT(252))</f>
        <v/>
      </c>
      <c r="L796" s="426" cm="1">
        <f t="array" ref="L796">IF(ROW()&lt;17,NA(),_xlfn.LET(_xlpm.d,INDEX(E:E,ROW()-13):E796-INDEX(E:E,ROW()-14):INDEX(E:E,ROW()-1),_xlpm.g,SUM(IF(_xlpm.d&gt;0,_xlpm.d,0)),_xlpm.l,-SUM(IF(_xlpm.d&lt;0,_xlpm.d,0)),IF(_xlpm.l=0,100,100-100/(1+_xlpm.g/_xlpm.l))))</f>
        <v/>
      </c>
      <c r="M796" s="211">
        <f>MAX($E$2:E796)</f>
        <v/>
      </c>
      <c r="N796" s="341">
        <f>E796/M796-1</f>
        <v/>
      </c>
    </row>
    <row r="797">
      <c r="A797" s="424" t="n">
        <v>45617</v>
      </c>
      <c r="B797" s="425" t="n">
        <v>69.47674891986884</v>
      </c>
      <c r="C797" s="425" t="n">
        <v>71.56029082725443</v>
      </c>
      <c r="D797" s="425" t="n">
        <v>69.3252149208756</v>
      </c>
      <c r="E797" s="425" t="n">
        <v>71.12464141845703</v>
      </c>
      <c r="F797" s="207" t="n">
        <v>12818600</v>
      </c>
      <c r="G797" s="208" t="n">
        <v>0.005368147546016111</v>
      </c>
      <c r="H797" s="209" cm="1">
        <f t="array" ref="H797">IF(ROW()&lt;3,"",E797/INDEX(E:E,ROW()-1)-1)</f>
        <v/>
      </c>
      <c r="I797" s="211">
        <f>IF(ROW()&lt;51,NA(),AVERAGE(INDEX(E:E,ROW()-49):E797))</f>
        <v/>
      </c>
      <c r="J797" s="211">
        <f>IF(ROW()&lt;201,NA(),AVERAGE(INDEX(E:E,ROW()-199):E797))</f>
        <v/>
      </c>
      <c r="K797" s="341">
        <f>IF(ROW()&lt;22,NA(),_xlfn.STDEV.S(INDEX(H:H,ROW()-19):H797)*SQRT(252))</f>
        <v/>
      </c>
      <c r="L797" s="426" cm="1">
        <f t="array" ref="L797">IF(ROW()&lt;17,NA(),_xlfn.LET(_xlpm.d,INDEX(E:E,ROW()-13):E797-INDEX(E:E,ROW()-14):INDEX(E:E,ROW()-1),_xlpm.g,SUM(IF(_xlpm.d&gt;0,_xlpm.d,0)),_xlpm.l,-SUM(IF(_xlpm.d&lt;0,_xlpm.d,0)),IF(_xlpm.l=0,100,100-100/(1+_xlpm.g/_xlpm.l))))</f>
        <v/>
      </c>
      <c r="M797" s="211">
        <f>MAX($E$2:E797)</f>
        <v/>
      </c>
      <c r="N797" s="341">
        <f>E797/M797-1</f>
        <v/>
      </c>
    </row>
    <row r="798">
      <c r="A798" s="424" t="n">
        <v>45618</v>
      </c>
      <c r="B798" s="425" t="n">
        <v>72.10013198467384</v>
      </c>
      <c r="C798" s="425" t="n">
        <v>73.39761500597389</v>
      </c>
      <c r="D798" s="425" t="n">
        <v>71.81601651997481</v>
      </c>
      <c r="E798" s="425" t="n">
        <v>73.30290985107422</v>
      </c>
      <c r="F798" s="207" t="n">
        <v>12248600</v>
      </c>
      <c r="G798" s="208" t="n">
        <v>0.00309962307851297</v>
      </c>
      <c r="H798" s="209" cm="1">
        <f t="array" ref="H798">IF(ROW()&lt;3,"",E798/INDEX(E:E,ROW()-1)-1)</f>
        <v/>
      </c>
      <c r="I798" s="211">
        <f>IF(ROW()&lt;51,NA(),AVERAGE(INDEX(E:E,ROW()-49):E798))</f>
        <v/>
      </c>
      <c r="J798" s="211">
        <f>IF(ROW()&lt;201,NA(),AVERAGE(INDEX(E:E,ROW()-199):E798))</f>
        <v/>
      </c>
      <c r="K798" s="341">
        <f>IF(ROW()&lt;22,NA(),_xlfn.STDEV.S(INDEX(H:H,ROW()-19):H798)*SQRT(252))</f>
        <v/>
      </c>
      <c r="L798" s="426" cm="1">
        <f t="array" ref="L798">IF(ROW()&lt;17,NA(),_xlfn.LET(_xlpm.d,INDEX(E:E,ROW()-13):E798-INDEX(E:E,ROW()-14):INDEX(E:E,ROW()-1),_xlpm.g,SUM(IF(_xlpm.d&gt;0,_xlpm.d,0)),_xlpm.l,-SUM(IF(_xlpm.d&lt;0,_xlpm.d,0)),IF(_xlpm.l=0,100,100-100/(1+_xlpm.g/_xlpm.l))))</f>
        <v/>
      </c>
      <c r="M798" s="211">
        <f>MAX($E$2:E798)</f>
        <v/>
      </c>
      <c r="N798" s="341">
        <f>E798/M798-1</f>
        <v/>
      </c>
    </row>
    <row r="799">
      <c r="A799" s="424" t="n">
        <v>45621</v>
      </c>
      <c r="B799" s="425" t="n">
        <v>74.34466582992958</v>
      </c>
      <c r="C799" s="425" t="n">
        <v>75.63267590515362</v>
      </c>
      <c r="D799" s="425" t="n">
        <v>74.25943337558058</v>
      </c>
      <c r="E799" s="425" t="n">
        <v>75.06443786621094</v>
      </c>
      <c r="F799" s="207" t="n">
        <v>18328900</v>
      </c>
      <c r="G799" s="208" t="n">
        <v>0.003392034648267206</v>
      </c>
      <c r="H799" s="209" cm="1">
        <f t="array" ref="H799">IF(ROW()&lt;3,"",E799/INDEX(E:E,ROW()-1)-1)</f>
        <v/>
      </c>
      <c r="I799" s="211">
        <f>IF(ROW()&lt;51,NA(),AVERAGE(INDEX(E:E,ROW()-49):E799))</f>
        <v/>
      </c>
      <c r="J799" s="211">
        <f>IF(ROW()&lt;201,NA(),AVERAGE(INDEX(E:E,ROW()-199):E799))</f>
        <v/>
      </c>
      <c r="K799" s="341">
        <f>IF(ROW()&lt;22,NA(),_xlfn.STDEV.S(INDEX(H:H,ROW()-19):H799)*SQRT(252))</f>
        <v/>
      </c>
      <c r="L799" s="426" cm="1">
        <f t="array" ref="L799">IF(ROW()&lt;17,NA(),_xlfn.LET(_xlpm.d,INDEX(E:E,ROW()-13):E799-INDEX(E:E,ROW()-14):INDEX(E:E,ROW()-1),_xlpm.g,SUM(IF(_xlpm.d&gt;0,_xlpm.d,0)),_xlpm.l,-SUM(IF(_xlpm.d&lt;0,_xlpm.d,0)),IF(_xlpm.l=0,100,100-100/(1+_xlpm.g/_xlpm.l))))</f>
        <v/>
      </c>
      <c r="M799" s="211">
        <f>MAX($E$2:E799)</f>
        <v/>
      </c>
      <c r="N799" s="341">
        <f>E799/M799-1</f>
        <v/>
      </c>
    </row>
    <row r="800">
      <c r="A800" s="424" t="n">
        <v>45622</v>
      </c>
      <c r="B800" s="425" t="n">
        <v>74.72348564731632</v>
      </c>
      <c r="C800" s="425" t="n">
        <v>74.72348564731632</v>
      </c>
      <c r="D800" s="425" t="n">
        <v>73.46388652422731</v>
      </c>
      <c r="E800" s="425" t="n">
        <v>73.50177001953125</v>
      </c>
      <c r="F800" s="207" t="n">
        <v>9495600</v>
      </c>
      <c r="G800" s="208" t="n">
        <v>0.00522128354141449</v>
      </c>
      <c r="H800" s="209" cm="1">
        <f t="array" ref="H800">IF(ROW()&lt;3,"",E800/INDEX(E:E,ROW()-1)-1)</f>
        <v/>
      </c>
      <c r="I800" s="211">
        <f>IF(ROW()&lt;51,NA(),AVERAGE(INDEX(E:E,ROW()-49):E800))</f>
        <v/>
      </c>
      <c r="J800" s="211">
        <f>IF(ROW()&lt;201,NA(),AVERAGE(INDEX(E:E,ROW()-199):E800))</f>
        <v/>
      </c>
      <c r="K800" s="341">
        <f>IF(ROW()&lt;22,NA(),_xlfn.STDEV.S(INDEX(H:H,ROW()-19):H800)*SQRT(252))</f>
        <v/>
      </c>
      <c r="L800" s="426" cm="1">
        <f t="array" ref="L800">IF(ROW()&lt;17,NA(),_xlfn.LET(_xlpm.d,INDEX(E:E,ROW()-13):E800-INDEX(E:E,ROW()-14):INDEX(E:E,ROW()-1),_xlpm.g,SUM(IF(_xlpm.d&gt;0,_xlpm.d,0)),_xlpm.l,-SUM(IF(_xlpm.d&lt;0,_xlpm.d,0)),IF(_xlpm.l=0,100,100-100/(1+_xlpm.g/_xlpm.l))))</f>
        <v/>
      </c>
      <c r="M800" s="211">
        <f>MAX($E$2:E800)</f>
        <v/>
      </c>
      <c r="N800" s="341">
        <f>E800/M800-1</f>
        <v/>
      </c>
    </row>
    <row r="801">
      <c r="A801" s="424" t="n">
        <v>45623</v>
      </c>
      <c r="B801" s="425" t="n">
        <v>73.50178407132044</v>
      </c>
      <c r="C801" s="425" t="n">
        <v>74.86556126083252</v>
      </c>
      <c r="D801" s="425" t="n">
        <v>73.48283870727761</v>
      </c>
      <c r="E801" s="425" t="n">
        <v>74.19313812255859</v>
      </c>
      <c r="F801" s="207" t="n">
        <v>8713500</v>
      </c>
      <c r="G801" s="208" t="n">
        <v>-0.003029815992529827</v>
      </c>
      <c r="H801" s="209" cm="1">
        <f t="array" ref="H801">IF(ROW()&lt;3,"",E801/INDEX(E:E,ROW()-1)-1)</f>
        <v/>
      </c>
      <c r="I801" s="211">
        <f>IF(ROW()&lt;51,NA(),AVERAGE(INDEX(E:E,ROW()-49):E801))</f>
        <v/>
      </c>
      <c r="J801" s="211">
        <f>IF(ROW()&lt;201,NA(),AVERAGE(INDEX(E:E,ROW()-199):E801))</f>
        <v/>
      </c>
      <c r="K801" s="341">
        <f>IF(ROW()&lt;22,NA(),_xlfn.STDEV.S(INDEX(H:H,ROW()-19):H801)*SQRT(252))</f>
        <v/>
      </c>
      <c r="L801" s="426" cm="1">
        <f t="array" ref="L801">IF(ROW()&lt;17,NA(),_xlfn.LET(_xlpm.d,INDEX(E:E,ROW()-13):E801-INDEX(E:E,ROW()-14):INDEX(E:E,ROW()-1),_xlpm.g,SUM(IF(_xlpm.d&gt;0,_xlpm.d,0)),_xlpm.l,-SUM(IF(_xlpm.d&lt;0,_xlpm.d,0)),IF(_xlpm.l=0,100,100-100/(1+_xlpm.g/_xlpm.l))))</f>
        <v/>
      </c>
      <c r="M801" s="211">
        <f>MAX($E$2:E801)</f>
        <v/>
      </c>
      <c r="N801" s="341">
        <f>E801/M801-1</f>
        <v/>
      </c>
    </row>
    <row r="802">
      <c r="A802" s="424" t="n">
        <v>45625</v>
      </c>
      <c r="B802" s="425" t="n">
        <v>74.06055265409358</v>
      </c>
      <c r="C802" s="425" t="n">
        <v>74.98868044245407</v>
      </c>
      <c r="D802" s="425" t="n">
        <v>73.89955318051807</v>
      </c>
      <c r="E802" s="425" t="n">
        <v>74.60037994384766</v>
      </c>
      <c r="F802" s="207" t="n">
        <v>7123500</v>
      </c>
      <c r="G802" s="208" t="n">
        <v>0.006212042183450395</v>
      </c>
      <c r="H802" s="209" cm="1">
        <f t="array" ref="H802">IF(ROW()&lt;3,"",E802/INDEX(E:E,ROW()-1)-1)</f>
        <v/>
      </c>
      <c r="I802" s="211">
        <f>IF(ROW()&lt;51,NA(),AVERAGE(INDEX(E:E,ROW()-49):E802))</f>
        <v/>
      </c>
      <c r="J802" s="211">
        <f>IF(ROW()&lt;201,NA(),AVERAGE(INDEX(E:E,ROW()-199):E802))</f>
        <v/>
      </c>
      <c r="K802" s="341">
        <f>IF(ROW()&lt;22,NA(),_xlfn.STDEV.S(INDEX(H:H,ROW()-19):H802)*SQRT(252))</f>
        <v/>
      </c>
      <c r="L802" s="426" cm="1">
        <f t="array" ref="L802">IF(ROW()&lt;17,NA(),_xlfn.LET(_xlpm.d,INDEX(E:E,ROW()-13):E802-INDEX(E:E,ROW()-14):INDEX(E:E,ROW()-1),_xlpm.g,SUM(IF(_xlpm.d&gt;0,_xlpm.d,0)),_xlpm.l,-SUM(IF(_xlpm.d&lt;0,_xlpm.d,0)),IF(_xlpm.l=0,100,100-100/(1+_xlpm.g/_xlpm.l))))</f>
        <v/>
      </c>
      <c r="M802" s="211">
        <f>MAX($E$2:E802)</f>
        <v/>
      </c>
      <c r="N802" s="341">
        <f>E802/M802-1</f>
        <v/>
      </c>
    </row>
    <row r="803">
      <c r="A803" s="424" t="n">
        <v>45628</v>
      </c>
      <c r="B803" s="425" t="n">
        <v>74.17202280844899</v>
      </c>
      <c r="C803" s="425" t="n">
        <v>75.29526474384673</v>
      </c>
      <c r="D803" s="425" t="n">
        <v>73.48665386313262</v>
      </c>
      <c r="E803" s="425" t="n">
        <v>75.28574371337891</v>
      </c>
      <c r="F803" s="207" t="n">
        <v>11221000</v>
      </c>
      <c r="G803" s="208" t="n">
        <v>0.001792321774351846</v>
      </c>
      <c r="H803" s="209" cm="1">
        <f t="array" ref="H803">IF(ROW()&lt;3,"",E803/INDEX(E:E,ROW()-1)-1)</f>
        <v/>
      </c>
      <c r="I803" s="211">
        <f>IF(ROW()&lt;51,NA(),AVERAGE(INDEX(E:E,ROW()-49):E803))</f>
        <v/>
      </c>
      <c r="J803" s="211">
        <f>IF(ROW()&lt;201,NA(),AVERAGE(INDEX(E:E,ROW()-199):E803))</f>
        <v/>
      </c>
      <c r="K803" s="341">
        <f>IF(ROW()&lt;22,NA(),_xlfn.STDEV.S(INDEX(H:H,ROW()-19):H803)*SQRT(252))</f>
        <v/>
      </c>
      <c r="L803" s="426" cm="1">
        <f t="array" ref="L803">IF(ROW()&lt;17,NA(),_xlfn.LET(_xlpm.d,INDEX(E:E,ROW()-13):E803-INDEX(E:E,ROW()-14):INDEX(E:E,ROW()-1),_xlpm.g,SUM(IF(_xlpm.d&gt;0,_xlpm.d,0)),_xlpm.l,-SUM(IF(_xlpm.d&lt;0,_xlpm.d,0)),IF(_xlpm.l=0,100,100-100/(1+_xlpm.g/_xlpm.l))))</f>
        <v/>
      </c>
      <c r="M803" s="211">
        <f>MAX($E$2:E803)</f>
        <v/>
      </c>
      <c r="N803" s="341">
        <f>E803/M803-1</f>
        <v/>
      </c>
    </row>
    <row r="804">
      <c r="A804" s="424" t="n">
        <v>45629</v>
      </c>
      <c r="B804" s="425" t="n">
        <v>75.20007598435733</v>
      </c>
      <c r="C804" s="425" t="n">
        <v>75.5808373152428</v>
      </c>
      <c r="D804" s="425" t="n">
        <v>73.8769359879045</v>
      </c>
      <c r="E804" s="425" t="n">
        <v>75.06681060791016</v>
      </c>
      <c r="F804" s="207" t="n">
        <v>9414500</v>
      </c>
      <c r="G804" s="208" t="n">
        <v>0.000463856150800801</v>
      </c>
      <c r="H804" s="209" cm="1">
        <f t="array" ref="H804">IF(ROW()&lt;3,"",E804/INDEX(E:E,ROW()-1)-1)</f>
        <v/>
      </c>
      <c r="I804" s="211">
        <f>IF(ROW()&lt;51,NA(),AVERAGE(INDEX(E:E,ROW()-49):E804))</f>
        <v/>
      </c>
      <c r="J804" s="211">
        <f>IF(ROW()&lt;201,NA(),AVERAGE(INDEX(E:E,ROW()-199):E804))</f>
        <v/>
      </c>
      <c r="K804" s="341">
        <f>IF(ROW()&lt;22,NA(),_xlfn.STDEV.S(INDEX(H:H,ROW()-19):H804)*SQRT(252))</f>
        <v/>
      </c>
      <c r="L804" s="426" cm="1">
        <f t="array" ref="L804">IF(ROW()&lt;17,NA(),_xlfn.LET(_xlpm.d,INDEX(E:E,ROW()-13):E804-INDEX(E:E,ROW()-14):INDEX(E:E,ROW()-1),_xlpm.g,SUM(IF(_xlpm.d&gt;0,_xlpm.d,0)),_xlpm.l,-SUM(IF(_xlpm.d&lt;0,_xlpm.d,0)),IF(_xlpm.l=0,100,100-100/(1+_xlpm.g/_xlpm.l))))</f>
        <v/>
      </c>
      <c r="M804" s="211">
        <f>MAX($E$2:E804)</f>
        <v/>
      </c>
      <c r="N804" s="341">
        <f>E804/M804-1</f>
        <v/>
      </c>
    </row>
    <row r="805">
      <c r="A805" s="424" t="n">
        <v>45630</v>
      </c>
      <c r="B805" s="425" t="n">
        <v>74.0768322190366</v>
      </c>
      <c r="C805" s="425" t="n">
        <v>74.73364531699626</v>
      </c>
      <c r="D805" s="425" t="n">
        <v>73.39146329289056</v>
      </c>
      <c r="E805" s="425" t="n">
        <v>74.60037994384766</v>
      </c>
      <c r="F805" s="207" t="n">
        <v>15042600</v>
      </c>
      <c r="G805" s="208" t="n">
        <v>0.006209419772410518</v>
      </c>
      <c r="H805" s="209" cm="1">
        <f t="array" ref="H805">IF(ROW()&lt;3,"",E805/INDEX(E:E,ROW()-1)-1)</f>
        <v/>
      </c>
      <c r="I805" s="211">
        <f>IF(ROW()&lt;51,NA(),AVERAGE(INDEX(E:E,ROW()-49):E805))</f>
        <v/>
      </c>
      <c r="J805" s="211">
        <f>IF(ROW()&lt;201,NA(),AVERAGE(INDEX(E:E,ROW()-199):E805))</f>
        <v/>
      </c>
      <c r="K805" s="341">
        <f>IF(ROW()&lt;22,NA(),_xlfn.STDEV.S(INDEX(H:H,ROW()-19):H805)*SQRT(252))</f>
        <v/>
      </c>
      <c r="L805" s="426" cm="1">
        <f t="array" ref="L805">IF(ROW()&lt;17,NA(),_xlfn.LET(_xlpm.d,INDEX(E:E,ROW()-13):E805-INDEX(E:E,ROW()-14):INDEX(E:E,ROW()-1),_xlpm.g,SUM(IF(_xlpm.d&gt;0,_xlpm.d,0)),_xlpm.l,-SUM(IF(_xlpm.d&lt;0,_xlpm.d,0)),IF(_xlpm.l=0,100,100-100/(1+_xlpm.g/_xlpm.l))))</f>
        <v/>
      </c>
      <c r="M805" s="211">
        <f>MAX($E$2:E805)</f>
        <v/>
      </c>
      <c r="N805" s="341">
        <f>E805/M805-1</f>
        <v/>
      </c>
    </row>
    <row r="806">
      <c r="A806" s="424" t="n">
        <v>45631</v>
      </c>
      <c r="B806" s="425" t="n">
        <v>74.49567010647148</v>
      </c>
      <c r="C806" s="425" t="n">
        <v>75.1048853134504</v>
      </c>
      <c r="D806" s="425" t="n">
        <v>74.3433626735177</v>
      </c>
      <c r="E806" s="425" t="n">
        <v>74.80027770996094</v>
      </c>
      <c r="F806" s="207" t="n">
        <v>8316500</v>
      </c>
      <c r="G806" s="208" t="n">
        <v>-0.00164551042216543</v>
      </c>
      <c r="H806" s="209" cm="1">
        <f t="array" ref="H806">IF(ROW()&lt;3,"",E806/INDEX(E:E,ROW()-1)-1)</f>
        <v/>
      </c>
      <c r="I806" s="211">
        <f>IF(ROW()&lt;51,NA(),AVERAGE(INDEX(E:E,ROW()-49):E806))</f>
        <v/>
      </c>
      <c r="J806" s="211">
        <f>IF(ROW()&lt;201,NA(),AVERAGE(INDEX(E:E,ROW()-199):E806))</f>
        <v/>
      </c>
      <c r="K806" s="341">
        <f>IF(ROW()&lt;22,NA(),_xlfn.STDEV.S(INDEX(H:H,ROW()-19):H806)*SQRT(252))</f>
        <v/>
      </c>
      <c r="L806" s="426" cm="1">
        <f t="array" ref="L806">IF(ROW()&lt;17,NA(),_xlfn.LET(_xlpm.d,INDEX(E:E,ROW()-13):E806-INDEX(E:E,ROW()-14):INDEX(E:E,ROW()-1),_xlpm.g,SUM(IF(_xlpm.d&gt;0,_xlpm.d,0)),_xlpm.l,-SUM(IF(_xlpm.d&lt;0,_xlpm.d,0)),IF(_xlpm.l=0,100,100-100/(1+_xlpm.g/_xlpm.l))))</f>
        <v/>
      </c>
      <c r="M806" s="211">
        <f>MAX($E$2:E806)</f>
        <v/>
      </c>
      <c r="N806" s="341">
        <f>E806/M806-1</f>
        <v/>
      </c>
    </row>
    <row r="807">
      <c r="A807" s="424" t="n">
        <v>45632</v>
      </c>
      <c r="B807" s="425" t="n">
        <v>75.40949607846399</v>
      </c>
      <c r="C807" s="425" t="n">
        <v>77.27521863585909</v>
      </c>
      <c r="D807" s="425" t="n">
        <v>75.0477695412425</v>
      </c>
      <c r="E807" s="425" t="n">
        <v>75.09536743164062</v>
      </c>
      <c r="F807" s="207" t="n">
        <v>13931100</v>
      </c>
      <c r="G807" s="208" t="n">
        <v>0.001895564054851917</v>
      </c>
      <c r="H807" s="209" cm="1">
        <f t="array" ref="H807">IF(ROW()&lt;3,"",E807/INDEX(E:E,ROW()-1)-1)</f>
        <v/>
      </c>
      <c r="I807" s="211">
        <f>IF(ROW()&lt;51,NA(),AVERAGE(INDEX(E:E,ROW()-49):E807))</f>
        <v/>
      </c>
      <c r="J807" s="211">
        <f>IF(ROW()&lt;201,NA(),AVERAGE(INDEX(E:E,ROW()-199):E807))</f>
        <v/>
      </c>
      <c r="K807" s="341">
        <f>IF(ROW()&lt;22,NA(),_xlfn.STDEV.S(INDEX(H:H,ROW()-19):H807)*SQRT(252))</f>
        <v/>
      </c>
      <c r="L807" s="426" cm="1">
        <f t="array" ref="L807">IF(ROW()&lt;17,NA(),_xlfn.LET(_xlpm.d,INDEX(E:E,ROW()-13):E807-INDEX(E:E,ROW()-14):INDEX(E:E,ROW()-1),_xlpm.g,SUM(IF(_xlpm.d&gt;0,_xlpm.d,0)),_xlpm.l,-SUM(IF(_xlpm.d&lt;0,_xlpm.d,0)),IF(_xlpm.l=0,100,100-100/(1+_xlpm.g/_xlpm.l))))</f>
        <v/>
      </c>
      <c r="M807" s="211">
        <f>MAX($E$2:E807)</f>
        <v/>
      </c>
      <c r="N807" s="341">
        <f>E807/M807-1</f>
        <v/>
      </c>
    </row>
    <row r="808">
      <c r="A808" s="424" t="n">
        <v>45635</v>
      </c>
      <c r="B808" s="425" t="n">
        <v>75.61890930805359</v>
      </c>
      <c r="C808" s="425" t="n">
        <v>75.62842307546018</v>
      </c>
      <c r="D808" s="425" t="n">
        <v>73.79125648990714</v>
      </c>
      <c r="E808" s="425" t="n">
        <v>73.90548706054688</v>
      </c>
      <c r="F808" s="207" t="n">
        <v>12043400</v>
      </c>
      <c r="G808" s="208" t="n">
        <v>-0.005149721638056493</v>
      </c>
      <c r="H808" s="209" cm="1">
        <f t="array" ref="H808">IF(ROW()&lt;3,"",E808/INDEX(E:E,ROW()-1)-1)</f>
        <v/>
      </c>
      <c r="I808" s="211">
        <f>IF(ROW()&lt;51,NA(),AVERAGE(INDEX(E:E,ROW()-49):E808))</f>
        <v/>
      </c>
      <c r="J808" s="211">
        <f>IF(ROW()&lt;201,NA(),AVERAGE(INDEX(E:E,ROW()-199):E808))</f>
        <v/>
      </c>
      <c r="K808" s="341">
        <f>IF(ROW()&lt;22,NA(),_xlfn.STDEV.S(INDEX(H:H,ROW()-19):H808)*SQRT(252))</f>
        <v/>
      </c>
      <c r="L808" s="426" cm="1">
        <f t="array" ref="L808">IF(ROW()&lt;17,NA(),_xlfn.LET(_xlpm.d,INDEX(E:E,ROW()-13):E808-INDEX(E:E,ROW()-14):INDEX(E:E,ROW()-1),_xlpm.g,SUM(IF(_xlpm.d&gt;0,_xlpm.d,0)),_xlpm.l,-SUM(IF(_xlpm.d&lt;0,_xlpm.d,0)),IF(_xlpm.l=0,100,100-100/(1+_xlpm.g/_xlpm.l))))</f>
        <v/>
      </c>
      <c r="M808" s="211">
        <f>MAX($E$2:E808)</f>
        <v/>
      </c>
      <c r="N808" s="341">
        <f>E808/M808-1</f>
        <v/>
      </c>
    </row>
    <row r="809">
      <c r="A809" s="424" t="n">
        <v>45636</v>
      </c>
      <c r="B809" s="425" t="n">
        <v>73.77222046306271</v>
      </c>
      <c r="C809" s="425" t="n">
        <v>74.32432398499235</v>
      </c>
      <c r="D809" s="425" t="n">
        <v>72.93455141292026</v>
      </c>
      <c r="E809" s="425" t="n">
        <v>73.04877471923828</v>
      </c>
      <c r="F809" s="207" t="n">
        <v>12193100</v>
      </c>
      <c r="G809" s="208" t="n">
        <v>-0.003109172989725684</v>
      </c>
      <c r="H809" s="209" cm="1">
        <f t="array" ref="H809">IF(ROW()&lt;3,"",E809/INDEX(E:E,ROW()-1)-1)</f>
        <v/>
      </c>
      <c r="I809" s="211">
        <f>IF(ROW()&lt;51,NA(),AVERAGE(INDEX(E:E,ROW()-49):E809))</f>
        <v/>
      </c>
      <c r="J809" s="211">
        <f>IF(ROW()&lt;201,NA(),AVERAGE(INDEX(E:E,ROW()-199):E809))</f>
        <v/>
      </c>
      <c r="K809" s="341">
        <f>IF(ROW()&lt;22,NA(),_xlfn.STDEV.S(INDEX(H:H,ROW()-19):H809)*SQRT(252))</f>
        <v/>
      </c>
      <c r="L809" s="426" cm="1">
        <f t="array" ref="L809">IF(ROW()&lt;17,NA(),_xlfn.LET(_xlpm.d,INDEX(E:E,ROW()-13):E809-INDEX(E:E,ROW()-14):INDEX(E:E,ROW()-1),_xlpm.g,SUM(IF(_xlpm.d&gt;0,_xlpm.d,0)),_xlpm.l,-SUM(IF(_xlpm.d&lt;0,_xlpm.d,0)),IF(_xlpm.l=0,100,100-100/(1+_xlpm.g/_xlpm.l))))</f>
        <v/>
      </c>
      <c r="M809" s="211">
        <f>MAX($E$2:E809)</f>
        <v/>
      </c>
      <c r="N809" s="341">
        <f>E809/M809-1</f>
        <v/>
      </c>
    </row>
    <row r="810">
      <c r="A810" s="424" t="n">
        <v>45637</v>
      </c>
      <c r="B810" s="425" t="n">
        <v>73.09638551567167</v>
      </c>
      <c r="C810" s="425" t="n">
        <v>75.18104837318863</v>
      </c>
      <c r="D810" s="425" t="n">
        <v>72.63947042244448</v>
      </c>
      <c r="E810" s="425" t="n">
        <v>75.05729675292969</v>
      </c>
      <c r="F810" s="207" t="n">
        <v>12033200</v>
      </c>
      <c r="G810" s="208" t="n">
        <v>0.007730774426176756</v>
      </c>
      <c r="H810" s="209" cm="1">
        <f t="array" ref="H810">IF(ROW()&lt;3,"",E810/INDEX(E:E,ROW()-1)-1)</f>
        <v/>
      </c>
      <c r="I810" s="211">
        <f>IF(ROW()&lt;51,NA(),AVERAGE(INDEX(E:E,ROW()-49):E810))</f>
        <v/>
      </c>
      <c r="J810" s="211">
        <f>IF(ROW()&lt;201,NA(),AVERAGE(INDEX(E:E,ROW()-199):E810))</f>
        <v/>
      </c>
      <c r="K810" s="341">
        <f>IF(ROW()&lt;22,NA(),_xlfn.STDEV.S(INDEX(H:H,ROW()-19):H810)*SQRT(252))</f>
        <v/>
      </c>
      <c r="L810" s="426" cm="1">
        <f t="array" ref="L810">IF(ROW()&lt;17,NA(),_xlfn.LET(_xlpm.d,INDEX(E:E,ROW()-13):E810-INDEX(E:E,ROW()-14):INDEX(E:E,ROW()-1),_xlpm.g,SUM(IF(_xlpm.d&gt;0,_xlpm.d,0)),_xlpm.l,-SUM(IF(_xlpm.d&lt;0,_xlpm.d,0)),IF(_xlpm.l=0,100,100-100/(1+_xlpm.g/_xlpm.l))))</f>
        <v/>
      </c>
      <c r="M810" s="211">
        <f>MAX($E$2:E810)</f>
        <v/>
      </c>
      <c r="N810" s="341">
        <f>E810/M810-1</f>
        <v/>
      </c>
    </row>
    <row r="811">
      <c r="A811" s="424" t="n">
        <v>45638</v>
      </c>
      <c r="B811" s="425" t="n">
        <v>74.92402302742209</v>
      </c>
      <c r="C811" s="425" t="n">
        <v>75.5522803029049</v>
      </c>
      <c r="D811" s="425" t="n">
        <v>74.1149097509758</v>
      </c>
      <c r="E811" s="425" t="n">
        <v>74.21009826660156</v>
      </c>
      <c r="F811" s="207" t="n">
        <v>6983200</v>
      </c>
      <c r="G811" s="208" t="n">
        <v>-0.005152585929971143</v>
      </c>
      <c r="H811" s="209" cm="1">
        <f t="array" ref="H811">IF(ROW()&lt;3,"",E811/INDEX(E:E,ROW()-1)-1)</f>
        <v/>
      </c>
      <c r="I811" s="211">
        <f>IF(ROW()&lt;51,NA(),AVERAGE(INDEX(E:E,ROW()-49):E811))</f>
        <v/>
      </c>
      <c r="J811" s="211">
        <f>IF(ROW()&lt;201,NA(),AVERAGE(INDEX(E:E,ROW()-199):E811))</f>
        <v/>
      </c>
      <c r="K811" s="341">
        <f>IF(ROW()&lt;22,NA(),_xlfn.STDEV.S(INDEX(H:H,ROW()-19):H811)*SQRT(252))</f>
        <v/>
      </c>
      <c r="L811" s="426" cm="1">
        <f t="array" ref="L811">IF(ROW()&lt;17,NA(),_xlfn.LET(_xlpm.d,INDEX(E:E,ROW()-13):E811-INDEX(E:E,ROW()-14):INDEX(E:E,ROW()-1),_xlpm.g,SUM(IF(_xlpm.d&gt;0,_xlpm.d,0)),_xlpm.l,-SUM(IF(_xlpm.d&lt;0,_xlpm.d,0)),IF(_xlpm.l=0,100,100-100/(1+_xlpm.g/_xlpm.l))))</f>
        <v/>
      </c>
      <c r="M811" s="211">
        <f>MAX($E$2:E811)</f>
        <v/>
      </c>
      <c r="N811" s="341">
        <f>E811/M811-1</f>
        <v/>
      </c>
    </row>
    <row r="812">
      <c r="A812" s="424" t="n">
        <v>45639</v>
      </c>
      <c r="B812" s="425" t="n">
        <v>73.62943686507145</v>
      </c>
      <c r="C812" s="425" t="n">
        <v>74.08635189495588</v>
      </c>
      <c r="D812" s="425" t="n">
        <v>73.07733332216634</v>
      </c>
      <c r="E812" s="425" t="n">
        <v>73.53424835205078</v>
      </c>
      <c r="F812" s="207" t="n">
        <v>8037300</v>
      </c>
      <c r="G812" s="208" t="n">
        <v>-0.0001983880967142415</v>
      </c>
      <c r="H812" s="209" cm="1">
        <f t="array" ref="H812">IF(ROW()&lt;3,"",E812/INDEX(E:E,ROW()-1)-1)</f>
        <v/>
      </c>
      <c r="I812" s="211">
        <f>IF(ROW()&lt;51,NA(),AVERAGE(INDEX(E:E,ROW()-49):E812))</f>
        <v/>
      </c>
      <c r="J812" s="211">
        <f>IF(ROW()&lt;201,NA(),AVERAGE(INDEX(E:E,ROW()-199):E812))</f>
        <v/>
      </c>
      <c r="K812" s="341">
        <f>IF(ROW()&lt;22,NA(),_xlfn.STDEV.S(INDEX(H:H,ROW()-19):H812)*SQRT(252))</f>
        <v/>
      </c>
      <c r="L812" s="426" cm="1">
        <f t="array" ref="L812">IF(ROW()&lt;17,NA(),_xlfn.LET(_xlpm.d,INDEX(E:E,ROW()-13):E812-INDEX(E:E,ROW()-14):INDEX(E:E,ROW()-1),_xlpm.g,SUM(IF(_xlpm.d&gt;0,_xlpm.d,0)),_xlpm.l,-SUM(IF(_xlpm.d&lt;0,_xlpm.d,0)),IF(_xlpm.l=0,100,100-100/(1+_xlpm.g/_xlpm.l))))</f>
        <v/>
      </c>
      <c r="M812" s="211">
        <f>MAX($E$2:E812)</f>
        <v/>
      </c>
      <c r="N812" s="341">
        <f>E812/M812-1</f>
        <v/>
      </c>
    </row>
    <row r="813">
      <c r="A813" s="424" t="n">
        <v>45642</v>
      </c>
      <c r="B813" s="425" t="n">
        <v>73.06782524656323</v>
      </c>
      <c r="C813" s="425" t="n">
        <v>75.21911340560484</v>
      </c>
      <c r="D813" s="425" t="n">
        <v>72.97263672612735</v>
      </c>
      <c r="E813" s="425" t="n">
        <v>73.48665618896484</v>
      </c>
      <c r="F813" s="207" t="n">
        <v>13034000</v>
      </c>
      <c r="G813" s="208" t="n">
        <v>0.004269910955676304</v>
      </c>
      <c r="H813" s="209" cm="1">
        <f t="array" ref="H813">IF(ROW()&lt;3,"",E813/INDEX(E:E,ROW()-1)-1)</f>
        <v/>
      </c>
      <c r="I813" s="211">
        <f>IF(ROW()&lt;51,NA(),AVERAGE(INDEX(E:E,ROW()-49):E813))</f>
        <v/>
      </c>
      <c r="J813" s="211">
        <f>IF(ROW()&lt;201,NA(),AVERAGE(INDEX(E:E,ROW()-199):E813))</f>
        <v/>
      </c>
      <c r="K813" s="341">
        <f>IF(ROW()&lt;22,NA(),_xlfn.STDEV.S(INDEX(H:H,ROW()-19):H813)*SQRT(252))</f>
        <v/>
      </c>
      <c r="L813" s="426" cm="1">
        <f t="array" ref="L813">IF(ROW()&lt;17,NA(),_xlfn.LET(_xlpm.d,INDEX(E:E,ROW()-13):E813-INDEX(E:E,ROW()-14):INDEX(E:E,ROW()-1),_xlpm.g,SUM(IF(_xlpm.d&gt;0,_xlpm.d,0)),_xlpm.l,-SUM(IF(_xlpm.d&lt;0,_xlpm.d,0)),IF(_xlpm.l=0,100,100-100/(1+_xlpm.g/_xlpm.l))))</f>
        <v/>
      </c>
      <c r="M813" s="211">
        <f>MAX($E$2:E813)</f>
        <v/>
      </c>
      <c r="N813" s="341">
        <f>E813/M813-1</f>
        <v/>
      </c>
    </row>
    <row r="814">
      <c r="A814" s="424" t="n">
        <v>45643</v>
      </c>
      <c r="B814" s="425" t="n">
        <v>73.63896891470246</v>
      </c>
      <c r="C814" s="425" t="n">
        <v>74.98114385270328</v>
      </c>
      <c r="D814" s="425" t="n">
        <v>73.5342593559852</v>
      </c>
      <c r="E814" s="425" t="n">
        <v>74.24818420410156</v>
      </c>
      <c r="F814" s="207" t="n">
        <v>12452400</v>
      </c>
      <c r="G814" s="208" t="n">
        <v>-0.004120239619749944</v>
      </c>
      <c r="H814" s="209" cm="1">
        <f t="array" ref="H814">IF(ROW()&lt;3,"",E814/INDEX(E:E,ROW()-1)-1)</f>
        <v/>
      </c>
      <c r="I814" s="211">
        <f>IF(ROW()&lt;51,NA(),AVERAGE(INDEX(E:E,ROW()-49):E814))</f>
        <v/>
      </c>
      <c r="J814" s="211">
        <f>IF(ROW()&lt;201,NA(),AVERAGE(INDEX(E:E,ROW()-199):E814))</f>
        <v/>
      </c>
      <c r="K814" s="341">
        <f>IF(ROW()&lt;22,NA(),_xlfn.STDEV.S(INDEX(H:H,ROW()-19):H814)*SQRT(252))</f>
        <v/>
      </c>
      <c r="L814" s="426" cm="1">
        <f t="array" ref="L814">IF(ROW()&lt;17,NA(),_xlfn.LET(_xlpm.d,INDEX(E:E,ROW()-13):E814-INDEX(E:E,ROW()-14):INDEX(E:E,ROW()-1),_xlpm.g,SUM(IF(_xlpm.d&gt;0,_xlpm.d,0)),_xlpm.l,-SUM(IF(_xlpm.d&lt;0,_xlpm.d,0)),IF(_xlpm.l=0,100,100-100/(1+_xlpm.g/_xlpm.l))))</f>
        <v/>
      </c>
      <c r="M814" s="211">
        <f>MAX($E$2:E814)</f>
        <v/>
      </c>
      <c r="N814" s="341">
        <f>E814/M814-1</f>
        <v/>
      </c>
    </row>
    <row r="815">
      <c r="A815" s="424" t="n">
        <v>45644</v>
      </c>
      <c r="B815" s="425" t="n">
        <v>74.22913362804643</v>
      </c>
      <c r="C815" s="425" t="n">
        <v>75.20006801967213</v>
      </c>
      <c r="D815" s="425" t="n">
        <v>73.14396140811054</v>
      </c>
      <c r="E815" s="425" t="n">
        <v>73.20108032226562</v>
      </c>
      <c r="F815" s="207" t="n">
        <v>14376900</v>
      </c>
      <c r="G815" s="208" t="n">
        <v>-0.02980338228677704</v>
      </c>
      <c r="H815" s="209" cm="1">
        <f t="array" ref="H815">IF(ROW()&lt;3,"",E815/INDEX(E:E,ROW()-1)-1)</f>
        <v/>
      </c>
      <c r="I815" s="211">
        <f>IF(ROW()&lt;51,NA(),AVERAGE(INDEX(E:E,ROW()-49):E815))</f>
        <v/>
      </c>
      <c r="J815" s="211">
        <f>IF(ROW()&lt;201,NA(),AVERAGE(INDEX(E:E,ROW()-199):E815))</f>
        <v/>
      </c>
      <c r="K815" s="341">
        <f>IF(ROW()&lt;22,NA(),_xlfn.STDEV.S(INDEX(H:H,ROW()-19):H815)*SQRT(252))</f>
        <v/>
      </c>
      <c r="L815" s="426" cm="1">
        <f t="array" ref="L815">IF(ROW()&lt;17,NA(),_xlfn.LET(_xlpm.d,INDEX(E:E,ROW()-13):E815-INDEX(E:E,ROW()-14):INDEX(E:E,ROW()-1),_xlpm.g,SUM(IF(_xlpm.d&gt;0,_xlpm.d,0)),_xlpm.l,-SUM(IF(_xlpm.d&lt;0,_xlpm.d,0)),IF(_xlpm.l=0,100,100-100/(1+_xlpm.g/_xlpm.l))))</f>
        <v/>
      </c>
      <c r="M815" s="211">
        <f>MAX($E$2:E815)</f>
        <v/>
      </c>
      <c r="N815" s="341">
        <f>E815/M815-1</f>
        <v/>
      </c>
    </row>
    <row r="816">
      <c r="A816" s="424" t="n">
        <v>45645</v>
      </c>
      <c r="B816" s="425" t="n">
        <v>73.23916406031324</v>
      </c>
      <c r="C816" s="425" t="n">
        <v>74.19106374495503</v>
      </c>
      <c r="D816" s="425" t="n">
        <v>72.75369318766882</v>
      </c>
      <c r="E816" s="425" t="n">
        <v>73.39146423339844</v>
      </c>
      <c r="F816" s="207" t="n">
        <v>27067600</v>
      </c>
      <c r="G816" s="208" t="n">
        <v>-0.000307063417169573</v>
      </c>
      <c r="H816" s="209" cm="1">
        <f t="array" ref="H816">IF(ROW()&lt;3,"",E816/INDEX(E:E,ROW()-1)-1)</f>
        <v/>
      </c>
      <c r="I816" s="211">
        <f>IF(ROW()&lt;51,NA(),AVERAGE(INDEX(E:E,ROW()-49):E816))</f>
        <v/>
      </c>
      <c r="J816" s="211">
        <f>IF(ROW()&lt;201,NA(),AVERAGE(INDEX(E:E,ROW()-199):E816))</f>
        <v/>
      </c>
      <c r="K816" s="341">
        <f>IF(ROW()&lt;22,NA(),_xlfn.STDEV.S(INDEX(H:H,ROW()-19):H816)*SQRT(252))</f>
        <v/>
      </c>
      <c r="L816" s="426" cm="1">
        <f t="array" ref="L816">IF(ROW()&lt;17,NA(),_xlfn.LET(_xlpm.d,INDEX(E:E,ROW()-13):E816-INDEX(E:E,ROW()-14):INDEX(E:E,ROW()-1),_xlpm.g,SUM(IF(_xlpm.d&gt;0,_xlpm.d,0)),_xlpm.l,-SUM(IF(_xlpm.d&lt;0,_xlpm.d,0)),IF(_xlpm.l=0,100,100-100/(1+_xlpm.g/_xlpm.l))))</f>
        <v/>
      </c>
      <c r="M816" s="211">
        <f>MAX($E$2:E816)</f>
        <v/>
      </c>
      <c r="N816" s="341">
        <f>E816/M816-1</f>
        <v/>
      </c>
    </row>
    <row r="817">
      <c r="A817" s="424" t="n">
        <v>45646</v>
      </c>
      <c r="B817" s="425" t="n">
        <v>72.30629381312059</v>
      </c>
      <c r="C817" s="425" t="n">
        <v>74.24816989730958</v>
      </c>
      <c r="D817" s="425" t="n">
        <v>71.25920569012925</v>
      </c>
      <c r="E817" s="425" t="n">
        <v>73.23915863037109</v>
      </c>
      <c r="F817" s="207" t="n">
        <v>49883400</v>
      </c>
      <c r="G817" s="208" t="n">
        <v>0.01201111393208021</v>
      </c>
      <c r="H817" s="209" cm="1">
        <f t="array" ref="H817">IF(ROW()&lt;3,"",E817/INDEX(E:E,ROW()-1)-1)</f>
        <v/>
      </c>
      <c r="I817" s="211">
        <f>IF(ROW()&lt;51,NA(),AVERAGE(INDEX(E:E,ROW()-49):E817))</f>
        <v/>
      </c>
      <c r="J817" s="211">
        <f>IF(ROW()&lt;201,NA(),AVERAGE(INDEX(E:E,ROW()-199):E817))</f>
        <v/>
      </c>
      <c r="K817" s="341">
        <f>IF(ROW()&lt;22,NA(),_xlfn.STDEV.S(INDEX(H:H,ROW()-19):H817)*SQRT(252))</f>
        <v/>
      </c>
      <c r="L817" s="426" cm="1">
        <f t="array" ref="L817">IF(ROW()&lt;17,NA(),_xlfn.LET(_xlpm.d,INDEX(E:E,ROW()-13):E817-INDEX(E:E,ROW()-14):INDEX(E:E,ROW()-1),_xlpm.g,SUM(IF(_xlpm.d&gt;0,_xlpm.d,0)),_xlpm.l,-SUM(IF(_xlpm.d&lt;0,_xlpm.d,0)),IF(_xlpm.l=0,100,100-100/(1+_xlpm.g/_xlpm.l))))</f>
        <v/>
      </c>
      <c r="M817" s="211">
        <f>MAX($E$2:E817)</f>
        <v/>
      </c>
      <c r="N817" s="341">
        <f>E817/M817-1</f>
        <v/>
      </c>
    </row>
    <row r="818">
      <c r="A818" s="424" t="n">
        <v>45649</v>
      </c>
      <c r="B818" s="425" t="n">
        <v>72.65850055627948</v>
      </c>
      <c r="C818" s="425" t="n">
        <v>74.6384535311694</v>
      </c>
      <c r="D818" s="425" t="n">
        <v>72.096875997694</v>
      </c>
      <c r="E818" s="425" t="n">
        <v>73.06781768798828</v>
      </c>
      <c r="F818" s="207" t="n">
        <v>14203800</v>
      </c>
      <c r="G818" s="208" t="n">
        <v>0.005988128598219955</v>
      </c>
      <c r="H818" s="209" cm="1">
        <f t="array" ref="H818">IF(ROW()&lt;3,"",E818/INDEX(E:E,ROW()-1)-1)</f>
        <v/>
      </c>
      <c r="I818" s="211">
        <f>IF(ROW()&lt;51,NA(),AVERAGE(INDEX(E:E,ROW()-49):E818))</f>
        <v/>
      </c>
      <c r="J818" s="211">
        <f>IF(ROW()&lt;201,NA(),AVERAGE(INDEX(E:E,ROW()-199):E818))</f>
        <v/>
      </c>
      <c r="K818" s="341">
        <f>IF(ROW()&lt;22,NA(),_xlfn.STDEV.S(INDEX(H:H,ROW()-19):H818)*SQRT(252))</f>
        <v/>
      </c>
      <c r="L818" s="426" cm="1">
        <f t="array" ref="L818">IF(ROW()&lt;17,NA(),_xlfn.LET(_xlpm.d,INDEX(E:E,ROW()-13):E818-INDEX(E:E,ROW()-14):INDEX(E:E,ROW()-1),_xlpm.g,SUM(IF(_xlpm.d&gt;0,_xlpm.d,0)),_xlpm.l,-SUM(IF(_xlpm.d&lt;0,_xlpm.d,0)),IF(_xlpm.l=0,100,100-100/(1+_xlpm.g/_xlpm.l))))</f>
        <v/>
      </c>
      <c r="M818" s="211">
        <f>MAX($E$2:E818)</f>
        <v/>
      </c>
      <c r="N818" s="341">
        <f>E818/M818-1</f>
        <v/>
      </c>
    </row>
    <row r="819">
      <c r="A819" s="424" t="n">
        <v>45650</v>
      </c>
      <c r="B819" s="425" t="n">
        <v>73.05830527990061</v>
      </c>
      <c r="C819" s="425" t="n">
        <v>73.40098976839593</v>
      </c>
      <c r="D819" s="425" t="n">
        <v>72.68706496110048</v>
      </c>
      <c r="E819" s="425" t="n">
        <v>73.09638214111328</v>
      </c>
      <c r="F819" s="207" t="n">
        <v>4919100</v>
      </c>
      <c r="G819" s="208" t="n">
        <v>0.01111496687727098</v>
      </c>
      <c r="H819" s="209" cm="1">
        <f t="array" ref="H819">IF(ROW()&lt;3,"",E819/INDEX(E:E,ROW()-1)-1)</f>
        <v/>
      </c>
      <c r="I819" s="211">
        <f>IF(ROW()&lt;51,NA(),AVERAGE(INDEX(E:E,ROW()-49):E819))</f>
        <v/>
      </c>
      <c r="J819" s="211">
        <f>IF(ROW()&lt;201,NA(),AVERAGE(INDEX(E:E,ROW()-199):E819))</f>
        <v/>
      </c>
      <c r="K819" s="341">
        <f>IF(ROW()&lt;22,NA(),_xlfn.STDEV.S(INDEX(H:H,ROW()-19):H819)*SQRT(252))</f>
        <v/>
      </c>
      <c r="L819" s="426" cm="1">
        <f t="array" ref="L819">IF(ROW()&lt;17,NA(),_xlfn.LET(_xlpm.d,INDEX(E:E,ROW()-13):E819-INDEX(E:E,ROW()-14):INDEX(E:E,ROW()-1),_xlpm.g,SUM(IF(_xlpm.d&gt;0,_xlpm.d,0)),_xlpm.l,-SUM(IF(_xlpm.d&lt;0,_xlpm.d,0)),IF(_xlpm.l=0,100,100-100/(1+_xlpm.g/_xlpm.l))))</f>
        <v/>
      </c>
      <c r="M819" s="211">
        <f>MAX($E$2:E819)</f>
        <v/>
      </c>
      <c r="N819" s="341">
        <f>E819/M819-1</f>
        <v/>
      </c>
    </row>
    <row r="820">
      <c r="A820" s="424" t="n">
        <v>45652</v>
      </c>
      <c r="B820" s="425" t="n">
        <v>72.91550898513074</v>
      </c>
      <c r="C820" s="425" t="n">
        <v>73.7341432342227</v>
      </c>
      <c r="D820" s="425" t="n">
        <v>72.85839733226032</v>
      </c>
      <c r="E820" s="425" t="n">
        <v>73.23915863037109</v>
      </c>
      <c r="F820" s="207" t="n">
        <v>6363500</v>
      </c>
      <c r="G820" s="208" t="n">
        <v>6.665366023295149e-05</v>
      </c>
      <c r="H820" s="209" cm="1">
        <f t="array" ref="H820">IF(ROW()&lt;3,"",E820/INDEX(E:E,ROW()-1)-1)</f>
        <v/>
      </c>
      <c r="I820" s="211">
        <f>IF(ROW()&lt;51,NA(),AVERAGE(INDEX(E:E,ROW()-49):E820))</f>
        <v/>
      </c>
      <c r="J820" s="211">
        <f>IF(ROW()&lt;201,NA(),AVERAGE(INDEX(E:E,ROW()-199):E820))</f>
        <v/>
      </c>
      <c r="K820" s="341">
        <f>IF(ROW()&lt;22,NA(),_xlfn.STDEV.S(INDEX(H:H,ROW()-19):H820)*SQRT(252))</f>
        <v/>
      </c>
      <c r="L820" s="426" cm="1">
        <f t="array" ref="L820">IF(ROW()&lt;17,NA(),_xlfn.LET(_xlpm.d,INDEX(E:E,ROW()-13):E820-INDEX(E:E,ROW()-14):INDEX(E:E,ROW()-1),_xlpm.g,SUM(IF(_xlpm.d&gt;0,_xlpm.d,0)),_xlpm.l,-SUM(IF(_xlpm.d&lt;0,_xlpm.d,0)),IF(_xlpm.l=0,100,100-100/(1+_xlpm.g/_xlpm.l))))</f>
        <v/>
      </c>
      <c r="M820" s="211">
        <f>MAX($E$2:E820)</f>
        <v/>
      </c>
      <c r="N820" s="341">
        <f>E820/M820-1</f>
        <v/>
      </c>
    </row>
    <row r="821">
      <c r="A821" s="424" t="n">
        <v>45653</v>
      </c>
      <c r="B821" s="425" t="n">
        <v>72.83935201785292</v>
      </c>
      <c r="C821" s="425" t="n">
        <v>73.22963432813971</v>
      </c>
      <c r="D821" s="425" t="n">
        <v>72.15399042678341</v>
      </c>
      <c r="E821" s="425" t="n">
        <v>72.74416351318359</v>
      </c>
      <c r="F821" s="207" t="n">
        <v>6334400</v>
      </c>
      <c r="G821" s="208" t="n">
        <v>-0.01052654020495047</v>
      </c>
      <c r="H821" s="209" cm="1">
        <f t="array" ref="H821">IF(ROW()&lt;3,"",E821/INDEX(E:E,ROW()-1)-1)</f>
        <v/>
      </c>
      <c r="I821" s="211">
        <f>IF(ROW()&lt;51,NA(),AVERAGE(INDEX(E:E,ROW()-49):E821))</f>
        <v/>
      </c>
      <c r="J821" s="211">
        <f>IF(ROW()&lt;201,NA(),AVERAGE(INDEX(E:E,ROW()-199):E821))</f>
        <v/>
      </c>
      <c r="K821" s="341">
        <f>IF(ROW()&lt;22,NA(),_xlfn.STDEV.S(INDEX(H:H,ROW()-19):H821)*SQRT(252))</f>
        <v/>
      </c>
      <c r="L821" s="426" cm="1">
        <f t="array" ref="L821">IF(ROW()&lt;17,NA(),_xlfn.LET(_xlpm.d,INDEX(E:E,ROW()-13):E821-INDEX(E:E,ROW()-14):INDEX(E:E,ROW()-1),_xlpm.g,SUM(IF(_xlpm.d&gt;0,_xlpm.d,0)),_xlpm.l,-SUM(IF(_xlpm.d&lt;0,_xlpm.d,0)),IF(_xlpm.l=0,100,100-100/(1+_xlpm.g/_xlpm.l))))</f>
        <v/>
      </c>
      <c r="M821" s="211">
        <f>MAX($E$2:E821)</f>
        <v/>
      </c>
      <c r="N821" s="341">
        <f>E821/M821-1</f>
        <v/>
      </c>
    </row>
    <row r="822">
      <c r="A822" s="424" t="n">
        <v>45656</v>
      </c>
      <c r="B822" s="425" t="n">
        <v>71.96361268310295</v>
      </c>
      <c r="C822" s="425" t="n">
        <v>72.1254338819619</v>
      </c>
      <c r="D822" s="425" t="n">
        <v>70.96412239978174</v>
      </c>
      <c r="E822" s="425" t="n">
        <v>71.05931091308594</v>
      </c>
      <c r="F822" s="207" t="n">
        <v>9042900</v>
      </c>
      <c r="G822" s="208" t="n">
        <v>-0.01141147366500939</v>
      </c>
      <c r="H822" s="209" cm="1">
        <f t="array" ref="H822">IF(ROW()&lt;3,"",E822/INDEX(E:E,ROW()-1)-1)</f>
        <v/>
      </c>
      <c r="I822" s="211">
        <f>IF(ROW()&lt;51,NA(),AVERAGE(INDEX(E:E,ROW()-49):E822))</f>
        <v/>
      </c>
      <c r="J822" s="211">
        <f>IF(ROW()&lt;201,NA(),AVERAGE(INDEX(E:E,ROW()-199):E822))</f>
        <v/>
      </c>
      <c r="K822" s="341">
        <f>IF(ROW()&lt;22,NA(),_xlfn.STDEV.S(INDEX(H:H,ROW()-19):H822)*SQRT(252))</f>
        <v/>
      </c>
      <c r="L822" s="426" cm="1">
        <f t="array" ref="L822">IF(ROW()&lt;17,NA(),_xlfn.LET(_xlpm.d,INDEX(E:E,ROW()-13):E822-INDEX(E:E,ROW()-14):INDEX(E:E,ROW()-1),_xlpm.g,SUM(IF(_xlpm.d&gt;0,_xlpm.d,0)),_xlpm.l,-SUM(IF(_xlpm.d&lt;0,_xlpm.d,0)),IF(_xlpm.l=0,100,100-100/(1+_xlpm.g/_xlpm.l))))</f>
        <v/>
      </c>
      <c r="M822" s="211">
        <f>MAX($E$2:E822)</f>
        <v/>
      </c>
      <c r="N822" s="341">
        <f>E822/M822-1</f>
        <v/>
      </c>
    </row>
    <row r="823">
      <c r="A823" s="424" t="n">
        <v>45657</v>
      </c>
      <c r="B823" s="425" t="n">
        <v>71.29729095549726</v>
      </c>
      <c r="C823" s="425" t="n">
        <v>72.71561951426959</v>
      </c>
      <c r="D823" s="425" t="n">
        <v>71.18306037386553</v>
      </c>
      <c r="E823" s="425" t="n">
        <v>72.03025054931641</v>
      </c>
      <c r="F823" s="207" t="n">
        <v>9425600</v>
      </c>
      <c r="G823" s="208" t="n">
        <v>-0.003638176487161693</v>
      </c>
      <c r="H823" s="209" cm="1">
        <f t="array" ref="H823">IF(ROW()&lt;3,"",E823/INDEX(E:E,ROW()-1)-1)</f>
        <v/>
      </c>
      <c r="I823" s="211">
        <f>IF(ROW()&lt;51,NA(),AVERAGE(INDEX(E:E,ROW()-49):E823))</f>
        <v/>
      </c>
      <c r="J823" s="211">
        <f>IF(ROW()&lt;201,NA(),AVERAGE(INDEX(E:E,ROW()-199):E823))</f>
        <v/>
      </c>
      <c r="K823" s="341">
        <f>IF(ROW()&lt;22,NA(),_xlfn.STDEV.S(INDEX(H:H,ROW()-19):H823)*SQRT(252))</f>
        <v/>
      </c>
      <c r="L823" s="426" cm="1">
        <f t="array" ref="L823">IF(ROW()&lt;17,NA(),_xlfn.LET(_xlpm.d,INDEX(E:E,ROW()-13):E823-INDEX(E:E,ROW()-14):INDEX(E:E,ROW()-1),_xlpm.g,SUM(IF(_xlpm.d&gt;0,_xlpm.d,0)),_xlpm.l,-SUM(IF(_xlpm.d&lt;0,_xlpm.d,0)),IF(_xlpm.l=0,100,100-100/(1+_xlpm.g/_xlpm.l))))</f>
        <v/>
      </c>
      <c r="M823" s="211">
        <f>MAX($E$2:E823)</f>
        <v/>
      </c>
      <c r="N823" s="341">
        <f>E823/M823-1</f>
        <v/>
      </c>
    </row>
    <row r="824">
      <c r="A824" s="424" t="n">
        <v>45659</v>
      </c>
      <c r="B824" s="425" t="n">
        <v>72.58235256896333</v>
      </c>
      <c r="C824" s="425" t="n">
        <v>73.00119076349911</v>
      </c>
      <c r="D824" s="425" t="n">
        <v>69.71713242096054</v>
      </c>
      <c r="E824" s="425" t="n">
        <v>70.12644958496094</v>
      </c>
      <c r="F824" s="207" t="n">
        <v>10883400</v>
      </c>
      <c r="G824" s="208" t="n">
        <v>-0.002457066899882232</v>
      </c>
      <c r="H824" s="209" cm="1">
        <f t="array" ref="H824">IF(ROW()&lt;3,"",E824/INDEX(E:E,ROW()-1)-1)</f>
        <v/>
      </c>
      <c r="I824" s="211">
        <f>IF(ROW()&lt;51,NA(),AVERAGE(INDEX(E:E,ROW()-49):E824))</f>
        <v/>
      </c>
      <c r="J824" s="211">
        <f>IF(ROW()&lt;201,NA(),AVERAGE(INDEX(E:E,ROW()-199):E824))</f>
        <v/>
      </c>
      <c r="K824" s="341">
        <f>IF(ROW()&lt;22,NA(),_xlfn.STDEV.S(INDEX(H:H,ROW()-19):H824)*SQRT(252))</f>
        <v/>
      </c>
      <c r="L824" s="426" cm="1">
        <f t="array" ref="L824">IF(ROW()&lt;17,NA(),_xlfn.LET(_xlpm.d,INDEX(E:E,ROW()-13):E824-INDEX(E:E,ROW()-14):INDEX(E:E,ROW()-1),_xlpm.g,SUM(IF(_xlpm.d&gt;0,_xlpm.d,0)),_xlpm.l,-SUM(IF(_xlpm.d&lt;0,_xlpm.d,0)),IF(_xlpm.l=0,100,100-100/(1+_xlpm.g/_xlpm.l))))</f>
        <v/>
      </c>
      <c r="M824" s="211">
        <f>MAX($E$2:E824)</f>
        <v/>
      </c>
      <c r="N824" s="341">
        <f>E824/M824-1</f>
        <v/>
      </c>
    </row>
    <row r="825">
      <c r="A825" s="424" t="n">
        <v>45660</v>
      </c>
      <c r="B825" s="425" t="n">
        <v>70.36442712329416</v>
      </c>
      <c r="C825" s="425" t="n">
        <v>70.62144412036082</v>
      </c>
      <c r="D825" s="425" t="n">
        <v>69.49820213529964</v>
      </c>
      <c r="E825" s="425" t="n">
        <v>69.78376770019531</v>
      </c>
      <c r="F825" s="207" t="n">
        <v>10083500</v>
      </c>
      <c r="G825" s="208" t="n">
        <v>0.01250347688416253</v>
      </c>
      <c r="H825" s="209" cm="1">
        <f t="array" ref="H825">IF(ROW()&lt;3,"",E825/INDEX(E:E,ROW()-1)-1)</f>
        <v/>
      </c>
      <c r="I825" s="211">
        <f>IF(ROW()&lt;51,NA(),AVERAGE(INDEX(E:E,ROW()-49):E825))</f>
        <v/>
      </c>
      <c r="J825" s="211">
        <f>IF(ROW()&lt;201,NA(),AVERAGE(INDEX(E:E,ROW()-199):E825))</f>
        <v/>
      </c>
      <c r="K825" s="341">
        <f>IF(ROW()&lt;22,NA(),_xlfn.STDEV.S(INDEX(H:H,ROW()-19):H825)*SQRT(252))</f>
        <v/>
      </c>
      <c r="L825" s="426" cm="1">
        <f t="array" ref="L825">IF(ROW()&lt;17,NA(),_xlfn.LET(_xlpm.d,INDEX(E:E,ROW()-13):E825-INDEX(E:E,ROW()-14):INDEX(E:E,ROW()-1),_xlpm.g,SUM(IF(_xlpm.d&gt;0,_xlpm.d,0)),_xlpm.l,-SUM(IF(_xlpm.d&lt;0,_xlpm.d,0)),IF(_xlpm.l=0,100,100-100/(1+_xlpm.g/_xlpm.l))))</f>
        <v/>
      </c>
      <c r="M825" s="211">
        <f>MAX($E$2:E825)</f>
        <v/>
      </c>
      <c r="N825" s="341">
        <f>E825/M825-1</f>
        <v/>
      </c>
    </row>
    <row r="826">
      <c r="A826" s="424" t="n">
        <v>45663</v>
      </c>
      <c r="B826" s="425" t="n">
        <v>70.20259804195828</v>
      </c>
      <c r="C826" s="425" t="n">
        <v>70.74518054310789</v>
      </c>
      <c r="D826" s="425" t="n">
        <v>68.50821785459347</v>
      </c>
      <c r="E826" s="425" t="n">
        <v>68.53677368164062</v>
      </c>
      <c r="F826" s="207" t="n">
        <v>14947300</v>
      </c>
      <c r="G826" s="208" t="n">
        <v>0.005760621688336354</v>
      </c>
      <c r="H826" s="209" cm="1">
        <f t="array" ref="H826">IF(ROW()&lt;3,"",E826/INDEX(E:E,ROW()-1)-1)</f>
        <v/>
      </c>
      <c r="I826" s="211">
        <f>IF(ROW()&lt;51,NA(),AVERAGE(INDEX(E:E,ROW()-49):E826))</f>
        <v/>
      </c>
      <c r="J826" s="211">
        <f>IF(ROW()&lt;201,NA(),AVERAGE(INDEX(E:E,ROW()-199):E826))</f>
        <v/>
      </c>
      <c r="K826" s="341">
        <f>IF(ROW()&lt;22,NA(),_xlfn.STDEV.S(INDEX(H:H,ROW()-19):H826)*SQRT(252))</f>
        <v/>
      </c>
      <c r="L826" s="426" cm="1">
        <f t="array" ref="L826">IF(ROW()&lt;17,NA(),_xlfn.LET(_xlpm.d,INDEX(E:E,ROW()-13):E826-INDEX(E:E,ROW()-14):INDEX(E:E,ROW()-1),_xlpm.g,SUM(IF(_xlpm.d&gt;0,_xlpm.d,0)),_xlpm.l,-SUM(IF(_xlpm.d&lt;0,_xlpm.d,0)),IF(_xlpm.l=0,100,100-100/(1+_xlpm.g/_xlpm.l))))</f>
        <v/>
      </c>
      <c r="M826" s="211">
        <f>MAX($E$2:E826)</f>
        <v/>
      </c>
      <c r="N826" s="341">
        <f>E826/M826-1</f>
        <v/>
      </c>
    </row>
    <row r="827">
      <c r="A827" s="424" t="n">
        <v>45664</v>
      </c>
      <c r="B827" s="425" t="n">
        <v>68.91753799081899</v>
      </c>
      <c r="C827" s="425" t="n">
        <v>69.90751452529078</v>
      </c>
      <c r="D827" s="425" t="n">
        <v>68.51774186990293</v>
      </c>
      <c r="E827" s="425" t="n">
        <v>68.62244415283203</v>
      </c>
      <c r="F827" s="207" t="n">
        <v>10463500</v>
      </c>
      <c r="G827" s="208" t="n">
        <v>-0.01130410058496156</v>
      </c>
      <c r="H827" s="209" cm="1">
        <f t="array" ref="H827">IF(ROW()&lt;3,"",E827/INDEX(E:E,ROW()-1)-1)</f>
        <v/>
      </c>
      <c r="I827" s="211">
        <f>IF(ROW()&lt;51,NA(),AVERAGE(INDEX(E:E,ROW()-49):E827))</f>
        <v/>
      </c>
      <c r="J827" s="211">
        <f>IF(ROW()&lt;201,NA(),AVERAGE(INDEX(E:E,ROW()-199):E827))</f>
        <v/>
      </c>
      <c r="K827" s="341">
        <f>IF(ROW()&lt;22,NA(),_xlfn.STDEV.S(INDEX(H:H,ROW()-19):H827)*SQRT(252))</f>
        <v/>
      </c>
      <c r="L827" s="426" cm="1">
        <f t="array" ref="L827">IF(ROW()&lt;17,NA(),_xlfn.LET(_xlpm.d,INDEX(E:E,ROW()-13):E827-INDEX(E:E,ROW()-14):INDEX(E:E,ROW()-1),_xlpm.g,SUM(IF(_xlpm.d&gt;0,_xlpm.d,0)),_xlpm.l,-SUM(IF(_xlpm.d&lt;0,_xlpm.d,0)),IF(_xlpm.l=0,100,100-100/(1+_xlpm.g/_xlpm.l))))</f>
        <v/>
      </c>
      <c r="M827" s="211">
        <f>MAX($E$2:E827)</f>
        <v/>
      </c>
      <c r="N827" s="341">
        <f>E827/M827-1</f>
        <v/>
      </c>
    </row>
    <row r="828">
      <c r="A828" s="424" t="n">
        <v>45665</v>
      </c>
      <c r="B828" s="425" t="n">
        <v>68.11794112347428</v>
      </c>
      <c r="C828" s="425" t="n">
        <v>68.36543708227757</v>
      </c>
      <c r="D828" s="425" t="n">
        <v>67.59440063888935</v>
      </c>
      <c r="E828" s="425" t="n">
        <v>67.86093139648438</v>
      </c>
      <c r="F828" s="207" t="n">
        <v>11855000</v>
      </c>
      <c r="G828" s="208" t="n">
        <v>0.001461150523878407</v>
      </c>
      <c r="H828" s="209" cm="1">
        <f t="array" ref="H828">IF(ROW()&lt;3,"",E828/INDEX(E:E,ROW()-1)-1)</f>
        <v/>
      </c>
      <c r="I828" s="211">
        <f>IF(ROW()&lt;51,NA(),AVERAGE(INDEX(E:E,ROW()-49):E828))</f>
        <v/>
      </c>
      <c r="J828" s="211">
        <f>IF(ROW()&lt;201,NA(),AVERAGE(INDEX(E:E,ROW()-199):E828))</f>
        <v/>
      </c>
      <c r="K828" s="341">
        <f>IF(ROW()&lt;22,NA(),_xlfn.STDEV.S(INDEX(H:H,ROW()-19):H828)*SQRT(252))</f>
        <v/>
      </c>
      <c r="L828" s="426" cm="1">
        <f t="array" ref="L828">IF(ROW()&lt;17,NA(),_xlfn.LET(_xlpm.d,INDEX(E:E,ROW()-13):E828-INDEX(E:E,ROW()-14):INDEX(E:E,ROW()-1),_xlpm.g,SUM(IF(_xlpm.d&gt;0,_xlpm.d,0)),_xlpm.l,-SUM(IF(_xlpm.d&lt;0,_xlpm.d,0)),IF(_xlpm.l=0,100,100-100/(1+_xlpm.g/_xlpm.l))))</f>
        <v/>
      </c>
      <c r="M828" s="211">
        <f>MAX($E$2:E828)</f>
        <v/>
      </c>
      <c r="N828" s="341">
        <f>E828/M828-1</f>
        <v/>
      </c>
    </row>
    <row r="829">
      <c r="A829" s="424" t="n">
        <v>45667</v>
      </c>
      <c r="B829" s="425" t="n">
        <v>68.39398953111468</v>
      </c>
      <c r="C829" s="425" t="n">
        <v>68.9080162221058</v>
      </c>
      <c r="D829" s="425" t="n">
        <v>67.67054375167332</v>
      </c>
      <c r="E829" s="425" t="n">
        <v>67.77525329589844</v>
      </c>
      <c r="F829" s="207" t="n">
        <v>15677400</v>
      </c>
      <c r="G829" s="208" t="n">
        <v>-0.01526754306322131</v>
      </c>
      <c r="H829" s="209" cm="1">
        <f t="array" ref="H829">IF(ROW()&lt;3,"",E829/INDEX(E:E,ROW()-1)-1)</f>
        <v/>
      </c>
      <c r="I829" s="211">
        <f>IF(ROW()&lt;51,NA(),AVERAGE(INDEX(E:E,ROW()-49):E829))</f>
        <v/>
      </c>
      <c r="J829" s="211">
        <f>IF(ROW()&lt;201,NA(),AVERAGE(INDEX(E:E,ROW()-199):E829))</f>
        <v/>
      </c>
      <c r="K829" s="341">
        <f>IF(ROW()&lt;22,NA(),_xlfn.STDEV.S(INDEX(H:H,ROW()-19):H829)*SQRT(252))</f>
        <v/>
      </c>
      <c r="L829" s="426" cm="1">
        <f t="array" ref="L829">IF(ROW()&lt;17,NA(),_xlfn.LET(_xlpm.d,INDEX(E:E,ROW()-13):E829-INDEX(E:E,ROW()-14):INDEX(E:E,ROW()-1),_xlpm.g,SUM(IF(_xlpm.d&gt;0,_xlpm.d,0)),_xlpm.l,-SUM(IF(_xlpm.d&lt;0,_xlpm.d,0)),IF(_xlpm.l=0,100,100-100/(1+_xlpm.g/_xlpm.l))))</f>
        <v/>
      </c>
      <c r="M829" s="211">
        <f>MAX($E$2:E829)</f>
        <v/>
      </c>
      <c r="N829" s="341">
        <f>E829/M829-1</f>
        <v/>
      </c>
    </row>
    <row r="830">
      <c r="A830" s="424" t="n">
        <v>45670</v>
      </c>
      <c r="B830" s="425" t="n">
        <v>67.74669057480824</v>
      </c>
      <c r="C830" s="425" t="n">
        <v>69.10790724881537</v>
      </c>
      <c r="D830" s="425" t="n">
        <v>67.37545032393514</v>
      </c>
      <c r="E830" s="425" t="n">
        <v>68.61292266845703</v>
      </c>
      <c r="F830" s="207" t="n">
        <v>14584300</v>
      </c>
      <c r="G830" s="208" t="n">
        <v>0.001550468378249903</v>
      </c>
      <c r="H830" s="209" cm="1">
        <f t="array" ref="H830">IF(ROW()&lt;3,"",E830/INDEX(E:E,ROW()-1)-1)</f>
        <v/>
      </c>
      <c r="I830" s="211">
        <f>IF(ROW()&lt;51,NA(),AVERAGE(INDEX(E:E,ROW()-49):E830))</f>
        <v/>
      </c>
      <c r="J830" s="211">
        <f>IF(ROW()&lt;201,NA(),AVERAGE(INDEX(E:E,ROW()-199):E830))</f>
        <v/>
      </c>
      <c r="K830" s="341">
        <f>IF(ROW()&lt;22,NA(),_xlfn.STDEV.S(INDEX(H:H,ROW()-19):H830)*SQRT(252))</f>
        <v/>
      </c>
      <c r="L830" s="426" cm="1">
        <f t="array" ref="L830">IF(ROW()&lt;17,NA(),_xlfn.LET(_xlpm.d,INDEX(E:E,ROW()-13):E830-INDEX(E:E,ROW()-14):INDEX(E:E,ROW()-1),_xlpm.g,SUM(IF(_xlpm.d&gt;0,_xlpm.d,0)),_xlpm.l,-SUM(IF(_xlpm.d&lt;0,_xlpm.d,0)),IF(_xlpm.l=0,100,100-100/(1+_xlpm.g/_xlpm.l))))</f>
        <v/>
      </c>
      <c r="M830" s="211">
        <f>MAX($E$2:E830)</f>
        <v/>
      </c>
      <c r="N830" s="341">
        <f>E830/M830-1</f>
        <v/>
      </c>
    </row>
    <row r="831">
      <c r="A831" s="424" t="n">
        <v>45671</v>
      </c>
      <c r="B831" s="425" t="n">
        <v>68.60341533710216</v>
      </c>
      <c r="C831" s="425" t="n">
        <v>68.7366807223618</v>
      </c>
      <c r="D831" s="425" t="n">
        <v>67.13748883682736</v>
      </c>
      <c r="E831" s="425" t="n">
        <v>67.7467041015625</v>
      </c>
      <c r="F831" s="207" t="n">
        <v>16732900</v>
      </c>
      <c r="G831" s="208" t="n">
        <v>0.001376048681829944</v>
      </c>
      <c r="H831" s="209" cm="1">
        <f t="array" ref="H831">IF(ROW()&lt;3,"",E831/INDEX(E:E,ROW()-1)-1)</f>
        <v/>
      </c>
      <c r="I831" s="211">
        <f>IF(ROW()&lt;51,NA(),AVERAGE(INDEX(E:E,ROW()-49):E831))</f>
        <v/>
      </c>
      <c r="J831" s="211">
        <f>IF(ROW()&lt;201,NA(),AVERAGE(INDEX(E:E,ROW()-199):E831))</f>
        <v/>
      </c>
      <c r="K831" s="341">
        <f>IF(ROW()&lt;22,NA(),_xlfn.STDEV.S(INDEX(H:H,ROW()-19):H831)*SQRT(252))</f>
        <v/>
      </c>
      <c r="L831" s="426" cm="1">
        <f t="array" ref="L831">IF(ROW()&lt;17,NA(),_xlfn.LET(_xlpm.d,INDEX(E:E,ROW()-13):E831-INDEX(E:E,ROW()-14):INDEX(E:E,ROW()-1),_xlpm.g,SUM(IF(_xlpm.d&gt;0,_xlpm.d,0)),_xlpm.l,-SUM(IF(_xlpm.d&lt;0,_xlpm.d,0)),IF(_xlpm.l=0,100,100-100/(1+_xlpm.g/_xlpm.l))))</f>
        <v/>
      </c>
      <c r="M831" s="211">
        <f>MAX($E$2:E831)</f>
        <v/>
      </c>
      <c r="N831" s="341">
        <f>E831/M831-1</f>
        <v/>
      </c>
    </row>
    <row r="832">
      <c r="A832" s="424" t="n">
        <v>45672</v>
      </c>
      <c r="B832" s="425" t="n">
        <v>68.52725040866467</v>
      </c>
      <c r="C832" s="425" t="n">
        <v>68.77474633900169</v>
      </c>
      <c r="D832" s="425" t="n">
        <v>67.43256441237698</v>
      </c>
      <c r="E832" s="425" t="n">
        <v>67.65150451660156</v>
      </c>
      <c r="F832" s="207" t="n">
        <v>13468100</v>
      </c>
      <c r="G832" s="208" t="n">
        <v>0.01818976546959039</v>
      </c>
      <c r="H832" s="209" cm="1">
        <f t="array" ref="H832">IF(ROW()&lt;3,"",E832/INDEX(E:E,ROW()-1)-1)</f>
        <v/>
      </c>
      <c r="I832" s="211">
        <f>IF(ROW()&lt;51,NA(),AVERAGE(INDEX(E:E,ROW()-49):E832))</f>
        <v/>
      </c>
      <c r="J832" s="211">
        <f>IF(ROW()&lt;201,NA(),AVERAGE(INDEX(E:E,ROW()-199):E832))</f>
        <v/>
      </c>
      <c r="K832" s="341">
        <f>IF(ROW()&lt;22,NA(),_xlfn.STDEV.S(INDEX(H:H,ROW()-19):H832)*SQRT(252))</f>
        <v/>
      </c>
      <c r="L832" s="426" cm="1">
        <f t="array" ref="L832">IF(ROW()&lt;17,NA(),_xlfn.LET(_xlpm.d,INDEX(E:E,ROW()-13):E832-INDEX(E:E,ROW()-14):INDEX(E:E,ROW()-1),_xlpm.g,SUM(IF(_xlpm.d&gt;0,_xlpm.d,0)),_xlpm.l,-SUM(IF(_xlpm.d&lt;0,_xlpm.d,0)),IF(_xlpm.l=0,100,100-100/(1+_xlpm.g/_xlpm.l))))</f>
        <v/>
      </c>
      <c r="M832" s="211">
        <f>MAX($E$2:E832)</f>
        <v/>
      </c>
      <c r="N832" s="341">
        <f>E832/M832-1</f>
        <v/>
      </c>
    </row>
    <row r="833">
      <c r="A833" s="424" t="n">
        <v>45673</v>
      </c>
      <c r="B833" s="425" t="n">
        <v>67.48968477521306</v>
      </c>
      <c r="C833" s="425" t="n">
        <v>67.8038133940255</v>
      </c>
      <c r="D833" s="425" t="n">
        <v>66.93758125046716</v>
      </c>
      <c r="E833" s="425" t="n">
        <v>67.68958282470703</v>
      </c>
      <c r="F833" s="207" t="n">
        <v>13694600</v>
      </c>
      <c r="G833" s="208" t="n">
        <v>-0.001923048051634346</v>
      </c>
      <c r="H833" s="209" cm="1">
        <f t="array" ref="H833">IF(ROW()&lt;3,"",E833/INDEX(E:E,ROW()-1)-1)</f>
        <v/>
      </c>
      <c r="I833" s="211">
        <f>IF(ROW()&lt;51,NA(),AVERAGE(INDEX(E:E,ROW()-49):E833))</f>
        <v/>
      </c>
      <c r="J833" s="211">
        <f>IF(ROW()&lt;201,NA(),AVERAGE(INDEX(E:E,ROW()-199):E833))</f>
        <v/>
      </c>
      <c r="K833" s="341">
        <f>IF(ROW()&lt;22,NA(),_xlfn.STDEV.S(INDEX(H:H,ROW()-19):H833)*SQRT(252))</f>
        <v/>
      </c>
      <c r="L833" s="426" cm="1">
        <f t="array" ref="L833">IF(ROW()&lt;17,NA(),_xlfn.LET(_xlpm.d,INDEX(E:E,ROW()-13):E833-INDEX(E:E,ROW()-14):INDEX(E:E,ROW()-1),_xlpm.g,SUM(IF(_xlpm.d&gt;0,_xlpm.d,0)),_xlpm.l,-SUM(IF(_xlpm.d&lt;0,_xlpm.d,0)),IF(_xlpm.l=0,100,100-100/(1+_xlpm.g/_xlpm.l))))</f>
        <v/>
      </c>
      <c r="M833" s="211">
        <f>MAX($E$2:E833)</f>
        <v/>
      </c>
      <c r="N833" s="341">
        <f>E833/M833-1</f>
        <v/>
      </c>
    </row>
    <row r="834">
      <c r="A834" s="424" t="n">
        <v>45674</v>
      </c>
      <c r="B834" s="425" t="n">
        <v>67.99418831889477</v>
      </c>
      <c r="C834" s="425" t="n">
        <v>68.07985579643085</v>
      </c>
      <c r="D834" s="425" t="n">
        <v>67.43256378173828</v>
      </c>
      <c r="E834" s="425" t="n">
        <v>67.43256378173828</v>
      </c>
      <c r="F834" s="207" t="n">
        <v>9711300</v>
      </c>
      <c r="G834" s="208" t="n">
        <v>0.01003990252734233</v>
      </c>
      <c r="H834" s="209" cm="1">
        <f t="array" ref="H834">IF(ROW()&lt;3,"",E834/INDEX(E:E,ROW()-1)-1)</f>
        <v/>
      </c>
      <c r="I834" s="211">
        <f>IF(ROW()&lt;51,NA(),AVERAGE(INDEX(E:E,ROW()-49):E834))</f>
        <v/>
      </c>
      <c r="J834" s="211">
        <f>IF(ROW()&lt;201,NA(),AVERAGE(INDEX(E:E,ROW()-199):E834))</f>
        <v/>
      </c>
      <c r="K834" s="341">
        <f>IF(ROW()&lt;22,NA(),_xlfn.STDEV.S(INDEX(H:H,ROW()-19):H834)*SQRT(252))</f>
        <v/>
      </c>
      <c r="L834" s="426" cm="1">
        <f t="array" ref="L834">IF(ROW()&lt;17,NA(),_xlfn.LET(_xlpm.d,INDEX(E:E,ROW()-13):E834-INDEX(E:E,ROW()-14):INDEX(E:E,ROW()-1),_xlpm.g,SUM(IF(_xlpm.d&gt;0,_xlpm.d,0)),_xlpm.l,-SUM(IF(_xlpm.d&lt;0,_xlpm.d,0)),IF(_xlpm.l=0,100,100-100/(1+_xlpm.g/_xlpm.l))))</f>
        <v/>
      </c>
      <c r="M834" s="211">
        <f>MAX($E$2:E834)</f>
        <v/>
      </c>
      <c r="N834" s="341">
        <f>E834/M834-1</f>
        <v/>
      </c>
    </row>
    <row r="835">
      <c r="A835" s="424" t="n">
        <v>45678</v>
      </c>
      <c r="B835" s="425" t="n">
        <v>67.87045712766083</v>
      </c>
      <c r="C835" s="425" t="n">
        <v>69.74569359130612</v>
      </c>
      <c r="D835" s="425" t="n">
        <v>67.71814967710462</v>
      </c>
      <c r="E835" s="425" t="n">
        <v>69.65050506591797</v>
      </c>
      <c r="F835" s="207" t="n">
        <v>14199900</v>
      </c>
      <c r="G835" s="208" t="n">
        <v>0.009153402918024689</v>
      </c>
      <c r="H835" s="209" cm="1">
        <f t="array" ref="H835">IF(ROW()&lt;3,"",E835/INDEX(E:E,ROW()-1)-1)</f>
        <v/>
      </c>
      <c r="I835" s="211">
        <f>IF(ROW()&lt;51,NA(),AVERAGE(INDEX(E:E,ROW()-49):E835))</f>
        <v/>
      </c>
      <c r="J835" s="211">
        <f>IF(ROW()&lt;201,NA(),AVERAGE(INDEX(E:E,ROW()-199):E835))</f>
        <v/>
      </c>
      <c r="K835" s="341">
        <f>IF(ROW()&lt;22,NA(),_xlfn.STDEV.S(INDEX(H:H,ROW()-19):H835)*SQRT(252))</f>
        <v/>
      </c>
      <c r="L835" s="426" cm="1">
        <f t="array" ref="L835">IF(ROW()&lt;17,NA(),_xlfn.LET(_xlpm.d,INDEX(E:E,ROW()-13):E835-INDEX(E:E,ROW()-14):INDEX(E:E,ROW()-1),_xlpm.g,SUM(IF(_xlpm.d&gt;0,_xlpm.d,0)),_xlpm.l,-SUM(IF(_xlpm.d&lt;0,_xlpm.d,0)),IF(_xlpm.l=0,100,100-100/(1+_xlpm.g/_xlpm.l))))</f>
        <v/>
      </c>
      <c r="M835" s="211">
        <f>MAX($E$2:E835)</f>
        <v/>
      </c>
      <c r="N835" s="341">
        <f>E835/M835-1</f>
        <v/>
      </c>
    </row>
    <row r="836">
      <c r="A836" s="424" t="n">
        <v>45679</v>
      </c>
      <c r="B836" s="425" t="n">
        <v>69.85040324272779</v>
      </c>
      <c r="C836" s="425" t="n">
        <v>71.1069106618454</v>
      </c>
      <c r="D836" s="425" t="n">
        <v>69.49820497207192</v>
      </c>
      <c r="E836" s="425" t="n">
        <v>70.47866058349609</v>
      </c>
      <c r="F836" s="207" t="n">
        <v>13029300</v>
      </c>
      <c r="G836" s="208" t="n">
        <v>0.005621669506018723</v>
      </c>
      <c r="H836" s="209" cm="1">
        <f t="array" ref="H836">IF(ROW()&lt;3,"",E836/INDEX(E:E,ROW()-1)-1)</f>
        <v/>
      </c>
      <c r="I836" s="211">
        <f>IF(ROW()&lt;51,NA(),AVERAGE(INDEX(E:E,ROW()-49):E836))</f>
        <v/>
      </c>
      <c r="J836" s="211">
        <f>IF(ROW()&lt;201,NA(),AVERAGE(INDEX(E:E,ROW()-199):E836))</f>
        <v/>
      </c>
      <c r="K836" s="341">
        <f>IF(ROW()&lt;22,NA(),_xlfn.STDEV.S(INDEX(H:H,ROW()-19):H836)*SQRT(252))</f>
        <v/>
      </c>
      <c r="L836" s="426" cm="1">
        <f t="array" ref="L836">IF(ROW()&lt;17,NA(),_xlfn.LET(_xlpm.d,INDEX(E:E,ROW()-13):E836-INDEX(E:E,ROW()-14):INDEX(E:E,ROW()-1),_xlpm.g,SUM(IF(_xlpm.d&gt;0,_xlpm.d,0)),_xlpm.l,-SUM(IF(_xlpm.d&lt;0,_xlpm.d,0)),IF(_xlpm.l=0,100,100-100/(1+_xlpm.g/_xlpm.l))))</f>
        <v/>
      </c>
      <c r="M836" s="211">
        <f>MAX($E$2:E836)</f>
        <v/>
      </c>
      <c r="N836" s="341">
        <f>E836/M836-1</f>
        <v/>
      </c>
    </row>
    <row r="837">
      <c r="A837" s="424" t="n">
        <v>45680</v>
      </c>
      <c r="B837" s="425" t="n">
        <v>69.81231996298148</v>
      </c>
      <c r="C837" s="425" t="n">
        <v>70.91652709225795</v>
      </c>
      <c r="D837" s="425" t="n">
        <v>68.88898336167473</v>
      </c>
      <c r="E837" s="425" t="n">
        <v>70.71662902832031</v>
      </c>
      <c r="F837" s="207" t="n">
        <v>10677400</v>
      </c>
      <c r="G837" s="208" t="n">
        <v>0.005457860338953013</v>
      </c>
      <c r="H837" s="209" cm="1">
        <f t="array" ref="H837">IF(ROW()&lt;3,"",E837/INDEX(E:E,ROW()-1)-1)</f>
        <v/>
      </c>
      <c r="I837" s="211">
        <f>IF(ROW()&lt;51,NA(),AVERAGE(INDEX(E:E,ROW()-49):E837))</f>
        <v/>
      </c>
      <c r="J837" s="211">
        <f>IF(ROW()&lt;201,NA(),AVERAGE(INDEX(E:E,ROW()-199):E837))</f>
        <v/>
      </c>
      <c r="K837" s="341">
        <f>IF(ROW()&lt;22,NA(),_xlfn.STDEV.S(INDEX(H:H,ROW()-19):H837)*SQRT(252))</f>
        <v/>
      </c>
      <c r="L837" s="426" cm="1">
        <f t="array" ref="L837">IF(ROW()&lt;17,NA(),_xlfn.LET(_xlpm.d,INDEX(E:E,ROW()-13):E837-INDEX(E:E,ROW()-14):INDEX(E:E,ROW()-1),_xlpm.g,SUM(IF(_xlpm.d&gt;0,_xlpm.d,0)),_xlpm.l,-SUM(IF(_xlpm.d&lt;0,_xlpm.d,0)),IF(_xlpm.l=0,100,100-100/(1+_xlpm.g/_xlpm.l))))</f>
        <v/>
      </c>
      <c r="M837" s="211">
        <f>MAX($E$2:E837)</f>
        <v/>
      </c>
      <c r="N837" s="341">
        <f>E837/M837-1</f>
        <v/>
      </c>
    </row>
    <row r="838">
      <c r="A838" s="424" t="n">
        <v>45681</v>
      </c>
      <c r="B838" s="425" t="n">
        <v>70.50720745894388</v>
      </c>
      <c r="C838" s="425" t="n">
        <v>70.67854968807836</v>
      </c>
      <c r="D838" s="425" t="n">
        <v>69.72665002897966</v>
      </c>
      <c r="E838" s="425" t="n">
        <v>70.03125762939453</v>
      </c>
      <c r="F838" s="207" t="n">
        <v>8106700</v>
      </c>
      <c r="G838" s="208" t="n">
        <v>-0.002919165817314329</v>
      </c>
      <c r="H838" s="209" cm="1">
        <f t="array" ref="H838">IF(ROW()&lt;3,"",E838/INDEX(E:E,ROW()-1)-1)</f>
        <v/>
      </c>
      <c r="I838" s="211">
        <f>IF(ROW()&lt;51,NA(),AVERAGE(INDEX(E:E,ROW()-49):E838))</f>
        <v/>
      </c>
      <c r="J838" s="211">
        <f>IF(ROW()&lt;201,NA(),AVERAGE(INDEX(E:E,ROW()-199):E838))</f>
        <v/>
      </c>
      <c r="K838" s="341">
        <f>IF(ROW()&lt;22,NA(),_xlfn.STDEV.S(INDEX(H:H,ROW()-19):H838)*SQRT(252))</f>
        <v/>
      </c>
      <c r="L838" s="426" cm="1">
        <f t="array" ref="L838">IF(ROW()&lt;17,NA(),_xlfn.LET(_xlpm.d,INDEX(E:E,ROW()-13):E838-INDEX(E:E,ROW()-14):INDEX(E:E,ROW()-1),_xlpm.g,SUM(IF(_xlpm.d&gt;0,_xlpm.d,0)),_xlpm.l,-SUM(IF(_xlpm.d&lt;0,_xlpm.d,0)),IF(_xlpm.l=0,100,100-100/(1+_xlpm.g/_xlpm.l))))</f>
        <v/>
      </c>
      <c r="M838" s="211">
        <f>MAX($E$2:E838)</f>
        <v/>
      </c>
      <c r="N838" s="341">
        <f>E838/M838-1</f>
        <v/>
      </c>
    </row>
    <row r="839">
      <c r="A839" s="424" t="n">
        <v>45684</v>
      </c>
      <c r="B839" s="425" t="n">
        <v>69.90750791580081</v>
      </c>
      <c r="C839" s="425" t="n">
        <v>72.20158214147202</v>
      </c>
      <c r="D839" s="425" t="n">
        <v>69.8884658571281</v>
      </c>
      <c r="E839" s="425" t="n">
        <v>71.94457244873047</v>
      </c>
      <c r="F839" s="207" t="n">
        <v>11665400</v>
      </c>
      <c r="G839" s="208" t="n">
        <v>-0.01414537180185482</v>
      </c>
      <c r="H839" s="209" cm="1">
        <f t="array" ref="H839">IF(ROW()&lt;3,"",E839/INDEX(E:E,ROW()-1)-1)</f>
        <v/>
      </c>
      <c r="I839" s="211">
        <f>IF(ROW()&lt;51,NA(),AVERAGE(INDEX(E:E,ROW()-49):E839))</f>
        <v/>
      </c>
      <c r="J839" s="211">
        <f>IF(ROW()&lt;201,NA(),AVERAGE(INDEX(E:E,ROW()-199):E839))</f>
        <v/>
      </c>
      <c r="K839" s="341">
        <f>IF(ROW()&lt;22,NA(),_xlfn.STDEV.S(INDEX(H:H,ROW()-19):H839)*SQRT(252))</f>
        <v/>
      </c>
      <c r="L839" s="426" cm="1">
        <f t="array" ref="L839">IF(ROW()&lt;17,NA(),_xlfn.LET(_xlpm.d,INDEX(E:E,ROW()-13):E839-INDEX(E:E,ROW()-14):INDEX(E:E,ROW()-1),_xlpm.g,SUM(IF(_xlpm.d&gt;0,_xlpm.d,0)),_xlpm.l,-SUM(IF(_xlpm.d&lt;0,_xlpm.d,0)),IF(_xlpm.l=0,100,100-100/(1+_xlpm.g/_xlpm.l))))</f>
        <v/>
      </c>
      <c r="M839" s="211">
        <f>MAX($E$2:E839)</f>
        <v/>
      </c>
      <c r="N839" s="341">
        <f>E839/M839-1</f>
        <v/>
      </c>
    </row>
    <row r="840">
      <c r="A840" s="424" t="n">
        <v>45685</v>
      </c>
      <c r="B840" s="425" t="n">
        <v>71.70660906227644</v>
      </c>
      <c r="C840" s="425" t="n">
        <v>71.96361879627207</v>
      </c>
      <c r="D840" s="425" t="n">
        <v>70.59288811093093</v>
      </c>
      <c r="E840" s="425" t="n">
        <v>70.81182098388672</v>
      </c>
      <c r="F840" s="207" t="n">
        <v>8694400</v>
      </c>
      <c r="G840" s="208" t="n">
        <v>0.008592366591027911</v>
      </c>
      <c r="H840" s="209" cm="1">
        <f t="array" ref="H840">IF(ROW()&lt;3,"",E840/INDEX(E:E,ROW()-1)-1)</f>
        <v/>
      </c>
      <c r="I840" s="211">
        <f>IF(ROW()&lt;51,NA(),AVERAGE(INDEX(E:E,ROW()-49):E840))</f>
        <v/>
      </c>
      <c r="J840" s="211">
        <f>IF(ROW()&lt;201,NA(),AVERAGE(INDEX(E:E,ROW()-199):E840))</f>
        <v/>
      </c>
      <c r="K840" s="341">
        <f>IF(ROW()&lt;22,NA(),_xlfn.STDEV.S(INDEX(H:H,ROW()-19):H840)*SQRT(252))</f>
        <v/>
      </c>
      <c r="L840" s="426" cm="1">
        <f t="array" ref="L840">IF(ROW()&lt;17,NA(),_xlfn.LET(_xlpm.d,INDEX(E:E,ROW()-13):E840-INDEX(E:E,ROW()-14):INDEX(E:E,ROW()-1),_xlpm.g,SUM(IF(_xlpm.d&gt;0,_xlpm.d,0)),_xlpm.l,-SUM(IF(_xlpm.d&lt;0,_xlpm.d,0)),IF(_xlpm.l=0,100,100-100/(1+_xlpm.g/_xlpm.l))))</f>
        <v/>
      </c>
      <c r="M840" s="211">
        <f>MAX($E$2:E840)</f>
        <v/>
      </c>
      <c r="N840" s="341">
        <f>E840/M840-1</f>
        <v/>
      </c>
    </row>
    <row r="841">
      <c r="A841" s="424" t="n">
        <v>45686</v>
      </c>
      <c r="B841" s="425" t="n">
        <v>70.86893326575401</v>
      </c>
      <c r="C841" s="425" t="n">
        <v>73.40099007896978</v>
      </c>
      <c r="D841" s="425" t="n">
        <v>70.74518891310328</v>
      </c>
      <c r="E841" s="425" t="n">
        <v>72.896484375</v>
      </c>
      <c r="F841" s="207" t="n">
        <v>11764800</v>
      </c>
      <c r="G841" s="208" t="n">
        <v>-0.004482877969565591</v>
      </c>
      <c r="H841" s="209" cm="1">
        <f t="array" ref="H841">IF(ROW()&lt;3,"",E841/INDEX(E:E,ROW()-1)-1)</f>
        <v/>
      </c>
      <c r="I841" s="211">
        <f>IF(ROW()&lt;51,NA(),AVERAGE(INDEX(E:E,ROW()-49):E841))</f>
        <v/>
      </c>
      <c r="J841" s="211">
        <f>IF(ROW()&lt;201,NA(),AVERAGE(INDEX(E:E,ROW()-199):E841))</f>
        <v/>
      </c>
      <c r="K841" s="341">
        <f>IF(ROW()&lt;22,NA(),_xlfn.STDEV.S(INDEX(H:H,ROW()-19):H841)*SQRT(252))</f>
        <v/>
      </c>
      <c r="L841" s="426" cm="1">
        <f t="array" ref="L841">IF(ROW()&lt;17,NA(),_xlfn.LET(_xlpm.d,INDEX(E:E,ROW()-13):E841-INDEX(E:E,ROW()-14):INDEX(E:E,ROW()-1),_xlpm.g,SUM(IF(_xlpm.d&gt;0,_xlpm.d,0)),_xlpm.l,-SUM(IF(_xlpm.d&lt;0,_xlpm.d,0)),IF(_xlpm.l=0,100,100-100/(1+_xlpm.g/_xlpm.l))))</f>
        <v/>
      </c>
      <c r="M841" s="211">
        <f>MAX($E$2:E841)</f>
        <v/>
      </c>
      <c r="N841" s="341">
        <f>E841/M841-1</f>
        <v/>
      </c>
    </row>
    <row r="842">
      <c r="A842" s="424" t="n">
        <v>45687</v>
      </c>
      <c r="B842" s="425" t="n">
        <v>73.15348695245383</v>
      </c>
      <c r="C842" s="425" t="n">
        <v>74.98113254502952</v>
      </c>
      <c r="D842" s="425" t="n">
        <v>73.15348695245383</v>
      </c>
      <c r="E842" s="425" t="n">
        <v>74.56230163574219</v>
      </c>
      <c r="F842" s="207" t="n">
        <v>10902100</v>
      </c>
      <c r="G842" s="208" t="n">
        <v>0.0053669664194127</v>
      </c>
      <c r="H842" s="209" cm="1">
        <f t="array" ref="H842">IF(ROW()&lt;3,"",E842/INDEX(E:E,ROW()-1)-1)</f>
        <v/>
      </c>
      <c r="I842" s="211">
        <f>IF(ROW()&lt;51,NA(),AVERAGE(INDEX(E:E,ROW()-49):E842))</f>
        <v/>
      </c>
      <c r="J842" s="211">
        <f>IF(ROW()&lt;201,NA(),AVERAGE(INDEX(E:E,ROW()-199):E842))</f>
        <v/>
      </c>
      <c r="K842" s="341">
        <f>IF(ROW()&lt;22,NA(),_xlfn.STDEV.S(INDEX(H:H,ROW()-19):H842)*SQRT(252))</f>
        <v/>
      </c>
      <c r="L842" s="426" cm="1">
        <f t="array" ref="L842">IF(ROW()&lt;17,NA(),_xlfn.LET(_xlpm.d,INDEX(E:E,ROW()-13):E842-INDEX(E:E,ROW()-14):INDEX(E:E,ROW()-1),_xlpm.g,SUM(IF(_xlpm.d&gt;0,_xlpm.d,0)),_xlpm.l,-SUM(IF(_xlpm.d&lt;0,_xlpm.d,0)),IF(_xlpm.l=0,100,100-100/(1+_xlpm.g/_xlpm.l))))</f>
        <v/>
      </c>
      <c r="M842" s="211">
        <f>MAX($E$2:E842)</f>
        <v/>
      </c>
      <c r="N842" s="341">
        <f>E842/M842-1</f>
        <v/>
      </c>
    </row>
    <row r="843">
      <c r="A843" s="424" t="n">
        <v>45688</v>
      </c>
      <c r="B843" s="425" t="n">
        <v>74.35287796095024</v>
      </c>
      <c r="C843" s="425" t="n">
        <v>75.06680265733954</v>
      </c>
      <c r="D843" s="425" t="n">
        <v>73.06781495993303</v>
      </c>
      <c r="E843" s="425" t="n">
        <v>73.20108032226562</v>
      </c>
      <c r="F843" s="207" t="n">
        <v>13098000</v>
      </c>
      <c r="G843" s="208" t="n">
        <v>-0.005321858304584093</v>
      </c>
      <c r="H843" s="209" cm="1">
        <f t="array" ref="H843">IF(ROW()&lt;3,"",E843/INDEX(E:E,ROW()-1)-1)</f>
        <v/>
      </c>
      <c r="I843" s="211">
        <f>IF(ROW()&lt;51,NA(),AVERAGE(INDEX(E:E,ROW()-49):E843))</f>
        <v/>
      </c>
      <c r="J843" s="211">
        <f>IF(ROW()&lt;201,NA(),AVERAGE(INDEX(E:E,ROW()-199):E843))</f>
        <v/>
      </c>
      <c r="K843" s="341">
        <f>IF(ROW()&lt;22,NA(),_xlfn.STDEV.S(INDEX(H:H,ROW()-19):H843)*SQRT(252))</f>
        <v/>
      </c>
      <c r="L843" s="426" cm="1">
        <f t="array" ref="L843">IF(ROW()&lt;17,NA(),_xlfn.LET(_xlpm.d,INDEX(E:E,ROW()-13):E843-INDEX(E:E,ROW()-14):INDEX(E:E,ROW()-1),_xlpm.g,SUM(IF(_xlpm.d&gt;0,_xlpm.d,0)),_xlpm.l,-SUM(IF(_xlpm.d&lt;0,_xlpm.d,0)),IF(_xlpm.l=0,100,100-100/(1+_xlpm.g/_xlpm.l))))</f>
        <v/>
      </c>
      <c r="M843" s="211">
        <f>MAX($E$2:E843)</f>
        <v/>
      </c>
      <c r="N843" s="341">
        <f>E843/M843-1</f>
        <v/>
      </c>
    </row>
    <row r="844">
      <c r="A844" s="424" t="n">
        <v>45691</v>
      </c>
      <c r="B844" s="425" t="n">
        <v>71.29729259393845</v>
      </c>
      <c r="C844" s="425" t="n">
        <v>73.00119401473717</v>
      </c>
      <c r="D844" s="425" t="n">
        <v>69.6981007264371</v>
      </c>
      <c r="E844" s="425" t="n">
        <v>72.90599822998047</v>
      </c>
      <c r="F844" s="207" t="n">
        <v>18539200</v>
      </c>
      <c r="G844" s="208" t="n">
        <v>-0.006729615115073195</v>
      </c>
      <c r="H844" s="209" cm="1">
        <f t="array" ref="H844">IF(ROW()&lt;3,"",E844/INDEX(E:E,ROW()-1)-1)</f>
        <v/>
      </c>
      <c r="I844" s="211">
        <f>IF(ROW()&lt;51,NA(),AVERAGE(INDEX(E:E,ROW()-49):E844))</f>
        <v/>
      </c>
      <c r="J844" s="211">
        <f>IF(ROW()&lt;201,NA(),AVERAGE(INDEX(E:E,ROW()-199):E844))</f>
        <v/>
      </c>
      <c r="K844" s="341">
        <f>IF(ROW()&lt;22,NA(),_xlfn.STDEV.S(INDEX(H:H,ROW()-19):H844)*SQRT(252))</f>
        <v/>
      </c>
      <c r="L844" s="426" cm="1">
        <f t="array" ref="L844">IF(ROW()&lt;17,NA(),_xlfn.LET(_xlpm.d,INDEX(E:E,ROW()-13):E844-INDEX(E:E,ROW()-14):INDEX(E:E,ROW()-1),_xlpm.g,SUM(IF(_xlpm.d&gt;0,_xlpm.d,0)),_xlpm.l,-SUM(IF(_xlpm.d&lt;0,_xlpm.d,0)),IF(_xlpm.l=0,100,100-100/(1+_xlpm.g/_xlpm.l))))</f>
        <v/>
      </c>
      <c r="M844" s="211">
        <f>MAX($E$2:E844)</f>
        <v/>
      </c>
      <c r="N844" s="341">
        <f>E844/M844-1</f>
        <v/>
      </c>
    </row>
    <row r="845">
      <c r="A845" s="424" t="n">
        <v>45692</v>
      </c>
      <c r="B845" s="425" t="n">
        <v>73.81982551259733</v>
      </c>
      <c r="C845" s="425" t="n">
        <v>74.40048491745482</v>
      </c>
      <c r="D845" s="425" t="n">
        <v>72.38245491512892</v>
      </c>
      <c r="E845" s="425" t="n">
        <v>73.02974700927734</v>
      </c>
      <c r="F845" s="207" t="n">
        <v>11943700</v>
      </c>
      <c r="G845" s="208" t="n">
        <v>0.006708474732966652</v>
      </c>
      <c r="H845" s="209" cm="1">
        <f t="array" ref="H845">IF(ROW()&lt;3,"",E845/INDEX(E:E,ROW()-1)-1)</f>
        <v/>
      </c>
      <c r="I845" s="211">
        <f>IF(ROW()&lt;51,NA(),AVERAGE(INDEX(E:E,ROW()-49):E845))</f>
        <v/>
      </c>
      <c r="J845" s="211">
        <f>IF(ROW()&lt;201,NA(),AVERAGE(INDEX(E:E,ROW()-199):E845))</f>
        <v/>
      </c>
      <c r="K845" s="341">
        <f>IF(ROW()&lt;22,NA(),_xlfn.STDEV.S(INDEX(H:H,ROW()-19):H845)*SQRT(252))</f>
        <v/>
      </c>
      <c r="L845" s="426" cm="1">
        <f t="array" ref="L845">IF(ROW()&lt;17,NA(),_xlfn.LET(_xlpm.d,INDEX(E:E,ROW()-13):E845-INDEX(E:E,ROW()-14):INDEX(E:E,ROW()-1),_xlpm.g,SUM(IF(_xlpm.d&gt;0,_xlpm.d,0)),_xlpm.l,-SUM(IF(_xlpm.d&lt;0,_xlpm.d,0)),IF(_xlpm.l=0,100,100-100/(1+_xlpm.g/_xlpm.l))))</f>
        <v/>
      </c>
      <c r="M845" s="211">
        <f>MAX($E$2:E845)</f>
        <v/>
      </c>
      <c r="N845" s="341">
        <f>E845/M845-1</f>
        <v/>
      </c>
    </row>
    <row r="846">
      <c r="A846" s="424" t="n">
        <v>45693</v>
      </c>
      <c r="B846" s="425" t="n">
        <v>72.62994383317498</v>
      </c>
      <c r="C846" s="425" t="n">
        <v>73.09637261299842</v>
      </c>
      <c r="D846" s="425" t="n">
        <v>70.82133310462859</v>
      </c>
      <c r="E846" s="425" t="n">
        <v>70.983154296875</v>
      </c>
      <c r="F846" s="207" t="n">
        <v>9807400</v>
      </c>
      <c r="G846" s="208" t="n">
        <v>0.004054459336477301</v>
      </c>
      <c r="H846" s="209" cm="1">
        <f t="array" ref="H846">IF(ROW()&lt;3,"",E846/INDEX(E:E,ROW()-1)-1)</f>
        <v/>
      </c>
      <c r="I846" s="211">
        <f>IF(ROW()&lt;51,NA(),AVERAGE(INDEX(E:E,ROW()-49):E846))</f>
        <v/>
      </c>
      <c r="J846" s="211">
        <f>IF(ROW()&lt;201,NA(),AVERAGE(INDEX(E:E,ROW()-199):E846))</f>
        <v/>
      </c>
      <c r="K846" s="341">
        <f>IF(ROW()&lt;22,NA(),_xlfn.STDEV.S(INDEX(H:H,ROW()-19):H846)*SQRT(252))</f>
        <v/>
      </c>
      <c r="L846" s="426" cm="1">
        <f t="array" ref="L846">IF(ROW()&lt;17,NA(),_xlfn.LET(_xlpm.d,INDEX(E:E,ROW()-13):E846-INDEX(E:E,ROW()-14):INDEX(E:E,ROW()-1),_xlpm.g,SUM(IF(_xlpm.d&gt;0,_xlpm.d,0)),_xlpm.l,-SUM(IF(_xlpm.d&lt;0,_xlpm.d,0)),IF(_xlpm.l=0,100,100-100/(1+_xlpm.g/_xlpm.l))))</f>
        <v/>
      </c>
      <c r="M846" s="211">
        <f>MAX($E$2:E846)</f>
        <v/>
      </c>
      <c r="N846" s="341">
        <f>E846/M846-1</f>
        <v/>
      </c>
    </row>
    <row r="847">
      <c r="A847" s="424" t="n">
        <v>45694</v>
      </c>
      <c r="B847" s="425" t="n">
        <v>71.6209327662512</v>
      </c>
      <c r="C847" s="425" t="n">
        <v>71.77324020712911</v>
      </c>
      <c r="D847" s="425" t="n">
        <v>68.18457420244248</v>
      </c>
      <c r="E847" s="425" t="n">
        <v>68.28928375244141</v>
      </c>
      <c r="F847" s="207" t="n">
        <v>16059400</v>
      </c>
      <c r="G847" s="208" t="n">
        <v>0.003475607966170857</v>
      </c>
      <c r="H847" s="209" cm="1">
        <f t="array" ref="H847">IF(ROW()&lt;3,"",E847/INDEX(E:E,ROW()-1)-1)</f>
        <v/>
      </c>
      <c r="I847" s="211">
        <f>IF(ROW()&lt;51,NA(),AVERAGE(INDEX(E:E,ROW()-49):E847))</f>
        <v/>
      </c>
      <c r="J847" s="211">
        <f>IF(ROW()&lt;201,NA(),AVERAGE(INDEX(E:E,ROW()-199):E847))</f>
        <v/>
      </c>
      <c r="K847" s="341">
        <f>IF(ROW()&lt;22,NA(),_xlfn.STDEV.S(INDEX(H:H,ROW()-19):H847)*SQRT(252))</f>
        <v/>
      </c>
      <c r="L847" s="426" cm="1">
        <f t="array" ref="L847">IF(ROW()&lt;17,NA(),_xlfn.LET(_xlpm.d,INDEX(E:E,ROW()-13):E847-INDEX(E:E,ROW()-14):INDEX(E:E,ROW()-1),_xlpm.g,SUM(IF(_xlpm.d&gt;0,_xlpm.d,0)),_xlpm.l,-SUM(IF(_xlpm.d&lt;0,_xlpm.d,0)),IF(_xlpm.l=0,100,100-100/(1+_xlpm.g/_xlpm.l))))</f>
        <v/>
      </c>
      <c r="M847" s="211">
        <f>MAX($E$2:E847)</f>
        <v/>
      </c>
      <c r="N847" s="341">
        <f>E847/M847-1</f>
        <v/>
      </c>
    </row>
    <row r="848">
      <c r="A848" s="424" t="n">
        <v>45695</v>
      </c>
      <c r="B848" s="425" t="n">
        <v>67.16604915444319</v>
      </c>
      <c r="C848" s="425" t="n">
        <v>67.40402411007817</v>
      </c>
      <c r="D848" s="425" t="n">
        <v>65.31936843716085</v>
      </c>
      <c r="E848" s="425" t="n">
        <v>65.37648010253906</v>
      </c>
      <c r="F848" s="207" t="n">
        <v>27428700</v>
      </c>
      <c r="G848" s="208" t="n">
        <v>-0.009153559299522107</v>
      </c>
      <c r="H848" s="209" cm="1">
        <f t="array" ref="H848">IF(ROW()&lt;3,"",E848/INDEX(E:E,ROW()-1)-1)</f>
        <v/>
      </c>
      <c r="I848" s="211">
        <f>IF(ROW()&lt;51,NA(),AVERAGE(INDEX(E:E,ROW()-49):E848))</f>
        <v/>
      </c>
      <c r="J848" s="211">
        <f>IF(ROW()&lt;201,NA(),AVERAGE(INDEX(E:E,ROW()-199):E848))</f>
        <v/>
      </c>
      <c r="K848" s="341">
        <f>IF(ROW()&lt;22,NA(),_xlfn.STDEV.S(INDEX(H:H,ROW()-19):H848)*SQRT(252))</f>
        <v/>
      </c>
      <c r="L848" s="426" cm="1">
        <f t="array" ref="L848">IF(ROW()&lt;17,NA(),_xlfn.LET(_xlpm.d,INDEX(E:E,ROW()-13):E848-INDEX(E:E,ROW()-14):INDEX(E:E,ROW()-1),_xlpm.g,SUM(IF(_xlpm.d&gt;0,_xlpm.d,0)),_xlpm.l,-SUM(IF(_xlpm.d&lt;0,_xlpm.d,0)),IF(_xlpm.l=0,100,100-100/(1+_xlpm.g/_xlpm.l))))</f>
        <v/>
      </c>
      <c r="M848" s="211">
        <f>MAX($E$2:E848)</f>
        <v/>
      </c>
      <c r="N848" s="341">
        <f>E848/M848-1</f>
        <v/>
      </c>
    </row>
    <row r="849">
      <c r="A849" s="424" t="n">
        <v>45698</v>
      </c>
      <c r="B849" s="425" t="n">
        <v>66.02376763904573</v>
      </c>
      <c r="C849" s="425" t="n">
        <v>67.53728476470961</v>
      </c>
      <c r="D849" s="425" t="n">
        <v>65.79531373114565</v>
      </c>
      <c r="E849" s="425" t="n">
        <v>67.52777099609375</v>
      </c>
      <c r="F849" s="207" t="n">
        <v>16201300</v>
      </c>
      <c r="G849" s="208" t="n">
        <v>0.006791099895684161</v>
      </c>
      <c r="H849" s="209" cm="1">
        <f t="array" ref="H849">IF(ROW()&lt;3,"",E849/INDEX(E:E,ROW()-1)-1)</f>
        <v/>
      </c>
      <c r="I849" s="211">
        <f>IF(ROW()&lt;51,NA(),AVERAGE(INDEX(E:E,ROW()-49):E849))</f>
        <v/>
      </c>
      <c r="J849" s="211">
        <f>IF(ROW()&lt;201,NA(),AVERAGE(INDEX(E:E,ROW()-199):E849))</f>
        <v/>
      </c>
      <c r="K849" s="341">
        <f>IF(ROW()&lt;22,NA(),_xlfn.STDEV.S(INDEX(H:H,ROW()-19):H849)*SQRT(252))</f>
        <v/>
      </c>
      <c r="L849" s="426" cm="1">
        <f t="array" ref="L849">IF(ROW()&lt;17,NA(),_xlfn.LET(_xlpm.d,INDEX(E:E,ROW()-13):E849-INDEX(E:E,ROW()-14):INDEX(E:E,ROW()-1),_xlpm.g,SUM(IF(_xlpm.d&gt;0,_xlpm.d,0)),_xlpm.l,-SUM(IF(_xlpm.d&lt;0,_xlpm.d,0)),IF(_xlpm.l=0,100,100-100/(1+_xlpm.g/_xlpm.l))))</f>
        <v/>
      </c>
      <c r="M849" s="211">
        <f>MAX($E$2:E849)</f>
        <v/>
      </c>
      <c r="N849" s="341">
        <f>E849/M849-1</f>
        <v/>
      </c>
    </row>
    <row r="850">
      <c r="A850" s="424" t="n">
        <v>45699</v>
      </c>
      <c r="B850" s="425" t="n">
        <v>67.17555641256946</v>
      </c>
      <c r="C850" s="425" t="n">
        <v>68.52725214044584</v>
      </c>
      <c r="D850" s="425" t="n">
        <v>67.11844475890133</v>
      </c>
      <c r="E850" s="425" t="n">
        <v>67.90851593017578</v>
      </c>
      <c r="F850" s="207" t="n">
        <v>9636600</v>
      </c>
      <c r="G850" s="208" t="n">
        <v>0.0007605777880623776</v>
      </c>
      <c r="H850" s="209" cm="1">
        <f t="array" ref="H850">IF(ROW()&lt;3,"",E850/INDEX(E:E,ROW()-1)-1)</f>
        <v/>
      </c>
      <c r="I850" s="211">
        <f>IF(ROW()&lt;51,NA(),AVERAGE(INDEX(E:E,ROW()-49):E850))</f>
        <v/>
      </c>
      <c r="J850" s="211">
        <f>IF(ROW()&lt;201,NA(),AVERAGE(INDEX(E:E,ROW()-199):E850))</f>
        <v/>
      </c>
      <c r="K850" s="341">
        <f>IF(ROW()&lt;22,NA(),_xlfn.STDEV.S(INDEX(H:H,ROW()-19):H850)*SQRT(252))</f>
        <v/>
      </c>
      <c r="L850" s="426" cm="1">
        <f t="array" ref="L850">IF(ROW()&lt;17,NA(),_xlfn.LET(_xlpm.d,INDEX(E:E,ROW()-13):E850-INDEX(E:E,ROW()-14):INDEX(E:E,ROW()-1),_xlpm.g,SUM(IF(_xlpm.d&gt;0,_xlpm.d,0)),_xlpm.l,-SUM(IF(_xlpm.d&lt;0,_xlpm.d,0)),IF(_xlpm.l=0,100,100-100/(1+_xlpm.g/_xlpm.l))))</f>
        <v/>
      </c>
      <c r="M850" s="211">
        <f>MAX($E$2:E850)</f>
        <v/>
      </c>
      <c r="N850" s="341">
        <f>E850/M850-1</f>
        <v/>
      </c>
    </row>
    <row r="851">
      <c r="A851" s="424" t="n">
        <v>45700</v>
      </c>
      <c r="B851" s="425" t="n">
        <v>67.20411432383894</v>
      </c>
      <c r="C851" s="425" t="n">
        <v>68.96512723659892</v>
      </c>
      <c r="D851" s="425" t="n">
        <v>66.947104611943</v>
      </c>
      <c r="E851" s="425" t="n">
        <v>68.78427124023438</v>
      </c>
      <c r="F851" s="207" t="n">
        <v>10810900</v>
      </c>
      <c r="G851" s="208" t="n">
        <v>-0.003221362573035069</v>
      </c>
      <c r="H851" s="209" cm="1">
        <f t="array" ref="H851">IF(ROW()&lt;3,"",E851/INDEX(E:E,ROW()-1)-1)</f>
        <v/>
      </c>
      <c r="I851" s="211">
        <f>IF(ROW()&lt;51,NA(),AVERAGE(INDEX(E:E,ROW()-49):E851))</f>
        <v/>
      </c>
      <c r="J851" s="211">
        <f>IF(ROW()&lt;201,NA(),AVERAGE(INDEX(E:E,ROW()-199):E851))</f>
        <v/>
      </c>
      <c r="K851" s="341">
        <f>IF(ROW()&lt;22,NA(),_xlfn.STDEV.S(INDEX(H:H,ROW()-19):H851)*SQRT(252))</f>
        <v/>
      </c>
      <c r="L851" s="426" cm="1">
        <f t="array" ref="L851">IF(ROW()&lt;17,NA(),_xlfn.LET(_xlpm.d,INDEX(E:E,ROW()-13):E851-INDEX(E:E,ROW()-14):INDEX(E:E,ROW()-1),_xlpm.g,SUM(IF(_xlpm.d&gt;0,_xlpm.d,0)),_xlpm.l,-SUM(IF(_xlpm.d&lt;0,_xlpm.d,0)),IF(_xlpm.l=0,100,100-100/(1+_xlpm.g/_xlpm.l))))</f>
        <v/>
      </c>
      <c r="M851" s="211">
        <f>MAX($E$2:E851)</f>
        <v/>
      </c>
      <c r="N851" s="341">
        <f>E851/M851-1</f>
        <v/>
      </c>
    </row>
    <row r="852">
      <c r="A852" s="424" t="n">
        <v>45701</v>
      </c>
      <c r="B852" s="425" t="n">
        <v>68.96512239332814</v>
      </c>
      <c r="C852" s="425" t="n">
        <v>70.05980837435602</v>
      </c>
      <c r="D852" s="425" t="n">
        <v>68.18456501999322</v>
      </c>
      <c r="E852" s="425" t="n">
        <v>69.68856811523438</v>
      </c>
      <c r="F852" s="207" t="n">
        <v>9739600</v>
      </c>
      <c r="G852" s="208" t="n">
        <v>0.01055741487843154</v>
      </c>
      <c r="H852" s="209" cm="1">
        <f t="array" ref="H852">IF(ROW()&lt;3,"",E852/INDEX(E:E,ROW()-1)-1)</f>
        <v/>
      </c>
      <c r="I852" s="211">
        <f>IF(ROW()&lt;51,NA(),AVERAGE(INDEX(E:E,ROW()-49):E852))</f>
        <v/>
      </c>
      <c r="J852" s="211">
        <f>IF(ROW()&lt;201,NA(),AVERAGE(INDEX(E:E,ROW()-199):E852))</f>
        <v/>
      </c>
      <c r="K852" s="341">
        <f>IF(ROW()&lt;22,NA(),_xlfn.STDEV.S(INDEX(H:H,ROW()-19):H852)*SQRT(252))</f>
        <v/>
      </c>
      <c r="L852" s="426" cm="1">
        <f t="array" ref="L852">IF(ROW()&lt;17,NA(),_xlfn.LET(_xlpm.d,INDEX(E:E,ROW()-13):E852-INDEX(E:E,ROW()-14):INDEX(E:E,ROW()-1),_xlpm.g,SUM(IF(_xlpm.d&gt;0,_xlpm.d,0)),_xlpm.l,-SUM(IF(_xlpm.d&lt;0,_xlpm.d,0)),IF(_xlpm.l=0,100,100-100/(1+_xlpm.g/_xlpm.l))))</f>
        <v/>
      </c>
      <c r="M852" s="211">
        <f>MAX($E$2:E852)</f>
        <v/>
      </c>
      <c r="N852" s="341">
        <f>E852/M852-1</f>
        <v/>
      </c>
    </row>
    <row r="853">
      <c r="A853" s="424" t="n">
        <v>45702</v>
      </c>
      <c r="B853" s="425" t="n">
        <v>69.65049299253913</v>
      </c>
      <c r="C853" s="425" t="n">
        <v>69.96462160804529</v>
      </c>
      <c r="D853" s="425" t="n">
        <v>68.86041457017551</v>
      </c>
      <c r="E853" s="425" t="n">
        <v>69.52674865722656</v>
      </c>
      <c r="F853" s="207" t="n">
        <v>9254400</v>
      </c>
      <c r="G853" s="208" t="n">
        <v>-4.899288490622933e-05</v>
      </c>
      <c r="H853" s="209" cm="1">
        <f t="array" ref="H853">IF(ROW()&lt;3,"",E853/INDEX(E:E,ROW()-1)-1)</f>
        <v/>
      </c>
      <c r="I853" s="211">
        <f>IF(ROW()&lt;51,NA(),AVERAGE(INDEX(E:E,ROW()-49):E853))</f>
        <v/>
      </c>
      <c r="J853" s="211">
        <f>IF(ROW()&lt;201,NA(),AVERAGE(INDEX(E:E,ROW()-199):E853))</f>
        <v/>
      </c>
      <c r="K853" s="341">
        <f>IF(ROW()&lt;22,NA(),_xlfn.STDEV.S(INDEX(H:H,ROW()-19):H853)*SQRT(252))</f>
        <v/>
      </c>
      <c r="L853" s="426" cm="1">
        <f t="array" ref="L853">IF(ROW()&lt;17,NA(),_xlfn.LET(_xlpm.d,INDEX(E:E,ROW()-13):E853-INDEX(E:E,ROW()-14):INDEX(E:E,ROW()-1),_xlpm.g,SUM(IF(_xlpm.d&gt;0,_xlpm.d,0)),_xlpm.l,-SUM(IF(_xlpm.d&lt;0,_xlpm.d,0)),IF(_xlpm.l=0,100,100-100/(1+_xlpm.g/_xlpm.l))))</f>
        <v/>
      </c>
      <c r="M853" s="211">
        <f>MAX($E$2:E853)</f>
        <v/>
      </c>
      <c r="N853" s="341">
        <f>E853/M853-1</f>
        <v/>
      </c>
    </row>
    <row r="854">
      <c r="A854" s="424" t="n">
        <v>45706</v>
      </c>
      <c r="B854" s="425" t="n">
        <v>70.91652828412067</v>
      </c>
      <c r="C854" s="425" t="n">
        <v>73.94356964768457</v>
      </c>
      <c r="D854" s="425" t="n">
        <v>70.91652828412067</v>
      </c>
      <c r="E854" s="425" t="n">
        <v>73.85789489746094</v>
      </c>
      <c r="F854" s="207" t="n">
        <v>28252400</v>
      </c>
      <c r="G854" s="208" t="n">
        <v>0.002935838326174167</v>
      </c>
      <c r="H854" s="209" cm="1">
        <f t="array" ref="H854">IF(ROW()&lt;3,"",E854/INDEX(E:E,ROW()-1)-1)</f>
        <v/>
      </c>
      <c r="I854" s="211">
        <f>IF(ROW()&lt;51,NA(),AVERAGE(INDEX(E:E,ROW()-49):E854))</f>
        <v/>
      </c>
      <c r="J854" s="211">
        <f>IF(ROW()&lt;201,NA(),AVERAGE(INDEX(E:E,ROW()-199):E854))</f>
        <v/>
      </c>
      <c r="K854" s="341">
        <f>IF(ROW()&lt;22,NA(),_xlfn.STDEV.S(INDEX(H:H,ROW()-19):H854)*SQRT(252))</f>
        <v/>
      </c>
      <c r="L854" s="426" cm="1">
        <f t="array" ref="L854">IF(ROW()&lt;17,NA(),_xlfn.LET(_xlpm.d,INDEX(E:E,ROW()-13):E854-INDEX(E:E,ROW()-14):INDEX(E:E,ROW()-1),_xlpm.g,SUM(IF(_xlpm.d&gt;0,_xlpm.d,0)),_xlpm.l,-SUM(IF(_xlpm.d&lt;0,_xlpm.d,0)),IF(_xlpm.l=0,100,100-100/(1+_xlpm.g/_xlpm.l))))</f>
        <v/>
      </c>
      <c r="M854" s="211">
        <f>MAX($E$2:E854)</f>
        <v/>
      </c>
      <c r="N854" s="341">
        <f>E854/M854-1</f>
        <v/>
      </c>
    </row>
    <row r="855">
      <c r="A855" s="424" t="n">
        <v>45707</v>
      </c>
      <c r="B855" s="425" t="n">
        <v>73.1249375177147</v>
      </c>
      <c r="C855" s="425" t="n">
        <v>73.9435718726611</v>
      </c>
      <c r="D855" s="425" t="n">
        <v>72.43004751412768</v>
      </c>
      <c r="E855" s="425" t="n">
        <v>73.08686065673828</v>
      </c>
      <c r="F855" s="207" t="n">
        <v>14184100</v>
      </c>
      <c r="G855" s="208" t="n">
        <v>0.0023548634015369</v>
      </c>
      <c r="H855" s="209" cm="1">
        <f t="array" ref="H855">IF(ROW()&lt;3,"",E855/INDEX(E:E,ROW()-1)-1)</f>
        <v/>
      </c>
      <c r="I855" s="211">
        <f>IF(ROW()&lt;51,NA(),AVERAGE(INDEX(E:E,ROW()-49):E855))</f>
        <v/>
      </c>
      <c r="J855" s="211">
        <f>IF(ROW()&lt;201,NA(),AVERAGE(INDEX(E:E,ROW()-199):E855))</f>
        <v/>
      </c>
      <c r="K855" s="341">
        <f>IF(ROW()&lt;22,NA(),_xlfn.STDEV.S(INDEX(H:H,ROW()-19):H855)*SQRT(252))</f>
        <v/>
      </c>
      <c r="L855" s="426" cm="1">
        <f t="array" ref="L855">IF(ROW()&lt;17,NA(),_xlfn.LET(_xlpm.d,INDEX(E:E,ROW()-13):E855-INDEX(E:E,ROW()-14):INDEX(E:E,ROW()-1),_xlpm.g,SUM(IF(_xlpm.d&gt;0,_xlpm.d,0)),_xlpm.l,-SUM(IF(_xlpm.d&lt;0,_xlpm.d,0)),IF(_xlpm.l=0,100,100-100/(1+_xlpm.g/_xlpm.l))))</f>
        <v/>
      </c>
      <c r="M855" s="211">
        <f>MAX($E$2:E855)</f>
        <v/>
      </c>
      <c r="N855" s="341">
        <f>E855/M855-1</f>
        <v/>
      </c>
    </row>
    <row r="856">
      <c r="A856" s="424" t="n">
        <v>45708</v>
      </c>
      <c r="B856" s="425" t="n">
        <v>73.21060541582295</v>
      </c>
      <c r="C856" s="425" t="n">
        <v>73.55328260768863</v>
      </c>
      <c r="D856" s="425" t="n">
        <v>72.66801564452552</v>
      </c>
      <c r="E856" s="425" t="n">
        <v>73.51521301269531</v>
      </c>
      <c r="F856" s="207" t="n">
        <v>10689600</v>
      </c>
      <c r="G856" s="208" t="n">
        <v>-0.004160320267696638</v>
      </c>
      <c r="H856" s="209" cm="1">
        <f t="array" ref="H856">IF(ROW()&lt;3,"",E856/INDEX(E:E,ROW()-1)-1)</f>
        <v/>
      </c>
      <c r="I856" s="211">
        <f>IF(ROW()&lt;51,NA(),AVERAGE(INDEX(E:E,ROW()-49):E856))</f>
        <v/>
      </c>
      <c r="J856" s="211">
        <f>IF(ROW()&lt;201,NA(),AVERAGE(INDEX(E:E,ROW()-199):E856))</f>
        <v/>
      </c>
      <c r="K856" s="341">
        <f>IF(ROW()&lt;22,NA(),_xlfn.STDEV.S(INDEX(H:H,ROW()-19):H856)*SQRT(252))</f>
        <v/>
      </c>
      <c r="L856" s="426" cm="1">
        <f t="array" ref="L856">IF(ROW()&lt;17,NA(),_xlfn.LET(_xlpm.d,INDEX(E:E,ROW()-13):E856-INDEX(E:E,ROW()-14):INDEX(E:E,ROW()-1),_xlpm.g,SUM(IF(_xlpm.d&gt;0,_xlpm.d,0)),_xlpm.l,-SUM(IF(_xlpm.d&lt;0,_xlpm.d,0)),IF(_xlpm.l=0,100,100-100/(1+_xlpm.g/_xlpm.l))))</f>
        <v/>
      </c>
      <c r="M856" s="211">
        <f>MAX($E$2:E856)</f>
        <v/>
      </c>
      <c r="N856" s="341">
        <f>E856/M856-1</f>
        <v/>
      </c>
    </row>
    <row r="857">
      <c r="A857" s="424" t="n">
        <v>45709</v>
      </c>
      <c r="B857" s="425" t="n">
        <v>73.67704666876371</v>
      </c>
      <c r="C857" s="425" t="n">
        <v>74.23866407011006</v>
      </c>
      <c r="D857" s="425" t="n">
        <v>72.21112009141979</v>
      </c>
      <c r="E857" s="425" t="n">
        <v>72.82033538818359</v>
      </c>
      <c r="F857" s="207" t="n">
        <v>12823400</v>
      </c>
      <c r="G857" s="208" t="n">
        <v>-0.01710416427273553</v>
      </c>
      <c r="H857" s="209" cm="1">
        <f t="array" ref="H857">IF(ROW()&lt;3,"",E857/INDEX(E:E,ROW()-1)-1)</f>
        <v/>
      </c>
      <c r="I857" s="211">
        <f>IF(ROW()&lt;51,NA(),AVERAGE(INDEX(E:E,ROW()-49):E857))</f>
        <v/>
      </c>
      <c r="J857" s="211">
        <f>IF(ROW()&lt;201,NA(),AVERAGE(INDEX(E:E,ROW()-199):E857))</f>
        <v/>
      </c>
      <c r="K857" s="341">
        <f>IF(ROW()&lt;22,NA(),_xlfn.STDEV.S(INDEX(H:H,ROW()-19):H857)*SQRT(252))</f>
        <v/>
      </c>
      <c r="L857" s="426" cm="1">
        <f t="array" ref="L857">IF(ROW()&lt;17,NA(),_xlfn.LET(_xlpm.d,INDEX(E:E,ROW()-13):E857-INDEX(E:E,ROW()-14):INDEX(E:E,ROW()-1),_xlpm.g,SUM(IF(_xlpm.d&gt;0,_xlpm.d,0)),_xlpm.l,-SUM(IF(_xlpm.d&lt;0,_xlpm.d,0)),IF(_xlpm.l=0,100,100-100/(1+_xlpm.g/_xlpm.l))))</f>
        <v/>
      </c>
      <c r="M857" s="211">
        <f>MAX($E$2:E857)</f>
        <v/>
      </c>
      <c r="N857" s="341">
        <f>E857/M857-1</f>
        <v/>
      </c>
    </row>
    <row r="858">
      <c r="A858" s="424" t="n">
        <v>45712</v>
      </c>
      <c r="B858" s="425" t="n">
        <v>75.08584184395464</v>
      </c>
      <c r="C858" s="425" t="n">
        <v>77.18953920082554</v>
      </c>
      <c r="D858" s="425" t="n">
        <v>74.96209750381566</v>
      </c>
      <c r="E858" s="425" t="n">
        <v>76.41850280761719</v>
      </c>
      <c r="F858" s="207" t="n">
        <v>24553500</v>
      </c>
      <c r="G858" s="208" t="n">
        <v>-0.004550399360666035</v>
      </c>
      <c r="H858" s="209" cm="1">
        <f t="array" ref="H858">IF(ROW()&lt;3,"",E858/INDEX(E:E,ROW()-1)-1)</f>
        <v/>
      </c>
      <c r="I858" s="211">
        <f>IF(ROW()&lt;51,NA(),AVERAGE(INDEX(E:E,ROW()-49):E858))</f>
        <v/>
      </c>
      <c r="J858" s="211">
        <f>IF(ROW()&lt;201,NA(),AVERAGE(INDEX(E:E,ROW()-199):E858))</f>
        <v/>
      </c>
      <c r="K858" s="341">
        <f>IF(ROW()&lt;22,NA(),_xlfn.STDEV.S(INDEX(H:H,ROW()-19):H858)*SQRT(252))</f>
        <v/>
      </c>
      <c r="L858" s="426" cm="1">
        <f t="array" ref="L858">IF(ROW()&lt;17,NA(),_xlfn.LET(_xlpm.d,INDEX(E:E,ROW()-13):E858-INDEX(E:E,ROW()-14):INDEX(E:E,ROW()-1),_xlpm.g,SUM(IF(_xlpm.d&gt;0,_xlpm.d,0)),_xlpm.l,-SUM(IF(_xlpm.d&lt;0,_xlpm.d,0)),IF(_xlpm.l=0,100,100-100/(1+_xlpm.g/_xlpm.l))))</f>
        <v/>
      </c>
      <c r="M858" s="211">
        <f>MAX($E$2:E858)</f>
        <v/>
      </c>
      <c r="N858" s="341">
        <f>E858/M858-1</f>
        <v/>
      </c>
    </row>
    <row r="859">
      <c r="A859" s="424" t="n">
        <v>45713</v>
      </c>
      <c r="B859" s="425" t="n">
        <v>76.44706352595296</v>
      </c>
      <c r="C859" s="425" t="n">
        <v>78.01769950280944</v>
      </c>
      <c r="D859" s="425" t="n">
        <v>76.19957482984155</v>
      </c>
      <c r="E859" s="425" t="n">
        <v>77.78924560546875</v>
      </c>
      <c r="F859" s="207" t="n">
        <v>15522500</v>
      </c>
      <c r="G859" s="208" t="n">
        <v>-0.004973235667949494</v>
      </c>
      <c r="H859" s="209" cm="1">
        <f t="array" ref="H859">IF(ROW()&lt;3,"",E859/INDEX(E:E,ROW()-1)-1)</f>
        <v/>
      </c>
      <c r="I859" s="211">
        <f>IF(ROW()&lt;51,NA(),AVERAGE(INDEX(E:E,ROW()-49):E859))</f>
        <v/>
      </c>
      <c r="J859" s="211">
        <f>IF(ROW()&lt;201,NA(),AVERAGE(INDEX(E:E,ROW()-199):E859))</f>
        <v/>
      </c>
      <c r="K859" s="341">
        <f>IF(ROW()&lt;22,NA(),_xlfn.STDEV.S(INDEX(H:H,ROW()-19):H859)*SQRT(252))</f>
        <v/>
      </c>
      <c r="L859" s="426" cm="1">
        <f t="array" ref="L859">IF(ROW()&lt;17,NA(),_xlfn.LET(_xlpm.d,INDEX(E:E,ROW()-13):E859-INDEX(E:E,ROW()-14):INDEX(E:E,ROW()-1),_xlpm.g,SUM(IF(_xlpm.d&gt;0,_xlpm.d,0)),_xlpm.l,-SUM(IF(_xlpm.d&lt;0,_xlpm.d,0)),IF(_xlpm.l=0,100,100-100/(1+_xlpm.g/_xlpm.l))))</f>
        <v/>
      </c>
      <c r="M859" s="211">
        <f>MAX($E$2:E859)</f>
        <v/>
      </c>
      <c r="N859" s="341">
        <f>E859/M859-1</f>
        <v/>
      </c>
    </row>
    <row r="860">
      <c r="A860" s="424" t="n">
        <v>45714</v>
      </c>
      <c r="B860" s="425" t="n">
        <v>78.15096063890859</v>
      </c>
      <c r="C860" s="425" t="n">
        <v>78.47461029978831</v>
      </c>
      <c r="D860" s="425" t="n">
        <v>76.95156503374878</v>
      </c>
      <c r="E860" s="425" t="n">
        <v>77.26569366455078</v>
      </c>
      <c r="F860" s="207" t="n">
        <v>16058100</v>
      </c>
      <c r="G860" s="208" t="n">
        <v>0.0005050038000959933</v>
      </c>
      <c r="H860" s="209" cm="1">
        <f t="array" ref="H860">IF(ROW()&lt;3,"",E860/INDEX(E:E,ROW()-1)-1)</f>
        <v/>
      </c>
      <c r="I860" s="211">
        <f>IF(ROW()&lt;51,NA(),AVERAGE(INDEX(E:E,ROW()-49):E860))</f>
        <v/>
      </c>
      <c r="J860" s="211">
        <f>IF(ROW()&lt;201,NA(),AVERAGE(INDEX(E:E,ROW()-199):E860))</f>
        <v/>
      </c>
      <c r="K860" s="341">
        <f>IF(ROW()&lt;22,NA(),_xlfn.STDEV.S(INDEX(H:H,ROW()-19):H860)*SQRT(252))</f>
        <v/>
      </c>
      <c r="L860" s="426" cm="1">
        <f t="array" ref="L860">IF(ROW()&lt;17,NA(),_xlfn.LET(_xlpm.d,INDEX(E:E,ROW()-13):E860-INDEX(E:E,ROW()-14):INDEX(E:E,ROW()-1),_xlpm.g,SUM(IF(_xlpm.d&gt;0,_xlpm.d,0)),_xlpm.l,-SUM(IF(_xlpm.d&lt;0,_xlpm.d,0)),IF(_xlpm.l=0,100,100-100/(1+_xlpm.g/_xlpm.l))))</f>
        <v/>
      </c>
      <c r="M860" s="211">
        <f>MAX($E$2:E860)</f>
        <v/>
      </c>
      <c r="N860" s="341">
        <f>E860/M860-1</f>
        <v/>
      </c>
    </row>
    <row r="861">
      <c r="A861" s="424" t="n">
        <v>45715</v>
      </c>
      <c r="B861" s="425" t="n">
        <v>77.57029109851374</v>
      </c>
      <c r="C861" s="425" t="n">
        <v>77.57029109851374</v>
      </c>
      <c r="D861" s="425" t="n">
        <v>75.63793620383167</v>
      </c>
      <c r="E861" s="425" t="n">
        <v>76.17099761962891</v>
      </c>
      <c r="F861" s="207" t="n">
        <v>11651900</v>
      </c>
      <c r="G861" s="208" t="n">
        <v>-0.01596218674976568</v>
      </c>
      <c r="H861" s="209" cm="1">
        <f t="array" ref="H861">IF(ROW()&lt;3,"",E861/INDEX(E:E,ROW()-1)-1)</f>
        <v/>
      </c>
      <c r="I861" s="211">
        <f>IF(ROW()&lt;51,NA(),AVERAGE(INDEX(E:E,ROW()-49):E861))</f>
        <v/>
      </c>
      <c r="J861" s="211">
        <f>IF(ROW()&lt;201,NA(),AVERAGE(INDEX(E:E,ROW()-199):E861))</f>
        <v/>
      </c>
      <c r="K861" s="341">
        <f>IF(ROW()&lt;22,NA(),_xlfn.STDEV.S(INDEX(H:H,ROW()-19):H861)*SQRT(252))</f>
        <v/>
      </c>
      <c r="L861" s="426" cm="1">
        <f t="array" ref="L861">IF(ROW()&lt;17,NA(),_xlfn.LET(_xlpm.d,INDEX(E:E,ROW()-13):E861-INDEX(E:E,ROW()-14):INDEX(E:E,ROW()-1),_xlpm.g,SUM(IF(_xlpm.d&gt;0,_xlpm.d,0)),_xlpm.l,-SUM(IF(_xlpm.d&lt;0,_xlpm.d,0)),IF(_xlpm.l=0,100,100-100/(1+_xlpm.g/_xlpm.l))))</f>
        <v/>
      </c>
      <c r="M861" s="211">
        <f>MAX($E$2:E861)</f>
        <v/>
      </c>
      <c r="N861" s="341">
        <f>E861/M861-1</f>
        <v/>
      </c>
    </row>
    <row r="862">
      <c r="A862" s="424" t="n">
        <v>45716</v>
      </c>
      <c r="B862" s="425" t="n">
        <v>75.43805564165532</v>
      </c>
      <c r="C862" s="425" t="n">
        <v>76.17101525810367</v>
      </c>
      <c r="D862" s="425" t="n">
        <v>74.41952319352026</v>
      </c>
      <c r="E862" s="425" t="n">
        <v>75.60939788818359</v>
      </c>
      <c r="F862" s="207" t="n">
        <v>14113800</v>
      </c>
      <c r="G862" s="208" t="n">
        <v>0.01560562991940873</v>
      </c>
      <c r="H862" s="209" cm="1">
        <f t="array" ref="H862">IF(ROW()&lt;3,"",E862/INDEX(E:E,ROW()-1)-1)</f>
        <v/>
      </c>
      <c r="I862" s="211">
        <f>IF(ROW()&lt;51,NA(),AVERAGE(INDEX(E:E,ROW()-49):E862))</f>
        <v/>
      </c>
      <c r="J862" s="211">
        <f>IF(ROW()&lt;201,NA(),AVERAGE(INDEX(E:E,ROW()-199):E862))</f>
        <v/>
      </c>
      <c r="K862" s="341">
        <f>IF(ROW()&lt;22,NA(),_xlfn.STDEV.S(INDEX(H:H,ROW()-19):H862)*SQRT(252))</f>
        <v/>
      </c>
      <c r="L862" s="426" cm="1">
        <f t="array" ref="L862">IF(ROW()&lt;17,NA(),_xlfn.LET(_xlpm.d,INDEX(E:E,ROW()-13):E862-INDEX(E:E,ROW()-14):INDEX(E:E,ROW()-1),_xlpm.g,SUM(IF(_xlpm.d&gt;0,_xlpm.d,0)),_xlpm.l,-SUM(IF(_xlpm.d&lt;0,_xlpm.d,0)),IF(_xlpm.l=0,100,100-100/(1+_xlpm.g/_xlpm.l))))</f>
        <v/>
      </c>
      <c r="M862" s="211">
        <f>MAX($E$2:E862)</f>
        <v/>
      </c>
      <c r="N862" s="341">
        <f>E862/M862-1</f>
        <v/>
      </c>
    </row>
    <row r="863">
      <c r="A863" s="424" t="n">
        <v>45719</v>
      </c>
      <c r="B863" s="425" t="n">
        <v>76.52783592642467</v>
      </c>
      <c r="C863" s="425" t="n">
        <v>77.45585313168607</v>
      </c>
      <c r="D863" s="425" t="n">
        <v>74.51873050118161</v>
      </c>
      <c r="E863" s="425" t="n">
        <v>75.01622772216797</v>
      </c>
      <c r="F863" s="207" t="n">
        <v>8628800</v>
      </c>
      <c r="G863" s="208" t="n">
        <v>-0.01751991284819798</v>
      </c>
      <c r="H863" s="209" cm="1">
        <f t="array" ref="H863">IF(ROW()&lt;3,"",E863/INDEX(E:E,ROW()-1)-1)</f>
        <v/>
      </c>
      <c r="I863" s="211">
        <f>IF(ROW()&lt;51,NA(),AVERAGE(INDEX(E:E,ROW()-49):E863))</f>
        <v/>
      </c>
      <c r="J863" s="211">
        <f>IF(ROW()&lt;201,NA(),AVERAGE(INDEX(E:E,ROW()-199):E863))</f>
        <v/>
      </c>
      <c r="K863" s="341">
        <f>IF(ROW()&lt;22,NA(),_xlfn.STDEV.S(INDEX(H:H,ROW()-19):H863)*SQRT(252))</f>
        <v/>
      </c>
      <c r="L863" s="426" cm="1">
        <f t="array" ref="L863">IF(ROW()&lt;17,NA(),_xlfn.LET(_xlpm.d,INDEX(E:E,ROW()-13):E863-INDEX(E:E,ROW()-14):INDEX(E:E,ROW()-1),_xlpm.g,SUM(IF(_xlpm.d&gt;0,_xlpm.d,0)),_xlpm.l,-SUM(IF(_xlpm.d&lt;0,_xlpm.d,0)),IF(_xlpm.l=0,100,100-100/(1+_xlpm.g/_xlpm.l))))</f>
        <v/>
      </c>
      <c r="M863" s="211">
        <f>MAX($E$2:E863)</f>
        <v/>
      </c>
      <c r="N863" s="341">
        <f>E863/M863-1</f>
        <v/>
      </c>
    </row>
    <row r="864">
      <c r="A864" s="424" t="n">
        <v>45720</v>
      </c>
      <c r="B864" s="425" t="n">
        <v>74.33695398796588</v>
      </c>
      <c r="C864" s="425" t="n">
        <v>75.24584007998439</v>
      </c>
      <c r="D864" s="425" t="n">
        <v>73.45677555501877</v>
      </c>
      <c r="E864" s="425" t="n">
        <v>73.97340393066406</v>
      </c>
      <c r="F864" s="207" t="n">
        <v>10034100</v>
      </c>
      <c r="G864" s="208" t="n">
        <v>-0.01183694434067983</v>
      </c>
      <c r="H864" s="209" cm="1">
        <f t="array" ref="H864">IF(ROW()&lt;3,"",E864/INDEX(E:E,ROW()-1)-1)</f>
        <v/>
      </c>
      <c r="I864" s="211">
        <f>IF(ROW()&lt;51,NA(),AVERAGE(INDEX(E:E,ROW()-49):E864))</f>
        <v/>
      </c>
      <c r="J864" s="211">
        <f>IF(ROW()&lt;201,NA(),AVERAGE(INDEX(E:E,ROW()-199):E864))</f>
        <v/>
      </c>
      <c r="K864" s="341">
        <f>IF(ROW()&lt;22,NA(),_xlfn.STDEV.S(INDEX(H:H,ROW()-19):H864)*SQRT(252))</f>
        <v/>
      </c>
      <c r="L864" s="426" cm="1">
        <f t="array" ref="L864">IF(ROW()&lt;17,NA(),_xlfn.LET(_xlpm.d,INDEX(E:E,ROW()-13):E864-INDEX(E:E,ROW()-14):INDEX(E:E,ROW()-1),_xlpm.g,SUM(IF(_xlpm.d&gt;0,_xlpm.d,0)),_xlpm.l,-SUM(IF(_xlpm.d&lt;0,_xlpm.d,0)),IF(_xlpm.l=0,100,100-100/(1+_xlpm.g/_xlpm.l))))</f>
        <v/>
      </c>
      <c r="M864" s="211">
        <f>MAX($E$2:E864)</f>
        <v/>
      </c>
      <c r="N864" s="341">
        <f>E864/M864-1</f>
        <v/>
      </c>
    </row>
    <row r="865">
      <c r="A865" s="424" t="n">
        <v>45721</v>
      </c>
      <c r="B865" s="425" t="n">
        <v>73.98297172977588</v>
      </c>
      <c r="C865" s="425" t="n">
        <v>74.92055086451099</v>
      </c>
      <c r="D865" s="425" t="n">
        <v>73.15062481291137</v>
      </c>
      <c r="E865" s="425" t="n">
        <v>74.44219207763672</v>
      </c>
      <c r="F865" s="207" t="n">
        <v>9853600</v>
      </c>
      <c r="G865" s="208" t="n">
        <v>0.01074798997753312</v>
      </c>
      <c r="H865" s="209" cm="1">
        <f t="array" ref="H865">IF(ROW()&lt;3,"",E865/INDEX(E:E,ROW()-1)-1)</f>
        <v/>
      </c>
      <c r="I865" s="211">
        <f>IF(ROW()&lt;51,NA(),AVERAGE(INDEX(E:E,ROW()-49):E865))</f>
        <v/>
      </c>
      <c r="J865" s="211">
        <f>IF(ROW()&lt;201,NA(),AVERAGE(INDEX(E:E,ROW()-199):E865))</f>
        <v/>
      </c>
      <c r="K865" s="341">
        <f>IF(ROW()&lt;22,NA(),_xlfn.STDEV.S(INDEX(H:H,ROW()-19):H865)*SQRT(252))</f>
        <v/>
      </c>
      <c r="L865" s="426" cm="1">
        <f t="array" ref="L865">IF(ROW()&lt;17,NA(),_xlfn.LET(_xlpm.d,INDEX(E:E,ROW()-13):E865-INDEX(E:E,ROW()-14):INDEX(E:E,ROW()-1),_xlpm.g,SUM(IF(_xlpm.d&gt;0,_xlpm.d,0)),_xlpm.l,-SUM(IF(_xlpm.d&lt;0,_xlpm.d,0)),IF(_xlpm.l=0,100,100-100/(1+_xlpm.g/_xlpm.l))))</f>
        <v/>
      </c>
      <c r="M865" s="211">
        <f>MAX($E$2:E865)</f>
        <v/>
      </c>
      <c r="N865" s="341">
        <f>E865/M865-1</f>
        <v/>
      </c>
    </row>
    <row r="866">
      <c r="A866" s="424" t="n">
        <v>45722</v>
      </c>
      <c r="B866" s="425" t="n">
        <v>73.4185098188053</v>
      </c>
      <c r="C866" s="425" t="n">
        <v>74.93969466547804</v>
      </c>
      <c r="D866" s="425" t="n">
        <v>73.4185098188053</v>
      </c>
      <c r="E866" s="425" t="n">
        <v>74.34652709960938</v>
      </c>
      <c r="F866" s="207" t="n">
        <v>9623700</v>
      </c>
      <c r="G866" s="208" t="n">
        <v>-0.01775125949961576</v>
      </c>
      <c r="H866" s="209" cm="1">
        <f t="array" ref="H866">IF(ROW()&lt;3,"",E866/INDEX(E:E,ROW()-1)-1)</f>
        <v/>
      </c>
      <c r="I866" s="211">
        <f>IF(ROW()&lt;51,NA(),AVERAGE(INDEX(E:E,ROW()-49):E866))</f>
        <v/>
      </c>
      <c r="J866" s="211">
        <f>IF(ROW()&lt;201,NA(),AVERAGE(INDEX(E:E,ROW()-199):E866))</f>
        <v/>
      </c>
      <c r="K866" s="341">
        <f>IF(ROW()&lt;22,NA(),_xlfn.STDEV.S(INDEX(H:H,ROW()-19):H866)*SQRT(252))</f>
        <v/>
      </c>
      <c r="L866" s="426" cm="1">
        <f t="array" ref="L866">IF(ROW()&lt;17,NA(),_xlfn.LET(_xlpm.d,INDEX(E:E,ROW()-13):E866-INDEX(E:E,ROW()-14):INDEX(E:E,ROW()-1),_xlpm.g,SUM(IF(_xlpm.d&gt;0,_xlpm.d,0)),_xlpm.l,-SUM(IF(_xlpm.d&lt;0,_xlpm.d,0)),IF(_xlpm.l=0,100,100-100/(1+_xlpm.g/_xlpm.l))))</f>
        <v/>
      </c>
      <c r="M866" s="211">
        <f>MAX($E$2:E866)</f>
        <v/>
      </c>
      <c r="N866" s="341">
        <f>E866/M866-1</f>
        <v/>
      </c>
    </row>
    <row r="867">
      <c r="A867" s="424" t="n">
        <v>45723</v>
      </c>
      <c r="B867" s="425" t="n">
        <v>74.12647347049089</v>
      </c>
      <c r="C867" s="425" t="n">
        <v>75.5806808266579</v>
      </c>
      <c r="D867" s="425" t="n">
        <v>73.63854551252444</v>
      </c>
      <c r="E867" s="425" t="n">
        <v>75.18842315673828</v>
      </c>
      <c r="F867" s="207" t="n">
        <v>9294300</v>
      </c>
      <c r="G867" s="208" t="n">
        <v>0.005604894848047604</v>
      </c>
      <c r="H867" s="209" cm="1">
        <f t="array" ref="H867">IF(ROW()&lt;3,"",E867/INDEX(E:E,ROW()-1)-1)</f>
        <v/>
      </c>
      <c r="I867" s="211">
        <f>IF(ROW()&lt;51,NA(),AVERAGE(INDEX(E:E,ROW()-49):E867))</f>
        <v/>
      </c>
      <c r="J867" s="211">
        <f>IF(ROW()&lt;201,NA(),AVERAGE(INDEX(E:E,ROW()-199):E867))</f>
        <v/>
      </c>
      <c r="K867" s="341">
        <f>IF(ROW()&lt;22,NA(),_xlfn.STDEV.S(INDEX(H:H,ROW()-19):H867)*SQRT(252))</f>
        <v/>
      </c>
      <c r="L867" s="426" cm="1">
        <f t="array" ref="L867">IF(ROW()&lt;17,NA(),_xlfn.LET(_xlpm.d,INDEX(E:E,ROW()-13):E867-INDEX(E:E,ROW()-14):INDEX(E:E,ROW()-1),_xlpm.g,SUM(IF(_xlpm.d&gt;0,_xlpm.d,0)),_xlpm.l,-SUM(IF(_xlpm.d&lt;0,_xlpm.d,0)),IF(_xlpm.l=0,100,100-100/(1+_xlpm.g/_xlpm.l))))</f>
        <v/>
      </c>
      <c r="M867" s="211">
        <f>MAX($E$2:E867)</f>
        <v/>
      </c>
      <c r="N867" s="341">
        <f>E867/M867-1</f>
        <v/>
      </c>
    </row>
    <row r="868">
      <c r="A868" s="424" t="n">
        <v>45726</v>
      </c>
      <c r="B868" s="425" t="n">
        <v>74.15518065498178</v>
      </c>
      <c r="C868" s="425" t="n">
        <v>76.71918402626824</v>
      </c>
      <c r="D868" s="425" t="n">
        <v>72.76793580345647</v>
      </c>
      <c r="E868" s="425" t="n">
        <v>73.09322357177734</v>
      </c>
      <c r="F868" s="207" t="n">
        <v>15822600</v>
      </c>
      <c r="G868" s="208" t="n">
        <v>-0.02663552073460429</v>
      </c>
      <c r="H868" s="209" cm="1">
        <f t="array" ref="H868">IF(ROW()&lt;3,"",E868/INDEX(E:E,ROW()-1)-1)</f>
        <v/>
      </c>
      <c r="I868" s="211">
        <f>IF(ROW()&lt;51,NA(),AVERAGE(INDEX(E:E,ROW()-49):E868))</f>
        <v/>
      </c>
      <c r="J868" s="211">
        <f>IF(ROW()&lt;201,NA(),AVERAGE(INDEX(E:E,ROW()-199):E868))</f>
        <v/>
      </c>
      <c r="K868" s="341">
        <f>IF(ROW()&lt;22,NA(),_xlfn.STDEV.S(INDEX(H:H,ROW()-19):H868)*SQRT(252))</f>
        <v/>
      </c>
      <c r="L868" s="426" cm="1">
        <f t="array" ref="L868">IF(ROW()&lt;17,NA(),_xlfn.LET(_xlpm.d,INDEX(E:E,ROW()-13):E868-INDEX(E:E,ROW()-14):INDEX(E:E,ROW()-1),_xlpm.g,SUM(IF(_xlpm.d&gt;0,_xlpm.d,0)),_xlpm.l,-SUM(IF(_xlpm.d&lt;0,_xlpm.d,0)),IF(_xlpm.l=0,100,100-100/(1+_xlpm.g/_xlpm.l))))</f>
        <v/>
      </c>
      <c r="M868" s="211">
        <f>MAX($E$2:E868)</f>
        <v/>
      </c>
      <c r="N868" s="341">
        <f>E868/M868-1</f>
        <v/>
      </c>
    </row>
    <row r="869">
      <c r="A869" s="424" t="n">
        <v>45727</v>
      </c>
      <c r="B869" s="425" t="n">
        <v>72.62443349513867</v>
      </c>
      <c r="C869" s="425" t="n">
        <v>72.78707372856323</v>
      </c>
      <c r="D869" s="425" t="n">
        <v>70.43354940647755</v>
      </c>
      <c r="E869" s="425" t="n">
        <v>70.95973968505859</v>
      </c>
      <c r="F869" s="207" t="n">
        <v>12837000</v>
      </c>
      <c r="G869" s="208" t="n">
        <v>-0.008312883898723533</v>
      </c>
      <c r="H869" s="209" cm="1">
        <f t="array" ref="H869">IF(ROW()&lt;3,"",E869/INDEX(E:E,ROW()-1)-1)</f>
        <v/>
      </c>
      <c r="I869" s="211">
        <f>IF(ROW()&lt;51,NA(),AVERAGE(INDEX(E:E,ROW()-49):E869))</f>
        <v/>
      </c>
      <c r="J869" s="211">
        <f>IF(ROW()&lt;201,NA(),AVERAGE(INDEX(E:E,ROW()-199):E869))</f>
        <v/>
      </c>
      <c r="K869" s="341">
        <f>IF(ROW()&lt;22,NA(),_xlfn.STDEV.S(INDEX(H:H,ROW()-19):H869)*SQRT(252))</f>
        <v/>
      </c>
      <c r="L869" s="426" cm="1">
        <f t="array" ref="L869">IF(ROW()&lt;17,NA(),_xlfn.LET(_xlpm.d,INDEX(E:E,ROW()-13):E869-INDEX(E:E,ROW()-14):INDEX(E:E,ROW()-1),_xlpm.g,SUM(IF(_xlpm.d&gt;0,_xlpm.d,0)),_xlpm.l,-SUM(IF(_xlpm.d&lt;0,_xlpm.d,0)),IF(_xlpm.l=0,100,100-100/(1+_xlpm.g/_xlpm.l))))</f>
        <v/>
      </c>
      <c r="M869" s="211">
        <f>MAX($E$2:E869)</f>
        <v/>
      </c>
      <c r="N869" s="341">
        <f>E869/M869-1</f>
        <v/>
      </c>
    </row>
    <row r="870">
      <c r="A870" s="424" t="n">
        <v>45728</v>
      </c>
      <c r="B870" s="425" t="n">
        <v>71.14151745020439</v>
      </c>
      <c r="C870" s="425" t="n">
        <v>71.27545732298468</v>
      </c>
      <c r="D870" s="425" t="n">
        <v>70.06042924871335</v>
      </c>
      <c r="E870" s="425" t="n">
        <v>70.39527893066406</v>
      </c>
      <c r="F870" s="207" t="n">
        <v>12304900</v>
      </c>
      <c r="G870" s="208" t="n">
        <v>0.005306455323443426</v>
      </c>
      <c r="H870" s="209" cm="1">
        <f t="array" ref="H870">IF(ROW()&lt;3,"",E870/INDEX(E:E,ROW()-1)-1)</f>
        <v/>
      </c>
      <c r="I870" s="211">
        <f>IF(ROW()&lt;51,NA(),AVERAGE(INDEX(E:E,ROW()-49):E870))</f>
        <v/>
      </c>
      <c r="J870" s="211">
        <f>IF(ROW()&lt;201,NA(),AVERAGE(INDEX(E:E,ROW()-199):E870))</f>
        <v/>
      </c>
      <c r="K870" s="341">
        <f>IF(ROW()&lt;22,NA(),_xlfn.STDEV.S(INDEX(H:H,ROW()-19):H870)*SQRT(252))</f>
        <v/>
      </c>
      <c r="L870" s="426" cm="1">
        <f t="array" ref="L870">IF(ROW()&lt;17,NA(),_xlfn.LET(_xlpm.d,INDEX(E:E,ROW()-13):E870-INDEX(E:E,ROW()-14):INDEX(E:E,ROW()-1),_xlpm.g,SUM(IF(_xlpm.d&gt;0,_xlpm.d,0)),_xlpm.l,-SUM(IF(_xlpm.d&lt;0,_xlpm.d,0)),IF(_xlpm.l=0,100,100-100/(1+_xlpm.g/_xlpm.l))))</f>
        <v/>
      </c>
      <c r="M870" s="211">
        <f>MAX($E$2:E870)</f>
        <v/>
      </c>
      <c r="N870" s="341">
        <f>E870/M870-1</f>
        <v/>
      </c>
    </row>
    <row r="871">
      <c r="A871" s="424" t="n">
        <v>45729</v>
      </c>
      <c r="B871" s="425" t="n">
        <v>70.01258473048074</v>
      </c>
      <c r="C871" s="425" t="n">
        <v>70.73969205128269</v>
      </c>
      <c r="D871" s="425" t="n">
        <v>68.56793930734365</v>
      </c>
      <c r="E871" s="425" t="n">
        <v>69.49595642089844</v>
      </c>
      <c r="F871" s="207" t="n">
        <v>10195900</v>
      </c>
      <c r="G871" s="208" t="n">
        <v>-0.01333046625507539</v>
      </c>
      <c r="H871" s="209" cm="1">
        <f t="array" ref="H871">IF(ROW()&lt;3,"",E871/INDEX(E:E,ROW()-1)-1)</f>
        <v/>
      </c>
      <c r="I871" s="211">
        <f>IF(ROW()&lt;51,NA(),AVERAGE(INDEX(E:E,ROW()-49):E871))</f>
        <v/>
      </c>
      <c r="J871" s="211">
        <f>IF(ROW()&lt;201,NA(),AVERAGE(INDEX(E:E,ROW()-199):E871))</f>
        <v/>
      </c>
      <c r="K871" s="341">
        <f>IF(ROW()&lt;22,NA(),_xlfn.STDEV.S(INDEX(H:H,ROW()-19):H871)*SQRT(252))</f>
        <v/>
      </c>
      <c r="L871" s="426" cm="1">
        <f t="array" ref="L871">IF(ROW()&lt;17,NA(),_xlfn.LET(_xlpm.d,INDEX(E:E,ROW()-13):E871-INDEX(E:E,ROW()-14):INDEX(E:E,ROW()-1),_xlpm.g,SUM(IF(_xlpm.d&gt;0,_xlpm.d,0)),_xlpm.l,-SUM(IF(_xlpm.d&lt;0,_xlpm.d,0)),IF(_xlpm.l=0,100,100-100/(1+_xlpm.g/_xlpm.l))))</f>
        <v/>
      </c>
      <c r="M871" s="211">
        <f>MAX($E$2:E871)</f>
        <v/>
      </c>
      <c r="N871" s="341">
        <f>E871/M871-1</f>
        <v/>
      </c>
    </row>
    <row r="872">
      <c r="A872" s="424" t="n">
        <v>45730</v>
      </c>
      <c r="B872" s="425" t="n">
        <v>70.10827342218217</v>
      </c>
      <c r="C872" s="425" t="n">
        <v>70.35702207339457</v>
      </c>
      <c r="D872" s="425" t="n">
        <v>68.23310756505258</v>
      </c>
      <c r="E872" s="425" t="n">
        <v>68.55839538574219</v>
      </c>
      <c r="F872" s="207" t="n">
        <v>12183000</v>
      </c>
      <c r="G872" s="208" t="n">
        <v>0.02065573359748996</v>
      </c>
      <c r="H872" s="209" cm="1">
        <f t="array" ref="H872">IF(ROW()&lt;3,"",E872/INDEX(E:E,ROW()-1)-1)</f>
        <v/>
      </c>
      <c r="I872" s="211">
        <f>IF(ROW()&lt;51,NA(),AVERAGE(INDEX(E:E,ROW()-49):E872))</f>
        <v/>
      </c>
      <c r="J872" s="211">
        <f>IF(ROW()&lt;201,NA(),AVERAGE(INDEX(E:E,ROW()-199):E872))</f>
        <v/>
      </c>
      <c r="K872" s="341">
        <f>IF(ROW()&lt;22,NA(),_xlfn.STDEV.S(INDEX(H:H,ROW()-19):H872)*SQRT(252))</f>
        <v/>
      </c>
      <c r="L872" s="426" cm="1">
        <f t="array" ref="L872">IF(ROW()&lt;17,NA(),_xlfn.LET(_xlpm.d,INDEX(E:E,ROW()-13):E872-INDEX(E:E,ROW()-14):INDEX(E:E,ROW()-1),_xlpm.g,SUM(IF(_xlpm.d&gt;0,_xlpm.d,0)),_xlpm.l,-SUM(IF(_xlpm.d&lt;0,_xlpm.d,0)),IF(_xlpm.l=0,100,100-100/(1+_xlpm.g/_xlpm.l))))</f>
        <v/>
      </c>
      <c r="M872" s="211">
        <f>MAX($E$2:E872)</f>
        <v/>
      </c>
      <c r="N872" s="341">
        <f>E872/M872-1</f>
        <v/>
      </c>
    </row>
    <row r="873">
      <c r="A873" s="424" t="n">
        <v>45733</v>
      </c>
      <c r="B873" s="425" t="n">
        <v>69.01760889995235</v>
      </c>
      <c r="C873" s="425" t="n">
        <v>70.7492654658771</v>
      </c>
      <c r="D873" s="425" t="n">
        <v>68.91236937724327</v>
      </c>
      <c r="E873" s="425" t="n">
        <v>70.51008605957031</v>
      </c>
      <c r="F873" s="207" t="n">
        <v>15996900</v>
      </c>
      <c r="G873" s="208" t="n">
        <v>0.007711467404735828</v>
      </c>
      <c r="H873" s="209" cm="1">
        <f t="array" ref="H873">IF(ROW()&lt;3,"",E873/INDEX(E:E,ROW()-1)-1)</f>
        <v/>
      </c>
      <c r="I873" s="211">
        <f>IF(ROW()&lt;51,NA(),AVERAGE(INDEX(E:E,ROW()-49):E873))</f>
        <v/>
      </c>
      <c r="J873" s="211">
        <f>IF(ROW()&lt;201,NA(),AVERAGE(INDEX(E:E,ROW()-199):E873))</f>
        <v/>
      </c>
      <c r="K873" s="341">
        <f>IF(ROW()&lt;22,NA(),_xlfn.STDEV.S(INDEX(H:H,ROW()-19):H873)*SQRT(252))</f>
        <v/>
      </c>
      <c r="L873" s="426" cm="1">
        <f t="array" ref="L873">IF(ROW()&lt;17,NA(),_xlfn.LET(_xlpm.d,INDEX(E:E,ROW()-13):E873-INDEX(E:E,ROW()-14):INDEX(E:E,ROW()-1),_xlpm.g,SUM(IF(_xlpm.d&gt;0,_xlpm.d,0)),_xlpm.l,-SUM(IF(_xlpm.d&lt;0,_xlpm.d,0)),IF(_xlpm.l=0,100,100-100/(1+_xlpm.g/_xlpm.l))))</f>
        <v/>
      </c>
      <c r="M873" s="211">
        <f>MAX($E$2:E873)</f>
        <v/>
      </c>
      <c r="N873" s="341">
        <f>E873/M873-1</f>
        <v/>
      </c>
    </row>
    <row r="874">
      <c r="A874" s="424" t="n">
        <v>45734</v>
      </c>
      <c r="B874" s="425" t="n">
        <v>70.69186083436949</v>
      </c>
      <c r="C874" s="425" t="n">
        <v>70.95017866643281</v>
      </c>
      <c r="D874" s="425" t="n">
        <v>69.57250302656395</v>
      </c>
      <c r="E874" s="425" t="n">
        <v>70.136962890625</v>
      </c>
      <c r="F874" s="207" t="n">
        <v>8972300</v>
      </c>
      <c r="G874" s="208" t="n">
        <v>-0.01080844357600497</v>
      </c>
      <c r="H874" s="209" cm="1">
        <f t="array" ref="H874">IF(ROW()&lt;3,"",E874/INDEX(E:E,ROW()-1)-1)</f>
        <v/>
      </c>
      <c r="I874" s="211">
        <f>IF(ROW()&lt;51,NA(),AVERAGE(INDEX(E:E,ROW()-49):E874))</f>
        <v/>
      </c>
      <c r="J874" s="211">
        <f>IF(ROW()&lt;201,NA(),AVERAGE(INDEX(E:E,ROW()-199):E874))</f>
        <v/>
      </c>
      <c r="K874" s="341">
        <f>IF(ROW()&lt;22,NA(),_xlfn.STDEV.S(INDEX(H:H,ROW()-19):H874)*SQRT(252))</f>
        <v/>
      </c>
      <c r="L874" s="426" cm="1">
        <f t="array" ref="L874">IF(ROW()&lt;17,NA(),_xlfn.LET(_xlpm.d,INDEX(E:E,ROW()-13):E874-INDEX(E:E,ROW()-14):INDEX(E:E,ROW()-1),_xlpm.g,SUM(IF(_xlpm.d&gt;0,_xlpm.d,0)),_xlpm.l,-SUM(IF(_xlpm.d&lt;0,_xlpm.d,0)),IF(_xlpm.l=0,100,100-100/(1+_xlpm.g/_xlpm.l))))</f>
        <v/>
      </c>
      <c r="M874" s="211">
        <f>MAX($E$2:E874)</f>
        <v/>
      </c>
      <c r="N874" s="341">
        <f>E874/M874-1</f>
        <v/>
      </c>
    </row>
    <row r="875">
      <c r="A875" s="424" t="n">
        <v>45735</v>
      </c>
      <c r="B875" s="425" t="n">
        <v>69.49596087084593</v>
      </c>
      <c r="C875" s="425" t="n">
        <v>70.25176859626896</v>
      </c>
      <c r="D875" s="425" t="n">
        <v>69.16111119481687</v>
      </c>
      <c r="E875" s="425" t="n">
        <v>69.830810546875</v>
      </c>
      <c r="F875" s="207" t="n">
        <v>10830500</v>
      </c>
      <c r="G875" s="208" t="n">
        <v>0.01089093380622264</v>
      </c>
      <c r="H875" s="209" cm="1">
        <f t="array" ref="H875">IF(ROW()&lt;3,"",E875/INDEX(E:E,ROW()-1)-1)</f>
        <v/>
      </c>
      <c r="I875" s="211">
        <f>IF(ROW()&lt;51,NA(),AVERAGE(INDEX(E:E,ROW()-49):E875))</f>
        <v/>
      </c>
      <c r="J875" s="211">
        <f>IF(ROW()&lt;201,NA(),AVERAGE(INDEX(E:E,ROW()-199):E875))</f>
        <v/>
      </c>
      <c r="K875" s="341">
        <f>IF(ROW()&lt;22,NA(),_xlfn.STDEV.S(INDEX(H:H,ROW()-19):H875)*SQRT(252))</f>
        <v/>
      </c>
      <c r="L875" s="426" cm="1">
        <f t="array" ref="L875">IF(ROW()&lt;17,NA(),_xlfn.LET(_xlpm.d,INDEX(E:E,ROW()-13):E875-INDEX(E:E,ROW()-14):INDEX(E:E,ROW()-1),_xlpm.g,SUM(IF(_xlpm.d&gt;0,_xlpm.d,0)),_xlpm.l,-SUM(IF(_xlpm.d&lt;0,_xlpm.d,0)),IF(_xlpm.l=0,100,100-100/(1+_xlpm.g/_xlpm.l))))</f>
        <v/>
      </c>
      <c r="M875" s="211">
        <f>MAX($E$2:E875)</f>
        <v/>
      </c>
      <c r="N875" s="341">
        <f>E875/M875-1</f>
        <v/>
      </c>
    </row>
    <row r="876">
      <c r="A876" s="424" t="n">
        <v>45736</v>
      </c>
      <c r="B876" s="425" t="n">
        <v>69.7638436328813</v>
      </c>
      <c r="C876" s="425" t="n">
        <v>70.46225067242347</v>
      </c>
      <c r="D876" s="425" t="n">
        <v>68.42443757158485</v>
      </c>
      <c r="E876" s="425" t="n">
        <v>68.74972534179688</v>
      </c>
      <c r="F876" s="207" t="n">
        <v>25202300</v>
      </c>
      <c r="G876" s="208" t="n">
        <v>-0.002891856230862189</v>
      </c>
      <c r="H876" s="209" cm="1">
        <f t="array" ref="H876">IF(ROW()&lt;3,"",E876/INDEX(E:E,ROW()-1)-1)</f>
        <v/>
      </c>
      <c r="I876" s="211">
        <f>IF(ROW()&lt;51,NA(),AVERAGE(INDEX(E:E,ROW()-49):E876))</f>
        <v/>
      </c>
      <c r="J876" s="211">
        <f>IF(ROW()&lt;201,NA(),AVERAGE(INDEX(E:E,ROW()-199):E876))</f>
        <v/>
      </c>
      <c r="K876" s="341">
        <f>IF(ROW()&lt;22,NA(),_xlfn.STDEV.S(INDEX(H:H,ROW()-19):H876)*SQRT(252))</f>
        <v/>
      </c>
      <c r="L876" s="426" cm="1">
        <f t="array" ref="L876">IF(ROW()&lt;17,NA(),_xlfn.LET(_xlpm.d,INDEX(E:E,ROW()-13):E876-INDEX(E:E,ROW()-14):INDEX(E:E,ROW()-1),_xlpm.g,SUM(IF(_xlpm.d&gt;0,_xlpm.d,0)),_xlpm.l,-SUM(IF(_xlpm.d&lt;0,_xlpm.d,0)),IF(_xlpm.l=0,100,100-100/(1+_xlpm.g/_xlpm.l))))</f>
        <v/>
      </c>
      <c r="M876" s="211">
        <f>MAX($E$2:E876)</f>
        <v/>
      </c>
      <c r="N876" s="341">
        <f>E876/M876-1</f>
        <v/>
      </c>
    </row>
    <row r="877">
      <c r="A877" s="424" t="n">
        <v>45737</v>
      </c>
      <c r="B877" s="425" t="n">
        <v>63.70782265468438</v>
      </c>
      <c r="C877" s="425" t="n">
        <v>65.75520507166452</v>
      </c>
      <c r="D877" s="425" t="n">
        <v>62.34928538944551</v>
      </c>
      <c r="E877" s="425" t="n">
        <v>64.99939727783203</v>
      </c>
      <c r="F877" s="207" t="n">
        <v>77287000</v>
      </c>
      <c r="G877" s="208" t="n">
        <v>0.0003299407834431722</v>
      </c>
      <c r="H877" s="209" cm="1">
        <f t="array" ref="H877">IF(ROW()&lt;3,"",E877/INDEX(E:E,ROW()-1)-1)</f>
        <v/>
      </c>
      <c r="I877" s="211">
        <f>IF(ROW()&lt;51,NA(),AVERAGE(INDEX(E:E,ROW()-49):E877))</f>
        <v/>
      </c>
      <c r="J877" s="211">
        <f>IF(ROW()&lt;201,NA(),AVERAGE(INDEX(E:E,ROW()-199):E877))</f>
        <v/>
      </c>
      <c r="K877" s="341">
        <f>IF(ROW()&lt;22,NA(),_xlfn.STDEV.S(INDEX(H:H,ROW()-19):H877)*SQRT(252))</f>
        <v/>
      </c>
      <c r="L877" s="426" cm="1">
        <f t="array" ref="L877">IF(ROW()&lt;17,NA(),_xlfn.LET(_xlpm.d,INDEX(E:E,ROW()-13):E877-INDEX(E:E,ROW()-14):INDEX(E:E,ROW()-1),_xlpm.g,SUM(IF(_xlpm.d&gt;0,_xlpm.d,0)),_xlpm.l,-SUM(IF(_xlpm.d&lt;0,_xlpm.d,0)),IF(_xlpm.l=0,100,100-100/(1+_xlpm.g/_xlpm.l))))</f>
        <v/>
      </c>
      <c r="M877" s="211">
        <f>MAX($E$2:E877)</f>
        <v/>
      </c>
      <c r="N877" s="341">
        <f>E877/M877-1</f>
        <v/>
      </c>
    </row>
    <row r="878">
      <c r="A878" s="424" t="n">
        <v>45740</v>
      </c>
      <c r="B878" s="425" t="n">
        <v>65.59254800592817</v>
      </c>
      <c r="C878" s="425" t="n">
        <v>65.90826652571077</v>
      </c>
      <c r="D878" s="425" t="n">
        <v>63.80349099217689</v>
      </c>
      <c r="E878" s="425" t="n">
        <v>64.47319030761719</v>
      </c>
      <c r="F878" s="207" t="n">
        <v>26552500</v>
      </c>
      <c r="G878" s="208" t="n">
        <v>0.01790829109309588</v>
      </c>
      <c r="H878" s="209" cm="1">
        <f t="array" ref="H878">IF(ROW()&lt;3,"",E878/INDEX(E:E,ROW()-1)-1)</f>
        <v/>
      </c>
      <c r="I878" s="211">
        <f>IF(ROW()&lt;51,NA(),AVERAGE(INDEX(E:E,ROW()-49):E878))</f>
        <v/>
      </c>
      <c r="J878" s="211">
        <f>IF(ROW()&lt;201,NA(),AVERAGE(INDEX(E:E,ROW()-199):E878))</f>
        <v/>
      </c>
      <c r="K878" s="341">
        <f>IF(ROW()&lt;22,NA(),_xlfn.STDEV.S(INDEX(H:H,ROW()-19):H878)*SQRT(252))</f>
        <v/>
      </c>
      <c r="L878" s="426" cm="1">
        <f t="array" ref="L878">IF(ROW()&lt;17,NA(),_xlfn.LET(_xlpm.d,INDEX(E:E,ROW()-13):E878-INDEX(E:E,ROW()-14):INDEX(E:E,ROW()-1),_xlpm.g,SUM(IF(_xlpm.d&gt;0,_xlpm.d,0)),_xlpm.l,-SUM(IF(_xlpm.d&lt;0,_xlpm.d,0)),IF(_xlpm.l=0,100,100-100/(1+_xlpm.g/_xlpm.l))))</f>
        <v/>
      </c>
      <c r="M878" s="211">
        <f>MAX($E$2:E878)</f>
        <v/>
      </c>
      <c r="N878" s="341">
        <f>E878/M878-1</f>
        <v/>
      </c>
    </row>
    <row r="879">
      <c r="A879" s="424" t="n">
        <v>45741</v>
      </c>
      <c r="B879" s="425" t="n">
        <v>64.63583324634229</v>
      </c>
      <c r="C879" s="425" t="n">
        <v>65.10463008604727</v>
      </c>
      <c r="D879" s="425" t="n">
        <v>63.37296641325982</v>
      </c>
      <c r="E879" s="425" t="n">
        <v>63.65998458862305</v>
      </c>
      <c r="F879" s="207" t="n">
        <v>17394100</v>
      </c>
      <c r="G879" s="208" t="n">
        <v>0.002403954755241244</v>
      </c>
      <c r="H879" s="209" cm="1">
        <f t="array" ref="H879">IF(ROW()&lt;3,"",E879/INDEX(E:E,ROW()-1)-1)</f>
        <v/>
      </c>
      <c r="I879" s="211">
        <f>IF(ROW()&lt;51,NA(),AVERAGE(INDEX(E:E,ROW()-49):E879))</f>
        <v/>
      </c>
      <c r="J879" s="211">
        <f>IF(ROW()&lt;201,NA(),AVERAGE(INDEX(E:E,ROW()-199):E879))</f>
        <v/>
      </c>
      <c r="K879" s="341">
        <f>IF(ROW()&lt;22,NA(),_xlfn.STDEV.S(INDEX(H:H,ROW()-19):H879)*SQRT(252))</f>
        <v/>
      </c>
      <c r="L879" s="426" cm="1">
        <f t="array" ref="L879">IF(ROW()&lt;17,NA(),_xlfn.LET(_xlpm.d,INDEX(E:E,ROW()-13):E879-INDEX(E:E,ROW()-14):INDEX(E:E,ROW()-1),_xlpm.g,SUM(IF(_xlpm.d&gt;0,_xlpm.d,0)),_xlpm.l,-SUM(IF(_xlpm.d&lt;0,_xlpm.d,0)),IF(_xlpm.l=0,100,100-100/(1+_xlpm.g/_xlpm.l))))</f>
        <v/>
      </c>
      <c r="M879" s="211">
        <f>MAX($E$2:E879)</f>
        <v/>
      </c>
      <c r="N879" s="341">
        <f>E879/M879-1</f>
        <v/>
      </c>
    </row>
    <row r="880">
      <c r="A880" s="424" t="n">
        <v>45742</v>
      </c>
      <c r="B880" s="425" t="n">
        <v>63.50691002292184</v>
      </c>
      <c r="C880" s="425" t="n">
        <v>63.70781983784073</v>
      </c>
      <c r="D880" s="425" t="n">
        <v>62.13880359822817</v>
      </c>
      <c r="E880" s="425" t="n">
        <v>62.89461135864258</v>
      </c>
      <c r="F880" s="207" t="n">
        <v>18688300</v>
      </c>
      <c r="G880" s="208" t="n">
        <v>-0.01193822284251345</v>
      </c>
      <c r="H880" s="209" cm="1">
        <f t="array" ref="H880">IF(ROW()&lt;3,"",E880/INDEX(E:E,ROW()-1)-1)</f>
        <v/>
      </c>
      <c r="I880" s="211">
        <f>IF(ROW()&lt;51,NA(),AVERAGE(INDEX(E:E,ROW()-49):E880))</f>
        <v/>
      </c>
      <c r="J880" s="211">
        <f>IF(ROW()&lt;201,NA(),AVERAGE(INDEX(E:E,ROW()-199):E880))</f>
        <v/>
      </c>
      <c r="K880" s="341">
        <f>IF(ROW()&lt;22,NA(),_xlfn.STDEV.S(INDEX(H:H,ROW()-19):H880)*SQRT(252))</f>
        <v/>
      </c>
      <c r="L880" s="426" cm="1">
        <f t="array" ref="L880">IF(ROW()&lt;17,NA(),_xlfn.LET(_xlpm.d,INDEX(E:E,ROW()-13):E880-INDEX(E:E,ROW()-14):INDEX(E:E,ROW()-1),_xlpm.g,SUM(IF(_xlpm.d&gt;0,_xlpm.d,0)),_xlpm.l,-SUM(IF(_xlpm.d&lt;0,_xlpm.d,0)),IF(_xlpm.l=0,100,100-100/(1+_xlpm.g/_xlpm.l))))</f>
        <v/>
      </c>
      <c r="M880" s="211">
        <f>MAX($E$2:E880)</f>
        <v/>
      </c>
      <c r="N880" s="341">
        <f>E880/M880-1</f>
        <v/>
      </c>
    </row>
    <row r="881">
      <c r="A881" s="424" t="n">
        <v>45743</v>
      </c>
      <c r="B881" s="425" t="n">
        <v>62.66500434574003</v>
      </c>
      <c r="C881" s="425" t="n">
        <v>64.19575108366332</v>
      </c>
      <c r="D881" s="425" t="n">
        <v>62.46409452068536</v>
      </c>
      <c r="E881" s="425" t="n">
        <v>62.95202255249023</v>
      </c>
      <c r="F881" s="207" t="n">
        <v>16435800</v>
      </c>
      <c r="G881" s="208" t="n">
        <v>-0.00265578323343818</v>
      </c>
      <c r="H881" s="209" cm="1">
        <f t="array" ref="H881">IF(ROW()&lt;3,"",E881/INDEX(E:E,ROW()-1)-1)</f>
        <v/>
      </c>
      <c r="I881" s="211">
        <f>IF(ROW()&lt;51,NA(),AVERAGE(INDEX(E:E,ROW()-49):E881))</f>
        <v/>
      </c>
      <c r="J881" s="211">
        <f>IF(ROW()&lt;201,NA(),AVERAGE(INDEX(E:E,ROW()-199):E881))</f>
        <v/>
      </c>
      <c r="K881" s="341">
        <f>IF(ROW()&lt;22,NA(),_xlfn.STDEV.S(INDEX(H:H,ROW()-19):H881)*SQRT(252))</f>
        <v/>
      </c>
      <c r="L881" s="426" cm="1">
        <f t="array" ref="L881">IF(ROW()&lt;17,NA(),_xlfn.LET(_xlpm.d,INDEX(E:E,ROW()-13):E881-INDEX(E:E,ROW()-14):INDEX(E:E,ROW()-1),_xlpm.g,SUM(IF(_xlpm.d&gt;0,_xlpm.d,0)),_xlpm.l,-SUM(IF(_xlpm.d&lt;0,_xlpm.d,0)),IF(_xlpm.l=0,100,100-100/(1+_xlpm.g/_xlpm.l))))</f>
        <v/>
      </c>
      <c r="M881" s="211">
        <f>MAX($E$2:E881)</f>
        <v/>
      </c>
      <c r="N881" s="341">
        <f>E881/M881-1</f>
        <v/>
      </c>
    </row>
    <row r="882">
      <c r="A882" s="424" t="n">
        <v>45744</v>
      </c>
      <c r="B882" s="425" t="n">
        <v>63.00941920696157</v>
      </c>
      <c r="C882" s="425" t="n">
        <v>63.00941920696157</v>
      </c>
      <c r="D882" s="425" t="n">
        <v>60.40714627087853</v>
      </c>
      <c r="E882" s="425" t="n">
        <v>60.55065536499023</v>
      </c>
      <c r="F882" s="207" t="n">
        <v>19600300</v>
      </c>
      <c r="G882" s="208" t="n">
        <v>-0.02013810914850567</v>
      </c>
      <c r="H882" s="209" cm="1">
        <f t="array" ref="H882">IF(ROW()&lt;3,"",E882/INDEX(E:E,ROW()-1)-1)</f>
        <v/>
      </c>
      <c r="I882" s="211">
        <f>IF(ROW()&lt;51,NA(),AVERAGE(INDEX(E:E,ROW()-49):E882))</f>
        <v/>
      </c>
      <c r="J882" s="211">
        <f>IF(ROW()&lt;201,NA(),AVERAGE(INDEX(E:E,ROW()-199):E882))</f>
        <v/>
      </c>
      <c r="K882" s="341">
        <f>IF(ROW()&lt;22,NA(),_xlfn.STDEV.S(INDEX(H:H,ROW()-19):H882)*SQRT(252))</f>
        <v/>
      </c>
      <c r="L882" s="426" cm="1">
        <f t="array" ref="L882">IF(ROW()&lt;17,NA(),_xlfn.LET(_xlpm.d,INDEX(E:E,ROW()-13):E882-INDEX(E:E,ROW()-14):INDEX(E:E,ROW()-1),_xlpm.g,SUM(IF(_xlpm.d&gt;0,_xlpm.d,0)),_xlpm.l,-SUM(IF(_xlpm.d&lt;0,_xlpm.d,0)),IF(_xlpm.l=0,100,100-100/(1+_xlpm.g/_xlpm.l))))</f>
        <v/>
      </c>
      <c r="M882" s="211">
        <f>MAX($E$2:E882)</f>
        <v/>
      </c>
      <c r="N882" s="341">
        <f>E882/M882-1</f>
        <v/>
      </c>
    </row>
    <row r="883">
      <c r="A883" s="424" t="n">
        <v>45747</v>
      </c>
      <c r="B883" s="425" t="n">
        <v>60.12013463389376</v>
      </c>
      <c r="C883" s="425" t="n">
        <v>61.22036134295076</v>
      </c>
      <c r="D883" s="425" t="n">
        <v>59.93835960222186</v>
      </c>
      <c r="E883" s="425" t="n">
        <v>60.7324333190918</v>
      </c>
      <c r="F883" s="207" t="n">
        <v>17400000</v>
      </c>
      <c r="G883" s="208" t="n">
        <v>0.006712831059115576</v>
      </c>
      <c r="H883" s="209" cm="1">
        <f t="array" ref="H883">IF(ROW()&lt;3,"",E883/INDEX(E:E,ROW()-1)-1)</f>
        <v/>
      </c>
      <c r="I883" s="211">
        <f>IF(ROW()&lt;51,NA(),AVERAGE(INDEX(E:E,ROW()-49):E883))</f>
        <v/>
      </c>
      <c r="J883" s="211">
        <f>IF(ROW()&lt;201,NA(),AVERAGE(INDEX(E:E,ROW()-199):E883))</f>
        <v/>
      </c>
      <c r="K883" s="341">
        <f>IF(ROW()&lt;22,NA(),_xlfn.STDEV.S(INDEX(H:H,ROW()-19):H883)*SQRT(252))</f>
        <v/>
      </c>
      <c r="L883" s="426" cm="1">
        <f t="array" ref="L883">IF(ROW()&lt;17,NA(),_xlfn.LET(_xlpm.d,INDEX(E:E,ROW()-13):E883-INDEX(E:E,ROW()-14):INDEX(E:E,ROW()-1),_xlpm.g,SUM(IF(_xlpm.d&gt;0,_xlpm.d,0)),_xlpm.l,-SUM(IF(_xlpm.d&lt;0,_xlpm.d,0)),IF(_xlpm.l=0,100,100-100/(1+_xlpm.g/_xlpm.l))))</f>
        <v/>
      </c>
      <c r="M883" s="211">
        <f>MAX($E$2:E883)</f>
        <v/>
      </c>
      <c r="N883" s="341">
        <f>E883/M883-1</f>
        <v/>
      </c>
    </row>
    <row r="884">
      <c r="A884" s="424" t="n">
        <v>45748</v>
      </c>
      <c r="B884" s="425" t="n">
        <v>61.06728738685216</v>
      </c>
      <c r="C884" s="425" t="n">
        <v>62.33972357222198</v>
      </c>
      <c r="D884" s="425" t="n">
        <v>60.56022456694369</v>
      </c>
      <c r="E884" s="425" t="n">
        <v>61.95703506469727</v>
      </c>
      <c r="F884" s="207" t="n">
        <v>13489500</v>
      </c>
      <c r="G884" s="208" t="n">
        <v>0.002824246190145985</v>
      </c>
      <c r="H884" s="209" cm="1">
        <f t="array" ref="H884">IF(ROW()&lt;3,"",E884/INDEX(E:E,ROW()-1)-1)</f>
        <v/>
      </c>
      <c r="I884" s="211">
        <f>IF(ROW()&lt;51,NA(),AVERAGE(INDEX(E:E,ROW()-49):E884))</f>
        <v/>
      </c>
      <c r="J884" s="211">
        <f>IF(ROW()&lt;201,NA(),AVERAGE(INDEX(E:E,ROW()-199):E884))</f>
        <v/>
      </c>
      <c r="K884" s="341">
        <f>IF(ROW()&lt;22,NA(),_xlfn.STDEV.S(INDEX(H:H,ROW()-19):H884)*SQRT(252))</f>
        <v/>
      </c>
      <c r="L884" s="426" cm="1">
        <f t="array" ref="L884">IF(ROW()&lt;17,NA(),_xlfn.LET(_xlpm.d,INDEX(E:E,ROW()-13):E884-INDEX(E:E,ROW()-14):INDEX(E:E,ROW()-1),_xlpm.g,SUM(IF(_xlpm.d&gt;0,_xlpm.d,0)),_xlpm.l,-SUM(IF(_xlpm.d&lt;0,_xlpm.d,0)),IF(_xlpm.l=0,100,100-100/(1+_xlpm.g/_xlpm.l))))</f>
        <v/>
      </c>
      <c r="M884" s="211">
        <f>MAX($E$2:E884)</f>
        <v/>
      </c>
      <c r="N884" s="341">
        <f>E884/M884-1</f>
        <v/>
      </c>
    </row>
    <row r="885">
      <c r="A885" s="424" t="n">
        <v>45749</v>
      </c>
      <c r="B885" s="425" t="n">
        <v>61.5169428477008</v>
      </c>
      <c r="C885" s="425" t="n">
        <v>62.56933071789415</v>
      </c>
      <c r="D885" s="425" t="n">
        <v>61.38300297144942</v>
      </c>
      <c r="E885" s="425" t="n">
        <v>62.14837265014648</v>
      </c>
      <c r="F885" s="207" t="n">
        <v>11161400</v>
      </c>
      <c r="G885" s="208" t="n">
        <v>0.006328417375800033</v>
      </c>
      <c r="H885" s="209" cm="1">
        <f t="array" ref="H885">IF(ROW()&lt;3,"",E885/INDEX(E:E,ROW()-1)-1)</f>
        <v/>
      </c>
      <c r="I885" s="211">
        <f>IF(ROW()&lt;51,NA(),AVERAGE(INDEX(E:E,ROW()-49):E885))</f>
        <v/>
      </c>
      <c r="J885" s="211">
        <f>IF(ROW()&lt;201,NA(),AVERAGE(INDEX(E:E,ROW()-199):E885))</f>
        <v/>
      </c>
      <c r="K885" s="341">
        <f>IF(ROW()&lt;22,NA(),_xlfn.STDEV.S(INDEX(H:H,ROW()-19):H885)*SQRT(252))</f>
        <v/>
      </c>
      <c r="L885" s="426" cm="1">
        <f t="array" ref="L885">IF(ROW()&lt;17,NA(),_xlfn.LET(_xlpm.d,INDEX(E:E,ROW()-13):E885-INDEX(E:E,ROW()-14):INDEX(E:E,ROW()-1),_xlpm.g,SUM(IF(_xlpm.d&gt;0,_xlpm.d,0)),_xlpm.l,-SUM(IF(_xlpm.d&lt;0,_xlpm.d,0)),IF(_xlpm.l=0,100,100-100/(1+_xlpm.g/_xlpm.l))))</f>
        <v/>
      </c>
      <c r="M885" s="211">
        <f>MAX($E$2:E885)</f>
        <v/>
      </c>
      <c r="N885" s="341">
        <f>E885/M885-1</f>
        <v/>
      </c>
    </row>
    <row r="886">
      <c r="A886" s="424" t="n">
        <v>45750</v>
      </c>
      <c r="B886" s="425" t="n">
        <v>53.93017399707895</v>
      </c>
      <c r="C886" s="425" t="n">
        <v>56.14019312703515</v>
      </c>
      <c r="D886" s="425" t="n">
        <v>53.00216033956899</v>
      </c>
      <c r="E886" s="425" t="n">
        <v>53.17436981201172</v>
      </c>
      <c r="F886" s="207" t="n">
        <v>71499500</v>
      </c>
      <c r="G886" s="208" t="n">
        <v>-0.04928073526793275</v>
      </c>
      <c r="H886" s="209" cm="1">
        <f t="array" ref="H886">IF(ROW()&lt;3,"",E886/INDEX(E:E,ROW()-1)-1)</f>
        <v/>
      </c>
      <c r="I886" s="211">
        <f>IF(ROW()&lt;51,NA(),AVERAGE(INDEX(E:E,ROW()-49):E886))</f>
        <v/>
      </c>
      <c r="J886" s="211">
        <f>IF(ROW()&lt;201,NA(),AVERAGE(INDEX(E:E,ROW()-199):E886))</f>
        <v/>
      </c>
      <c r="K886" s="341">
        <f>IF(ROW()&lt;22,NA(),_xlfn.STDEV.S(INDEX(H:H,ROW()-19):H886)*SQRT(252))</f>
        <v/>
      </c>
      <c r="L886" s="426" cm="1">
        <f t="array" ref="L886">IF(ROW()&lt;17,NA(),_xlfn.LET(_xlpm.d,INDEX(E:E,ROW()-13):E886-INDEX(E:E,ROW()-14):INDEX(E:E,ROW()-1),_xlpm.g,SUM(IF(_xlpm.d&gt;0,_xlpm.d,0)),_xlpm.l,-SUM(IF(_xlpm.d&lt;0,_xlpm.d,0)),IF(_xlpm.l=0,100,100-100/(1+_xlpm.g/_xlpm.l))))</f>
        <v/>
      </c>
      <c r="M886" s="211">
        <f>MAX($E$2:E886)</f>
        <v/>
      </c>
      <c r="N886" s="341">
        <f>E886/M886-1</f>
        <v/>
      </c>
    </row>
    <row r="887">
      <c r="A887" s="424" t="n">
        <v>45751</v>
      </c>
      <c r="B887" s="425" t="n">
        <v>50.9165089281284</v>
      </c>
      <c r="C887" s="425" t="n">
        <v>56.65681419986011</v>
      </c>
      <c r="D887" s="425" t="n">
        <v>50.2276711276525</v>
      </c>
      <c r="E887" s="425" t="n">
        <v>54.77207946777344</v>
      </c>
      <c r="F887" s="207" t="n">
        <v>67775700</v>
      </c>
      <c r="G887" s="208" t="n">
        <v>-0.05854298617947318</v>
      </c>
      <c r="H887" s="209" cm="1">
        <f t="array" ref="H887">IF(ROW()&lt;3,"",E887/INDEX(E:E,ROW()-1)-1)</f>
        <v/>
      </c>
      <c r="I887" s="211">
        <f>IF(ROW()&lt;51,NA(),AVERAGE(INDEX(E:E,ROW()-49):E887))</f>
        <v/>
      </c>
      <c r="J887" s="211">
        <f>IF(ROW()&lt;201,NA(),AVERAGE(INDEX(E:E,ROW()-199):E887))</f>
        <v/>
      </c>
      <c r="K887" s="341">
        <f>IF(ROW()&lt;22,NA(),_xlfn.STDEV.S(INDEX(H:H,ROW()-19):H887)*SQRT(252))</f>
        <v/>
      </c>
      <c r="L887" s="426" cm="1">
        <f t="array" ref="L887">IF(ROW()&lt;17,NA(),_xlfn.LET(_xlpm.d,INDEX(E:E,ROW()-13):E887-INDEX(E:E,ROW()-14):INDEX(E:E,ROW()-1),_xlpm.g,SUM(IF(_xlpm.d&gt;0,_xlpm.d,0)),_xlpm.l,-SUM(IF(_xlpm.d&lt;0,_xlpm.d,0)),IF(_xlpm.l=0,100,100-100/(1+_xlpm.g/_xlpm.l))))</f>
        <v/>
      </c>
      <c r="M887" s="211">
        <f>MAX($E$2:E887)</f>
        <v/>
      </c>
      <c r="N887" s="341">
        <f>E887/M887-1</f>
        <v/>
      </c>
    </row>
    <row r="888">
      <c r="A888" s="424" t="n">
        <v>45754</v>
      </c>
      <c r="B888" s="425" t="n">
        <v>53.00215795393025</v>
      </c>
      <c r="C888" s="425" t="n">
        <v>54.70511416078207</v>
      </c>
      <c r="D888" s="425" t="n">
        <v>51.08872270143584</v>
      </c>
      <c r="E888" s="425" t="n">
        <v>53.20306777954102</v>
      </c>
      <c r="F888" s="207" t="n">
        <v>45374400</v>
      </c>
      <c r="G888" s="208" t="n">
        <v>-0.001781190699888247</v>
      </c>
      <c r="H888" s="209" cm="1">
        <f t="array" ref="H888">IF(ROW()&lt;3,"",E888/INDEX(E:E,ROW()-1)-1)</f>
        <v/>
      </c>
      <c r="I888" s="211">
        <f>IF(ROW()&lt;51,NA(),AVERAGE(INDEX(E:E,ROW()-49):E888))</f>
        <v/>
      </c>
      <c r="J888" s="211">
        <f>IF(ROW()&lt;201,NA(),AVERAGE(INDEX(E:E,ROW()-199):E888))</f>
        <v/>
      </c>
      <c r="K888" s="341">
        <f>IF(ROW()&lt;22,NA(),_xlfn.STDEV.S(INDEX(H:H,ROW()-19):H888)*SQRT(252))</f>
        <v/>
      </c>
      <c r="L888" s="426" cm="1">
        <f t="array" ref="L888">IF(ROW()&lt;17,NA(),_xlfn.LET(_xlpm.d,INDEX(E:E,ROW()-13):E888-INDEX(E:E,ROW()-14):INDEX(E:E,ROW()-1),_xlpm.g,SUM(IF(_xlpm.d&gt;0,_xlpm.d,0)),_xlpm.l,-SUM(IF(_xlpm.d&lt;0,_xlpm.d,0)),IF(_xlpm.l=0,100,100-100/(1+_xlpm.g/_xlpm.l))))</f>
        <v/>
      </c>
      <c r="M888" s="211">
        <f>MAX($E$2:E888)</f>
        <v/>
      </c>
      <c r="N888" s="341">
        <f>E888/M888-1</f>
        <v/>
      </c>
    </row>
    <row r="889">
      <c r="A889" s="424" t="n">
        <v>45755</v>
      </c>
      <c r="B889" s="425" t="n">
        <v>56.22629051849886</v>
      </c>
      <c r="C889" s="425" t="n">
        <v>56.22629051849886</v>
      </c>
      <c r="D889" s="425" t="n">
        <v>50.10329677492188</v>
      </c>
      <c r="E889" s="425" t="n">
        <v>50.9643440246582</v>
      </c>
      <c r="F889" s="207" t="n">
        <v>30404300</v>
      </c>
      <c r="G889" s="208" t="n">
        <v>-0.01566277406456251</v>
      </c>
      <c r="H889" s="209" cm="1">
        <f t="array" ref="H889">IF(ROW()&lt;3,"",E889/INDEX(E:E,ROW()-1)-1)</f>
        <v/>
      </c>
      <c r="I889" s="211">
        <f>IF(ROW()&lt;51,NA(),AVERAGE(INDEX(E:E,ROW()-49):E889))</f>
        <v/>
      </c>
      <c r="J889" s="211">
        <f>IF(ROW()&lt;201,NA(),AVERAGE(INDEX(E:E,ROW()-199):E889))</f>
        <v/>
      </c>
      <c r="K889" s="341">
        <f>IF(ROW()&lt;22,NA(),_xlfn.STDEV.S(INDEX(H:H,ROW()-19):H889)*SQRT(252))</f>
        <v/>
      </c>
      <c r="L889" s="426" cm="1">
        <f t="array" ref="L889">IF(ROW()&lt;17,NA(),_xlfn.LET(_xlpm.d,INDEX(E:E,ROW()-13):E889-INDEX(E:E,ROW()-14):INDEX(E:E,ROW()-1),_xlpm.g,SUM(IF(_xlpm.d&gt;0,_xlpm.d,0)),_xlpm.l,-SUM(IF(_xlpm.d&lt;0,_xlpm.d,0)),IF(_xlpm.l=0,100,100-100/(1+_xlpm.g/_xlpm.l))))</f>
        <v/>
      </c>
      <c r="M889" s="211">
        <f>MAX($E$2:E889)</f>
        <v/>
      </c>
      <c r="N889" s="341">
        <f>E889/M889-1</f>
        <v/>
      </c>
    </row>
    <row r="890">
      <c r="A890" s="424" t="n">
        <v>45756</v>
      </c>
      <c r="B890" s="425" t="n">
        <v>50.9739120594725</v>
      </c>
      <c r="C890" s="425" t="n">
        <v>56.97253179050537</v>
      </c>
      <c r="D890" s="425" t="n">
        <v>50.2085387169075</v>
      </c>
      <c r="E890" s="425" t="n">
        <v>56.75248718261719</v>
      </c>
      <c r="F890" s="207" t="n">
        <v>44732500</v>
      </c>
      <c r="G890" s="208" t="n">
        <v>0.105019400801277</v>
      </c>
      <c r="H890" s="209" cm="1">
        <f t="array" ref="H890">IF(ROW()&lt;3,"",E890/INDEX(E:E,ROW()-1)-1)</f>
        <v/>
      </c>
      <c r="I890" s="211">
        <f>IF(ROW()&lt;51,NA(),AVERAGE(INDEX(E:E,ROW()-49):E890))</f>
        <v/>
      </c>
      <c r="J890" s="211">
        <f>IF(ROW()&lt;201,NA(),AVERAGE(INDEX(E:E,ROW()-199):E890))</f>
        <v/>
      </c>
      <c r="K890" s="341">
        <f>IF(ROW()&lt;22,NA(),_xlfn.STDEV.S(INDEX(H:H,ROW()-19):H890)*SQRT(252))</f>
        <v/>
      </c>
      <c r="L890" s="426" cm="1">
        <f t="array" ref="L890">IF(ROW()&lt;17,NA(),_xlfn.LET(_xlpm.d,INDEX(E:E,ROW()-13):E890-INDEX(E:E,ROW()-14):INDEX(E:E,ROW()-1),_xlpm.g,SUM(IF(_xlpm.d&gt;0,_xlpm.d,0)),_xlpm.l,-SUM(IF(_xlpm.d&lt;0,_xlpm.d,0)),IF(_xlpm.l=0,100,100-100/(1+_xlpm.g/_xlpm.l))))</f>
        <v/>
      </c>
      <c r="M890" s="211">
        <f>MAX($E$2:E890)</f>
        <v/>
      </c>
      <c r="N890" s="341">
        <f>E890/M890-1</f>
        <v/>
      </c>
    </row>
    <row r="891">
      <c r="A891" s="424" t="n">
        <v>45757</v>
      </c>
      <c r="B891" s="425" t="n">
        <v>54.75294566318353</v>
      </c>
      <c r="C891" s="425" t="n">
        <v>54.77208045238381</v>
      </c>
      <c r="D891" s="425" t="n">
        <v>50.01719299895504</v>
      </c>
      <c r="E891" s="425" t="n">
        <v>52.04543685913086</v>
      </c>
      <c r="F891" s="207" t="n">
        <v>53919800</v>
      </c>
      <c r="G891" s="208" t="n">
        <v>-0.04381907290334708</v>
      </c>
      <c r="H891" s="209" cm="1">
        <f t="array" ref="H891">IF(ROW()&lt;3,"",E891/INDEX(E:E,ROW()-1)-1)</f>
        <v/>
      </c>
      <c r="I891" s="211">
        <f>IF(ROW()&lt;51,NA(),AVERAGE(INDEX(E:E,ROW()-49):E891))</f>
        <v/>
      </c>
      <c r="J891" s="211">
        <f>IF(ROW()&lt;201,NA(),AVERAGE(INDEX(E:E,ROW()-199):E891))</f>
        <v/>
      </c>
      <c r="K891" s="341">
        <f>IF(ROW()&lt;22,NA(),_xlfn.STDEV.S(INDEX(H:H,ROW()-19):H891)*SQRT(252))</f>
        <v/>
      </c>
      <c r="L891" s="426" cm="1">
        <f t="array" ref="L891">IF(ROW()&lt;17,NA(),_xlfn.LET(_xlpm.d,INDEX(E:E,ROW()-13):E891-INDEX(E:E,ROW()-14):INDEX(E:E,ROW()-1),_xlpm.g,SUM(IF(_xlpm.d&gt;0,_xlpm.d,0)),_xlpm.l,-SUM(IF(_xlpm.d&lt;0,_xlpm.d,0)),IF(_xlpm.l=0,100,100-100/(1+_xlpm.g/_xlpm.l))))</f>
        <v/>
      </c>
      <c r="M891" s="211">
        <f>MAX($E$2:E891)</f>
        <v/>
      </c>
      <c r="N891" s="341">
        <f>E891/M891-1</f>
        <v/>
      </c>
    </row>
    <row r="892">
      <c r="A892" s="424" t="n">
        <v>45758</v>
      </c>
      <c r="B892" s="425" t="n">
        <v>52.04543881814294</v>
      </c>
      <c r="C892" s="425" t="n">
        <v>52.6481682774935</v>
      </c>
      <c r="D892" s="425" t="n">
        <v>50.57209284055443</v>
      </c>
      <c r="E892" s="425" t="n">
        <v>52.03586959838867</v>
      </c>
      <c r="F892" s="207" t="n">
        <v>22617100</v>
      </c>
      <c r="G892" s="208" t="n">
        <v>0.01784284570513561</v>
      </c>
      <c r="H892" s="209" cm="1">
        <f t="array" ref="H892">IF(ROW()&lt;3,"",E892/INDEX(E:E,ROW()-1)-1)</f>
        <v/>
      </c>
      <c r="I892" s="211">
        <f>IF(ROW()&lt;51,NA(),AVERAGE(INDEX(E:E,ROW()-49):E892))</f>
        <v/>
      </c>
      <c r="J892" s="211">
        <f>IF(ROW()&lt;201,NA(),AVERAGE(INDEX(E:E,ROW()-199):E892))</f>
        <v/>
      </c>
      <c r="K892" s="341">
        <f>IF(ROW()&lt;22,NA(),_xlfn.STDEV.S(INDEX(H:H,ROW()-19):H892)*SQRT(252))</f>
        <v/>
      </c>
      <c r="L892" s="426" cm="1">
        <f t="array" ref="L892">IF(ROW()&lt;17,NA(),_xlfn.LET(_xlpm.d,INDEX(E:E,ROW()-13):E892-INDEX(E:E,ROW()-14):INDEX(E:E,ROW()-1),_xlpm.g,SUM(IF(_xlpm.d&gt;0,_xlpm.d,0)),_xlpm.l,-SUM(IF(_xlpm.d&lt;0,_xlpm.d,0)),IF(_xlpm.l=0,100,100-100/(1+_xlpm.g/_xlpm.l))))</f>
        <v/>
      </c>
      <c r="M892" s="211">
        <f>MAX($E$2:E892)</f>
        <v/>
      </c>
      <c r="N892" s="341">
        <f>E892/M892-1</f>
        <v/>
      </c>
    </row>
    <row r="893">
      <c r="A893" s="424" t="n">
        <v>45761</v>
      </c>
      <c r="B893" s="425" t="n">
        <v>53.23177100733163</v>
      </c>
      <c r="C893" s="425" t="n">
        <v>54.23632383907516</v>
      </c>
      <c r="D893" s="425" t="n">
        <v>52.30375369202397</v>
      </c>
      <c r="E893" s="425" t="n">
        <v>53.01172637939453</v>
      </c>
      <c r="F893" s="207" t="n">
        <v>28346600</v>
      </c>
      <c r="G893" s="208" t="n">
        <v>0.009701309641358513</v>
      </c>
      <c r="H893" s="209" cm="1">
        <f t="array" ref="H893">IF(ROW()&lt;3,"",E893/INDEX(E:E,ROW()-1)-1)</f>
        <v/>
      </c>
      <c r="I893" s="211">
        <f>IF(ROW()&lt;51,NA(),AVERAGE(INDEX(E:E,ROW()-49):E893))</f>
        <v/>
      </c>
      <c r="J893" s="211">
        <f>IF(ROW()&lt;201,NA(),AVERAGE(INDEX(E:E,ROW()-199):E893))</f>
        <v/>
      </c>
      <c r="K893" s="341">
        <f>IF(ROW()&lt;22,NA(),_xlfn.STDEV.S(INDEX(H:H,ROW()-19):H893)*SQRT(252))</f>
        <v/>
      </c>
      <c r="L893" s="426" cm="1">
        <f t="array" ref="L893">IF(ROW()&lt;17,NA(),_xlfn.LET(_xlpm.d,INDEX(E:E,ROW()-13):E893-INDEX(E:E,ROW()-14):INDEX(E:E,ROW()-1),_xlpm.g,SUM(IF(_xlpm.d&gt;0,_xlpm.d,0)),_xlpm.l,-SUM(IF(_xlpm.d&lt;0,_xlpm.d,0)),IF(_xlpm.l=0,100,100-100/(1+_xlpm.g/_xlpm.l))))</f>
        <v/>
      </c>
      <c r="M893" s="211">
        <f>MAX($E$2:E893)</f>
        <v/>
      </c>
      <c r="N893" s="341">
        <f>E893/M893-1</f>
        <v/>
      </c>
    </row>
    <row r="894">
      <c r="A894" s="424" t="n">
        <v>45762</v>
      </c>
      <c r="B894" s="425" t="n">
        <v>52.31331996762248</v>
      </c>
      <c r="C894" s="425" t="n">
        <v>52.99258860470076</v>
      </c>
      <c r="D894" s="425" t="n">
        <v>51.82539193565665</v>
      </c>
      <c r="E894" s="425" t="n">
        <v>52.45682907104492</v>
      </c>
      <c r="F894" s="207" t="n">
        <v>15977100</v>
      </c>
      <c r="G894" s="208" t="n">
        <v>-0.002800957000355431</v>
      </c>
      <c r="H894" s="209" cm="1">
        <f t="array" ref="H894">IF(ROW()&lt;3,"",E894/INDEX(E:E,ROW()-1)-1)</f>
        <v/>
      </c>
      <c r="I894" s="211">
        <f>IF(ROW()&lt;51,NA(),AVERAGE(INDEX(E:E,ROW()-49):E894))</f>
        <v/>
      </c>
      <c r="J894" s="211">
        <f>IF(ROW()&lt;201,NA(),AVERAGE(INDEX(E:E,ROW()-199):E894))</f>
        <v/>
      </c>
      <c r="K894" s="341">
        <f>IF(ROW()&lt;22,NA(),_xlfn.STDEV.S(INDEX(H:H,ROW()-19):H894)*SQRT(252))</f>
        <v/>
      </c>
      <c r="L894" s="426" cm="1">
        <f t="array" ref="L894">IF(ROW()&lt;17,NA(),_xlfn.LET(_xlpm.d,INDEX(E:E,ROW()-13):E894-INDEX(E:E,ROW()-14):INDEX(E:E,ROW()-1),_xlpm.g,SUM(IF(_xlpm.d&gt;0,_xlpm.d,0)),_xlpm.l,-SUM(IF(_xlpm.d&lt;0,_xlpm.d,0)),IF(_xlpm.l=0,100,100-100/(1+_xlpm.g/_xlpm.l))))</f>
        <v/>
      </c>
      <c r="M894" s="211">
        <f>MAX($E$2:E894)</f>
        <v/>
      </c>
      <c r="N894" s="341">
        <f>E894/M894-1</f>
        <v/>
      </c>
    </row>
    <row r="895">
      <c r="A895" s="424" t="n">
        <v>45763</v>
      </c>
      <c r="B895" s="425" t="n">
        <v>52.35158882779607</v>
      </c>
      <c r="C895" s="425" t="n">
        <v>52.76297769238316</v>
      </c>
      <c r="D895" s="425" t="n">
        <v>51.03131750308429</v>
      </c>
      <c r="E895" s="425" t="n">
        <v>51.23222732543945</v>
      </c>
      <c r="F895" s="207" t="n">
        <v>19094900</v>
      </c>
      <c r="G895" s="208" t="n">
        <v>-0.02222788006064758</v>
      </c>
      <c r="H895" s="209" cm="1">
        <f t="array" ref="H895">IF(ROW()&lt;3,"",E895/INDEX(E:E,ROW()-1)-1)</f>
        <v/>
      </c>
      <c r="I895" s="211">
        <f>IF(ROW()&lt;51,NA(),AVERAGE(INDEX(E:E,ROW()-49):E895))</f>
        <v/>
      </c>
      <c r="J895" s="211">
        <f>IF(ROW()&lt;201,NA(),AVERAGE(INDEX(E:E,ROW()-199):E895))</f>
        <v/>
      </c>
      <c r="K895" s="341">
        <f>IF(ROW()&lt;22,NA(),_xlfn.STDEV.S(INDEX(H:H,ROW()-19):H895)*SQRT(252))</f>
        <v/>
      </c>
      <c r="L895" s="426" cm="1">
        <f t="array" ref="L895">IF(ROW()&lt;17,NA(),_xlfn.LET(_xlpm.d,INDEX(E:E,ROW()-13):E895-INDEX(E:E,ROW()-14):INDEX(E:E,ROW()-1),_xlpm.g,SUM(IF(_xlpm.d&gt;0,_xlpm.d,0)),_xlpm.l,-SUM(IF(_xlpm.d&lt;0,_xlpm.d,0)),IF(_xlpm.l=0,100,100-100/(1+_xlpm.g/_xlpm.l))))</f>
        <v/>
      </c>
      <c r="M895" s="211">
        <f>MAX($E$2:E895)</f>
        <v/>
      </c>
      <c r="N895" s="341">
        <f>E895/M895-1</f>
        <v/>
      </c>
    </row>
    <row r="896">
      <c r="A896" s="424" t="n">
        <v>45764</v>
      </c>
      <c r="B896" s="425" t="n">
        <v>51.49054200735549</v>
      </c>
      <c r="C896" s="425" t="n">
        <v>53.59532150090205</v>
      </c>
      <c r="D896" s="425" t="n">
        <v>51.32790176378644</v>
      </c>
      <c r="E896" s="425" t="n">
        <v>53.34657287597656</v>
      </c>
      <c r="F896" s="207" t="n">
        <v>18935100</v>
      </c>
      <c r="G896" s="208" t="n">
        <v>0.001426836952244104</v>
      </c>
      <c r="H896" s="209" cm="1">
        <f t="array" ref="H896">IF(ROW()&lt;3,"",E896/INDEX(E:E,ROW()-1)-1)</f>
        <v/>
      </c>
      <c r="I896" s="211">
        <f>IF(ROW()&lt;51,NA(),AVERAGE(INDEX(E:E,ROW()-49):E896))</f>
        <v/>
      </c>
      <c r="J896" s="211">
        <f>IF(ROW()&lt;201,NA(),AVERAGE(INDEX(E:E,ROW()-199):E896))</f>
        <v/>
      </c>
      <c r="K896" s="341">
        <f>IF(ROW()&lt;22,NA(),_xlfn.STDEV.S(INDEX(H:H,ROW()-19):H896)*SQRT(252))</f>
        <v/>
      </c>
      <c r="L896" s="426" cm="1">
        <f t="array" ref="L896">IF(ROW()&lt;17,NA(),_xlfn.LET(_xlpm.d,INDEX(E:E,ROW()-13):E896-INDEX(E:E,ROW()-14):INDEX(E:E,ROW()-1),_xlpm.g,SUM(IF(_xlpm.d&gt;0,_xlpm.d,0)),_xlpm.l,-SUM(IF(_xlpm.d&lt;0,_xlpm.d,0)),IF(_xlpm.l=0,100,100-100/(1+_xlpm.g/_xlpm.l))))</f>
        <v/>
      </c>
      <c r="M896" s="211">
        <f>MAX($E$2:E896)</f>
        <v/>
      </c>
      <c r="N896" s="341">
        <f>E896/M896-1</f>
        <v/>
      </c>
    </row>
    <row r="897">
      <c r="A897" s="424" t="n">
        <v>45768</v>
      </c>
      <c r="B897" s="425" t="n">
        <v>52.83950861757133</v>
      </c>
      <c r="C897" s="425" t="n">
        <v>53.92060044577021</v>
      </c>
      <c r="D897" s="425" t="n">
        <v>51.18438773258048</v>
      </c>
      <c r="E897" s="425" t="n">
        <v>53.69098663330078</v>
      </c>
      <c r="F897" s="207" t="n">
        <v>17280900</v>
      </c>
      <c r="G897" s="208" t="n">
        <v>-0.0238027603573514</v>
      </c>
      <c r="H897" s="209" cm="1">
        <f t="array" ref="H897">IF(ROW()&lt;3,"",E897/INDEX(E:E,ROW()-1)-1)</f>
        <v/>
      </c>
      <c r="I897" s="211">
        <f>IF(ROW()&lt;51,NA(),AVERAGE(INDEX(E:E,ROW()-49):E897))</f>
        <v/>
      </c>
      <c r="J897" s="211">
        <f>IF(ROW()&lt;201,NA(),AVERAGE(INDEX(E:E,ROW()-199):E897))</f>
        <v/>
      </c>
      <c r="K897" s="341">
        <f>IF(ROW()&lt;22,NA(),_xlfn.STDEV.S(INDEX(H:H,ROW()-19):H897)*SQRT(252))</f>
        <v/>
      </c>
      <c r="L897" s="426" cm="1">
        <f t="array" ref="L897">IF(ROW()&lt;17,NA(),_xlfn.LET(_xlpm.d,INDEX(E:E,ROW()-13):E897-INDEX(E:E,ROW()-14):INDEX(E:E,ROW()-1),_xlpm.g,SUM(IF(_xlpm.d&gt;0,_xlpm.d,0)),_xlpm.l,-SUM(IF(_xlpm.d&lt;0,_xlpm.d,0)),IF(_xlpm.l=0,100,100-100/(1+_xlpm.g/_xlpm.l))))</f>
        <v/>
      </c>
      <c r="M897" s="211">
        <f>MAX($E$2:E897)</f>
        <v/>
      </c>
      <c r="N897" s="341">
        <f>E897/M897-1</f>
        <v/>
      </c>
    </row>
    <row r="898">
      <c r="A898" s="424" t="n">
        <v>45769</v>
      </c>
      <c r="B898" s="425" t="n">
        <v>54.19804748717156</v>
      </c>
      <c r="C898" s="425" t="n">
        <v>55.57571936448269</v>
      </c>
      <c r="D898" s="425" t="n">
        <v>53.80579346067125</v>
      </c>
      <c r="E898" s="425" t="n">
        <v>54.59030151367188</v>
      </c>
      <c r="F898" s="207" t="n">
        <v>16852200</v>
      </c>
      <c r="G898" s="208" t="n">
        <v>0.02601776955220658</v>
      </c>
      <c r="H898" s="209" cm="1">
        <f t="array" ref="H898">IF(ROW()&lt;3,"",E898/INDEX(E:E,ROW()-1)-1)</f>
        <v/>
      </c>
      <c r="I898" s="211">
        <f>IF(ROW()&lt;51,NA(),AVERAGE(INDEX(E:E,ROW()-49):E898))</f>
        <v/>
      </c>
      <c r="J898" s="211">
        <f>IF(ROW()&lt;201,NA(),AVERAGE(INDEX(E:E,ROW()-199):E898))</f>
        <v/>
      </c>
      <c r="K898" s="341">
        <f>IF(ROW()&lt;22,NA(),_xlfn.STDEV.S(INDEX(H:H,ROW()-19):H898)*SQRT(252))</f>
        <v/>
      </c>
      <c r="L898" s="426" cm="1">
        <f t="array" ref="L898">IF(ROW()&lt;17,NA(),_xlfn.LET(_xlpm.d,INDEX(E:E,ROW()-13):E898-INDEX(E:E,ROW()-14):INDEX(E:E,ROW()-1),_xlpm.g,SUM(IF(_xlpm.d&gt;0,_xlpm.d,0)),_xlpm.l,-SUM(IF(_xlpm.d&lt;0,_xlpm.d,0)),IF(_xlpm.l=0,100,100-100/(1+_xlpm.g/_xlpm.l))))</f>
        <v/>
      </c>
      <c r="M898" s="211">
        <f>MAX($E$2:E898)</f>
        <v/>
      </c>
      <c r="N898" s="341">
        <f>E898/M898-1</f>
        <v/>
      </c>
    </row>
    <row r="899">
      <c r="A899" s="424" t="n">
        <v>45770</v>
      </c>
      <c r="B899" s="425" t="n">
        <v>56.44633307817823</v>
      </c>
      <c r="C899" s="425" t="n">
        <v>56.63767731005569</v>
      </c>
      <c r="D899" s="425" t="n">
        <v>54.24588353555661</v>
      </c>
      <c r="E899" s="425" t="n">
        <v>54.9060173034668</v>
      </c>
      <c r="F899" s="207" t="n">
        <v>21660300</v>
      </c>
      <c r="G899" s="208" t="n">
        <v>0.01549535911217315</v>
      </c>
      <c r="H899" s="209" cm="1">
        <f t="array" ref="H899">IF(ROW()&lt;3,"",E899/INDEX(E:E,ROW()-1)-1)</f>
        <v/>
      </c>
      <c r="I899" s="211">
        <f>IF(ROW()&lt;51,NA(),AVERAGE(INDEX(E:E,ROW()-49):E899))</f>
        <v/>
      </c>
      <c r="J899" s="211">
        <f>IF(ROW()&lt;201,NA(),AVERAGE(INDEX(E:E,ROW()-199):E899))</f>
        <v/>
      </c>
      <c r="K899" s="341">
        <f>IF(ROW()&lt;22,NA(),_xlfn.STDEV.S(INDEX(H:H,ROW()-19):H899)*SQRT(252))</f>
        <v/>
      </c>
      <c r="L899" s="426" cm="1">
        <f t="array" ref="L899">IF(ROW()&lt;17,NA(),_xlfn.LET(_xlpm.d,INDEX(E:E,ROW()-13):E899-INDEX(E:E,ROW()-14):INDEX(E:E,ROW()-1),_xlpm.g,SUM(IF(_xlpm.d&gt;0,_xlpm.d,0)),_xlpm.l,-SUM(IF(_xlpm.d&lt;0,_xlpm.d,0)),IF(_xlpm.l=0,100,100-100/(1+_xlpm.g/_xlpm.l))))</f>
        <v/>
      </c>
      <c r="M899" s="211">
        <f>MAX($E$2:E899)</f>
        <v/>
      </c>
      <c r="N899" s="341">
        <f>E899/M899-1</f>
        <v/>
      </c>
    </row>
    <row r="900">
      <c r="A900" s="424" t="n">
        <v>45771</v>
      </c>
      <c r="B900" s="425" t="n">
        <v>55.30784209733615</v>
      </c>
      <c r="C900" s="425" t="n">
        <v>56.15932012086277</v>
      </c>
      <c r="D900" s="425" t="n">
        <v>54.65727388056771</v>
      </c>
      <c r="E900" s="425" t="n">
        <v>55.9488410949707</v>
      </c>
      <c r="F900" s="207" t="n">
        <v>14508500</v>
      </c>
      <c r="G900" s="208" t="n">
        <v>0.02104903545920456</v>
      </c>
      <c r="H900" s="209" cm="1">
        <f t="array" ref="H900">IF(ROW()&lt;3,"",E900/INDEX(E:E,ROW()-1)-1)</f>
        <v/>
      </c>
      <c r="I900" s="211">
        <f>IF(ROW()&lt;51,NA(),AVERAGE(INDEX(E:E,ROW()-49):E900))</f>
        <v/>
      </c>
      <c r="J900" s="211">
        <f>IF(ROW()&lt;201,NA(),AVERAGE(INDEX(E:E,ROW()-199):E900))</f>
        <v/>
      </c>
      <c r="K900" s="341">
        <f>IF(ROW()&lt;22,NA(),_xlfn.STDEV.S(INDEX(H:H,ROW()-19):H900)*SQRT(252))</f>
        <v/>
      </c>
      <c r="L900" s="426" cm="1">
        <f t="array" ref="L900">IF(ROW()&lt;17,NA(),_xlfn.LET(_xlpm.d,INDEX(E:E,ROW()-13):E900-INDEX(E:E,ROW()-14):INDEX(E:E,ROW()-1),_xlpm.g,SUM(IF(_xlpm.d&gt;0,_xlpm.d,0)),_xlpm.l,-SUM(IF(_xlpm.d&lt;0,_xlpm.d,0)),IF(_xlpm.l=0,100,100-100/(1+_xlpm.g/_xlpm.l))))</f>
        <v/>
      </c>
      <c r="M900" s="211">
        <f>MAX($E$2:E900)</f>
        <v/>
      </c>
      <c r="N900" s="341">
        <f>E900/M900-1</f>
        <v/>
      </c>
    </row>
    <row r="901">
      <c r="A901" s="424" t="n">
        <v>45772</v>
      </c>
      <c r="B901" s="425" t="n">
        <v>55.69052780195673</v>
      </c>
      <c r="C901" s="425" t="n">
        <v>55.72879737992128</v>
      </c>
      <c r="D901" s="425" t="n">
        <v>54.15978117925326</v>
      </c>
      <c r="E901" s="425" t="n">
        <v>55.12606430053711</v>
      </c>
      <c r="F901" s="207" t="n">
        <v>17156000</v>
      </c>
      <c r="G901" s="208" t="n">
        <v>0.007225320685248393</v>
      </c>
      <c r="H901" s="209" cm="1">
        <f t="array" ref="H901">IF(ROW()&lt;3,"",E901/INDEX(E:E,ROW()-1)-1)</f>
        <v/>
      </c>
      <c r="I901" s="211">
        <f>IF(ROW()&lt;51,NA(),AVERAGE(INDEX(E:E,ROW()-49):E901))</f>
        <v/>
      </c>
      <c r="J901" s="211">
        <f>IF(ROW()&lt;201,NA(),AVERAGE(INDEX(E:E,ROW()-199):E901))</f>
        <v/>
      </c>
      <c r="K901" s="341">
        <f>IF(ROW()&lt;22,NA(),_xlfn.STDEV.S(INDEX(H:H,ROW()-19):H901)*SQRT(252))</f>
        <v/>
      </c>
      <c r="L901" s="426" cm="1">
        <f t="array" ref="L901">IF(ROW()&lt;17,NA(),_xlfn.LET(_xlpm.d,INDEX(E:E,ROW()-13):E901-INDEX(E:E,ROW()-14):INDEX(E:E,ROW()-1),_xlpm.g,SUM(IF(_xlpm.d&gt;0,_xlpm.d,0)),_xlpm.l,-SUM(IF(_xlpm.d&lt;0,_xlpm.d,0)),IF(_xlpm.l=0,100,100-100/(1+_xlpm.g/_xlpm.l))))</f>
        <v/>
      </c>
      <c r="M901" s="211">
        <f>MAX($E$2:E901)</f>
        <v/>
      </c>
      <c r="N901" s="341">
        <f>E901/M901-1</f>
        <v/>
      </c>
    </row>
    <row r="902">
      <c r="A902" s="424" t="n">
        <v>45775</v>
      </c>
      <c r="B902" s="425" t="n">
        <v>55.2313026435673</v>
      </c>
      <c r="C902" s="425" t="n">
        <v>55.56615596927234</v>
      </c>
      <c r="D902" s="425" t="n">
        <v>54.34155504749823</v>
      </c>
      <c r="E902" s="425" t="n">
        <v>54.82948303222656</v>
      </c>
      <c r="F902" s="207" t="n">
        <v>13321200</v>
      </c>
      <c r="G902" s="208" t="n">
        <v>0.0003813180736991217</v>
      </c>
      <c r="H902" s="209" cm="1">
        <f t="array" ref="H902">IF(ROW()&lt;3,"",E902/INDEX(E:E,ROW()-1)-1)</f>
        <v/>
      </c>
      <c r="I902" s="211">
        <f>IF(ROW()&lt;51,NA(),AVERAGE(INDEX(E:E,ROW()-49):E902))</f>
        <v/>
      </c>
      <c r="J902" s="211">
        <f>IF(ROW()&lt;201,NA(),AVERAGE(INDEX(E:E,ROW()-199):E902))</f>
        <v/>
      </c>
      <c r="K902" s="341">
        <f>IF(ROW()&lt;22,NA(),_xlfn.STDEV.S(INDEX(H:H,ROW()-19):H902)*SQRT(252))</f>
        <v/>
      </c>
      <c r="L902" s="426" cm="1">
        <f t="array" ref="L902">IF(ROW()&lt;17,NA(),_xlfn.LET(_xlpm.d,INDEX(E:E,ROW()-13):E902-INDEX(E:E,ROW()-14):INDEX(E:E,ROW()-1),_xlpm.g,SUM(IF(_xlpm.d&gt;0,_xlpm.d,0)),_xlpm.l,-SUM(IF(_xlpm.d&lt;0,_xlpm.d,0)),IF(_xlpm.l=0,100,100-100/(1+_xlpm.g/_xlpm.l))))</f>
        <v/>
      </c>
      <c r="M902" s="211">
        <f>MAX($E$2:E902)</f>
        <v/>
      </c>
      <c r="N902" s="341">
        <f>E902/M902-1</f>
        <v/>
      </c>
    </row>
    <row r="903">
      <c r="A903" s="424" t="n">
        <v>45776</v>
      </c>
      <c r="B903" s="425" t="n">
        <v>54.53290544284498</v>
      </c>
      <c r="C903" s="425" t="n">
        <v>55.24087810178141</v>
      </c>
      <c r="D903" s="425" t="n">
        <v>54.28416046243325</v>
      </c>
      <c r="E903" s="425" t="n">
        <v>55.04953384399414</v>
      </c>
      <c r="F903" s="207" t="n">
        <v>12968000</v>
      </c>
      <c r="G903" s="208" t="n">
        <v>0.006299487545710525</v>
      </c>
      <c r="H903" s="209" cm="1">
        <f t="array" ref="H903">IF(ROW()&lt;3,"",E903/INDEX(E:E,ROW()-1)-1)</f>
        <v/>
      </c>
      <c r="I903" s="211">
        <f>IF(ROW()&lt;51,NA(),AVERAGE(INDEX(E:E,ROW()-49):E903))</f>
        <v/>
      </c>
      <c r="J903" s="211">
        <f>IF(ROW()&lt;201,NA(),AVERAGE(INDEX(E:E,ROW()-199):E903))</f>
        <v/>
      </c>
      <c r="K903" s="341">
        <f>IF(ROW()&lt;22,NA(),_xlfn.STDEV.S(INDEX(H:H,ROW()-19):H903)*SQRT(252))</f>
        <v/>
      </c>
      <c r="L903" s="426" cm="1">
        <f t="array" ref="L903">IF(ROW()&lt;17,NA(),_xlfn.LET(_xlpm.d,INDEX(E:E,ROW()-13):E903-INDEX(E:E,ROW()-14):INDEX(E:E,ROW()-1),_xlpm.g,SUM(IF(_xlpm.d&gt;0,_xlpm.d,0)),_xlpm.l,-SUM(IF(_xlpm.d&lt;0,_xlpm.d,0)),IF(_xlpm.l=0,100,100-100/(1+_xlpm.g/_xlpm.l))))</f>
        <v/>
      </c>
      <c r="M903" s="211">
        <f>MAX($E$2:E903)</f>
        <v/>
      </c>
      <c r="N903" s="341">
        <f>E903/M903-1</f>
        <v/>
      </c>
    </row>
    <row r="904">
      <c r="A904" s="424" t="n">
        <v>45777</v>
      </c>
      <c r="B904" s="425" t="n">
        <v>53.44224537223935</v>
      </c>
      <c r="C904" s="425" t="n">
        <v>54.14064877774499</v>
      </c>
      <c r="D904" s="425" t="n">
        <v>52.38028825921435</v>
      </c>
      <c r="E904" s="425" t="n">
        <v>53.9588737487793</v>
      </c>
      <c r="F904" s="207" t="n">
        <v>17205900</v>
      </c>
      <c r="G904" s="208" t="n">
        <v>0.0003966960946366616</v>
      </c>
      <c r="H904" s="209" cm="1">
        <f t="array" ref="H904">IF(ROW()&lt;3,"",E904/INDEX(E:E,ROW()-1)-1)</f>
        <v/>
      </c>
      <c r="I904" s="211">
        <f>IF(ROW()&lt;51,NA(),AVERAGE(INDEX(E:E,ROW()-49):E904))</f>
        <v/>
      </c>
      <c r="J904" s="211">
        <f>IF(ROW()&lt;201,NA(),AVERAGE(INDEX(E:E,ROW()-199):E904))</f>
        <v/>
      </c>
      <c r="K904" s="341">
        <f>IF(ROW()&lt;22,NA(),_xlfn.STDEV.S(INDEX(H:H,ROW()-19):H904)*SQRT(252))</f>
        <v/>
      </c>
      <c r="L904" s="426" cm="1">
        <f t="array" ref="L904">IF(ROW()&lt;17,NA(),_xlfn.LET(_xlpm.d,INDEX(E:E,ROW()-13):E904-INDEX(E:E,ROW()-14):INDEX(E:E,ROW()-1),_xlpm.g,SUM(IF(_xlpm.d&gt;0,_xlpm.d,0)),_xlpm.l,-SUM(IF(_xlpm.d&lt;0,_xlpm.d,0)),IF(_xlpm.l=0,100,100-100/(1+_xlpm.g/_xlpm.l))))</f>
        <v/>
      </c>
      <c r="M904" s="211">
        <f>MAX($E$2:E904)</f>
        <v/>
      </c>
      <c r="N904" s="341">
        <f>E904/M904-1</f>
        <v/>
      </c>
    </row>
    <row r="905">
      <c r="A905" s="424" t="n">
        <v>45778</v>
      </c>
      <c r="B905" s="425" t="n">
        <v>54.22675199851653</v>
      </c>
      <c r="C905" s="425" t="n">
        <v>54.73381114124246</v>
      </c>
      <c r="D905" s="425" t="n">
        <v>53.82492872252421</v>
      </c>
      <c r="E905" s="425" t="n">
        <v>54.30328750610352</v>
      </c>
      <c r="F905" s="207" t="n">
        <v>10527000</v>
      </c>
      <c r="G905" s="208" t="n">
        <v>0.007087011956024902</v>
      </c>
      <c r="H905" s="209" cm="1">
        <f t="array" ref="H905">IF(ROW()&lt;3,"",E905/INDEX(E:E,ROW()-1)-1)</f>
        <v/>
      </c>
      <c r="I905" s="211">
        <f>IF(ROW()&lt;51,NA(),AVERAGE(INDEX(E:E,ROW()-49):E905))</f>
        <v/>
      </c>
      <c r="J905" s="211">
        <f>IF(ROW()&lt;201,NA(),AVERAGE(INDEX(E:E,ROW()-199):E905))</f>
        <v/>
      </c>
      <c r="K905" s="341">
        <f>IF(ROW()&lt;22,NA(),_xlfn.STDEV.S(INDEX(H:H,ROW()-19):H905)*SQRT(252))</f>
        <v/>
      </c>
      <c r="L905" s="426" cm="1">
        <f t="array" ref="L905">IF(ROW()&lt;17,NA(),_xlfn.LET(_xlpm.d,INDEX(E:E,ROW()-13):E905-INDEX(E:E,ROW()-14):INDEX(E:E,ROW()-1),_xlpm.g,SUM(IF(_xlpm.d&gt;0,_xlpm.d,0)),_xlpm.l,-SUM(IF(_xlpm.d&lt;0,_xlpm.d,0)),IF(_xlpm.l=0,100,100-100/(1+_xlpm.g/_xlpm.l))))</f>
        <v/>
      </c>
      <c r="M905" s="211">
        <f>MAX($E$2:E905)</f>
        <v/>
      </c>
      <c r="N905" s="341">
        <f>E905/M905-1</f>
        <v/>
      </c>
    </row>
    <row r="906">
      <c r="A906" s="424" t="n">
        <v>45779</v>
      </c>
      <c r="B906" s="425" t="n">
        <v>55.36524316464116</v>
      </c>
      <c r="C906" s="425" t="n">
        <v>56.15932047674771</v>
      </c>
      <c r="D906" s="425" t="n">
        <v>54.82948367655749</v>
      </c>
      <c r="E906" s="425" t="n">
        <v>56.05408096313477</v>
      </c>
      <c r="F906" s="207" t="n">
        <v>14723900</v>
      </c>
      <c r="G906" s="208" t="n">
        <v>0.01484422166606625</v>
      </c>
      <c r="H906" s="209" cm="1">
        <f t="array" ref="H906">IF(ROW()&lt;3,"",E906/INDEX(E:E,ROW()-1)-1)</f>
        <v/>
      </c>
      <c r="I906" s="211">
        <f>IF(ROW()&lt;51,NA(),AVERAGE(INDEX(E:E,ROW()-49):E906))</f>
        <v/>
      </c>
      <c r="J906" s="211">
        <f>IF(ROW()&lt;201,NA(),AVERAGE(INDEX(E:E,ROW()-199):E906))</f>
        <v/>
      </c>
      <c r="K906" s="341">
        <f>IF(ROW()&lt;22,NA(),_xlfn.STDEV.S(INDEX(H:H,ROW()-19):H906)*SQRT(252))</f>
        <v/>
      </c>
      <c r="L906" s="426" cm="1">
        <f t="array" ref="L906">IF(ROW()&lt;17,NA(),_xlfn.LET(_xlpm.d,INDEX(E:E,ROW()-13):E906-INDEX(E:E,ROW()-14):INDEX(E:E,ROW()-1),_xlpm.g,SUM(IF(_xlpm.d&gt;0,_xlpm.d,0)),_xlpm.l,-SUM(IF(_xlpm.d&lt;0,_xlpm.d,0)),IF(_xlpm.l=0,100,100-100/(1+_xlpm.g/_xlpm.l))))</f>
        <v/>
      </c>
      <c r="M906" s="211">
        <f>MAX($E$2:E906)</f>
        <v/>
      </c>
      <c r="N906" s="341">
        <f>E906/M906-1</f>
        <v/>
      </c>
    </row>
    <row r="907">
      <c r="A907" s="424" t="n">
        <v>45782</v>
      </c>
      <c r="B907" s="425" t="n">
        <v>55.60442118815487</v>
      </c>
      <c r="C907" s="425" t="n">
        <v>55.81490021022474</v>
      </c>
      <c r="D907" s="425" t="n">
        <v>54.81034754508823</v>
      </c>
      <c r="E907" s="425" t="n">
        <v>54.86774826049805</v>
      </c>
      <c r="F907" s="207" t="n">
        <v>15971000</v>
      </c>
      <c r="G907" s="208" t="n">
        <v>-0.005734440867930291</v>
      </c>
      <c r="H907" s="209" cm="1">
        <f t="array" ref="H907">IF(ROW()&lt;3,"",E907/INDEX(E:E,ROW()-1)-1)</f>
        <v/>
      </c>
      <c r="I907" s="211">
        <f>IF(ROW()&lt;51,NA(),AVERAGE(INDEX(E:E,ROW()-49):E907))</f>
        <v/>
      </c>
      <c r="J907" s="211">
        <f>IF(ROW()&lt;201,NA(),AVERAGE(INDEX(E:E,ROW()-199):E907))</f>
        <v/>
      </c>
      <c r="K907" s="341">
        <f>IF(ROW()&lt;22,NA(),_xlfn.STDEV.S(INDEX(H:H,ROW()-19):H907)*SQRT(252))</f>
        <v/>
      </c>
      <c r="L907" s="426" cm="1">
        <f t="array" ref="L907">IF(ROW()&lt;17,NA(),_xlfn.LET(_xlpm.d,INDEX(E:E,ROW()-13):E907-INDEX(E:E,ROW()-14):INDEX(E:E,ROW()-1),_xlpm.g,SUM(IF(_xlpm.d&gt;0,_xlpm.d,0)),_xlpm.l,-SUM(IF(_xlpm.d&lt;0,_xlpm.d,0)),IF(_xlpm.l=0,100,100-100/(1+_xlpm.g/_xlpm.l))))</f>
        <v/>
      </c>
      <c r="M907" s="211">
        <f>MAX($E$2:E907)</f>
        <v/>
      </c>
      <c r="N907" s="341">
        <f>E907/M907-1</f>
        <v/>
      </c>
    </row>
    <row r="908">
      <c r="A908" s="424" t="n">
        <v>45783</v>
      </c>
      <c r="B908" s="425" t="n">
        <v>54.67640650096008</v>
      </c>
      <c r="C908" s="425" t="n">
        <v>55.22173518315653</v>
      </c>
      <c r="D908" s="425" t="n">
        <v>54.33198761755441</v>
      </c>
      <c r="E908" s="425" t="n">
        <v>54.5711669921875</v>
      </c>
      <c r="F908" s="207" t="n">
        <v>11440300</v>
      </c>
      <c r="G908" s="208" t="n">
        <v>-0.00835827120794741</v>
      </c>
      <c r="H908" s="209" cm="1">
        <f t="array" ref="H908">IF(ROW()&lt;3,"",E908/INDEX(E:E,ROW()-1)-1)</f>
        <v/>
      </c>
      <c r="I908" s="211">
        <f>IF(ROW()&lt;51,NA(),AVERAGE(INDEX(E:E,ROW()-49):E908))</f>
        <v/>
      </c>
      <c r="J908" s="211">
        <f>IF(ROW()&lt;201,NA(),AVERAGE(INDEX(E:E,ROW()-199):E908))</f>
        <v/>
      </c>
      <c r="K908" s="341">
        <f>IF(ROW()&lt;22,NA(),_xlfn.STDEV.S(INDEX(H:H,ROW()-19):H908)*SQRT(252))</f>
        <v/>
      </c>
      <c r="L908" s="426" cm="1">
        <f t="array" ref="L908">IF(ROW()&lt;17,NA(),_xlfn.LET(_xlpm.d,INDEX(E:E,ROW()-13):E908-INDEX(E:E,ROW()-14):INDEX(E:E,ROW()-1),_xlpm.g,SUM(IF(_xlpm.d&gt;0,_xlpm.d,0)),_xlpm.l,-SUM(IF(_xlpm.d&lt;0,_xlpm.d,0)),IF(_xlpm.l=0,100,100-100/(1+_xlpm.g/_xlpm.l))))</f>
        <v/>
      </c>
      <c r="M908" s="211">
        <f>MAX($E$2:E908)</f>
        <v/>
      </c>
      <c r="N908" s="341">
        <f>E908/M908-1</f>
        <v/>
      </c>
    </row>
    <row r="909">
      <c r="A909" s="424" t="n">
        <v>45784</v>
      </c>
      <c r="B909" s="425" t="n">
        <v>55.36524457024304</v>
      </c>
      <c r="C909" s="425" t="n">
        <v>56.26456141879421</v>
      </c>
      <c r="D909" s="425" t="n">
        <v>55.06866446026372</v>
      </c>
      <c r="E909" s="425" t="n">
        <v>56.08278274536133</v>
      </c>
      <c r="F909" s="207" t="n">
        <v>11883500</v>
      </c>
      <c r="G909" s="208" t="n">
        <v>0.004205421878520132</v>
      </c>
      <c r="H909" s="209" cm="1">
        <f t="array" ref="H909">IF(ROW()&lt;3,"",E909/INDEX(E:E,ROW()-1)-1)</f>
        <v/>
      </c>
      <c r="I909" s="211">
        <f>IF(ROW()&lt;51,NA(),AVERAGE(INDEX(E:E,ROW()-49):E909))</f>
        <v/>
      </c>
      <c r="J909" s="211">
        <f>IF(ROW()&lt;201,NA(),AVERAGE(INDEX(E:E,ROW()-199):E909))</f>
        <v/>
      </c>
      <c r="K909" s="341">
        <f>IF(ROW()&lt;22,NA(),_xlfn.STDEV.S(INDEX(H:H,ROW()-19):H909)*SQRT(252))</f>
        <v/>
      </c>
      <c r="L909" s="426" cm="1">
        <f t="array" ref="L909">IF(ROW()&lt;17,NA(),_xlfn.LET(_xlpm.d,INDEX(E:E,ROW()-13):E909-INDEX(E:E,ROW()-14):INDEX(E:E,ROW()-1),_xlpm.g,SUM(IF(_xlpm.d&gt;0,_xlpm.d,0)),_xlpm.l,-SUM(IF(_xlpm.d&lt;0,_xlpm.d,0)),IF(_xlpm.l=0,100,100-100/(1+_xlpm.g/_xlpm.l))))</f>
        <v/>
      </c>
      <c r="M909" s="211">
        <f>MAX($E$2:E909)</f>
        <v/>
      </c>
      <c r="N909" s="341">
        <f>E909/M909-1</f>
        <v/>
      </c>
    </row>
    <row r="910">
      <c r="A910" s="424" t="n">
        <v>45785</v>
      </c>
      <c r="B910" s="425" t="n">
        <v>57.10647186220855</v>
      </c>
      <c r="C910" s="425" t="n">
        <v>57.77617490781122</v>
      </c>
      <c r="D910" s="425" t="n">
        <v>56.25499378762875</v>
      </c>
      <c r="E910" s="425" t="n">
        <v>56.36023330688477</v>
      </c>
      <c r="F910" s="207" t="n">
        <v>19009000</v>
      </c>
      <c r="G910" s="208" t="n">
        <v>0.006967705296860194</v>
      </c>
      <c r="H910" s="209" cm="1">
        <f t="array" ref="H910">IF(ROW()&lt;3,"",E910/INDEX(E:E,ROW()-1)-1)</f>
        <v/>
      </c>
      <c r="I910" s="211">
        <f>IF(ROW()&lt;51,NA(),AVERAGE(INDEX(E:E,ROW()-49):E910))</f>
        <v/>
      </c>
      <c r="J910" s="211">
        <f>IF(ROW()&lt;201,NA(),AVERAGE(INDEX(E:E,ROW()-199):E910))</f>
        <v/>
      </c>
      <c r="K910" s="341">
        <f>IF(ROW()&lt;22,NA(),_xlfn.STDEV.S(INDEX(H:H,ROW()-19):H910)*SQRT(252))</f>
        <v/>
      </c>
      <c r="L910" s="426" cm="1">
        <f t="array" ref="L910">IF(ROW()&lt;17,NA(),_xlfn.LET(_xlpm.d,INDEX(E:E,ROW()-13):E910-INDEX(E:E,ROW()-14):INDEX(E:E,ROW()-1),_xlpm.g,SUM(IF(_xlpm.d&gt;0,_xlpm.d,0)),_xlpm.l,-SUM(IF(_xlpm.d&lt;0,_xlpm.d,0)),IF(_xlpm.l=0,100,100-100/(1+_xlpm.g/_xlpm.l))))</f>
        <v/>
      </c>
      <c r="M910" s="211">
        <f>MAX($E$2:E910)</f>
        <v/>
      </c>
      <c r="N910" s="341">
        <f>E910/M910-1</f>
        <v/>
      </c>
    </row>
    <row r="911">
      <c r="A911" s="424" t="n">
        <v>45786</v>
      </c>
      <c r="B911" s="425" t="n">
        <v>56.58027712995644</v>
      </c>
      <c r="C911" s="425" t="n">
        <v>56.80989095510779</v>
      </c>
      <c r="D911" s="425" t="n">
        <v>55.7000987076501</v>
      </c>
      <c r="E911" s="425" t="n">
        <v>55.77663421630859</v>
      </c>
      <c r="F911" s="207" t="n">
        <v>13954400</v>
      </c>
      <c r="G911" s="208" t="n">
        <v>-0.001274091395935484</v>
      </c>
      <c r="H911" s="209" cm="1">
        <f t="array" ref="H911">IF(ROW()&lt;3,"",E911/INDEX(E:E,ROW()-1)-1)</f>
        <v/>
      </c>
      <c r="I911" s="211">
        <f>IF(ROW()&lt;51,NA(),AVERAGE(INDEX(E:E,ROW()-49):E911))</f>
        <v/>
      </c>
      <c r="J911" s="211">
        <f>IF(ROW()&lt;201,NA(),AVERAGE(INDEX(E:E,ROW()-199):E911))</f>
        <v/>
      </c>
      <c r="K911" s="341">
        <f>IF(ROW()&lt;22,NA(),_xlfn.STDEV.S(INDEX(H:H,ROW()-19):H911)*SQRT(252))</f>
        <v/>
      </c>
      <c r="L911" s="426" cm="1">
        <f t="array" ref="L911">IF(ROW()&lt;17,NA(),_xlfn.LET(_xlpm.d,INDEX(E:E,ROW()-13):E911-INDEX(E:E,ROW()-14):INDEX(E:E,ROW()-1),_xlpm.g,SUM(IF(_xlpm.d&gt;0,_xlpm.d,0)),_xlpm.l,-SUM(IF(_xlpm.d&lt;0,_xlpm.d,0)),IF(_xlpm.l=0,100,100-100/(1+_xlpm.g/_xlpm.l))))</f>
        <v/>
      </c>
      <c r="M911" s="211">
        <f>MAX($E$2:E911)</f>
        <v/>
      </c>
      <c r="N911" s="341">
        <f>E911/M911-1</f>
        <v/>
      </c>
    </row>
    <row r="912">
      <c r="A912" s="424" t="n">
        <v>45789</v>
      </c>
      <c r="B912" s="425" t="n">
        <v>59.68004323713497</v>
      </c>
      <c r="C912" s="425" t="n">
        <v>60.72286553788961</v>
      </c>
      <c r="D912" s="425" t="n">
        <v>59.13471451238682</v>
      </c>
      <c r="E912" s="425" t="n">
        <v>59.87138748168945</v>
      </c>
      <c r="F912" s="207" t="n">
        <v>29776600</v>
      </c>
      <c r="G912" s="208" t="n">
        <v>0.03304758435667554</v>
      </c>
      <c r="H912" s="209" cm="1">
        <f t="array" ref="H912">IF(ROW()&lt;3,"",E912/INDEX(E:E,ROW()-1)-1)</f>
        <v/>
      </c>
      <c r="I912" s="211">
        <f>IF(ROW()&lt;51,NA(),AVERAGE(INDEX(E:E,ROW()-49):E912))</f>
        <v/>
      </c>
      <c r="J912" s="211">
        <f>IF(ROW()&lt;201,NA(),AVERAGE(INDEX(E:E,ROW()-199):E912))</f>
        <v/>
      </c>
      <c r="K912" s="341">
        <f>IF(ROW()&lt;22,NA(),_xlfn.STDEV.S(INDEX(H:H,ROW()-19):H912)*SQRT(252))</f>
        <v/>
      </c>
      <c r="L912" s="426" cm="1">
        <f t="array" ref="L912">IF(ROW()&lt;17,NA(),_xlfn.LET(_xlpm.d,INDEX(E:E,ROW()-13):E912-INDEX(E:E,ROW()-14):INDEX(E:E,ROW()-1),_xlpm.g,SUM(IF(_xlpm.d&gt;0,_xlpm.d,0)),_xlpm.l,-SUM(IF(_xlpm.d&lt;0,_xlpm.d,0)),IF(_xlpm.l=0,100,100-100/(1+_xlpm.g/_xlpm.l))))</f>
        <v/>
      </c>
      <c r="M912" s="211">
        <f>MAX($E$2:E912)</f>
        <v/>
      </c>
      <c r="N912" s="341">
        <f>E912/M912-1</f>
        <v/>
      </c>
    </row>
    <row r="913">
      <c r="A913" s="424" t="n">
        <v>45790</v>
      </c>
      <c r="B913" s="425" t="n">
        <v>59.90008473594865</v>
      </c>
      <c r="C913" s="425" t="n">
        <v>60.06272496315697</v>
      </c>
      <c r="D913" s="425" t="n">
        <v>59.28778610478464</v>
      </c>
      <c r="E913" s="425" t="n">
        <v>59.68960571289062</v>
      </c>
      <c r="F913" s="207" t="n">
        <v>17003100</v>
      </c>
      <c r="G913" s="208" t="n">
        <v>0.006603762339482344</v>
      </c>
      <c r="H913" s="209" cm="1">
        <f t="array" ref="H913">IF(ROW()&lt;3,"",E913/INDEX(E:E,ROW()-1)-1)</f>
        <v/>
      </c>
      <c r="I913" s="211">
        <f>IF(ROW()&lt;51,NA(),AVERAGE(INDEX(E:E,ROW()-49):E913))</f>
        <v/>
      </c>
      <c r="J913" s="211">
        <f>IF(ROW()&lt;201,NA(),AVERAGE(INDEX(E:E,ROW()-199):E913))</f>
        <v/>
      </c>
      <c r="K913" s="341">
        <f>IF(ROW()&lt;22,NA(),_xlfn.STDEV.S(INDEX(H:H,ROW()-19):H913)*SQRT(252))</f>
        <v/>
      </c>
      <c r="L913" s="426" cm="1">
        <f t="array" ref="L913">IF(ROW()&lt;17,NA(),_xlfn.LET(_xlpm.d,INDEX(E:E,ROW()-13):E913-INDEX(E:E,ROW()-14):INDEX(E:E,ROW()-1),_xlpm.g,SUM(IF(_xlpm.d&gt;0,_xlpm.d,0)),_xlpm.l,-SUM(IF(_xlpm.d&lt;0,_xlpm.d,0)),IF(_xlpm.l=0,100,100-100/(1+_xlpm.g/_xlpm.l))))</f>
        <v/>
      </c>
      <c r="M913" s="211">
        <f>MAX($E$2:E913)</f>
        <v/>
      </c>
      <c r="N913" s="341">
        <f>E913/M913-1</f>
        <v/>
      </c>
    </row>
    <row r="914">
      <c r="A914" s="424" t="n">
        <v>45791</v>
      </c>
      <c r="B914" s="425" t="n">
        <v>59.3643272928932</v>
      </c>
      <c r="C914" s="425" t="n">
        <v>60.14883544538554</v>
      </c>
      <c r="D914" s="425" t="n">
        <v>58.85726812470836</v>
      </c>
      <c r="E914" s="425" t="n">
        <v>59.05817794799805</v>
      </c>
      <c r="F914" s="207" t="n">
        <v>13736300</v>
      </c>
      <c r="G914" s="208" t="n">
        <v>0.001277872983274086</v>
      </c>
      <c r="H914" s="209" cm="1">
        <f t="array" ref="H914">IF(ROW()&lt;3,"",E914/INDEX(E:E,ROW()-1)-1)</f>
        <v/>
      </c>
      <c r="I914" s="211">
        <f>IF(ROW()&lt;51,NA(),AVERAGE(INDEX(E:E,ROW()-49):E914))</f>
        <v/>
      </c>
      <c r="J914" s="211">
        <f>IF(ROW()&lt;201,NA(),AVERAGE(INDEX(E:E,ROW()-199):E914))</f>
        <v/>
      </c>
      <c r="K914" s="341">
        <f>IF(ROW()&lt;22,NA(),_xlfn.STDEV.S(INDEX(H:H,ROW()-19):H914)*SQRT(252))</f>
        <v/>
      </c>
      <c r="L914" s="426" cm="1">
        <f t="array" ref="L914">IF(ROW()&lt;17,NA(),_xlfn.LET(_xlpm.d,INDEX(E:E,ROW()-13):E914-INDEX(E:E,ROW()-14):INDEX(E:E,ROW()-1),_xlpm.g,SUM(IF(_xlpm.d&gt;0,_xlpm.d,0)),_xlpm.l,-SUM(IF(_xlpm.d&lt;0,_xlpm.d,0)),IF(_xlpm.l=0,100,100-100/(1+_xlpm.g/_xlpm.l))))</f>
        <v/>
      </c>
      <c r="M914" s="211">
        <f>MAX($E$2:E914)</f>
        <v/>
      </c>
      <c r="N914" s="341">
        <f>E914/M914-1</f>
        <v/>
      </c>
    </row>
    <row r="915">
      <c r="A915" s="424" t="n">
        <v>45792</v>
      </c>
      <c r="B915" s="425" t="n">
        <v>58.01535555778338</v>
      </c>
      <c r="C915" s="425" t="n">
        <v>59.96706036721195</v>
      </c>
      <c r="D915" s="425" t="n">
        <v>57.80487651473086</v>
      </c>
      <c r="E915" s="425" t="n">
        <v>59.69918060302734</v>
      </c>
      <c r="F915" s="207" t="n">
        <v>14371100</v>
      </c>
      <c r="G915" s="208" t="n">
        <v>0.004884482454574846</v>
      </c>
      <c r="H915" s="209" cm="1">
        <f t="array" ref="H915">IF(ROW()&lt;3,"",E915/INDEX(E:E,ROW()-1)-1)</f>
        <v/>
      </c>
      <c r="I915" s="211">
        <f>IF(ROW()&lt;51,NA(),AVERAGE(INDEX(E:E,ROW()-49):E915))</f>
        <v/>
      </c>
      <c r="J915" s="211">
        <f>IF(ROW()&lt;201,NA(),AVERAGE(INDEX(E:E,ROW()-199):E915))</f>
        <v/>
      </c>
      <c r="K915" s="341">
        <f>IF(ROW()&lt;22,NA(),_xlfn.STDEV.S(INDEX(H:H,ROW()-19):H915)*SQRT(252))</f>
        <v/>
      </c>
      <c r="L915" s="426" cm="1">
        <f t="array" ref="L915">IF(ROW()&lt;17,NA(),_xlfn.LET(_xlpm.d,INDEX(E:E,ROW()-13):E915-INDEX(E:E,ROW()-14):INDEX(E:E,ROW()-1),_xlpm.g,SUM(IF(_xlpm.d&gt;0,_xlpm.d,0)),_xlpm.l,-SUM(IF(_xlpm.d&lt;0,_xlpm.d,0)),IF(_xlpm.l=0,100,100-100/(1+_xlpm.g/_xlpm.l))))</f>
        <v/>
      </c>
      <c r="M915" s="211">
        <f>MAX($E$2:E915)</f>
        <v/>
      </c>
      <c r="N915" s="341">
        <f>E915/M915-1</f>
        <v/>
      </c>
    </row>
    <row r="916">
      <c r="A916" s="424" t="n">
        <v>45793</v>
      </c>
      <c r="B916" s="425" t="n">
        <v>59.79484638696008</v>
      </c>
      <c r="C916" s="425" t="n">
        <v>60.99074331469928</v>
      </c>
      <c r="D916" s="425" t="n">
        <v>59.79484638696008</v>
      </c>
      <c r="E916" s="425" t="n">
        <v>60.37844467163086</v>
      </c>
      <c r="F916" s="207" t="n">
        <v>12950600</v>
      </c>
      <c r="G916" s="208" t="n">
        <v>0.006334115364398984</v>
      </c>
      <c r="H916" s="209" cm="1">
        <f t="array" ref="H916">IF(ROW()&lt;3,"",E916/INDEX(E:E,ROW()-1)-1)</f>
        <v/>
      </c>
      <c r="I916" s="211">
        <f>IF(ROW()&lt;51,NA(),AVERAGE(INDEX(E:E,ROW()-49):E916))</f>
        <v/>
      </c>
      <c r="J916" s="211">
        <f>IF(ROW()&lt;201,NA(),AVERAGE(INDEX(E:E,ROW()-199):E916))</f>
        <v/>
      </c>
      <c r="K916" s="341">
        <f>IF(ROW()&lt;22,NA(),_xlfn.STDEV.S(INDEX(H:H,ROW()-19):H916)*SQRT(252))</f>
        <v/>
      </c>
      <c r="L916" s="426" cm="1">
        <f t="array" ref="L916">IF(ROW()&lt;17,NA(),_xlfn.LET(_xlpm.d,INDEX(E:E,ROW()-13):E916-INDEX(E:E,ROW()-14):INDEX(E:E,ROW()-1),_xlpm.g,SUM(IF(_xlpm.d&gt;0,_xlpm.d,0)),_xlpm.l,-SUM(IF(_xlpm.d&lt;0,_xlpm.d,0)),IF(_xlpm.l=0,100,100-100/(1+_xlpm.g/_xlpm.l))))</f>
        <v/>
      </c>
      <c r="M916" s="211">
        <f>MAX($E$2:E916)</f>
        <v/>
      </c>
      <c r="N916" s="341">
        <f>E916/M916-1</f>
        <v/>
      </c>
    </row>
    <row r="917">
      <c r="A917" s="424" t="n">
        <v>45796</v>
      </c>
      <c r="B917" s="425" t="n">
        <v>59.45999819694181</v>
      </c>
      <c r="C917" s="425" t="n">
        <v>59.72787794759967</v>
      </c>
      <c r="D917" s="425" t="n">
        <v>59.08687528048394</v>
      </c>
      <c r="E917" s="425" t="n">
        <v>59.39302825927734</v>
      </c>
      <c r="F917" s="207" t="n">
        <v>15105300</v>
      </c>
      <c r="G917" s="208" t="n">
        <v>0.001093925216907987</v>
      </c>
      <c r="H917" s="209" cm="1">
        <f t="array" ref="H917">IF(ROW()&lt;3,"",E917/INDEX(E:E,ROW()-1)-1)</f>
        <v/>
      </c>
      <c r="I917" s="211">
        <f>IF(ROW()&lt;51,NA(),AVERAGE(INDEX(E:E,ROW()-49):E917))</f>
        <v/>
      </c>
      <c r="J917" s="211">
        <f>IF(ROW()&lt;201,NA(),AVERAGE(INDEX(E:E,ROW()-199):E917))</f>
        <v/>
      </c>
      <c r="K917" s="341">
        <f>IF(ROW()&lt;22,NA(),_xlfn.STDEV.S(INDEX(H:H,ROW()-19):H917)*SQRT(252))</f>
        <v/>
      </c>
      <c r="L917" s="426" cm="1">
        <f t="array" ref="L917">IF(ROW()&lt;17,NA(),_xlfn.LET(_xlpm.d,INDEX(E:E,ROW()-13):E917-INDEX(E:E,ROW()-14):INDEX(E:E,ROW()-1),_xlpm.g,SUM(IF(_xlpm.d&gt;0,_xlpm.d,0)),_xlpm.l,-SUM(IF(_xlpm.d&lt;0,_xlpm.d,0)),IF(_xlpm.l=0,100,100-100/(1+_xlpm.g/_xlpm.l))))</f>
        <v/>
      </c>
      <c r="M917" s="211">
        <f>MAX($E$2:E917)</f>
        <v/>
      </c>
      <c r="N917" s="341">
        <f>E917/M917-1</f>
        <v/>
      </c>
    </row>
    <row r="918">
      <c r="A918" s="424" t="n">
        <v>45797</v>
      </c>
      <c r="B918" s="425" t="n">
        <v>59.79484859170539</v>
      </c>
      <c r="C918" s="425" t="n">
        <v>60.45498240630616</v>
      </c>
      <c r="D918" s="425" t="n">
        <v>59.58436955679445</v>
      </c>
      <c r="E918" s="425" t="n">
        <v>59.85225296020508</v>
      </c>
      <c r="F918" s="207" t="n">
        <v>10771800</v>
      </c>
      <c r="G918" s="208" t="n">
        <v>-0.00336236605427831</v>
      </c>
      <c r="H918" s="209" cm="1">
        <f t="array" ref="H918">IF(ROW()&lt;3,"",E918/INDEX(E:E,ROW()-1)-1)</f>
        <v/>
      </c>
      <c r="I918" s="211">
        <f>IF(ROW()&lt;51,NA(),AVERAGE(INDEX(E:E,ROW()-49):E918))</f>
        <v/>
      </c>
      <c r="J918" s="211">
        <f>IF(ROW()&lt;201,NA(),AVERAGE(INDEX(E:E,ROW()-199):E918))</f>
        <v/>
      </c>
      <c r="K918" s="341">
        <f>IF(ROW()&lt;22,NA(),_xlfn.STDEV.S(INDEX(H:H,ROW()-19):H918)*SQRT(252))</f>
        <v/>
      </c>
      <c r="L918" s="426" cm="1">
        <f t="array" ref="L918">IF(ROW()&lt;17,NA(),_xlfn.LET(_xlpm.d,INDEX(E:E,ROW()-13):E918-INDEX(E:E,ROW()-14):INDEX(E:E,ROW()-1),_xlpm.g,SUM(IF(_xlpm.d&gt;0,_xlpm.d,0)),_xlpm.l,-SUM(IF(_xlpm.d&lt;0,_xlpm.d,0)),IF(_xlpm.l=0,100,100-100/(1+_xlpm.g/_xlpm.l))))</f>
        <v/>
      </c>
      <c r="M918" s="211">
        <f>MAX($E$2:E918)</f>
        <v/>
      </c>
      <c r="N918" s="341">
        <f>E918/M918-1</f>
        <v/>
      </c>
    </row>
    <row r="919">
      <c r="A919" s="424" t="n">
        <v>45798</v>
      </c>
      <c r="B919" s="425" t="n">
        <v>58.52241134379034</v>
      </c>
      <c r="C919" s="425" t="n">
        <v>59.08687484969538</v>
      </c>
      <c r="D919" s="425" t="n">
        <v>57.28824846612327</v>
      </c>
      <c r="E919" s="425" t="n">
        <v>57.38391876220703</v>
      </c>
      <c r="F919" s="207" t="n">
        <v>17354700</v>
      </c>
      <c r="G919" s="208" t="n">
        <v>-0.01685065167491318</v>
      </c>
      <c r="H919" s="209" cm="1">
        <f t="array" ref="H919">IF(ROW()&lt;3,"",E919/INDEX(E:E,ROW()-1)-1)</f>
        <v/>
      </c>
      <c r="I919" s="211">
        <f>IF(ROW()&lt;51,NA(),AVERAGE(INDEX(E:E,ROW()-49):E919))</f>
        <v/>
      </c>
      <c r="J919" s="211">
        <f>IF(ROW()&lt;201,NA(),AVERAGE(INDEX(E:E,ROW()-199):E919))</f>
        <v/>
      </c>
      <c r="K919" s="341">
        <f>IF(ROW()&lt;22,NA(),_xlfn.STDEV.S(INDEX(H:H,ROW()-19):H919)*SQRT(252))</f>
        <v/>
      </c>
      <c r="L919" s="426" cm="1">
        <f t="array" ref="L919">IF(ROW()&lt;17,NA(),_xlfn.LET(_xlpm.d,INDEX(E:E,ROW()-13):E919-INDEX(E:E,ROW()-14):INDEX(E:E,ROW()-1),_xlpm.g,SUM(IF(_xlpm.d&gt;0,_xlpm.d,0)),_xlpm.l,-SUM(IF(_xlpm.d&lt;0,_xlpm.d,0)),IF(_xlpm.l=0,100,100-100/(1+_xlpm.g/_xlpm.l))))</f>
        <v/>
      </c>
      <c r="M919" s="211">
        <f>MAX($E$2:E919)</f>
        <v/>
      </c>
      <c r="N919" s="341">
        <f>E919/M919-1</f>
        <v/>
      </c>
    </row>
    <row r="920">
      <c r="A920" s="424" t="n">
        <v>45799</v>
      </c>
      <c r="B920" s="425" t="n">
        <v>57.95794754104687</v>
      </c>
      <c r="C920" s="425" t="n">
        <v>58.95293096116707</v>
      </c>
      <c r="D920" s="425" t="n">
        <v>57.55612429576242</v>
      </c>
      <c r="E920" s="425" t="n">
        <v>58.66591644287109</v>
      </c>
      <c r="F920" s="207" t="n">
        <v>16764500</v>
      </c>
      <c r="G920" s="208" t="n">
        <v>0.0003946236650713697</v>
      </c>
      <c r="H920" s="209" cm="1">
        <f t="array" ref="H920">IF(ROW()&lt;3,"",E920/INDEX(E:E,ROW()-1)-1)</f>
        <v/>
      </c>
      <c r="I920" s="211">
        <f>IF(ROW()&lt;51,NA(),AVERAGE(INDEX(E:E,ROW()-49):E920))</f>
        <v/>
      </c>
      <c r="J920" s="211">
        <f>IF(ROW()&lt;201,NA(),AVERAGE(INDEX(E:E,ROW()-199):E920))</f>
        <v/>
      </c>
      <c r="K920" s="341">
        <f>IF(ROW()&lt;22,NA(),_xlfn.STDEV.S(INDEX(H:H,ROW()-19):H920)*SQRT(252))</f>
        <v/>
      </c>
      <c r="L920" s="426" cm="1">
        <f t="array" ref="L920">IF(ROW()&lt;17,NA(),_xlfn.LET(_xlpm.d,INDEX(E:E,ROW()-13):E920-INDEX(E:E,ROW()-14):INDEX(E:E,ROW()-1),_xlpm.g,SUM(IF(_xlpm.d&gt;0,_xlpm.d,0)),_xlpm.l,-SUM(IF(_xlpm.d&lt;0,_xlpm.d,0)),IF(_xlpm.l=0,100,100-100/(1+_xlpm.g/_xlpm.l))))</f>
        <v/>
      </c>
      <c r="M920" s="211">
        <f>MAX($E$2:E920)</f>
        <v/>
      </c>
      <c r="N920" s="341">
        <f>E920/M920-1</f>
        <v/>
      </c>
    </row>
    <row r="921">
      <c r="A921" s="424" t="n">
        <v>45800</v>
      </c>
      <c r="B921" s="425" t="n">
        <v>57.26911314311604</v>
      </c>
      <c r="C921" s="425" t="n">
        <v>57.76660670720715</v>
      </c>
      <c r="D921" s="425" t="n">
        <v>56.91512867140061</v>
      </c>
      <c r="E921" s="425" t="n">
        <v>57.42218780517578</v>
      </c>
      <c r="F921" s="207" t="n">
        <v>14282400</v>
      </c>
      <c r="G921" s="208" t="n">
        <v>-0.006825881910519027</v>
      </c>
      <c r="H921" s="209" cm="1">
        <f t="array" ref="H921">IF(ROW()&lt;3,"",E921/INDEX(E:E,ROW()-1)-1)</f>
        <v/>
      </c>
      <c r="I921" s="211">
        <f>IF(ROW()&lt;51,NA(),AVERAGE(INDEX(E:E,ROW()-49):E921))</f>
        <v/>
      </c>
      <c r="J921" s="211">
        <f>IF(ROW()&lt;201,NA(),AVERAGE(INDEX(E:E,ROW()-199):E921))</f>
        <v/>
      </c>
      <c r="K921" s="341">
        <f>IF(ROW()&lt;22,NA(),_xlfn.STDEV.S(INDEX(H:H,ROW()-19):H921)*SQRT(252))</f>
        <v/>
      </c>
      <c r="L921" s="426" cm="1">
        <f t="array" ref="L921">IF(ROW()&lt;17,NA(),_xlfn.LET(_xlpm.d,INDEX(E:E,ROW()-13):E921-INDEX(E:E,ROW()-14):INDEX(E:E,ROW()-1),_xlpm.g,SUM(IF(_xlpm.d&gt;0,_xlpm.d,0)),_xlpm.l,-SUM(IF(_xlpm.d&lt;0,_xlpm.d,0)),IF(_xlpm.l=0,100,100-100/(1+_xlpm.g/_xlpm.l))))</f>
        <v/>
      </c>
      <c r="M921" s="211">
        <f>MAX($E$2:E921)</f>
        <v/>
      </c>
      <c r="N921" s="341">
        <f>E921/M921-1</f>
        <v/>
      </c>
    </row>
    <row r="922">
      <c r="A922" s="424" t="n">
        <v>45804</v>
      </c>
      <c r="B922" s="425" t="n">
        <v>58.48414462692701</v>
      </c>
      <c r="C922" s="425" t="n">
        <v>60.1201307551912</v>
      </c>
      <c r="D922" s="425" t="n">
        <v>58.20669566260025</v>
      </c>
      <c r="E922" s="425" t="n">
        <v>60.11056518554688</v>
      </c>
      <c r="F922" s="207" t="n">
        <v>16642100</v>
      </c>
      <c r="G922" s="208" t="n">
        <v>0.02079077747352742</v>
      </c>
      <c r="H922" s="209" cm="1">
        <f t="array" ref="H922">IF(ROW()&lt;3,"",E922/INDEX(E:E,ROW()-1)-1)</f>
        <v/>
      </c>
      <c r="I922" s="211">
        <f>IF(ROW()&lt;51,NA(),AVERAGE(INDEX(E:E,ROW()-49):E922))</f>
        <v/>
      </c>
      <c r="J922" s="211">
        <f>IF(ROW()&lt;201,NA(),AVERAGE(INDEX(E:E,ROW()-199):E922))</f>
        <v/>
      </c>
      <c r="K922" s="341">
        <f>IF(ROW()&lt;22,NA(),_xlfn.STDEV.S(INDEX(H:H,ROW()-19):H922)*SQRT(252))</f>
        <v/>
      </c>
      <c r="L922" s="426" cm="1">
        <f t="array" ref="L922">IF(ROW()&lt;17,NA(),_xlfn.LET(_xlpm.d,INDEX(E:E,ROW()-13):E922-INDEX(E:E,ROW()-14):INDEX(E:E,ROW()-1),_xlpm.g,SUM(IF(_xlpm.d&gt;0,_xlpm.d,0)),_xlpm.l,-SUM(IF(_xlpm.d&lt;0,_xlpm.d,0)),IF(_xlpm.l=0,100,100-100/(1+_xlpm.g/_xlpm.l))))</f>
        <v/>
      </c>
      <c r="M922" s="211">
        <f>MAX($E$2:E922)</f>
        <v/>
      </c>
      <c r="N922" s="341">
        <f>E922/M922-1</f>
        <v/>
      </c>
    </row>
    <row r="923">
      <c r="A923" s="424" t="n">
        <v>45805</v>
      </c>
      <c r="B923" s="425" t="n">
        <v>60.02446595389701</v>
      </c>
      <c r="C923" s="425" t="n">
        <v>60.37845045653877</v>
      </c>
      <c r="D923" s="425" t="n">
        <v>58.89553885398076</v>
      </c>
      <c r="E923" s="425" t="n">
        <v>59.10601425170898</v>
      </c>
      <c r="F923" s="207" t="n">
        <v>10015600</v>
      </c>
      <c r="G923" s="208" t="n">
        <v>-0.005785438328822834</v>
      </c>
      <c r="H923" s="209" cm="1">
        <f t="array" ref="H923">IF(ROW()&lt;3,"",E923/INDEX(E:E,ROW()-1)-1)</f>
        <v/>
      </c>
      <c r="I923" s="211">
        <f>IF(ROW()&lt;51,NA(),AVERAGE(INDEX(E:E,ROW()-49):E923))</f>
        <v/>
      </c>
      <c r="J923" s="211">
        <f>IF(ROW()&lt;201,NA(),AVERAGE(INDEX(E:E,ROW()-199):E923))</f>
        <v/>
      </c>
      <c r="K923" s="341">
        <f>IF(ROW()&lt;22,NA(),_xlfn.STDEV.S(INDEX(H:H,ROW()-19):H923)*SQRT(252))</f>
        <v/>
      </c>
      <c r="L923" s="426" cm="1">
        <f t="array" ref="L923">IF(ROW()&lt;17,NA(),_xlfn.LET(_xlpm.d,INDEX(E:E,ROW()-13):E923-INDEX(E:E,ROW()-14):INDEX(E:E,ROW()-1),_xlpm.g,SUM(IF(_xlpm.d&gt;0,_xlpm.d,0)),_xlpm.l,-SUM(IF(_xlpm.d&lt;0,_xlpm.d,0)),IF(_xlpm.l=0,100,100-100/(1+_xlpm.g/_xlpm.l))))</f>
        <v/>
      </c>
      <c r="M923" s="211">
        <f>MAX($E$2:E923)</f>
        <v/>
      </c>
      <c r="N923" s="341">
        <f>E923/M923-1</f>
        <v/>
      </c>
    </row>
    <row r="924">
      <c r="A924" s="424" t="n">
        <v>45806</v>
      </c>
      <c r="B924" s="425" t="n">
        <v>59.78528377514471</v>
      </c>
      <c r="C924" s="425" t="n">
        <v>60.17753784086584</v>
      </c>
      <c r="D924" s="425" t="n">
        <v>58.48414726945861</v>
      </c>
      <c r="E924" s="425" t="n">
        <v>58.78072738647461</v>
      </c>
      <c r="F924" s="207" t="n">
        <v>12218000</v>
      </c>
      <c r="G924" s="208" t="n">
        <v>0.003947320636030538</v>
      </c>
      <c r="H924" s="209" cm="1">
        <f t="array" ref="H924">IF(ROW()&lt;3,"",E924/INDEX(E:E,ROW()-1)-1)</f>
        <v/>
      </c>
      <c r="I924" s="211">
        <f>IF(ROW()&lt;51,NA(),AVERAGE(INDEX(E:E,ROW()-49):E924))</f>
        <v/>
      </c>
      <c r="J924" s="211">
        <f>IF(ROW()&lt;201,NA(),AVERAGE(INDEX(E:E,ROW()-199):E924))</f>
        <v/>
      </c>
      <c r="K924" s="341">
        <f>IF(ROW()&lt;22,NA(),_xlfn.STDEV.S(INDEX(H:H,ROW()-19):H924)*SQRT(252))</f>
        <v/>
      </c>
      <c r="L924" s="426" cm="1">
        <f t="array" ref="L924">IF(ROW()&lt;17,NA(),_xlfn.LET(_xlpm.d,INDEX(E:E,ROW()-13):E924-INDEX(E:E,ROW()-14):INDEX(E:E,ROW()-1),_xlpm.g,SUM(IF(_xlpm.d&gt;0,_xlpm.d,0)),_xlpm.l,-SUM(IF(_xlpm.d&lt;0,_xlpm.d,0)),IF(_xlpm.l=0,100,100-100/(1+_xlpm.g/_xlpm.l))))</f>
        <v/>
      </c>
      <c r="M924" s="211">
        <f>MAX($E$2:E924)</f>
        <v/>
      </c>
      <c r="N924" s="341">
        <f>E924/M924-1</f>
        <v/>
      </c>
    </row>
    <row r="925">
      <c r="A925" s="424" t="n">
        <v>45807</v>
      </c>
      <c r="B925" s="425" t="n">
        <v>58.35976807093989</v>
      </c>
      <c r="C925" s="425" t="n">
        <v>58.47457315017851</v>
      </c>
      <c r="D925" s="425" t="n">
        <v>57.49872085268112</v>
      </c>
      <c r="E925" s="425" t="n">
        <v>57.96751403808594</v>
      </c>
      <c r="F925" s="207" t="n">
        <v>18155100</v>
      </c>
      <c r="G925" s="208" t="n">
        <v>-0.001118444256237749</v>
      </c>
      <c r="H925" s="209" cm="1">
        <f t="array" ref="H925">IF(ROW()&lt;3,"",E925/INDEX(E:E,ROW()-1)-1)</f>
        <v/>
      </c>
      <c r="I925" s="211">
        <f>IF(ROW()&lt;51,NA(),AVERAGE(INDEX(E:E,ROW()-49):E925))</f>
        <v/>
      </c>
      <c r="J925" s="211">
        <f>IF(ROW()&lt;201,NA(),AVERAGE(INDEX(E:E,ROW()-199):E925))</f>
        <v/>
      </c>
      <c r="K925" s="341">
        <f>IF(ROW()&lt;22,NA(),_xlfn.STDEV.S(INDEX(H:H,ROW()-19):H925)*SQRT(252))</f>
        <v/>
      </c>
      <c r="L925" s="426" cm="1">
        <f t="array" ref="L925">IF(ROW()&lt;17,NA(),_xlfn.LET(_xlpm.d,INDEX(E:E,ROW()-13):E925-INDEX(E:E,ROW()-14):INDEX(E:E,ROW()-1),_xlpm.g,SUM(IF(_xlpm.d&gt;0,_xlpm.d,0)),_xlpm.l,-SUM(IF(_xlpm.d&lt;0,_xlpm.d,0)),IF(_xlpm.l=0,100,100-100/(1+_xlpm.g/_xlpm.l))))</f>
        <v/>
      </c>
      <c r="M925" s="211">
        <f>MAX($E$2:E925)</f>
        <v/>
      </c>
      <c r="N925" s="341">
        <f>E925/M925-1</f>
        <v/>
      </c>
    </row>
    <row r="926">
      <c r="A926" s="424" t="n">
        <v>45810</v>
      </c>
      <c r="B926" s="425" t="n">
        <v>57.83268689635607</v>
      </c>
      <c r="C926" s="425" t="n">
        <v>59.32545328612132</v>
      </c>
      <c r="D926" s="425" t="n">
        <v>57.39930215769087</v>
      </c>
      <c r="E926" s="425" t="n">
        <v>59.29656219482422</v>
      </c>
      <c r="F926" s="207" t="n">
        <v>14065300</v>
      </c>
      <c r="G926" s="208" t="n">
        <v>0.005633012815451588</v>
      </c>
      <c r="H926" s="209" cm="1">
        <f t="array" ref="H926">IF(ROW()&lt;3,"",E926/INDEX(E:E,ROW()-1)-1)</f>
        <v/>
      </c>
      <c r="I926" s="211">
        <f>IF(ROW()&lt;51,NA(),AVERAGE(INDEX(E:E,ROW()-49):E926))</f>
        <v/>
      </c>
      <c r="J926" s="211">
        <f>IF(ROW()&lt;201,NA(),AVERAGE(INDEX(E:E,ROW()-199):E926))</f>
        <v/>
      </c>
      <c r="K926" s="341">
        <f>IF(ROW()&lt;22,NA(),_xlfn.STDEV.S(INDEX(H:H,ROW()-19):H926)*SQRT(252))</f>
        <v/>
      </c>
      <c r="L926" s="426" cm="1">
        <f t="array" ref="L926">IF(ROW()&lt;17,NA(),_xlfn.LET(_xlpm.d,INDEX(E:E,ROW()-13):E926-INDEX(E:E,ROW()-14):INDEX(E:E,ROW()-1),_xlpm.g,SUM(IF(_xlpm.d&gt;0,_xlpm.d,0)),_xlpm.l,-SUM(IF(_xlpm.d&lt;0,_xlpm.d,0)),IF(_xlpm.l=0,100,100-100/(1+_xlpm.g/_xlpm.l))))</f>
        <v/>
      </c>
      <c r="M926" s="211">
        <f>MAX($E$2:E926)</f>
        <v/>
      </c>
      <c r="N926" s="341">
        <f>E926/M926-1</f>
        <v/>
      </c>
    </row>
    <row r="927">
      <c r="A927" s="424" t="n">
        <v>45811</v>
      </c>
      <c r="B927" s="425" t="n">
        <v>58.97874770095152</v>
      </c>
      <c r="C927" s="425" t="n">
        <v>60.14406822292316</v>
      </c>
      <c r="D927" s="425" t="n">
        <v>58.22754628134993</v>
      </c>
      <c r="E927" s="425" t="n">
        <v>60.06702041625977</v>
      </c>
      <c r="F927" s="207" t="n">
        <v>10286100</v>
      </c>
      <c r="G927" s="208" t="n">
        <v>0.005702480290520562</v>
      </c>
      <c r="H927" s="209" cm="1">
        <f t="array" ref="H927">IF(ROW()&lt;3,"",E927/INDEX(E:E,ROW()-1)-1)</f>
        <v/>
      </c>
      <c r="I927" s="211">
        <f>IF(ROW()&lt;51,NA(),AVERAGE(INDEX(E:E,ROW()-49):E927))</f>
        <v/>
      </c>
      <c r="J927" s="211">
        <f>IF(ROW()&lt;201,NA(),AVERAGE(INDEX(E:E,ROW()-199):E927))</f>
        <v/>
      </c>
      <c r="K927" s="341">
        <f>IF(ROW()&lt;22,NA(),_xlfn.STDEV.S(INDEX(H:H,ROW()-19):H927)*SQRT(252))</f>
        <v/>
      </c>
      <c r="L927" s="426" cm="1">
        <f t="array" ref="L927">IF(ROW()&lt;17,NA(),_xlfn.LET(_xlpm.d,INDEX(E:E,ROW()-13):E927-INDEX(E:E,ROW()-14):INDEX(E:E,ROW()-1),_xlpm.g,SUM(IF(_xlpm.d&gt;0,_xlpm.d,0)),_xlpm.l,-SUM(IF(_xlpm.d&lt;0,_xlpm.d,0)),IF(_xlpm.l=0,100,100-100/(1+_xlpm.g/_xlpm.l))))</f>
        <v/>
      </c>
      <c r="M927" s="211">
        <f>MAX($E$2:E927)</f>
        <v/>
      </c>
      <c r="N927" s="341">
        <f>E927/M927-1</f>
        <v/>
      </c>
    </row>
    <row r="928">
      <c r="A928" s="424" t="n">
        <v>45812</v>
      </c>
      <c r="B928" s="425" t="n">
        <v>60.07665635658987</v>
      </c>
      <c r="C928" s="425" t="n">
        <v>60.7122860992871</v>
      </c>
      <c r="D928" s="425" t="n">
        <v>59.97071745383336</v>
      </c>
      <c r="E928" s="425" t="n">
        <v>60.45225524902344</v>
      </c>
      <c r="F928" s="207" t="n">
        <v>10242300</v>
      </c>
      <c r="G928" s="208" t="n">
        <v>-0.0002683464725606877</v>
      </c>
      <c r="H928" s="209" cm="1">
        <f t="array" ref="H928">IF(ROW()&lt;3,"",E928/INDEX(E:E,ROW()-1)-1)</f>
        <v/>
      </c>
      <c r="I928" s="211">
        <f>IF(ROW()&lt;51,NA(),AVERAGE(INDEX(E:E,ROW()-49):E928))</f>
        <v/>
      </c>
      <c r="J928" s="211">
        <f>IF(ROW()&lt;201,NA(),AVERAGE(INDEX(E:E,ROW()-199):E928))</f>
        <v/>
      </c>
      <c r="K928" s="341">
        <f>IF(ROW()&lt;22,NA(),_xlfn.STDEV.S(INDEX(H:H,ROW()-19):H928)*SQRT(252))</f>
        <v/>
      </c>
      <c r="L928" s="426" cm="1">
        <f t="array" ref="L928">IF(ROW()&lt;17,NA(),_xlfn.LET(_xlpm.d,INDEX(E:E,ROW()-13):E928-INDEX(E:E,ROW()-14):INDEX(E:E,ROW()-1),_xlpm.g,SUM(IF(_xlpm.d&gt;0,_xlpm.d,0)),_xlpm.l,-SUM(IF(_xlpm.d&lt;0,_xlpm.d,0)),IF(_xlpm.l=0,100,100-100/(1+_xlpm.g/_xlpm.l))))</f>
        <v/>
      </c>
      <c r="M928" s="211">
        <f>MAX($E$2:E928)</f>
        <v/>
      </c>
      <c r="N928" s="341">
        <f>E928/M928-1</f>
        <v/>
      </c>
    </row>
    <row r="929">
      <c r="A929" s="424" t="n">
        <v>45813</v>
      </c>
      <c r="B929" s="425" t="n">
        <v>60.61598026899114</v>
      </c>
      <c r="C929" s="425" t="n">
        <v>61.30939591468628</v>
      </c>
      <c r="D929" s="425" t="n">
        <v>59.93219743717626</v>
      </c>
      <c r="E929" s="425" t="n">
        <v>60.35594940185547</v>
      </c>
      <c r="F929" s="207" t="n">
        <v>12336300</v>
      </c>
      <c r="G929" s="208" t="n">
        <v>-0.004832886576524031</v>
      </c>
      <c r="H929" s="209" cm="1">
        <f t="array" ref="H929">IF(ROW()&lt;3,"",E929/INDEX(E:E,ROW()-1)-1)</f>
        <v/>
      </c>
      <c r="I929" s="211">
        <f>IF(ROW()&lt;51,NA(),AVERAGE(INDEX(E:E,ROW()-49):E929))</f>
        <v/>
      </c>
      <c r="J929" s="211">
        <f>IF(ROW()&lt;201,NA(),AVERAGE(INDEX(E:E,ROW()-199):E929))</f>
        <v/>
      </c>
      <c r="K929" s="341">
        <f>IF(ROW()&lt;22,NA(),_xlfn.STDEV.S(INDEX(H:H,ROW()-19):H929)*SQRT(252))</f>
        <v/>
      </c>
      <c r="L929" s="426" cm="1">
        <f t="array" ref="L929">IF(ROW()&lt;17,NA(),_xlfn.LET(_xlpm.d,INDEX(E:E,ROW()-13):E929-INDEX(E:E,ROW()-14):INDEX(E:E,ROW()-1),_xlpm.g,SUM(IF(_xlpm.d&gt;0,_xlpm.d,0)),_xlpm.l,-SUM(IF(_xlpm.d&lt;0,_xlpm.d,0)),IF(_xlpm.l=0,100,100-100/(1+_xlpm.g/_xlpm.l))))</f>
        <v/>
      </c>
      <c r="M929" s="211">
        <f>MAX($E$2:E929)</f>
        <v/>
      </c>
      <c r="N929" s="341">
        <f>E929/M929-1</f>
        <v/>
      </c>
    </row>
    <row r="930">
      <c r="A930" s="424" t="n">
        <v>45814</v>
      </c>
      <c r="B930" s="425" t="n">
        <v>60.35594310093774</v>
      </c>
      <c r="C930" s="425" t="n">
        <v>60.76043674331307</v>
      </c>
      <c r="D930" s="425" t="n">
        <v>59.8262522819258</v>
      </c>
      <c r="E930" s="425" t="n">
        <v>60.48114395141602</v>
      </c>
      <c r="F930" s="207" t="n">
        <v>13299600</v>
      </c>
      <c r="G930" s="208" t="n">
        <v>0.01026900222096949</v>
      </c>
      <c r="H930" s="209" cm="1">
        <f t="array" ref="H930">IF(ROW()&lt;3,"",E930/INDEX(E:E,ROW()-1)-1)</f>
        <v/>
      </c>
      <c r="I930" s="211">
        <f>IF(ROW()&lt;51,NA(),AVERAGE(INDEX(E:E,ROW()-49):E930))</f>
        <v/>
      </c>
      <c r="J930" s="211">
        <f>IF(ROW()&lt;201,NA(),AVERAGE(INDEX(E:E,ROW()-199):E930))</f>
        <v/>
      </c>
      <c r="K930" s="341">
        <f>IF(ROW()&lt;22,NA(),_xlfn.STDEV.S(INDEX(H:H,ROW()-19):H930)*SQRT(252))</f>
        <v/>
      </c>
      <c r="L930" s="426" cm="1">
        <f t="array" ref="L930">IF(ROW()&lt;17,NA(),_xlfn.LET(_xlpm.d,INDEX(E:E,ROW()-13):E930-INDEX(E:E,ROW()-14):INDEX(E:E,ROW()-1),_xlpm.g,SUM(IF(_xlpm.d&gt;0,_xlpm.d,0)),_xlpm.l,-SUM(IF(_xlpm.d&lt;0,_xlpm.d,0)),IF(_xlpm.l=0,100,100-100/(1+_xlpm.g/_xlpm.l))))</f>
        <v/>
      </c>
      <c r="M930" s="211">
        <f>MAX($E$2:E930)</f>
        <v/>
      </c>
      <c r="N930" s="341">
        <f>E930/M930-1</f>
        <v/>
      </c>
    </row>
    <row r="931">
      <c r="A931" s="424" t="n">
        <v>45817</v>
      </c>
      <c r="B931" s="425" t="n">
        <v>60.96268262841321</v>
      </c>
      <c r="C931" s="425" t="n">
        <v>61.14566933731811</v>
      </c>
      <c r="D931" s="425" t="n">
        <v>59.59511708734352</v>
      </c>
      <c r="E931" s="425" t="n">
        <v>59.62400817871094</v>
      </c>
      <c r="F931" s="207" t="n">
        <v>11640000</v>
      </c>
      <c r="G931" s="208" t="n">
        <v>0.0009011883528189379</v>
      </c>
      <c r="H931" s="209" cm="1">
        <f t="array" ref="H931">IF(ROW()&lt;3,"",E931/INDEX(E:E,ROW()-1)-1)</f>
        <v/>
      </c>
      <c r="I931" s="211">
        <f>IF(ROW()&lt;51,NA(),AVERAGE(INDEX(E:E,ROW()-49):E931))</f>
        <v/>
      </c>
      <c r="J931" s="211">
        <f>IF(ROW()&lt;201,NA(),AVERAGE(INDEX(E:E,ROW()-199):E931))</f>
        <v/>
      </c>
      <c r="K931" s="341">
        <f>IF(ROW()&lt;22,NA(),_xlfn.STDEV.S(INDEX(H:H,ROW()-19):H931)*SQRT(252))</f>
        <v/>
      </c>
      <c r="L931" s="426" cm="1">
        <f t="array" ref="L931">IF(ROW()&lt;17,NA(),_xlfn.LET(_xlpm.d,INDEX(E:E,ROW()-13):E931-INDEX(E:E,ROW()-14):INDEX(E:E,ROW()-1),_xlpm.g,SUM(IF(_xlpm.d&gt;0,_xlpm.d,0)),_xlpm.l,-SUM(IF(_xlpm.d&lt;0,_xlpm.d,0)),IF(_xlpm.l=0,100,100-100/(1+_xlpm.g/_xlpm.l))))</f>
        <v/>
      </c>
      <c r="M931" s="211">
        <f>MAX($E$2:E931)</f>
        <v/>
      </c>
      <c r="N931" s="341">
        <f>E931/M931-1</f>
        <v/>
      </c>
    </row>
    <row r="932">
      <c r="A932" s="424" t="n">
        <v>45818</v>
      </c>
      <c r="B932" s="425" t="n">
        <v>60.07665802909328</v>
      </c>
      <c r="C932" s="425" t="n">
        <v>61.790935125907</v>
      </c>
      <c r="D932" s="425" t="n">
        <v>59.95145717018263</v>
      </c>
      <c r="E932" s="425" t="n">
        <v>61.51163864135742</v>
      </c>
      <c r="F932" s="207" t="n">
        <v>15287000</v>
      </c>
      <c r="G932" s="208" t="n">
        <v>0.005669932904224684</v>
      </c>
      <c r="H932" s="209" cm="1">
        <f t="array" ref="H932">IF(ROW()&lt;3,"",E932/INDEX(E:E,ROW()-1)-1)</f>
        <v/>
      </c>
      <c r="I932" s="211">
        <f>IF(ROW()&lt;51,NA(),AVERAGE(INDEX(E:E,ROW()-49):E932))</f>
        <v/>
      </c>
      <c r="J932" s="211">
        <f>IF(ROW()&lt;201,NA(),AVERAGE(INDEX(E:E,ROW()-199):E932))</f>
        <v/>
      </c>
      <c r="K932" s="341">
        <f>IF(ROW()&lt;22,NA(),_xlfn.STDEV.S(INDEX(H:H,ROW()-19):H932)*SQRT(252))</f>
        <v/>
      </c>
      <c r="L932" s="426" cm="1">
        <f t="array" ref="L932">IF(ROW()&lt;17,NA(),_xlfn.LET(_xlpm.d,INDEX(E:E,ROW()-13):E932-INDEX(E:E,ROW()-14):INDEX(E:E,ROW()-1),_xlpm.g,SUM(IF(_xlpm.d&gt;0,_xlpm.d,0)),_xlpm.l,-SUM(IF(_xlpm.d&lt;0,_xlpm.d,0)),IF(_xlpm.l=0,100,100-100/(1+_xlpm.g/_xlpm.l))))</f>
        <v/>
      </c>
      <c r="M932" s="211">
        <f>MAX($E$2:E932)</f>
        <v/>
      </c>
      <c r="N932" s="341">
        <f>E932/M932-1</f>
        <v/>
      </c>
    </row>
    <row r="933">
      <c r="A933" s="424" t="n">
        <v>45819</v>
      </c>
      <c r="B933" s="425" t="n">
        <v>62.02206573633503</v>
      </c>
      <c r="C933" s="425" t="n">
        <v>62.45544678670366</v>
      </c>
      <c r="D933" s="425" t="n">
        <v>60.26926856183284</v>
      </c>
      <c r="E933" s="425" t="n">
        <v>60.77969741821289</v>
      </c>
      <c r="F933" s="207" t="n">
        <v>10238700</v>
      </c>
      <c r="G933" s="208" t="n">
        <v>-0.00285216324884463</v>
      </c>
      <c r="H933" s="209" cm="1">
        <f t="array" ref="H933">IF(ROW()&lt;3,"",E933/INDEX(E:E,ROW()-1)-1)</f>
        <v/>
      </c>
      <c r="I933" s="211">
        <f>IF(ROW()&lt;51,NA(),AVERAGE(INDEX(E:E,ROW()-49):E933))</f>
        <v/>
      </c>
      <c r="J933" s="211">
        <f>IF(ROW()&lt;201,NA(),AVERAGE(INDEX(E:E,ROW()-199):E933))</f>
        <v/>
      </c>
      <c r="K933" s="341">
        <f>IF(ROW()&lt;22,NA(),_xlfn.STDEV.S(INDEX(H:H,ROW()-19):H933)*SQRT(252))</f>
        <v/>
      </c>
      <c r="L933" s="426" cm="1">
        <f t="array" ref="L933">IF(ROW()&lt;17,NA(),_xlfn.LET(_xlpm.d,INDEX(E:E,ROW()-13):E933-INDEX(E:E,ROW()-14):INDEX(E:E,ROW()-1),_xlpm.g,SUM(IF(_xlpm.d&gt;0,_xlpm.d,0)),_xlpm.l,-SUM(IF(_xlpm.d&lt;0,_xlpm.d,0)),IF(_xlpm.l=0,100,100-100/(1+_xlpm.g/_xlpm.l))))</f>
        <v/>
      </c>
      <c r="M933" s="211">
        <f>MAX($E$2:E933)</f>
        <v/>
      </c>
      <c r="N933" s="341">
        <f>E933/M933-1</f>
        <v/>
      </c>
    </row>
    <row r="934">
      <c r="A934" s="424" t="n">
        <v>45820</v>
      </c>
      <c r="B934" s="425" t="n">
        <v>60.42336176953502</v>
      </c>
      <c r="C934" s="425" t="n">
        <v>60.60634480189429</v>
      </c>
      <c r="D934" s="425" t="n">
        <v>59.47954449527312</v>
      </c>
      <c r="E934" s="425" t="n">
        <v>60.48114395141602</v>
      </c>
      <c r="F934" s="207" t="n">
        <v>9830500</v>
      </c>
      <c r="G934" s="208" t="n">
        <v>0.003974239154726611</v>
      </c>
      <c r="H934" s="209" cm="1">
        <f t="array" ref="H934">IF(ROW()&lt;3,"",E934/INDEX(E:E,ROW()-1)-1)</f>
        <v/>
      </c>
      <c r="I934" s="211">
        <f>IF(ROW()&lt;51,NA(),AVERAGE(INDEX(E:E,ROW()-49):E934))</f>
        <v/>
      </c>
      <c r="J934" s="211">
        <f>IF(ROW()&lt;201,NA(),AVERAGE(INDEX(E:E,ROW()-199):E934))</f>
        <v/>
      </c>
      <c r="K934" s="341">
        <f>IF(ROW()&lt;22,NA(),_xlfn.STDEV.S(INDEX(H:H,ROW()-19):H934)*SQRT(252))</f>
        <v/>
      </c>
      <c r="L934" s="426" cm="1">
        <f t="array" ref="L934">IF(ROW()&lt;17,NA(),_xlfn.LET(_xlpm.d,INDEX(E:E,ROW()-13):E934-INDEX(E:E,ROW()-14):INDEX(E:E,ROW()-1),_xlpm.g,SUM(IF(_xlpm.d&gt;0,_xlpm.d,0)),_xlpm.l,-SUM(IF(_xlpm.d&lt;0,_xlpm.d,0)),IF(_xlpm.l=0,100,100-100/(1+_xlpm.g/_xlpm.l))))</f>
        <v/>
      </c>
      <c r="M934" s="211">
        <f>MAX($E$2:E934)</f>
        <v/>
      </c>
      <c r="N934" s="341">
        <f>E934/M934-1</f>
        <v/>
      </c>
    </row>
    <row r="935">
      <c r="A935" s="424" t="n">
        <v>45821</v>
      </c>
      <c r="B935" s="425" t="n">
        <v>59.46991333143765</v>
      </c>
      <c r="C935" s="425" t="n">
        <v>60.46187994093192</v>
      </c>
      <c r="D935" s="425" t="n">
        <v>57.89047006721087</v>
      </c>
      <c r="E935" s="425" t="n">
        <v>58.29496002197266</v>
      </c>
      <c r="F935" s="207" t="n">
        <v>16509700</v>
      </c>
      <c r="G935" s="208" t="n">
        <v>-0.01117997179160313</v>
      </c>
      <c r="H935" s="209" cm="1">
        <f t="array" ref="H935">IF(ROW()&lt;3,"",E935/INDEX(E:E,ROW()-1)-1)</f>
        <v/>
      </c>
      <c r="I935" s="211">
        <f>IF(ROW()&lt;51,NA(),AVERAGE(INDEX(E:E,ROW()-49):E935))</f>
        <v/>
      </c>
      <c r="J935" s="211">
        <f>IF(ROW()&lt;201,NA(),AVERAGE(INDEX(E:E,ROW()-199):E935))</f>
        <v/>
      </c>
      <c r="K935" s="341">
        <f>IF(ROW()&lt;22,NA(),_xlfn.STDEV.S(INDEX(H:H,ROW()-19):H935)*SQRT(252))</f>
        <v/>
      </c>
      <c r="L935" s="426" cm="1">
        <f t="array" ref="L935">IF(ROW()&lt;17,NA(),_xlfn.LET(_xlpm.d,INDEX(E:E,ROW()-13):E935-INDEX(E:E,ROW()-14):INDEX(E:E,ROW()-1),_xlpm.g,SUM(IF(_xlpm.d&gt;0,_xlpm.d,0)),_xlpm.l,-SUM(IF(_xlpm.d&lt;0,_xlpm.d,0)),IF(_xlpm.l=0,100,100-100/(1+_xlpm.g/_xlpm.l))))</f>
        <v/>
      </c>
      <c r="M935" s="211">
        <f>MAX($E$2:E935)</f>
        <v/>
      </c>
      <c r="N935" s="341">
        <f>E935/M935-1</f>
        <v/>
      </c>
    </row>
    <row r="936">
      <c r="A936" s="424" t="n">
        <v>45824</v>
      </c>
      <c r="B936" s="425" t="n">
        <v>59.11358014025676</v>
      </c>
      <c r="C936" s="425" t="n">
        <v>59.88403986963414</v>
      </c>
      <c r="D936" s="425" t="n">
        <v>58.97875014684595</v>
      </c>
      <c r="E936" s="425" t="n">
        <v>59.6143798828125</v>
      </c>
      <c r="F936" s="207" t="n">
        <v>13681600</v>
      </c>
      <c r="G936" s="208" t="n">
        <v>0.009514064635483432</v>
      </c>
      <c r="H936" s="209" cm="1">
        <f t="array" ref="H936">IF(ROW()&lt;3,"",E936/INDEX(E:E,ROW()-1)-1)</f>
        <v/>
      </c>
      <c r="I936" s="211">
        <f>IF(ROW()&lt;51,NA(),AVERAGE(INDEX(E:E,ROW()-49):E936))</f>
        <v/>
      </c>
      <c r="J936" s="211">
        <f>IF(ROW()&lt;201,NA(),AVERAGE(INDEX(E:E,ROW()-199):E936))</f>
        <v/>
      </c>
      <c r="K936" s="341">
        <f>IF(ROW()&lt;22,NA(),_xlfn.STDEV.S(INDEX(H:H,ROW()-19):H936)*SQRT(252))</f>
        <v/>
      </c>
      <c r="L936" s="426" cm="1">
        <f t="array" ref="L936">IF(ROW()&lt;17,NA(),_xlfn.LET(_xlpm.d,INDEX(E:E,ROW()-13):E936-INDEX(E:E,ROW()-14):INDEX(E:E,ROW()-1),_xlpm.g,SUM(IF(_xlpm.d&gt;0,_xlpm.d,0)),_xlpm.l,-SUM(IF(_xlpm.d&lt;0,_xlpm.d,0)),IF(_xlpm.l=0,100,100-100/(1+_xlpm.g/_xlpm.l))))</f>
        <v/>
      </c>
      <c r="M936" s="211">
        <f>MAX($E$2:E936)</f>
        <v/>
      </c>
      <c r="N936" s="341">
        <f>E936/M936-1</f>
        <v/>
      </c>
    </row>
    <row r="937">
      <c r="A937" s="424" t="n">
        <v>45825</v>
      </c>
      <c r="B937" s="425" t="n">
        <v>59.03653586343717</v>
      </c>
      <c r="C937" s="425" t="n">
        <v>59.03653586343717</v>
      </c>
      <c r="D937" s="425" t="n">
        <v>57.47635435884877</v>
      </c>
      <c r="E937" s="425" t="n">
        <v>57.78453826904297</v>
      </c>
      <c r="F937" s="207" t="n">
        <v>13649700</v>
      </c>
      <c r="G937" s="208" t="n">
        <v>-0.008544977649466601</v>
      </c>
      <c r="H937" s="209" cm="1">
        <f t="array" ref="H937">IF(ROW()&lt;3,"",E937/INDEX(E:E,ROW()-1)-1)</f>
        <v/>
      </c>
      <c r="I937" s="211">
        <f>IF(ROW()&lt;51,NA(),AVERAGE(INDEX(E:E,ROW()-49):E937))</f>
        <v/>
      </c>
      <c r="J937" s="211">
        <f>IF(ROW()&lt;201,NA(),AVERAGE(INDEX(E:E,ROW()-199):E937))</f>
        <v/>
      </c>
      <c r="K937" s="341">
        <f>IF(ROW()&lt;22,NA(),_xlfn.STDEV.S(INDEX(H:H,ROW()-19):H937)*SQRT(252))</f>
        <v/>
      </c>
      <c r="L937" s="426" cm="1">
        <f t="array" ref="L937">IF(ROW()&lt;17,NA(),_xlfn.LET(_xlpm.d,INDEX(E:E,ROW()-13):E937-INDEX(E:E,ROW()-14):INDEX(E:E,ROW()-1),_xlpm.g,SUM(IF(_xlpm.d&gt;0,_xlpm.d,0)),_xlpm.l,-SUM(IF(_xlpm.d&lt;0,_xlpm.d,0)),IF(_xlpm.l=0,100,100-100/(1+_xlpm.g/_xlpm.l))))</f>
        <v/>
      </c>
      <c r="M937" s="211">
        <f>MAX($E$2:E937)</f>
        <v/>
      </c>
      <c r="N937" s="341">
        <f>E937/M937-1</f>
        <v/>
      </c>
    </row>
    <row r="938">
      <c r="A938" s="424" t="n">
        <v>45826</v>
      </c>
      <c r="B938" s="425" t="n">
        <v>57.78453453352392</v>
      </c>
      <c r="C938" s="425" t="n">
        <v>58.2179192772937</v>
      </c>
      <c r="D938" s="425" t="n">
        <v>57.17779589224622</v>
      </c>
      <c r="E938" s="425" t="n">
        <v>57.31262588500977</v>
      </c>
      <c r="F938" s="207" t="n">
        <v>14194300</v>
      </c>
      <c r="G938" s="208" t="n">
        <v>-0.0001507758100772749</v>
      </c>
      <c r="H938" s="209" cm="1">
        <f t="array" ref="H938">IF(ROW()&lt;3,"",E938/INDEX(E:E,ROW()-1)-1)</f>
        <v/>
      </c>
      <c r="I938" s="211">
        <f>IF(ROW()&lt;51,NA(),AVERAGE(INDEX(E:E,ROW()-49):E938))</f>
        <v/>
      </c>
      <c r="J938" s="211">
        <f>IF(ROW()&lt;201,NA(),AVERAGE(INDEX(E:E,ROW()-199):E938))</f>
        <v/>
      </c>
      <c r="K938" s="341">
        <f>IF(ROW()&lt;22,NA(),_xlfn.STDEV.S(INDEX(H:H,ROW()-19):H938)*SQRT(252))</f>
        <v/>
      </c>
      <c r="L938" s="426" cm="1">
        <f t="array" ref="L938">IF(ROW()&lt;17,NA(),_xlfn.LET(_xlpm.d,INDEX(E:E,ROW()-13):E938-INDEX(E:E,ROW()-14):INDEX(E:E,ROW()-1),_xlpm.g,SUM(IF(_xlpm.d&gt;0,_xlpm.d,0)),_xlpm.l,-SUM(IF(_xlpm.d&lt;0,_xlpm.d,0)),IF(_xlpm.l=0,100,100-100/(1+_xlpm.g/_xlpm.l))))</f>
        <v/>
      </c>
      <c r="M938" s="211">
        <f>MAX($E$2:E938)</f>
        <v/>
      </c>
      <c r="N938" s="341">
        <f>E938/M938-1</f>
        <v/>
      </c>
    </row>
    <row r="939">
      <c r="A939" s="424" t="n">
        <v>45828</v>
      </c>
      <c r="B939" s="425" t="n">
        <v>57.5437667439304</v>
      </c>
      <c r="C939" s="425" t="n">
        <v>57.82305954792423</v>
      </c>
      <c r="D939" s="425" t="n">
        <v>57.00444308868456</v>
      </c>
      <c r="E939" s="425" t="n">
        <v>57.58229064941406</v>
      </c>
      <c r="F939" s="207" t="n">
        <v>19084000</v>
      </c>
      <c r="G939" s="208" t="n">
        <v>-0.002348490041272244</v>
      </c>
      <c r="H939" s="209" cm="1">
        <f t="array" ref="H939">IF(ROW()&lt;3,"",E939/INDEX(E:E,ROW()-1)-1)</f>
        <v/>
      </c>
      <c r="I939" s="211">
        <f>IF(ROW()&lt;51,NA(),AVERAGE(INDEX(E:E,ROW()-49):E939))</f>
        <v/>
      </c>
      <c r="J939" s="211">
        <f>IF(ROW()&lt;201,NA(),AVERAGE(INDEX(E:E,ROW()-199):E939))</f>
        <v/>
      </c>
      <c r="K939" s="341">
        <f>IF(ROW()&lt;22,NA(),_xlfn.STDEV.S(INDEX(H:H,ROW()-19):H939)*SQRT(252))</f>
        <v/>
      </c>
      <c r="L939" s="426" cm="1">
        <f t="array" ref="L939">IF(ROW()&lt;17,NA(),_xlfn.LET(_xlpm.d,INDEX(E:E,ROW()-13):E939-INDEX(E:E,ROW()-14):INDEX(E:E,ROW()-1),_xlpm.g,SUM(IF(_xlpm.d&gt;0,_xlpm.d,0)),_xlpm.l,-SUM(IF(_xlpm.d&lt;0,_xlpm.d,0)),IF(_xlpm.l=0,100,100-100/(1+_xlpm.g/_xlpm.l))))</f>
        <v/>
      </c>
      <c r="M939" s="211">
        <f>MAX($E$2:E939)</f>
        <v/>
      </c>
      <c r="N939" s="341">
        <f>E939/M939-1</f>
        <v/>
      </c>
    </row>
    <row r="940">
      <c r="A940" s="424" t="n">
        <v>45831</v>
      </c>
      <c r="B940" s="425" t="n">
        <v>57.38004077904867</v>
      </c>
      <c r="C940" s="425" t="n">
        <v>59.03652816178374</v>
      </c>
      <c r="D940" s="425" t="n">
        <v>57.24520712131677</v>
      </c>
      <c r="E940" s="425" t="n">
        <v>58.53572845458984</v>
      </c>
      <c r="F940" s="207" t="n">
        <v>15921300</v>
      </c>
      <c r="G940" s="208" t="n">
        <v>0.009877445925917883</v>
      </c>
      <c r="H940" s="209" cm="1">
        <f t="array" ref="H940">IF(ROW()&lt;3,"",E940/INDEX(E:E,ROW()-1)-1)</f>
        <v/>
      </c>
      <c r="I940" s="211">
        <f>IF(ROW()&lt;51,NA(),AVERAGE(INDEX(E:E,ROW()-49):E940))</f>
        <v/>
      </c>
      <c r="J940" s="211">
        <f>IF(ROW()&lt;201,NA(),AVERAGE(INDEX(E:E,ROW()-199):E940))</f>
        <v/>
      </c>
      <c r="K940" s="341">
        <f>IF(ROW()&lt;22,NA(),_xlfn.STDEV.S(INDEX(H:H,ROW()-19):H940)*SQRT(252))</f>
        <v/>
      </c>
      <c r="L940" s="426" cm="1">
        <f t="array" ref="L940">IF(ROW()&lt;17,NA(),_xlfn.LET(_xlpm.d,INDEX(E:E,ROW()-13):E940-INDEX(E:E,ROW()-14):INDEX(E:E,ROW()-1),_xlpm.g,SUM(IF(_xlpm.d&gt;0,_xlpm.d,0)),_xlpm.l,-SUM(IF(_xlpm.d&lt;0,_xlpm.d,0)),IF(_xlpm.l=0,100,100-100/(1+_xlpm.g/_xlpm.l))))</f>
        <v/>
      </c>
      <c r="M940" s="211">
        <f>MAX($E$2:E940)</f>
        <v/>
      </c>
      <c r="N940" s="341">
        <f>E940/M940-1</f>
        <v/>
      </c>
    </row>
    <row r="941">
      <c r="A941" s="424" t="n">
        <v>45832</v>
      </c>
      <c r="B941" s="425" t="n">
        <v>59.0654263351632</v>
      </c>
      <c r="C941" s="425" t="n">
        <v>59.69142324991275</v>
      </c>
      <c r="D941" s="425" t="n">
        <v>58.24680989824832</v>
      </c>
      <c r="E941" s="425" t="n">
        <v>59.152099609375</v>
      </c>
      <c r="F941" s="207" t="n">
        <v>12564000</v>
      </c>
      <c r="G941" s="208" t="n">
        <v>0.01104730218324668</v>
      </c>
      <c r="H941" s="209" cm="1">
        <f t="array" ref="H941">IF(ROW()&lt;3,"",E941/INDEX(E:E,ROW()-1)-1)</f>
        <v/>
      </c>
      <c r="I941" s="211">
        <f>IF(ROW()&lt;51,NA(),AVERAGE(INDEX(E:E,ROW()-49):E941))</f>
        <v/>
      </c>
      <c r="J941" s="211">
        <f>IF(ROW()&lt;201,NA(),AVERAGE(INDEX(E:E,ROW()-199):E941))</f>
        <v/>
      </c>
      <c r="K941" s="341">
        <f>IF(ROW()&lt;22,NA(),_xlfn.STDEV.S(INDEX(H:H,ROW()-19):H941)*SQRT(252))</f>
        <v/>
      </c>
      <c r="L941" s="426" cm="1">
        <f t="array" ref="L941">IF(ROW()&lt;17,NA(),_xlfn.LET(_xlpm.d,INDEX(E:E,ROW()-13):E941-INDEX(E:E,ROW()-14):INDEX(E:E,ROW()-1),_xlpm.g,SUM(IF(_xlpm.d&gt;0,_xlpm.d,0)),_xlpm.l,-SUM(IF(_xlpm.d&lt;0,_xlpm.d,0)),IF(_xlpm.l=0,100,100-100/(1+_xlpm.g/_xlpm.l))))</f>
        <v/>
      </c>
      <c r="M941" s="211">
        <f>MAX($E$2:E941)</f>
        <v/>
      </c>
      <c r="N941" s="341">
        <f>E941/M941-1</f>
        <v/>
      </c>
    </row>
    <row r="942">
      <c r="A942" s="424" t="n">
        <v>45833</v>
      </c>
      <c r="B942" s="425" t="n">
        <v>59.18099483556465</v>
      </c>
      <c r="C942" s="425" t="n">
        <v>59.25803897118913</v>
      </c>
      <c r="D942" s="425" t="n">
        <v>58.13124231155862</v>
      </c>
      <c r="E942" s="425" t="n">
        <v>58.58388900756836</v>
      </c>
      <c r="F942" s="207" t="n">
        <v>12186200</v>
      </c>
      <c r="G942" s="208" t="n">
        <v>0.0005603485498484329</v>
      </c>
      <c r="H942" s="209" cm="1">
        <f t="array" ref="H942">IF(ROW()&lt;3,"",E942/INDEX(E:E,ROW()-1)-1)</f>
        <v/>
      </c>
      <c r="I942" s="211">
        <f>IF(ROW()&lt;51,NA(),AVERAGE(INDEX(E:E,ROW()-49):E942))</f>
        <v/>
      </c>
      <c r="J942" s="211">
        <f>IF(ROW()&lt;201,NA(),AVERAGE(INDEX(E:E,ROW()-199):E942))</f>
        <v/>
      </c>
      <c r="K942" s="341">
        <f>IF(ROW()&lt;22,NA(),_xlfn.STDEV.S(INDEX(H:H,ROW()-19):H942)*SQRT(252))</f>
        <v/>
      </c>
      <c r="L942" s="426" cm="1">
        <f t="array" ref="L942">IF(ROW()&lt;17,NA(),_xlfn.LET(_xlpm.d,INDEX(E:E,ROW()-13):E942-INDEX(E:E,ROW()-14):INDEX(E:E,ROW()-1),_xlpm.g,SUM(IF(_xlpm.d&gt;0,_xlpm.d,0)),_xlpm.l,-SUM(IF(_xlpm.d&lt;0,_xlpm.d,0)),IF(_xlpm.l=0,100,100-100/(1+_xlpm.g/_xlpm.l))))</f>
        <v/>
      </c>
      <c r="M942" s="211">
        <f>MAX($E$2:E942)</f>
        <v/>
      </c>
      <c r="N942" s="341">
        <f>E942/M942-1</f>
        <v/>
      </c>
    </row>
    <row r="943">
      <c r="A943" s="424" t="n">
        <v>45834</v>
      </c>
      <c r="B943" s="425" t="n">
        <v>59.28693360213117</v>
      </c>
      <c r="C943" s="425" t="n">
        <v>60.41373025920485</v>
      </c>
      <c r="D943" s="425" t="n">
        <v>58.57425606155266</v>
      </c>
      <c r="E943" s="425" t="n">
        <v>60.23074722290039</v>
      </c>
      <c r="F943" s="207" t="n">
        <v>39659800</v>
      </c>
      <c r="G943" s="208" t="n">
        <v>0.007823673022863797</v>
      </c>
      <c r="H943" s="209" cm="1">
        <f t="array" ref="H943">IF(ROW()&lt;3,"",E943/INDEX(E:E,ROW()-1)-1)</f>
        <v/>
      </c>
      <c r="I943" s="211">
        <f>IF(ROW()&lt;51,NA(),AVERAGE(INDEX(E:E,ROW()-49):E943))</f>
        <v/>
      </c>
      <c r="J943" s="211">
        <f>IF(ROW()&lt;201,NA(),AVERAGE(INDEX(E:E,ROW()-199):E943))</f>
        <v/>
      </c>
      <c r="K943" s="341">
        <f>IF(ROW()&lt;22,NA(),_xlfn.STDEV.S(INDEX(H:H,ROW()-19):H943)*SQRT(252))</f>
        <v/>
      </c>
      <c r="L943" s="426" cm="1">
        <f t="array" ref="L943">IF(ROW()&lt;17,NA(),_xlfn.LET(_xlpm.d,INDEX(E:E,ROW()-13):E943-INDEX(E:E,ROW()-14):INDEX(E:E,ROW()-1),_xlpm.g,SUM(IF(_xlpm.d&gt;0,_xlpm.d,0)),_xlpm.l,-SUM(IF(_xlpm.d&lt;0,_xlpm.d,0)),IF(_xlpm.l=0,100,100-100/(1+_xlpm.g/_xlpm.l))))</f>
        <v/>
      </c>
      <c r="M943" s="211">
        <f>MAX($E$2:E943)</f>
        <v/>
      </c>
      <c r="N943" s="341">
        <f>E943/M943-1</f>
        <v/>
      </c>
    </row>
    <row r="944">
      <c r="A944" s="424" t="n">
        <v>45835</v>
      </c>
      <c r="B944" s="425" t="n">
        <v>67.21304664739225</v>
      </c>
      <c r="C944" s="425" t="n">
        <v>71.45058073433762</v>
      </c>
      <c r="D944" s="425" t="n">
        <v>67.11674055744241</v>
      </c>
      <c r="E944" s="425" t="n">
        <v>69.37996673583984</v>
      </c>
      <c r="F944" s="207" t="n">
        <v>117530300</v>
      </c>
      <c r="G944" s="208" t="n">
        <v>0.004968426127167413</v>
      </c>
      <c r="H944" s="209" cm="1">
        <f t="array" ref="H944">IF(ROW()&lt;3,"",E944/INDEX(E:E,ROW()-1)-1)</f>
        <v/>
      </c>
      <c r="I944" s="211">
        <f>IF(ROW()&lt;51,NA(),AVERAGE(INDEX(E:E,ROW()-49):E944))</f>
        <v/>
      </c>
      <c r="J944" s="211">
        <f>IF(ROW()&lt;201,NA(),AVERAGE(INDEX(E:E,ROW()-199):E944))</f>
        <v/>
      </c>
      <c r="K944" s="341">
        <f>IF(ROW()&lt;22,NA(),_xlfn.STDEV.S(INDEX(H:H,ROW()-19):H944)*SQRT(252))</f>
        <v/>
      </c>
      <c r="L944" s="426" cm="1">
        <f t="array" ref="L944">IF(ROW()&lt;17,NA(),_xlfn.LET(_xlpm.d,INDEX(E:E,ROW()-13):E944-INDEX(E:E,ROW()-14):INDEX(E:E,ROW()-1),_xlpm.g,SUM(IF(_xlpm.d&gt;0,_xlpm.d,0)),_xlpm.l,-SUM(IF(_xlpm.d&lt;0,_xlpm.d,0)),IF(_xlpm.l=0,100,100-100/(1+_xlpm.g/_xlpm.l))))</f>
        <v/>
      </c>
      <c r="M944" s="211">
        <f>MAX($E$2:E944)</f>
        <v/>
      </c>
      <c r="N944" s="341">
        <f>E944/M944-1</f>
        <v/>
      </c>
    </row>
    <row r="945">
      <c r="A945" s="424" t="n">
        <v>45838</v>
      </c>
      <c r="B945" s="425" t="n">
        <v>68.81175018923055</v>
      </c>
      <c r="C945" s="425" t="n">
        <v>69.06215190807062</v>
      </c>
      <c r="D945" s="425" t="n">
        <v>67.47307566370246</v>
      </c>
      <c r="E945" s="425" t="n">
        <v>68.41689300537109</v>
      </c>
      <c r="F945" s="207" t="n">
        <v>31090400</v>
      </c>
      <c r="G945" s="208" t="n">
        <v>0.00478128084883922</v>
      </c>
      <c r="H945" s="209" cm="1">
        <f t="array" ref="H945">IF(ROW()&lt;3,"",E945/INDEX(E:E,ROW()-1)-1)</f>
        <v/>
      </c>
      <c r="I945" s="211">
        <f>IF(ROW()&lt;51,NA(),AVERAGE(INDEX(E:E,ROW()-49):E945))</f>
        <v/>
      </c>
      <c r="J945" s="211">
        <f>IF(ROW()&lt;201,NA(),AVERAGE(INDEX(E:E,ROW()-199):E945))</f>
        <v/>
      </c>
      <c r="K945" s="341">
        <f>IF(ROW()&lt;22,NA(),_xlfn.STDEV.S(INDEX(H:H,ROW()-19):H945)*SQRT(252))</f>
        <v/>
      </c>
      <c r="L945" s="426" cm="1">
        <f t="array" ref="L945">IF(ROW()&lt;17,NA(),_xlfn.LET(_xlpm.d,INDEX(E:E,ROW()-13):E945-INDEX(E:E,ROW()-14):INDEX(E:E,ROW()-1),_xlpm.g,SUM(IF(_xlpm.d&gt;0,_xlpm.d,0)),_xlpm.l,-SUM(IF(_xlpm.d&lt;0,_xlpm.d,0)),IF(_xlpm.l=0,100,100-100/(1+_xlpm.g/_xlpm.l))))</f>
        <v/>
      </c>
      <c r="M945" s="211">
        <f>MAX($E$2:E945)</f>
        <v/>
      </c>
      <c r="N945" s="341">
        <f>E945/M945-1</f>
        <v/>
      </c>
    </row>
    <row r="946">
      <c r="A946" s="424" t="n">
        <v>45839</v>
      </c>
      <c r="B946" s="425" t="n">
        <v>69.33180611529811</v>
      </c>
      <c r="C946" s="425" t="n">
        <v>71.20980782820958</v>
      </c>
      <c r="D946" s="425" t="n">
        <v>69.17771784958661</v>
      </c>
      <c r="E946" s="425" t="n">
        <v>70.69937896728516</v>
      </c>
      <c r="F946" s="207" t="n">
        <v>27512900</v>
      </c>
      <c r="G946" s="208" t="n">
        <v>-0.0003237169474282764</v>
      </c>
      <c r="H946" s="209" cm="1">
        <f t="array" ref="H946">IF(ROW()&lt;3,"",E946/INDEX(E:E,ROW()-1)-1)</f>
        <v/>
      </c>
      <c r="I946" s="211">
        <f>IF(ROW()&lt;51,NA(),AVERAGE(INDEX(E:E,ROW()-49):E946))</f>
        <v/>
      </c>
      <c r="J946" s="211">
        <f>IF(ROW()&lt;201,NA(),AVERAGE(INDEX(E:E,ROW()-199):E946))</f>
        <v/>
      </c>
      <c r="K946" s="341">
        <f>IF(ROW()&lt;22,NA(),_xlfn.STDEV.S(INDEX(H:H,ROW()-19):H946)*SQRT(252))</f>
        <v/>
      </c>
      <c r="L946" s="426" cm="1">
        <f t="array" ref="L946">IF(ROW()&lt;17,NA(),_xlfn.LET(_xlpm.d,INDEX(E:E,ROW()-13):E946-INDEX(E:E,ROW()-14):INDEX(E:E,ROW()-1),_xlpm.g,SUM(IF(_xlpm.d&gt;0,_xlpm.d,0)),_xlpm.l,-SUM(IF(_xlpm.d&lt;0,_xlpm.d,0)),IF(_xlpm.l=0,100,100-100/(1+_xlpm.g/_xlpm.l))))</f>
        <v/>
      </c>
      <c r="M946" s="211">
        <f>MAX($E$2:E946)</f>
        <v/>
      </c>
      <c r="N946" s="341">
        <f>E946/M946-1</f>
        <v/>
      </c>
    </row>
    <row r="947">
      <c r="A947" s="424" t="n">
        <v>45840</v>
      </c>
      <c r="B947" s="425" t="n">
        <v>70.46823899843672</v>
      </c>
      <c r="C947" s="425" t="n">
        <v>74.00272464234679</v>
      </c>
      <c r="D947" s="425" t="n">
        <v>70.30451791194886</v>
      </c>
      <c r="E947" s="425" t="n">
        <v>73.56934356689453</v>
      </c>
      <c r="F947" s="207" t="n">
        <v>36882300</v>
      </c>
      <c r="G947" s="208" t="n">
        <v>0.004533204352172637</v>
      </c>
      <c r="H947" s="209" cm="1">
        <f t="array" ref="H947">IF(ROW()&lt;3,"",E947/INDEX(E:E,ROW()-1)-1)</f>
        <v/>
      </c>
      <c r="I947" s="211">
        <f>IF(ROW()&lt;51,NA(),AVERAGE(INDEX(E:E,ROW()-49):E947))</f>
        <v/>
      </c>
      <c r="J947" s="211">
        <f>IF(ROW()&lt;201,NA(),AVERAGE(INDEX(E:E,ROW()-199):E947))</f>
        <v/>
      </c>
      <c r="K947" s="341">
        <f>IF(ROW()&lt;22,NA(),_xlfn.STDEV.S(INDEX(H:H,ROW()-19):H947)*SQRT(252))</f>
        <v/>
      </c>
      <c r="L947" s="426" cm="1">
        <f t="array" ref="L947">IF(ROW()&lt;17,NA(),_xlfn.LET(_xlpm.d,INDEX(E:E,ROW()-13):E947-INDEX(E:E,ROW()-14):INDEX(E:E,ROW()-1),_xlpm.g,SUM(IF(_xlpm.d&gt;0,_xlpm.d,0)),_xlpm.l,-SUM(IF(_xlpm.d&lt;0,_xlpm.d,0)),IF(_xlpm.l=0,100,100-100/(1+_xlpm.g/_xlpm.l))))</f>
        <v/>
      </c>
      <c r="M947" s="211">
        <f>MAX($E$2:E947)</f>
        <v/>
      </c>
      <c r="N947" s="341">
        <f>E947/M947-1</f>
        <v/>
      </c>
    </row>
    <row r="948">
      <c r="A948" s="424" t="n">
        <v>45841</v>
      </c>
      <c r="B948" s="425" t="n">
        <v>73.45377185118824</v>
      </c>
      <c r="C948" s="425" t="n">
        <v>74.18571135529419</v>
      </c>
      <c r="D948" s="425" t="n">
        <v>72.78925469200701</v>
      </c>
      <c r="E948" s="425" t="n">
        <v>73.56934356689453</v>
      </c>
      <c r="F948" s="207" t="n">
        <v>12022600</v>
      </c>
      <c r="G948" s="208" t="n">
        <v>0.007881428787655409</v>
      </c>
      <c r="H948" s="209" cm="1">
        <f t="array" ref="H948">IF(ROW()&lt;3,"",E948/INDEX(E:E,ROW()-1)-1)</f>
        <v/>
      </c>
      <c r="I948" s="211">
        <f>IF(ROW()&lt;51,NA(),AVERAGE(INDEX(E:E,ROW()-49):E948))</f>
        <v/>
      </c>
      <c r="J948" s="211">
        <f>IF(ROW()&lt;201,NA(),AVERAGE(INDEX(E:E,ROW()-199):E948))</f>
        <v/>
      </c>
      <c r="K948" s="341">
        <f>IF(ROW()&lt;22,NA(),_xlfn.STDEV.S(INDEX(H:H,ROW()-19):H948)*SQRT(252))</f>
        <v/>
      </c>
      <c r="L948" s="426" cm="1">
        <f t="array" ref="L948">IF(ROW()&lt;17,NA(),_xlfn.LET(_xlpm.d,INDEX(E:E,ROW()-13):E948-INDEX(E:E,ROW()-14):INDEX(E:E,ROW()-1),_xlpm.g,SUM(IF(_xlpm.d&gt;0,_xlpm.d,0)),_xlpm.l,-SUM(IF(_xlpm.d&lt;0,_xlpm.d,0)),IF(_xlpm.l=0,100,100-100/(1+_xlpm.g/_xlpm.l))))</f>
        <v/>
      </c>
      <c r="M948" s="211">
        <f>MAX($E$2:E948)</f>
        <v/>
      </c>
      <c r="N948" s="341">
        <f>E948/M948-1</f>
        <v/>
      </c>
    </row>
    <row r="949">
      <c r="A949" s="424" t="n">
        <v>45845</v>
      </c>
      <c r="B949" s="425" t="n">
        <v>73.23227284825762</v>
      </c>
      <c r="C949" s="425" t="n">
        <v>74.63836240671363</v>
      </c>
      <c r="D949" s="425" t="n">
        <v>73.04928612464678</v>
      </c>
      <c r="E949" s="425" t="n">
        <v>73.70417785644531</v>
      </c>
      <c r="F949" s="207" t="n">
        <v>17296900</v>
      </c>
      <c r="G949" s="208" t="n">
        <v>-0.007451977060185855</v>
      </c>
      <c r="H949" s="209" cm="1">
        <f t="array" ref="H949">IF(ROW()&lt;3,"",E949/INDEX(E:E,ROW()-1)-1)</f>
        <v/>
      </c>
      <c r="I949" s="211">
        <f>IF(ROW()&lt;51,NA(),AVERAGE(INDEX(E:E,ROW()-49):E949))</f>
        <v/>
      </c>
      <c r="J949" s="211">
        <f>IF(ROW()&lt;201,NA(),AVERAGE(INDEX(E:E,ROW()-199):E949))</f>
        <v/>
      </c>
      <c r="K949" s="341">
        <f>IF(ROW()&lt;22,NA(),_xlfn.STDEV.S(INDEX(H:H,ROW()-19):H949)*SQRT(252))</f>
        <v/>
      </c>
      <c r="L949" s="426" cm="1">
        <f t="array" ref="L949">IF(ROW()&lt;17,NA(),_xlfn.LET(_xlpm.d,INDEX(E:E,ROW()-13):E949-INDEX(E:E,ROW()-14):INDEX(E:E,ROW()-1),_xlpm.g,SUM(IF(_xlpm.d&gt;0,_xlpm.d,0)),_xlpm.l,-SUM(IF(_xlpm.d&lt;0,_xlpm.d,0)),IF(_xlpm.l=0,100,100-100/(1+_xlpm.g/_xlpm.l))))</f>
        <v/>
      </c>
      <c r="M949" s="211">
        <f>MAX($E$2:E949)</f>
        <v/>
      </c>
      <c r="N949" s="341">
        <f>E949/M949-1</f>
        <v/>
      </c>
    </row>
    <row r="950">
      <c r="A950" s="424" t="n">
        <v>45846</v>
      </c>
      <c r="B950" s="425" t="n">
        <v>73.31894024914475</v>
      </c>
      <c r="C950" s="425" t="n">
        <v>73.4826686797264</v>
      </c>
      <c r="D950" s="425" t="n">
        <v>70.93051695838459</v>
      </c>
      <c r="E950" s="425" t="n">
        <v>71.19054412841797</v>
      </c>
      <c r="F950" s="207" t="n">
        <v>19572400</v>
      </c>
      <c r="G950" s="208" t="n">
        <v>-0.000547600366156642</v>
      </c>
      <c r="H950" s="209" cm="1">
        <f t="array" ref="H950">IF(ROW()&lt;3,"",E950/INDEX(E:E,ROW()-1)-1)</f>
        <v/>
      </c>
      <c r="I950" s="211">
        <f>IF(ROW()&lt;51,NA(),AVERAGE(INDEX(E:E,ROW()-49):E950))</f>
        <v/>
      </c>
      <c r="J950" s="211">
        <f>IF(ROW()&lt;201,NA(),AVERAGE(INDEX(E:E,ROW()-199):E950))</f>
        <v/>
      </c>
      <c r="K950" s="341">
        <f>IF(ROW()&lt;22,NA(),_xlfn.STDEV.S(INDEX(H:H,ROW()-19):H950)*SQRT(252))</f>
        <v/>
      </c>
      <c r="L950" s="426" cm="1">
        <f t="array" ref="L950">IF(ROW()&lt;17,NA(),_xlfn.LET(_xlpm.d,INDEX(E:E,ROW()-13):E950-INDEX(E:E,ROW()-14):INDEX(E:E,ROW()-1),_xlpm.g,SUM(IF(_xlpm.d&gt;0,_xlpm.d,0)),_xlpm.l,-SUM(IF(_xlpm.d&lt;0,_xlpm.d,0)),IF(_xlpm.l=0,100,100-100/(1+_xlpm.g/_xlpm.l))))</f>
        <v/>
      </c>
      <c r="M950" s="211">
        <f>MAX($E$2:E950)</f>
        <v/>
      </c>
      <c r="N950" s="341">
        <f>E950/M950-1</f>
        <v/>
      </c>
    </row>
    <row r="951">
      <c r="A951" s="424" t="n">
        <v>45847</v>
      </c>
      <c r="B951" s="425" t="n">
        <v>71.39279437227557</v>
      </c>
      <c r="C951" s="425" t="n">
        <v>72.15362500772461</v>
      </c>
      <c r="D951" s="425" t="n">
        <v>70.70901155128102</v>
      </c>
      <c r="E951" s="425" t="n">
        <v>70.84384155273438</v>
      </c>
      <c r="F951" s="207" t="n">
        <v>12076700</v>
      </c>
      <c r="G951" s="208" t="n">
        <v>0.005996587340449278</v>
      </c>
      <c r="H951" s="209" cm="1">
        <f t="array" ref="H951">IF(ROW()&lt;3,"",E951/INDEX(E:E,ROW()-1)-1)</f>
        <v/>
      </c>
      <c r="I951" s="211">
        <f>IF(ROW()&lt;51,NA(),AVERAGE(INDEX(E:E,ROW()-49):E951))</f>
        <v/>
      </c>
      <c r="J951" s="211">
        <f>IF(ROW()&lt;201,NA(),AVERAGE(INDEX(E:E,ROW()-199):E951))</f>
        <v/>
      </c>
      <c r="K951" s="341">
        <f>IF(ROW()&lt;22,NA(),_xlfn.STDEV.S(INDEX(H:H,ROW()-19):H951)*SQRT(252))</f>
        <v/>
      </c>
      <c r="L951" s="426" cm="1">
        <f t="array" ref="L951">IF(ROW()&lt;17,NA(),_xlfn.LET(_xlpm.d,INDEX(E:E,ROW()-13):E951-INDEX(E:E,ROW()-14):INDEX(E:E,ROW()-1),_xlpm.g,SUM(IF(_xlpm.d&gt;0,_xlpm.d,0)),_xlpm.l,-SUM(IF(_xlpm.d&lt;0,_xlpm.d,0)),IF(_xlpm.l=0,100,100-100/(1+_xlpm.g/_xlpm.l))))</f>
        <v/>
      </c>
      <c r="M951" s="211">
        <f>MAX($E$2:E951)</f>
        <v/>
      </c>
      <c r="N951" s="341">
        <f>E951/M951-1</f>
        <v/>
      </c>
    </row>
    <row r="952">
      <c r="A952" s="424" t="n">
        <v>45848</v>
      </c>
      <c r="B952" s="425" t="n">
        <v>70.42007951371552</v>
      </c>
      <c r="C952" s="425" t="n">
        <v>72.71219643839591</v>
      </c>
      <c r="D952" s="425" t="n">
        <v>70.25635110305919</v>
      </c>
      <c r="E952" s="425" t="n">
        <v>71.86469268798828</v>
      </c>
      <c r="F952" s="207" t="n">
        <v>13033000</v>
      </c>
      <c r="G952" s="208" t="n">
        <v>0.002820322180916879</v>
      </c>
      <c r="H952" s="209" cm="1">
        <f t="array" ref="H952">IF(ROW()&lt;3,"",E952/INDEX(E:E,ROW()-1)-1)</f>
        <v/>
      </c>
      <c r="I952" s="211">
        <f>IF(ROW()&lt;51,NA(),AVERAGE(INDEX(E:E,ROW()-49):E952))</f>
        <v/>
      </c>
      <c r="J952" s="211">
        <f>IF(ROW()&lt;201,NA(),AVERAGE(INDEX(E:E,ROW()-199):E952))</f>
        <v/>
      </c>
      <c r="K952" s="341">
        <f>IF(ROW()&lt;22,NA(),_xlfn.STDEV.S(INDEX(H:H,ROW()-19):H952)*SQRT(252))</f>
        <v/>
      </c>
      <c r="L952" s="426" cm="1">
        <f t="array" ref="L952">IF(ROW()&lt;17,NA(),_xlfn.LET(_xlpm.d,INDEX(E:E,ROW()-13):E952-INDEX(E:E,ROW()-14):INDEX(E:E,ROW()-1),_xlpm.g,SUM(IF(_xlpm.d&gt;0,_xlpm.d,0)),_xlpm.l,-SUM(IF(_xlpm.d&lt;0,_xlpm.d,0)),IF(_xlpm.l=0,100,100-100/(1+_xlpm.g/_xlpm.l))))</f>
        <v/>
      </c>
      <c r="M952" s="211">
        <f>MAX($E$2:E952)</f>
        <v/>
      </c>
      <c r="N952" s="341">
        <f>E952/M952-1</f>
        <v/>
      </c>
    </row>
    <row r="953">
      <c r="A953" s="424" t="n">
        <v>45849</v>
      </c>
      <c r="B953" s="425" t="n">
        <v>70.96904632810747</v>
      </c>
      <c r="C953" s="425" t="n">
        <v>71.11350179609306</v>
      </c>
      <c r="D953" s="425" t="n">
        <v>69.72667786964315</v>
      </c>
      <c r="E953" s="425" t="n">
        <v>69.94818115234375</v>
      </c>
      <c r="F953" s="207" t="n">
        <v>12771400</v>
      </c>
      <c r="G953" s="208" t="n">
        <v>-0.003515537344490616</v>
      </c>
      <c r="H953" s="209" cm="1">
        <f t="array" ref="H953">IF(ROW()&lt;3,"",E953/INDEX(E:E,ROW()-1)-1)</f>
        <v/>
      </c>
      <c r="I953" s="211">
        <f>IF(ROW()&lt;51,NA(),AVERAGE(INDEX(E:E,ROW()-49):E953))</f>
        <v/>
      </c>
      <c r="J953" s="211">
        <f>IF(ROW()&lt;201,NA(),AVERAGE(INDEX(E:E,ROW()-199):E953))</f>
        <v/>
      </c>
      <c r="K953" s="341">
        <f>IF(ROW()&lt;22,NA(),_xlfn.STDEV.S(INDEX(H:H,ROW()-19):H953)*SQRT(252))</f>
        <v/>
      </c>
      <c r="L953" s="426" cm="1">
        <f t="array" ref="L953">IF(ROW()&lt;17,NA(),_xlfn.LET(_xlpm.d,INDEX(E:E,ROW()-13):E953-INDEX(E:E,ROW()-14):INDEX(E:E,ROW()-1),_xlpm.g,SUM(IF(_xlpm.d&gt;0,_xlpm.d,0)),_xlpm.l,-SUM(IF(_xlpm.d&lt;0,_xlpm.d,0)),IF(_xlpm.l=0,100,100-100/(1+_xlpm.g/_xlpm.l))))</f>
        <v/>
      </c>
      <c r="M953" s="211">
        <f>MAX($E$2:E953)</f>
        <v/>
      </c>
      <c r="N953" s="341">
        <f>E953/M953-1</f>
        <v/>
      </c>
    </row>
    <row r="954">
      <c r="A954" s="424" t="n">
        <v>45852</v>
      </c>
      <c r="B954" s="425" t="n">
        <v>69.66887999649215</v>
      </c>
      <c r="C954" s="425" t="n">
        <v>69.90002341297291</v>
      </c>
      <c r="D954" s="425" t="n">
        <v>68.40725340918803</v>
      </c>
      <c r="E954" s="425" t="n">
        <v>69.58220672607422</v>
      </c>
      <c r="F954" s="207" t="n">
        <v>11385400</v>
      </c>
      <c r="G954" s="208" t="n">
        <v>0.001908160867236441</v>
      </c>
      <c r="H954" s="209" cm="1">
        <f t="array" ref="H954">IF(ROW()&lt;3,"",E954/INDEX(E:E,ROW()-1)-1)</f>
        <v/>
      </c>
      <c r="I954" s="211">
        <f>IF(ROW()&lt;51,NA(),AVERAGE(INDEX(E:E,ROW()-49):E954))</f>
        <v/>
      </c>
      <c r="J954" s="211">
        <f>IF(ROW()&lt;201,NA(),AVERAGE(INDEX(E:E,ROW()-199):E954))</f>
        <v/>
      </c>
      <c r="K954" s="341">
        <f>IF(ROW()&lt;22,NA(),_xlfn.STDEV.S(INDEX(H:H,ROW()-19):H954)*SQRT(252))</f>
        <v/>
      </c>
      <c r="L954" s="426" cm="1">
        <f t="array" ref="L954">IF(ROW()&lt;17,NA(),_xlfn.LET(_xlpm.d,INDEX(E:E,ROW()-13):E954-INDEX(E:E,ROW()-14):INDEX(E:E,ROW()-1),_xlpm.g,SUM(IF(_xlpm.d&gt;0,_xlpm.d,0)),_xlpm.l,-SUM(IF(_xlpm.d&lt;0,_xlpm.d,0)),IF(_xlpm.l=0,100,100-100/(1+_xlpm.g/_xlpm.l))))</f>
        <v/>
      </c>
      <c r="M954" s="211">
        <f>MAX($E$2:E954)</f>
        <v/>
      </c>
      <c r="N954" s="341">
        <f>E954/M954-1</f>
        <v/>
      </c>
    </row>
    <row r="955">
      <c r="A955" s="424" t="n">
        <v>45853</v>
      </c>
      <c r="B955" s="425" t="n">
        <v>69.59184452280216</v>
      </c>
      <c r="C955" s="425" t="n">
        <v>70.18894668893364</v>
      </c>
      <c r="D955" s="425" t="n">
        <v>68.93695282457006</v>
      </c>
      <c r="E955" s="425" t="n">
        <v>69.33180999755859</v>
      </c>
      <c r="F955" s="207" t="n">
        <v>9708300</v>
      </c>
      <c r="G955" s="208" t="n">
        <v>-0.004273229235708054</v>
      </c>
      <c r="H955" s="209" cm="1">
        <f t="array" ref="H955">IF(ROW()&lt;3,"",E955/INDEX(E:E,ROW()-1)-1)</f>
        <v/>
      </c>
      <c r="I955" s="211">
        <f>IF(ROW()&lt;51,NA(),AVERAGE(INDEX(E:E,ROW()-49):E955))</f>
        <v/>
      </c>
      <c r="J955" s="211">
        <f>IF(ROW()&lt;201,NA(),AVERAGE(INDEX(E:E,ROW()-199):E955))</f>
        <v/>
      </c>
      <c r="K955" s="341">
        <f>IF(ROW()&lt;22,NA(),_xlfn.STDEV.S(INDEX(H:H,ROW()-19):H955)*SQRT(252))</f>
        <v/>
      </c>
      <c r="L955" s="426" cm="1">
        <f t="array" ref="L955">IF(ROW()&lt;17,NA(),_xlfn.LET(_xlpm.d,INDEX(E:E,ROW()-13):E955-INDEX(E:E,ROW()-14):INDEX(E:E,ROW()-1),_xlpm.g,SUM(IF(_xlpm.d&gt;0,_xlpm.d,0)),_xlpm.l,-SUM(IF(_xlpm.d&lt;0,_xlpm.d,0)),IF(_xlpm.l=0,100,100-100/(1+_xlpm.g/_xlpm.l))))</f>
        <v/>
      </c>
      <c r="M955" s="211">
        <f>MAX($E$2:E955)</f>
        <v/>
      </c>
      <c r="N955" s="341">
        <f>E955/M955-1</f>
        <v/>
      </c>
    </row>
    <row r="956">
      <c r="A956" s="424" t="n">
        <v>45854</v>
      </c>
      <c r="B956" s="425" t="n">
        <v>69.24513197398353</v>
      </c>
      <c r="C956" s="425" t="n">
        <v>70.02522080086959</v>
      </c>
      <c r="D956" s="425" t="n">
        <v>68.52282532755328</v>
      </c>
      <c r="E956" s="425" t="n">
        <v>69.437744140625</v>
      </c>
      <c r="F956" s="207" t="n">
        <v>9008600</v>
      </c>
      <c r="G956" s="208" t="n">
        <v>0.003343322265161985</v>
      </c>
      <c r="H956" s="209" cm="1">
        <f t="array" ref="H956">IF(ROW()&lt;3,"",E956/INDEX(E:E,ROW()-1)-1)</f>
        <v/>
      </c>
      <c r="I956" s="211">
        <f>IF(ROW()&lt;51,NA(),AVERAGE(INDEX(E:E,ROW()-49):E956))</f>
        <v/>
      </c>
      <c r="J956" s="211">
        <f>IF(ROW()&lt;201,NA(),AVERAGE(INDEX(E:E,ROW()-199):E956))</f>
        <v/>
      </c>
      <c r="K956" s="341">
        <f>IF(ROW()&lt;22,NA(),_xlfn.STDEV.S(INDEX(H:H,ROW()-19):H956)*SQRT(252))</f>
        <v/>
      </c>
      <c r="L956" s="426" cm="1">
        <f t="array" ref="L956">IF(ROW()&lt;17,NA(),_xlfn.LET(_xlpm.d,INDEX(E:E,ROW()-13):E956-INDEX(E:E,ROW()-14):INDEX(E:E,ROW()-1),_xlpm.g,SUM(IF(_xlpm.d&gt;0,_xlpm.d,0)),_xlpm.l,-SUM(IF(_xlpm.d&lt;0,_xlpm.d,0)),IF(_xlpm.l=0,100,100-100/(1+_xlpm.g/_xlpm.l))))</f>
        <v/>
      </c>
      <c r="M956" s="211">
        <f>MAX($E$2:E956)</f>
        <v/>
      </c>
      <c r="N956" s="341">
        <f>E956/M956-1</f>
        <v/>
      </c>
    </row>
    <row r="957">
      <c r="A957" s="424" t="n">
        <v>45855</v>
      </c>
      <c r="B957" s="425" t="n">
        <v>69.45700988828153</v>
      </c>
      <c r="C957" s="425" t="n">
        <v>70.50675868938856</v>
      </c>
      <c r="D957" s="425" t="n">
        <v>69.37996208241593</v>
      </c>
      <c r="E957" s="425" t="n">
        <v>70.28525543212891</v>
      </c>
      <c r="F957" s="207" t="n">
        <v>9180400</v>
      </c>
      <c r="G957" s="208" t="n">
        <v>0.006119571230611909</v>
      </c>
      <c r="H957" s="209" cm="1">
        <f t="array" ref="H957">IF(ROW()&lt;3,"",E957/INDEX(E:E,ROW()-1)-1)</f>
        <v/>
      </c>
      <c r="I957" s="211">
        <f>IF(ROW()&lt;51,NA(),AVERAGE(INDEX(E:E,ROW()-49):E957))</f>
        <v/>
      </c>
      <c r="J957" s="211">
        <f>IF(ROW()&lt;201,NA(),AVERAGE(INDEX(E:E,ROW()-199):E957))</f>
        <v/>
      </c>
      <c r="K957" s="341">
        <f>IF(ROW()&lt;22,NA(),_xlfn.STDEV.S(INDEX(H:H,ROW()-19):H957)*SQRT(252))</f>
        <v/>
      </c>
      <c r="L957" s="426" cm="1">
        <f t="array" ref="L957">IF(ROW()&lt;17,NA(),_xlfn.LET(_xlpm.d,INDEX(E:E,ROW()-13):E957-INDEX(E:E,ROW()-14):INDEX(E:E,ROW()-1),_xlpm.g,SUM(IF(_xlpm.d&gt;0,_xlpm.d,0)),_xlpm.l,-SUM(IF(_xlpm.d&lt;0,_xlpm.d,0)),IF(_xlpm.l=0,100,100-100/(1+_xlpm.g/_xlpm.l))))</f>
        <v/>
      </c>
      <c r="M957" s="211">
        <f>MAX($E$2:E957)</f>
        <v/>
      </c>
      <c r="N957" s="341">
        <f>E957/M957-1</f>
        <v/>
      </c>
    </row>
    <row r="958">
      <c r="A958" s="424" t="n">
        <v>45856</v>
      </c>
      <c r="B958" s="425" t="n">
        <v>70.57417144513035</v>
      </c>
      <c r="C958" s="425" t="n">
        <v>70.57417144513035</v>
      </c>
      <c r="D958" s="425" t="n">
        <v>69.45700768623006</v>
      </c>
      <c r="E958" s="425" t="n">
        <v>69.79408264160156</v>
      </c>
      <c r="F958" s="207" t="n">
        <v>8801000</v>
      </c>
      <c r="G958" s="208" t="n">
        <v>-0.0007322815495487411</v>
      </c>
      <c r="H958" s="209" cm="1">
        <f t="array" ref="H958">IF(ROW()&lt;3,"",E958/INDEX(E:E,ROW()-1)-1)</f>
        <v/>
      </c>
      <c r="I958" s="211">
        <f>IF(ROW()&lt;51,NA(),AVERAGE(INDEX(E:E,ROW()-49):E958))</f>
        <v/>
      </c>
      <c r="J958" s="211">
        <f>IF(ROW()&lt;201,NA(),AVERAGE(INDEX(E:E,ROW()-199):E958))</f>
        <v/>
      </c>
      <c r="K958" s="341">
        <f>IF(ROW()&lt;22,NA(),_xlfn.STDEV.S(INDEX(H:H,ROW()-19):H958)*SQRT(252))</f>
        <v/>
      </c>
      <c r="L958" s="426" cm="1">
        <f t="array" ref="L958">IF(ROW()&lt;17,NA(),_xlfn.LET(_xlpm.d,INDEX(E:E,ROW()-13):E958-INDEX(E:E,ROW()-14):INDEX(E:E,ROW()-1),_xlpm.g,SUM(IF(_xlpm.d&gt;0,_xlpm.d,0)),_xlpm.l,-SUM(IF(_xlpm.d&lt;0,_xlpm.d,0)),IF(_xlpm.l=0,100,100-100/(1+_xlpm.g/_xlpm.l))))</f>
        <v/>
      </c>
      <c r="M958" s="211">
        <f>MAX($E$2:E958)</f>
        <v/>
      </c>
      <c r="N958" s="341">
        <f>E958/M958-1</f>
        <v/>
      </c>
    </row>
    <row r="959">
      <c r="A959" s="424" t="n">
        <v>45859</v>
      </c>
      <c r="B959" s="425" t="n">
        <v>70.23710113828407</v>
      </c>
      <c r="C959" s="425" t="n">
        <v>72.04768055245476</v>
      </c>
      <c r="D959" s="425" t="n">
        <v>70.21784285999524</v>
      </c>
      <c r="E959" s="425" t="n">
        <v>71.28684997558594</v>
      </c>
      <c r="F959" s="207" t="n">
        <v>12743900</v>
      </c>
      <c r="G959" s="208" t="n">
        <v>0.001896218790290005</v>
      </c>
      <c r="H959" s="209" cm="1">
        <f t="array" ref="H959">IF(ROW()&lt;3,"",E959/INDEX(E:E,ROW()-1)-1)</f>
        <v/>
      </c>
      <c r="I959" s="211">
        <f>IF(ROW()&lt;51,NA(),AVERAGE(INDEX(E:E,ROW()-49):E959))</f>
        <v/>
      </c>
      <c r="J959" s="211">
        <f>IF(ROW()&lt;201,NA(),AVERAGE(INDEX(E:E,ROW()-199):E959))</f>
        <v/>
      </c>
      <c r="K959" s="341">
        <f>IF(ROW()&lt;22,NA(),_xlfn.STDEV.S(INDEX(H:H,ROW()-19):H959)*SQRT(252))</f>
        <v/>
      </c>
      <c r="L959" s="426" cm="1">
        <f t="array" ref="L959">IF(ROW()&lt;17,NA(),_xlfn.LET(_xlpm.d,INDEX(E:E,ROW()-13):E959-INDEX(E:E,ROW()-14):INDEX(E:E,ROW()-1),_xlpm.g,SUM(IF(_xlpm.d&gt;0,_xlpm.d,0)),_xlpm.l,-SUM(IF(_xlpm.d&lt;0,_xlpm.d,0)),IF(_xlpm.l=0,100,100-100/(1+_xlpm.g/_xlpm.l))))</f>
        <v/>
      </c>
      <c r="M959" s="211">
        <f>MAX($E$2:E959)</f>
        <v/>
      </c>
      <c r="N959" s="341">
        <f>E959/M959-1</f>
        <v/>
      </c>
    </row>
    <row r="960">
      <c r="A960" s="424" t="n">
        <v>45860</v>
      </c>
      <c r="B960" s="425" t="n">
        <v>71.33501032187051</v>
      </c>
      <c r="C960" s="425" t="n">
        <v>72.7507326478333</v>
      </c>
      <c r="D960" s="425" t="n">
        <v>71.30611922912577</v>
      </c>
      <c r="E960" s="425" t="n">
        <v>72.60626983642578</v>
      </c>
      <c r="F960" s="207" t="n">
        <v>11297500</v>
      </c>
      <c r="G960" s="208" t="n">
        <v>0.0001430590531832365</v>
      </c>
      <c r="H960" s="209" cm="1">
        <f t="array" ref="H960">IF(ROW()&lt;3,"",E960/INDEX(E:E,ROW()-1)-1)</f>
        <v/>
      </c>
      <c r="I960" s="211">
        <f>IF(ROW()&lt;51,NA(),AVERAGE(INDEX(E:E,ROW()-49):E960))</f>
        <v/>
      </c>
      <c r="J960" s="211">
        <f>IF(ROW()&lt;201,NA(),AVERAGE(INDEX(E:E,ROW()-199):E960))</f>
        <v/>
      </c>
      <c r="K960" s="341">
        <f>IF(ROW()&lt;22,NA(),_xlfn.STDEV.S(INDEX(H:H,ROW()-19):H960)*SQRT(252))</f>
        <v/>
      </c>
      <c r="L960" s="426" cm="1">
        <f t="array" ref="L960">IF(ROW()&lt;17,NA(),_xlfn.LET(_xlpm.d,INDEX(E:E,ROW()-13):E960-INDEX(E:E,ROW()-14):INDEX(E:E,ROW()-1),_xlpm.g,SUM(IF(_xlpm.d&gt;0,_xlpm.d,0)),_xlpm.l,-SUM(IF(_xlpm.d&lt;0,_xlpm.d,0)),IF(_xlpm.l=0,100,100-100/(1+_xlpm.g/_xlpm.l))))</f>
        <v/>
      </c>
      <c r="M960" s="211">
        <f>MAX($E$2:E960)</f>
        <v/>
      </c>
      <c r="N960" s="341">
        <f>E960/M960-1</f>
        <v/>
      </c>
    </row>
    <row r="961">
      <c r="A961" s="424" t="n">
        <v>45861</v>
      </c>
      <c r="B961" s="425" t="n">
        <v>73.33820987000215</v>
      </c>
      <c r="C961" s="425" t="n">
        <v>74.35906767507284</v>
      </c>
      <c r="D961" s="425" t="n">
        <v>73.02039315222902</v>
      </c>
      <c r="E961" s="425" t="n">
        <v>73.91605377197266</v>
      </c>
      <c r="F961" s="207" t="n">
        <v>16428100</v>
      </c>
      <c r="G961" s="208" t="n">
        <v>0.00850745133662878</v>
      </c>
      <c r="H961" s="209" cm="1">
        <f t="array" ref="H961">IF(ROW()&lt;3,"",E961/INDEX(E:E,ROW()-1)-1)</f>
        <v/>
      </c>
      <c r="I961" s="211">
        <f>IF(ROW()&lt;51,NA(),AVERAGE(INDEX(E:E,ROW()-49):E961))</f>
        <v/>
      </c>
      <c r="J961" s="211">
        <f>IF(ROW()&lt;201,NA(),AVERAGE(INDEX(E:E,ROW()-199):E961))</f>
        <v/>
      </c>
      <c r="K961" s="341">
        <f>IF(ROW()&lt;22,NA(),_xlfn.STDEV.S(INDEX(H:H,ROW()-19):H961)*SQRT(252))</f>
        <v/>
      </c>
      <c r="L961" s="426" cm="1">
        <f t="array" ref="L961">IF(ROW()&lt;17,NA(),_xlfn.LET(_xlpm.d,INDEX(E:E,ROW()-13):E961-INDEX(E:E,ROW()-14):INDEX(E:E,ROW()-1),_xlpm.g,SUM(IF(_xlpm.d&gt;0,_xlpm.d,0)),_xlpm.l,-SUM(IF(_xlpm.d&lt;0,_xlpm.d,0)),IF(_xlpm.l=0,100,100-100/(1+_xlpm.g/_xlpm.l))))</f>
        <v/>
      </c>
      <c r="M961" s="211">
        <f>MAX($E$2:E961)</f>
        <v/>
      </c>
      <c r="N961" s="341">
        <f>E961/M961-1</f>
        <v/>
      </c>
    </row>
    <row r="962">
      <c r="A962" s="424" t="n">
        <v>45862</v>
      </c>
      <c r="B962" s="425" t="n">
        <v>73.68491861249062</v>
      </c>
      <c r="C962" s="425" t="n">
        <v>74.67688533715911</v>
      </c>
      <c r="D962" s="425" t="n">
        <v>72.62553688753449</v>
      </c>
      <c r="E962" s="425" t="n">
        <v>72.63516235351562</v>
      </c>
      <c r="F962" s="207" t="n">
        <v>10037800</v>
      </c>
      <c r="G962" s="208" t="n">
        <v>0.000331168851438246</v>
      </c>
      <c r="H962" s="209" cm="1">
        <f t="array" ref="H962">IF(ROW()&lt;3,"",E962/INDEX(E:E,ROW()-1)-1)</f>
        <v/>
      </c>
      <c r="I962" s="211">
        <f>IF(ROW()&lt;51,NA(),AVERAGE(INDEX(E:E,ROW()-49):E962))</f>
        <v/>
      </c>
      <c r="J962" s="211">
        <f>IF(ROW()&lt;201,NA(),AVERAGE(INDEX(E:E,ROW()-199):E962))</f>
        <v/>
      </c>
      <c r="K962" s="341">
        <f>IF(ROW()&lt;22,NA(),_xlfn.STDEV.S(INDEX(H:H,ROW()-19):H962)*SQRT(252))</f>
        <v/>
      </c>
      <c r="L962" s="426" cm="1">
        <f t="array" ref="L962">IF(ROW()&lt;17,NA(),_xlfn.LET(_xlpm.d,INDEX(E:E,ROW()-13):E962-INDEX(E:E,ROW()-14):INDEX(E:E,ROW()-1),_xlpm.g,SUM(IF(_xlpm.d&gt;0,_xlpm.d,0)),_xlpm.l,-SUM(IF(_xlpm.d&lt;0,_xlpm.d,0)),IF(_xlpm.l=0,100,100-100/(1+_xlpm.g/_xlpm.l))))</f>
        <v/>
      </c>
      <c r="M962" s="211">
        <f>MAX($E$2:E962)</f>
        <v/>
      </c>
      <c r="N962" s="341">
        <f>E962/M962-1</f>
        <v/>
      </c>
    </row>
    <row r="963">
      <c r="A963" s="424" t="n">
        <v>45863</v>
      </c>
      <c r="B963" s="425" t="n">
        <v>73.10707303900807</v>
      </c>
      <c r="C963" s="425" t="n">
        <v>73.74269912043881</v>
      </c>
      <c r="D963" s="425" t="n">
        <v>72.7410996049056</v>
      </c>
      <c r="E963" s="425" t="n">
        <v>73.45377349853516</v>
      </c>
      <c r="F963" s="207" t="n">
        <v>7208400</v>
      </c>
      <c r="G963" s="208" t="n">
        <v>0.004224198566099124</v>
      </c>
      <c r="H963" s="209" cm="1">
        <f t="array" ref="H963">IF(ROW()&lt;3,"",E963/INDEX(E:E,ROW()-1)-1)</f>
        <v/>
      </c>
      <c r="I963" s="211">
        <f>IF(ROW()&lt;51,NA(),AVERAGE(INDEX(E:E,ROW()-49):E963))</f>
        <v/>
      </c>
      <c r="J963" s="211">
        <f>IF(ROW()&lt;201,NA(),AVERAGE(INDEX(E:E,ROW()-199):E963))</f>
        <v/>
      </c>
      <c r="K963" s="341">
        <f>IF(ROW()&lt;22,NA(),_xlfn.STDEV.S(INDEX(H:H,ROW()-19):H963)*SQRT(252))</f>
        <v/>
      </c>
      <c r="L963" s="426" cm="1">
        <f t="array" ref="L963">IF(ROW()&lt;17,NA(),_xlfn.LET(_xlpm.d,INDEX(E:E,ROW()-13):E963-INDEX(E:E,ROW()-14):INDEX(E:E,ROW()-1),_xlpm.g,SUM(IF(_xlpm.d&gt;0,_xlpm.d,0)),_xlpm.l,-SUM(IF(_xlpm.d&lt;0,_xlpm.d,0)),IF(_xlpm.l=0,100,100-100/(1+_xlpm.g/_xlpm.l))))</f>
        <v/>
      </c>
      <c r="M963" s="211">
        <f>MAX($E$2:E963)</f>
        <v/>
      </c>
      <c r="N963" s="341">
        <f>E963/M963-1</f>
        <v/>
      </c>
    </row>
    <row r="964">
      <c r="A964" s="424" t="n">
        <v>45866</v>
      </c>
      <c r="B964" s="425" t="n">
        <v>76.08297371161292</v>
      </c>
      <c r="C964" s="425" t="n">
        <v>77.03641651469812</v>
      </c>
      <c r="D964" s="425" t="n">
        <v>74.69614247244621</v>
      </c>
      <c r="E964" s="425" t="n">
        <v>76.31410980224609</v>
      </c>
      <c r="F964" s="207" t="n">
        <v>22631100</v>
      </c>
      <c r="G964" s="208" t="n">
        <v>-0.0002511098453120697</v>
      </c>
      <c r="H964" s="209" cm="1">
        <f t="array" ref="H964">IF(ROW()&lt;3,"",E964/INDEX(E:E,ROW()-1)-1)</f>
        <v/>
      </c>
      <c r="I964" s="211">
        <f>IF(ROW()&lt;51,NA(),AVERAGE(INDEX(E:E,ROW()-49):E964))</f>
        <v/>
      </c>
      <c r="J964" s="211">
        <f>IF(ROW()&lt;201,NA(),AVERAGE(INDEX(E:E,ROW()-199):E964))</f>
        <v/>
      </c>
      <c r="K964" s="341">
        <f>IF(ROW()&lt;22,NA(),_xlfn.STDEV.S(INDEX(H:H,ROW()-19):H964)*SQRT(252))</f>
        <v/>
      </c>
      <c r="L964" s="426" cm="1">
        <f t="array" ref="L964">IF(ROW()&lt;17,NA(),_xlfn.LET(_xlpm.d,INDEX(E:E,ROW()-13):E964-INDEX(E:E,ROW()-14):INDEX(E:E,ROW()-1),_xlpm.g,SUM(IF(_xlpm.d&gt;0,_xlpm.d,0)),_xlpm.l,-SUM(IF(_xlpm.d&lt;0,_xlpm.d,0)),IF(_xlpm.l=0,100,100-100/(1+_xlpm.g/_xlpm.l))))</f>
        <v/>
      </c>
      <c r="M964" s="211">
        <f>MAX($E$2:E964)</f>
        <v/>
      </c>
      <c r="N964" s="341">
        <f>E964/M964-1</f>
        <v/>
      </c>
    </row>
    <row r="965">
      <c r="A965" s="424" t="n">
        <v>45867</v>
      </c>
      <c r="B965" s="425" t="n">
        <v>75.85183642556687</v>
      </c>
      <c r="C965" s="425" t="n">
        <v>76.4393131302507</v>
      </c>
      <c r="D965" s="425" t="n">
        <v>74.8887608241421</v>
      </c>
      <c r="E965" s="425" t="n">
        <v>75.43771362304688</v>
      </c>
      <c r="F965" s="207" t="n">
        <v>12885500</v>
      </c>
      <c r="G965" s="208" t="n">
        <v>-0.002637607015591792</v>
      </c>
      <c r="H965" s="209" cm="1">
        <f t="array" ref="H965">IF(ROW()&lt;3,"",E965/INDEX(E:E,ROW()-1)-1)</f>
        <v/>
      </c>
      <c r="I965" s="211">
        <f>IF(ROW()&lt;51,NA(),AVERAGE(INDEX(E:E,ROW()-49):E965))</f>
        <v/>
      </c>
      <c r="J965" s="211">
        <f>IF(ROW()&lt;201,NA(),AVERAGE(INDEX(E:E,ROW()-199):E965))</f>
        <v/>
      </c>
      <c r="K965" s="341">
        <f>IF(ROW()&lt;22,NA(),_xlfn.STDEV.S(INDEX(H:H,ROW()-19):H965)*SQRT(252))</f>
        <v/>
      </c>
      <c r="L965" s="426" cm="1">
        <f t="array" ref="L965">IF(ROW()&lt;17,NA(),_xlfn.LET(_xlpm.d,INDEX(E:E,ROW()-13):E965-INDEX(E:E,ROW()-14):INDEX(E:E,ROW()-1),_xlpm.g,SUM(IF(_xlpm.d&gt;0,_xlpm.d,0)),_xlpm.l,-SUM(IF(_xlpm.d&lt;0,_xlpm.d,0)),IF(_xlpm.l=0,100,100-100/(1+_xlpm.g/_xlpm.l))))</f>
        <v/>
      </c>
      <c r="M965" s="211">
        <f>MAX($E$2:E965)</f>
        <v/>
      </c>
      <c r="N965" s="341">
        <f>E965/M965-1</f>
        <v/>
      </c>
    </row>
    <row r="966">
      <c r="A966" s="424" t="n">
        <v>45868</v>
      </c>
      <c r="B966" s="425" t="n">
        <v>74.90800669972074</v>
      </c>
      <c r="C966" s="425" t="n">
        <v>75.40881004424016</v>
      </c>
      <c r="D966" s="425" t="n">
        <v>73.15520968926783</v>
      </c>
      <c r="E966" s="425" t="n">
        <v>73.84862518310547</v>
      </c>
      <c r="F966" s="207" t="n">
        <v>14601700</v>
      </c>
      <c r="G966" s="208" t="n">
        <v>-0.001259283208713269</v>
      </c>
      <c r="H966" s="209" cm="1">
        <f t="array" ref="H966">IF(ROW()&lt;3,"",E966/INDEX(E:E,ROW()-1)-1)</f>
        <v/>
      </c>
      <c r="I966" s="211">
        <f>IF(ROW()&lt;51,NA(),AVERAGE(INDEX(E:E,ROW()-49):E966))</f>
        <v/>
      </c>
      <c r="J966" s="211">
        <f>IF(ROW()&lt;201,NA(),AVERAGE(INDEX(E:E,ROW()-199):E966))</f>
        <v/>
      </c>
      <c r="K966" s="341">
        <f>IF(ROW()&lt;22,NA(),_xlfn.STDEV.S(INDEX(H:H,ROW()-19):H966)*SQRT(252))</f>
        <v/>
      </c>
      <c r="L966" s="426" cm="1">
        <f t="array" ref="L966">IF(ROW()&lt;17,NA(),_xlfn.LET(_xlpm.d,INDEX(E:E,ROW()-13):E966-INDEX(E:E,ROW()-14):INDEX(E:E,ROW()-1),_xlpm.g,SUM(IF(_xlpm.d&gt;0,_xlpm.d,0)),_xlpm.l,-SUM(IF(_xlpm.d&lt;0,_xlpm.d,0)),IF(_xlpm.l=0,100,100-100/(1+_xlpm.g/_xlpm.l))))</f>
        <v/>
      </c>
      <c r="M966" s="211">
        <f>MAX($E$2:E966)</f>
        <v/>
      </c>
      <c r="N966" s="341">
        <f>E966/M966-1</f>
        <v/>
      </c>
    </row>
    <row r="967">
      <c r="A967" s="424" t="n">
        <v>45869</v>
      </c>
      <c r="B967" s="425" t="n">
        <v>73.53082300454676</v>
      </c>
      <c r="C967" s="425" t="n">
        <v>73.57897972520128</v>
      </c>
      <c r="D967" s="425" t="n">
        <v>71.56614783432265</v>
      </c>
      <c r="E967" s="425" t="n">
        <v>71.93212127685547</v>
      </c>
      <c r="F967" s="207" t="n">
        <v>16700000</v>
      </c>
      <c r="G967" s="208" t="n">
        <v>-0.003751215554337106</v>
      </c>
      <c r="H967" s="209" cm="1">
        <f t="array" ref="H967">IF(ROW()&lt;3,"",E967/INDEX(E:E,ROW()-1)-1)</f>
        <v/>
      </c>
      <c r="I967" s="211">
        <f>IF(ROW()&lt;51,NA(),AVERAGE(INDEX(E:E,ROW()-49):E967))</f>
        <v/>
      </c>
      <c r="J967" s="211">
        <f>IF(ROW()&lt;201,NA(),AVERAGE(INDEX(E:E,ROW()-199):E967))</f>
        <v/>
      </c>
      <c r="K967" s="341">
        <f>IF(ROW()&lt;22,NA(),_xlfn.STDEV.S(INDEX(H:H,ROW()-19):H967)*SQRT(252))</f>
        <v/>
      </c>
      <c r="L967" s="426" cm="1">
        <f t="array" ref="L967">IF(ROW()&lt;17,NA(),_xlfn.LET(_xlpm.d,INDEX(E:E,ROW()-13):E967-INDEX(E:E,ROW()-14):INDEX(E:E,ROW()-1),_xlpm.g,SUM(IF(_xlpm.d&gt;0,_xlpm.d,0)),_xlpm.l,-SUM(IF(_xlpm.d&lt;0,_xlpm.d,0)),IF(_xlpm.l=0,100,100-100/(1+_xlpm.g/_xlpm.l))))</f>
        <v/>
      </c>
      <c r="M967" s="211">
        <f>MAX($E$2:E967)</f>
        <v/>
      </c>
      <c r="N967" s="341">
        <f>E967/M967-1</f>
        <v/>
      </c>
    </row>
    <row r="968">
      <c r="A968" s="424" t="n">
        <v>45870</v>
      </c>
      <c r="B968" s="425" t="n">
        <v>70.72826336365307</v>
      </c>
      <c r="C968" s="425" t="n">
        <v>71.94173313971075</v>
      </c>
      <c r="D968" s="425" t="n">
        <v>69.85186117770662</v>
      </c>
      <c r="E968" s="425" t="n">
        <v>71.86469268798828</v>
      </c>
      <c r="F968" s="207" t="n">
        <v>11911600</v>
      </c>
      <c r="G968" s="208" t="n">
        <v>-0.01639049996192676</v>
      </c>
      <c r="H968" s="209" cm="1">
        <f t="array" ref="H968">IF(ROW()&lt;3,"",E968/INDEX(E:E,ROW()-1)-1)</f>
        <v/>
      </c>
      <c r="I968" s="211">
        <f>IF(ROW()&lt;51,NA(),AVERAGE(INDEX(E:E,ROW()-49):E968))</f>
        <v/>
      </c>
      <c r="J968" s="211">
        <f>IF(ROW()&lt;201,NA(),AVERAGE(INDEX(E:E,ROW()-199):E968))</f>
        <v/>
      </c>
      <c r="K968" s="341">
        <f>IF(ROW()&lt;22,NA(),_xlfn.STDEV.S(INDEX(H:H,ROW()-19):H968)*SQRT(252))</f>
        <v/>
      </c>
      <c r="L968" s="426" cm="1">
        <f t="array" ref="L968">IF(ROW()&lt;17,NA(),_xlfn.LET(_xlpm.d,INDEX(E:E,ROW()-13):E968-INDEX(E:E,ROW()-14):INDEX(E:E,ROW()-1),_xlpm.g,SUM(IF(_xlpm.d&gt;0,_xlpm.d,0)),_xlpm.l,-SUM(IF(_xlpm.d&lt;0,_xlpm.d,0)),IF(_xlpm.l=0,100,100-100/(1+_xlpm.g/_xlpm.l))))</f>
        <v/>
      </c>
      <c r="M968" s="211">
        <f>MAX($E$2:E968)</f>
        <v/>
      </c>
      <c r="N968" s="341">
        <f>E968/M968-1</f>
        <v/>
      </c>
    </row>
    <row r="969">
      <c r="A969" s="424" t="n">
        <v>45873</v>
      </c>
      <c r="B969" s="425" t="n">
        <v>72.25955699452739</v>
      </c>
      <c r="C969" s="425" t="n">
        <v>72.48106760294634</v>
      </c>
      <c r="D969" s="425" t="n">
        <v>71.42168597256067</v>
      </c>
      <c r="E969" s="425" t="n">
        <v>72.05731201171875</v>
      </c>
      <c r="F969" s="207" t="n">
        <v>8839000</v>
      </c>
      <c r="G969" s="208" t="n">
        <v>0.01519979653071335</v>
      </c>
      <c r="H969" s="209" cm="1">
        <f t="array" ref="H969">IF(ROW()&lt;3,"",E969/INDEX(E:E,ROW()-1)-1)</f>
        <v/>
      </c>
      <c r="I969" s="211">
        <f>IF(ROW()&lt;51,NA(),AVERAGE(INDEX(E:E,ROW()-49):E969))</f>
        <v/>
      </c>
      <c r="J969" s="211">
        <f>IF(ROW()&lt;201,NA(),AVERAGE(INDEX(E:E,ROW()-199):E969))</f>
        <v/>
      </c>
      <c r="K969" s="341">
        <f>IF(ROW()&lt;22,NA(),_xlfn.STDEV.S(INDEX(H:H,ROW()-19):H969)*SQRT(252))</f>
        <v/>
      </c>
      <c r="L969" s="426" cm="1">
        <f t="array" ref="L969">IF(ROW()&lt;17,NA(),_xlfn.LET(_xlpm.d,INDEX(E:E,ROW()-13):E969-INDEX(E:E,ROW()-14):INDEX(E:E,ROW()-1),_xlpm.g,SUM(IF(_xlpm.d&gt;0,_xlpm.d,0)),_xlpm.l,-SUM(IF(_xlpm.d&lt;0,_xlpm.d,0)),IF(_xlpm.l=0,100,100-100/(1+_xlpm.g/_xlpm.l))))</f>
        <v/>
      </c>
      <c r="M969" s="211">
        <f>MAX($E$2:E969)</f>
        <v/>
      </c>
      <c r="N969" s="341">
        <f>E969/M969-1</f>
        <v/>
      </c>
    </row>
    <row r="970">
      <c r="A970" s="424" t="n">
        <v>45874</v>
      </c>
      <c r="B970" s="425" t="n">
        <v>72.14399641856522</v>
      </c>
      <c r="C970" s="425" t="n">
        <v>72.914452486705</v>
      </c>
      <c r="D970" s="425" t="n">
        <v>71.49873018504751</v>
      </c>
      <c r="E970" s="425" t="n">
        <v>71.63356018066406</v>
      </c>
      <c r="F970" s="207" t="n">
        <v>6533800</v>
      </c>
      <c r="G970" s="208" t="n">
        <v>-0.00506997011593413</v>
      </c>
      <c r="H970" s="209" cm="1">
        <f t="array" ref="H970">IF(ROW()&lt;3,"",E970/INDEX(E:E,ROW()-1)-1)</f>
        <v/>
      </c>
      <c r="I970" s="211">
        <f>IF(ROW()&lt;51,NA(),AVERAGE(INDEX(E:E,ROW()-49):E970))</f>
        <v/>
      </c>
      <c r="J970" s="211">
        <f>IF(ROW()&lt;201,NA(),AVERAGE(INDEX(E:E,ROW()-199):E970))</f>
        <v/>
      </c>
      <c r="K970" s="341">
        <f>IF(ROW()&lt;22,NA(),_xlfn.STDEV.S(INDEX(H:H,ROW()-19):H970)*SQRT(252))</f>
        <v/>
      </c>
      <c r="L970" s="426" cm="1">
        <f t="array" ref="L970">IF(ROW()&lt;17,NA(),_xlfn.LET(_xlpm.d,INDEX(E:E,ROW()-13):E970-INDEX(E:E,ROW()-14):INDEX(E:E,ROW()-1),_xlpm.g,SUM(IF(_xlpm.d&gt;0,_xlpm.d,0)),_xlpm.l,-SUM(IF(_xlpm.d&lt;0,_xlpm.d,0)),IF(_xlpm.l=0,100,100-100/(1+_xlpm.g/_xlpm.l))))</f>
        <v/>
      </c>
      <c r="M970" s="211">
        <f>MAX($E$2:E970)</f>
        <v/>
      </c>
      <c r="N970" s="341">
        <f>E970/M970-1</f>
        <v/>
      </c>
    </row>
    <row r="971">
      <c r="A971" s="424" t="n">
        <v>45875</v>
      </c>
      <c r="B971" s="425" t="n">
        <v>71.72023900288949</v>
      </c>
      <c r="C971" s="425" t="n">
        <v>73.17448517356385</v>
      </c>
      <c r="D971" s="425" t="n">
        <v>71.50836120147797</v>
      </c>
      <c r="E971" s="425" t="n">
        <v>72.69294738769531</v>
      </c>
      <c r="F971" s="207" t="n">
        <v>7579800</v>
      </c>
      <c r="G971" s="208" t="n">
        <v>0.007659766552083447</v>
      </c>
      <c r="H971" s="209" cm="1">
        <f t="array" ref="H971">IF(ROW()&lt;3,"",E971/INDEX(E:E,ROW()-1)-1)</f>
        <v/>
      </c>
      <c r="I971" s="211">
        <f>IF(ROW()&lt;51,NA(),AVERAGE(INDEX(E:E,ROW()-49):E971))</f>
        <v/>
      </c>
      <c r="J971" s="211">
        <f>IF(ROW()&lt;201,NA(),AVERAGE(INDEX(E:E,ROW()-199):E971))</f>
        <v/>
      </c>
      <c r="K971" s="341">
        <f>IF(ROW()&lt;22,NA(),_xlfn.STDEV.S(INDEX(H:H,ROW()-19):H971)*SQRT(252))</f>
        <v/>
      </c>
      <c r="L971" s="426" cm="1">
        <f t="array" ref="L971">IF(ROW()&lt;17,NA(),_xlfn.LET(_xlpm.d,INDEX(E:E,ROW()-13):E971-INDEX(E:E,ROW()-14):INDEX(E:E,ROW()-1),_xlpm.g,SUM(IF(_xlpm.d&gt;0,_xlpm.d,0)),_xlpm.l,-SUM(IF(_xlpm.d&lt;0,_xlpm.d,0)),IF(_xlpm.l=0,100,100-100/(1+_xlpm.g/_xlpm.l))))</f>
        <v/>
      </c>
      <c r="M971" s="211">
        <f>MAX($E$2:E971)</f>
        <v/>
      </c>
      <c r="N971" s="341">
        <f>E971/M971-1</f>
        <v/>
      </c>
    </row>
    <row r="972">
      <c r="A972" s="424" t="n">
        <v>45876</v>
      </c>
      <c r="B972" s="425" t="n">
        <v>73.50192772544742</v>
      </c>
      <c r="C972" s="425" t="n">
        <v>73.53081881712126</v>
      </c>
      <c r="D972" s="425" t="n">
        <v>71.2675926812402</v>
      </c>
      <c r="E972" s="425" t="n">
        <v>71.60466766357422</v>
      </c>
      <c r="F972" s="207" t="n">
        <v>8717600</v>
      </c>
      <c r="G972" s="208" t="n">
        <v>-0.0008377610964238613</v>
      </c>
      <c r="H972" s="209" cm="1">
        <f t="array" ref="H972">IF(ROW()&lt;3,"",E972/INDEX(E:E,ROW()-1)-1)</f>
        <v/>
      </c>
      <c r="I972" s="211">
        <f>IF(ROW()&lt;51,NA(),AVERAGE(INDEX(E:E,ROW()-49):E972))</f>
        <v/>
      </c>
      <c r="J972" s="211">
        <f>IF(ROW()&lt;201,NA(),AVERAGE(INDEX(E:E,ROW()-199):E972))</f>
        <v/>
      </c>
      <c r="K972" s="341">
        <f>IF(ROW()&lt;22,NA(),_xlfn.STDEV.S(INDEX(H:H,ROW()-19):H972)*SQRT(252))</f>
        <v/>
      </c>
      <c r="L972" s="426" cm="1">
        <f t="array" ref="L972">IF(ROW()&lt;17,NA(),_xlfn.LET(_xlpm.d,INDEX(E:E,ROW()-13):E972-INDEX(E:E,ROW()-14):INDEX(E:E,ROW()-1),_xlpm.g,SUM(IF(_xlpm.d&gt;0,_xlpm.d,0)),_xlpm.l,-SUM(IF(_xlpm.d&lt;0,_xlpm.d,0)),IF(_xlpm.l=0,100,100-100/(1+_xlpm.g/_xlpm.l))))</f>
        <v/>
      </c>
      <c r="M972" s="211">
        <f>MAX($E$2:E972)</f>
        <v/>
      </c>
      <c r="N972" s="341">
        <f>E972/M972-1</f>
        <v/>
      </c>
    </row>
    <row r="973">
      <c r="A973" s="424" t="n">
        <v>45877</v>
      </c>
      <c r="B973" s="425" t="n">
        <v>71.46020224731056</v>
      </c>
      <c r="C973" s="425" t="n">
        <v>72.19214171627443</v>
      </c>
      <c r="D973" s="425" t="n">
        <v>70.68011340987688</v>
      </c>
      <c r="E973" s="425" t="n">
        <v>71.45057678222656</v>
      </c>
      <c r="F973" s="207" t="n">
        <v>6739000</v>
      </c>
      <c r="G973" s="208" t="n">
        <v>0.007797642321576204</v>
      </c>
      <c r="H973" s="209" cm="1">
        <f t="array" ref="H973">IF(ROW()&lt;3,"",E973/INDEX(E:E,ROW()-1)-1)</f>
        <v/>
      </c>
      <c r="I973" s="211">
        <f>IF(ROW()&lt;51,NA(),AVERAGE(INDEX(E:E,ROW()-49):E973))</f>
        <v/>
      </c>
      <c r="J973" s="211">
        <f>IF(ROW()&lt;201,NA(),AVERAGE(INDEX(E:E,ROW()-199):E973))</f>
        <v/>
      </c>
      <c r="K973" s="341">
        <f>IF(ROW()&lt;22,NA(),_xlfn.STDEV.S(INDEX(H:H,ROW()-19):H973)*SQRT(252))</f>
        <v/>
      </c>
      <c r="L973" s="426" cm="1">
        <f t="array" ref="L973">IF(ROW()&lt;17,NA(),_xlfn.LET(_xlpm.d,INDEX(E:E,ROW()-13):E973-INDEX(E:E,ROW()-14):INDEX(E:E,ROW()-1),_xlpm.g,SUM(IF(_xlpm.d&gt;0,_xlpm.d,0)),_xlpm.l,-SUM(IF(_xlpm.d&lt;0,_xlpm.d,0)),IF(_xlpm.l=0,100,100-100/(1+_xlpm.g/_xlpm.l))))</f>
        <v/>
      </c>
      <c r="M973" s="211">
        <f>MAX($E$2:E973)</f>
        <v/>
      </c>
      <c r="N973" s="341">
        <f>E973/M973-1</f>
        <v/>
      </c>
    </row>
    <row r="974">
      <c r="A974" s="424" t="n">
        <v>45880</v>
      </c>
      <c r="B974" s="425" t="n">
        <v>71.57577558370241</v>
      </c>
      <c r="C974" s="425" t="n">
        <v>72.02842227416595</v>
      </c>
      <c r="D974" s="425" t="n">
        <v>70.35267285106734</v>
      </c>
      <c r="E974" s="425" t="n">
        <v>71.28684997558594</v>
      </c>
      <c r="F974" s="207" t="n">
        <v>6985700</v>
      </c>
      <c r="G974" s="208" t="n">
        <v>-0.001977460235009665</v>
      </c>
      <c r="H974" s="209" cm="1">
        <f t="array" ref="H974">IF(ROW()&lt;3,"",E974/INDEX(E:E,ROW()-1)-1)</f>
        <v/>
      </c>
      <c r="I974" s="211">
        <f>IF(ROW()&lt;51,NA(),AVERAGE(INDEX(E:E,ROW()-49):E974))</f>
        <v/>
      </c>
      <c r="J974" s="211">
        <f>IF(ROW()&lt;201,NA(),AVERAGE(INDEX(E:E,ROW()-199):E974))</f>
        <v/>
      </c>
      <c r="K974" s="341">
        <f>IF(ROW()&lt;22,NA(),_xlfn.STDEV.S(INDEX(H:H,ROW()-19):H974)*SQRT(252))</f>
        <v/>
      </c>
      <c r="L974" s="426" cm="1">
        <f t="array" ref="L974">IF(ROW()&lt;17,NA(),_xlfn.LET(_xlpm.d,INDEX(E:E,ROW()-13):E974-INDEX(E:E,ROW()-14):INDEX(E:E,ROW()-1),_xlpm.g,SUM(IF(_xlpm.d&gt;0,_xlpm.d,0)),_xlpm.l,-SUM(IF(_xlpm.d&lt;0,_xlpm.d,0)),IF(_xlpm.l=0,100,100-100/(1+_xlpm.g/_xlpm.l))))</f>
        <v/>
      </c>
      <c r="M974" s="211">
        <f>MAX($E$2:E974)</f>
        <v/>
      </c>
      <c r="N974" s="341">
        <f>E974/M974-1</f>
        <v/>
      </c>
    </row>
    <row r="975">
      <c r="A975" s="424" t="n">
        <v>45881</v>
      </c>
      <c r="B975" s="425" t="n">
        <v>71.96100737153284</v>
      </c>
      <c r="C975" s="425" t="n">
        <v>72.92408293625319</v>
      </c>
      <c r="D975" s="425" t="n">
        <v>71.59503395442171</v>
      </c>
      <c r="E975" s="425" t="n">
        <v>72.13436126708984</v>
      </c>
      <c r="F975" s="207" t="n">
        <v>6397700</v>
      </c>
      <c r="G975" s="208" t="n">
        <v>0.01064605366483495</v>
      </c>
      <c r="H975" s="209" cm="1">
        <f t="array" ref="H975">IF(ROW()&lt;3,"",E975/INDEX(E:E,ROW()-1)-1)</f>
        <v/>
      </c>
      <c r="I975" s="211">
        <f>IF(ROW()&lt;51,NA(),AVERAGE(INDEX(E:E,ROW()-49):E975))</f>
        <v/>
      </c>
      <c r="J975" s="211">
        <f>IF(ROW()&lt;201,NA(),AVERAGE(INDEX(E:E,ROW()-199):E975))</f>
        <v/>
      </c>
      <c r="K975" s="341">
        <f>IF(ROW()&lt;22,NA(),_xlfn.STDEV.S(INDEX(H:H,ROW()-19):H975)*SQRT(252))</f>
        <v/>
      </c>
      <c r="L975" s="426" cm="1">
        <f t="array" ref="L975">IF(ROW()&lt;17,NA(),_xlfn.LET(_xlpm.d,INDEX(E:E,ROW()-13):E975-INDEX(E:E,ROW()-14):INDEX(E:E,ROW()-1),_xlpm.g,SUM(IF(_xlpm.d&gt;0,_xlpm.d,0)),_xlpm.l,-SUM(IF(_xlpm.d&lt;0,_xlpm.d,0)),IF(_xlpm.l=0,100,100-100/(1+_xlpm.g/_xlpm.l))))</f>
        <v/>
      </c>
      <c r="M975" s="211">
        <f>MAX($E$2:E975)</f>
        <v/>
      </c>
      <c r="N975" s="341">
        <f>E975/M975-1</f>
        <v/>
      </c>
    </row>
    <row r="976">
      <c r="A976" s="424" t="n">
        <v>45882</v>
      </c>
      <c r="B976" s="425" t="n">
        <v>72.69295002743924</v>
      </c>
      <c r="C976" s="425" t="n">
        <v>74.82134623654592</v>
      </c>
      <c r="D976" s="425" t="n">
        <v>72.41365721977132</v>
      </c>
      <c r="E976" s="425" t="n">
        <v>74.34943389892578</v>
      </c>
      <c r="F976" s="207" t="n">
        <v>13472600</v>
      </c>
      <c r="G976" s="208" t="n">
        <v>0.003423065634860167</v>
      </c>
      <c r="H976" s="209" cm="1">
        <f t="array" ref="H976">IF(ROW()&lt;3,"",E976/INDEX(E:E,ROW()-1)-1)</f>
        <v/>
      </c>
      <c r="I976" s="211">
        <f>IF(ROW()&lt;51,NA(),AVERAGE(INDEX(E:E,ROW()-49):E976))</f>
        <v/>
      </c>
      <c r="J976" s="211">
        <f>IF(ROW()&lt;201,NA(),AVERAGE(INDEX(E:E,ROW()-199):E976))</f>
        <v/>
      </c>
      <c r="K976" s="341">
        <f>IF(ROW()&lt;22,NA(),_xlfn.STDEV.S(INDEX(H:H,ROW()-19):H976)*SQRT(252))</f>
        <v/>
      </c>
      <c r="L976" s="426" cm="1">
        <f t="array" ref="L976">IF(ROW()&lt;17,NA(),_xlfn.LET(_xlpm.d,INDEX(E:E,ROW()-13):E976-INDEX(E:E,ROW()-14):INDEX(E:E,ROW()-1),_xlpm.g,SUM(IF(_xlpm.d&gt;0,_xlpm.d,0)),_xlpm.l,-SUM(IF(_xlpm.d&lt;0,_xlpm.d,0)),IF(_xlpm.l=0,100,100-100/(1+_xlpm.g/_xlpm.l))))</f>
        <v/>
      </c>
      <c r="M976" s="211">
        <f>MAX($E$2:E976)</f>
        <v/>
      </c>
      <c r="N976" s="341">
        <f>E976/M976-1</f>
        <v/>
      </c>
    </row>
    <row r="977">
      <c r="A977" s="424" t="n">
        <v>45883</v>
      </c>
      <c r="B977" s="425" t="n">
        <v>73.10707139943661</v>
      </c>
      <c r="C977" s="425" t="n">
        <v>73.77158855861784</v>
      </c>
      <c r="D977" s="425" t="n">
        <v>72.56774407382419</v>
      </c>
      <c r="E977" s="425" t="n">
        <v>73.56934356689453</v>
      </c>
      <c r="F977" s="207" t="n">
        <v>7990500</v>
      </c>
      <c r="G977" s="208" t="n">
        <v>9.314861703568766e-05</v>
      </c>
      <c r="H977" s="209" cm="1">
        <f t="array" ref="H977">IF(ROW()&lt;3,"",E977/INDEX(E:E,ROW()-1)-1)</f>
        <v/>
      </c>
      <c r="I977" s="211">
        <f>IF(ROW()&lt;51,NA(),AVERAGE(INDEX(E:E,ROW()-49):E977))</f>
        <v/>
      </c>
      <c r="J977" s="211">
        <f>IF(ROW()&lt;201,NA(),AVERAGE(INDEX(E:E,ROW()-199):E977))</f>
        <v/>
      </c>
      <c r="K977" s="341">
        <f>IF(ROW()&lt;22,NA(),_xlfn.STDEV.S(INDEX(H:H,ROW()-19):H977)*SQRT(252))</f>
        <v/>
      </c>
      <c r="L977" s="426" cm="1">
        <f t="array" ref="L977">IF(ROW()&lt;17,NA(),_xlfn.LET(_xlpm.d,INDEX(E:E,ROW()-13):E977-INDEX(E:E,ROW()-14):INDEX(E:E,ROW()-1),_xlpm.g,SUM(IF(_xlpm.d&gt;0,_xlpm.d,0)),_xlpm.l,-SUM(IF(_xlpm.d&lt;0,_xlpm.d,0)),IF(_xlpm.l=0,100,100-100/(1+_xlpm.g/_xlpm.l))))</f>
        <v/>
      </c>
      <c r="M977" s="211">
        <f>MAX($E$2:E977)</f>
        <v/>
      </c>
      <c r="N977" s="341">
        <f>E977/M977-1</f>
        <v/>
      </c>
    </row>
    <row r="978">
      <c r="A978" s="424" t="n">
        <v>45884</v>
      </c>
      <c r="B978" s="425" t="n">
        <v>73.90641906777461</v>
      </c>
      <c r="C978" s="425" t="n">
        <v>74.63835857697769</v>
      </c>
      <c r="D978" s="425" t="n">
        <v>73.34784080718005</v>
      </c>
      <c r="E978" s="425" t="n">
        <v>74.1279296875</v>
      </c>
      <c r="F978" s="207" t="n">
        <v>9767700</v>
      </c>
      <c r="G978" s="208" t="n">
        <v>-0.002341256111529244</v>
      </c>
      <c r="H978" s="209" cm="1">
        <f t="array" ref="H978">IF(ROW()&lt;3,"",E978/INDEX(E:E,ROW()-1)-1)</f>
        <v/>
      </c>
      <c r="I978" s="211">
        <f>IF(ROW()&lt;51,NA(),AVERAGE(INDEX(E:E,ROW()-49):E978))</f>
        <v/>
      </c>
      <c r="J978" s="211">
        <f>IF(ROW()&lt;201,NA(),AVERAGE(INDEX(E:E,ROW()-199):E978))</f>
        <v/>
      </c>
      <c r="K978" s="341">
        <f>IF(ROW()&lt;22,NA(),_xlfn.STDEV.S(INDEX(H:H,ROW()-19):H978)*SQRT(252))</f>
        <v/>
      </c>
      <c r="L978" s="426" cm="1">
        <f t="array" ref="L978">IF(ROW()&lt;17,NA(),_xlfn.LET(_xlpm.d,INDEX(E:E,ROW()-13):E978-INDEX(E:E,ROW()-14):INDEX(E:E,ROW()-1),_xlpm.g,SUM(IF(_xlpm.d&gt;0,_xlpm.d,0)),_xlpm.l,-SUM(IF(_xlpm.d&lt;0,_xlpm.d,0)),IF(_xlpm.l=0,100,100-100/(1+_xlpm.g/_xlpm.l))))</f>
        <v/>
      </c>
      <c r="M978" s="211">
        <f>MAX($E$2:E978)</f>
        <v/>
      </c>
      <c r="N978" s="341">
        <f>E978/M978-1</f>
        <v/>
      </c>
    </row>
    <row r="979">
      <c r="A979" s="424" t="n">
        <v>45887</v>
      </c>
      <c r="B979" s="425" t="n">
        <v>74.26275423660731</v>
      </c>
      <c r="C979" s="425" t="n">
        <v>75.37029255864182</v>
      </c>
      <c r="D979" s="425" t="n">
        <v>74.01235254303911</v>
      </c>
      <c r="E979" s="425" t="n">
        <v>74.57093811035156</v>
      </c>
      <c r="F979" s="207" t="n">
        <v>9069100</v>
      </c>
      <c r="G979" s="208" t="n">
        <v>-0.0002176762959262835</v>
      </c>
      <c r="H979" s="209" cm="1">
        <f t="array" ref="H979">IF(ROW()&lt;3,"",E979/INDEX(E:E,ROW()-1)-1)</f>
        <v/>
      </c>
      <c r="I979" s="211">
        <f>IF(ROW()&lt;51,NA(),AVERAGE(INDEX(E:E,ROW()-49):E979))</f>
        <v/>
      </c>
      <c r="J979" s="211">
        <f>IF(ROW()&lt;201,NA(),AVERAGE(INDEX(E:E,ROW()-199):E979))</f>
        <v/>
      </c>
      <c r="K979" s="341">
        <f>IF(ROW()&lt;22,NA(),_xlfn.STDEV.S(INDEX(H:H,ROW()-19):H979)*SQRT(252))</f>
        <v/>
      </c>
      <c r="L979" s="426" cm="1">
        <f t="array" ref="L979">IF(ROW()&lt;17,NA(),_xlfn.LET(_xlpm.d,INDEX(E:E,ROW()-13):E979-INDEX(E:E,ROW()-14):INDEX(E:E,ROW()-1),_xlpm.g,SUM(IF(_xlpm.d&gt;0,_xlpm.d,0)),_xlpm.l,-SUM(IF(_xlpm.d&lt;0,_xlpm.d,0)),IF(_xlpm.l=0,100,100-100/(1+_xlpm.g/_xlpm.l))))</f>
        <v/>
      </c>
      <c r="M979" s="211">
        <f>MAX($E$2:E979)</f>
        <v/>
      </c>
      <c r="N979" s="341">
        <f>E979/M979-1</f>
        <v/>
      </c>
    </row>
    <row r="980">
      <c r="A980" s="424" t="n">
        <v>45888</v>
      </c>
      <c r="B980" s="425" t="n">
        <v>75.31250391949263</v>
      </c>
      <c r="C980" s="425" t="n">
        <v>75.88072230610062</v>
      </c>
      <c r="D980" s="425" t="n">
        <v>73.84863233885406</v>
      </c>
      <c r="E980" s="425" t="n">
        <v>74.04124450683594</v>
      </c>
      <c r="F980" s="207" t="n">
        <v>7684800</v>
      </c>
      <c r="G980" s="208" t="n">
        <v>-0.005425108869057227</v>
      </c>
      <c r="H980" s="209" cm="1">
        <f t="array" ref="H980">IF(ROW()&lt;3,"",E980/INDEX(E:E,ROW()-1)-1)</f>
        <v/>
      </c>
      <c r="I980" s="211">
        <f>IF(ROW()&lt;51,NA(),AVERAGE(INDEX(E:E,ROW()-49):E980))</f>
        <v/>
      </c>
      <c r="J980" s="211">
        <f>IF(ROW()&lt;201,NA(),AVERAGE(INDEX(E:E,ROW()-199):E980))</f>
        <v/>
      </c>
      <c r="K980" s="341">
        <f>IF(ROW()&lt;22,NA(),_xlfn.STDEV.S(INDEX(H:H,ROW()-19):H980)*SQRT(252))</f>
        <v/>
      </c>
      <c r="L980" s="426" cm="1">
        <f t="array" ref="L980">IF(ROW()&lt;17,NA(),_xlfn.LET(_xlpm.d,INDEX(E:E,ROW()-13):E980-INDEX(E:E,ROW()-14):INDEX(E:E,ROW()-1),_xlpm.g,SUM(IF(_xlpm.d&gt;0,_xlpm.d,0)),_xlpm.l,-SUM(IF(_xlpm.d&lt;0,_xlpm.d,0)),IF(_xlpm.l=0,100,100-100/(1+_xlpm.g/_xlpm.l))))</f>
        <v/>
      </c>
      <c r="M980" s="211">
        <f>MAX($E$2:E980)</f>
        <v/>
      </c>
      <c r="N980" s="341">
        <f>E980/M980-1</f>
        <v/>
      </c>
    </row>
    <row r="981">
      <c r="A981" s="424" t="n">
        <v>45889</v>
      </c>
      <c r="B981" s="425" t="n">
        <v>73.85826799264258</v>
      </c>
      <c r="C981" s="425" t="n">
        <v>74.69613903804539</v>
      </c>
      <c r="D981" s="425" t="n">
        <v>73.34783911494121</v>
      </c>
      <c r="E981" s="425" t="n">
        <v>73.44414520263672</v>
      </c>
      <c r="F981" s="207" t="n">
        <v>6282600</v>
      </c>
      <c r="G981" s="208" t="n">
        <v>-0.002657006979635113</v>
      </c>
      <c r="H981" s="209" cm="1">
        <f t="array" ref="H981">IF(ROW()&lt;3,"",E981/INDEX(E:E,ROW()-1)-1)</f>
        <v/>
      </c>
      <c r="I981" s="211">
        <f>IF(ROW()&lt;51,NA(),AVERAGE(INDEX(E:E,ROW()-49):E981))</f>
        <v/>
      </c>
      <c r="J981" s="211">
        <f>IF(ROW()&lt;201,NA(),AVERAGE(INDEX(E:E,ROW()-199):E981))</f>
        <v/>
      </c>
      <c r="K981" s="341">
        <f>IF(ROW()&lt;22,NA(),_xlfn.STDEV.S(INDEX(H:H,ROW()-19):H981)*SQRT(252))</f>
        <v/>
      </c>
      <c r="L981" s="426" cm="1">
        <f t="array" ref="L981">IF(ROW()&lt;17,NA(),_xlfn.LET(_xlpm.d,INDEX(E:E,ROW()-13):E981-INDEX(E:E,ROW()-14):INDEX(E:E,ROW()-1),_xlpm.g,SUM(IF(_xlpm.d&gt;0,_xlpm.d,0)),_xlpm.l,-SUM(IF(_xlpm.d&lt;0,_xlpm.d,0)),IF(_xlpm.l=0,100,100-100/(1+_xlpm.g/_xlpm.l))))</f>
        <v/>
      </c>
      <c r="M981" s="211">
        <f>MAX($E$2:E981)</f>
        <v/>
      </c>
      <c r="N981" s="341">
        <f>E981/M981-1</f>
        <v/>
      </c>
    </row>
    <row r="982">
      <c r="A982" s="424" t="n">
        <v>45890</v>
      </c>
      <c r="B982" s="425" t="n">
        <v>72.90481644868227</v>
      </c>
      <c r="C982" s="425" t="n">
        <v>73.41525266400592</v>
      </c>
      <c r="D982" s="425" t="n">
        <v>72.35586367718642</v>
      </c>
      <c r="E982" s="425" t="n">
        <v>73.36709594726562</v>
      </c>
      <c r="F982" s="207" t="n">
        <v>6354900</v>
      </c>
      <c r="G982" s="208" t="n">
        <v>-0.004011979513716901</v>
      </c>
      <c r="H982" s="209" cm="1">
        <f t="array" ref="H982">IF(ROW()&lt;3,"",E982/INDEX(E:E,ROW()-1)-1)</f>
        <v/>
      </c>
      <c r="I982" s="211">
        <f>IF(ROW()&lt;51,NA(),AVERAGE(INDEX(E:E,ROW()-49):E982))</f>
        <v/>
      </c>
      <c r="J982" s="211">
        <f>IF(ROW()&lt;201,NA(),AVERAGE(INDEX(E:E,ROW()-199):E982))</f>
        <v/>
      </c>
      <c r="K982" s="341">
        <f>IF(ROW()&lt;22,NA(),_xlfn.STDEV.S(INDEX(H:H,ROW()-19):H982)*SQRT(252))</f>
        <v/>
      </c>
      <c r="L982" s="426" cm="1">
        <f t="array" ref="L982">IF(ROW()&lt;17,NA(),_xlfn.LET(_xlpm.d,INDEX(E:E,ROW()-13):E982-INDEX(E:E,ROW()-14):INDEX(E:E,ROW()-1),_xlpm.g,SUM(IF(_xlpm.d&gt;0,_xlpm.d,0)),_xlpm.l,-SUM(IF(_xlpm.d&lt;0,_xlpm.d,0)),IF(_xlpm.l=0,100,100-100/(1+_xlpm.g/_xlpm.l))))</f>
        <v/>
      </c>
      <c r="M982" s="211">
        <f>MAX($E$2:E982)</f>
        <v/>
      </c>
      <c r="N982" s="341">
        <f>E982/M982-1</f>
        <v/>
      </c>
    </row>
    <row r="983">
      <c r="A983" s="424" t="n">
        <v>45891</v>
      </c>
      <c r="B983" s="425" t="n">
        <v>73.71380715836422</v>
      </c>
      <c r="C983" s="425" t="n">
        <v>76.21780224382185</v>
      </c>
      <c r="D983" s="425" t="n">
        <v>73.43451435320048</v>
      </c>
      <c r="E983" s="425" t="n">
        <v>75.48586273193359</v>
      </c>
      <c r="F983" s="207" t="n">
        <v>10985900</v>
      </c>
      <c r="G983" s="208" t="n">
        <v>0.01535690781484722</v>
      </c>
      <c r="H983" s="209" cm="1">
        <f t="array" ref="H983">IF(ROW()&lt;3,"",E983/INDEX(E:E,ROW()-1)-1)</f>
        <v/>
      </c>
      <c r="I983" s="211">
        <f>IF(ROW()&lt;51,NA(),AVERAGE(INDEX(E:E,ROW()-49):E983))</f>
        <v/>
      </c>
      <c r="J983" s="211">
        <f>IF(ROW()&lt;201,NA(),AVERAGE(INDEX(E:E,ROW()-199):E983))</f>
        <v/>
      </c>
      <c r="K983" s="341">
        <f>IF(ROW()&lt;22,NA(),_xlfn.STDEV.S(INDEX(H:H,ROW()-19):H983)*SQRT(252))</f>
        <v/>
      </c>
      <c r="L983" s="426" cm="1">
        <f t="array" ref="L983">IF(ROW()&lt;17,NA(),_xlfn.LET(_xlpm.d,INDEX(E:E,ROW()-13):E983-INDEX(E:E,ROW()-14):INDEX(E:E,ROW()-1),_xlpm.g,SUM(IF(_xlpm.d&gt;0,_xlpm.d,0)),_xlpm.l,-SUM(IF(_xlpm.d&lt;0,_xlpm.d,0)),IF(_xlpm.l=0,100,100-100/(1+_xlpm.g/_xlpm.l))))</f>
        <v/>
      </c>
      <c r="M983" s="211">
        <f>MAX($E$2:E983)</f>
        <v/>
      </c>
      <c r="N983" s="341">
        <f>E983/M983-1</f>
        <v/>
      </c>
    </row>
    <row r="984">
      <c r="A984" s="424" t="n">
        <v>45894</v>
      </c>
      <c r="B984" s="425" t="n">
        <v>75.57253890292351</v>
      </c>
      <c r="C984" s="425" t="n">
        <v>77.20976438409234</v>
      </c>
      <c r="D984" s="425" t="n">
        <v>75.49549109617402</v>
      </c>
      <c r="E984" s="425" t="n">
        <v>76.24668884277344</v>
      </c>
      <c r="F984" s="207" t="n">
        <v>12488900</v>
      </c>
      <c r="G984" s="208" t="n">
        <v>-0.004401115445204051</v>
      </c>
      <c r="H984" s="209" cm="1">
        <f t="array" ref="H984">IF(ROW()&lt;3,"",E984/INDEX(E:E,ROW()-1)-1)</f>
        <v/>
      </c>
      <c r="I984" s="211">
        <f>IF(ROW()&lt;51,NA(),AVERAGE(INDEX(E:E,ROW()-49):E984))</f>
        <v/>
      </c>
      <c r="J984" s="211">
        <f>IF(ROW()&lt;201,NA(),AVERAGE(INDEX(E:E,ROW()-199):E984))</f>
        <v/>
      </c>
      <c r="K984" s="341">
        <f>IF(ROW()&lt;22,NA(),_xlfn.STDEV.S(INDEX(H:H,ROW()-19):H984)*SQRT(252))</f>
        <v/>
      </c>
      <c r="L984" s="426" cm="1">
        <f t="array" ref="L984">IF(ROW()&lt;17,NA(),_xlfn.LET(_xlpm.d,INDEX(E:E,ROW()-13):E984-INDEX(E:E,ROW()-14):INDEX(E:E,ROW()-1),_xlpm.g,SUM(IF(_xlpm.d&gt;0,_xlpm.d,0)),_xlpm.l,-SUM(IF(_xlpm.d&lt;0,_xlpm.d,0)),IF(_xlpm.l=0,100,100-100/(1+_xlpm.g/_xlpm.l))))</f>
        <v/>
      </c>
      <c r="M984" s="211">
        <f>MAX($E$2:E984)</f>
        <v/>
      </c>
      <c r="N984" s="341">
        <f>E984/M984-1</f>
        <v/>
      </c>
    </row>
    <row r="985">
      <c r="A985" s="424" t="n">
        <v>45895</v>
      </c>
      <c r="B985" s="425" t="n">
        <v>76.08297803054532</v>
      </c>
      <c r="C985" s="425" t="n">
        <v>76.5452575857373</v>
      </c>
      <c r="D985" s="425" t="n">
        <v>75.4858684691899</v>
      </c>
      <c r="E985" s="425" t="n">
        <v>75.74590301513672</v>
      </c>
      <c r="F985" s="207" t="n">
        <v>6874800</v>
      </c>
      <c r="G985" s="208" t="n">
        <v>0.004186966614810217</v>
      </c>
      <c r="H985" s="209" cm="1">
        <f t="array" ref="H985">IF(ROW()&lt;3,"",E985/INDEX(E:E,ROW()-1)-1)</f>
        <v/>
      </c>
      <c r="I985" s="211">
        <f>IF(ROW()&lt;51,NA(),AVERAGE(INDEX(E:E,ROW()-49):E985))</f>
        <v/>
      </c>
      <c r="J985" s="211">
        <f>IF(ROW()&lt;201,NA(),AVERAGE(INDEX(E:E,ROW()-199):E985))</f>
        <v/>
      </c>
      <c r="K985" s="341">
        <f>IF(ROW()&lt;22,NA(),_xlfn.STDEV.S(INDEX(H:H,ROW()-19):H985)*SQRT(252))</f>
        <v/>
      </c>
      <c r="L985" s="426" cm="1">
        <f t="array" ref="L985">IF(ROW()&lt;17,NA(),_xlfn.LET(_xlpm.d,INDEX(E:E,ROW()-13):E985-INDEX(E:E,ROW()-14):INDEX(E:E,ROW()-1),_xlpm.g,SUM(IF(_xlpm.d&gt;0,_xlpm.d,0)),_xlpm.l,-SUM(IF(_xlpm.d&lt;0,_xlpm.d,0)),IF(_xlpm.l=0,100,100-100/(1+_xlpm.g/_xlpm.l))))</f>
        <v/>
      </c>
      <c r="M985" s="211">
        <f>MAX($E$2:E985)</f>
        <v/>
      </c>
      <c r="N985" s="341">
        <f>E985/M985-1</f>
        <v/>
      </c>
    </row>
    <row r="986">
      <c r="A986" s="424" t="n">
        <v>45896</v>
      </c>
      <c r="B986" s="425" t="n">
        <v>76.044442784297</v>
      </c>
      <c r="C986" s="425" t="n">
        <v>76.57413726359711</v>
      </c>
      <c r="D986" s="425" t="n">
        <v>74.78281619428809</v>
      </c>
      <c r="E986" s="425" t="n">
        <v>75.17767333984375</v>
      </c>
      <c r="F986" s="207" t="n">
        <v>12636700</v>
      </c>
      <c r="G986" s="208" t="n">
        <v>0.00227864502176045</v>
      </c>
      <c r="H986" s="209" cm="1">
        <f t="array" ref="H986">IF(ROW()&lt;3,"",E986/INDEX(E:E,ROW()-1)-1)</f>
        <v/>
      </c>
      <c r="I986" s="211">
        <f>IF(ROW()&lt;51,NA(),AVERAGE(INDEX(E:E,ROW()-49):E986))</f>
        <v/>
      </c>
      <c r="J986" s="211">
        <f>IF(ROW()&lt;201,NA(),AVERAGE(INDEX(E:E,ROW()-199):E986))</f>
        <v/>
      </c>
      <c r="K986" s="341">
        <f>IF(ROW()&lt;22,NA(),_xlfn.STDEV.S(INDEX(H:H,ROW()-19):H986)*SQRT(252))</f>
        <v/>
      </c>
      <c r="L986" s="426" cm="1">
        <f t="array" ref="L986">IF(ROW()&lt;17,NA(),_xlfn.LET(_xlpm.d,INDEX(E:E,ROW()-13):E986-INDEX(E:E,ROW()-14):INDEX(E:E,ROW()-1),_xlpm.g,SUM(IF(_xlpm.d&gt;0,_xlpm.d,0)),_xlpm.l,-SUM(IF(_xlpm.d&lt;0,_xlpm.d,0)),IF(_xlpm.l=0,100,100-100/(1+_xlpm.g/_xlpm.l))))</f>
        <v/>
      </c>
      <c r="M986" s="211">
        <f>MAX($E$2:E986)</f>
        <v/>
      </c>
      <c r="N986" s="341">
        <f>E986/M986-1</f>
        <v/>
      </c>
    </row>
    <row r="987">
      <c r="A987" s="424" t="n">
        <v>45897</v>
      </c>
      <c r="B987" s="425" t="n">
        <v>75.67848008301894</v>
      </c>
      <c r="C987" s="425" t="n">
        <v>75.75552789209247</v>
      </c>
      <c r="D987" s="425" t="n">
        <v>74.85023450468715</v>
      </c>
      <c r="E987" s="425" t="n">
        <v>75.0428466796875</v>
      </c>
      <c r="F987" s="207" t="n">
        <v>7478600</v>
      </c>
      <c r="G987" s="208" t="n">
        <v>0.003541220334721595</v>
      </c>
      <c r="H987" s="209" cm="1">
        <f t="array" ref="H987">IF(ROW()&lt;3,"",E987/INDEX(E:E,ROW()-1)-1)</f>
        <v/>
      </c>
      <c r="I987" s="211">
        <f>IF(ROW()&lt;51,NA(),AVERAGE(INDEX(E:E,ROW()-49):E987))</f>
        <v/>
      </c>
      <c r="J987" s="211">
        <f>IF(ROW()&lt;201,NA(),AVERAGE(INDEX(E:E,ROW()-199):E987))</f>
        <v/>
      </c>
      <c r="K987" s="341">
        <f>IF(ROW()&lt;22,NA(),_xlfn.STDEV.S(INDEX(H:H,ROW()-19):H987)*SQRT(252))</f>
        <v/>
      </c>
      <c r="L987" s="426" cm="1">
        <f t="array" ref="L987">IF(ROW()&lt;17,NA(),_xlfn.LET(_xlpm.d,INDEX(E:E,ROW()-13):E987-INDEX(E:E,ROW()-14):INDEX(E:E,ROW()-1),_xlpm.g,SUM(IF(_xlpm.d&gt;0,_xlpm.d,0)),_xlpm.l,-SUM(IF(_xlpm.d&lt;0,_xlpm.d,0)),IF(_xlpm.l=0,100,100-100/(1+_xlpm.g/_xlpm.l))))</f>
        <v/>
      </c>
      <c r="M987" s="211">
        <f>MAX($E$2:E987)</f>
        <v/>
      </c>
      <c r="N987" s="341">
        <f>E987/M987-1</f>
        <v/>
      </c>
    </row>
    <row r="988">
      <c r="A988" s="424" t="n">
        <v>45898</v>
      </c>
      <c r="B988" s="425" t="n">
        <v>74.87912678294073</v>
      </c>
      <c r="C988" s="425" t="n">
        <v>76.20816844594772</v>
      </c>
      <c r="D988" s="425" t="n">
        <v>74.27239180915824</v>
      </c>
      <c r="E988" s="425" t="n">
        <v>74.51316070556641</v>
      </c>
      <c r="F988" s="207" t="n">
        <v>14208800</v>
      </c>
      <c r="G988" s="208" t="n">
        <v>-0.005963576555748085</v>
      </c>
      <c r="H988" s="209" cm="1">
        <f t="array" ref="H988">IF(ROW()&lt;3,"",E988/INDEX(E:E,ROW()-1)-1)</f>
        <v/>
      </c>
      <c r="I988" s="211">
        <f>IF(ROW()&lt;51,NA(),AVERAGE(INDEX(E:E,ROW()-49):E988))</f>
        <v/>
      </c>
      <c r="J988" s="211">
        <f>IF(ROW()&lt;201,NA(),AVERAGE(INDEX(E:E,ROW()-199):E988))</f>
        <v/>
      </c>
      <c r="K988" s="341">
        <f>IF(ROW()&lt;22,NA(),_xlfn.STDEV.S(INDEX(H:H,ROW()-19):H988)*SQRT(252))</f>
        <v/>
      </c>
      <c r="L988" s="426" cm="1">
        <f t="array" ref="L988">IF(ROW()&lt;17,NA(),_xlfn.LET(_xlpm.d,INDEX(E:E,ROW()-13):E988-INDEX(E:E,ROW()-14):INDEX(E:E,ROW()-1),_xlpm.g,SUM(IF(_xlpm.d&gt;0,_xlpm.d,0)),_xlpm.l,-SUM(IF(_xlpm.d&lt;0,_xlpm.d,0)),IF(_xlpm.l=0,100,100-100/(1+_xlpm.g/_xlpm.l))))</f>
        <v/>
      </c>
      <c r="M988" s="211">
        <f>MAX($E$2:E988)</f>
        <v/>
      </c>
      <c r="N988" s="341">
        <f>E988/M988-1</f>
        <v/>
      </c>
    </row>
    <row r="989">
      <c r="A989" s="424" t="n">
        <v>45902</v>
      </c>
      <c r="B989" s="425" t="n">
        <v>73.22560836862144</v>
      </c>
      <c r="C989" s="425" t="n">
        <v>73.62252491851012</v>
      </c>
      <c r="D989" s="425" t="n">
        <v>71.63795694080282</v>
      </c>
      <c r="E989" s="425" t="n">
        <v>71.918701171875</v>
      </c>
      <c r="F989" s="207" t="n">
        <v>15078700</v>
      </c>
      <c r="G989" s="208" t="n">
        <v>-0.007410430958178948</v>
      </c>
      <c r="H989" s="209" cm="1">
        <f t="array" ref="H989">IF(ROW()&lt;3,"",E989/INDEX(E:E,ROW()-1)-1)</f>
        <v/>
      </c>
      <c r="I989" s="211">
        <f>IF(ROW()&lt;51,NA(),AVERAGE(INDEX(E:E,ROW()-49):E989))</f>
        <v/>
      </c>
      <c r="J989" s="211">
        <f>IF(ROW()&lt;201,NA(),AVERAGE(INDEX(E:E,ROW()-199):E989))</f>
        <v/>
      </c>
      <c r="K989" s="341">
        <f>IF(ROW()&lt;22,NA(),_xlfn.STDEV.S(INDEX(H:H,ROW()-19):H989)*SQRT(252))</f>
        <v/>
      </c>
      <c r="L989" s="426" cm="1">
        <f t="array" ref="L989">IF(ROW()&lt;17,NA(),_xlfn.LET(_xlpm.d,INDEX(E:E,ROW()-13):E989-INDEX(E:E,ROW()-14):INDEX(E:E,ROW()-1),_xlpm.g,SUM(IF(_xlpm.d&gt;0,_xlpm.d,0)),_xlpm.l,-SUM(IF(_xlpm.d&lt;0,_xlpm.d,0)),IF(_xlpm.l=0,100,100-100/(1+_xlpm.g/_xlpm.l))))</f>
        <v/>
      </c>
      <c r="M989" s="211">
        <f>MAX($E$2:E989)</f>
        <v/>
      </c>
      <c r="N989" s="341">
        <f>E989/M989-1</f>
        <v/>
      </c>
    </row>
    <row r="990">
      <c r="A990" s="424" t="n">
        <v>45903</v>
      </c>
      <c r="B990" s="425" t="n">
        <v>72.02519575163655</v>
      </c>
      <c r="C990" s="425" t="n">
        <v>72.78029741309759</v>
      </c>
      <c r="D990" s="425" t="n">
        <v>71.55083834125924</v>
      </c>
      <c r="E990" s="425" t="n">
        <v>72.35433959960938</v>
      </c>
      <c r="F990" s="207" t="n">
        <v>8300100</v>
      </c>
      <c r="G990" s="208" t="n">
        <v>0.005419573966797708</v>
      </c>
      <c r="H990" s="209" cm="1">
        <f t="array" ref="H990">IF(ROW()&lt;3,"",E990/INDEX(E:E,ROW()-1)-1)</f>
        <v/>
      </c>
      <c r="I990" s="211">
        <f>IF(ROW()&lt;51,NA(),AVERAGE(INDEX(E:E,ROW()-49):E990))</f>
        <v/>
      </c>
      <c r="J990" s="211">
        <f>IF(ROW()&lt;201,NA(),AVERAGE(INDEX(E:E,ROW()-199):E990))</f>
        <v/>
      </c>
      <c r="K990" s="341">
        <f>IF(ROW()&lt;22,NA(),_xlfn.STDEV.S(INDEX(H:H,ROW()-19):H990)*SQRT(252))</f>
        <v/>
      </c>
      <c r="L990" s="426" cm="1">
        <f t="array" ref="L990">IF(ROW()&lt;17,NA(),_xlfn.LET(_xlpm.d,INDEX(E:E,ROW()-13):E990-INDEX(E:E,ROW()-14):INDEX(E:E,ROW()-1),_xlpm.g,SUM(IF(_xlpm.d&gt;0,_xlpm.d,0)),_xlpm.l,-SUM(IF(_xlpm.d&lt;0,_xlpm.d,0)),IF(_xlpm.l=0,100,100-100/(1+_xlpm.g/_xlpm.l))))</f>
        <v/>
      </c>
      <c r="M990" s="211">
        <f>MAX($E$2:E990)</f>
        <v/>
      </c>
      <c r="N990" s="341">
        <f>E990/M990-1</f>
        <v/>
      </c>
    </row>
    <row r="991">
      <c r="A991" s="424" t="n">
        <v>45904</v>
      </c>
      <c r="B991" s="425" t="n">
        <v>72.36402312612802</v>
      </c>
      <c r="C991" s="425" t="n">
        <v>73.35146206482274</v>
      </c>
      <c r="D991" s="425" t="n">
        <v>72.13168585570608</v>
      </c>
      <c r="E991" s="425" t="n">
        <v>72.94486999511719</v>
      </c>
      <c r="F991" s="207" t="n">
        <v>11096200</v>
      </c>
      <c r="G991" s="208" t="n">
        <v>0.008357509390125362</v>
      </c>
      <c r="H991" s="209" cm="1">
        <f t="array" ref="H991">IF(ROW()&lt;3,"",E991/INDEX(E:E,ROW()-1)-1)</f>
        <v/>
      </c>
      <c r="I991" s="211">
        <f>IF(ROW()&lt;51,NA(),AVERAGE(INDEX(E:E,ROW()-49):E991))</f>
        <v/>
      </c>
      <c r="J991" s="211">
        <f>IF(ROW()&lt;201,NA(),AVERAGE(INDEX(E:E,ROW()-199):E991))</f>
        <v/>
      </c>
      <c r="K991" s="341">
        <f>IF(ROW()&lt;22,NA(),_xlfn.STDEV.S(INDEX(H:H,ROW()-19):H991)*SQRT(252))</f>
        <v/>
      </c>
      <c r="L991" s="426" cm="1">
        <f t="array" ref="L991">IF(ROW()&lt;17,NA(),_xlfn.LET(_xlpm.d,INDEX(E:E,ROW()-13):E991-INDEX(E:E,ROW()-14):INDEX(E:E,ROW()-1),_xlpm.g,SUM(IF(_xlpm.d&gt;0,_xlpm.d,0)),_xlpm.l,-SUM(IF(_xlpm.d&lt;0,_xlpm.d,0)),IF(_xlpm.l=0,100,100-100/(1+_xlpm.g/_xlpm.l))))</f>
        <v/>
      </c>
      <c r="M991" s="211">
        <f>MAX($E$2:E991)</f>
        <v/>
      </c>
      <c r="N991" s="341">
        <f>E991/M991-1</f>
        <v/>
      </c>
    </row>
    <row r="992">
      <c r="A992" s="424" t="n">
        <v>45905</v>
      </c>
      <c r="B992" s="425" t="n">
        <v>72.41241800495015</v>
      </c>
      <c r="C992" s="425" t="n">
        <v>73.00294764903971</v>
      </c>
      <c r="D992" s="425" t="n">
        <v>71.27975830600634</v>
      </c>
      <c r="E992" s="425" t="n">
        <v>71.55082702636719</v>
      </c>
      <c r="F992" s="207" t="n">
        <v>13758400</v>
      </c>
      <c r="G992" s="208" t="n">
        <v>-0.002896237978525229</v>
      </c>
      <c r="H992" s="209" cm="1">
        <f t="array" ref="H992">IF(ROW()&lt;3,"",E992/INDEX(E:E,ROW()-1)-1)</f>
        <v/>
      </c>
      <c r="I992" s="211">
        <f>IF(ROW()&lt;51,NA(),AVERAGE(INDEX(E:E,ROW()-49):E992))</f>
        <v/>
      </c>
      <c r="J992" s="211">
        <f>IF(ROW()&lt;201,NA(),AVERAGE(INDEX(E:E,ROW()-199):E992))</f>
        <v/>
      </c>
      <c r="K992" s="341">
        <f>IF(ROW()&lt;22,NA(),_xlfn.STDEV.S(INDEX(H:H,ROW()-19):H992)*SQRT(252))</f>
        <v/>
      </c>
      <c r="L992" s="426" cm="1">
        <f t="array" ref="L992">IF(ROW()&lt;17,NA(),_xlfn.LET(_xlpm.d,INDEX(E:E,ROW()-13):E992-INDEX(E:E,ROW()-14):INDEX(E:E,ROW()-1),_xlpm.g,SUM(IF(_xlpm.d&gt;0,_xlpm.d,0)),_xlpm.l,-SUM(IF(_xlpm.d&lt;0,_xlpm.d,0)),IF(_xlpm.l=0,100,100-100/(1+_xlpm.g/_xlpm.l))))</f>
        <v/>
      </c>
      <c r="M992" s="211">
        <f>MAX($E$2:E992)</f>
        <v/>
      </c>
      <c r="N992" s="341">
        <f>E992/M992-1</f>
        <v/>
      </c>
    </row>
    <row r="993">
      <c r="A993" s="424" t="n">
        <v>45908</v>
      </c>
      <c r="B993" s="425" t="n">
        <v>71.88966205634026</v>
      </c>
      <c r="C993" s="425" t="n">
        <v>72.1994475297751</v>
      </c>
      <c r="D993" s="425" t="n">
        <v>71.35721481174835</v>
      </c>
      <c r="E993" s="425" t="n">
        <v>71.78317260742188</v>
      </c>
      <c r="F993" s="207" t="n">
        <v>13793300</v>
      </c>
      <c r="G993" s="208" t="n">
        <v>0.00245656071177458</v>
      </c>
      <c r="H993" s="209" cm="1">
        <f t="array" ref="H993">IF(ROW()&lt;3,"",E993/INDEX(E:E,ROW()-1)-1)</f>
        <v/>
      </c>
      <c r="I993" s="211">
        <f>IF(ROW()&lt;51,NA(),AVERAGE(INDEX(E:E,ROW()-49):E993))</f>
        <v/>
      </c>
      <c r="J993" s="211">
        <f>IF(ROW()&lt;201,NA(),AVERAGE(INDEX(E:E,ROW()-199):E993))</f>
        <v/>
      </c>
      <c r="K993" s="341">
        <f>IF(ROW()&lt;22,NA(),_xlfn.STDEV.S(INDEX(H:H,ROW()-19):H993)*SQRT(252))</f>
        <v/>
      </c>
      <c r="L993" s="426" cm="1">
        <f t="array" ref="L993">IF(ROW()&lt;17,NA(),_xlfn.LET(_xlpm.d,INDEX(E:E,ROW()-13):E993-INDEX(E:E,ROW()-14):INDEX(E:E,ROW()-1),_xlpm.g,SUM(IF(_xlpm.d&gt;0,_xlpm.d,0)),_xlpm.l,-SUM(IF(_xlpm.d&lt;0,_xlpm.d,0)),IF(_xlpm.l=0,100,100-100/(1+_xlpm.g/_xlpm.l))))</f>
        <v/>
      </c>
      <c r="M993" s="211">
        <f>MAX($E$2:E993)</f>
        <v/>
      </c>
      <c r="N993" s="341">
        <f>E993/M993-1</f>
        <v/>
      </c>
    </row>
    <row r="994">
      <c r="A994" s="424" t="n">
        <v>45909</v>
      </c>
      <c r="B994" s="425" t="n">
        <v>71.62828327422055</v>
      </c>
      <c r="C994" s="425" t="n">
        <v>72.17041344584337</v>
      </c>
      <c r="D994" s="425" t="n">
        <v>70.7182925104008</v>
      </c>
      <c r="E994" s="425" t="n">
        <v>71.250732421875</v>
      </c>
      <c r="F994" s="207" t="n">
        <v>8740200</v>
      </c>
      <c r="G994" s="208" t="n">
        <v>0.002311904712187562</v>
      </c>
      <c r="H994" s="209" cm="1">
        <f t="array" ref="H994">IF(ROW()&lt;3,"",E994/INDEX(E:E,ROW()-1)-1)</f>
        <v/>
      </c>
      <c r="I994" s="211">
        <f>IF(ROW()&lt;51,NA(),AVERAGE(INDEX(E:E,ROW()-49):E994))</f>
        <v/>
      </c>
      <c r="J994" s="211">
        <f>IF(ROW()&lt;201,NA(),AVERAGE(INDEX(E:E,ROW()-199):E994))</f>
        <v/>
      </c>
      <c r="K994" s="341">
        <f>IF(ROW()&lt;22,NA(),_xlfn.STDEV.S(INDEX(H:H,ROW()-19):H994)*SQRT(252))</f>
        <v/>
      </c>
      <c r="L994" s="426" cm="1">
        <f t="array" ref="L994">IF(ROW()&lt;17,NA(),_xlfn.LET(_xlpm.d,INDEX(E:E,ROW()-13):E994-INDEX(E:E,ROW()-14):INDEX(E:E,ROW()-1),_xlpm.g,SUM(IF(_xlpm.d&gt;0,_xlpm.d,0)),_xlpm.l,-SUM(IF(_xlpm.d&lt;0,_xlpm.d,0)),IF(_xlpm.l=0,100,100-100/(1+_xlpm.g/_xlpm.l))))</f>
        <v/>
      </c>
      <c r="M994" s="211">
        <f>MAX($E$2:E994)</f>
        <v/>
      </c>
      <c r="N994" s="341">
        <f>E994/M994-1</f>
        <v/>
      </c>
    </row>
    <row r="995">
      <c r="A995" s="424" t="n">
        <v>45910</v>
      </c>
      <c r="B995" s="425" t="n">
        <v>72.84805482806581</v>
      </c>
      <c r="C995" s="425" t="n">
        <v>73.05135083895628</v>
      </c>
      <c r="D995" s="425" t="n">
        <v>70.98934211203772</v>
      </c>
      <c r="E995" s="425" t="n">
        <v>71.87997436523438</v>
      </c>
      <c r="F995" s="207" t="n">
        <v>11359300</v>
      </c>
      <c r="G995" s="208" t="n">
        <v>0.002890944333292511</v>
      </c>
      <c r="H995" s="209" cm="1">
        <f t="array" ref="H995">IF(ROW()&lt;3,"",E995/INDEX(E:E,ROW()-1)-1)</f>
        <v/>
      </c>
      <c r="I995" s="211">
        <f>IF(ROW()&lt;51,NA(),AVERAGE(INDEX(E:E,ROW()-49):E995))</f>
        <v/>
      </c>
      <c r="J995" s="211">
        <f>IF(ROW()&lt;201,NA(),AVERAGE(INDEX(E:E,ROW()-199):E995))</f>
        <v/>
      </c>
      <c r="K995" s="341">
        <f>IF(ROW()&lt;22,NA(),_xlfn.STDEV.S(INDEX(H:H,ROW()-19):H995)*SQRT(252))</f>
        <v/>
      </c>
      <c r="L995" s="426" cm="1">
        <f t="array" ref="L995">IF(ROW()&lt;17,NA(),_xlfn.LET(_xlpm.d,INDEX(E:E,ROW()-13):E995-INDEX(E:E,ROW()-14):INDEX(E:E,ROW()-1),_xlpm.g,SUM(IF(_xlpm.d&gt;0,_xlpm.d,0)),_xlpm.l,-SUM(IF(_xlpm.d&lt;0,_xlpm.d,0)),IF(_xlpm.l=0,100,100-100/(1+_xlpm.g/_xlpm.l))))</f>
        <v/>
      </c>
      <c r="M995" s="211">
        <f>MAX($E$2:E995)</f>
        <v/>
      </c>
      <c r="N995" s="341">
        <f>E995/M995-1</f>
        <v/>
      </c>
    </row>
    <row r="996">
      <c r="A996" s="424" t="n">
        <v>45911</v>
      </c>
      <c r="B996" s="425" t="n">
        <v>72.03487619396638</v>
      </c>
      <c r="C996" s="425" t="n">
        <v>73.11912166680368</v>
      </c>
      <c r="D996" s="425" t="n">
        <v>71.64764250258092</v>
      </c>
      <c r="E996" s="425" t="n">
        <v>71.95742797851562</v>
      </c>
      <c r="F996" s="207" t="n">
        <v>9803400</v>
      </c>
      <c r="G996" s="208" t="n">
        <v>0.008310152614278588</v>
      </c>
      <c r="H996" s="209" cm="1">
        <f t="array" ref="H996">IF(ROW()&lt;3,"",E996/INDEX(E:E,ROW()-1)-1)</f>
        <v/>
      </c>
      <c r="I996" s="211">
        <f>IF(ROW()&lt;51,NA(),AVERAGE(INDEX(E:E,ROW()-49):E996))</f>
        <v/>
      </c>
      <c r="J996" s="211">
        <f>IF(ROW()&lt;201,NA(),AVERAGE(INDEX(E:E,ROW()-199):E996))</f>
        <v/>
      </c>
      <c r="K996" s="341">
        <f>IF(ROW()&lt;22,NA(),_xlfn.STDEV.S(INDEX(H:H,ROW()-19):H996)*SQRT(252))</f>
        <v/>
      </c>
      <c r="L996" s="426" cm="1">
        <f t="array" ref="L996">IF(ROW()&lt;17,NA(),_xlfn.LET(_xlpm.d,INDEX(E:E,ROW()-13):E996-INDEX(E:E,ROW()-14):INDEX(E:E,ROW()-1),_xlpm.g,SUM(IF(_xlpm.d&gt;0,_xlpm.d,0)),_xlpm.l,-SUM(IF(_xlpm.d&lt;0,_xlpm.d,0)),IF(_xlpm.l=0,100,100-100/(1+_xlpm.g/_xlpm.l))))</f>
        <v/>
      </c>
      <c r="M996" s="211">
        <f>MAX($E$2:E996)</f>
        <v/>
      </c>
      <c r="N996" s="341">
        <f>E996/M996-1</f>
        <v/>
      </c>
    </row>
    <row r="997">
      <c r="A997" s="424" t="n">
        <v>45912</v>
      </c>
      <c r="B997" s="425" t="n">
        <v>71.87029384377202</v>
      </c>
      <c r="C997" s="425" t="n">
        <v>71.90901794985625</v>
      </c>
      <c r="D997" s="425" t="n">
        <v>69.63403026495058</v>
      </c>
      <c r="E997" s="425" t="n">
        <v>70.66987609863281</v>
      </c>
      <c r="F997" s="207" t="n">
        <v>11806000</v>
      </c>
      <c r="G997" s="208" t="n">
        <v>-0.0003345206495947162</v>
      </c>
      <c r="H997" s="209" cm="1">
        <f t="array" ref="H997">IF(ROW()&lt;3,"",E997/INDEX(E:E,ROW()-1)-1)</f>
        <v/>
      </c>
      <c r="I997" s="211">
        <f>IF(ROW()&lt;51,NA(),AVERAGE(INDEX(E:E,ROW()-49):E997))</f>
        <v/>
      </c>
      <c r="J997" s="211">
        <f>IF(ROW()&lt;201,NA(),AVERAGE(INDEX(E:E,ROW()-199):E997))</f>
        <v/>
      </c>
      <c r="K997" s="341">
        <f>IF(ROW()&lt;22,NA(),_xlfn.STDEV.S(INDEX(H:H,ROW()-19):H997)*SQRT(252))</f>
        <v/>
      </c>
      <c r="L997" s="426" cm="1">
        <f t="array" ref="L997">IF(ROW()&lt;17,NA(),_xlfn.LET(_xlpm.d,INDEX(E:E,ROW()-13):E997-INDEX(E:E,ROW()-14):INDEX(E:E,ROW()-1),_xlpm.g,SUM(IF(_xlpm.d&gt;0,_xlpm.d,0)),_xlpm.l,-SUM(IF(_xlpm.d&lt;0,_xlpm.d,0)),IF(_xlpm.l=0,100,100-100/(1+_xlpm.g/_xlpm.l))))</f>
        <v/>
      </c>
      <c r="M997" s="211">
        <f>MAX($E$2:E997)</f>
        <v/>
      </c>
      <c r="N997" s="341">
        <f>E997/M997-1</f>
        <v/>
      </c>
    </row>
    <row r="998">
      <c r="A998" s="424" t="n">
        <v>45915</v>
      </c>
      <c r="B998" s="425" t="n">
        <v>70.84414240797999</v>
      </c>
      <c r="C998" s="425" t="n">
        <v>70.87318364580058</v>
      </c>
      <c r="D998" s="425" t="n">
        <v>70.26329549396051</v>
      </c>
      <c r="E998" s="425" t="n">
        <v>70.69892883300781</v>
      </c>
      <c r="F998" s="207" t="n">
        <v>10323800</v>
      </c>
      <c r="G998" s="208" t="n">
        <v>0.005323914184996559</v>
      </c>
      <c r="H998" s="209" cm="1">
        <f t="array" ref="H998">IF(ROW()&lt;3,"",E998/INDEX(E:E,ROW()-1)-1)</f>
        <v/>
      </c>
      <c r="I998" s="211">
        <f>IF(ROW()&lt;51,NA(),AVERAGE(INDEX(E:E,ROW()-49):E998))</f>
        <v/>
      </c>
      <c r="J998" s="211">
        <f>IF(ROW()&lt;201,NA(),AVERAGE(INDEX(E:E,ROW()-199):E998))</f>
        <v/>
      </c>
      <c r="K998" s="341">
        <f>IF(ROW()&lt;22,NA(),_xlfn.STDEV.S(INDEX(H:H,ROW()-19):H998)*SQRT(252))</f>
        <v/>
      </c>
      <c r="L998" s="426" cm="1">
        <f t="array" ref="L998">IF(ROW()&lt;17,NA(),_xlfn.LET(_xlpm.d,INDEX(E:E,ROW()-13):E998-INDEX(E:E,ROW()-14):INDEX(E:E,ROW()-1),_xlpm.g,SUM(IF(_xlpm.d&gt;0,_xlpm.d,0)),_xlpm.l,-SUM(IF(_xlpm.d&lt;0,_xlpm.d,0)),IF(_xlpm.l=0,100,100-100/(1+_xlpm.g/_xlpm.l))))</f>
        <v/>
      </c>
      <c r="M998" s="211">
        <f>MAX($E$2:E998)</f>
        <v/>
      </c>
      <c r="N998" s="341">
        <f>E998/M998-1</f>
        <v/>
      </c>
    </row>
    <row r="999">
      <c r="A999" s="424" t="n">
        <v>45916</v>
      </c>
      <c r="B999" s="425" t="n">
        <v>70.47626342470807</v>
      </c>
      <c r="C999" s="425" t="n">
        <v>71.03774450200889</v>
      </c>
      <c r="D999" s="425" t="n">
        <v>69.78891976945793</v>
      </c>
      <c r="E999" s="425" t="n">
        <v>70.4278564453125</v>
      </c>
      <c r="F999" s="207" t="n">
        <v>8813600</v>
      </c>
      <c r="G999" s="208" t="n">
        <v>-0.001376934061145807</v>
      </c>
      <c r="H999" s="209" cm="1">
        <f t="array" ref="H999">IF(ROW()&lt;3,"",E999/INDEX(E:E,ROW()-1)-1)</f>
        <v/>
      </c>
      <c r="I999" s="211">
        <f>IF(ROW()&lt;51,NA(),AVERAGE(INDEX(E:E,ROW()-49):E999))</f>
        <v/>
      </c>
      <c r="J999" s="211">
        <f>IF(ROW()&lt;201,NA(),AVERAGE(INDEX(E:E,ROW()-199):E999))</f>
        <v/>
      </c>
      <c r="K999" s="341">
        <f>IF(ROW()&lt;22,NA(),_xlfn.STDEV.S(INDEX(H:H,ROW()-19):H999)*SQRT(252))</f>
        <v/>
      </c>
      <c r="L999" s="426" cm="1">
        <f t="array" ref="L999">IF(ROW()&lt;17,NA(),_xlfn.LET(_xlpm.d,INDEX(E:E,ROW()-13):E999-INDEX(E:E,ROW()-14):INDEX(E:E,ROW()-1),_xlpm.g,SUM(IF(_xlpm.d&gt;0,_xlpm.d,0)),_xlpm.l,-SUM(IF(_xlpm.d&lt;0,_xlpm.d,0)),IF(_xlpm.l=0,100,100-100/(1+_xlpm.g/_xlpm.l))))</f>
        <v/>
      </c>
      <c r="M999" s="211">
        <f>MAX($E$2:E999)</f>
        <v/>
      </c>
      <c r="N999" s="341">
        <f>E999/M999-1</f>
        <v/>
      </c>
    </row>
    <row r="1000">
      <c r="A1000" s="424" t="n">
        <v>45917</v>
      </c>
      <c r="B1000" s="425" t="n">
        <v>70.73764297913401</v>
      </c>
      <c r="C1000" s="425" t="n">
        <v>70.97966310803291</v>
      </c>
      <c r="D1000" s="425" t="n">
        <v>69.32424631266866</v>
      </c>
      <c r="E1000" s="425" t="n">
        <v>70.00189971923828</v>
      </c>
      <c r="F1000" s="207" t="n">
        <v>11108700</v>
      </c>
      <c r="G1000" s="208" t="n">
        <v>-0.001242355376064652</v>
      </c>
      <c r="H1000" s="209" cm="1">
        <f t="array" ref="H1000">IF(ROW()&lt;3,"",E1000/INDEX(E:E,ROW()-1)-1)</f>
        <v/>
      </c>
      <c r="I1000" s="211">
        <f>IF(ROW()&lt;51,NA(),AVERAGE(INDEX(E:E,ROW()-49):E1000))</f>
        <v/>
      </c>
      <c r="J1000" s="211">
        <f>IF(ROW()&lt;201,NA(),AVERAGE(INDEX(E:E,ROW()-199):E1000))</f>
        <v/>
      </c>
      <c r="K1000" s="341">
        <f>IF(ROW()&lt;22,NA(),_xlfn.STDEV.S(INDEX(H:H,ROW()-19):H1000)*SQRT(252))</f>
        <v/>
      </c>
      <c r="L1000" s="426" cm="1">
        <f t="array" ref="L1000">IF(ROW()&lt;17,NA(),_xlfn.LET(_xlpm.d,INDEX(E:E,ROW()-13):E1000-INDEX(E:E,ROW()-14):INDEX(E:E,ROW()-1),_xlpm.g,SUM(IF(_xlpm.d&gt;0,_xlpm.d,0)),_xlpm.l,-SUM(IF(_xlpm.d&lt;0,_xlpm.d,0)),IF(_xlpm.l=0,100,100-100/(1+_xlpm.g/_xlpm.l))))</f>
        <v/>
      </c>
      <c r="M1000" s="211">
        <f>MAX($E$2:E1000)</f>
        <v/>
      </c>
      <c r="N1000" s="341">
        <f>E1000/M1000-1</f>
        <v/>
      </c>
    </row>
    <row r="1001">
      <c r="A1001" s="424" t="n">
        <v>45918</v>
      </c>
      <c r="B1001" s="425" t="n">
        <v>71.09583089193251</v>
      </c>
      <c r="C1001" s="425" t="n">
        <v>71.25071992389231</v>
      </c>
      <c r="D1001" s="425" t="n">
        <v>69.34360024813037</v>
      </c>
      <c r="E1001" s="425" t="n">
        <v>69.79859924316406</v>
      </c>
      <c r="F1001" s="207" t="n">
        <v>14918400</v>
      </c>
      <c r="G1001" s="208" t="n">
        <v>0.004672464341558991</v>
      </c>
      <c r="H1001" s="209" cm="1">
        <f t="array" ref="H1001">IF(ROW()&lt;3,"",E1001/INDEX(E:E,ROW()-1)-1)</f>
        <v/>
      </c>
      <c r="I1001" s="211">
        <f>IF(ROW()&lt;51,NA(),AVERAGE(INDEX(E:E,ROW()-49):E1001))</f>
        <v/>
      </c>
      <c r="J1001" s="211">
        <f>IF(ROW()&lt;201,NA(),AVERAGE(INDEX(E:E,ROW()-199):E1001))</f>
        <v/>
      </c>
      <c r="K1001" s="341">
        <f>IF(ROW()&lt;22,NA(),_xlfn.STDEV.S(INDEX(H:H,ROW()-19):H1001)*SQRT(252))</f>
        <v/>
      </c>
      <c r="L1001" s="426" cm="1">
        <f t="array" ref="L1001">IF(ROW()&lt;17,NA(),_xlfn.LET(_xlpm.d,INDEX(E:E,ROW()-13):E1001-INDEX(E:E,ROW()-14):INDEX(E:E,ROW()-1),_xlpm.g,SUM(IF(_xlpm.d&gt;0,_xlpm.d,0)),_xlpm.l,-SUM(IF(_xlpm.d&lt;0,_xlpm.d,0)),IF(_xlpm.l=0,100,100-100/(1+_xlpm.g/_xlpm.l))))</f>
        <v/>
      </c>
      <c r="M1001" s="211">
        <f>MAX($E$2:E1001)</f>
        <v/>
      </c>
      <c r="N1001" s="341">
        <f>E1001/M1001-1</f>
        <v/>
      </c>
    </row>
    <row r="1002">
      <c r="A1002" s="424" t="n">
        <v>45919</v>
      </c>
      <c r="B1002" s="425" t="n">
        <v>69.71147287950095</v>
      </c>
      <c r="C1002" s="425" t="n">
        <v>69.94381011148236</v>
      </c>
      <c r="D1002" s="425" t="n">
        <v>68.48200661411992</v>
      </c>
      <c r="E1002" s="425" t="n">
        <v>68.62722015380859</v>
      </c>
      <c r="F1002" s="207" t="n">
        <v>33415600</v>
      </c>
      <c r="G1002" s="208" t="n">
        <v>0.00495283642365596</v>
      </c>
      <c r="H1002" s="209" cm="1">
        <f t="array" ref="H1002">IF(ROW()&lt;3,"",E1002/INDEX(E:E,ROW()-1)-1)</f>
        <v/>
      </c>
      <c r="I1002" s="211">
        <f>IF(ROW()&lt;51,NA(),AVERAGE(INDEX(E:E,ROW()-49):E1002))</f>
        <v/>
      </c>
      <c r="J1002" s="211">
        <f>IF(ROW()&lt;201,NA(),AVERAGE(INDEX(E:E,ROW()-199):E1002))</f>
        <v/>
      </c>
      <c r="K1002" s="341">
        <f>IF(ROW()&lt;22,NA(),_xlfn.STDEV.S(INDEX(H:H,ROW()-19):H1002)*SQRT(252))</f>
        <v/>
      </c>
      <c r="L1002" s="426" cm="1">
        <f t="array" ref="L1002">IF(ROW()&lt;17,NA(),_xlfn.LET(_xlpm.d,INDEX(E:E,ROW()-13):E1002-INDEX(E:E,ROW()-14):INDEX(E:E,ROW()-1),_xlpm.g,SUM(IF(_xlpm.d&gt;0,_xlpm.d,0)),_xlpm.l,-SUM(IF(_xlpm.d&lt;0,_xlpm.d,0)),IF(_xlpm.l=0,100,100-100/(1+_xlpm.g/_xlpm.l))))</f>
        <v/>
      </c>
      <c r="M1002" s="211">
        <f>MAX($E$2:E1002)</f>
        <v/>
      </c>
      <c r="N1002" s="341">
        <f>E1002/M1002-1</f>
        <v/>
      </c>
    </row>
    <row r="1003">
      <c r="A1003" s="424" t="n">
        <v>45922</v>
      </c>
      <c r="B1003" s="425" t="n">
        <v>68.53041862991283</v>
      </c>
      <c r="C1003" s="425" t="n">
        <v>70.17615250511973</v>
      </c>
      <c r="D1003" s="425" t="n">
        <v>68.18190906337311</v>
      </c>
      <c r="E1003" s="425" t="n">
        <v>69.00477600097656</v>
      </c>
      <c r="F1003" s="207" t="n">
        <v>12336300</v>
      </c>
      <c r="G1003" s="208" t="n">
        <v>0.004731085163901749</v>
      </c>
      <c r="H1003" s="209" cm="1">
        <f t="array" ref="H1003">IF(ROW()&lt;3,"",E1003/INDEX(E:E,ROW()-1)-1)</f>
        <v/>
      </c>
      <c r="I1003" s="211">
        <f>IF(ROW()&lt;51,NA(),AVERAGE(INDEX(E:E,ROW()-49):E1003))</f>
        <v/>
      </c>
      <c r="J1003" s="211">
        <f>IF(ROW()&lt;201,NA(),AVERAGE(INDEX(E:E,ROW()-199):E1003))</f>
        <v/>
      </c>
      <c r="K1003" s="341">
        <f>IF(ROW()&lt;22,NA(),_xlfn.STDEV.S(INDEX(H:H,ROW()-19):H1003)*SQRT(252))</f>
        <v/>
      </c>
      <c r="L1003" s="426" cm="1">
        <f t="array" ref="L1003">IF(ROW()&lt;17,NA(),_xlfn.LET(_xlpm.d,INDEX(E:E,ROW()-13):E1003-INDEX(E:E,ROW()-14):INDEX(E:E,ROW()-1),_xlpm.g,SUM(IF(_xlpm.d&gt;0,_xlpm.d,0)),_xlpm.l,-SUM(IF(_xlpm.d&lt;0,_xlpm.d,0)),IF(_xlpm.l=0,100,100-100/(1+_xlpm.g/_xlpm.l))))</f>
        <v/>
      </c>
      <c r="M1003" s="211">
        <f>MAX($E$2:E1003)</f>
        <v/>
      </c>
      <c r="N1003" s="341">
        <f>E1003/M1003-1</f>
        <v/>
      </c>
    </row>
    <row r="1004">
      <c r="A1004" s="424" t="n">
        <v>45923</v>
      </c>
      <c r="B1004" s="425" t="n">
        <v>69.28551786070639</v>
      </c>
      <c r="C1004" s="425" t="n">
        <v>70.10838477018535</v>
      </c>
      <c r="D1004" s="425" t="n">
        <v>68.47233382381926</v>
      </c>
      <c r="E1004" s="425" t="n">
        <v>68.66594696044922</v>
      </c>
      <c r="F1004" s="207" t="n">
        <v>10432400</v>
      </c>
      <c r="G1004" s="208" t="n">
        <v>-0.005443572672652719</v>
      </c>
      <c r="H1004" s="209" cm="1">
        <f t="array" ref="H1004">IF(ROW()&lt;3,"",E1004/INDEX(E:E,ROW()-1)-1)</f>
        <v/>
      </c>
      <c r="I1004" s="211">
        <f>IF(ROW()&lt;51,NA(),AVERAGE(INDEX(E:E,ROW()-49):E1004))</f>
        <v/>
      </c>
      <c r="J1004" s="211">
        <f>IF(ROW()&lt;201,NA(),AVERAGE(INDEX(E:E,ROW()-199):E1004))</f>
        <v/>
      </c>
      <c r="K1004" s="341">
        <f>IF(ROW()&lt;22,NA(),_xlfn.STDEV.S(INDEX(H:H,ROW()-19):H1004)*SQRT(252))</f>
        <v/>
      </c>
      <c r="L1004" s="426" cm="1">
        <f t="array" ref="L1004">IF(ROW()&lt;17,NA(),_xlfn.LET(_xlpm.d,INDEX(E:E,ROW()-13):E1004-INDEX(E:E,ROW()-14):INDEX(E:E,ROW()-1),_xlpm.g,SUM(IF(_xlpm.d&gt;0,_xlpm.d,0)),_xlpm.l,-SUM(IF(_xlpm.d&lt;0,_xlpm.d,0)),IF(_xlpm.l=0,100,100-100/(1+_xlpm.g/_xlpm.l))))</f>
        <v/>
      </c>
      <c r="M1004" s="211">
        <f>MAX($E$2:E1004)</f>
        <v/>
      </c>
      <c r="N1004" s="341">
        <f>E1004/M1004-1</f>
        <v/>
      </c>
    </row>
    <row r="1005">
      <c r="A1005" s="424" t="n">
        <v>45924</v>
      </c>
      <c r="B1005" s="425" t="n">
        <v>68.41425376903993</v>
      </c>
      <c r="C1005" s="425" t="n">
        <v>69.2468036703073</v>
      </c>
      <c r="D1005" s="425" t="n">
        <v>68.20127485673403</v>
      </c>
      <c r="E1005" s="425" t="n">
        <v>68.94670104980469</v>
      </c>
      <c r="F1005" s="207" t="n">
        <v>10024500</v>
      </c>
      <c r="G1005" s="208" t="n">
        <v>-0.003181658140353649</v>
      </c>
      <c r="H1005" s="209" cm="1">
        <f t="array" ref="H1005">IF(ROW()&lt;3,"",E1005/INDEX(E:E,ROW()-1)-1)</f>
        <v/>
      </c>
      <c r="I1005" s="211">
        <f>IF(ROW()&lt;51,NA(),AVERAGE(INDEX(E:E,ROW()-49):E1005))</f>
        <v/>
      </c>
      <c r="J1005" s="211">
        <f>IF(ROW()&lt;201,NA(),AVERAGE(INDEX(E:E,ROW()-199):E1005))</f>
        <v/>
      </c>
      <c r="K1005" s="341">
        <f>IF(ROW()&lt;22,NA(),_xlfn.STDEV.S(INDEX(H:H,ROW()-19):H1005)*SQRT(252))</f>
        <v/>
      </c>
      <c r="L1005" s="426" cm="1">
        <f t="array" ref="L1005">IF(ROW()&lt;17,NA(),_xlfn.LET(_xlpm.d,INDEX(E:E,ROW()-13):E1005-INDEX(E:E,ROW()-14):INDEX(E:E,ROW()-1),_xlpm.g,SUM(IF(_xlpm.d&gt;0,_xlpm.d,0)),_xlpm.l,-SUM(IF(_xlpm.d&lt;0,_xlpm.d,0)),IF(_xlpm.l=0,100,100-100/(1+_xlpm.g/_xlpm.l))))</f>
        <v/>
      </c>
      <c r="M1005" s="211">
        <f>MAX($E$2:E1005)</f>
        <v/>
      </c>
      <c r="N1005" s="341">
        <f>E1005/M1005-1</f>
        <v/>
      </c>
    </row>
    <row r="1006">
      <c r="A1006" s="424" t="n">
        <v>45925</v>
      </c>
      <c r="B1006" s="425" t="n">
        <v>68.88861998797321</v>
      </c>
      <c r="C1006" s="425" t="n">
        <v>68.88861998797321</v>
      </c>
      <c r="D1006" s="425" t="n">
        <v>66.84596930303097</v>
      </c>
      <c r="E1006" s="425" t="n">
        <v>67.02989959716797</v>
      </c>
      <c r="F1006" s="207" t="n">
        <v>13075300</v>
      </c>
      <c r="G1006" s="208" t="n">
        <v>-0.004613445575769481</v>
      </c>
      <c r="H1006" s="209" cm="1">
        <f t="array" ref="H1006">IF(ROW()&lt;3,"",E1006/INDEX(E:E,ROW()-1)-1)</f>
        <v/>
      </c>
      <c r="I1006" s="211">
        <f>IF(ROW()&lt;51,NA(),AVERAGE(INDEX(E:E,ROW()-49):E1006))</f>
        <v/>
      </c>
      <c r="J1006" s="211">
        <f>IF(ROW()&lt;201,NA(),AVERAGE(INDEX(E:E,ROW()-199):E1006))</f>
        <v/>
      </c>
      <c r="K1006" s="341">
        <f>IF(ROW()&lt;22,NA(),_xlfn.STDEV.S(INDEX(H:H,ROW()-19):H1006)*SQRT(252))</f>
        <v/>
      </c>
      <c r="L1006" s="426" cm="1">
        <f t="array" ref="L1006">IF(ROW()&lt;17,NA(),_xlfn.LET(_xlpm.d,INDEX(E:E,ROW()-13):E1006-INDEX(E:E,ROW()-14):INDEX(E:E,ROW()-1),_xlpm.g,SUM(IF(_xlpm.d&gt;0,_xlpm.d,0)),_xlpm.l,-SUM(IF(_xlpm.d&lt;0,_xlpm.d,0)),IF(_xlpm.l=0,100,100-100/(1+_xlpm.g/_xlpm.l))))</f>
        <v/>
      </c>
      <c r="M1006" s="211">
        <f>MAX($E$2:E1006)</f>
        <v/>
      </c>
      <c r="N1006" s="341">
        <f>E1006/M1006-1</f>
        <v/>
      </c>
    </row>
    <row r="1007">
      <c r="A1007" s="424" t="n">
        <v>45926</v>
      </c>
      <c r="B1007" s="425" t="n">
        <v>67.16542158871538</v>
      </c>
      <c r="C1007" s="425" t="n">
        <v>67.22351144037712</v>
      </c>
      <c r="D1007" s="425" t="n">
        <v>65.8585144072799</v>
      </c>
      <c r="E1007" s="425" t="n">
        <v>67.09765625</v>
      </c>
      <c r="F1007" s="207" t="n">
        <v>15627600</v>
      </c>
      <c r="G1007" s="208" t="n">
        <v>0.005729103921045642</v>
      </c>
      <c r="H1007" s="209" cm="1">
        <f t="array" ref="H1007">IF(ROW()&lt;3,"",E1007/INDEX(E:E,ROW()-1)-1)</f>
        <v/>
      </c>
      <c r="I1007" s="211">
        <f>IF(ROW()&lt;51,NA(),AVERAGE(INDEX(E:E,ROW()-49):E1007))</f>
        <v/>
      </c>
      <c r="J1007" s="211">
        <f>IF(ROW()&lt;201,NA(),AVERAGE(INDEX(E:E,ROW()-199):E1007))</f>
        <v/>
      </c>
      <c r="K1007" s="341">
        <f>IF(ROW()&lt;22,NA(),_xlfn.STDEV.S(INDEX(H:H,ROW()-19):H1007)*SQRT(252))</f>
        <v/>
      </c>
      <c r="L1007" s="426" cm="1">
        <f t="array" ref="L1007">IF(ROW()&lt;17,NA(),_xlfn.LET(_xlpm.d,INDEX(E:E,ROW()-13):E1007-INDEX(E:E,ROW()-14):INDEX(E:E,ROW()-1),_xlpm.g,SUM(IF(_xlpm.d&gt;0,_xlpm.d,0)),_xlpm.l,-SUM(IF(_xlpm.d&lt;0,_xlpm.d,0)),IF(_xlpm.l=0,100,100-100/(1+_xlpm.g/_xlpm.l))))</f>
        <v/>
      </c>
      <c r="M1007" s="211">
        <f>MAX($E$2:E1007)</f>
        <v/>
      </c>
      <c r="N1007" s="341">
        <f>E1007/M1007-1</f>
        <v/>
      </c>
    </row>
    <row r="1008">
      <c r="A1008" s="424" t="n">
        <v>45929</v>
      </c>
      <c r="B1008" s="425" t="n">
        <v>67.54298099077428</v>
      </c>
      <c r="C1008" s="425" t="n">
        <v>67.72691867037253</v>
      </c>
      <c r="D1008" s="425" t="n">
        <v>66.54585914301964</v>
      </c>
      <c r="E1008" s="425" t="n">
        <v>67.33000946044922</v>
      </c>
      <c r="F1008" s="207" t="n">
        <v>18479300</v>
      </c>
      <c r="G1008" s="208" t="n">
        <v>0.002810434169152165</v>
      </c>
      <c r="H1008" s="209" cm="1">
        <f t="array" ref="H1008">IF(ROW()&lt;3,"",E1008/INDEX(E:E,ROW()-1)-1)</f>
        <v/>
      </c>
      <c r="I1008" s="211">
        <f>IF(ROW()&lt;51,NA(),AVERAGE(INDEX(E:E,ROW()-49):E1008))</f>
        <v/>
      </c>
      <c r="J1008" s="211">
        <f>IF(ROW()&lt;201,NA(),AVERAGE(INDEX(E:E,ROW()-199):E1008))</f>
        <v/>
      </c>
      <c r="K1008" s="341">
        <f>IF(ROW()&lt;22,NA(),_xlfn.STDEV.S(INDEX(H:H,ROW()-19):H1008)*SQRT(252))</f>
        <v/>
      </c>
      <c r="L1008" s="426" cm="1">
        <f t="array" ref="L1008">IF(ROW()&lt;17,NA(),_xlfn.LET(_xlpm.d,INDEX(E:E,ROW()-13):E1008-INDEX(E:E,ROW()-14):INDEX(E:E,ROW()-1),_xlpm.g,SUM(IF(_xlpm.d&gt;0,_xlpm.d,0)),_xlpm.l,-SUM(IF(_xlpm.d&lt;0,_xlpm.d,0)),IF(_xlpm.l=0,100,100-100/(1+_xlpm.g/_xlpm.l))))</f>
        <v/>
      </c>
      <c r="M1008" s="211">
        <f>MAX($E$2:E1008)</f>
        <v/>
      </c>
      <c r="N1008" s="341">
        <f>E1008/M1008-1</f>
        <v/>
      </c>
    </row>
    <row r="1009">
      <c r="A1009" s="424" t="n">
        <v>45930</v>
      </c>
      <c r="B1009" s="425" t="n">
        <v>67.83340103028328</v>
      </c>
      <c r="C1009" s="425" t="n">
        <v>67.9689317107939</v>
      </c>
      <c r="D1009" s="425" t="n">
        <v>66.62330039296135</v>
      </c>
      <c r="E1009" s="425" t="n">
        <v>67.50425720214844</v>
      </c>
      <c r="F1009" s="207" t="n">
        <v>40567700</v>
      </c>
      <c r="G1009" s="208" t="n">
        <v>0.003766706796163088</v>
      </c>
      <c r="H1009" s="209" cm="1">
        <f t="array" ref="H1009">IF(ROW()&lt;3,"",E1009/INDEX(E:E,ROW()-1)-1)</f>
        <v/>
      </c>
      <c r="I1009" s="211">
        <f>IF(ROW()&lt;51,NA(),AVERAGE(INDEX(E:E,ROW()-49):E1009))</f>
        <v/>
      </c>
      <c r="J1009" s="211">
        <f>IF(ROW()&lt;201,NA(),AVERAGE(INDEX(E:E,ROW()-199):E1009))</f>
        <v/>
      </c>
      <c r="K1009" s="341">
        <f>IF(ROW()&lt;22,NA(),_xlfn.STDEV.S(INDEX(H:H,ROW()-19):H1009)*SQRT(252))</f>
        <v/>
      </c>
      <c r="L1009" s="426" cm="1">
        <f t="array" ref="L1009">IF(ROW()&lt;17,NA(),_xlfn.LET(_xlpm.d,INDEX(E:E,ROW()-13):E1009-INDEX(E:E,ROW()-14):INDEX(E:E,ROW()-1),_xlpm.g,SUM(IF(_xlpm.d&gt;0,_xlpm.d,0)),_xlpm.l,-SUM(IF(_xlpm.d&lt;0,_xlpm.d,0)),IF(_xlpm.l=0,100,100-100/(1+_xlpm.g/_xlpm.l))))</f>
        <v/>
      </c>
      <c r="M1009" s="211">
        <f>MAX($E$2:E1009)</f>
        <v/>
      </c>
      <c r="N1009" s="341">
        <f>E1009/M1009-1</f>
        <v/>
      </c>
    </row>
    <row r="1010">
      <c r="A1010" s="424" t="n">
        <v>45931</v>
      </c>
      <c r="B1010" s="425" t="n">
        <v>71.97678704525519</v>
      </c>
      <c r="C1010" s="425" t="n">
        <v>72.30593827121446</v>
      </c>
      <c r="D1010" s="425" t="n">
        <v>69.32424841993648</v>
      </c>
      <c r="E1010" s="425" t="n">
        <v>71.83157348632812</v>
      </c>
      <c r="F1010" s="207" t="n">
        <v>57921900</v>
      </c>
      <c r="G1010" s="208" t="n">
        <v>0.003407699472708137</v>
      </c>
      <c r="H1010" s="209" cm="1">
        <f t="array" ref="H1010">IF(ROW()&lt;3,"",E1010/INDEX(E:E,ROW()-1)-1)</f>
        <v/>
      </c>
      <c r="I1010" s="211">
        <f>IF(ROW()&lt;51,NA(),AVERAGE(INDEX(E:E,ROW()-49):E1010))</f>
        <v/>
      </c>
      <c r="J1010" s="211">
        <f>IF(ROW()&lt;201,NA(),AVERAGE(INDEX(E:E,ROW()-199):E1010))</f>
        <v/>
      </c>
      <c r="K1010" s="341">
        <f>IF(ROW()&lt;22,NA(),_xlfn.STDEV.S(INDEX(H:H,ROW()-19):H1010)*SQRT(252))</f>
        <v/>
      </c>
      <c r="L1010" s="426" cm="1">
        <f t="array" ref="L1010">IF(ROW()&lt;17,NA(),_xlfn.LET(_xlpm.d,INDEX(E:E,ROW()-13):E1010-INDEX(E:E,ROW()-14):INDEX(E:E,ROW()-1),_xlpm.g,SUM(IF(_xlpm.d&gt;0,_xlpm.d,0)),_xlpm.l,-SUM(IF(_xlpm.d&lt;0,_xlpm.d,0)),IF(_xlpm.l=0,100,100-100/(1+_xlpm.g/_xlpm.l))))</f>
        <v/>
      </c>
      <c r="M1010" s="211">
        <f>MAX($E$2:E1010)</f>
        <v/>
      </c>
      <c r="N1010" s="341">
        <f>E1010/M1010-1</f>
        <v/>
      </c>
    </row>
    <row r="1011">
      <c r="A1011" s="424" t="n">
        <v>45932</v>
      </c>
      <c r="B1011" s="425" t="n">
        <v>72.60603318648513</v>
      </c>
      <c r="C1011" s="425" t="n">
        <v>74.5131528399223</v>
      </c>
      <c r="D1011" s="425" t="n">
        <v>71.52178043198795</v>
      </c>
      <c r="E1011" s="425" t="n">
        <v>72.18975830078125</v>
      </c>
      <c r="F1011" s="207" t="n">
        <v>26254400</v>
      </c>
      <c r="G1011" s="208" t="n">
        <v>0.0011516391661055</v>
      </c>
      <c r="H1011" s="209" cm="1">
        <f t="array" ref="H1011">IF(ROW()&lt;3,"",E1011/INDEX(E:E,ROW()-1)-1)</f>
        <v/>
      </c>
      <c r="I1011" s="211">
        <f>IF(ROW()&lt;51,NA(),AVERAGE(INDEX(E:E,ROW()-49):E1011))</f>
        <v/>
      </c>
      <c r="J1011" s="211">
        <f>IF(ROW()&lt;201,NA(),AVERAGE(INDEX(E:E,ROW()-199):E1011))</f>
        <v/>
      </c>
      <c r="K1011" s="341">
        <f>IF(ROW()&lt;22,NA(),_xlfn.STDEV.S(INDEX(H:H,ROW()-19):H1011)*SQRT(252))</f>
        <v/>
      </c>
      <c r="L1011" s="426" cm="1">
        <f t="array" ref="L1011">IF(ROW()&lt;17,NA(),_xlfn.LET(_xlpm.d,INDEX(E:E,ROW()-13):E1011-INDEX(E:E,ROW()-14):INDEX(E:E,ROW()-1),_xlpm.g,SUM(IF(_xlpm.d&gt;0,_xlpm.d,0)),_xlpm.l,-SUM(IF(_xlpm.d&lt;0,_xlpm.d,0)),IF(_xlpm.l=0,100,100-100/(1+_xlpm.g/_xlpm.l))))</f>
        <v/>
      </c>
      <c r="M1011" s="211">
        <f>MAX($E$2:E1011)</f>
        <v/>
      </c>
      <c r="N1011" s="341">
        <f>E1011/M1011-1</f>
        <v/>
      </c>
    </row>
    <row r="1012">
      <c r="A1012" s="424" t="n">
        <v>45933</v>
      </c>
      <c r="B1012" s="425" t="n">
        <v>72.39306125169745</v>
      </c>
      <c r="C1012" s="425" t="n">
        <v>72.39306125169745</v>
      </c>
      <c r="D1012" s="425" t="n">
        <v>69.62435032972837</v>
      </c>
      <c r="E1012" s="425" t="n">
        <v>69.634033203125</v>
      </c>
      <c r="F1012" s="207" t="n">
        <v>18794900</v>
      </c>
      <c r="G1012" s="208" t="n">
        <v>-1.474998453554477e-05</v>
      </c>
      <c r="H1012" s="209" cm="1">
        <f t="array" ref="H1012">IF(ROW()&lt;3,"",E1012/INDEX(E:E,ROW()-1)-1)</f>
        <v/>
      </c>
      <c r="I1012" s="211">
        <f>IF(ROW()&lt;51,NA(),AVERAGE(INDEX(E:E,ROW()-49):E1012))</f>
        <v/>
      </c>
      <c r="J1012" s="211">
        <f>IF(ROW()&lt;201,NA(),AVERAGE(INDEX(E:E,ROW()-199):E1012))</f>
        <v/>
      </c>
      <c r="K1012" s="341">
        <f>IF(ROW()&lt;22,NA(),_xlfn.STDEV.S(INDEX(H:H,ROW()-19):H1012)*SQRT(252))</f>
        <v/>
      </c>
      <c r="L1012" s="426" cm="1">
        <f t="array" ref="L1012">IF(ROW()&lt;17,NA(),_xlfn.LET(_xlpm.d,INDEX(E:E,ROW()-13):E1012-INDEX(E:E,ROW()-14):INDEX(E:E,ROW()-1),_xlpm.g,SUM(IF(_xlpm.d&gt;0,_xlpm.d,0)),_xlpm.l,-SUM(IF(_xlpm.d&lt;0,_xlpm.d,0)),IF(_xlpm.l=0,100,100-100/(1+_xlpm.g/_xlpm.l))))</f>
        <v/>
      </c>
      <c r="M1012" s="211">
        <f>MAX($E$2:E1012)</f>
        <v/>
      </c>
      <c r="N1012" s="341">
        <f>E1012/M1012-1</f>
        <v/>
      </c>
    </row>
    <row r="1013">
      <c r="A1013" s="424" t="n">
        <v>45936</v>
      </c>
      <c r="B1013" s="425" t="n">
        <v>69.72115955058837</v>
      </c>
      <c r="C1013" s="425" t="n">
        <v>70.07935202116641</v>
      </c>
      <c r="D1013" s="425" t="n">
        <v>68.74340349062464</v>
      </c>
      <c r="E1013" s="425" t="n">
        <v>68.89829254150391</v>
      </c>
      <c r="F1013" s="207" t="n">
        <v>14039600</v>
      </c>
      <c r="G1013" s="208" t="n">
        <v>0.003586327263287226</v>
      </c>
      <c r="H1013" s="209" cm="1">
        <f t="array" ref="H1013">IF(ROW()&lt;3,"",E1013/INDEX(E:E,ROW()-1)-1)</f>
        <v/>
      </c>
      <c r="I1013" s="211">
        <f>IF(ROW()&lt;51,NA(),AVERAGE(INDEX(E:E,ROW()-49):E1013))</f>
        <v/>
      </c>
      <c r="J1013" s="211">
        <f>IF(ROW()&lt;201,NA(),AVERAGE(INDEX(E:E,ROW()-199):E1013))</f>
        <v/>
      </c>
      <c r="K1013" s="341">
        <f>IF(ROW()&lt;22,NA(),_xlfn.STDEV.S(INDEX(H:H,ROW()-19):H1013)*SQRT(252))</f>
        <v/>
      </c>
      <c r="L1013" s="426" cm="1">
        <f t="array" ref="L1013">IF(ROW()&lt;17,NA(),_xlfn.LET(_xlpm.d,INDEX(E:E,ROW()-13):E1013-INDEX(E:E,ROW()-14):INDEX(E:E,ROW()-1),_xlpm.g,SUM(IF(_xlpm.d&gt;0,_xlpm.d,0)),_xlpm.l,-SUM(IF(_xlpm.d&lt;0,_xlpm.d,0)),IF(_xlpm.l=0,100,100-100/(1+_xlpm.g/_xlpm.l))))</f>
        <v/>
      </c>
      <c r="M1013" s="211">
        <f>MAX($E$2:E1013)</f>
        <v/>
      </c>
      <c r="N1013" s="341">
        <f>E1013/M1013-1</f>
        <v/>
      </c>
    </row>
    <row r="1014">
      <c r="A1014" s="424" t="n">
        <v>45937</v>
      </c>
      <c r="B1014" s="425" t="n">
        <v>68.95637264465154</v>
      </c>
      <c r="C1014" s="425" t="n">
        <v>69.29519931977627</v>
      </c>
      <c r="D1014" s="425" t="n">
        <v>66.70074345817211</v>
      </c>
      <c r="E1014" s="425" t="n">
        <v>66.71042633056641</v>
      </c>
      <c r="F1014" s="207" t="n">
        <v>17368000</v>
      </c>
      <c r="G1014" s="208" t="n">
        <v>-0.003707626096903671</v>
      </c>
      <c r="H1014" s="209" cm="1">
        <f t="array" ref="H1014">IF(ROW()&lt;3,"",E1014/INDEX(E:E,ROW()-1)-1)</f>
        <v/>
      </c>
      <c r="I1014" s="211">
        <f>IF(ROW()&lt;51,NA(),AVERAGE(INDEX(E:E,ROW()-49):E1014))</f>
        <v/>
      </c>
      <c r="J1014" s="211">
        <f>IF(ROW()&lt;201,NA(),AVERAGE(INDEX(E:E,ROW()-199):E1014))</f>
        <v/>
      </c>
      <c r="K1014" s="341">
        <f>IF(ROW()&lt;22,NA(),_xlfn.STDEV.S(INDEX(H:H,ROW()-19):H1014)*SQRT(252))</f>
        <v/>
      </c>
      <c r="L1014" s="426" cm="1">
        <f t="array" ref="L1014">IF(ROW()&lt;17,NA(),_xlfn.LET(_xlpm.d,INDEX(E:E,ROW()-13):E1014-INDEX(E:E,ROW()-14):INDEX(E:E,ROW()-1),_xlpm.g,SUM(IF(_xlpm.d&gt;0,_xlpm.d,0)),_xlpm.l,-SUM(IF(_xlpm.d&lt;0,_xlpm.d,0)),IF(_xlpm.l=0,100,100-100/(1+_xlpm.g/_xlpm.l))))</f>
        <v/>
      </c>
      <c r="M1014" s="211">
        <f>MAX($E$2:E1014)</f>
        <v/>
      </c>
      <c r="N1014" s="341">
        <f>E1014/M1014-1</f>
        <v/>
      </c>
    </row>
    <row r="1015">
      <c r="A1015" s="424" t="n">
        <v>45938</v>
      </c>
      <c r="B1015" s="425" t="n">
        <v>66.71043429297045</v>
      </c>
      <c r="C1015" s="425" t="n">
        <v>67.21383292954491</v>
      </c>
      <c r="D1015" s="425" t="n">
        <v>66.47808964298058</v>
      </c>
      <c r="E1015" s="425" t="n">
        <v>66.88468170166016</v>
      </c>
      <c r="F1015" s="207" t="n">
        <v>13051800</v>
      </c>
      <c r="G1015" s="208" t="n">
        <v>0.005963110863889121</v>
      </c>
      <c r="H1015" s="209" cm="1">
        <f t="array" ref="H1015">IF(ROW()&lt;3,"",E1015/INDEX(E:E,ROW()-1)-1)</f>
        <v/>
      </c>
      <c r="I1015" s="211">
        <f>IF(ROW()&lt;51,NA(),AVERAGE(INDEX(E:E,ROW()-49):E1015))</f>
        <v/>
      </c>
      <c r="J1015" s="211">
        <f>IF(ROW()&lt;201,NA(),AVERAGE(INDEX(E:E,ROW()-199):E1015))</f>
        <v/>
      </c>
      <c r="K1015" s="341">
        <f>IF(ROW()&lt;22,NA(),_xlfn.STDEV.S(INDEX(H:H,ROW()-19):H1015)*SQRT(252))</f>
        <v/>
      </c>
      <c r="L1015" s="426" cm="1">
        <f t="array" ref="L1015">IF(ROW()&lt;17,NA(),_xlfn.LET(_xlpm.d,INDEX(E:E,ROW()-13):E1015-INDEX(E:E,ROW()-14):INDEX(E:E,ROW()-1),_xlpm.g,SUM(IF(_xlpm.d&gt;0,_xlpm.d,0)),_xlpm.l,-SUM(IF(_xlpm.d&lt;0,_xlpm.d,0)),IF(_xlpm.l=0,100,100-100/(1+_xlpm.g/_xlpm.l))))</f>
        <v/>
      </c>
      <c r="M1015" s="211">
        <f>MAX($E$2:E1015)</f>
        <v/>
      </c>
      <c r="N1015" s="341">
        <f>E1015/M1015-1</f>
        <v/>
      </c>
    </row>
    <row r="1016">
      <c r="A1016" s="424" t="n">
        <v>45939</v>
      </c>
      <c r="B1016" s="425" t="n">
        <v>67.33000327943171</v>
      </c>
      <c r="C1016" s="425" t="n">
        <v>67.43649272775278</v>
      </c>
      <c r="D1016" s="425" t="n">
        <v>65.72298606721797</v>
      </c>
      <c r="E1016" s="425" t="n">
        <v>65.88755798339844</v>
      </c>
      <c r="F1016" s="207" t="n">
        <v>13410900</v>
      </c>
      <c r="G1016" s="208" t="n">
        <v>-0.002896927773588187</v>
      </c>
      <c r="H1016" s="209" cm="1">
        <f t="array" ref="H1016">IF(ROW()&lt;3,"",E1016/INDEX(E:E,ROW()-1)-1)</f>
        <v/>
      </c>
      <c r="I1016" s="211">
        <f>IF(ROW()&lt;51,NA(),AVERAGE(INDEX(E:E,ROW()-49):E1016))</f>
        <v/>
      </c>
      <c r="J1016" s="211">
        <f>IF(ROW()&lt;201,NA(),AVERAGE(INDEX(E:E,ROW()-199):E1016))</f>
        <v/>
      </c>
      <c r="K1016" s="341">
        <f>IF(ROW()&lt;22,NA(),_xlfn.STDEV.S(INDEX(H:H,ROW()-19):H1016)*SQRT(252))</f>
        <v/>
      </c>
      <c r="L1016" s="426" cm="1">
        <f t="array" ref="L1016">IF(ROW()&lt;17,NA(),_xlfn.LET(_xlpm.d,INDEX(E:E,ROW()-13):E1016-INDEX(E:E,ROW()-14):INDEX(E:E,ROW()-1),_xlpm.g,SUM(IF(_xlpm.d&gt;0,_xlpm.d,0)),_xlpm.l,-SUM(IF(_xlpm.d&lt;0,_xlpm.d,0)),IF(_xlpm.l=0,100,100-100/(1+_xlpm.g/_xlpm.l))))</f>
        <v/>
      </c>
      <c r="M1016" s="211">
        <f>MAX($E$2:E1016)</f>
        <v/>
      </c>
      <c r="N1016" s="341">
        <f>E1016/M1016-1</f>
        <v/>
      </c>
    </row>
    <row r="1017">
      <c r="A1017" s="424" t="n">
        <v>45940</v>
      </c>
      <c r="B1017" s="425" t="n">
        <v>66.00372764062539</v>
      </c>
      <c r="C1017" s="425" t="n">
        <v>66.30383022694244</v>
      </c>
      <c r="D1017" s="425" t="n">
        <v>62.80905909168846</v>
      </c>
      <c r="E1017" s="425" t="n">
        <v>63.13821029663086</v>
      </c>
      <c r="F1017" s="207" t="n">
        <v>18806100</v>
      </c>
      <c r="G1017" s="208" t="n">
        <v>-0.02702787419005037</v>
      </c>
      <c r="H1017" s="209" cm="1">
        <f t="array" ref="H1017">IF(ROW()&lt;3,"",E1017/INDEX(E:E,ROW()-1)-1)</f>
        <v/>
      </c>
      <c r="I1017" s="211">
        <f>IF(ROW()&lt;51,NA(),AVERAGE(INDEX(E:E,ROW()-49):E1017))</f>
        <v/>
      </c>
      <c r="J1017" s="211">
        <f>IF(ROW()&lt;201,NA(),AVERAGE(INDEX(E:E,ROW()-199):E1017))</f>
        <v/>
      </c>
      <c r="K1017" s="341">
        <f>IF(ROW()&lt;22,NA(),_xlfn.STDEV.S(INDEX(H:H,ROW()-19):H1017)*SQRT(252))</f>
        <v/>
      </c>
      <c r="L1017" s="426" cm="1">
        <f t="array" ref="L1017">IF(ROW()&lt;17,NA(),_xlfn.LET(_xlpm.d,INDEX(E:E,ROW()-13):E1017-INDEX(E:E,ROW()-14):INDEX(E:E,ROW()-1),_xlpm.g,SUM(IF(_xlpm.d&gt;0,_xlpm.d,0)),_xlpm.l,-SUM(IF(_xlpm.d&lt;0,_xlpm.d,0)),IF(_xlpm.l=0,100,100-100/(1+_xlpm.g/_xlpm.l))))</f>
        <v/>
      </c>
      <c r="M1017" s="211">
        <f>MAX($E$2:E1017)</f>
        <v/>
      </c>
      <c r="N1017" s="341">
        <f>E1017/M1017-1</f>
        <v/>
      </c>
    </row>
    <row r="1018">
      <c r="A1018" s="424" t="n">
        <v>45943</v>
      </c>
      <c r="B1018" s="425" t="n">
        <v>63.60288772349011</v>
      </c>
      <c r="C1018" s="425" t="n">
        <v>65.36479398868953</v>
      </c>
      <c r="D1018" s="425" t="n">
        <v>63.45768155301159</v>
      </c>
      <c r="E1018" s="425" t="n">
        <v>65.22926330566406</v>
      </c>
      <c r="F1018" s="207" t="n">
        <v>13191200</v>
      </c>
      <c r="G1018" s="208" t="n">
        <v>0.01534405245669701</v>
      </c>
      <c r="H1018" s="209" cm="1">
        <f t="array" ref="H1018">IF(ROW()&lt;3,"",E1018/INDEX(E:E,ROW()-1)-1)</f>
        <v/>
      </c>
      <c r="I1018" s="211">
        <f>IF(ROW()&lt;51,NA(),AVERAGE(INDEX(E:E,ROW()-49):E1018))</f>
        <v/>
      </c>
      <c r="J1018" s="211">
        <f>IF(ROW()&lt;201,NA(),AVERAGE(INDEX(E:E,ROW()-199):E1018))</f>
        <v/>
      </c>
      <c r="K1018" s="341">
        <f>IF(ROW()&lt;22,NA(),_xlfn.STDEV.S(INDEX(H:H,ROW()-19):H1018)*SQRT(252))</f>
        <v/>
      </c>
      <c r="L1018" s="426" cm="1">
        <f t="array" ref="L1018">IF(ROW()&lt;17,NA(),_xlfn.LET(_xlpm.d,INDEX(E:E,ROW()-13):E1018-INDEX(E:E,ROW()-14):INDEX(E:E,ROW()-1),_xlpm.g,SUM(IF(_xlpm.d&gt;0,_xlpm.d,0)),_xlpm.l,-SUM(IF(_xlpm.d&lt;0,_xlpm.d,0)),IF(_xlpm.l=0,100,100-100/(1+_xlpm.g/_xlpm.l))))</f>
        <v/>
      </c>
      <c r="M1018" s="211">
        <f>MAX($E$2:E1018)</f>
        <v/>
      </c>
      <c r="N1018" s="341">
        <f>E1018/M1018-1</f>
        <v/>
      </c>
    </row>
    <row r="1019">
      <c r="A1019" s="424" t="n">
        <v>45944</v>
      </c>
      <c r="B1019" s="425" t="n">
        <v>64.34831224424828</v>
      </c>
      <c r="C1019" s="425" t="n">
        <v>65.82947423274616</v>
      </c>
      <c r="D1019" s="425" t="n">
        <v>63.95139569262827</v>
      </c>
      <c r="E1019" s="425" t="n">
        <v>65.48096466064453</v>
      </c>
      <c r="F1019" s="207" t="n">
        <v>9483700</v>
      </c>
      <c r="G1019" s="208" t="n">
        <v>-0.001221609375677501</v>
      </c>
      <c r="H1019" s="209" cm="1">
        <f t="array" ref="H1019">IF(ROW()&lt;3,"",E1019/INDEX(E:E,ROW()-1)-1)</f>
        <v/>
      </c>
      <c r="I1019" s="211">
        <f>IF(ROW()&lt;51,NA(),AVERAGE(INDEX(E:E,ROW()-49):E1019))</f>
        <v/>
      </c>
      <c r="J1019" s="211">
        <f>IF(ROW()&lt;201,NA(),AVERAGE(INDEX(E:E,ROW()-199):E1019))</f>
        <v/>
      </c>
      <c r="K1019" s="341">
        <f>IF(ROW()&lt;22,NA(),_xlfn.STDEV.S(INDEX(H:H,ROW()-19):H1019)*SQRT(252))</f>
        <v/>
      </c>
      <c r="L1019" s="426" cm="1">
        <f t="array" ref="L1019">IF(ROW()&lt;17,NA(),_xlfn.LET(_xlpm.d,INDEX(E:E,ROW()-13):E1019-INDEX(E:E,ROW()-14):INDEX(E:E,ROW()-1),_xlpm.g,SUM(IF(_xlpm.d&gt;0,_xlpm.d,0)),_xlpm.l,-SUM(IF(_xlpm.d&lt;0,_xlpm.d,0)),IF(_xlpm.l=0,100,100-100/(1+_xlpm.g/_xlpm.l))))</f>
        <v/>
      </c>
      <c r="M1019" s="211">
        <f>MAX($E$2:E1019)</f>
        <v/>
      </c>
      <c r="N1019" s="341">
        <f>E1019/M1019-1</f>
        <v/>
      </c>
    </row>
    <row r="1020">
      <c r="A1020" s="424" t="n">
        <v>45945</v>
      </c>
      <c r="B1020" s="425" t="n">
        <v>66.39096021781656</v>
      </c>
      <c r="C1020" s="425" t="n">
        <v>67.3106337073736</v>
      </c>
      <c r="D1020" s="425" t="n">
        <v>65.95531957602546</v>
      </c>
      <c r="E1020" s="425" t="n">
        <v>66.27478790283203</v>
      </c>
      <c r="F1020" s="207" t="n">
        <v>13001500</v>
      </c>
      <c r="G1020" s="208" t="n">
        <v>0.004439561180749063</v>
      </c>
      <c r="H1020" s="209" cm="1">
        <f t="array" ref="H1020">IF(ROW()&lt;3,"",E1020/INDEX(E:E,ROW()-1)-1)</f>
        <v/>
      </c>
      <c r="I1020" s="211">
        <f>IF(ROW()&lt;51,NA(),AVERAGE(INDEX(E:E,ROW()-49):E1020))</f>
        <v/>
      </c>
      <c r="J1020" s="211">
        <f>IF(ROW()&lt;201,NA(),AVERAGE(INDEX(E:E,ROW()-199):E1020))</f>
        <v/>
      </c>
      <c r="K1020" s="341">
        <f>IF(ROW()&lt;22,NA(),_xlfn.STDEV.S(INDEX(H:H,ROW()-19):H1020)*SQRT(252))</f>
        <v/>
      </c>
      <c r="L1020" s="426" cm="1">
        <f t="array" ref="L1020">IF(ROW()&lt;17,NA(),_xlfn.LET(_xlpm.d,INDEX(E:E,ROW()-13):E1020-INDEX(E:E,ROW()-14):INDEX(E:E,ROW()-1),_xlpm.g,SUM(IF(_xlpm.d&gt;0,_xlpm.d,0)),_xlpm.l,-SUM(IF(_xlpm.d&lt;0,_xlpm.d,0)),IF(_xlpm.l=0,100,100-100/(1+_xlpm.g/_xlpm.l))))</f>
        <v/>
      </c>
      <c r="M1020" s="211">
        <f>MAX($E$2:E1020)</f>
        <v/>
      </c>
      <c r="N1020" s="341">
        <f>E1020/M1020-1</f>
        <v/>
      </c>
    </row>
    <row r="1021">
      <c r="A1021" s="424" t="n">
        <v>45946</v>
      </c>
      <c r="B1021" s="425" t="n">
        <v>66.41032094352245</v>
      </c>
      <c r="C1021" s="425" t="n">
        <v>66.83627872777438</v>
      </c>
      <c r="D1021" s="425" t="n">
        <v>64.4548015797504</v>
      </c>
      <c r="E1021" s="425" t="n">
        <v>64.70649719238281</v>
      </c>
      <c r="F1021" s="207" t="n">
        <v>15349700</v>
      </c>
      <c r="G1021" s="208" t="n">
        <v>-0.00681025770778676</v>
      </c>
      <c r="H1021" s="209" cm="1">
        <f t="array" ref="H1021">IF(ROW()&lt;3,"",E1021/INDEX(E:E,ROW()-1)-1)</f>
        <v/>
      </c>
      <c r="I1021" s="211">
        <f>IF(ROW()&lt;51,NA(),AVERAGE(INDEX(E:E,ROW()-49):E1021))</f>
        <v/>
      </c>
      <c r="J1021" s="211">
        <f>IF(ROW()&lt;201,NA(),AVERAGE(INDEX(E:E,ROW()-199):E1021))</f>
        <v/>
      </c>
      <c r="K1021" s="341">
        <f>IF(ROW()&lt;22,NA(),_xlfn.STDEV.S(INDEX(H:H,ROW()-19):H1021)*SQRT(252))</f>
        <v/>
      </c>
      <c r="L1021" s="426" cm="1">
        <f t="array" ref="L1021">IF(ROW()&lt;17,NA(),_xlfn.LET(_xlpm.d,INDEX(E:E,ROW()-13):E1021-INDEX(E:E,ROW()-14):INDEX(E:E,ROW()-1),_xlpm.g,SUM(IF(_xlpm.d&gt;0,_xlpm.d,0)),_xlpm.l,-SUM(IF(_xlpm.d&lt;0,_xlpm.d,0)),IF(_xlpm.l=0,100,100-100/(1+_xlpm.g/_xlpm.l))))</f>
        <v/>
      </c>
      <c r="M1021" s="211">
        <f>MAX($E$2:E1021)</f>
        <v/>
      </c>
      <c r="N1021" s="341">
        <f>E1021/M1021-1</f>
        <v/>
      </c>
    </row>
    <row r="1022">
      <c r="A1022" s="424" t="n">
        <v>45947</v>
      </c>
      <c r="B1022" s="425" t="n">
        <v>64.50320430944106</v>
      </c>
      <c r="C1022" s="425" t="n">
        <v>65.60681554423455</v>
      </c>
      <c r="D1022" s="425" t="n">
        <v>64.20310170278255</v>
      </c>
      <c r="E1022" s="425" t="n">
        <v>65.21958923339844</v>
      </c>
      <c r="F1022" s="207" t="n">
        <v>10054000</v>
      </c>
      <c r="G1022" s="208" t="n">
        <v>0.005676293099704743</v>
      </c>
      <c r="H1022" s="209" cm="1">
        <f t="array" ref="H1022">IF(ROW()&lt;3,"",E1022/INDEX(E:E,ROW()-1)-1)</f>
        <v/>
      </c>
      <c r="I1022" s="211">
        <f>IF(ROW()&lt;51,NA(),AVERAGE(INDEX(E:E,ROW()-49):E1022))</f>
        <v/>
      </c>
      <c r="J1022" s="211">
        <f>IF(ROW()&lt;201,NA(),AVERAGE(INDEX(E:E,ROW()-199):E1022))</f>
        <v/>
      </c>
      <c r="K1022" s="341">
        <f>IF(ROW()&lt;22,NA(),_xlfn.STDEV.S(INDEX(H:H,ROW()-19):H1022)*SQRT(252))</f>
        <v/>
      </c>
      <c r="L1022" s="426" cm="1">
        <f t="array" ref="L1022">IF(ROW()&lt;17,NA(),_xlfn.LET(_xlpm.d,INDEX(E:E,ROW()-13):E1022-INDEX(E:E,ROW()-14):INDEX(E:E,ROW()-1),_xlpm.g,SUM(IF(_xlpm.d&gt;0,_xlpm.d,0)),_xlpm.l,-SUM(IF(_xlpm.d&lt;0,_xlpm.d,0)),IF(_xlpm.l=0,100,100-100/(1+_xlpm.g/_xlpm.l))))</f>
        <v/>
      </c>
      <c r="M1022" s="211">
        <f>MAX($E$2:E1022)</f>
        <v/>
      </c>
      <c r="N1022" s="341">
        <f>E1022/M1022-1</f>
        <v/>
      </c>
    </row>
    <row r="1023">
      <c r="A1023" s="424" t="n">
        <v>45950</v>
      </c>
      <c r="B1023" s="425" t="n">
        <v>65.40351903182797</v>
      </c>
      <c r="C1023" s="425" t="n">
        <v>66.00373162657674</v>
      </c>
      <c r="D1023" s="425" t="n">
        <v>65.31639532829439</v>
      </c>
      <c r="E1023" s="425" t="n">
        <v>65.46160888671875</v>
      </c>
      <c r="F1023" s="207" t="n">
        <v>9670000</v>
      </c>
      <c r="G1023" s="208" t="n">
        <v>0.01040041949336734</v>
      </c>
      <c r="H1023" s="209" cm="1">
        <f t="array" ref="H1023">IF(ROW()&lt;3,"",E1023/INDEX(E:E,ROW()-1)-1)</f>
        <v/>
      </c>
      <c r="I1023" s="211">
        <f>IF(ROW()&lt;51,NA(),AVERAGE(INDEX(E:E,ROW()-49):E1023))</f>
        <v/>
      </c>
      <c r="J1023" s="211">
        <f>IF(ROW()&lt;201,NA(),AVERAGE(INDEX(E:E,ROW()-199):E1023))</f>
        <v/>
      </c>
      <c r="K1023" s="341">
        <f>IF(ROW()&lt;22,NA(),_xlfn.STDEV.S(INDEX(H:H,ROW()-19):H1023)*SQRT(252))</f>
        <v/>
      </c>
      <c r="L1023" s="426" cm="1">
        <f t="array" ref="L1023">IF(ROW()&lt;17,NA(),_xlfn.LET(_xlpm.d,INDEX(E:E,ROW()-13):E1023-INDEX(E:E,ROW()-14):INDEX(E:E,ROW()-1),_xlpm.g,SUM(IF(_xlpm.d&gt;0,_xlpm.d,0)),_xlpm.l,-SUM(IF(_xlpm.d&lt;0,_xlpm.d,0)),IF(_xlpm.l=0,100,100-100/(1+_xlpm.g/_xlpm.l))))</f>
        <v/>
      </c>
      <c r="M1023" s="211">
        <f>MAX($E$2:E1023)</f>
        <v/>
      </c>
      <c r="N1023" s="341">
        <f>E1023/M1023-1</f>
        <v/>
      </c>
    </row>
    <row r="1024">
      <c r="A1024" s="424" t="n">
        <v>45951</v>
      </c>
      <c r="B1024" s="425" t="n">
        <v>65.58745642618003</v>
      </c>
      <c r="C1024" s="425" t="n">
        <v>67.07830134047416</v>
      </c>
      <c r="D1024" s="425" t="n">
        <v>65.25831258859388</v>
      </c>
      <c r="E1024" s="425" t="n">
        <v>66.17798614501953</v>
      </c>
      <c r="F1024" s="207" t="n">
        <v>9659200</v>
      </c>
      <c r="G1024" s="208" t="n">
        <v>-1.488808434002564e-05</v>
      </c>
      <c r="H1024" s="209" cm="1">
        <f t="array" ref="H1024">IF(ROW()&lt;3,"",E1024/INDEX(E:E,ROW()-1)-1)</f>
        <v/>
      </c>
      <c r="I1024" s="211">
        <f>IF(ROW()&lt;51,NA(),AVERAGE(INDEX(E:E,ROW()-49):E1024))</f>
        <v/>
      </c>
      <c r="J1024" s="211">
        <f>IF(ROW()&lt;201,NA(),AVERAGE(INDEX(E:E,ROW()-199):E1024))</f>
        <v/>
      </c>
      <c r="K1024" s="341">
        <f>IF(ROW()&lt;22,NA(),_xlfn.STDEV.S(INDEX(H:H,ROW()-19):H1024)*SQRT(252))</f>
        <v/>
      </c>
      <c r="L1024" s="426" cm="1">
        <f t="array" ref="L1024">IF(ROW()&lt;17,NA(),_xlfn.LET(_xlpm.d,INDEX(E:E,ROW()-13):E1024-INDEX(E:E,ROW()-14):INDEX(E:E,ROW()-1),_xlpm.g,SUM(IF(_xlpm.d&gt;0,_xlpm.d,0)),_xlpm.l,-SUM(IF(_xlpm.d&lt;0,_xlpm.d,0)),IF(_xlpm.l=0,100,100-100/(1+_xlpm.g/_xlpm.l))))</f>
        <v/>
      </c>
      <c r="M1024" s="211">
        <f>MAX($E$2:E1024)</f>
        <v/>
      </c>
      <c r="N1024" s="341">
        <f>E1024/M1024-1</f>
        <v/>
      </c>
    </row>
    <row r="1025">
      <c r="A1025" s="424" t="n">
        <v>45952</v>
      </c>
      <c r="B1025" s="425" t="n">
        <v>66.04245021290075</v>
      </c>
      <c r="C1025" s="425" t="n">
        <v>67.14606134726621</v>
      </c>
      <c r="D1025" s="425" t="n">
        <v>65.79074722506735</v>
      </c>
      <c r="E1025" s="425" t="n">
        <v>66.875</v>
      </c>
      <c r="F1025" s="207" t="n">
        <v>8096100</v>
      </c>
      <c r="G1025" s="208" t="n">
        <v>-0.005198959693403782</v>
      </c>
      <c r="H1025" s="209" cm="1">
        <f t="array" ref="H1025">IF(ROW()&lt;3,"",E1025/INDEX(E:E,ROW()-1)-1)</f>
        <v/>
      </c>
      <c r="I1025" s="211">
        <f>IF(ROW()&lt;51,NA(),AVERAGE(INDEX(E:E,ROW()-49):E1025))</f>
        <v/>
      </c>
      <c r="J1025" s="211">
        <f>IF(ROW()&lt;201,NA(),AVERAGE(INDEX(E:E,ROW()-199):E1025))</f>
        <v/>
      </c>
      <c r="K1025" s="341">
        <f>IF(ROW()&lt;22,NA(),_xlfn.STDEV.S(INDEX(H:H,ROW()-19):H1025)*SQRT(252))</f>
        <v/>
      </c>
      <c r="L1025" s="426" cm="1">
        <f t="array" ref="L1025">IF(ROW()&lt;17,NA(),_xlfn.LET(_xlpm.d,INDEX(E:E,ROW()-13):E1025-INDEX(E:E,ROW()-14):INDEX(E:E,ROW()-1),_xlpm.g,SUM(IF(_xlpm.d&gt;0,_xlpm.d,0)),_xlpm.l,-SUM(IF(_xlpm.d&lt;0,_xlpm.d,0)),IF(_xlpm.l=0,100,100-100/(1+_xlpm.g/_xlpm.l))))</f>
        <v/>
      </c>
      <c r="M1025" s="211">
        <f>MAX($E$2:E1025)</f>
        <v/>
      </c>
      <c r="N1025" s="341">
        <f>E1025/M1025-1</f>
        <v/>
      </c>
    </row>
    <row r="1026">
      <c r="A1026" s="424" t="n">
        <v>45953</v>
      </c>
      <c r="B1026" s="425" t="n">
        <v>66.88468493011614</v>
      </c>
      <c r="C1026" s="425" t="n">
        <v>67.65915236239486</v>
      </c>
      <c r="D1026" s="425" t="n">
        <v>66.54585819819501</v>
      </c>
      <c r="E1026" s="425" t="n">
        <v>67.45585632324219</v>
      </c>
      <c r="F1026" s="207" t="n">
        <v>9124900</v>
      </c>
      <c r="G1026" s="208" t="n">
        <v>0.005930091802329507</v>
      </c>
      <c r="H1026" s="209" cm="1">
        <f t="array" ref="H1026">IF(ROW()&lt;3,"",E1026/INDEX(E:E,ROW()-1)-1)</f>
        <v/>
      </c>
      <c r="I1026" s="211">
        <f>IF(ROW()&lt;51,NA(),AVERAGE(INDEX(E:E,ROW()-49):E1026))</f>
        <v/>
      </c>
      <c r="J1026" s="211">
        <f>IF(ROW()&lt;201,NA(),AVERAGE(INDEX(E:E,ROW()-199):E1026))</f>
        <v/>
      </c>
      <c r="K1026" s="341">
        <f>IF(ROW()&lt;22,NA(),_xlfn.STDEV.S(INDEX(H:H,ROW()-19):H1026)*SQRT(252))</f>
        <v/>
      </c>
      <c r="L1026" s="426" cm="1">
        <f t="array" ref="L1026">IF(ROW()&lt;17,NA(),_xlfn.LET(_xlpm.d,INDEX(E:E,ROW()-13):E1026-INDEX(E:E,ROW()-14):INDEX(E:E,ROW()-1),_xlpm.g,SUM(IF(_xlpm.d&gt;0,_xlpm.d,0)),_xlpm.l,-SUM(IF(_xlpm.d&lt;0,_xlpm.d,0)),IF(_xlpm.l=0,100,100-100/(1+_xlpm.g/_xlpm.l))))</f>
        <v/>
      </c>
      <c r="M1026" s="211">
        <f>MAX($E$2:E1026)</f>
        <v/>
      </c>
      <c r="N1026" s="341">
        <f>E1026/M1026-1</f>
        <v/>
      </c>
    </row>
    <row r="1027">
      <c r="A1027" s="424" t="n">
        <v>45954</v>
      </c>
      <c r="B1027" s="425" t="n">
        <v>67.48489193787002</v>
      </c>
      <c r="C1027" s="425" t="n">
        <v>67.8430843879882</v>
      </c>
      <c r="D1027" s="425" t="n">
        <v>66.71043195597335</v>
      </c>
      <c r="E1027" s="425" t="n">
        <v>66.90404510498047</v>
      </c>
      <c r="F1027" s="207" t="n">
        <v>7102900</v>
      </c>
      <c r="G1027" s="208" t="n">
        <v>0.008172460057694897</v>
      </c>
      <c r="H1027" s="209" cm="1">
        <f t="array" ref="H1027">IF(ROW()&lt;3,"",E1027/INDEX(E:E,ROW()-1)-1)</f>
        <v/>
      </c>
      <c r="I1027" s="211">
        <f>IF(ROW()&lt;51,NA(),AVERAGE(INDEX(E:E,ROW()-49):E1027))</f>
        <v/>
      </c>
      <c r="J1027" s="211">
        <f>IF(ROW()&lt;201,NA(),AVERAGE(INDEX(E:E,ROW()-199):E1027))</f>
        <v/>
      </c>
      <c r="K1027" s="341">
        <f>IF(ROW()&lt;22,NA(),_xlfn.STDEV.S(INDEX(H:H,ROW()-19):H1027)*SQRT(252))</f>
        <v/>
      </c>
      <c r="L1027" s="426" cm="1">
        <f t="array" ref="L1027">IF(ROW()&lt;17,NA(),_xlfn.LET(_xlpm.d,INDEX(E:E,ROW()-13):E1027-INDEX(E:E,ROW()-14):INDEX(E:E,ROW()-1),_xlpm.g,SUM(IF(_xlpm.d&gt;0,_xlpm.d,0)),_xlpm.l,-SUM(IF(_xlpm.d&lt;0,_xlpm.d,0)),IF(_xlpm.l=0,100,100-100/(1+_xlpm.g/_xlpm.l))))</f>
        <v/>
      </c>
      <c r="M1027" s="211">
        <f>MAX($E$2:E1027)</f>
        <v/>
      </c>
      <c r="N1027" s="341">
        <f>E1027/M1027-1</f>
        <v/>
      </c>
    </row>
    <row r="1028">
      <c r="A1028" s="424" t="n">
        <v>45957</v>
      </c>
      <c r="B1028" s="425" t="n">
        <v>67.80436364551345</v>
      </c>
      <c r="C1028" s="425" t="n">
        <v>68.19159734861069</v>
      </c>
      <c r="D1028" s="425" t="n">
        <v>66.08118142189274</v>
      </c>
      <c r="E1028" s="425" t="n">
        <v>66.40064239501953</v>
      </c>
      <c r="F1028" s="207" t="n">
        <v>9838100</v>
      </c>
      <c r="G1028" s="208" t="n">
        <v>0.01179762844985666</v>
      </c>
      <c r="H1028" s="209" cm="1">
        <f t="array" ref="H1028">IF(ROW()&lt;3,"",E1028/INDEX(E:E,ROW()-1)-1)</f>
        <v/>
      </c>
      <c r="I1028" s="211">
        <f>IF(ROW()&lt;51,NA(),AVERAGE(INDEX(E:E,ROW()-49):E1028))</f>
        <v/>
      </c>
      <c r="J1028" s="211">
        <f>IF(ROW()&lt;201,NA(),AVERAGE(INDEX(E:E,ROW()-199):E1028))</f>
        <v/>
      </c>
      <c r="K1028" s="341">
        <f>IF(ROW()&lt;22,NA(),_xlfn.STDEV.S(INDEX(H:H,ROW()-19):H1028)*SQRT(252))</f>
        <v/>
      </c>
      <c r="L1028" s="426" cm="1">
        <f t="array" ref="L1028">IF(ROW()&lt;17,NA(),_xlfn.LET(_xlpm.d,INDEX(E:E,ROW()-13):E1028-INDEX(E:E,ROW()-14):INDEX(E:E,ROW()-1),_xlpm.g,SUM(IF(_xlpm.d&gt;0,_xlpm.d,0)),_xlpm.l,-SUM(IF(_xlpm.d&lt;0,_xlpm.d,0)),IF(_xlpm.l=0,100,100-100/(1+_xlpm.g/_xlpm.l))))</f>
        <v/>
      </c>
      <c r="M1028" s="211">
        <f>MAX($E$2:E1028)</f>
        <v/>
      </c>
      <c r="N1028" s="341">
        <f>E1028/M1028-1</f>
        <v/>
      </c>
    </row>
    <row r="1029">
      <c r="A1029" s="424" t="n">
        <v>45958</v>
      </c>
      <c r="B1029" s="425" t="n">
        <v>65.9359668837226</v>
      </c>
      <c r="C1029" s="425" t="n">
        <v>66.4200071589601</v>
      </c>
      <c r="D1029" s="425" t="n">
        <v>64.90980386369699</v>
      </c>
      <c r="E1029" s="425" t="n">
        <v>65.27767181396484</v>
      </c>
      <c r="F1029" s="207" t="n">
        <v>11262400</v>
      </c>
      <c r="G1029" s="208" t="n">
        <v>0.002656129300611987</v>
      </c>
      <c r="H1029" s="209" cm="1">
        <f t="array" ref="H1029">IF(ROW()&lt;3,"",E1029/INDEX(E:E,ROW()-1)-1)</f>
        <v/>
      </c>
      <c r="I1029" s="211">
        <f>IF(ROW()&lt;51,NA(),AVERAGE(INDEX(E:E,ROW()-49):E1029))</f>
        <v/>
      </c>
      <c r="J1029" s="211">
        <f>IF(ROW()&lt;201,NA(),AVERAGE(INDEX(E:E,ROW()-199):E1029))</f>
        <v/>
      </c>
      <c r="K1029" s="341">
        <f>IF(ROW()&lt;22,NA(),_xlfn.STDEV.S(INDEX(H:H,ROW()-19):H1029)*SQRT(252))</f>
        <v/>
      </c>
      <c r="L1029" s="426" cm="1">
        <f t="array" ref="L1029">IF(ROW()&lt;17,NA(),_xlfn.LET(_xlpm.d,INDEX(E:E,ROW()-13):E1029-INDEX(E:E,ROW()-14):INDEX(E:E,ROW()-1),_xlpm.g,SUM(IF(_xlpm.d&gt;0,_xlpm.d,0)),_xlpm.l,-SUM(IF(_xlpm.d&lt;0,_xlpm.d,0)),IF(_xlpm.l=0,100,100-100/(1+_xlpm.g/_xlpm.l))))</f>
        <v/>
      </c>
      <c r="M1029" s="211">
        <f>MAX($E$2:E1029)</f>
        <v/>
      </c>
      <c r="N1029" s="341">
        <f>E1029/M1029-1</f>
        <v/>
      </c>
    </row>
    <row r="1030">
      <c r="A1030" s="424" t="n">
        <v>45959</v>
      </c>
      <c r="B1030" s="425" t="n">
        <v>64.87107428286153</v>
      </c>
      <c r="C1030" s="425" t="n">
        <v>65.04532906268167</v>
      </c>
      <c r="D1030" s="425" t="n">
        <v>62.8768234947271</v>
      </c>
      <c r="E1030" s="425" t="n">
        <v>63.26405715942383</v>
      </c>
      <c r="F1030" s="207" t="n">
        <v>15143100</v>
      </c>
      <c r="G1030" s="208" t="n">
        <v>0.0004802165679744785</v>
      </c>
      <c r="H1030" s="209" cm="1">
        <f t="array" ref="H1030">IF(ROW()&lt;3,"",E1030/INDEX(E:E,ROW()-1)-1)</f>
        <v/>
      </c>
      <c r="I1030" s="211">
        <f>IF(ROW()&lt;51,NA(),AVERAGE(INDEX(E:E,ROW()-49):E1030))</f>
        <v/>
      </c>
      <c r="J1030" s="211">
        <f>IF(ROW()&lt;201,NA(),AVERAGE(INDEX(E:E,ROW()-199):E1030))</f>
        <v/>
      </c>
      <c r="K1030" s="341">
        <f>IF(ROW()&lt;22,NA(),_xlfn.STDEV.S(INDEX(H:H,ROW()-19):H1030)*SQRT(252))</f>
        <v/>
      </c>
      <c r="L1030" s="426" cm="1">
        <f t="array" ref="L1030">IF(ROW()&lt;17,NA(),_xlfn.LET(_xlpm.d,INDEX(E:E,ROW()-13):E1030-INDEX(E:E,ROW()-14):INDEX(E:E,ROW()-1),_xlpm.g,SUM(IF(_xlpm.d&gt;0,_xlpm.d,0)),_xlpm.l,-SUM(IF(_xlpm.d&lt;0,_xlpm.d,0)),IF(_xlpm.l=0,100,100-100/(1+_xlpm.g/_xlpm.l))))</f>
        <v/>
      </c>
      <c r="M1030" s="211">
        <f>MAX($E$2:E1030)</f>
        <v/>
      </c>
      <c r="N1030" s="341">
        <f>E1030/M1030-1</f>
        <v/>
      </c>
    </row>
    <row r="1031">
      <c r="A1031" s="424" t="n">
        <v>45960</v>
      </c>
      <c r="B1031" s="425" t="n">
        <v>63.09948772121712</v>
      </c>
      <c r="C1031" s="425" t="n">
        <v>63.89331344126477</v>
      </c>
      <c r="D1031" s="425" t="n">
        <v>62.50895802126931</v>
      </c>
      <c r="E1031" s="425" t="n">
        <v>62.82842636108398</v>
      </c>
      <c r="F1031" s="207" t="n">
        <v>13895200</v>
      </c>
      <c r="G1031" s="208" t="n">
        <v>-0.01099803535993127</v>
      </c>
      <c r="H1031" s="209" cm="1">
        <f t="array" ref="H1031">IF(ROW()&lt;3,"",E1031/INDEX(E:E,ROW()-1)-1)</f>
        <v/>
      </c>
      <c r="I1031" s="211">
        <f>IF(ROW()&lt;51,NA(),AVERAGE(INDEX(E:E,ROW()-49):E1031))</f>
        <v/>
      </c>
      <c r="J1031" s="211">
        <f>IF(ROW()&lt;201,NA(),AVERAGE(INDEX(E:E,ROW()-199):E1031))</f>
        <v/>
      </c>
      <c r="K1031" s="341">
        <f>IF(ROW()&lt;22,NA(),_xlfn.STDEV.S(INDEX(H:H,ROW()-19):H1031)*SQRT(252))</f>
        <v/>
      </c>
      <c r="L1031" s="426" cm="1">
        <f t="array" ref="L1031">IF(ROW()&lt;17,NA(),_xlfn.LET(_xlpm.d,INDEX(E:E,ROW()-13):E1031-INDEX(E:E,ROW()-14):INDEX(E:E,ROW()-1),_xlpm.g,SUM(IF(_xlpm.d&gt;0,_xlpm.d,0)),_xlpm.l,-SUM(IF(_xlpm.d&lt;0,_xlpm.d,0)),IF(_xlpm.l=0,100,100-100/(1+_xlpm.g/_xlpm.l))))</f>
        <v/>
      </c>
      <c r="M1031" s="211">
        <f>MAX($E$2:E1031)</f>
        <v/>
      </c>
      <c r="N1031" s="341">
        <f>E1031/M1031-1</f>
        <v/>
      </c>
    </row>
    <row r="1032">
      <c r="A1032" s="424" t="n">
        <v>45961</v>
      </c>
      <c r="B1032" s="425" t="n">
        <v>62.92523689041028</v>
      </c>
      <c r="C1032" s="425" t="n">
        <v>63.16725703229648</v>
      </c>
      <c r="D1032" s="425" t="n">
        <v>62.1991764647517</v>
      </c>
      <c r="E1032" s="425" t="n">
        <v>62.5283203125</v>
      </c>
      <c r="F1032" s="207" t="n">
        <v>17822500</v>
      </c>
      <c r="G1032" s="208" t="n">
        <v>0.003280200009982304</v>
      </c>
      <c r="H1032" s="209" cm="1">
        <f t="array" ref="H1032">IF(ROW()&lt;3,"",E1032/INDEX(E:E,ROW()-1)-1)</f>
        <v/>
      </c>
      <c r="I1032" s="211">
        <f>IF(ROW()&lt;51,NA(),AVERAGE(INDEX(E:E,ROW()-49):E1032))</f>
        <v/>
      </c>
      <c r="J1032" s="211">
        <f>IF(ROW()&lt;201,NA(),AVERAGE(INDEX(E:E,ROW()-199):E1032))</f>
        <v/>
      </c>
      <c r="K1032" s="341">
        <f>IF(ROW()&lt;22,NA(),_xlfn.STDEV.S(INDEX(H:H,ROW()-19):H1032)*SQRT(252))</f>
        <v/>
      </c>
      <c r="L1032" s="426" cm="1">
        <f t="array" ref="L1032">IF(ROW()&lt;17,NA(),_xlfn.LET(_xlpm.d,INDEX(E:E,ROW()-13):E1032-INDEX(E:E,ROW()-14):INDEX(E:E,ROW()-1),_xlpm.g,SUM(IF(_xlpm.d&gt;0,_xlpm.d,0)),_xlpm.l,-SUM(IF(_xlpm.d&lt;0,_xlpm.d,0)),IF(_xlpm.l=0,100,100-100/(1+_xlpm.g/_xlpm.l))))</f>
        <v/>
      </c>
      <c r="M1032" s="211">
        <f>MAX($E$2:E1032)</f>
        <v/>
      </c>
      <c r="N1032" s="341">
        <f>E1032/M1032-1</f>
        <v/>
      </c>
    </row>
    <row r="1033">
      <c r="A1033" s="424" t="n">
        <v>45964</v>
      </c>
      <c r="B1033" s="425" t="n">
        <v>62.65417597536478</v>
      </c>
      <c r="C1033" s="425" t="n">
        <v>62.78002379116114</v>
      </c>
      <c r="D1033" s="425" t="n">
        <v>60.35014317359241</v>
      </c>
      <c r="E1033" s="425" t="n">
        <v>60.65024948120117</v>
      </c>
      <c r="F1033" s="207" t="n">
        <v>22633300</v>
      </c>
      <c r="G1033" s="208" t="n">
        <v>0.001876696652084675</v>
      </c>
      <c r="H1033" s="209" cm="1">
        <f t="array" ref="H1033">IF(ROW()&lt;3,"",E1033/INDEX(E:E,ROW()-1)-1)</f>
        <v/>
      </c>
      <c r="I1033" s="211">
        <f>IF(ROW()&lt;51,NA(),AVERAGE(INDEX(E:E,ROW()-49):E1033))</f>
        <v/>
      </c>
      <c r="J1033" s="211">
        <f>IF(ROW()&lt;201,NA(),AVERAGE(INDEX(E:E,ROW()-199):E1033))</f>
        <v/>
      </c>
      <c r="K1033" s="341">
        <f>IF(ROW()&lt;22,NA(),_xlfn.STDEV.S(INDEX(H:H,ROW()-19):H1033)*SQRT(252))</f>
        <v/>
      </c>
      <c r="L1033" s="426" cm="1">
        <f t="array" ref="L1033">IF(ROW()&lt;17,NA(),_xlfn.LET(_xlpm.d,INDEX(E:E,ROW()-13):E1033-INDEX(E:E,ROW()-14):INDEX(E:E,ROW()-1),_xlpm.g,SUM(IF(_xlpm.d&gt;0,_xlpm.d,0)),_xlpm.l,-SUM(IF(_xlpm.d&lt;0,_xlpm.d,0)),IF(_xlpm.l=0,100,100-100/(1+_xlpm.g/_xlpm.l))))</f>
        <v/>
      </c>
      <c r="M1033" s="211">
        <f>MAX($E$2:E1033)</f>
        <v/>
      </c>
      <c r="N1033" s="341">
        <f>E1033/M1033-1</f>
        <v/>
      </c>
    </row>
    <row r="1034">
      <c r="A1034" s="424" t="n">
        <v>45965</v>
      </c>
      <c r="B1034" s="425" t="n">
        <v>60.42758440743425</v>
      </c>
      <c r="C1034" s="425" t="n">
        <v>60.59216001649128</v>
      </c>
      <c r="D1034" s="425" t="n">
        <v>59.16908046748766</v>
      </c>
      <c r="E1034" s="425" t="n">
        <v>59.27556991577148</v>
      </c>
      <c r="F1034" s="207" t="n">
        <v>13725400</v>
      </c>
      <c r="G1034" s="208" t="n">
        <v>-0.01185355023282053</v>
      </c>
      <c r="H1034" s="209" cm="1">
        <f t="array" ref="H1034">IF(ROW()&lt;3,"",E1034/INDEX(E:E,ROW()-1)-1)</f>
        <v/>
      </c>
      <c r="I1034" s="211">
        <f>IF(ROW()&lt;51,NA(),AVERAGE(INDEX(E:E,ROW()-49):E1034))</f>
        <v/>
      </c>
      <c r="J1034" s="211">
        <f>IF(ROW()&lt;201,NA(),AVERAGE(INDEX(E:E,ROW()-199):E1034))</f>
        <v/>
      </c>
      <c r="K1034" s="341">
        <f>IF(ROW()&lt;22,NA(),_xlfn.STDEV.S(INDEX(H:H,ROW()-19):H1034)*SQRT(252))</f>
        <v/>
      </c>
      <c r="L1034" s="426" cm="1">
        <f t="array" ref="L1034">IF(ROW()&lt;17,NA(),_xlfn.LET(_xlpm.d,INDEX(E:E,ROW()-13):E1034-INDEX(E:E,ROW()-14):INDEX(E:E,ROW()-1),_xlpm.g,SUM(IF(_xlpm.d&gt;0,_xlpm.d,0)),_xlpm.l,-SUM(IF(_xlpm.d&lt;0,_xlpm.d,0)),IF(_xlpm.l=0,100,100-100/(1+_xlpm.g/_xlpm.l))))</f>
        <v/>
      </c>
      <c r="M1034" s="211">
        <f>MAX($E$2:E1034)</f>
        <v/>
      </c>
      <c r="N1034" s="341">
        <f>E1034/M1034-1</f>
        <v/>
      </c>
    </row>
    <row r="1035">
      <c r="A1035" s="424" t="n">
        <v>45966</v>
      </c>
      <c r="B1035" s="425" t="n">
        <v>59.32397474126301</v>
      </c>
      <c r="C1035" s="425" t="n">
        <v>60.84386090469108</v>
      </c>
      <c r="D1035" s="425" t="n">
        <v>58.91738268411196</v>
      </c>
      <c r="E1035" s="425" t="n">
        <v>60.12748336791992</v>
      </c>
      <c r="F1035" s="207" t="n">
        <v>20979800</v>
      </c>
      <c r="G1035" s="208" t="n">
        <v>0.003465402168103315</v>
      </c>
      <c r="H1035" s="209" cm="1">
        <f t="array" ref="H1035">IF(ROW()&lt;3,"",E1035/INDEX(E:E,ROW()-1)-1)</f>
        <v/>
      </c>
      <c r="I1035" s="211">
        <f>IF(ROW()&lt;51,NA(),AVERAGE(INDEX(E:E,ROW()-49):E1035))</f>
        <v/>
      </c>
      <c r="J1035" s="211">
        <f>IF(ROW()&lt;201,NA(),AVERAGE(INDEX(E:E,ROW()-199):E1035))</f>
        <v/>
      </c>
      <c r="K1035" s="341">
        <f>IF(ROW()&lt;22,NA(),_xlfn.STDEV.S(INDEX(H:H,ROW()-19):H1035)*SQRT(252))</f>
        <v/>
      </c>
      <c r="L1035" s="426" cm="1">
        <f t="array" ref="L1035">IF(ROW()&lt;17,NA(),_xlfn.LET(_xlpm.d,INDEX(E:E,ROW()-13):E1035-INDEX(E:E,ROW()-14):INDEX(E:E,ROW()-1),_xlpm.g,SUM(IF(_xlpm.d&gt;0,_xlpm.d,0)),_xlpm.l,-SUM(IF(_xlpm.d&lt;0,_xlpm.d,0)),IF(_xlpm.l=0,100,100-100/(1+_xlpm.g/_xlpm.l))))</f>
        <v/>
      </c>
      <c r="M1035" s="211">
        <f>MAX($E$2:E1035)</f>
        <v/>
      </c>
      <c r="N1035" s="341">
        <f>E1035/M1035-1</f>
        <v/>
      </c>
    </row>
    <row r="1036">
      <c r="A1036" s="424" t="n">
        <v>45967</v>
      </c>
      <c r="B1036" s="425" t="n">
        <v>59.90482582421632</v>
      </c>
      <c r="C1036" s="425" t="n">
        <v>60.48567268049635</v>
      </c>
      <c r="D1036" s="425" t="n">
        <v>59.70152610087748</v>
      </c>
      <c r="E1036" s="425" t="n">
        <v>59.91450500488281</v>
      </c>
      <c r="F1036" s="207" t="n">
        <v>15164600</v>
      </c>
      <c r="G1036" s="208" t="n">
        <v>-0.01072942049693437</v>
      </c>
      <c r="H1036" s="209" cm="1">
        <f t="array" ref="H1036">IF(ROW()&lt;3,"",E1036/INDEX(E:E,ROW()-1)-1)</f>
        <v/>
      </c>
      <c r="I1036" s="211">
        <f>IF(ROW()&lt;51,NA(),AVERAGE(INDEX(E:E,ROW()-49):E1036))</f>
        <v/>
      </c>
      <c r="J1036" s="211">
        <f>IF(ROW()&lt;201,NA(),AVERAGE(INDEX(E:E,ROW()-199):E1036))</f>
        <v/>
      </c>
      <c r="K1036" s="341">
        <f>IF(ROW()&lt;22,NA(),_xlfn.STDEV.S(INDEX(H:H,ROW()-19):H1036)*SQRT(252))</f>
        <v/>
      </c>
      <c r="L1036" s="426" cm="1">
        <f t="array" ref="L1036">IF(ROW()&lt;17,NA(),_xlfn.LET(_xlpm.d,INDEX(E:E,ROW()-13):E1036-INDEX(E:E,ROW()-14):INDEX(E:E,ROW()-1),_xlpm.g,SUM(IF(_xlpm.d&gt;0,_xlpm.d,0)),_xlpm.l,-SUM(IF(_xlpm.d&lt;0,_xlpm.d,0)),IF(_xlpm.l=0,100,100-100/(1+_xlpm.g/_xlpm.l))))</f>
        <v/>
      </c>
      <c r="M1036" s="211">
        <f>MAX($E$2:E1036)</f>
        <v/>
      </c>
      <c r="N1036" s="341">
        <f>E1036/M1036-1</f>
        <v/>
      </c>
    </row>
    <row r="1037">
      <c r="A1037" s="424" t="n">
        <v>45968</v>
      </c>
      <c r="B1037" s="425" t="n">
        <v>59.76929519029171</v>
      </c>
      <c r="C1037" s="425" t="n">
        <v>60.19524930574592</v>
      </c>
      <c r="D1037" s="425" t="n">
        <v>58.36557764461334</v>
      </c>
      <c r="E1037" s="425" t="n">
        <v>59.14004135131836</v>
      </c>
      <c r="F1037" s="207" t="n">
        <v>15504800</v>
      </c>
      <c r="G1037" s="208" t="n">
        <v>0.0009847090759453891</v>
      </c>
      <c r="H1037" s="209" cm="1">
        <f t="array" ref="H1037">IF(ROW()&lt;3,"",E1037/INDEX(E:E,ROW()-1)-1)</f>
        <v/>
      </c>
      <c r="I1037" s="211">
        <f>IF(ROW()&lt;51,NA(),AVERAGE(INDEX(E:E,ROW()-49):E1037))</f>
        <v/>
      </c>
      <c r="J1037" s="211">
        <f>IF(ROW()&lt;201,NA(),AVERAGE(INDEX(E:E,ROW()-199):E1037))</f>
        <v/>
      </c>
      <c r="K1037" s="341">
        <f>IF(ROW()&lt;22,NA(),_xlfn.STDEV.S(INDEX(H:H,ROW()-19):H1037)*SQRT(252))</f>
        <v/>
      </c>
      <c r="L1037" s="426" cm="1">
        <f t="array" ref="L1037">IF(ROW()&lt;17,NA(),_xlfn.LET(_xlpm.d,INDEX(E:E,ROW()-13):E1037-INDEX(E:E,ROW()-14):INDEX(E:E,ROW()-1),_xlpm.g,SUM(IF(_xlpm.d&gt;0,_xlpm.d,0)),_xlpm.l,-SUM(IF(_xlpm.d&lt;0,_xlpm.d,0)),IF(_xlpm.l=0,100,100-100/(1+_xlpm.g/_xlpm.l))))</f>
        <v/>
      </c>
      <c r="M1037" s="211">
        <f>MAX($E$2:E1037)</f>
        <v/>
      </c>
      <c r="N1037" s="341">
        <f>E1037/M1037-1</f>
        <v/>
      </c>
    </row>
    <row r="1038">
      <c r="A1038" s="424" t="n">
        <v>45971</v>
      </c>
      <c r="B1038" s="425" t="n">
        <v>59.77897212416212</v>
      </c>
      <c r="C1038" s="425" t="n">
        <v>60.10811964875747</v>
      </c>
      <c r="D1038" s="425" t="n">
        <v>58.55919229356415</v>
      </c>
      <c r="E1038" s="425" t="n">
        <v>58.85929489135742</v>
      </c>
      <c r="F1038" s="207" t="n">
        <v>13063100</v>
      </c>
      <c r="G1038" s="208" t="n">
        <v>0.01560422430016195</v>
      </c>
      <c r="H1038" s="209" cm="1">
        <f t="array" ref="H1038">IF(ROW()&lt;3,"",E1038/INDEX(E:E,ROW()-1)-1)</f>
        <v/>
      </c>
      <c r="I1038" s="211">
        <f>IF(ROW()&lt;51,NA(),AVERAGE(INDEX(E:E,ROW()-49):E1038))</f>
        <v/>
      </c>
      <c r="J1038" s="211">
        <f>IF(ROW()&lt;201,NA(),AVERAGE(INDEX(E:E,ROW()-199):E1038))</f>
        <v/>
      </c>
      <c r="K1038" s="341">
        <f>IF(ROW()&lt;22,NA(),_xlfn.STDEV.S(INDEX(H:H,ROW()-19):H1038)*SQRT(252))</f>
        <v/>
      </c>
      <c r="L1038" s="426" cm="1">
        <f t="array" ref="L1038">IF(ROW()&lt;17,NA(),_xlfn.LET(_xlpm.d,INDEX(E:E,ROW()-13):E1038-INDEX(E:E,ROW()-14):INDEX(E:E,ROW()-1),_xlpm.g,SUM(IF(_xlpm.d&gt;0,_xlpm.d,0)),_xlpm.l,-SUM(IF(_xlpm.d&lt;0,_xlpm.d,0)),IF(_xlpm.l=0,100,100-100/(1+_xlpm.g/_xlpm.l))))</f>
        <v/>
      </c>
      <c r="M1038" s="211">
        <f>MAX($E$2:E1038)</f>
        <v/>
      </c>
      <c r="N1038" s="341">
        <f>E1038/M1038-1</f>
        <v/>
      </c>
    </row>
    <row r="1039">
      <c r="A1039" s="424" t="n">
        <v>45972</v>
      </c>
      <c r="B1039" s="425" t="n">
        <v>59.7596124735152</v>
      </c>
      <c r="C1039" s="425" t="n">
        <v>61.56992208511435</v>
      </c>
      <c r="D1039" s="425" t="n">
        <v>59.28525506757222</v>
      </c>
      <c r="E1039" s="425" t="n">
        <v>61.1342887878418</v>
      </c>
      <c r="F1039" s="207" t="n">
        <v>17646400</v>
      </c>
      <c r="G1039" s="208" t="n">
        <v>0.002289248535110922</v>
      </c>
      <c r="H1039" s="209" cm="1">
        <f t="array" ref="H1039">IF(ROW()&lt;3,"",E1039/INDEX(E:E,ROW()-1)-1)</f>
        <v/>
      </c>
      <c r="I1039" s="211">
        <f>IF(ROW()&lt;51,NA(),AVERAGE(INDEX(E:E,ROW()-49):E1039))</f>
        <v/>
      </c>
      <c r="J1039" s="211">
        <f>IF(ROW()&lt;201,NA(),AVERAGE(INDEX(E:E,ROW()-199):E1039))</f>
        <v/>
      </c>
      <c r="K1039" s="341">
        <f>IF(ROW()&lt;22,NA(),_xlfn.STDEV.S(INDEX(H:H,ROW()-19):H1039)*SQRT(252))</f>
        <v/>
      </c>
      <c r="L1039" s="426" cm="1">
        <f t="array" ref="L1039">IF(ROW()&lt;17,NA(),_xlfn.LET(_xlpm.d,INDEX(E:E,ROW()-13):E1039-INDEX(E:E,ROW()-14):INDEX(E:E,ROW()-1),_xlpm.g,SUM(IF(_xlpm.d&gt;0,_xlpm.d,0)),_xlpm.l,-SUM(IF(_xlpm.d&lt;0,_xlpm.d,0)),IF(_xlpm.l=0,100,100-100/(1+_xlpm.g/_xlpm.l))))</f>
        <v/>
      </c>
      <c r="M1039" s="211">
        <f>MAX($E$2:E1039)</f>
        <v/>
      </c>
      <c r="N1039" s="341">
        <f>E1039/M1039-1</f>
        <v/>
      </c>
    </row>
    <row r="1040">
      <c r="A1040" s="424" t="n">
        <v>45973</v>
      </c>
      <c r="B1040" s="425" t="n">
        <v>62.05396170232078</v>
      </c>
      <c r="C1040" s="425" t="n">
        <v>63.10917334118842</v>
      </c>
      <c r="D1040" s="425" t="n">
        <v>61.70545580680958</v>
      </c>
      <c r="E1040" s="425" t="n">
        <v>62.1507682800293</v>
      </c>
      <c r="F1040" s="207" t="n">
        <v>14812200</v>
      </c>
      <c r="G1040" s="208" t="n">
        <v>0.0005564170786802602</v>
      </c>
      <c r="H1040" s="209" cm="1">
        <f t="array" ref="H1040">IF(ROW()&lt;3,"",E1040/INDEX(E:E,ROW()-1)-1)</f>
        <v/>
      </c>
      <c r="I1040" s="211">
        <f>IF(ROW()&lt;51,NA(),AVERAGE(INDEX(E:E,ROW()-49):E1040))</f>
        <v/>
      </c>
      <c r="J1040" s="211">
        <f>IF(ROW()&lt;201,NA(),AVERAGE(INDEX(E:E,ROW()-199):E1040))</f>
        <v/>
      </c>
      <c r="K1040" s="341">
        <f>IF(ROW()&lt;22,NA(),_xlfn.STDEV.S(INDEX(H:H,ROW()-19):H1040)*SQRT(252))</f>
        <v/>
      </c>
      <c r="L1040" s="426" cm="1">
        <f t="array" ref="L1040">IF(ROW()&lt;17,NA(),_xlfn.LET(_xlpm.d,INDEX(E:E,ROW()-13):E1040-INDEX(E:E,ROW()-14):INDEX(E:E,ROW()-1),_xlpm.g,SUM(IF(_xlpm.d&gt;0,_xlpm.d,0)),_xlpm.l,-SUM(IF(_xlpm.d&lt;0,_xlpm.d,0)),IF(_xlpm.l=0,100,100-100/(1+_xlpm.g/_xlpm.l))))</f>
        <v/>
      </c>
      <c r="M1040" s="211">
        <f>MAX($E$2:E1040)</f>
        <v/>
      </c>
      <c r="N1040" s="341">
        <f>E1040/M1040-1</f>
        <v/>
      </c>
    </row>
    <row r="1041">
      <c r="A1041" s="424" t="n">
        <v>45974</v>
      </c>
      <c r="B1041" s="425" t="n">
        <v>63.61257397662547</v>
      </c>
      <c r="C1041" s="425" t="n">
        <v>64.1450212495639</v>
      </c>
      <c r="D1041" s="425" t="n">
        <v>62.80906532323429</v>
      </c>
      <c r="E1041" s="425" t="n">
        <v>63.92235946655273</v>
      </c>
      <c r="F1041" s="207" t="n">
        <v>21923600</v>
      </c>
      <c r="G1041" s="208" t="n">
        <v>-0.01659403563711159</v>
      </c>
      <c r="H1041" s="209" cm="1">
        <f t="array" ref="H1041">IF(ROW()&lt;3,"",E1041/INDEX(E:E,ROW()-1)-1)</f>
        <v/>
      </c>
      <c r="I1041" s="211">
        <f>IF(ROW()&lt;51,NA(),AVERAGE(INDEX(E:E,ROW()-49):E1041))</f>
        <v/>
      </c>
      <c r="J1041" s="211">
        <f>IF(ROW()&lt;201,NA(),AVERAGE(INDEX(E:E,ROW()-199):E1041))</f>
        <v/>
      </c>
      <c r="K1041" s="341">
        <f>IF(ROW()&lt;22,NA(),_xlfn.STDEV.S(INDEX(H:H,ROW()-19):H1041)*SQRT(252))</f>
        <v/>
      </c>
      <c r="L1041" s="426" cm="1">
        <f t="array" ref="L1041">IF(ROW()&lt;17,NA(),_xlfn.LET(_xlpm.d,INDEX(E:E,ROW()-13):E1041-INDEX(E:E,ROW()-14):INDEX(E:E,ROW()-1),_xlpm.g,SUM(IF(_xlpm.d&gt;0,_xlpm.d,0)),_xlpm.l,-SUM(IF(_xlpm.d&lt;0,_xlpm.d,0)),IF(_xlpm.l=0,100,100-100/(1+_xlpm.g/_xlpm.l))))</f>
        <v/>
      </c>
      <c r="M1041" s="211">
        <f>MAX($E$2:E1041)</f>
        <v/>
      </c>
      <c r="N1041" s="341">
        <f>E1041/M1041-1</f>
        <v/>
      </c>
    </row>
    <row r="1042">
      <c r="A1042" s="424" t="n">
        <v>45975</v>
      </c>
      <c r="B1042" s="425" t="n">
        <v>62.86714928728725</v>
      </c>
      <c r="C1042" s="425" t="n">
        <v>62.98331421895288</v>
      </c>
      <c r="D1042" s="425" t="n">
        <v>61.71513114248314</v>
      </c>
      <c r="E1042" s="425" t="n">
        <v>62.12172317504883</v>
      </c>
      <c r="F1042" s="207" t="n">
        <v>17760100</v>
      </c>
      <c r="G1042" s="208" t="n">
        <v>-0.000163588593964259</v>
      </c>
      <c r="H1042" s="209" cm="1">
        <f t="array" ref="H1042">IF(ROW()&lt;3,"",E1042/INDEX(E:E,ROW()-1)-1)</f>
        <v/>
      </c>
      <c r="I1042" s="211">
        <f>IF(ROW()&lt;51,NA(),AVERAGE(INDEX(E:E,ROW()-49):E1042))</f>
        <v/>
      </c>
      <c r="J1042" s="211">
        <f>IF(ROW()&lt;201,NA(),AVERAGE(INDEX(E:E,ROW()-199):E1042))</f>
        <v/>
      </c>
      <c r="K1042" s="341">
        <f>IF(ROW()&lt;22,NA(),_xlfn.STDEV.S(INDEX(H:H,ROW()-19):H1042)*SQRT(252))</f>
        <v/>
      </c>
      <c r="L1042" s="426" cm="1">
        <f t="array" ref="L1042">IF(ROW()&lt;17,NA(),_xlfn.LET(_xlpm.d,INDEX(E:E,ROW()-13):E1042-INDEX(E:E,ROW()-14):INDEX(E:E,ROW()-1),_xlpm.g,SUM(IF(_xlpm.d&gt;0,_xlpm.d,0)),_xlpm.l,-SUM(IF(_xlpm.d&lt;0,_xlpm.d,0)),IF(_xlpm.l=0,100,100-100/(1+_xlpm.g/_xlpm.l))))</f>
        <v/>
      </c>
      <c r="M1042" s="211">
        <f>MAX($E$2:E1042)</f>
        <v/>
      </c>
      <c r="N1042" s="341">
        <f>E1042/M1042-1</f>
        <v/>
      </c>
    </row>
    <row r="1043">
      <c r="A1043" s="424" t="n">
        <v>45978</v>
      </c>
      <c r="B1043" s="425" t="n">
        <v>61.05683723327709</v>
      </c>
      <c r="C1043" s="425" t="n">
        <v>61.51183625294994</v>
      </c>
      <c r="D1043" s="425" t="n">
        <v>60.27269069376444</v>
      </c>
      <c r="E1043" s="425" t="n">
        <v>60.89226531982422</v>
      </c>
      <c r="F1043" s="207" t="n">
        <v>17064700</v>
      </c>
      <c r="G1043" s="208" t="n">
        <v>-0.009316434859877543</v>
      </c>
      <c r="H1043" s="209" cm="1">
        <f t="array" ref="H1043">IF(ROW()&lt;3,"",E1043/INDEX(E:E,ROW()-1)-1)</f>
        <v/>
      </c>
      <c r="I1043" s="211">
        <f>IF(ROW()&lt;51,NA(),AVERAGE(INDEX(E:E,ROW()-49):E1043))</f>
        <v/>
      </c>
      <c r="J1043" s="211">
        <f>IF(ROW()&lt;201,NA(),AVERAGE(INDEX(E:E,ROW()-199):E1043))</f>
        <v/>
      </c>
      <c r="K1043" s="341">
        <f>IF(ROW()&lt;22,NA(),_xlfn.STDEV.S(INDEX(H:H,ROW()-19):H1043)*SQRT(252))</f>
        <v/>
      </c>
      <c r="L1043" s="426" cm="1">
        <f t="array" ref="L1043">IF(ROW()&lt;17,NA(),_xlfn.LET(_xlpm.d,INDEX(E:E,ROW()-13):E1043-INDEX(E:E,ROW()-14):INDEX(E:E,ROW()-1),_xlpm.g,SUM(IF(_xlpm.d&gt;0,_xlpm.d,0)),_xlpm.l,-SUM(IF(_xlpm.d&lt;0,_xlpm.d,0)),IF(_xlpm.l=0,100,100-100/(1+_xlpm.g/_xlpm.l))))</f>
        <v/>
      </c>
      <c r="M1043" s="211">
        <f>MAX($E$2:E1043)</f>
        <v/>
      </c>
      <c r="N1043" s="341">
        <f>E1043/M1043-1</f>
        <v/>
      </c>
    </row>
    <row r="1044">
      <c r="A1044" s="424" t="n">
        <v>45979</v>
      </c>
      <c r="B1044" s="425" t="n">
        <v>60.4082263036672</v>
      </c>
      <c r="C1044" s="425" t="n">
        <v>60.75673219098614</v>
      </c>
      <c r="D1044" s="425" t="n">
        <v>59.71120714316104</v>
      </c>
      <c r="E1044" s="425" t="n">
        <v>60.49535369873047</v>
      </c>
      <c r="F1044" s="207" t="n">
        <v>14614600</v>
      </c>
      <c r="G1044" s="208" t="n">
        <v>-0.008397552940339059</v>
      </c>
      <c r="H1044" s="209" cm="1">
        <f t="array" ref="H1044">IF(ROW()&lt;3,"",E1044/INDEX(E:E,ROW()-1)-1)</f>
        <v/>
      </c>
      <c r="I1044" s="211">
        <f>IF(ROW()&lt;51,NA(),AVERAGE(INDEX(E:E,ROW()-49):E1044))</f>
        <v/>
      </c>
      <c r="J1044" s="211">
        <f>IF(ROW()&lt;201,NA(),AVERAGE(INDEX(E:E,ROW()-199):E1044))</f>
        <v/>
      </c>
      <c r="K1044" s="341">
        <f>IF(ROW()&lt;22,NA(),_xlfn.STDEV.S(INDEX(H:H,ROW()-19):H1044)*SQRT(252))</f>
        <v/>
      </c>
      <c r="L1044" s="426" cm="1">
        <f t="array" ref="L1044">IF(ROW()&lt;17,NA(),_xlfn.LET(_xlpm.d,INDEX(E:E,ROW()-13):E1044-INDEX(E:E,ROW()-14):INDEX(E:E,ROW()-1),_xlpm.g,SUM(IF(_xlpm.d&gt;0,_xlpm.d,0)),_xlpm.l,-SUM(IF(_xlpm.d&lt;0,_xlpm.d,0)),IF(_xlpm.l=0,100,100-100/(1+_xlpm.g/_xlpm.l))))</f>
        <v/>
      </c>
      <c r="M1044" s="211">
        <f>MAX($E$2:E1044)</f>
        <v/>
      </c>
      <c r="N1044" s="341">
        <f>E1044/M1044-1</f>
        <v/>
      </c>
    </row>
    <row r="1045">
      <c r="A1045" s="424" t="n">
        <v>45980</v>
      </c>
      <c r="B1045" s="425" t="n">
        <v>60.43726793932324</v>
      </c>
      <c r="C1045" s="425" t="n">
        <v>61.20205244630134</v>
      </c>
      <c r="D1045" s="425" t="n">
        <v>60.03067219534806</v>
      </c>
      <c r="E1045" s="425" t="n">
        <v>60.64056396484375</v>
      </c>
      <c r="F1045" s="207" t="n">
        <v>11732100</v>
      </c>
      <c r="G1045" s="208" t="n">
        <v>0.00386314270439625</v>
      </c>
      <c r="H1045" s="209" cm="1">
        <f t="array" ref="H1045">IF(ROW()&lt;3,"",E1045/INDEX(E:E,ROW()-1)-1)</f>
        <v/>
      </c>
      <c r="I1045" s="211">
        <f>IF(ROW()&lt;51,NA(),AVERAGE(INDEX(E:E,ROW()-49):E1045))</f>
        <v/>
      </c>
      <c r="J1045" s="211">
        <f>IF(ROW()&lt;201,NA(),AVERAGE(INDEX(E:E,ROW()-199):E1045))</f>
        <v/>
      </c>
      <c r="K1045" s="341">
        <f>IF(ROW()&lt;22,NA(),_xlfn.STDEV.S(INDEX(H:H,ROW()-19):H1045)*SQRT(252))</f>
        <v/>
      </c>
      <c r="L1045" s="426" cm="1">
        <f t="array" ref="L1045">IF(ROW()&lt;17,NA(),_xlfn.LET(_xlpm.d,INDEX(E:E,ROW()-13):E1045-INDEX(E:E,ROW()-14):INDEX(E:E,ROW()-1),_xlpm.g,SUM(IF(_xlpm.d&gt;0,_xlpm.d,0)),_xlpm.l,-SUM(IF(_xlpm.d&lt;0,_xlpm.d,0)),IF(_xlpm.l=0,100,100-100/(1+_xlpm.g/_xlpm.l))))</f>
        <v/>
      </c>
      <c r="M1045" s="211">
        <f>MAX($E$2:E1045)</f>
        <v/>
      </c>
      <c r="N1045" s="341">
        <f>E1045/M1045-1</f>
        <v/>
      </c>
    </row>
    <row r="1046">
      <c r="A1046" s="424" t="n">
        <v>45981</v>
      </c>
      <c r="B1046" s="425" t="n">
        <v>60.94066766540385</v>
      </c>
      <c r="C1046" s="425" t="n">
        <v>61.79257953176214</v>
      </c>
      <c r="D1046" s="425" t="n">
        <v>59.44982282251036</v>
      </c>
      <c r="E1046" s="425" t="n">
        <v>59.46918487548828</v>
      </c>
      <c r="F1046" s="207" t="n">
        <v>13886600</v>
      </c>
      <c r="G1046" s="208" t="n">
        <v>-0.01524227623776697</v>
      </c>
      <c r="H1046" s="209" cm="1">
        <f t="array" ref="H1046">IF(ROW()&lt;3,"",E1046/INDEX(E:E,ROW()-1)-1)</f>
        <v/>
      </c>
      <c r="I1046" s="211">
        <f>IF(ROW()&lt;51,NA(),AVERAGE(INDEX(E:E,ROW()-49):E1046))</f>
        <v/>
      </c>
      <c r="J1046" s="211">
        <f>IF(ROW()&lt;201,NA(),AVERAGE(INDEX(E:E,ROW()-199):E1046))</f>
        <v/>
      </c>
      <c r="K1046" s="341">
        <f>IF(ROW()&lt;22,NA(),_xlfn.STDEV.S(INDEX(H:H,ROW()-19):H1046)*SQRT(252))</f>
        <v/>
      </c>
      <c r="L1046" s="426" cm="1">
        <f t="array" ref="L1046">IF(ROW()&lt;17,NA(),_xlfn.LET(_xlpm.d,INDEX(E:E,ROW()-13):E1046-INDEX(E:E,ROW()-14):INDEX(E:E,ROW()-1),_xlpm.g,SUM(IF(_xlpm.d&gt;0,_xlpm.d,0)),_xlpm.l,-SUM(IF(_xlpm.d&lt;0,_xlpm.d,0)),IF(_xlpm.l=0,100,100-100/(1+_xlpm.g/_xlpm.l))))</f>
        <v/>
      </c>
      <c r="M1046" s="211">
        <f>MAX($E$2:E1046)</f>
        <v/>
      </c>
      <c r="N1046" s="341">
        <f>E1046/M1046-1</f>
        <v/>
      </c>
    </row>
    <row r="1047">
      <c r="A1047" s="424" t="n">
        <v>45982</v>
      </c>
      <c r="B1047" s="425" t="n">
        <v>60.03067143532174</v>
      </c>
      <c r="C1047" s="425" t="n">
        <v>61.47311303537349</v>
      </c>
      <c r="D1047" s="425" t="n">
        <v>59.57567610200315</v>
      </c>
      <c r="E1047" s="425" t="n">
        <v>60.79545593261719</v>
      </c>
      <c r="F1047" s="207" t="n">
        <v>12476900</v>
      </c>
      <c r="G1047" s="208" t="n">
        <v>0.00996129221104658</v>
      </c>
      <c r="H1047" s="209" cm="1">
        <f t="array" ref="H1047">IF(ROW()&lt;3,"",E1047/INDEX(E:E,ROW()-1)-1)</f>
        <v/>
      </c>
      <c r="I1047" s="211">
        <f>IF(ROW()&lt;51,NA(),AVERAGE(INDEX(E:E,ROW()-49):E1047))</f>
        <v/>
      </c>
      <c r="J1047" s="211">
        <f>IF(ROW()&lt;201,NA(),AVERAGE(INDEX(E:E,ROW()-199):E1047))</f>
        <v/>
      </c>
      <c r="K1047" s="341">
        <f>IF(ROW()&lt;22,NA(),_xlfn.STDEV.S(INDEX(H:H,ROW()-19):H1047)*SQRT(252))</f>
        <v/>
      </c>
      <c r="L1047" s="426" cm="1">
        <f t="array" ref="L1047">IF(ROW()&lt;17,NA(),_xlfn.LET(_xlpm.d,INDEX(E:E,ROW()-13):E1047-INDEX(E:E,ROW()-14):INDEX(E:E,ROW()-1),_xlpm.g,SUM(IF(_xlpm.d&gt;0,_xlpm.d,0)),_xlpm.l,-SUM(IF(_xlpm.d&lt;0,_xlpm.d,0)),IF(_xlpm.l=0,100,100-100/(1+_xlpm.g/_xlpm.l))))</f>
        <v/>
      </c>
      <c r="M1047" s="211">
        <f>MAX($E$2:E1047)</f>
        <v/>
      </c>
      <c r="N1047" s="341">
        <f>E1047/M1047-1</f>
        <v/>
      </c>
    </row>
    <row r="1048">
      <c r="A1048" s="424" t="n">
        <v>45985</v>
      </c>
      <c r="B1048" s="425" t="n">
        <v>60.51471278838167</v>
      </c>
      <c r="C1048" s="425" t="n">
        <v>61.05683921896471</v>
      </c>
      <c r="D1048" s="425" t="n">
        <v>59.95322799682617</v>
      </c>
      <c r="E1048" s="425" t="n">
        <v>59.95322799682617</v>
      </c>
      <c r="F1048" s="207" t="n">
        <v>16681700</v>
      </c>
      <c r="G1048" s="208" t="n">
        <v>0.01471845812994776</v>
      </c>
      <c r="H1048" s="209" cm="1">
        <f t="array" ref="H1048">IF(ROW()&lt;3,"",E1048/INDEX(E:E,ROW()-1)-1)</f>
        <v/>
      </c>
      <c r="I1048" s="211">
        <f>IF(ROW()&lt;51,NA(),AVERAGE(INDEX(E:E,ROW()-49):E1048))</f>
        <v/>
      </c>
      <c r="J1048" s="211">
        <f>IF(ROW()&lt;201,NA(),AVERAGE(INDEX(E:E,ROW()-199):E1048))</f>
        <v/>
      </c>
      <c r="K1048" s="341">
        <f>IF(ROW()&lt;22,NA(),_xlfn.STDEV.S(INDEX(H:H,ROW()-19):H1048)*SQRT(252))</f>
        <v/>
      </c>
      <c r="L1048" s="426" cm="1">
        <f t="array" ref="L1048">IF(ROW()&lt;17,NA(),_xlfn.LET(_xlpm.d,INDEX(E:E,ROW()-13):E1048-INDEX(E:E,ROW()-14):INDEX(E:E,ROW()-1),_xlpm.g,SUM(IF(_xlpm.d&gt;0,_xlpm.d,0)),_xlpm.l,-SUM(IF(_xlpm.d&lt;0,_xlpm.d,0)),IF(_xlpm.l=0,100,100-100/(1+_xlpm.g/_xlpm.l))))</f>
        <v/>
      </c>
      <c r="M1048" s="211">
        <f>MAX($E$2:E1048)</f>
        <v/>
      </c>
      <c r="N1048" s="341">
        <f>E1048/M1048-1</f>
        <v/>
      </c>
    </row>
    <row r="1049">
      <c r="A1049" s="424" t="n">
        <v>45986</v>
      </c>
      <c r="B1049" s="425" t="n">
        <v>60.3501413070906</v>
      </c>
      <c r="C1049" s="425" t="n">
        <v>62.07332718793111</v>
      </c>
      <c r="D1049" s="425" t="n">
        <v>59.89514226932174</v>
      </c>
      <c r="E1049" s="425" t="n">
        <v>61.64736938476562</v>
      </c>
      <c r="F1049" s="207" t="n">
        <v>11527200</v>
      </c>
      <c r="G1049" s="208" t="n">
        <v>0.009405944613086525</v>
      </c>
      <c r="H1049" s="209" cm="1">
        <f t="array" ref="H1049">IF(ROW()&lt;3,"",E1049/INDEX(E:E,ROW()-1)-1)</f>
        <v/>
      </c>
      <c r="I1049" s="211">
        <f>IF(ROW()&lt;51,NA(),AVERAGE(INDEX(E:E,ROW()-49):E1049))</f>
        <v/>
      </c>
      <c r="J1049" s="211">
        <f>IF(ROW()&lt;201,NA(),AVERAGE(INDEX(E:E,ROW()-199):E1049))</f>
        <v/>
      </c>
      <c r="K1049" s="341">
        <f>IF(ROW()&lt;22,NA(),_xlfn.STDEV.S(INDEX(H:H,ROW()-19):H1049)*SQRT(252))</f>
        <v/>
      </c>
      <c r="L1049" s="426" cm="1">
        <f t="array" ref="L1049">IF(ROW()&lt;17,NA(),_xlfn.LET(_xlpm.d,INDEX(E:E,ROW()-13):E1049-INDEX(E:E,ROW()-14):INDEX(E:E,ROW()-1),_xlpm.g,SUM(IF(_xlpm.d&gt;0,_xlpm.d,0)),_xlpm.l,-SUM(IF(_xlpm.d&lt;0,_xlpm.d,0)),IF(_xlpm.l=0,100,100-100/(1+_xlpm.g/_xlpm.l))))</f>
        <v/>
      </c>
      <c r="M1049" s="211">
        <f>MAX($E$2:E1049)</f>
        <v/>
      </c>
      <c r="N1049" s="341">
        <f>E1049/M1049-1</f>
        <v/>
      </c>
    </row>
    <row r="1050">
      <c r="A1050" s="424" t="n">
        <v>45987</v>
      </c>
      <c r="B1050" s="425" t="n">
        <v>61.47311415319653</v>
      </c>
      <c r="C1050" s="425" t="n">
        <v>62.79938714895763</v>
      </c>
      <c r="D1050" s="425" t="n">
        <v>60.96003264987729</v>
      </c>
      <c r="E1050" s="425" t="n">
        <v>62.2766227722168</v>
      </c>
      <c r="F1050" s="207" t="n">
        <v>13791000</v>
      </c>
      <c r="G1050" s="208" t="n">
        <v>0.006903451122352244</v>
      </c>
      <c r="H1050" s="209" cm="1">
        <f t="array" ref="H1050">IF(ROW()&lt;3,"",E1050/INDEX(E:E,ROW()-1)-1)</f>
        <v/>
      </c>
      <c r="I1050" s="211">
        <f>IF(ROW()&lt;51,NA(),AVERAGE(INDEX(E:E,ROW()-49):E1050))</f>
        <v/>
      </c>
      <c r="J1050" s="211">
        <f>IF(ROW()&lt;201,NA(),AVERAGE(INDEX(E:E,ROW()-199):E1050))</f>
        <v/>
      </c>
      <c r="K1050" s="341">
        <f>IF(ROW()&lt;22,NA(),_xlfn.STDEV.S(INDEX(H:H,ROW()-19):H1050)*SQRT(252))</f>
        <v/>
      </c>
      <c r="L1050" s="426" cm="1">
        <f t="array" ref="L1050">IF(ROW()&lt;17,NA(),_xlfn.LET(_xlpm.d,INDEX(E:E,ROW()-13):E1050-INDEX(E:E,ROW()-14):INDEX(E:E,ROW()-1),_xlpm.g,SUM(IF(_xlpm.d&gt;0,_xlpm.d,0)),_xlpm.l,-SUM(IF(_xlpm.d&lt;0,_xlpm.d,0)),IF(_xlpm.l=0,100,100-100/(1+_xlpm.g/_xlpm.l))))</f>
        <v/>
      </c>
      <c r="M1050" s="211">
        <f>MAX($E$2:E1050)</f>
        <v/>
      </c>
      <c r="N1050" s="341">
        <f>E1050/M1050-1</f>
        <v/>
      </c>
    </row>
    <row r="1051">
      <c r="A1051" s="424" t="n">
        <v>45989</v>
      </c>
      <c r="B1051" s="425" t="n">
        <v>62.41215045179951</v>
      </c>
      <c r="C1051" s="425" t="n">
        <v>62.71225304060527</v>
      </c>
      <c r="D1051" s="425" t="n">
        <v>61.92811020618092</v>
      </c>
      <c r="E1051" s="425" t="n">
        <v>62.56703948974609</v>
      </c>
      <c r="F1051" s="207" t="n">
        <v>4941400</v>
      </c>
      <c r="G1051" s="208" t="n">
        <v>0.005458464350335035</v>
      </c>
      <c r="H1051" s="209" cm="1">
        <f t="array" ref="H1051">IF(ROW()&lt;3,"",E1051/INDEX(E:E,ROW()-1)-1)</f>
        <v/>
      </c>
      <c r="I1051" s="211">
        <f>IF(ROW()&lt;51,NA(),AVERAGE(INDEX(E:E,ROW()-49):E1051))</f>
        <v/>
      </c>
      <c r="J1051" s="211">
        <f>IF(ROW()&lt;201,NA(),AVERAGE(INDEX(E:E,ROW()-199):E1051))</f>
        <v/>
      </c>
      <c r="K1051" s="341">
        <f>IF(ROW()&lt;22,NA(),_xlfn.STDEV.S(INDEX(H:H,ROW()-19):H1051)*SQRT(252))</f>
        <v/>
      </c>
      <c r="L1051" s="426" cm="1">
        <f t="array" ref="L1051">IF(ROW()&lt;17,NA(),_xlfn.LET(_xlpm.d,INDEX(E:E,ROW()-13):E1051-INDEX(E:E,ROW()-14):INDEX(E:E,ROW()-1),_xlpm.g,SUM(IF(_xlpm.d&gt;0,_xlpm.d,0)),_xlpm.l,-SUM(IF(_xlpm.d&lt;0,_xlpm.d,0)),IF(_xlpm.l=0,100,100-100/(1+_xlpm.g/_xlpm.l))))</f>
        <v/>
      </c>
      <c r="M1051" s="211">
        <f>MAX($E$2:E1051)</f>
        <v/>
      </c>
      <c r="N1051" s="341">
        <f>E1051/M1051-1</f>
        <v/>
      </c>
    </row>
    <row r="1052">
      <c r="A1052" s="424" t="n">
        <v>45992</v>
      </c>
      <c r="B1052" s="425" t="n">
        <v>62.12862270262529</v>
      </c>
      <c r="C1052" s="425" t="n">
        <v>64.29147953575165</v>
      </c>
      <c r="D1052" s="425" t="n">
        <v>61.94351445567401</v>
      </c>
      <c r="E1052" s="425" t="n">
        <v>63.70692443847656</v>
      </c>
      <c r="F1052" s="207" t="n">
        <v>12047300</v>
      </c>
      <c r="G1052" s="208" t="n">
        <v>-0.004565522877085559</v>
      </c>
      <c r="H1052" s="209" cm="1">
        <f t="array" ref="H1052">IF(ROW()&lt;3,"",E1052/INDEX(E:E,ROW()-1)-1)</f>
        <v/>
      </c>
      <c r="I1052" s="211">
        <f>IF(ROW()&lt;51,NA(),AVERAGE(INDEX(E:E,ROW()-49):E1052))</f>
        <v/>
      </c>
      <c r="J1052" s="211">
        <f>IF(ROW()&lt;201,NA(),AVERAGE(INDEX(E:E,ROW()-199):E1052))</f>
        <v/>
      </c>
      <c r="K1052" s="341">
        <f>IF(ROW()&lt;22,NA(),_xlfn.STDEV.S(INDEX(H:H,ROW()-19):H1052)*SQRT(252))</f>
        <v/>
      </c>
      <c r="L1052" s="426" cm="1">
        <f t="array" ref="L1052">IF(ROW()&lt;17,NA(),_xlfn.LET(_xlpm.d,INDEX(E:E,ROW()-13):E1052-INDEX(E:E,ROW()-14):INDEX(E:E,ROW()-1),_xlpm.g,SUM(IF(_xlpm.d&gt;0,_xlpm.d,0)),_xlpm.l,-SUM(IF(_xlpm.d&lt;0,_xlpm.d,0)),IF(_xlpm.l=0,100,100-100/(1+_xlpm.g/_xlpm.l))))</f>
        <v/>
      </c>
      <c r="M1052" s="211">
        <f>MAX($E$2:E1052)</f>
        <v/>
      </c>
      <c r="N1052" s="341">
        <f>E1052/M1052-1</f>
        <v/>
      </c>
    </row>
    <row r="1053">
      <c r="A1053" s="424" t="n">
        <v>45993</v>
      </c>
      <c r="B1053" s="425" t="n">
        <v>63.76538246220313</v>
      </c>
      <c r="C1053" s="425" t="n">
        <v>63.78487184560765</v>
      </c>
      <c r="D1053" s="425" t="n">
        <v>62.91778010965328</v>
      </c>
      <c r="E1053" s="425" t="n">
        <v>63.25876998901367</v>
      </c>
      <c r="F1053" s="207" t="n">
        <v>9051200</v>
      </c>
      <c r="G1053" s="208" t="n">
        <v>0.001852251391433191</v>
      </c>
      <c r="H1053" s="209" cm="1">
        <f t="array" ref="H1053">IF(ROW()&lt;3,"",E1053/INDEX(E:E,ROW()-1)-1)</f>
        <v/>
      </c>
      <c r="I1053" s="211">
        <f>IF(ROW()&lt;51,NA(),AVERAGE(INDEX(E:E,ROW()-49):E1053))</f>
        <v/>
      </c>
      <c r="J1053" s="211">
        <f>IF(ROW()&lt;201,NA(),AVERAGE(INDEX(E:E,ROW()-199):E1053))</f>
        <v/>
      </c>
      <c r="K1053" s="341">
        <f>IF(ROW()&lt;22,NA(),_xlfn.STDEV.S(INDEX(H:H,ROW()-19):H1053)*SQRT(252))</f>
        <v/>
      </c>
      <c r="L1053" s="426" cm="1">
        <f t="array" ref="L1053">IF(ROW()&lt;17,NA(),_xlfn.LET(_xlpm.d,INDEX(E:E,ROW()-13):E1053-INDEX(E:E,ROW()-14):INDEX(E:E,ROW()-1),_xlpm.g,SUM(IF(_xlpm.d&gt;0,_xlpm.d,0)),_xlpm.l,-SUM(IF(_xlpm.d&lt;0,_xlpm.d,0)),IF(_xlpm.l=0,100,100-100/(1+_xlpm.g/_xlpm.l))))</f>
        <v/>
      </c>
      <c r="M1053" s="211">
        <f>MAX($E$2:E1053)</f>
        <v/>
      </c>
      <c r="N1053" s="341">
        <f>E1053/M1053-1</f>
        <v/>
      </c>
    </row>
    <row r="1054">
      <c r="A1054" s="424" t="n">
        <v>45994</v>
      </c>
      <c r="B1054" s="425" t="n">
        <v>63.40490712772031</v>
      </c>
      <c r="C1054" s="425" t="n">
        <v>64.94424127862759</v>
      </c>
      <c r="D1054" s="425" t="n">
        <v>63.30748251514852</v>
      </c>
      <c r="E1054" s="425" t="n">
        <v>63.96023559570312</v>
      </c>
      <c r="F1054" s="207" t="n">
        <v>12028300</v>
      </c>
      <c r="G1054" s="208" t="n">
        <v>0.003462839022884578</v>
      </c>
      <c r="H1054" s="209" cm="1">
        <f t="array" ref="H1054">IF(ROW()&lt;3,"",E1054/INDEX(E:E,ROW()-1)-1)</f>
        <v/>
      </c>
      <c r="I1054" s="211">
        <f>IF(ROW()&lt;51,NA(),AVERAGE(INDEX(E:E,ROW()-49):E1054))</f>
        <v/>
      </c>
      <c r="J1054" s="211">
        <f>IF(ROW()&lt;201,NA(),AVERAGE(INDEX(E:E,ROW()-199):E1054))</f>
        <v/>
      </c>
      <c r="K1054" s="341">
        <f>IF(ROW()&lt;22,NA(),_xlfn.STDEV.S(INDEX(H:H,ROW()-19):H1054)*SQRT(252))</f>
        <v/>
      </c>
      <c r="L1054" s="426" cm="1">
        <f t="array" ref="L1054">IF(ROW()&lt;17,NA(),_xlfn.LET(_xlpm.d,INDEX(E:E,ROW()-13):E1054-INDEX(E:E,ROW()-14):INDEX(E:E,ROW()-1),_xlpm.g,SUM(IF(_xlpm.d&gt;0,_xlpm.d,0)),_xlpm.l,-SUM(IF(_xlpm.d&lt;0,_xlpm.d,0)),IF(_xlpm.l=0,100,100-100/(1+_xlpm.g/_xlpm.l))))</f>
        <v/>
      </c>
      <c r="M1054" s="211">
        <f>MAX($E$2:E1054)</f>
        <v/>
      </c>
      <c r="N1054" s="341">
        <f>E1054/M1054-1</f>
        <v/>
      </c>
    </row>
    <row r="1055">
      <c r="A1055" s="424" t="n">
        <v>45995</v>
      </c>
      <c r="B1055" s="425" t="n">
        <v>63.91151918906574</v>
      </c>
      <c r="C1055" s="425" t="n">
        <v>64.39864968202055</v>
      </c>
      <c r="D1055" s="425" t="n">
        <v>63.33670877522936</v>
      </c>
      <c r="E1055" s="425" t="n">
        <v>63.99920654296875</v>
      </c>
      <c r="F1055" s="207" t="n">
        <v>10619500</v>
      </c>
      <c r="G1055" s="208" t="n">
        <v>0.000731151162097321</v>
      </c>
      <c r="H1055" s="209" cm="1">
        <f t="array" ref="H1055">IF(ROW()&lt;3,"",E1055/INDEX(E:E,ROW()-1)-1)</f>
        <v/>
      </c>
      <c r="I1055" s="211">
        <f>IF(ROW()&lt;51,NA(),AVERAGE(INDEX(E:E,ROW()-49):E1055))</f>
        <v/>
      </c>
      <c r="J1055" s="211">
        <f>IF(ROW()&lt;201,NA(),AVERAGE(INDEX(E:E,ROW()-199):E1055))</f>
        <v/>
      </c>
      <c r="K1055" s="341">
        <f>IF(ROW()&lt;22,NA(),_xlfn.STDEV.S(INDEX(H:H,ROW()-19):H1055)*SQRT(252))</f>
        <v/>
      </c>
      <c r="L1055" s="426" cm="1">
        <f t="array" ref="L1055">IF(ROW()&lt;17,NA(),_xlfn.LET(_xlpm.d,INDEX(E:E,ROW()-13):E1055-INDEX(E:E,ROW()-14):INDEX(E:E,ROW()-1),_xlpm.g,SUM(IF(_xlpm.d&gt;0,_xlpm.d,0)),_xlpm.l,-SUM(IF(_xlpm.d&lt;0,_xlpm.d,0)),IF(_xlpm.l=0,100,100-100/(1+_xlpm.g/_xlpm.l))))</f>
        <v/>
      </c>
      <c r="M1055" s="211">
        <f>MAX($E$2:E1055)</f>
        <v/>
      </c>
      <c r="N1055" s="341">
        <f>E1055/M1055-1</f>
        <v/>
      </c>
    </row>
    <row r="1056">
      <c r="A1056" s="424" t="n">
        <v>45996</v>
      </c>
      <c r="B1056" s="425" t="n">
        <v>64.00894012281516</v>
      </c>
      <c r="C1056" s="425" t="n">
        <v>64.37916403331982</v>
      </c>
      <c r="D1056" s="425" t="n">
        <v>63.21004645759811</v>
      </c>
      <c r="E1056" s="425" t="n">
        <v>64.16482543945312</v>
      </c>
      <c r="F1056" s="207" t="n">
        <v>10917900</v>
      </c>
      <c r="G1056" s="208" t="n">
        <v>0.001899333691745886</v>
      </c>
      <c r="H1056" s="209" cm="1">
        <f t="array" ref="H1056">IF(ROW()&lt;3,"",E1056/INDEX(E:E,ROW()-1)-1)</f>
        <v/>
      </c>
      <c r="I1056" s="211">
        <f>IF(ROW()&lt;51,NA(),AVERAGE(INDEX(E:E,ROW()-49):E1056))</f>
        <v/>
      </c>
      <c r="J1056" s="211">
        <f>IF(ROW()&lt;201,NA(),AVERAGE(INDEX(E:E,ROW()-199):E1056))</f>
        <v/>
      </c>
      <c r="K1056" s="341">
        <f>IF(ROW()&lt;22,NA(),_xlfn.STDEV.S(INDEX(H:H,ROW()-19):H1056)*SQRT(252))</f>
        <v/>
      </c>
      <c r="L1056" s="426" cm="1">
        <f t="array" ref="L1056">IF(ROW()&lt;17,NA(),_xlfn.LET(_xlpm.d,INDEX(E:E,ROW()-13):E1056-INDEX(E:E,ROW()-14):INDEX(E:E,ROW()-1),_xlpm.g,SUM(IF(_xlpm.d&gt;0,_xlpm.d,0)),_xlpm.l,-SUM(IF(_xlpm.d&lt;0,_xlpm.d,0)),IF(_xlpm.l=0,100,100-100/(1+_xlpm.g/_xlpm.l))))</f>
        <v/>
      </c>
      <c r="M1056" s="211">
        <f>MAX($E$2:E1056)</f>
        <v/>
      </c>
      <c r="N1056" s="341">
        <f>E1056/M1056-1</f>
        <v/>
      </c>
    </row>
    <row r="1057">
      <c r="A1057" s="424" t="n">
        <v>45999</v>
      </c>
      <c r="B1057" s="425" t="n">
        <v>63.91152405007379</v>
      </c>
      <c r="C1057" s="425" t="n">
        <v>64.10638072188905</v>
      </c>
      <c r="D1057" s="425" t="n">
        <v>61.64149771283542</v>
      </c>
      <c r="E1057" s="425" t="n">
        <v>61.90454864501953</v>
      </c>
      <c r="F1057" s="207" t="n">
        <v>12867300</v>
      </c>
      <c r="G1057" s="208" t="n">
        <v>-0.003004111590387826</v>
      </c>
      <c r="H1057" s="209" cm="1">
        <f t="array" ref="H1057">IF(ROW()&lt;3,"",E1057/INDEX(E:E,ROW()-1)-1)</f>
        <v/>
      </c>
      <c r="I1057" s="211">
        <f>IF(ROW()&lt;51,NA(),AVERAGE(INDEX(E:E,ROW()-49):E1057))</f>
        <v/>
      </c>
      <c r="J1057" s="211">
        <f>IF(ROW()&lt;201,NA(),AVERAGE(INDEX(E:E,ROW()-199):E1057))</f>
        <v/>
      </c>
      <c r="K1057" s="341">
        <f>IF(ROW()&lt;22,NA(),_xlfn.STDEV.S(INDEX(H:H,ROW()-19):H1057)*SQRT(252))</f>
        <v/>
      </c>
      <c r="L1057" s="426" cm="1">
        <f t="array" ref="L1057">IF(ROW()&lt;17,NA(),_xlfn.LET(_xlpm.d,INDEX(E:E,ROW()-13):E1057-INDEX(E:E,ROW()-14):INDEX(E:E,ROW()-1),_xlpm.g,SUM(IF(_xlpm.d&gt;0,_xlpm.d,0)),_xlpm.l,-SUM(IF(_xlpm.d&lt;0,_xlpm.d,0)),IF(_xlpm.l=0,100,100-100/(1+_xlpm.g/_xlpm.l))))</f>
        <v/>
      </c>
      <c r="M1057" s="211">
        <f>MAX($E$2:E1057)</f>
        <v/>
      </c>
      <c r="N1057" s="341">
        <f>E1057/M1057-1</f>
        <v/>
      </c>
    </row>
    <row r="1058">
      <c r="A1058" s="424" t="n">
        <v>46000</v>
      </c>
      <c r="B1058" s="425" t="n">
        <v>61.87531855895763</v>
      </c>
      <c r="C1058" s="425" t="n">
        <v>62.30399580582035</v>
      </c>
      <c r="D1058" s="425" t="n">
        <v>61.3492204087795</v>
      </c>
      <c r="E1058" s="425" t="n">
        <v>61.69995498657227</v>
      </c>
      <c r="F1058" s="207" t="n">
        <v>9300200</v>
      </c>
      <c r="G1058" s="208" t="n">
        <v>-0.0008631857374462593</v>
      </c>
      <c r="H1058" s="209" cm="1">
        <f t="array" ref="H1058">IF(ROW()&lt;3,"",E1058/INDEX(E:E,ROW()-1)-1)</f>
        <v/>
      </c>
      <c r="I1058" s="211">
        <f>IF(ROW()&lt;51,NA(),AVERAGE(INDEX(E:E,ROW()-49):E1058))</f>
        <v/>
      </c>
      <c r="J1058" s="211">
        <f>IF(ROW()&lt;201,NA(),AVERAGE(INDEX(E:E,ROW()-199):E1058))</f>
        <v/>
      </c>
      <c r="K1058" s="341">
        <f>IF(ROW()&lt;22,NA(),_xlfn.STDEV.S(INDEX(H:H,ROW()-19):H1058)*SQRT(252))</f>
        <v/>
      </c>
      <c r="L1058" s="426" cm="1">
        <f t="array" ref="L1058">IF(ROW()&lt;17,NA(),_xlfn.LET(_xlpm.d,INDEX(E:E,ROW()-13):E1058-INDEX(E:E,ROW()-14):INDEX(E:E,ROW()-1),_xlpm.g,SUM(IF(_xlpm.d&gt;0,_xlpm.d,0)),_xlpm.l,-SUM(IF(_xlpm.d&lt;0,_xlpm.d,0)),IF(_xlpm.l=0,100,100-100/(1+_xlpm.g/_xlpm.l))))</f>
        <v/>
      </c>
      <c r="M1058" s="211">
        <f>MAX($E$2:E1058)</f>
        <v/>
      </c>
      <c r="N1058" s="341">
        <f>E1058/M1058-1</f>
        <v/>
      </c>
    </row>
    <row r="1059">
      <c r="A1059" s="424" t="n">
        <v>46001</v>
      </c>
      <c r="B1059" s="425" t="n">
        <v>62.33322011286516</v>
      </c>
      <c r="C1059" s="425" t="n">
        <v>64.44736847578369</v>
      </c>
      <c r="D1059" s="425" t="n">
        <v>62.11888149746499</v>
      </c>
      <c r="E1059" s="425" t="n">
        <v>64.09663391113281</v>
      </c>
      <c r="F1059" s="207" t="n">
        <v>20302100</v>
      </c>
      <c r="G1059" s="208" t="n">
        <v>0.00663226596624833</v>
      </c>
      <c r="H1059" s="209" cm="1">
        <f t="array" ref="H1059">IF(ROW()&lt;3,"",E1059/INDEX(E:E,ROW()-1)-1)</f>
        <v/>
      </c>
      <c r="I1059" s="211">
        <f>IF(ROW()&lt;51,NA(),AVERAGE(INDEX(E:E,ROW()-49):E1059))</f>
        <v/>
      </c>
      <c r="J1059" s="211">
        <f>IF(ROW()&lt;201,NA(),AVERAGE(INDEX(E:E,ROW()-199):E1059))</f>
        <v/>
      </c>
      <c r="K1059" s="341">
        <f>IF(ROW()&lt;22,NA(),_xlfn.STDEV.S(INDEX(H:H,ROW()-19):H1059)*SQRT(252))</f>
        <v/>
      </c>
      <c r="L1059" s="426" cm="1">
        <f t="array" ref="L1059">IF(ROW()&lt;17,NA(),_xlfn.LET(_xlpm.d,INDEX(E:E,ROW()-13):E1059-INDEX(E:E,ROW()-14):INDEX(E:E,ROW()-1),_xlpm.g,SUM(IF(_xlpm.d&gt;0,_xlpm.d,0)),_xlpm.l,-SUM(IF(_xlpm.d&lt;0,_xlpm.d,0)),IF(_xlpm.l=0,100,100-100/(1+_xlpm.g/_xlpm.l))))</f>
        <v/>
      </c>
      <c r="M1059" s="211">
        <f>MAX($E$2:E1059)</f>
        <v/>
      </c>
      <c r="N1059" s="341">
        <f>E1059/M1059-1</f>
        <v/>
      </c>
    </row>
    <row r="1060">
      <c r="A1060" s="424" t="n">
        <v>46002</v>
      </c>
      <c r="B1060" s="425" t="n">
        <v>64.13560987000258</v>
      </c>
      <c r="C1060" s="425" t="n">
        <v>66.07438737391955</v>
      </c>
      <c r="D1060" s="425" t="n">
        <v>63.87255521103067</v>
      </c>
      <c r="E1060" s="425" t="n">
        <v>65.99644470214844</v>
      </c>
      <c r="F1060" s="207" t="n">
        <v>16153500</v>
      </c>
      <c r="G1060" s="208" t="n">
        <v>0.002326892036534245</v>
      </c>
      <c r="H1060" s="209" cm="1">
        <f t="array" ref="H1060">IF(ROW()&lt;3,"",E1060/INDEX(E:E,ROW()-1)-1)</f>
        <v/>
      </c>
      <c r="I1060" s="211">
        <f>IF(ROW()&lt;51,NA(),AVERAGE(INDEX(E:E,ROW()-49):E1060))</f>
        <v/>
      </c>
      <c r="J1060" s="211">
        <f>IF(ROW()&lt;201,NA(),AVERAGE(INDEX(E:E,ROW()-199):E1060))</f>
        <v/>
      </c>
      <c r="K1060" s="341">
        <f>IF(ROW()&lt;22,NA(),_xlfn.STDEV.S(INDEX(H:H,ROW()-19):H1060)*SQRT(252))</f>
        <v/>
      </c>
      <c r="L1060" s="426" cm="1">
        <f t="array" ref="L1060">IF(ROW()&lt;17,NA(),_xlfn.LET(_xlpm.d,INDEX(E:E,ROW()-13):E1060-INDEX(E:E,ROW()-14):INDEX(E:E,ROW()-1),_xlpm.g,SUM(IF(_xlpm.d&gt;0,_xlpm.d,0)),_xlpm.l,-SUM(IF(_xlpm.d&lt;0,_xlpm.d,0)),IF(_xlpm.l=0,100,100-100/(1+_xlpm.g/_xlpm.l))))</f>
        <v/>
      </c>
      <c r="M1060" s="211">
        <f>MAX($E$2:E1060)</f>
        <v/>
      </c>
      <c r="N1060" s="341">
        <f>E1060/M1060-1</f>
        <v/>
      </c>
    </row>
    <row r="1061">
      <c r="A1061" s="424" t="n">
        <v>46003</v>
      </c>
      <c r="B1061" s="425" t="n">
        <v>66.41537053436588</v>
      </c>
      <c r="C1061" s="425" t="n">
        <v>67.36040489291355</v>
      </c>
      <c r="D1061" s="425" t="n">
        <v>65.39240094497526</v>
      </c>
      <c r="E1061" s="425" t="n">
        <v>65.73339080810547</v>
      </c>
      <c r="F1061" s="207" t="n">
        <v>14829200</v>
      </c>
      <c r="G1061" s="208" t="n">
        <v>-0.01075200956203659</v>
      </c>
      <c r="H1061" s="209" cm="1">
        <f t="array" ref="H1061">IF(ROW()&lt;3,"",E1061/INDEX(E:E,ROW()-1)-1)</f>
        <v/>
      </c>
      <c r="I1061" s="211">
        <f>IF(ROW()&lt;51,NA(),AVERAGE(INDEX(E:E,ROW()-49):E1061))</f>
        <v/>
      </c>
      <c r="J1061" s="211">
        <f>IF(ROW()&lt;201,NA(),AVERAGE(INDEX(E:E,ROW()-199):E1061))</f>
        <v/>
      </c>
      <c r="K1061" s="341">
        <f>IF(ROW()&lt;22,NA(),_xlfn.STDEV.S(INDEX(H:H,ROW()-19):H1061)*SQRT(252))</f>
        <v/>
      </c>
      <c r="L1061" s="426" cm="1">
        <f t="array" ref="L1061">IF(ROW()&lt;17,NA(),_xlfn.LET(_xlpm.d,INDEX(E:E,ROW()-13):E1061-INDEX(E:E,ROW()-14):INDEX(E:E,ROW()-1),_xlpm.g,SUM(IF(_xlpm.d&gt;0,_xlpm.d,0)),_xlpm.l,-SUM(IF(_xlpm.d&lt;0,_xlpm.d,0)),IF(_xlpm.l=0,100,100-100/(1+_xlpm.g/_xlpm.l))))</f>
        <v/>
      </c>
      <c r="M1061" s="211">
        <f>MAX($E$2:E1061)</f>
        <v/>
      </c>
      <c r="N1061" s="341">
        <f>E1061/M1061-1</f>
        <v/>
      </c>
    </row>
    <row r="1062">
      <c r="A1062" s="424" t="n">
        <v>46006</v>
      </c>
      <c r="B1062" s="425" t="n">
        <v>65.67493621463564</v>
      </c>
      <c r="C1062" s="425" t="n">
        <v>66.59073648117172</v>
      </c>
      <c r="D1062" s="425" t="n">
        <v>64.97346711991258</v>
      </c>
      <c r="E1062" s="425" t="n">
        <v>66.03540802001953</v>
      </c>
      <c r="F1062" s="207" t="n">
        <v>15287500</v>
      </c>
      <c r="G1062" s="208" t="n">
        <v>-0.001510759512513782</v>
      </c>
      <c r="H1062" s="209" cm="1">
        <f t="array" ref="H1062">IF(ROW()&lt;3,"",E1062/INDEX(E:E,ROW()-1)-1)</f>
        <v/>
      </c>
      <c r="I1062" s="211">
        <f>IF(ROW()&lt;51,NA(),AVERAGE(INDEX(E:E,ROW()-49):E1062))</f>
        <v/>
      </c>
      <c r="J1062" s="211">
        <f>IF(ROW()&lt;201,NA(),AVERAGE(INDEX(E:E,ROW()-199):E1062))</f>
        <v/>
      </c>
      <c r="K1062" s="341">
        <f>IF(ROW()&lt;22,NA(),_xlfn.STDEV.S(INDEX(H:H,ROW()-19):H1062)*SQRT(252))</f>
        <v/>
      </c>
      <c r="L1062" s="426" cm="1">
        <f t="array" ref="L1062">IF(ROW()&lt;17,NA(),_xlfn.LET(_xlpm.d,INDEX(E:E,ROW()-13):E1062-INDEX(E:E,ROW()-14):INDEX(E:E,ROW()-1),_xlpm.g,SUM(IF(_xlpm.d&gt;0,_xlpm.d,0)),_xlpm.l,-SUM(IF(_xlpm.d&lt;0,_xlpm.d,0)),IF(_xlpm.l=0,100,100-100/(1+_xlpm.g/_xlpm.l))))</f>
        <v/>
      </c>
      <c r="M1062" s="211">
        <f>MAX($E$2:E1062)</f>
        <v/>
      </c>
      <c r="N1062" s="341">
        <f>E1062/M1062-1</f>
        <v/>
      </c>
    </row>
    <row r="1063">
      <c r="A1063" s="424" t="n">
        <v>46007</v>
      </c>
      <c r="B1063" s="425" t="n">
        <v>65.55802523918734</v>
      </c>
      <c r="C1063" s="425" t="n">
        <v>66.44459890642761</v>
      </c>
      <c r="D1063" s="425" t="n">
        <v>65.02217870243319</v>
      </c>
      <c r="E1063" s="425" t="n">
        <v>65.39240264892578</v>
      </c>
      <c r="F1063" s="207" t="n">
        <v>16376700</v>
      </c>
      <c r="G1063" s="208" t="n">
        <v>-0.002732363256316539</v>
      </c>
      <c r="H1063" s="209" cm="1">
        <f t="array" ref="H1063">IF(ROW()&lt;3,"",E1063/INDEX(E:E,ROW()-1)-1)</f>
        <v/>
      </c>
      <c r="I1063" s="211">
        <f>IF(ROW()&lt;51,NA(),AVERAGE(INDEX(E:E,ROW()-49):E1063))</f>
        <v/>
      </c>
      <c r="J1063" s="211">
        <f>IF(ROW()&lt;201,NA(),AVERAGE(INDEX(E:E,ROW()-199):E1063))</f>
        <v/>
      </c>
      <c r="K1063" s="341">
        <f>IF(ROW()&lt;22,NA(),_xlfn.STDEV.S(INDEX(H:H,ROW()-19):H1063)*SQRT(252))</f>
        <v/>
      </c>
      <c r="L1063" s="426" cm="1">
        <f t="array" ref="L1063">IF(ROW()&lt;17,NA(),_xlfn.LET(_xlpm.d,INDEX(E:E,ROW()-13):E1063-INDEX(E:E,ROW()-14):INDEX(E:E,ROW()-1),_xlpm.g,SUM(IF(_xlpm.d&gt;0,_xlpm.d,0)),_xlpm.l,-SUM(IF(_xlpm.d&lt;0,_xlpm.d,0)),IF(_xlpm.l=0,100,100-100/(1+_xlpm.g/_xlpm.l))))</f>
        <v/>
      </c>
      <c r="M1063" s="211">
        <f>MAX($E$2:E1063)</f>
        <v/>
      </c>
      <c r="N1063" s="341">
        <f>E1063/M1063-1</f>
        <v/>
      </c>
    </row>
    <row r="1064">
      <c r="A1064" s="424" t="n">
        <v>46008</v>
      </c>
      <c r="B1064" s="425" t="n">
        <v>64.84680884357638</v>
      </c>
      <c r="C1064" s="425" t="n">
        <v>65.10986347226398</v>
      </c>
      <c r="D1064" s="425" t="n">
        <v>63.93100857127594</v>
      </c>
      <c r="E1064" s="425" t="n">
        <v>63.99920654296875</v>
      </c>
      <c r="F1064" s="207" t="n">
        <v>13205500</v>
      </c>
      <c r="G1064" s="208" t="n">
        <v>-0.01100356428531768</v>
      </c>
      <c r="H1064" s="209" cm="1">
        <f t="array" ref="H1064">IF(ROW()&lt;3,"",E1064/INDEX(E:E,ROW()-1)-1)</f>
        <v/>
      </c>
      <c r="I1064" s="211">
        <f>IF(ROW()&lt;51,NA(),AVERAGE(INDEX(E:E,ROW()-49):E1064))</f>
        <v/>
      </c>
      <c r="J1064" s="211">
        <f>IF(ROW()&lt;201,NA(),AVERAGE(INDEX(E:E,ROW()-199):E1064))</f>
        <v/>
      </c>
      <c r="K1064" s="341">
        <f>IF(ROW()&lt;22,NA(),_xlfn.STDEV.S(INDEX(H:H,ROW()-19):H1064)*SQRT(252))</f>
        <v/>
      </c>
      <c r="L1064" s="426" cm="1">
        <f t="array" ref="L1064">IF(ROW()&lt;17,NA(),_xlfn.LET(_xlpm.d,INDEX(E:E,ROW()-13):E1064-INDEX(E:E,ROW()-14):INDEX(E:E,ROW()-1),_xlpm.g,SUM(IF(_xlpm.d&gt;0,_xlpm.d,0)),_xlpm.l,-SUM(IF(_xlpm.d&lt;0,_xlpm.d,0)),IF(_xlpm.l=0,100,100-100/(1+_xlpm.g/_xlpm.l))))</f>
        <v/>
      </c>
      <c r="M1064" s="211">
        <f>MAX($E$2:E1064)</f>
        <v/>
      </c>
      <c r="N1064" s="341">
        <f>E1064/M1064-1</f>
        <v/>
      </c>
    </row>
    <row r="1065">
      <c r="A1065" s="424" t="n">
        <v>46009</v>
      </c>
      <c r="B1065" s="425" t="n">
        <v>64.31097407870494</v>
      </c>
      <c r="C1065" s="425" t="n">
        <v>65.27549043826299</v>
      </c>
      <c r="D1065" s="425" t="n">
        <v>63.7166742427596</v>
      </c>
      <c r="E1065" s="425" t="n">
        <v>63.94075012207031</v>
      </c>
      <c r="F1065" s="207" t="n">
        <v>35650000</v>
      </c>
      <c r="G1065" s="208" t="n">
        <v>0.00755117682414097</v>
      </c>
      <c r="H1065" s="209" cm="1">
        <f t="array" ref="H1065">IF(ROW()&lt;3,"",E1065/INDEX(E:E,ROW()-1)-1)</f>
        <v/>
      </c>
      <c r="I1065" s="211">
        <f>IF(ROW()&lt;51,NA(),AVERAGE(INDEX(E:E,ROW()-49):E1065))</f>
        <v/>
      </c>
      <c r="J1065" s="211">
        <f>IF(ROW()&lt;201,NA(),AVERAGE(INDEX(E:E,ROW()-199):E1065))</f>
        <v/>
      </c>
      <c r="K1065" s="341">
        <f>IF(ROW()&lt;22,NA(),_xlfn.STDEV.S(INDEX(H:H,ROW()-19):H1065)*SQRT(252))</f>
        <v/>
      </c>
      <c r="L1065" s="426" cm="1">
        <f t="array" ref="L1065">IF(ROW()&lt;17,NA(),_xlfn.LET(_xlpm.d,INDEX(E:E,ROW()-13):E1065-INDEX(E:E,ROW()-14):INDEX(E:E,ROW()-1),_xlpm.g,SUM(IF(_xlpm.d&gt;0,_xlpm.d,0)),_xlpm.l,-SUM(IF(_xlpm.d&lt;0,_xlpm.d,0)),IF(_xlpm.l=0,100,100-100/(1+_xlpm.g/_xlpm.l))))</f>
        <v/>
      </c>
      <c r="M1065" s="211">
        <f>MAX($E$2:E1065)</f>
        <v/>
      </c>
      <c r="N1065" s="341">
        <f>E1065/M1065-1</f>
        <v/>
      </c>
    </row>
    <row r="1066">
      <c r="A1066" s="424" t="n">
        <v>46010</v>
      </c>
      <c r="B1066" s="425" t="n">
        <v>57.67625352148171</v>
      </c>
      <c r="C1066" s="425" t="n">
        <v>58.82588183025954</v>
      </c>
      <c r="D1066" s="425" t="n">
        <v>56.72147816133775</v>
      </c>
      <c r="E1066" s="425" t="n">
        <v>57.1988639831543</v>
      </c>
      <c r="F1066" s="207" t="n">
        <v>108652700</v>
      </c>
      <c r="G1066" s="208" t="n">
        <v>0.009063578290348762</v>
      </c>
      <c r="H1066" s="209" cm="1">
        <f t="array" ref="H1066">IF(ROW()&lt;3,"",E1066/INDEX(E:E,ROW()-1)-1)</f>
        <v/>
      </c>
      <c r="I1066" s="211">
        <f>IF(ROW()&lt;51,NA(),AVERAGE(INDEX(E:E,ROW()-49):E1066))</f>
        <v/>
      </c>
      <c r="J1066" s="211">
        <f>IF(ROW()&lt;201,NA(),AVERAGE(INDEX(E:E,ROW()-199):E1066))</f>
        <v/>
      </c>
      <c r="K1066" s="341">
        <f>IF(ROW()&lt;22,NA(),_xlfn.STDEV.S(INDEX(H:H,ROW()-19):H1066)*SQRT(252))</f>
        <v/>
      </c>
      <c r="L1066" s="426" cm="1">
        <f t="array" ref="L1066">IF(ROW()&lt;17,NA(),_xlfn.LET(_xlpm.d,INDEX(E:E,ROW()-13):E1066-INDEX(E:E,ROW()-14):INDEX(E:E,ROW()-1),_xlpm.g,SUM(IF(_xlpm.d&gt;0,_xlpm.d,0)),_xlpm.l,-SUM(IF(_xlpm.d&lt;0,_xlpm.d,0)),IF(_xlpm.l=0,100,100-100/(1+_xlpm.g/_xlpm.l))))</f>
        <v/>
      </c>
      <c r="M1066" s="211">
        <f>MAX($E$2:E1066)</f>
        <v/>
      </c>
      <c r="N1066" s="341">
        <f>E1066/M1066-1</f>
        <v/>
      </c>
    </row>
    <row r="1067">
      <c r="A1067" s="424" t="n">
        <v>46013</v>
      </c>
      <c r="B1067" s="425" t="n">
        <v>57.4716616092113</v>
      </c>
      <c r="C1067" s="425" t="n">
        <v>57.55934525333971</v>
      </c>
      <c r="D1067" s="425" t="n">
        <v>55.66927641690766</v>
      </c>
      <c r="E1067" s="425" t="n">
        <v>55.74721908569336</v>
      </c>
      <c r="F1067" s="207" t="n">
        <v>38695900</v>
      </c>
      <c r="G1067" s="208" t="n">
        <v>0.006229909040435855</v>
      </c>
      <c r="H1067" s="209" cm="1">
        <f t="array" ref="H1067">IF(ROW()&lt;3,"",E1067/INDEX(E:E,ROW()-1)-1)</f>
        <v/>
      </c>
      <c r="I1067" s="211">
        <f>IF(ROW()&lt;51,NA(),AVERAGE(INDEX(E:E,ROW()-49):E1067))</f>
        <v/>
      </c>
      <c r="J1067" s="211">
        <f>IF(ROW()&lt;201,NA(),AVERAGE(INDEX(E:E,ROW()-199):E1067))</f>
        <v/>
      </c>
      <c r="K1067" s="341">
        <f>IF(ROW()&lt;22,NA(),_xlfn.STDEV.S(INDEX(H:H,ROW()-19):H1067)*SQRT(252))</f>
        <v/>
      </c>
      <c r="L1067" s="426" cm="1">
        <f t="array" ref="L1067">IF(ROW()&lt;17,NA(),_xlfn.LET(_xlpm.d,INDEX(E:E,ROW()-13):E1067-INDEX(E:E,ROW()-14):INDEX(E:E,ROW()-1),_xlpm.g,SUM(IF(_xlpm.d&gt;0,_xlpm.d,0)),_xlpm.l,-SUM(IF(_xlpm.d&lt;0,_xlpm.d,0)),IF(_xlpm.l=0,100,100-100/(1+_xlpm.g/_xlpm.l))))</f>
        <v/>
      </c>
      <c r="M1067" s="211">
        <f>MAX($E$2:E1067)</f>
        <v/>
      </c>
      <c r="N1067" s="341">
        <f>E1067/M1067-1</f>
        <v/>
      </c>
    </row>
    <row r="1068">
      <c r="A1068" s="424" t="n">
        <v>46014</v>
      </c>
      <c r="B1068" s="425" t="n">
        <v>55.70824649524724</v>
      </c>
      <c r="C1068" s="425" t="n">
        <v>56.11743434761318</v>
      </c>
      <c r="D1068" s="425" t="n">
        <v>55.52313823582136</v>
      </c>
      <c r="E1068" s="425" t="n">
        <v>55.86412811279297</v>
      </c>
      <c r="F1068" s="207" t="n">
        <v>23276700</v>
      </c>
      <c r="G1068" s="208" t="n">
        <v>0.004570434077165064</v>
      </c>
      <c r="H1068" s="209" cm="1">
        <f t="array" ref="H1068">IF(ROW()&lt;3,"",E1068/INDEX(E:E,ROW()-1)-1)</f>
        <v/>
      </c>
      <c r="I1068" s="211">
        <f>IF(ROW()&lt;51,NA(),AVERAGE(INDEX(E:E,ROW()-49):E1068))</f>
        <v/>
      </c>
      <c r="J1068" s="211">
        <f>IF(ROW()&lt;201,NA(),AVERAGE(INDEX(E:E,ROW()-199):E1068))</f>
        <v/>
      </c>
      <c r="K1068" s="341">
        <f>IF(ROW()&lt;22,NA(),_xlfn.STDEV.S(INDEX(H:H,ROW()-19):H1068)*SQRT(252))</f>
        <v/>
      </c>
      <c r="L1068" s="426" cm="1">
        <f t="array" ref="L1068">IF(ROW()&lt;17,NA(),_xlfn.LET(_xlpm.d,INDEX(E:E,ROW()-13):E1068-INDEX(E:E,ROW()-14):INDEX(E:E,ROW()-1),_xlpm.g,SUM(IF(_xlpm.d&gt;0,_xlpm.d,0)),_xlpm.l,-SUM(IF(_xlpm.d&lt;0,_xlpm.d,0)),IF(_xlpm.l=0,100,100-100/(1+_xlpm.g/_xlpm.l))))</f>
        <v/>
      </c>
      <c r="M1068" s="211">
        <f>MAX($E$2:E1068)</f>
        <v/>
      </c>
      <c r="N1068" s="341">
        <f>E1068/M1068-1</f>
        <v/>
      </c>
    </row>
    <row r="1069">
      <c r="A1069" s="424" t="n">
        <v>46015</v>
      </c>
      <c r="B1069" s="425" t="n">
        <v>57.36449420468562</v>
      </c>
      <c r="C1069" s="425" t="n">
        <v>59.02073880632525</v>
      </c>
      <c r="D1069" s="425" t="n">
        <v>57.36449420468562</v>
      </c>
      <c r="E1069" s="425" t="n">
        <v>58.45566558837891</v>
      </c>
      <c r="F1069" s="207" t="n">
        <v>36073300</v>
      </c>
      <c r="G1069" s="208" t="n">
        <v>0.003517646933646645</v>
      </c>
      <c r="H1069" s="209" cm="1">
        <f t="array" ref="H1069">IF(ROW()&lt;3,"",E1069/INDEX(E:E,ROW()-1)-1)</f>
        <v/>
      </c>
      <c r="I1069" s="211">
        <f>IF(ROW()&lt;51,NA(),AVERAGE(INDEX(E:E,ROW()-49):E1069))</f>
        <v/>
      </c>
      <c r="J1069" s="211">
        <f>IF(ROW()&lt;201,NA(),AVERAGE(INDEX(E:E,ROW()-199):E1069))</f>
        <v/>
      </c>
      <c r="K1069" s="341">
        <f>IF(ROW()&lt;22,NA(),_xlfn.STDEV.S(INDEX(H:H,ROW()-19):H1069)*SQRT(252))</f>
        <v/>
      </c>
      <c r="L1069" s="426" cm="1">
        <f t="array" ref="L1069">IF(ROW()&lt;17,NA(),_xlfn.LET(_xlpm.d,INDEX(E:E,ROW()-13):E1069-INDEX(E:E,ROW()-14):INDEX(E:E,ROW()-1),_xlpm.g,SUM(IF(_xlpm.d&gt;0,_xlpm.d,0)),_xlpm.l,-SUM(IF(_xlpm.d&lt;0,_xlpm.d,0)),IF(_xlpm.l=0,100,100-100/(1+_xlpm.g/_xlpm.l))))</f>
        <v/>
      </c>
      <c r="M1069" s="211">
        <f>MAX($E$2:E1069)</f>
        <v/>
      </c>
      <c r="N1069" s="341">
        <f>E1069/M1069-1</f>
        <v/>
      </c>
    </row>
    <row r="1070">
      <c r="A1070" s="424" t="n">
        <v>46017</v>
      </c>
      <c r="B1070" s="425" t="n">
        <v>58.45566179832078</v>
      </c>
      <c r="C1070" s="425" t="n">
        <v>59.36172485351562</v>
      </c>
      <c r="D1070" s="425" t="n">
        <v>58.31926584876644</v>
      </c>
      <c r="E1070" s="425" t="n">
        <v>59.36172485351562</v>
      </c>
      <c r="F1070" s="207" t="n">
        <v>22303600</v>
      </c>
      <c r="G1070" s="208" t="n">
        <v>-0.0001013941879033364</v>
      </c>
      <c r="H1070" s="209" cm="1">
        <f t="array" ref="H1070">IF(ROW()&lt;3,"",E1070/INDEX(E:E,ROW()-1)-1)</f>
        <v/>
      </c>
      <c r="I1070" s="211">
        <f>IF(ROW()&lt;51,NA(),AVERAGE(INDEX(E:E,ROW()-49):E1070))</f>
        <v/>
      </c>
      <c r="J1070" s="211">
        <f>IF(ROW()&lt;201,NA(),AVERAGE(INDEX(E:E,ROW()-199):E1070))</f>
        <v/>
      </c>
      <c r="K1070" s="341">
        <f>IF(ROW()&lt;22,NA(),_xlfn.STDEV.S(INDEX(H:H,ROW()-19):H1070)*SQRT(252))</f>
        <v/>
      </c>
      <c r="L1070" s="426" cm="1">
        <f t="array" ref="L1070">IF(ROW()&lt;17,NA(),_xlfn.LET(_xlpm.d,INDEX(E:E,ROW()-13):E1070-INDEX(E:E,ROW()-14):INDEX(E:E,ROW()-1),_xlpm.g,SUM(IF(_xlpm.d&gt;0,_xlpm.d,0)),_xlpm.l,-SUM(IF(_xlpm.d&lt;0,_xlpm.d,0)),IF(_xlpm.l=0,100,100-100/(1+_xlpm.g/_xlpm.l))))</f>
        <v/>
      </c>
      <c r="M1070" s="211">
        <f>MAX($E$2:E1070)</f>
        <v/>
      </c>
      <c r="N1070" s="341">
        <f>E1070/M1070-1</f>
        <v/>
      </c>
    </row>
    <row r="1071">
      <c r="A1071" s="424" t="n">
        <v>46020</v>
      </c>
      <c r="B1071" s="425" t="n">
        <v>58.98176455348374</v>
      </c>
      <c r="C1071" s="425" t="n">
        <v>60.16061952591558</v>
      </c>
      <c r="D1071" s="425" t="n">
        <v>58.95253419490768</v>
      </c>
      <c r="E1071" s="425" t="n">
        <v>59.63451766967773</v>
      </c>
      <c r="F1071" s="207" t="n">
        <v>18062100</v>
      </c>
      <c r="G1071" s="208" t="n">
        <v>-0.003563680982251127</v>
      </c>
      <c r="H1071" s="209" cm="1">
        <f t="array" ref="H1071">IF(ROW()&lt;3,"",E1071/INDEX(E:E,ROW()-1)-1)</f>
        <v/>
      </c>
      <c r="I1071" s="211">
        <f>IF(ROW()&lt;51,NA(),AVERAGE(INDEX(E:E,ROW()-49):E1071))</f>
        <v/>
      </c>
      <c r="J1071" s="211">
        <f>IF(ROW()&lt;201,NA(),AVERAGE(INDEX(E:E,ROW()-199):E1071))</f>
        <v/>
      </c>
      <c r="K1071" s="341">
        <f>IF(ROW()&lt;22,NA(),_xlfn.STDEV.S(INDEX(H:H,ROW()-19):H1071)*SQRT(252))</f>
        <v/>
      </c>
      <c r="L1071" s="426" cm="1">
        <f t="array" ref="L1071">IF(ROW()&lt;17,NA(),_xlfn.LET(_xlpm.d,INDEX(E:E,ROW()-13):E1071-INDEX(E:E,ROW()-14):INDEX(E:E,ROW()-1),_xlpm.g,SUM(IF(_xlpm.d&gt;0,_xlpm.d,0)),_xlpm.l,-SUM(IF(_xlpm.d&lt;0,_xlpm.d,0)),IF(_xlpm.l=0,100,100-100/(1+_xlpm.g/_xlpm.l))))</f>
        <v/>
      </c>
      <c r="M1071" s="211">
        <f>MAX($E$2:E1071)</f>
        <v/>
      </c>
      <c r="N1071" s="341">
        <f>E1071/M1071-1</f>
        <v/>
      </c>
    </row>
    <row r="1072">
      <c r="A1072" s="424" t="n">
        <v>46021</v>
      </c>
      <c r="B1072" s="425" t="n">
        <v>59.72219768442412</v>
      </c>
      <c r="C1072" s="425" t="n">
        <v>59.72219768442412</v>
      </c>
      <c r="D1072" s="425" t="n">
        <v>59.07918558247607</v>
      </c>
      <c r="E1072" s="425" t="n">
        <v>59.61502838134766</v>
      </c>
      <c r="F1072" s="207" t="n">
        <v>13507800</v>
      </c>
      <c r="G1072" s="208" t="n">
        <v>-0.001221205623984534</v>
      </c>
      <c r="H1072" s="209" cm="1">
        <f t="array" ref="H1072">IF(ROW()&lt;3,"",E1072/INDEX(E:E,ROW()-1)-1)</f>
        <v/>
      </c>
      <c r="I1072" s="211">
        <f>IF(ROW()&lt;51,NA(),AVERAGE(INDEX(E:E,ROW()-49):E1072))</f>
        <v/>
      </c>
      <c r="J1072" s="211">
        <f>IF(ROW()&lt;201,NA(),AVERAGE(INDEX(E:E,ROW()-199):E1072))</f>
        <v/>
      </c>
      <c r="K1072" s="341">
        <f>IF(ROW()&lt;22,NA(),_xlfn.STDEV.S(INDEX(H:H,ROW()-19):H1072)*SQRT(252))</f>
        <v/>
      </c>
      <c r="L1072" s="426" cm="1">
        <f t="array" ref="L1072">IF(ROW()&lt;17,NA(),_xlfn.LET(_xlpm.d,INDEX(E:E,ROW()-13):E1072-INDEX(E:E,ROW()-14):INDEX(E:E,ROW()-1),_xlpm.g,SUM(IF(_xlpm.d&gt;0,_xlpm.d,0)),_xlpm.l,-SUM(IF(_xlpm.d&lt;0,_xlpm.d,0)),IF(_xlpm.l=0,100,100-100/(1+_xlpm.g/_xlpm.l))))</f>
        <v/>
      </c>
      <c r="M1072" s="211">
        <f>MAX($E$2:E1072)</f>
        <v/>
      </c>
      <c r="N1072" s="341">
        <f>E1072/M1072-1</f>
        <v/>
      </c>
    </row>
    <row r="1073">
      <c r="A1073" s="424" t="n">
        <v>46022</v>
      </c>
      <c r="B1073" s="425" t="n">
        <v>60.64774737063709</v>
      </c>
      <c r="C1073" s="425" t="n">
        <v>62.54755335120746</v>
      </c>
      <c r="D1073" s="425" t="n">
        <v>60.3262394560724</v>
      </c>
      <c r="E1073" s="425" t="n">
        <v>62.07016754150391</v>
      </c>
      <c r="F1073" s="207" t="n">
        <v>35457400</v>
      </c>
      <c r="G1073" s="208" t="n">
        <v>-0.007408895688822748</v>
      </c>
      <c r="H1073" s="209" cm="1">
        <f t="array" ref="H1073">IF(ROW()&lt;3,"",E1073/INDEX(E:E,ROW()-1)-1)</f>
        <v/>
      </c>
      <c r="I1073" s="211">
        <f>IF(ROW()&lt;51,NA(),AVERAGE(INDEX(E:E,ROW()-49):E1073))</f>
        <v/>
      </c>
      <c r="J1073" s="211">
        <f>IF(ROW()&lt;201,NA(),AVERAGE(INDEX(E:E,ROW()-199):E1073))</f>
        <v/>
      </c>
      <c r="K1073" s="341">
        <f>IF(ROW()&lt;22,NA(),_xlfn.STDEV.S(INDEX(H:H,ROW()-19):H1073)*SQRT(252))</f>
        <v/>
      </c>
      <c r="L1073" s="426" cm="1">
        <f t="array" ref="L1073">IF(ROW()&lt;17,NA(),_xlfn.LET(_xlpm.d,INDEX(E:E,ROW()-13):E1073-INDEX(E:E,ROW()-14):INDEX(E:E,ROW()-1),_xlpm.g,SUM(IF(_xlpm.d&gt;0,_xlpm.d,0)),_xlpm.l,-SUM(IF(_xlpm.d&lt;0,_xlpm.d,0)),IF(_xlpm.l=0,100,100-100/(1+_xlpm.g/_xlpm.l))))</f>
        <v/>
      </c>
      <c r="M1073" s="211">
        <f>MAX($E$2:E1073)</f>
        <v/>
      </c>
      <c r="N1073" s="341">
        <f>E1073/M1073-1</f>
        <v/>
      </c>
    </row>
    <row r="1074">
      <c r="A1074" s="424" t="n">
        <v>46024</v>
      </c>
      <c r="B1074" s="425" t="n">
        <v>62.35270662662601</v>
      </c>
      <c r="C1074" s="425" t="n">
        <v>62.47935788607347</v>
      </c>
      <c r="D1074" s="425" t="n">
        <v>60.94002737381433</v>
      </c>
      <c r="E1074" s="425" t="n">
        <v>61.65123748779297</v>
      </c>
      <c r="F1074" s="207" t="n">
        <v>22284100</v>
      </c>
      <c r="G1074" s="208" t="n">
        <v>0.001833034637959141</v>
      </c>
      <c r="H1074" s="209" cm="1">
        <f t="array" ref="H1074">IF(ROW()&lt;3,"",E1074/INDEX(E:E,ROW()-1)-1)</f>
        <v/>
      </c>
      <c r="I1074" s="211">
        <f>IF(ROW()&lt;51,NA(),AVERAGE(INDEX(E:E,ROW()-49):E1074))</f>
        <v/>
      </c>
      <c r="J1074" s="211">
        <f>IF(ROW()&lt;201,NA(),AVERAGE(INDEX(E:E,ROW()-199):E1074))</f>
        <v/>
      </c>
      <c r="K1074" s="341">
        <f>IF(ROW()&lt;22,NA(),_xlfn.STDEV.S(INDEX(H:H,ROW()-19):H1074)*SQRT(252))</f>
        <v/>
      </c>
      <c r="L1074" s="426" cm="1">
        <f t="array" ref="L1074">IF(ROW()&lt;17,NA(),_xlfn.LET(_xlpm.d,INDEX(E:E,ROW()-13):E1074-INDEX(E:E,ROW()-14):INDEX(E:E,ROW()-1),_xlpm.g,SUM(IF(_xlpm.d&gt;0,_xlpm.d,0)),_xlpm.l,-SUM(IF(_xlpm.d&lt;0,_xlpm.d,0)),IF(_xlpm.l=0,100,100-100/(1+_xlpm.g/_xlpm.l))))</f>
        <v/>
      </c>
      <c r="M1074" s="211">
        <f>MAX($E$2:E1074)</f>
        <v/>
      </c>
      <c r="N1074" s="341">
        <f>E1074/M1074-1</f>
        <v/>
      </c>
    </row>
    <row r="1075">
      <c r="A1075" s="424" t="n">
        <v>46027</v>
      </c>
      <c r="B1075" s="425" t="n">
        <v>62.09940092654573</v>
      </c>
      <c r="C1075" s="425" t="n">
        <v>63.68744747775536</v>
      </c>
      <c r="D1075" s="425" t="n">
        <v>61.75840732933528</v>
      </c>
      <c r="E1075" s="425" t="n">
        <v>62.86906433105469</v>
      </c>
      <c r="F1075" s="207" t="n">
        <v>23482500</v>
      </c>
      <c r="G1075" s="208" t="n">
        <v>0.006660178462529753</v>
      </c>
      <c r="H1075" s="209" cm="1">
        <f t="array" ref="H1075">IF(ROW()&lt;3,"",E1075/INDEX(E:E,ROW()-1)-1)</f>
        <v/>
      </c>
      <c r="I1075" s="211">
        <f>IF(ROW()&lt;51,NA(),AVERAGE(INDEX(E:E,ROW()-49):E1075))</f>
        <v/>
      </c>
      <c r="J1075" s="211">
        <f>IF(ROW()&lt;201,NA(),AVERAGE(INDEX(E:E,ROW()-199):E1075))</f>
        <v/>
      </c>
      <c r="K1075" s="341">
        <f>IF(ROW()&lt;22,NA(),_xlfn.STDEV.S(INDEX(H:H,ROW()-19):H1075)*SQRT(252))</f>
        <v/>
      </c>
      <c r="L1075" s="426" cm="1">
        <f t="array" ref="L1075">IF(ROW()&lt;17,NA(),_xlfn.LET(_xlpm.d,INDEX(E:E,ROW()-13):E1075-INDEX(E:E,ROW()-14):INDEX(E:E,ROW()-1),_xlpm.g,SUM(IF(_xlpm.d&gt;0,_xlpm.d,0)),_xlpm.l,-SUM(IF(_xlpm.d&lt;0,_xlpm.d,0)),IF(_xlpm.l=0,100,100-100/(1+_xlpm.g/_xlpm.l))))</f>
        <v/>
      </c>
      <c r="M1075" s="211">
        <f>MAX($E$2:E1075)</f>
        <v/>
      </c>
      <c r="N1075" s="341">
        <f>E1075/M1075-1</f>
        <v/>
      </c>
    </row>
    <row r="1076">
      <c r="A1076" s="424" t="n">
        <v>46028</v>
      </c>
      <c r="B1076" s="425" t="n">
        <v>62.41115967573072</v>
      </c>
      <c r="C1076" s="425" t="n">
        <v>63.74589997282351</v>
      </c>
      <c r="D1076" s="425" t="n">
        <v>61.77789223134296</v>
      </c>
      <c r="E1076" s="425" t="n">
        <v>63.6679573059082</v>
      </c>
      <c r="F1076" s="207" t="n">
        <v>19973200</v>
      </c>
      <c r="G1076" s="208" t="n">
        <v>0.005947257666825578</v>
      </c>
      <c r="H1076" s="209" cm="1">
        <f t="array" ref="H1076">IF(ROW()&lt;3,"",E1076/INDEX(E:E,ROW()-1)-1)</f>
        <v/>
      </c>
      <c r="I1076" s="211">
        <f>IF(ROW()&lt;51,NA(),AVERAGE(INDEX(E:E,ROW()-49):E1076))</f>
        <v/>
      </c>
      <c r="J1076" s="211">
        <f>IF(ROW()&lt;201,NA(),AVERAGE(INDEX(E:E,ROW()-199):E1076))</f>
        <v/>
      </c>
      <c r="K1076" s="341">
        <f>IF(ROW()&lt;22,NA(),_xlfn.STDEV.S(INDEX(H:H,ROW()-19):H1076)*SQRT(252))</f>
        <v/>
      </c>
      <c r="L1076" s="426" cm="1">
        <f t="array" ref="L1076">IF(ROW()&lt;17,NA(),_xlfn.LET(_xlpm.d,INDEX(E:E,ROW()-13):E1076-INDEX(E:E,ROW()-14):INDEX(E:E,ROW()-1),_xlpm.g,SUM(IF(_xlpm.d&gt;0,_xlpm.d,0)),_xlpm.l,-SUM(IF(_xlpm.d&lt;0,_xlpm.d,0)),IF(_xlpm.l=0,100,100-100/(1+_xlpm.g/_xlpm.l))))</f>
        <v/>
      </c>
      <c r="M1076" s="211">
        <f>MAX($E$2:E1076)</f>
        <v/>
      </c>
      <c r="N1076" s="341">
        <f>E1076/M1076-1</f>
        <v/>
      </c>
    </row>
    <row r="1077">
      <c r="A1077" s="424" t="n">
        <v>46029</v>
      </c>
      <c r="B1077" s="425" t="n">
        <v>63.83357688734905</v>
      </c>
      <c r="C1077" s="425" t="n">
        <v>63.92126424174808</v>
      </c>
      <c r="D1077" s="425" t="n">
        <v>61.56355070992461</v>
      </c>
      <c r="E1077" s="425" t="n">
        <v>61.59278106689453</v>
      </c>
      <c r="F1077" s="207" t="n">
        <v>18284100</v>
      </c>
      <c r="G1077" s="208" t="n">
        <v>-0.003223502994770699</v>
      </c>
      <c r="H1077" s="209" cm="1">
        <f t="array" ref="H1077">IF(ROW()&lt;3,"",E1077/INDEX(E:E,ROW()-1)-1)</f>
        <v/>
      </c>
      <c r="I1077" s="211">
        <f>IF(ROW()&lt;51,NA(),AVERAGE(INDEX(E:E,ROW()-49):E1077))</f>
        <v/>
      </c>
      <c r="J1077" s="211">
        <f>IF(ROW()&lt;201,NA(),AVERAGE(INDEX(E:E,ROW()-199):E1077))</f>
        <v/>
      </c>
      <c r="K1077" s="341">
        <f>IF(ROW()&lt;22,NA(),_xlfn.STDEV.S(INDEX(H:H,ROW()-19):H1077)*SQRT(252))</f>
        <v/>
      </c>
      <c r="L1077" s="426" cm="1">
        <f t="array" ref="L1077">IF(ROW()&lt;17,NA(),_xlfn.LET(_xlpm.d,INDEX(E:E,ROW()-13):E1077-INDEX(E:E,ROW()-14):INDEX(E:E,ROW()-1),_xlpm.g,SUM(IF(_xlpm.d&gt;0,_xlpm.d,0)),_xlpm.l,-SUM(IF(_xlpm.d&lt;0,_xlpm.d,0)),IF(_xlpm.l=0,100,100-100/(1+_xlpm.g/_xlpm.l))))</f>
        <v/>
      </c>
      <c r="M1077" s="211">
        <f>MAX($E$2:E1077)</f>
        <v/>
      </c>
      <c r="N1077" s="341">
        <f>E1077/M1077-1</f>
        <v/>
      </c>
    </row>
    <row r="1078">
      <c r="A1078" s="424" t="n">
        <v>46030</v>
      </c>
      <c r="B1078" s="425" t="n">
        <v>60.57955438693225</v>
      </c>
      <c r="C1078" s="425" t="n">
        <v>64.04792146090644</v>
      </c>
      <c r="D1078" s="425" t="n">
        <v>60.11190951346981</v>
      </c>
      <c r="E1078" s="425" t="n">
        <v>63.58028030395508</v>
      </c>
      <c r="F1078" s="207" t="n">
        <v>21573900</v>
      </c>
      <c r="G1078" s="208" t="n">
        <v>-0.0001015118214441335</v>
      </c>
      <c r="H1078" s="209" cm="1">
        <f t="array" ref="H1078">IF(ROW()&lt;3,"",E1078/INDEX(E:E,ROW()-1)-1)</f>
        <v/>
      </c>
      <c r="I1078" s="211">
        <f>IF(ROW()&lt;51,NA(),AVERAGE(INDEX(E:E,ROW()-49):E1078))</f>
        <v/>
      </c>
      <c r="J1078" s="211">
        <f>IF(ROW()&lt;201,NA(),AVERAGE(INDEX(E:E,ROW()-199):E1078))</f>
        <v/>
      </c>
      <c r="K1078" s="341">
        <f>IF(ROW()&lt;22,NA(),_xlfn.STDEV.S(INDEX(H:H,ROW()-19):H1078)*SQRT(252))</f>
        <v/>
      </c>
      <c r="L1078" s="426" cm="1">
        <f t="array" ref="L1078">IF(ROW()&lt;17,NA(),_xlfn.LET(_xlpm.d,INDEX(E:E,ROW()-13):E1078-INDEX(E:E,ROW()-14):INDEX(E:E,ROW()-1),_xlpm.g,SUM(IF(_xlpm.d&gt;0,_xlpm.d,0)),_xlpm.l,-SUM(IF(_xlpm.d&lt;0,_xlpm.d,0)),IF(_xlpm.l=0,100,100-100/(1+_xlpm.g/_xlpm.l))))</f>
        <v/>
      </c>
      <c r="M1078" s="211">
        <f>MAX($E$2:E1078)</f>
        <v/>
      </c>
      <c r="N1078" s="341">
        <f>E1078/M1078-1</f>
        <v/>
      </c>
    </row>
    <row r="1079">
      <c r="A1079" s="424" t="n">
        <v>46031</v>
      </c>
      <c r="B1079" s="425" t="n">
        <v>63.43413284705153</v>
      </c>
      <c r="C1079" s="425" t="n">
        <v>64.82732634235958</v>
      </c>
      <c r="D1079" s="425" t="n">
        <v>62.74240844490857</v>
      </c>
      <c r="E1079" s="425" t="n">
        <v>64.22328186035156</v>
      </c>
      <c r="F1079" s="207" t="n">
        <v>18470400</v>
      </c>
      <c r="G1079" s="208" t="n">
        <v>0.006613479658418298</v>
      </c>
      <c r="H1079" s="209" cm="1">
        <f t="array" ref="H1079">IF(ROW()&lt;3,"",E1079/INDEX(E:E,ROW()-1)-1)</f>
        <v/>
      </c>
      <c r="I1079" s="211">
        <f>IF(ROW()&lt;51,NA(),AVERAGE(INDEX(E:E,ROW()-49):E1079))</f>
        <v/>
      </c>
      <c r="J1079" s="211">
        <f>IF(ROW()&lt;201,NA(),AVERAGE(INDEX(E:E,ROW()-199):E1079))</f>
        <v/>
      </c>
      <c r="K1079" s="341">
        <f>IF(ROW()&lt;22,NA(),_xlfn.STDEV.S(INDEX(H:H,ROW()-19):H1079)*SQRT(252))</f>
        <v/>
      </c>
      <c r="L1079" s="426" cm="1">
        <f t="array" ref="L1079">IF(ROW()&lt;17,NA(),_xlfn.LET(_xlpm.d,INDEX(E:E,ROW()-13):E1079-INDEX(E:E,ROW()-14):INDEX(E:E,ROW()-1),_xlpm.g,SUM(IF(_xlpm.d&gt;0,_xlpm.d,0)),_xlpm.l,-SUM(IF(_xlpm.d&lt;0,_xlpm.d,0)),IF(_xlpm.l=0,100,100-100/(1+_xlpm.g/_xlpm.l))))</f>
        <v/>
      </c>
      <c r="M1079" s="211">
        <f>MAX($E$2:E1079)</f>
        <v/>
      </c>
      <c r="N1079" s="341">
        <f>E1079/M1079-1</f>
        <v/>
      </c>
    </row>
    <row r="1080">
      <c r="A1080" s="424" t="n">
        <v>46034</v>
      </c>
      <c r="B1080" s="425" t="n">
        <v>63.57053544716226</v>
      </c>
      <c r="C1080" s="425" t="n">
        <v>64.63247645613012</v>
      </c>
      <c r="D1080" s="425" t="n">
        <v>62.58652967546956</v>
      </c>
      <c r="E1080" s="425" t="n">
        <v>63.95049667358398</v>
      </c>
      <c r="F1080" s="207" t="n">
        <v>13901100</v>
      </c>
      <c r="G1080" s="208" t="n">
        <v>0.00157034441049908</v>
      </c>
      <c r="H1080" s="209" cm="1">
        <f t="array" ref="H1080">IF(ROW()&lt;3,"",E1080/INDEX(E:E,ROW()-1)-1)</f>
        <v/>
      </c>
      <c r="I1080" s="211">
        <f>IF(ROW()&lt;51,NA(),AVERAGE(INDEX(E:E,ROW()-49):E1080))</f>
        <v/>
      </c>
      <c r="J1080" s="211">
        <f>IF(ROW()&lt;201,NA(),AVERAGE(INDEX(E:E,ROW()-199):E1080))</f>
        <v/>
      </c>
      <c r="K1080" s="341">
        <f>IF(ROW()&lt;22,NA(),_xlfn.STDEV.S(INDEX(H:H,ROW()-19):H1080)*SQRT(252))</f>
        <v/>
      </c>
      <c r="L1080" s="426" cm="1">
        <f t="array" ref="L1080">IF(ROW()&lt;17,NA(),_xlfn.LET(_xlpm.d,INDEX(E:E,ROW()-13):E1080-INDEX(E:E,ROW()-14):INDEX(E:E,ROW()-1),_xlpm.g,SUM(IF(_xlpm.d&gt;0,_xlpm.d,0)),_xlpm.l,-SUM(IF(_xlpm.d&lt;0,_xlpm.d,0)),IF(_xlpm.l=0,100,100-100/(1+_xlpm.g/_xlpm.l))))</f>
        <v/>
      </c>
      <c r="M1080" s="211">
        <f>MAX($E$2:E1080)</f>
        <v/>
      </c>
      <c r="N1080" s="341">
        <f>E1080/M1080-1</f>
        <v/>
      </c>
    </row>
    <row r="1081">
      <c r="A1081" s="424" t="n">
        <v>46035</v>
      </c>
      <c r="B1081" s="425" t="n">
        <v>64.54478983723268</v>
      </c>
      <c r="C1081" s="425" t="n">
        <v>65.35342823345825</v>
      </c>
      <c r="D1081" s="425" t="n">
        <v>64.15508395915832</v>
      </c>
      <c r="E1081" s="425" t="n">
        <v>64.593505859375</v>
      </c>
      <c r="F1081" s="207" t="n">
        <v>13685200</v>
      </c>
      <c r="G1081" s="208" t="n">
        <v>-0.001999516689819014</v>
      </c>
      <c r="H1081" s="209" cm="1">
        <f t="array" ref="H1081">IF(ROW()&lt;3,"",E1081/INDEX(E:E,ROW()-1)-1)</f>
        <v/>
      </c>
      <c r="I1081" s="211">
        <f>IF(ROW()&lt;51,NA(),AVERAGE(INDEX(E:E,ROW()-49):E1081))</f>
        <v/>
      </c>
      <c r="J1081" s="211">
        <f>IF(ROW()&lt;201,NA(),AVERAGE(INDEX(E:E,ROW()-199):E1081))</f>
        <v/>
      </c>
      <c r="K1081" s="341">
        <f>IF(ROW()&lt;22,NA(),_xlfn.STDEV.S(INDEX(H:H,ROW()-19):H1081)*SQRT(252))</f>
        <v/>
      </c>
      <c r="L1081" s="426" cm="1">
        <f t="array" ref="L1081">IF(ROW()&lt;17,NA(),_xlfn.LET(_xlpm.d,INDEX(E:E,ROW()-13):E1081-INDEX(E:E,ROW()-14):INDEX(E:E,ROW()-1),_xlpm.g,SUM(IF(_xlpm.d&gt;0,_xlpm.d,0)),_xlpm.l,-SUM(IF(_xlpm.d&lt;0,_xlpm.d,0)),IF(_xlpm.l=0,100,100-100/(1+_xlpm.g/_xlpm.l))))</f>
        <v/>
      </c>
      <c r="M1081" s="211">
        <f>MAX($E$2:E1081)</f>
        <v/>
      </c>
      <c r="N1081" s="341">
        <f>E1081/M1081-1</f>
        <v/>
      </c>
    </row>
    <row r="1082">
      <c r="A1082" s="424" t="n">
        <v>46036</v>
      </c>
      <c r="B1082" s="425" t="n">
        <v>64.5837589563792</v>
      </c>
      <c r="C1082" s="425" t="n">
        <v>65.40213458258714</v>
      </c>
      <c r="D1082" s="425" t="n">
        <v>63.36593277474515</v>
      </c>
      <c r="E1082" s="425" t="n">
        <v>63.88228988647461</v>
      </c>
      <c r="F1082" s="207" t="n">
        <v>15939100</v>
      </c>
      <c r="G1082" s="208" t="n">
        <v>-0.004915311552799784</v>
      </c>
      <c r="H1082" s="209" cm="1">
        <f t="array" ref="H1082">IF(ROW()&lt;3,"",E1082/INDEX(E:E,ROW()-1)-1)</f>
        <v/>
      </c>
      <c r="I1082" s="211">
        <f>IF(ROW()&lt;51,NA(),AVERAGE(INDEX(E:E,ROW()-49):E1082))</f>
        <v/>
      </c>
      <c r="J1082" s="211">
        <f>IF(ROW()&lt;201,NA(),AVERAGE(INDEX(E:E,ROW()-199):E1082))</f>
        <v/>
      </c>
      <c r="K1082" s="341">
        <f>IF(ROW()&lt;22,NA(),_xlfn.STDEV.S(INDEX(H:H,ROW()-19):H1082)*SQRT(252))</f>
        <v/>
      </c>
      <c r="L1082" s="426" cm="1">
        <f t="array" ref="L1082">IF(ROW()&lt;17,NA(),_xlfn.LET(_xlpm.d,INDEX(E:E,ROW()-13):E1082-INDEX(E:E,ROW()-14):INDEX(E:E,ROW()-1),_xlpm.g,SUM(IF(_xlpm.d&gt;0,_xlpm.d,0)),_xlpm.l,-SUM(IF(_xlpm.d&lt;0,_xlpm.d,0)),IF(_xlpm.l=0,100,100-100/(1+_xlpm.g/_xlpm.l))))</f>
        <v/>
      </c>
      <c r="M1082" s="211">
        <f>MAX($E$2:E1082)</f>
        <v/>
      </c>
      <c r="N1082" s="341">
        <f>E1082/M1082-1</f>
        <v/>
      </c>
    </row>
    <row r="1083">
      <c r="A1083" s="424" t="n">
        <v>46037</v>
      </c>
      <c r="B1083" s="425" t="n">
        <v>64.06740800191174</v>
      </c>
      <c r="C1083" s="425" t="n">
        <v>64.06740800191174</v>
      </c>
      <c r="D1083" s="425" t="n">
        <v>62.55730041834668</v>
      </c>
      <c r="E1083" s="425" t="n">
        <v>62.92751693725586</v>
      </c>
      <c r="F1083" s="207" t="n">
        <v>13295300</v>
      </c>
      <c r="G1083" s="208" t="n">
        <v>0.002723288446535133</v>
      </c>
      <c r="H1083" s="209" cm="1">
        <f t="array" ref="H1083">IF(ROW()&lt;3,"",E1083/INDEX(E:E,ROW()-1)-1)</f>
        <v/>
      </c>
      <c r="I1083" s="211">
        <f>IF(ROW()&lt;51,NA(),AVERAGE(INDEX(E:E,ROW()-49):E1083))</f>
        <v/>
      </c>
      <c r="J1083" s="211">
        <f>IF(ROW()&lt;201,NA(),AVERAGE(INDEX(E:E,ROW()-199):E1083))</f>
        <v/>
      </c>
      <c r="K1083" s="341">
        <f>IF(ROW()&lt;22,NA(),_xlfn.STDEV.S(INDEX(H:H,ROW()-19):H1083)*SQRT(252))</f>
        <v/>
      </c>
      <c r="L1083" s="426" cm="1">
        <f t="array" ref="L1083">IF(ROW()&lt;17,NA(),_xlfn.LET(_xlpm.d,INDEX(E:E,ROW()-13):E1083-INDEX(E:E,ROW()-14):INDEX(E:E,ROW()-1),_xlpm.g,SUM(IF(_xlpm.d&gt;0,_xlpm.d,0)),_xlpm.l,-SUM(IF(_xlpm.d&lt;0,_xlpm.d,0)),IF(_xlpm.l=0,100,100-100/(1+_xlpm.g/_xlpm.l))))</f>
        <v/>
      </c>
      <c r="M1083" s="211">
        <f>MAX($E$2:E1083)</f>
        <v/>
      </c>
      <c r="N1083" s="341">
        <f>E1083/M1083-1</f>
        <v/>
      </c>
    </row>
    <row r="1084">
      <c r="A1084" s="424" t="n">
        <v>46038</v>
      </c>
      <c r="B1084" s="425" t="n">
        <v>62.73266415519578</v>
      </c>
      <c r="C1084" s="425" t="n">
        <v>62.92751337875639</v>
      </c>
      <c r="D1084" s="425" t="n">
        <v>62.04093974862777</v>
      </c>
      <c r="E1084" s="425" t="n">
        <v>62.72291946411133</v>
      </c>
      <c r="F1084" s="207" t="n">
        <v>15903000</v>
      </c>
      <c r="G1084" s="208" t="n">
        <v>-0.0008377644449499844</v>
      </c>
      <c r="H1084" s="209" cm="1">
        <f t="array" ref="H1084">IF(ROW()&lt;3,"",E1084/INDEX(E:E,ROW()-1)-1)</f>
        <v/>
      </c>
      <c r="I1084" s="211">
        <f>IF(ROW()&lt;51,NA(),AVERAGE(INDEX(E:E,ROW()-49):E1084))</f>
        <v/>
      </c>
      <c r="J1084" s="211">
        <f>IF(ROW()&lt;201,NA(),AVERAGE(INDEX(E:E,ROW()-199):E1084))</f>
        <v/>
      </c>
      <c r="K1084" s="341">
        <f>IF(ROW()&lt;22,NA(),_xlfn.STDEV.S(INDEX(H:H,ROW()-19):H1084)*SQRT(252))</f>
        <v/>
      </c>
      <c r="L1084" s="426" cm="1">
        <f t="array" ref="L1084">IF(ROW()&lt;17,NA(),_xlfn.LET(_xlpm.d,INDEX(E:E,ROW()-13):E1084-INDEX(E:E,ROW()-14):INDEX(E:E,ROW()-1),_xlpm.g,SUM(IF(_xlpm.d&gt;0,_xlpm.d,0)),_xlpm.l,-SUM(IF(_xlpm.d&lt;0,_xlpm.d,0)),IF(_xlpm.l=0,100,100-100/(1+_xlpm.g/_xlpm.l))))</f>
        <v/>
      </c>
      <c r="M1084" s="211">
        <f>MAX($E$2:E1084)</f>
        <v/>
      </c>
      <c r="N1084" s="341">
        <f>E1084/M1084-1</f>
        <v/>
      </c>
    </row>
    <row r="1085">
      <c r="A1085" s="424" t="n">
        <v>46042</v>
      </c>
      <c r="B1085" s="425" t="n">
        <v>61.85583351413113</v>
      </c>
      <c r="C1085" s="425" t="n">
        <v>62.91777816976848</v>
      </c>
      <c r="D1085" s="425" t="n">
        <v>61.39792964752734</v>
      </c>
      <c r="E1085" s="425" t="n">
        <v>61.99222946166992</v>
      </c>
      <c r="F1085" s="207" t="n">
        <v>20406000</v>
      </c>
      <c r="G1085" s="208" t="n">
        <v>-0.0203568340031226</v>
      </c>
      <c r="H1085" s="209" cm="1">
        <f t="array" ref="H1085">IF(ROW()&lt;3,"",E1085/INDEX(E:E,ROW()-1)-1)</f>
        <v/>
      </c>
      <c r="I1085" s="211">
        <f>IF(ROW()&lt;51,NA(),AVERAGE(INDEX(E:E,ROW()-49):E1085))</f>
        <v/>
      </c>
      <c r="J1085" s="211">
        <f>IF(ROW()&lt;201,NA(),AVERAGE(INDEX(E:E,ROW()-199):E1085))</f>
        <v/>
      </c>
      <c r="K1085" s="341">
        <f>IF(ROW()&lt;22,NA(),_xlfn.STDEV.S(INDEX(H:H,ROW()-19):H1085)*SQRT(252))</f>
        <v/>
      </c>
      <c r="L1085" s="426" cm="1">
        <f t="array" ref="L1085">IF(ROW()&lt;17,NA(),_xlfn.LET(_xlpm.d,INDEX(E:E,ROW()-13):E1085-INDEX(E:E,ROW()-14):INDEX(E:E,ROW()-1),_xlpm.g,SUM(IF(_xlpm.d&gt;0,_xlpm.d,0)),_xlpm.l,-SUM(IF(_xlpm.d&lt;0,_xlpm.d,0)),IF(_xlpm.l=0,100,100-100/(1+_xlpm.g/_xlpm.l))))</f>
        <v/>
      </c>
      <c r="M1085" s="211">
        <f>MAX($E$2:E1085)</f>
        <v/>
      </c>
      <c r="N1085" s="341">
        <f>E1085/M1085-1</f>
        <v/>
      </c>
    </row>
    <row r="1086">
      <c r="A1086" s="424" t="n">
        <v>46043</v>
      </c>
      <c r="B1086" s="425" t="n">
        <v>62.23579563834485</v>
      </c>
      <c r="C1086" s="425" t="n">
        <v>63.73615480002844</v>
      </c>
      <c r="D1086" s="425" t="n">
        <v>61.97274471425795</v>
      </c>
      <c r="E1086" s="425" t="n">
        <v>63.72641754150391</v>
      </c>
      <c r="F1086" s="207" t="n">
        <v>17166400</v>
      </c>
      <c r="G1086" s="208" t="n">
        <v>0.01154117137292743</v>
      </c>
      <c r="H1086" s="209" cm="1">
        <f t="array" ref="H1086">IF(ROW()&lt;3,"",E1086/INDEX(E:E,ROW()-1)-1)</f>
        <v/>
      </c>
      <c r="I1086" s="211">
        <f>IF(ROW()&lt;51,NA(),AVERAGE(INDEX(E:E,ROW()-49):E1086))</f>
        <v/>
      </c>
      <c r="J1086" s="211">
        <f>IF(ROW()&lt;201,NA(),AVERAGE(INDEX(E:E,ROW()-199):E1086))</f>
        <v/>
      </c>
      <c r="K1086" s="341">
        <f>IF(ROW()&lt;22,NA(),_xlfn.STDEV.S(INDEX(H:H,ROW()-19):H1086)*SQRT(252))</f>
        <v/>
      </c>
      <c r="L1086" s="426" cm="1">
        <f t="array" ref="L1086">IF(ROW()&lt;17,NA(),_xlfn.LET(_xlpm.d,INDEX(E:E,ROW()-13):E1086-INDEX(E:E,ROW()-14):INDEX(E:E,ROW()-1),_xlpm.g,SUM(IF(_xlpm.d&gt;0,_xlpm.d,0)),_xlpm.l,-SUM(IF(_xlpm.d&lt;0,_xlpm.d,0)),IF(_xlpm.l=0,100,100-100/(1+_xlpm.g/_xlpm.l))))</f>
        <v/>
      </c>
      <c r="M1086" s="211">
        <f>MAX($E$2:E1086)</f>
        <v/>
      </c>
      <c r="N1086" s="341">
        <f>E1086/M1086-1</f>
        <v/>
      </c>
    </row>
    <row r="1087">
      <c r="A1087" s="424" t="n">
        <v>46044</v>
      </c>
      <c r="B1087" s="425" t="n">
        <v>63.72642263000862</v>
      </c>
      <c r="C1087" s="425" t="n">
        <v>64.83707969827556</v>
      </c>
      <c r="D1087" s="425" t="n">
        <v>63.57053728490754</v>
      </c>
      <c r="E1087" s="425" t="n">
        <v>63.77513122558594</v>
      </c>
      <c r="F1087" s="207" t="n">
        <v>11853700</v>
      </c>
      <c r="G1087" s="208" t="n">
        <v>0.005223034841890906</v>
      </c>
      <c r="H1087" s="209" cm="1">
        <f t="array" ref="H1087">IF(ROW()&lt;3,"",E1087/INDEX(E:E,ROW()-1)-1)</f>
        <v/>
      </c>
      <c r="I1087" s="211">
        <f>IF(ROW()&lt;51,NA(),AVERAGE(INDEX(E:E,ROW()-49):E1087))</f>
        <v/>
      </c>
      <c r="J1087" s="211">
        <f>IF(ROW()&lt;201,NA(),AVERAGE(INDEX(E:E,ROW()-199):E1087))</f>
        <v/>
      </c>
      <c r="K1087" s="341">
        <f>IF(ROW()&lt;22,NA(),_xlfn.STDEV.S(INDEX(H:H,ROW()-19):H1087)*SQRT(252))</f>
        <v/>
      </c>
      <c r="L1087" s="426" cm="1">
        <f t="array" ref="L1087">IF(ROW()&lt;17,NA(),_xlfn.LET(_xlpm.d,INDEX(E:E,ROW()-13):E1087-INDEX(E:E,ROW()-14):INDEX(E:E,ROW()-1),_xlpm.g,SUM(IF(_xlpm.d&gt;0,_xlpm.d,0)),_xlpm.l,-SUM(IF(_xlpm.d&lt;0,_xlpm.d,0)),IF(_xlpm.l=0,100,100-100/(1+_xlpm.g/_xlpm.l))))</f>
        <v/>
      </c>
      <c r="M1087" s="211">
        <f>MAX($E$2:E1087)</f>
        <v/>
      </c>
      <c r="N1087" s="341">
        <f>E1087/M1087-1</f>
        <v/>
      </c>
    </row>
    <row r="1088">
      <c r="A1088" s="424" t="n">
        <v>46045</v>
      </c>
      <c r="B1088" s="425" t="n">
        <v>63.57053402417828</v>
      </c>
      <c r="C1088" s="425" t="n">
        <v>63.76538326253785</v>
      </c>
      <c r="D1088" s="425" t="n">
        <v>62.78138494589345</v>
      </c>
      <c r="E1088" s="425" t="n">
        <v>63.36594009399414</v>
      </c>
      <c r="F1088" s="207" t="n">
        <v>11243900</v>
      </c>
      <c r="G1088" s="208" t="n">
        <v>0.0003628324572917396</v>
      </c>
      <c r="H1088" s="209" cm="1">
        <f t="array" ref="H1088">IF(ROW()&lt;3,"",E1088/INDEX(E:E,ROW()-1)-1)</f>
        <v/>
      </c>
      <c r="I1088" s="211">
        <f>IF(ROW()&lt;51,NA(),AVERAGE(INDEX(E:E,ROW()-49):E1088))</f>
        <v/>
      </c>
      <c r="J1088" s="211">
        <f>IF(ROW()&lt;201,NA(),AVERAGE(INDEX(E:E,ROW()-199):E1088))</f>
        <v/>
      </c>
      <c r="K1088" s="341">
        <f>IF(ROW()&lt;22,NA(),_xlfn.STDEV.S(INDEX(H:H,ROW()-19):H1088)*SQRT(252))</f>
        <v/>
      </c>
      <c r="L1088" s="426" cm="1">
        <f t="array" ref="L1088">IF(ROW()&lt;17,NA(),_xlfn.LET(_xlpm.d,INDEX(E:E,ROW()-13):E1088-INDEX(E:E,ROW()-14):INDEX(E:E,ROW()-1),_xlpm.g,SUM(IF(_xlpm.d&gt;0,_xlpm.d,0)),_xlpm.l,-SUM(IF(_xlpm.d&lt;0,_xlpm.d,0)),IF(_xlpm.l=0,100,100-100/(1+_xlpm.g/_xlpm.l))))</f>
        <v/>
      </c>
      <c r="M1088" s="211">
        <f>MAX($E$2:E1088)</f>
        <v/>
      </c>
      <c r="N1088" s="341">
        <f>E1088/M1088-1</f>
        <v/>
      </c>
    </row>
    <row r="1089">
      <c r="A1089" s="424" t="n">
        <v>46048</v>
      </c>
      <c r="B1089" s="425" t="n">
        <v>63.14185150742941</v>
      </c>
      <c r="C1089" s="425" t="n">
        <v>63.95048990183714</v>
      </c>
      <c r="D1089" s="425" t="n">
        <v>63.11262486741828</v>
      </c>
      <c r="E1089" s="425" t="n">
        <v>63.31721878051758</v>
      </c>
      <c r="F1089" s="207" t="n">
        <v>14765900</v>
      </c>
      <c r="G1089" s="208" t="n">
        <v>0.005078168996109245</v>
      </c>
      <c r="H1089" s="209" cm="1">
        <f t="array" ref="H1089">IF(ROW()&lt;3,"",E1089/INDEX(E:E,ROW()-1)-1)</f>
        <v/>
      </c>
      <c r="I1089" s="211">
        <f>IF(ROW()&lt;51,NA(),AVERAGE(INDEX(E:E,ROW()-49):E1089))</f>
        <v/>
      </c>
      <c r="J1089" s="211">
        <f>IF(ROW()&lt;201,NA(),AVERAGE(INDEX(E:E,ROW()-199):E1089))</f>
        <v/>
      </c>
      <c r="K1089" s="341">
        <f>IF(ROW()&lt;22,NA(),_xlfn.STDEV.S(INDEX(H:H,ROW()-19):H1089)*SQRT(252))</f>
        <v/>
      </c>
      <c r="L1089" s="426" cm="1">
        <f t="array" ref="L1089">IF(ROW()&lt;17,NA(),_xlfn.LET(_xlpm.d,INDEX(E:E,ROW()-13):E1089-INDEX(E:E,ROW()-14):INDEX(E:E,ROW()-1),_xlpm.g,SUM(IF(_xlpm.d&gt;0,_xlpm.d,0)),_xlpm.l,-SUM(IF(_xlpm.d&lt;0,_xlpm.d,0)),IF(_xlpm.l=0,100,100-100/(1+_xlpm.g/_xlpm.l))))</f>
        <v/>
      </c>
      <c r="M1089" s="211">
        <f>MAX($E$2:E1089)</f>
        <v/>
      </c>
      <c r="N1089" s="341">
        <f>E1089/M1089-1</f>
        <v/>
      </c>
    </row>
    <row r="1090">
      <c r="A1090" s="424" t="n">
        <v>46049</v>
      </c>
      <c r="B1090" s="425" t="n">
        <v>63.0834024844206</v>
      </c>
      <c r="C1090" s="425" t="n">
        <v>63.16134515172428</v>
      </c>
      <c r="D1090" s="425" t="n">
        <v>61.26153537607275</v>
      </c>
      <c r="E1090" s="425" t="n">
        <v>61.46612930297852</v>
      </c>
      <c r="F1090" s="207" t="n">
        <v>13536700</v>
      </c>
      <c r="G1090" s="208" t="n">
        <v>0.0039842915730679</v>
      </c>
      <c r="H1090" s="209" cm="1">
        <f t="array" ref="H1090">IF(ROW()&lt;3,"",E1090/INDEX(E:E,ROW()-1)-1)</f>
        <v/>
      </c>
      <c r="I1090" s="211">
        <f>IF(ROW()&lt;51,NA(),AVERAGE(INDEX(E:E,ROW()-49):E1090))</f>
        <v/>
      </c>
      <c r="J1090" s="211">
        <f>IF(ROW()&lt;201,NA(),AVERAGE(INDEX(E:E,ROW()-199):E1090))</f>
        <v/>
      </c>
      <c r="K1090" s="341">
        <f>IF(ROW()&lt;22,NA(),_xlfn.STDEV.S(INDEX(H:H,ROW()-19):H1090)*SQRT(252))</f>
        <v/>
      </c>
      <c r="L1090" s="426" cm="1">
        <f t="array" ref="L1090">IF(ROW()&lt;17,NA(),_xlfn.LET(_xlpm.d,INDEX(E:E,ROW()-13):E1090-INDEX(E:E,ROW()-14):INDEX(E:E,ROW()-1),_xlpm.g,SUM(IF(_xlpm.d&gt;0,_xlpm.d,0)),_xlpm.l,-SUM(IF(_xlpm.d&lt;0,_xlpm.d,0)),IF(_xlpm.l=0,100,100-100/(1+_xlpm.g/_xlpm.l))))</f>
        <v/>
      </c>
      <c r="M1090" s="211">
        <f>MAX($E$2:E1090)</f>
        <v/>
      </c>
      <c r="N1090" s="341">
        <f>E1090/M1090-1</f>
        <v/>
      </c>
    </row>
    <row r="1091">
      <c r="A1091" s="424" t="n">
        <v>46050</v>
      </c>
      <c r="B1091" s="425" t="n">
        <v>61.42715717308621</v>
      </c>
      <c r="C1091" s="425" t="n">
        <v>61.84608971313582</v>
      </c>
      <c r="D1091" s="425" t="n">
        <v>60.37495719370201</v>
      </c>
      <c r="E1091" s="425" t="n">
        <v>60.63800811767578</v>
      </c>
      <c r="F1091" s="207" t="n">
        <v>10363600</v>
      </c>
      <c r="G1091" s="208" t="n">
        <v>-0.0001006492139632442</v>
      </c>
      <c r="H1091" s="209" cm="1">
        <f t="array" ref="H1091">IF(ROW()&lt;3,"",E1091/INDEX(E:E,ROW()-1)-1)</f>
        <v/>
      </c>
      <c r="I1091" s="211">
        <f>IF(ROW()&lt;51,NA(),AVERAGE(INDEX(E:E,ROW()-49):E1091))</f>
        <v/>
      </c>
      <c r="J1091" s="211">
        <f>IF(ROW()&lt;201,NA(),AVERAGE(INDEX(E:E,ROW()-199):E1091))</f>
        <v/>
      </c>
      <c r="K1091" s="341">
        <f>IF(ROW()&lt;22,NA(),_xlfn.STDEV.S(INDEX(H:H,ROW()-19):H1091)*SQRT(252))</f>
        <v/>
      </c>
      <c r="L1091" s="426" cm="1">
        <f t="array" ref="L1091">IF(ROW()&lt;17,NA(),_xlfn.LET(_xlpm.d,INDEX(E:E,ROW()-13):E1091-INDEX(E:E,ROW()-14):INDEX(E:E,ROW()-1),_xlpm.g,SUM(IF(_xlpm.d&gt;0,_xlpm.d,0)),_xlpm.l,-SUM(IF(_xlpm.d&lt;0,_xlpm.d,0)),IF(_xlpm.l=0,100,100-100/(1+_xlpm.g/_xlpm.l))))</f>
        <v/>
      </c>
      <c r="M1091" s="211">
        <f>MAX($E$2:E1091)</f>
        <v/>
      </c>
      <c r="N1091" s="341">
        <f>E1091/M1091-1</f>
        <v/>
      </c>
    </row>
    <row r="1092">
      <c r="A1092" s="424" t="n">
        <v>46051</v>
      </c>
      <c r="B1092" s="425" t="n">
        <v>60.33598590725868</v>
      </c>
      <c r="C1092" s="425" t="n">
        <v>61.3199879126533</v>
      </c>
      <c r="D1092" s="425" t="n">
        <v>59.87808203370795</v>
      </c>
      <c r="E1092" s="425" t="n">
        <v>60.98873901367188</v>
      </c>
      <c r="F1092" s="207" t="n">
        <v>12739400</v>
      </c>
      <c r="G1092" s="208" t="n">
        <v>-0.001984439728138443</v>
      </c>
      <c r="H1092" s="209" cm="1">
        <f t="array" ref="H1092">IF(ROW()&lt;3,"",E1092/INDEX(E:E,ROW()-1)-1)</f>
        <v/>
      </c>
      <c r="I1092" s="211">
        <f>IF(ROW()&lt;51,NA(),AVERAGE(INDEX(E:E,ROW()-49):E1092))</f>
        <v/>
      </c>
      <c r="J1092" s="211">
        <f>IF(ROW()&lt;201,NA(),AVERAGE(INDEX(E:E,ROW()-199):E1092))</f>
        <v/>
      </c>
      <c r="K1092" s="341">
        <f>IF(ROW()&lt;22,NA(),_xlfn.STDEV.S(INDEX(H:H,ROW()-19):H1092)*SQRT(252))</f>
        <v/>
      </c>
      <c r="L1092" s="426" cm="1">
        <f t="array" ref="L1092">IF(ROW()&lt;17,NA(),_xlfn.LET(_xlpm.d,INDEX(E:E,ROW()-13):E1092-INDEX(E:E,ROW()-14):INDEX(E:E,ROW()-1),_xlpm.g,SUM(IF(_xlpm.d&gt;0,_xlpm.d,0)),_xlpm.l,-SUM(IF(_xlpm.d&lt;0,_xlpm.d,0)),IF(_xlpm.l=0,100,100-100/(1+_xlpm.g/_xlpm.l))))</f>
        <v/>
      </c>
      <c r="M1092" s="211">
        <f>MAX($E$2:E1092)</f>
        <v/>
      </c>
      <c r="N1092" s="341">
        <f>E1092/M1092-1</f>
        <v/>
      </c>
    </row>
    <row r="1093">
      <c r="A1093" s="424" t="n">
        <v>46052</v>
      </c>
      <c r="B1093" s="425" t="n">
        <v>60.63800678007605</v>
      </c>
      <c r="C1093" s="425" t="n">
        <v>60.9107986730636</v>
      </c>
      <c r="D1093" s="425" t="n">
        <v>59.44940716089751</v>
      </c>
      <c r="E1093" s="425" t="n">
        <v>60.21907424926758</v>
      </c>
      <c r="F1093" s="207" t="n">
        <v>14309200</v>
      </c>
      <c r="G1093" s="208" t="n">
        <v>-0.002982534024791095</v>
      </c>
      <c r="H1093" s="209" cm="1">
        <f t="array" ref="H1093">IF(ROW()&lt;3,"",E1093/INDEX(E:E,ROW()-1)-1)</f>
        <v/>
      </c>
      <c r="I1093" s="211">
        <f>IF(ROW()&lt;51,NA(),AVERAGE(INDEX(E:E,ROW()-49):E1093))</f>
        <v/>
      </c>
      <c r="J1093" s="211">
        <f>IF(ROW()&lt;201,NA(),AVERAGE(INDEX(E:E,ROW()-199):E1093))</f>
        <v/>
      </c>
      <c r="K1093" s="341">
        <f>IF(ROW()&lt;22,NA(),_xlfn.STDEV.S(INDEX(H:H,ROW()-19):H1093)*SQRT(252))</f>
        <v/>
      </c>
      <c r="L1093" s="426" cm="1">
        <f t="array" ref="L1093">IF(ROW()&lt;17,NA(),_xlfn.LET(_xlpm.d,INDEX(E:E,ROW()-13):E1093-INDEX(E:E,ROW()-14):INDEX(E:E,ROW()-1),_xlpm.g,SUM(IF(_xlpm.d&gt;0,_xlpm.d,0)),_xlpm.l,-SUM(IF(_xlpm.d&lt;0,_xlpm.d,0)),IF(_xlpm.l=0,100,100-100/(1+_xlpm.g/_xlpm.l))))</f>
        <v/>
      </c>
      <c r="M1093" s="211">
        <f>MAX($E$2:E1093)</f>
        <v/>
      </c>
      <c r="N1093" s="341">
        <f>E1093/M1093-1</f>
        <v/>
      </c>
    </row>
    <row r="1094">
      <c r="A1094" s="424" t="n">
        <v>46055</v>
      </c>
      <c r="B1094" s="425" t="n">
        <v>60.07293551056256</v>
      </c>
      <c r="C1094" s="425" t="n">
        <v>60.9595129073107</v>
      </c>
      <c r="D1094" s="425" t="n">
        <v>59.57606401598299</v>
      </c>
      <c r="E1094" s="425" t="n">
        <v>60.57955169677734</v>
      </c>
      <c r="F1094" s="207" t="n">
        <v>11006300</v>
      </c>
      <c r="G1094" s="208" t="n">
        <v>0.004971211279279464</v>
      </c>
      <c r="H1094" s="209" cm="1">
        <f t="array" ref="H1094">IF(ROW()&lt;3,"",E1094/INDEX(E:E,ROW()-1)-1)</f>
        <v/>
      </c>
      <c r="I1094" s="211">
        <f>IF(ROW()&lt;51,NA(),AVERAGE(INDEX(E:E,ROW()-49):E1094))</f>
        <v/>
      </c>
      <c r="J1094" s="211">
        <f>IF(ROW()&lt;201,NA(),AVERAGE(INDEX(E:E,ROW()-199):E1094))</f>
        <v/>
      </c>
      <c r="K1094" s="341">
        <f>IF(ROW()&lt;22,NA(),_xlfn.STDEV.S(INDEX(H:H,ROW()-19):H1094)*SQRT(252))</f>
        <v/>
      </c>
      <c r="L1094" s="426" cm="1">
        <f t="array" ref="L1094">IF(ROW()&lt;17,NA(),_xlfn.LET(_xlpm.d,INDEX(E:E,ROW()-13):E1094-INDEX(E:E,ROW()-14):INDEX(E:E,ROW()-1),_xlpm.g,SUM(IF(_xlpm.d&gt;0,_xlpm.d,0)),_xlpm.l,-SUM(IF(_xlpm.d&lt;0,_xlpm.d,0)),IF(_xlpm.l=0,100,100-100/(1+_xlpm.g/_xlpm.l))))</f>
        <v/>
      </c>
      <c r="M1094" s="211">
        <f>MAX($E$2:E1094)</f>
        <v/>
      </c>
      <c r="N1094" s="341">
        <f>E1094/M1094-1</f>
        <v/>
      </c>
    </row>
    <row r="1095">
      <c r="A1095" s="424" t="n">
        <v>46056</v>
      </c>
      <c r="B1095" s="425" t="n">
        <v>60.18984524238748</v>
      </c>
      <c r="C1095" s="425" t="n">
        <v>60.92054101486649</v>
      </c>
      <c r="D1095" s="425" t="n">
        <v>58.87459433852962</v>
      </c>
      <c r="E1095" s="425" t="n">
        <v>59.36172485351562</v>
      </c>
      <c r="F1095" s="207" t="n">
        <v>17322100</v>
      </c>
      <c r="G1095" s="208" t="n">
        <v>-0.00845533075035465</v>
      </c>
      <c r="H1095" s="209" cm="1">
        <f t="array" ref="H1095">IF(ROW()&lt;3,"",E1095/INDEX(E:E,ROW()-1)-1)</f>
        <v/>
      </c>
      <c r="I1095" s="211">
        <f>IF(ROW()&lt;51,NA(),AVERAGE(INDEX(E:E,ROW()-49):E1095))</f>
        <v/>
      </c>
      <c r="J1095" s="211">
        <f>IF(ROW()&lt;201,NA(),AVERAGE(INDEX(E:E,ROW()-199):E1095))</f>
        <v/>
      </c>
      <c r="K1095" s="341">
        <f>IF(ROW()&lt;22,NA(),_xlfn.STDEV.S(INDEX(H:H,ROW()-19):H1095)*SQRT(252))</f>
        <v/>
      </c>
      <c r="L1095" s="426" cm="1">
        <f t="array" ref="L1095">IF(ROW()&lt;17,NA(),_xlfn.LET(_xlpm.d,INDEX(E:E,ROW()-13):E1095-INDEX(E:E,ROW()-14):INDEX(E:E,ROW()-1),_xlpm.g,SUM(IF(_xlpm.d&gt;0,_xlpm.d,0)),_xlpm.l,-SUM(IF(_xlpm.d&lt;0,_xlpm.d,0)),IF(_xlpm.l=0,100,100-100/(1+_xlpm.g/_xlpm.l))))</f>
        <v/>
      </c>
      <c r="M1095" s="211">
        <f>MAX($E$2:E1095)</f>
        <v/>
      </c>
      <c r="N1095" s="341">
        <f>E1095/M1095-1</f>
        <v/>
      </c>
    </row>
    <row r="1096">
      <c r="A1096" s="424" t="n">
        <v>46057</v>
      </c>
      <c r="B1096" s="425" t="n">
        <v>60.13139444357783</v>
      </c>
      <c r="C1096" s="425" t="n">
        <v>62.75215910105046</v>
      </c>
      <c r="D1096" s="425" t="n">
        <v>59.92679679428216</v>
      </c>
      <c r="E1096" s="425" t="n">
        <v>62.56704711914062</v>
      </c>
      <c r="F1096" s="207" t="n">
        <v>20957700</v>
      </c>
      <c r="G1096" s="208" t="n">
        <v>-0.00484383887388995</v>
      </c>
      <c r="H1096" s="209" cm="1">
        <f t="array" ref="H1096">IF(ROW()&lt;3,"",E1096/INDEX(E:E,ROW()-1)-1)</f>
        <v/>
      </c>
      <c r="I1096" s="211">
        <f>IF(ROW()&lt;51,NA(),AVERAGE(INDEX(E:E,ROW()-49):E1096))</f>
        <v/>
      </c>
      <c r="J1096" s="211">
        <f>IF(ROW()&lt;201,NA(),AVERAGE(INDEX(E:E,ROW()-199):E1096))</f>
        <v/>
      </c>
      <c r="K1096" s="341">
        <f>IF(ROW()&lt;22,NA(),_xlfn.STDEV.S(INDEX(H:H,ROW()-19):H1096)*SQRT(252))</f>
        <v/>
      </c>
      <c r="L1096" s="426" cm="1">
        <f t="array" ref="L1096">IF(ROW()&lt;17,NA(),_xlfn.LET(_xlpm.d,INDEX(E:E,ROW()-13):E1096-INDEX(E:E,ROW()-14):INDEX(E:E,ROW()-1),_xlpm.g,SUM(IF(_xlpm.d&gt;0,_xlpm.d,0)),_xlpm.l,-SUM(IF(_xlpm.d&lt;0,_xlpm.d,0)),IF(_xlpm.l=0,100,100-100/(1+_xlpm.g/_xlpm.l))))</f>
        <v/>
      </c>
      <c r="M1096" s="211">
        <f>MAX($E$2:E1096)</f>
        <v/>
      </c>
      <c r="N1096" s="341">
        <f>E1096/M1096-1</f>
        <v/>
      </c>
    </row>
    <row r="1097">
      <c r="A1097" s="424" t="n">
        <v>46058</v>
      </c>
      <c r="B1097" s="425" t="n">
        <v>62.53782083475364</v>
      </c>
      <c r="C1097" s="425" t="n">
        <v>62.91778205967742</v>
      </c>
      <c r="D1097" s="425" t="n">
        <v>60.49187034564788</v>
      </c>
      <c r="E1097" s="425" t="n">
        <v>61.0861701965332</v>
      </c>
      <c r="F1097" s="207" t="n">
        <v>12506200</v>
      </c>
      <c r="G1097" s="208" t="n">
        <v>-0.0124893706244309</v>
      </c>
      <c r="H1097" s="209" cm="1">
        <f t="array" ref="H1097">IF(ROW()&lt;3,"",E1097/INDEX(E:E,ROW()-1)-1)</f>
        <v/>
      </c>
      <c r="I1097" s="211">
        <f>IF(ROW()&lt;51,NA(),AVERAGE(INDEX(E:E,ROW()-49):E1097))</f>
        <v/>
      </c>
      <c r="J1097" s="211">
        <f>IF(ROW()&lt;201,NA(),AVERAGE(INDEX(E:E,ROW()-199):E1097))</f>
        <v/>
      </c>
      <c r="K1097" s="341">
        <f>IF(ROW()&lt;22,NA(),_xlfn.STDEV.S(INDEX(H:H,ROW()-19):H1097)*SQRT(252))</f>
        <v/>
      </c>
      <c r="L1097" s="426" cm="1">
        <f t="array" ref="L1097">IF(ROW()&lt;17,NA(),_xlfn.LET(_xlpm.d,INDEX(E:E,ROW()-13):E1097-INDEX(E:E,ROW()-14):INDEX(E:E,ROW()-1),_xlpm.g,SUM(IF(_xlpm.d&gt;0,_xlpm.d,0)),_xlpm.l,-SUM(IF(_xlpm.d&lt;0,_xlpm.d,0)),IF(_xlpm.l=0,100,100-100/(1+_xlpm.g/_xlpm.l))))</f>
        <v/>
      </c>
      <c r="M1097" s="211">
        <f>MAX($E$2:E1097)</f>
        <v/>
      </c>
      <c r="N1097" s="341">
        <f>E1097/M1097-1</f>
        <v/>
      </c>
    </row>
    <row r="1098">
      <c r="A1098" s="424" t="n">
        <v>46059</v>
      </c>
      <c r="B1098" s="425" t="n">
        <v>61.38818384054953</v>
      </c>
      <c r="C1098" s="425" t="n">
        <v>62.58652442194884</v>
      </c>
      <c r="D1098" s="425" t="n">
        <v>61.37844286583557</v>
      </c>
      <c r="E1098" s="425" t="n">
        <v>62.27476119995117</v>
      </c>
      <c r="F1098" s="207" t="n">
        <v>11961500</v>
      </c>
      <c r="G1098" s="208" t="n">
        <v>0.01918495160075961</v>
      </c>
      <c r="H1098" s="209" cm="1">
        <f t="array" ref="H1098">IF(ROW()&lt;3,"",E1098/INDEX(E:E,ROW()-1)-1)</f>
        <v/>
      </c>
      <c r="I1098" s="211">
        <f>IF(ROW()&lt;51,NA(),AVERAGE(INDEX(E:E,ROW()-49):E1098))</f>
        <v/>
      </c>
      <c r="J1098" s="211">
        <f>IF(ROW()&lt;201,NA(),AVERAGE(INDEX(E:E,ROW()-199):E1098))</f>
        <v/>
      </c>
      <c r="K1098" s="341">
        <f>IF(ROW()&lt;22,NA(),_xlfn.STDEV.S(INDEX(H:H,ROW()-19):H1098)*SQRT(252))</f>
        <v/>
      </c>
      <c r="L1098" s="426" cm="1">
        <f t="array" ref="L1098">IF(ROW()&lt;17,NA(),_xlfn.LET(_xlpm.d,INDEX(E:E,ROW()-13):E1098-INDEX(E:E,ROW()-14):INDEX(E:E,ROW()-1),_xlpm.g,SUM(IF(_xlpm.d&gt;0,_xlpm.d,0)),_xlpm.l,-SUM(IF(_xlpm.d&lt;0,_xlpm.d,0)),IF(_xlpm.l=0,100,100-100/(1+_xlpm.g/_xlpm.l))))</f>
        <v/>
      </c>
      <c r="M1098" s="211">
        <f>MAX($E$2:E1098)</f>
        <v/>
      </c>
      <c r="N1098" s="341">
        <f>E1098/M1098-1</f>
        <v/>
      </c>
    </row>
    <row r="1099">
      <c r="A1099" s="424" t="n">
        <v>46062</v>
      </c>
      <c r="B1099" s="425" t="n">
        <v>61.93377347676677</v>
      </c>
      <c r="C1099" s="425" t="n">
        <v>62.26502237614594</v>
      </c>
      <c r="D1099" s="425" t="n">
        <v>60.76465949563378</v>
      </c>
      <c r="E1099" s="425" t="n">
        <v>60.80363082885742</v>
      </c>
      <c r="F1099" s="207" t="n">
        <v>12920800</v>
      </c>
      <c r="G1099" s="208" t="n">
        <v>0.004821764563112119</v>
      </c>
      <c r="H1099" s="209" cm="1">
        <f t="array" ref="H1099">IF(ROW()&lt;3,"",E1099/INDEX(E:E,ROW()-1)-1)</f>
        <v/>
      </c>
      <c r="I1099" s="211">
        <f>IF(ROW()&lt;51,NA(),AVERAGE(INDEX(E:E,ROW()-49):E1099))</f>
        <v/>
      </c>
      <c r="J1099" s="211">
        <f>IF(ROW()&lt;201,NA(),AVERAGE(INDEX(E:E,ROW()-199):E1099))</f>
        <v/>
      </c>
      <c r="K1099" s="341">
        <f>IF(ROW()&lt;22,NA(),_xlfn.STDEV.S(INDEX(H:H,ROW()-19):H1099)*SQRT(252))</f>
        <v/>
      </c>
      <c r="L1099" s="426" cm="1">
        <f t="array" ref="L1099">IF(ROW()&lt;17,NA(),_xlfn.LET(_xlpm.d,INDEX(E:E,ROW()-13):E1099-INDEX(E:E,ROW()-14):INDEX(E:E,ROW()-1),_xlpm.g,SUM(IF(_xlpm.d&gt;0,_xlpm.d,0)),_xlpm.l,-SUM(IF(_xlpm.d&lt;0,_xlpm.d,0)),IF(_xlpm.l=0,100,100-100/(1+_xlpm.g/_xlpm.l))))</f>
        <v/>
      </c>
      <c r="M1099" s="211">
        <f>MAX($E$2:E1099)</f>
        <v/>
      </c>
      <c r="N1099" s="341">
        <f>E1099/M1099-1</f>
        <v/>
      </c>
    </row>
    <row r="1100">
      <c r="A1100" s="424" t="n">
        <v>46063</v>
      </c>
      <c r="B1100" s="425" t="n">
        <v>61.37844809839402</v>
      </c>
      <c r="C1100" s="425" t="n">
        <v>62.53782116326411</v>
      </c>
      <c r="D1100" s="425" t="n">
        <v>60.68672362289858</v>
      </c>
      <c r="E1100" s="425" t="n">
        <v>61.41741943359375</v>
      </c>
      <c r="F1100" s="207" t="n">
        <v>13003400</v>
      </c>
      <c r="G1100" s="208" t="n">
        <v>-0.002637135056044126</v>
      </c>
      <c r="H1100" s="209" cm="1">
        <f t="array" ref="H1100">IF(ROW()&lt;3,"",E1100/INDEX(E:E,ROW()-1)-1)</f>
        <v/>
      </c>
      <c r="I1100" s="211">
        <f>IF(ROW()&lt;51,NA(),AVERAGE(INDEX(E:E,ROW()-49):E1100))</f>
        <v/>
      </c>
      <c r="J1100" s="211">
        <f>IF(ROW()&lt;201,NA(),AVERAGE(INDEX(E:E,ROW()-199):E1100))</f>
        <v/>
      </c>
      <c r="K1100" s="341">
        <f>IF(ROW()&lt;22,NA(),_xlfn.STDEV.S(INDEX(H:H,ROW()-19):H1100)*SQRT(252))</f>
        <v/>
      </c>
      <c r="L1100" s="426" cm="1">
        <f t="array" ref="L1100">IF(ROW()&lt;17,NA(),_xlfn.LET(_xlpm.d,INDEX(E:E,ROW()-13):E1100-INDEX(E:E,ROW()-14):INDEX(E:E,ROW()-1),_xlpm.g,SUM(IF(_xlpm.d&gt;0,_xlpm.d,0)),_xlpm.l,-SUM(IF(_xlpm.d&lt;0,_xlpm.d,0)),IF(_xlpm.l=0,100,100-100/(1+_xlpm.g/_xlpm.l))))</f>
        <v/>
      </c>
      <c r="M1100" s="211">
        <f>MAX($E$2:E1100)</f>
        <v/>
      </c>
      <c r="N1100" s="341">
        <f>E1100/M1100-1</f>
        <v/>
      </c>
    </row>
    <row r="1101">
      <c r="A1101" s="424" t="n">
        <v>46064</v>
      </c>
      <c r="B1101" s="425" t="n">
        <v>62.25527808489517</v>
      </c>
      <c r="C1101" s="425" t="n">
        <v>62.36244738729607</v>
      </c>
      <c r="D1101" s="425" t="n">
        <v>60.09241752083545</v>
      </c>
      <c r="E1101" s="425" t="n">
        <v>60.74517059326172</v>
      </c>
      <c r="F1101" s="207" t="n">
        <v>15511900</v>
      </c>
      <c r="G1101" s="208" t="n">
        <v>-0.0002311628084725736</v>
      </c>
      <c r="H1101" s="209" cm="1">
        <f t="array" ref="H1101">IF(ROW()&lt;3,"",E1101/INDEX(E:E,ROW()-1)-1)</f>
        <v/>
      </c>
      <c r="I1101" s="211">
        <f>IF(ROW()&lt;51,NA(),AVERAGE(INDEX(E:E,ROW()-49):E1101))</f>
        <v/>
      </c>
      <c r="J1101" s="211">
        <f>IF(ROW()&lt;201,NA(),AVERAGE(INDEX(E:E,ROW()-199):E1101))</f>
        <v/>
      </c>
      <c r="K1101" s="341">
        <f>IF(ROW()&lt;22,NA(),_xlfn.STDEV.S(INDEX(H:H,ROW()-19):H1101)*SQRT(252))</f>
        <v/>
      </c>
      <c r="L1101" s="426" cm="1">
        <f t="array" ref="L1101">IF(ROW()&lt;17,NA(),_xlfn.LET(_xlpm.d,INDEX(E:E,ROW()-13):E1101-INDEX(E:E,ROW()-14):INDEX(E:E,ROW()-1),_xlpm.g,SUM(IF(_xlpm.d&gt;0,_xlpm.d,0)),_xlpm.l,-SUM(IF(_xlpm.d&lt;0,_xlpm.d,0)),IF(_xlpm.l=0,100,100-100/(1+_xlpm.g/_xlpm.l))))</f>
        <v/>
      </c>
      <c r="M1101" s="211">
        <f>MAX($E$2:E1101)</f>
        <v/>
      </c>
      <c r="N1101" s="341">
        <f>E1101/M1101-1</f>
        <v/>
      </c>
    </row>
    <row r="1102">
      <c r="A1102" s="424" t="n">
        <v>46065</v>
      </c>
      <c r="B1102" s="425" t="n">
        <v>60.72569190450837</v>
      </c>
      <c r="C1102" s="425" t="n">
        <v>61.10565311232175</v>
      </c>
      <c r="D1102" s="425" t="n">
        <v>59.28378230671321</v>
      </c>
      <c r="E1102" s="425" t="n">
        <v>59.52734756469727</v>
      </c>
      <c r="F1102" s="207" t="n">
        <v>13602400</v>
      </c>
      <c r="G1102" s="208" t="n">
        <v>-0.01544890845214097</v>
      </c>
      <c r="H1102" s="209" cm="1">
        <f t="array" ref="H1102">IF(ROW()&lt;3,"",E1102/INDEX(E:E,ROW()-1)-1)</f>
        <v/>
      </c>
      <c r="I1102" s="211">
        <f>IF(ROW()&lt;51,NA(),AVERAGE(INDEX(E:E,ROW()-49):E1102))</f>
        <v/>
      </c>
      <c r="J1102" s="211">
        <f>IF(ROW()&lt;201,NA(),AVERAGE(INDEX(E:E,ROW()-199):E1102))</f>
        <v/>
      </c>
      <c r="K1102" s="341">
        <f>IF(ROW()&lt;22,NA(),_xlfn.STDEV.S(INDEX(H:H,ROW()-19):H1102)*SQRT(252))</f>
        <v/>
      </c>
      <c r="L1102" s="426" cm="1">
        <f t="array" ref="L1102">IF(ROW()&lt;17,NA(),_xlfn.LET(_xlpm.d,INDEX(E:E,ROW()-13):E1102-INDEX(E:E,ROW()-14):INDEX(E:E,ROW()-1),_xlpm.g,SUM(IF(_xlpm.d&gt;0,_xlpm.d,0)),_xlpm.l,-SUM(IF(_xlpm.d&lt;0,_xlpm.d,0)),IF(_xlpm.l=0,100,100-100/(1+_xlpm.g/_xlpm.l))))</f>
        <v/>
      </c>
      <c r="M1102" s="211">
        <f>MAX($E$2:E1102)</f>
        <v/>
      </c>
      <c r="N1102" s="341">
        <f>E1102/M1102-1</f>
        <v/>
      </c>
    </row>
    <row r="1103">
      <c r="A1103" s="424" t="n">
        <v>46066</v>
      </c>
      <c r="B1103" s="425" t="n">
        <v>60.0047373626722</v>
      </c>
      <c r="C1103" s="425" t="n">
        <v>61.74866550927162</v>
      </c>
      <c r="D1103" s="425" t="n">
        <v>60.0047373626722</v>
      </c>
      <c r="E1103" s="425" t="n">
        <v>61.50510025024414</v>
      </c>
      <c r="F1103" s="207" t="n">
        <v>20180900</v>
      </c>
      <c r="G1103" s="208" t="n">
        <v>0.0007046233276368774</v>
      </c>
      <c r="H1103" s="209" cm="1">
        <f t="array" ref="H1103">IF(ROW()&lt;3,"",E1103/INDEX(E:E,ROW()-1)-1)</f>
        <v/>
      </c>
      <c r="I1103" s="211">
        <f>IF(ROW()&lt;51,NA(),AVERAGE(INDEX(E:E,ROW()-49):E1103))</f>
        <v/>
      </c>
      <c r="J1103" s="211">
        <f>IF(ROW()&lt;201,NA(),AVERAGE(INDEX(E:E,ROW()-199):E1103))</f>
        <v/>
      </c>
      <c r="K1103" s="341">
        <f>IF(ROW()&lt;22,NA(),_xlfn.STDEV.S(INDEX(H:H,ROW()-19):H1103)*SQRT(252))</f>
        <v/>
      </c>
      <c r="L1103" s="426" cm="1">
        <f t="array" ref="L1103">IF(ROW()&lt;17,NA(),_xlfn.LET(_xlpm.d,INDEX(E:E,ROW()-13):E1103-INDEX(E:E,ROW()-14):INDEX(E:E,ROW()-1),_xlpm.g,SUM(IF(_xlpm.d&gt;0,_xlpm.d,0)),_xlpm.l,-SUM(IF(_xlpm.d&lt;0,_xlpm.d,0)),IF(_xlpm.l=0,100,100-100/(1+_xlpm.g/_xlpm.l))))</f>
        <v/>
      </c>
      <c r="M1103" s="211">
        <f>MAX($E$2:E1103)</f>
        <v/>
      </c>
      <c r="N1103" s="341">
        <f>E1103/M1103-1</f>
        <v/>
      </c>
    </row>
    <row r="1104">
      <c r="A1104" s="424" t="n">
        <v>46070</v>
      </c>
      <c r="B1104" s="425" t="n">
        <v>61.31998810072355</v>
      </c>
      <c r="C1104" s="425" t="n">
        <v>63.1515998840332</v>
      </c>
      <c r="D1104" s="425" t="n">
        <v>61.31998810072355</v>
      </c>
      <c r="E1104" s="425" t="n">
        <v>63.1515998840332</v>
      </c>
      <c r="F1104" s="207" t="n">
        <v>12347500</v>
      </c>
      <c r="G1104" s="208" t="n">
        <v>0.001613429304196279</v>
      </c>
      <c r="H1104" s="209" cm="1">
        <f t="array" ref="H1104">IF(ROW()&lt;3,"",E1104/INDEX(E:E,ROW()-1)-1)</f>
        <v/>
      </c>
      <c r="I1104" s="211">
        <f>IF(ROW()&lt;51,NA(),AVERAGE(INDEX(E:E,ROW()-49):E1104))</f>
        <v/>
      </c>
      <c r="J1104" s="211">
        <f>IF(ROW()&lt;201,NA(),AVERAGE(INDEX(E:E,ROW()-199):E1104))</f>
        <v/>
      </c>
      <c r="K1104" s="341">
        <f>IF(ROW()&lt;22,NA(),_xlfn.STDEV.S(INDEX(H:H,ROW()-19):H1104)*SQRT(252))</f>
        <v/>
      </c>
      <c r="L1104" s="426" cm="1">
        <f t="array" ref="L1104">IF(ROW()&lt;17,NA(),_xlfn.LET(_xlpm.d,INDEX(E:E,ROW()-13):E1104-INDEX(E:E,ROW()-14):INDEX(E:E,ROW()-1),_xlpm.g,SUM(IF(_xlpm.d&gt;0,_xlpm.d,0)),_xlpm.l,-SUM(IF(_xlpm.d&lt;0,_xlpm.d,0)),IF(_xlpm.l=0,100,100-100/(1+_xlpm.g/_xlpm.l))))</f>
        <v/>
      </c>
      <c r="M1104" s="211">
        <f>MAX($E$2:E1104)</f>
        <v/>
      </c>
      <c r="N1104" s="341">
        <f>E1104/M1104-1</f>
        <v/>
      </c>
    </row>
    <row r="1105">
      <c r="A1105" s="424" t="n">
        <v>46071</v>
      </c>
      <c r="B1105" s="425" t="n">
        <v>62.65472678317727</v>
      </c>
      <c r="C1105" s="425" t="n">
        <v>64.44737100999714</v>
      </c>
      <c r="D1105" s="425" t="n">
        <v>62.65472678317727</v>
      </c>
      <c r="E1105" s="425" t="n">
        <v>63.86281585693359</v>
      </c>
      <c r="F1105" s="207" t="n">
        <v>11211500</v>
      </c>
      <c r="G1105" s="208" t="n">
        <v>0.005037695790158558</v>
      </c>
      <c r="H1105" s="209" cm="1">
        <f t="array" ref="H1105">IF(ROW()&lt;3,"",E1105/INDEX(E:E,ROW()-1)-1)</f>
        <v/>
      </c>
      <c r="I1105" s="211">
        <f>IF(ROW()&lt;51,NA(),AVERAGE(INDEX(E:E,ROW()-49):E1105))</f>
        <v/>
      </c>
      <c r="J1105" s="211">
        <f>IF(ROW()&lt;201,NA(),AVERAGE(INDEX(E:E,ROW()-199):E1105))</f>
        <v/>
      </c>
      <c r="K1105" s="341">
        <f>IF(ROW()&lt;22,NA(),_xlfn.STDEV.S(INDEX(H:H,ROW()-19):H1105)*SQRT(252))</f>
        <v/>
      </c>
      <c r="L1105" s="426" cm="1">
        <f t="array" ref="L1105">IF(ROW()&lt;17,NA(),_xlfn.LET(_xlpm.d,INDEX(E:E,ROW()-13):E1105-INDEX(E:E,ROW()-14):INDEX(E:E,ROW()-1),_xlpm.g,SUM(IF(_xlpm.d&gt;0,_xlpm.d,0)),_xlpm.l,-SUM(IF(_xlpm.d&lt;0,_xlpm.d,0)),IF(_xlpm.l=0,100,100-100/(1+_xlpm.g/_xlpm.l))))</f>
        <v/>
      </c>
      <c r="M1105" s="211">
        <f>MAX($E$2:E1105)</f>
        <v/>
      </c>
      <c r="N1105" s="341">
        <f>E1105/M1105-1</f>
        <v/>
      </c>
    </row>
    <row r="1106">
      <c r="A1106" s="424" t="n">
        <v>46072</v>
      </c>
      <c r="B1106" s="425" t="n">
        <v>63.52181028070446</v>
      </c>
      <c r="C1106" s="425" t="n">
        <v>64.14533668732818</v>
      </c>
      <c r="D1106" s="425" t="n">
        <v>62.59626536140957</v>
      </c>
      <c r="E1106" s="425" t="n">
        <v>63.92126083374023</v>
      </c>
      <c r="F1106" s="207" t="n">
        <v>10778300</v>
      </c>
      <c r="G1106" s="208" t="n">
        <v>-0.002637440014283343</v>
      </c>
      <c r="H1106" s="209" cm="1">
        <f t="array" ref="H1106">IF(ROW()&lt;3,"",E1106/INDEX(E:E,ROW()-1)-1)</f>
        <v/>
      </c>
      <c r="I1106" s="211">
        <f>IF(ROW()&lt;51,NA(),AVERAGE(INDEX(E:E,ROW()-49):E1106))</f>
        <v/>
      </c>
      <c r="J1106" s="211">
        <f>IF(ROW()&lt;201,NA(),AVERAGE(INDEX(E:E,ROW()-199):E1106))</f>
        <v/>
      </c>
      <c r="K1106" s="341">
        <f>IF(ROW()&lt;22,NA(),_xlfn.STDEV.S(INDEX(H:H,ROW()-19):H1106)*SQRT(252))</f>
        <v/>
      </c>
      <c r="L1106" s="426" cm="1">
        <f t="array" ref="L1106">IF(ROW()&lt;17,NA(),_xlfn.LET(_xlpm.d,INDEX(E:E,ROW()-13):E1106-INDEX(E:E,ROW()-14):INDEX(E:E,ROW()-1),_xlpm.g,SUM(IF(_xlpm.d&gt;0,_xlpm.d,0)),_xlpm.l,-SUM(IF(_xlpm.d&lt;0,_xlpm.d,0)),IF(_xlpm.l=0,100,100-100/(1+_xlpm.g/_xlpm.l))))</f>
        <v/>
      </c>
      <c r="M1106" s="211">
        <f>MAX($E$2:E1106)</f>
        <v/>
      </c>
      <c r="N1106" s="341">
        <f>E1106/M1106-1</f>
        <v/>
      </c>
    </row>
    <row r="1107">
      <c r="A1107" s="424" t="n">
        <v>46073</v>
      </c>
      <c r="B1107" s="425" t="n">
        <v>63.61924637643646</v>
      </c>
      <c r="C1107" s="425" t="n">
        <v>66.72713391702463</v>
      </c>
      <c r="D1107" s="425" t="n">
        <v>61.69995101403879</v>
      </c>
      <c r="E1107" s="425" t="n">
        <v>63.71667098999023</v>
      </c>
      <c r="F1107" s="207" t="n">
        <v>33436800</v>
      </c>
      <c r="G1107" s="208" t="n">
        <v>0.007231834702975171</v>
      </c>
      <c r="H1107" s="209" cm="1">
        <f t="array" ref="H1107">IF(ROW()&lt;3,"",E1107/INDEX(E:E,ROW()-1)-1)</f>
        <v/>
      </c>
      <c r="I1107" s="211">
        <f>IF(ROW()&lt;51,NA(),AVERAGE(INDEX(E:E,ROW()-49):E1107))</f>
        <v/>
      </c>
      <c r="J1107" s="211">
        <f>IF(ROW()&lt;201,NA(),AVERAGE(INDEX(E:E,ROW()-199):E1107))</f>
        <v/>
      </c>
      <c r="K1107" s="341">
        <f>IF(ROW()&lt;22,NA(),_xlfn.STDEV.S(INDEX(H:H,ROW()-19):H1107)*SQRT(252))</f>
        <v/>
      </c>
      <c r="L1107" s="426" cm="1">
        <f t="array" ref="L1107">IF(ROW()&lt;17,NA(),_xlfn.LET(_xlpm.d,INDEX(E:E,ROW()-13):E1107-INDEX(E:E,ROW()-14):INDEX(E:E,ROW()-1),_xlpm.g,SUM(IF(_xlpm.d&gt;0,_xlpm.d,0)),_xlpm.l,-SUM(IF(_xlpm.d&lt;0,_xlpm.d,0)),IF(_xlpm.l=0,100,100-100/(1+_xlpm.g/_xlpm.l))))</f>
        <v/>
      </c>
      <c r="M1107" s="211">
        <f>MAX($E$2:E1107)</f>
        <v/>
      </c>
      <c r="N1107" s="341">
        <f>E1107/M1107-1</f>
        <v/>
      </c>
    </row>
    <row r="1108">
      <c r="A1108" s="424" t="n">
        <v>46076</v>
      </c>
      <c r="B1108" s="425" t="n">
        <v>62.93726184148166</v>
      </c>
      <c r="C1108" s="425" t="n">
        <v>63.29774110299479</v>
      </c>
      <c r="D1108" s="425" t="n">
        <v>60.45289692709624</v>
      </c>
      <c r="E1108" s="425" t="n">
        <v>61.46612930297852</v>
      </c>
      <c r="F1108" s="207" t="n">
        <v>17748800</v>
      </c>
      <c r="G1108" s="208" t="n">
        <v>-0.01021129581717761</v>
      </c>
      <c r="H1108" s="209" cm="1">
        <f t="array" ref="H1108">IF(ROW()&lt;3,"",E1108/INDEX(E:E,ROW()-1)-1)</f>
        <v/>
      </c>
      <c r="I1108" s="211">
        <f>IF(ROW()&lt;51,NA(),AVERAGE(INDEX(E:E,ROW()-49):E1108))</f>
        <v/>
      </c>
      <c r="J1108" s="211">
        <f>IF(ROW()&lt;201,NA(),AVERAGE(INDEX(E:E,ROW()-199):E1108))</f>
        <v/>
      </c>
      <c r="K1108" s="341">
        <f>IF(ROW()&lt;22,NA(),_xlfn.STDEV.S(INDEX(H:H,ROW()-19):H1108)*SQRT(252))</f>
        <v/>
      </c>
      <c r="L1108" s="426" cm="1">
        <f t="array" ref="L1108">IF(ROW()&lt;17,NA(),_xlfn.LET(_xlpm.d,INDEX(E:E,ROW()-13):E1108-INDEX(E:E,ROW()-14):INDEX(E:E,ROW()-1),_xlpm.g,SUM(IF(_xlpm.d&gt;0,_xlpm.d,0)),_xlpm.l,-SUM(IF(_xlpm.d&lt;0,_xlpm.d,0)),IF(_xlpm.l=0,100,100-100/(1+_xlpm.g/_xlpm.l))))</f>
        <v/>
      </c>
      <c r="M1108" s="211">
        <f>MAX($E$2:E1108)</f>
        <v/>
      </c>
      <c r="N1108" s="341">
        <f>E1108/M1108-1</f>
        <v/>
      </c>
    </row>
    <row r="1109">
      <c r="A1109" s="424" t="n">
        <v>46077</v>
      </c>
      <c r="B1109" s="425" t="n">
        <v>61.65123487983895</v>
      </c>
      <c r="C1109" s="425" t="n">
        <v>63.03468371566968</v>
      </c>
      <c r="D1109" s="425" t="n">
        <v>60.98873710263497</v>
      </c>
      <c r="E1109" s="425" t="n">
        <v>62.44038391113281</v>
      </c>
      <c r="F1109" s="207" t="n">
        <v>14296100</v>
      </c>
      <c r="G1109" s="208" t="n">
        <v>0.007268586321031556</v>
      </c>
      <c r="H1109" s="209" cm="1">
        <f t="array" ref="H1109">IF(ROW()&lt;3,"",E1109/INDEX(E:E,ROW()-1)-1)</f>
        <v/>
      </c>
      <c r="I1109" s="211">
        <f>IF(ROW()&lt;51,NA(),AVERAGE(INDEX(E:E,ROW()-49):E1109))</f>
        <v/>
      </c>
      <c r="J1109" s="211">
        <f>IF(ROW()&lt;201,NA(),AVERAGE(INDEX(E:E,ROW()-199):E1109))</f>
        <v/>
      </c>
      <c r="K1109" s="341">
        <f>IF(ROW()&lt;22,NA(),_xlfn.STDEV.S(INDEX(H:H,ROW()-19):H1109)*SQRT(252))</f>
        <v/>
      </c>
      <c r="L1109" s="426" cm="1">
        <f t="array" ref="L1109">IF(ROW()&lt;17,NA(),_xlfn.LET(_xlpm.d,INDEX(E:E,ROW()-13):E1109-INDEX(E:E,ROW()-14):INDEX(E:E,ROW()-1),_xlpm.g,SUM(IF(_xlpm.d&gt;0,_xlpm.d,0)),_xlpm.l,-SUM(IF(_xlpm.d&lt;0,_xlpm.d,0)),IF(_xlpm.l=0,100,100-100/(1+_xlpm.g/_xlpm.l))))</f>
        <v/>
      </c>
      <c r="M1109" s="211">
        <f>MAX($E$2:E1109)</f>
        <v/>
      </c>
      <c r="N1109" s="341">
        <f>E1109/M1109-1</f>
        <v/>
      </c>
    </row>
    <row r="1110">
      <c r="A1110" s="424" t="n">
        <v>46078</v>
      </c>
      <c r="B1110" s="425" t="n">
        <v>62.24553614949617</v>
      </c>
      <c r="C1110" s="425" t="n">
        <v>62.5670440709322</v>
      </c>
      <c r="D1110" s="425" t="n">
        <v>61.63175066453432</v>
      </c>
      <c r="E1110" s="425" t="n">
        <v>61.76815032958984</v>
      </c>
      <c r="F1110" s="207" t="n">
        <v>9500800</v>
      </c>
      <c r="G1110" s="208" t="n">
        <v>0.008438139639442843</v>
      </c>
      <c r="H1110" s="209" cm="1">
        <f t="array" ref="H1110">IF(ROW()&lt;3,"",E1110/INDEX(E:E,ROW()-1)-1)</f>
        <v/>
      </c>
      <c r="I1110" s="211">
        <f>IF(ROW()&lt;51,NA(),AVERAGE(INDEX(E:E,ROW()-49):E1110))</f>
        <v/>
      </c>
      <c r="J1110" s="211">
        <f>IF(ROW()&lt;201,NA(),AVERAGE(INDEX(E:E,ROW()-199):E1110))</f>
        <v/>
      </c>
      <c r="K1110" s="341">
        <f>IF(ROW()&lt;22,NA(),_xlfn.STDEV.S(INDEX(H:H,ROW()-19):H1110)*SQRT(252))</f>
        <v/>
      </c>
      <c r="L1110" s="426" cm="1">
        <f t="array" ref="L1110">IF(ROW()&lt;17,NA(),_xlfn.LET(_xlpm.d,INDEX(E:E,ROW()-13):E1110-INDEX(E:E,ROW()-14):INDEX(E:E,ROW()-1),_xlpm.g,SUM(IF(_xlpm.d&gt;0,_xlpm.d,0)),_xlpm.l,-SUM(IF(_xlpm.d&lt;0,_xlpm.d,0)),IF(_xlpm.l=0,100,100-100/(1+_xlpm.g/_xlpm.l))))</f>
        <v/>
      </c>
      <c r="M1110" s="211">
        <f>MAX($E$2:E1110)</f>
        <v/>
      </c>
      <c r="N1110" s="341">
        <f>E1110/M1110-1</f>
        <v/>
      </c>
    </row>
    <row r="1111">
      <c r="A1111" s="424" t="n">
        <v>46079</v>
      </c>
      <c r="B1111" s="425" t="n">
        <v>62.55730328626715</v>
      </c>
      <c r="C1111" s="425" t="n">
        <v>63.38542372072634</v>
      </c>
      <c r="D1111" s="425" t="n">
        <v>62.13837072299643</v>
      </c>
      <c r="E1111" s="425" t="n">
        <v>62.30399703979492</v>
      </c>
      <c r="F1111" s="207" t="n">
        <v>10319100</v>
      </c>
      <c r="G1111" s="208" t="n">
        <v>-0.005554395000458845</v>
      </c>
      <c r="H1111" s="209" cm="1">
        <f t="array" ref="H1111">IF(ROW()&lt;3,"",E1111/INDEX(E:E,ROW()-1)-1)</f>
        <v/>
      </c>
      <c r="I1111" s="211">
        <f>IF(ROW()&lt;51,NA(),AVERAGE(INDEX(E:E,ROW()-49):E1111))</f>
        <v/>
      </c>
      <c r="J1111" s="211">
        <f>IF(ROW()&lt;201,NA(),AVERAGE(INDEX(E:E,ROW()-199):E1111))</f>
        <v/>
      </c>
      <c r="K1111" s="341">
        <f>IF(ROW()&lt;22,NA(),_xlfn.STDEV.S(INDEX(H:H,ROW()-19):H1111)*SQRT(252))</f>
        <v/>
      </c>
      <c r="L1111" s="426" cm="1">
        <f t="array" ref="L1111">IF(ROW()&lt;17,NA(),_xlfn.LET(_xlpm.d,INDEX(E:E,ROW()-13):E1111-INDEX(E:E,ROW()-14):INDEX(E:E,ROW()-1),_xlpm.g,SUM(IF(_xlpm.d&gt;0,_xlpm.d,0)),_xlpm.l,-SUM(IF(_xlpm.d&lt;0,_xlpm.d,0)),IF(_xlpm.l=0,100,100-100/(1+_xlpm.g/_xlpm.l))))</f>
        <v/>
      </c>
      <c r="M1111" s="211">
        <f>MAX($E$2:E1111)</f>
        <v/>
      </c>
      <c r="N1111" s="341">
        <f>E1111/M1111-1</f>
        <v/>
      </c>
    </row>
    <row r="1112">
      <c r="A1112" s="424" t="n">
        <v>46080</v>
      </c>
      <c r="B1112" s="425" t="n">
        <v>61.10565354975165</v>
      </c>
      <c r="C1112" s="425" t="n">
        <v>61.10565354975165</v>
      </c>
      <c r="D1112" s="425" t="n">
        <v>59.93653955975683</v>
      </c>
      <c r="E1112" s="425" t="n">
        <v>60.57955169677734</v>
      </c>
      <c r="F1112" s="207" t="n">
        <v>18017400</v>
      </c>
      <c r="G1112" s="208" t="n">
        <v>-0.004801907270092998</v>
      </c>
      <c r="H1112" s="209" cm="1">
        <f t="array" ref="H1112">IF(ROW()&lt;3,"",E1112/INDEX(E:E,ROW()-1)-1)</f>
        <v/>
      </c>
      <c r="I1112" s="211">
        <f>IF(ROW()&lt;51,NA(),AVERAGE(INDEX(E:E,ROW()-49):E1112))</f>
        <v/>
      </c>
      <c r="J1112" s="211">
        <f>IF(ROW()&lt;201,NA(),AVERAGE(INDEX(E:E,ROW()-199):E1112))</f>
        <v/>
      </c>
      <c r="K1112" s="341">
        <f>IF(ROW()&lt;22,NA(),_xlfn.STDEV.S(INDEX(H:H,ROW()-19):H1112)*SQRT(252))</f>
        <v/>
      </c>
      <c r="L1112" s="426" cm="1">
        <f t="array" ref="L1112">IF(ROW()&lt;17,NA(),_xlfn.LET(_xlpm.d,INDEX(E:E,ROW()-13):E1112-INDEX(E:E,ROW()-14):INDEX(E:E,ROW()-1),_xlpm.g,SUM(IF(_xlpm.d&gt;0,_xlpm.d,0)),_xlpm.l,-SUM(IF(_xlpm.d&lt;0,_xlpm.d,0)),IF(_xlpm.l=0,100,100-100/(1+_xlpm.g/_xlpm.l))))</f>
        <v/>
      </c>
      <c r="M1112" s="211">
        <f>MAX($E$2:E1112)</f>
        <v/>
      </c>
      <c r="N1112" s="341">
        <f>E1112/M1112-1</f>
        <v/>
      </c>
    </row>
    <row r="1113">
      <c r="A1113" s="424" t="n">
        <v>46083</v>
      </c>
      <c r="B1113" s="425" t="n">
        <v>58.74558959981803</v>
      </c>
      <c r="C1113" s="425" t="n">
        <v>60.34417302651048</v>
      </c>
      <c r="D1113" s="425" t="n">
        <v>58.00023446705245</v>
      </c>
      <c r="E1113" s="425" t="n">
        <v>59.83419418334961</v>
      </c>
      <c r="F1113" s="207" t="n">
        <v>15335000</v>
      </c>
      <c r="G1113" s="208" t="n">
        <v>0.0005685897092166936</v>
      </c>
      <c r="H1113" s="209" cm="1">
        <f t="array" ref="H1113">IF(ROW()&lt;3,"",E1113/INDEX(E:E,ROW()-1)-1)</f>
        <v/>
      </c>
      <c r="I1113" s="211">
        <f>IF(ROW()&lt;51,NA(),AVERAGE(INDEX(E:E,ROW()-49):E1113))</f>
        <v/>
      </c>
      <c r="J1113" s="211">
        <f>IF(ROW()&lt;201,NA(),AVERAGE(INDEX(E:E,ROW()-199):E1113))</f>
        <v/>
      </c>
      <c r="K1113" s="341">
        <f>IF(ROW()&lt;22,NA(),_xlfn.STDEV.S(INDEX(H:H,ROW()-19):H1113)*SQRT(252))</f>
        <v/>
      </c>
      <c r="L1113" s="426" cm="1">
        <f t="array" ref="L1113">IF(ROW()&lt;17,NA(),_xlfn.LET(_xlpm.d,INDEX(E:E,ROW()-13):E1113-INDEX(E:E,ROW()-14):INDEX(E:E,ROW()-1),_xlpm.g,SUM(IF(_xlpm.d&gt;0,_xlpm.d,0)),_xlpm.l,-SUM(IF(_xlpm.d&lt;0,_xlpm.d,0)),IF(_xlpm.l=0,100,100-100/(1+_xlpm.g/_xlpm.l))))</f>
        <v/>
      </c>
      <c r="M1113" s="211">
        <f>MAX($E$2:E1113)</f>
        <v/>
      </c>
      <c r="N1113" s="341">
        <f>E1113/M1113-1</f>
        <v/>
      </c>
    </row>
    <row r="1114">
      <c r="A1114" s="424" t="n">
        <v>46084</v>
      </c>
      <c r="B1114" s="425" t="n">
        <v>58.29445418622719</v>
      </c>
      <c r="C1114" s="425" t="n">
        <v>58.95154370242014</v>
      </c>
      <c r="D1114" s="425" t="n">
        <v>57.49025775710461</v>
      </c>
      <c r="E1114" s="425" t="n">
        <v>58.24541854858398</v>
      </c>
      <c r="F1114" s="207" t="n">
        <v>17438600</v>
      </c>
      <c r="G1114" s="208" t="n">
        <v>-0.008814360718000014</v>
      </c>
      <c r="H1114" s="209" cm="1">
        <f t="array" ref="H1114">IF(ROW()&lt;3,"",E1114/INDEX(E:E,ROW()-1)-1)</f>
        <v/>
      </c>
      <c r="I1114" s="211">
        <f>IF(ROW()&lt;51,NA(),AVERAGE(INDEX(E:E,ROW()-49):E1114))</f>
        <v/>
      </c>
      <c r="J1114" s="211">
        <f>IF(ROW()&lt;201,NA(),AVERAGE(INDEX(E:E,ROW()-199):E1114))</f>
        <v/>
      </c>
      <c r="K1114" s="341">
        <f>IF(ROW()&lt;22,NA(),_xlfn.STDEV.S(INDEX(H:H,ROW()-19):H1114)*SQRT(252))</f>
        <v/>
      </c>
      <c r="L1114" s="426" cm="1">
        <f t="array" ref="L1114">IF(ROW()&lt;17,NA(),_xlfn.LET(_xlpm.d,INDEX(E:E,ROW()-13):E1114-INDEX(E:E,ROW()-14):INDEX(E:E,ROW()-1),_xlpm.g,SUM(IF(_xlpm.d&gt;0,_xlpm.d,0)),_xlpm.l,-SUM(IF(_xlpm.d&lt;0,_xlpm.d,0)),IF(_xlpm.l=0,100,100-100/(1+_xlpm.g/_xlpm.l))))</f>
        <v/>
      </c>
      <c r="M1114" s="211">
        <f>MAX($E$2:E1114)</f>
        <v/>
      </c>
      <c r="N1114" s="341">
        <f>E1114/M1114-1</f>
        <v/>
      </c>
    </row>
    <row r="1115">
      <c r="A1115" s="424" t="n">
        <v>46085</v>
      </c>
      <c r="B1115" s="425" t="n">
        <v>58.04927192991976</v>
      </c>
      <c r="C1115" s="425" t="n">
        <v>58.34349323648078</v>
      </c>
      <c r="D1115" s="425" t="n">
        <v>57.48045180233907</v>
      </c>
      <c r="E1115" s="425" t="n">
        <v>57.50987243652344</v>
      </c>
      <c r="F1115" s="207" t="n">
        <v>15971300</v>
      </c>
      <c r="G1115" s="208" t="n">
        <v>0.007055426061514547</v>
      </c>
      <c r="H1115" s="209" cm="1">
        <f t="array" ref="H1115">IF(ROW()&lt;3,"",E1115/INDEX(E:E,ROW()-1)-1)</f>
        <v/>
      </c>
      <c r="I1115" s="211">
        <f>IF(ROW()&lt;51,NA(),AVERAGE(INDEX(E:E,ROW()-49):E1115))</f>
        <v/>
      </c>
      <c r="J1115" s="211">
        <f>IF(ROW()&lt;201,NA(),AVERAGE(INDEX(E:E,ROW()-199):E1115))</f>
        <v/>
      </c>
      <c r="K1115" s="341">
        <f>IF(ROW()&lt;22,NA(),_xlfn.STDEV.S(INDEX(H:H,ROW()-19):H1115)*SQRT(252))</f>
        <v/>
      </c>
      <c r="L1115" s="426" cm="1">
        <f t="array" ref="L1115">IF(ROW()&lt;17,NA(),_xlfn.LET(_xlpm.d,INDEX(E:E,ROW()-13):E1115-INDEX(E:E,ROW()-14):INDEX(E:E,ROW()-1),_xlpm.g,SUM(IF(_xlpm.d&gt;0,_xlpm.d,0)),_xlpm.l,-SUM(IF(_xlpm.d&lt;0,_xlpm.d,0)),IF(_xlpm.l=0,100,100-100/(1+_xlpm.g/_xlpm.l))))</f>
        <v/>
      </c>
      <c r="M1115" s="211">
        <f>MAX($E$2:E1115)</f>
        <v/>
      </c>
      <c r="N1115" s="341">
        <f>E1115/M1115-1</f>
        <v/>
      </c>
    </row>
    <row r="1116">
      <c r="A1116" s="424" t="n">
        <v>46086</v>
      </c>
      <c r="B1116" s="425" t="n">
        <v>57.4706451052293</v>
      </c>
      <c r="C1116" s="425" t="n">
        <v>57.65698577354873</v>
      </c>
      <c r="D1116" s="425" t="n">
        <v>56.32319542447685</v>
      </c>
      <c r="E1116" s="425" t="n">
        <v>56.90182495117188</v>
      </c>
      <c r="F1116" s="207" t="n">
        <v>22040200</v>
      </c>
      <c r="G1116" s="208" t="n">
        <v>-0.005575689516073234</v>
      </c>
      <c r="H1116" s="209" cm="1">
        <f t="array" ref="H1116">IF(ROW()&lt;3,"",E1116/INDEX(E:E,ROW()-1)-1)</f>
        <v/>
      </c>
      <c r="I1116" s="211">
        <f>IF(ROW()&lt;51,NA(),AVERAGE(INDEX(E:E,ROW()-49):E1116))</f>
        <v/>
      </c>
      <c r="J1116" s="211">
        <f>IF(ROW()&lt;201,NA(),AVERAGE(INDEX(E:E,ROW()-199):E1116))</f>
        <v/>
      </c>
      <c r="K1116" s="341">
        <f>IF(ROW()&lt;22,NA(),_xlfn.STDEV.S(INDEX(H:H,ROW()-19):H1116)*SQRT(252))</f>
        <v/>
      </c>
      <c r="L1116" s="426" cm="1">
        <f t="array" ref="L1116">IF(ROW()&lt;17,NA(),_xlfn.LET(_xlpm.d,INDEX(E:E,ROW()-13):E1116-INDEX(E:E,ROW()-14):INDEX(E:E,ROW()-1),_xlpm.g,SUM(IF(_xlpm.d&gt;0,_xlpm.d,0)),_xlpm.l,-SUM(IF(_xlpm.d&lt;0,_xlpm.d,0)),IF(_xlpm.l=0,100,100-100/(1+_xlpm.g/_xlpm.l))))</f>
        <v/>
      </c>
      <c r="M1116" s="211">
        <f>MAX($E$2:E1116)</f>
        <v/>
      </c>
      <c r="N1116" s="341">
        <f>E1116/M1116-1</f>
        <v/>
      </c>
    </row>
    <row r="1117">
      <c r="A1117" s="424" t="n">
        <v>46087</v>
      </c>
      <c r="B1117" s="425" t="n">
        <v>56.36242299270278</v>
      </c>
      <c r="C1117" s="425" t="n">
        <v>56.44087926450968</v>
      </c>
      <c r="D1117" s="425" t="n">
        <v>55.66610347157766</v>
      </c>
      <c r="E1117" s="425" t="n">
        <v>55.91128540039062</v>
      </c>
      <c r="F1117" s="207" t="n">
        <v>16323700</v>
      </c>
      <c r="G1117" s="208" t="n">
        <v>-0.0131069943484472</v>
      </c>
      <c r="H1117" s="209" cm="1">
        <f t="array" ref="H1117">IF(ROW()&lt;3,"",E1117/INDEX(E:E,ROW()-1)-1)</f>
        <v/>
      </c>
      <c r="I1117" s="211">
        <f>IF(ROW()&lt;51,NA(),AVERAGE(INDEX(E:E,ROW()-49):E1117))</f>
        <v/>
      </c>
      <c r="J1117" s="211">
        <f>IF(ROW()&lt;201,NA(),AVERAGE(INDEX(E:E,ROW()-199):E1117))</f>
        <v/>
      </c>
      <c r="K1117" s="341">
        <f>IF(ROW()&lt;22,NA(),_xlfn.STDEV.S(INDEX(H:H,ROW()-19):H1117)*SQRT(252))</f>
        <v/>
      </c>
      <c r="L1117" s="426" cm="1">
        <f t="array" ref="L1117">IF(ROW()&lt;17,NA(),_xlfn.LET(_xlpm.d,INDEX(E:E,ROW()-13):E1117-INDEX(E:E,ROW()-14):INDEX(E:E,ROW()-1),_xlpm.g,SUM(IF(_xlpm.d&gt;0,_xlpm.d,0)),_xlpm.l,-SUM(IF(_xlpm.d&lt;0,_xlpm.d,0)),IF(_xlpm.l=0,100,100-100/(1+_xlpm.g/_xlpm.l))))</f>
        <v/>
      </c>
      <c r="M1117" s="211">
        <f>MAX($E$2:E1117)</f>
        <v/>
      </c>
      <c r="N1117" s="341">
        <f>E1117/M1117-1</f>
        <v/>
      </c>
    </row>
    <row r="1118">
      <c r="A1118" s="424" t="n">
        <v>46090</v>
      </c>
      <c r="B1118" s="425" t="n">
        <v>54.66576444792739</v>
      </c>
      <c r="C1118" s="425" t="n">
        <v>55.61706778691351</v>
      </c>
      <c r="D1118" s="425" t="n">
        <v>54.32250750317256</v>
      </c>
      <c r="E1118" s="425" t="n">
        <v>55.44053649902344</v>
      </c>
      <c r="F1118" s="207" t="n">
        <v>18053100</v>
      </c>
      <c r="G1118" s="208" t="n">
        <v>0.008759848345474275</v>
      </c>
      <c r="H1118" s="209" cm="1">
        <f t="array" ref="H1118">IF(ROW()&lt;3,"",E1118/INDEX(E:E,ROW()-1)-1)</f>
        <v/>
      </c>
      <c r="I1118" s="211">
        <f>IF(ROW()&lt;51,NA(),AVERAGE(INDEX(E:E,ROW()-49):E1118))</f>
        <v/>
      </c>
      <c r="J1118" s="211">
        <f>IF(ROW()&lt;201,NA(),AVERAGE(INDEX(E:E,ROW()-199):E1118))</f>
        <v/>
      </c>
      <c r="K1118" s="341">
        <f>IF(ROW()&lt;22,NA(),_xlfn.STDEV.S(INDEX(H:H,ROW()-19):H1118)*SQRT(252))</f>
        <v/>
      </c>
      <c r="L1118" s="426" cm="1">
        <f t="array" ref="L1118">IF(ROW()&lt;17,NA(),_xlfn.LET(_xlpm.d,INDEX(E:E,ROW()-13):E1118-INDEX(E:E,ROW()-14):INDEX(E:E,ROW()-1),_xlpm.g,SUM(IF(_xlpm.d&gt;0,_xlpm.d,0)),_xlpm.l,-SUM(IF(_xlpm.d&lt;0,_xlpm.d,0)),IF(_xlpm.l=0,100,100-100/(1+_xlpm.g/_xlpm.l))))</f>
        <v/>
      </c>
      <c r="M1118" s="211">
        <f>MAX($E$2:E1118)</f>
        <v/>
      </c>
      <c r="N1118" s="341">
        <f>E1118/M1118-1</f>
        <v/>
      </c>
    </row>
    <row r="1119">
      <c r="A1119" s="424" t="n">
        <v>46091</v>
      </c>
      <c r="B1119" s="425" t="n">
        <v>55.60726433156431</v>
      </c>
      <c r="C1119" s="425" t="n">
        <v>56.13685821595527</v>
      </c>
      <c r="D1119" s="425" t="n">
        <v>54.72460785757936</v>
      </c>
      <c r="E1119" s="425" t="n">
        <v>54.99921417236328</v>
      </c>
      <c r="F1119" s="207" t="n">
        <v>15706400</v>
      </c>
      <c r="G1119" s="208" t="n">
        <v>-0.001607106419447391</v>
      </c>
      <c r="H1119" s="209" cm="1">
        <f t="array" ref="H1119">IF(ROW()&lt;3,"",E1119/INDEX(E:E,ROW()-1)-1)</f>
        <v/>
      </c>
      <c r="I1119" s="211">
        <f>IF(ROW()&lt;51,NA(),AVERAGE(INDEX(E:E,ROW()-49):E1119))</f>
        <v/>
      </c>
      <c r="J1119" s="211">
        <f>IF(ROW()&lt;201,NA(),AVERAGE(INDEX(E:E,ROW()-199):E1119))</f>
        <v/>
      </c>
      <c r="K1119" s="341">
        <f>IF(ROW()&lt;22,NA(),_xlfn.STDEV.S(INDEX(H:H,ROW()-19):H1119)*SQRT(252))</f>
        <v/>
      </c>
      <c r="L1119" s="426" cm="1">
        <f t="array" ref="L1119">IF(ROW()&lt;17,NA(),_xlfn.LET(_xlpm.d,INDEX(E:E,ROW()-13):E1119-INDEX(E:E,ROW()-14):INDEX(E:E,ROW()-1),_xlpm.g,SUM(IF(_xlpm.d&gt;0,_xlpm.d,0)),_xlpm.l,-SUM(IF(_xlpm.d&lt;0,_xlpm.d,0)),IF(_xlpm.l=0,100,100-100/(1+_xlpm.g/_xlpm.l))))</f>
        <v/>
      </c>
      <c r="M1119" s="211">
        <f>MAX($E$2:E1119)</f>
        <v/>
      </c>
      <c r="N1119" s="341">
        <f>E1119/M1119-1</f>
        <v/>
      </c>
    </row>
    <row r="1120">
      <c r="A1120" s="424" t="n">
        <v>46092</v>
      </c>
      <c r="B1120" s="425" t="n">
        <v>56.4899178339824</v>
      </c>
      <c r="C1120" s="425" t="n">
        <v>56.4899178339824</v>
      </c>
      <c r="D1120" s="425" t="n">
        <v>54.34212537293038</v>
      </c>
      <c r="E1120" s="425" t="n">
        <v>54.62653732299805</v>
      </c>
      <c r="F1120" s="207" t="n">
        <v>20245300</v>
      </c>
      <c r="G1120" s="208" t="n">
        <v>-0.001255072132811508</v>
      </c>
      <c r="H1120" s="209" cm="1">
        <f t="array" ref="H1120">IF(ROW()&lt;3,"",E1120/INDEX(E:E,ROW()-1)-1)</f>
        <v/>
      </c>
      <c r="I1120" s="211">
        <f>IF(ROW()&lt;51,NA(),AVERAGE(INDEX(E:E,ROW()-49):E1120))</f>
        <v/>
      </c>
      <c r="J1120" s="211">
        <f>IF(ROW()&lt;201,NA(),AVERAGE(INDEX(E:E,ROW()-199):E1120))</f>
        <v/>
      </c>
      <c r="K1120" s="341">
        <f>IF(ROW()&lt;22,NA(),_xlfn.STDEV.S(INDEX(H:H,ROW()-19):H1120)*SQRT(252))</f>
        <v/>
      </c>
      <c r="L1120" s="426" cm="1">
        <f t="array" ref="L1120">IF(ROW()&lt;17,NA(),_xlfn.LET(_xlpm.d,INDEX(E:E,ROW()-13):E1120-INDEX(E:E,ROW()-14):INDEX(E:E,ROW()-1),_xlpm.g,SUM(IF(_xlpm.d&gt;0,_xlpm.d,0)),_xlpm.l,-SUM(IF(_xlpm.d&lt;0,_xlpm.d,0)),IF(_xlpm.l=0,100,100-100/(1+_xlpm.g/_xlpm.l))))</f>
        <v/>
      </c>
      <c r="M1120" s="211">
        <f>MAX($E$2:E1120)</f>
        <v/>
      </c>
      <c r="N1120" s="341">
        <f>E1120/M1120-1</f>
        <v/>
      </c>
    </row>
    <row r="1121">
      <c r="A1121" s="424" t="n">
        <v>46093</v>
      </c>
      <c r="B1121" s="425" t="n">
        <v>54.21462661403</v>
      </c>
      <c r="C1121" s="425" t="n">
        <v>54.39115790113217</v>
      </c>
      <c r="D1121" s="425" t="n">
        <v>52.98871697647556</v>
      </c>
      <c r="E1121" s="425" t="n">
        <v>53.0867919921875</v>
      </c>
      <c r="F1121" s="207" t="n">
        <v>18611800</v>
      </c>
      <c r="G1121" s="208" t="n">
        <v>-0.01518492944864958</v>
      </c>
      <c r="H1121" s="209" cm="1">
        <f t="array" ref="H1121">IF(ROW()&lt;3,"",E1121/INDEX(E:E,ROW()-1)-1)</f>
        <v/>
      </c>
      <c r="I1121" s="211">
        <f>IF(ROW()&lt;51,NA(),AVERAGE(INDEX(E:E,ROW()-49):E1121))</f>
        <v/>
      </c>
      <c r="J1121" s="211">
        <f>IF(ROW()&lt;201,NA(),AVERAGE(INDEX(E:E,ROW()-199):E1121))</f>
        <v/>
      </c>
      <c r="K1121" s="341">
        <f>IF(ROW()&lt;22,NA(),_xlfn.STDEV.S(INDEX(H:H,ROW()-19):H1121)*SQRT(252))</f>
        <v/>
      </c>
      <c r="L1121" s="426" cm="1">
        <f t="array" ref="L1121">IF(ROW()&lt;17,NA(),_xlfn.LET(_xlpm.d,INDEX(E:E,ROW()-13):E1121-INDEX(E:E,ROW()-14):INDEX(E:E,ROW()-1),_xlpm.g,SUM(IF(_xlpm.d&gt;0,_xlpm.d,0)),_xlpm.l,-SUM(IF(_xlpm.d&lt;0,_xlpm.d,0)),IF(_xlpm.l=0,100,100-100/(1+_xlpm.g/_xlpm.l))))</f>
        <v/>
      </c>
      <c r="M1121" s="211">
        <f>MAX($E$2:E1121)</f>
        <v/>
      </c>
      <c r="N1121" s="341">
        <f>E1121/M1121-1</f>
        <v/>
      </c>
    </row>
    <row r="1122">
      <c r="A1122" s="424" t="n">
        <v>46094</v>
      </c>
      <c r="B1122" s="425" t="n">
        <v>53.29274458549281</v>
      </c>
      <c r="C1122" s="425" t="n">
        <v>53.81252908119355</v>
      </c>
      <c r="D1122" s="425" t="n">
        <v>52.7043094485176</v>
      </c>
      <c r="E1122" s="425" t="n">
        <v>52.93968200683594</v>
      </c>
      <c r="F1122" s="207" t="n">
        <v>14377100</v>
      </c>
      <c r="G1122" s="208" t="n">
        <v>-0.005660153274538393</v>
      </c>
      <c r="H1122" s="209" cm="1">
        <f t="array" ref="H1122">IF(ROW()&lt;3,"",E1122/INDEX(E:E,ROW()-1)-1)</f>
        <v/>
      </c>
      <c r="I1122" s="211">
        <f>IF(ROW()&lt;51,NA(),AVERAGE(INDEX(E:E,ROW()-49):E1122))</f>
        <v/>
      </c>
      <c r="J1122" s="211">
        <f>IF(ROW()&lt;201,NA(),AVERAGE(INDEX(E:E,ROW()-199):E1122))</f>
        <v/>
      </c>
      <c r="K1122" s="341">
        <f>IF(ROW()&lt;22,NA(),_xlfn.STDEV.S(INDEX(H:H,ROW()-19):H1122)*SQRT(252))</f>
        <v/>
      </c>
      <c r="L1122" s="426" cm="1">
        <f t="array" ref="L1122">IF(ROW()&lt;17,NA(),_xlfn.LET(_xlpm.d,INDEX(E:E,ROW()-13):E1122-INDEX(E:E,ROW()-14):INDEX(E:E,ROW()-1),_xlpm.g,SUM(IF(_xlpm.d&gt;0,_xlpm.d,0)),_xlpm.l,-SUM(IF(_xlpm.d&lt;0,_xlpm.d,0)),IF(_xlpm.l=0,100,100-100/(1+_xlpm.g/_xlpm.l))))</f>
        <v/>
      </c>
      <c r="M1122" s="211">
        <f>MAX($E$2:E1122)</f>
        <v/>
      </c>
      <c r="N1122" s="341">
        <f>E1122/M1122-1</f>
        <v/>
      </c>
    </row>
    <row r="1123">
      <c r="A1123" s="424" t="n">
        <v>46097</v>
      </c>
      <c r="B1123" s="425" t="n">
        <v>53.22409476644214</v>
      </c>
      <c r="C1123" s="425" t="n">
        <v>54.00867620825602</v>
      </c>
      <c r="D1123" s="425" t="n">
        <v>52.93968282466604</v>
      </c>
      <c r="E1123" s="425" t="n">
        <v>53.73407363891602</v>
      </c>
      <c r="F1123" s="207" t="n">
        <v>13115200</v>
      </c>
      <c r="G1123" s="208" t="n">
        <v>0.01017678036768932</v>
      </c>
      <c r="H1123" s="209" cm="1">
        <f t="array" ref="H1123">IF(ROW()&lt;3,"",E1123/INDEX(E:E,ROW()-1)-1)</f>
        <v/>
      </c>
      <c r="I1123" s="211">
        <f>IF(ROW()&lt;51,NA(),AVERAGE(INDEX(E:E,ROW()-49):E1123))</f>
        <v/>
      </c>
      <c r="J1123" s="211">
        <f>IF(ROW()&lt;201,NA(),AVERAGE(INDEX(E:E,ROW()-199):E1123))</f>
        <v/>
      </c>
      <c r="K1123" s="341">
        <f>IF(ROW()&lt;22,NA(),_xlfn.STDEV.S(INDEX(H:H,ROW()-19):H1123)*SQRT(252))</f>
        <v/>
      </c>
      <c r="L1123" s="426" cm="1">
        <f t="array" ref="L1123">IF(ROW()&lt;17,NA(),_xlfn.LET(_xlpm.d,INDEX(E:E,ROW()-13):E1123-INDEX(E:E,ROW()-14):INDEX(E:E,ROW()-1),_xlpm.g,SUM(IF(_xlpm.d&gt;0,_xlpm.d,0)),_xlpm.l,-SUM(IF(_xlpm.d&lt;0,_xlpm.d,0)),IF(_xlpm.l=0,100,100-100/(1+_xlpm.g/_xlpm.l))))</f>
        <v/>
      </c>
      <c r="M1123" s="211">
        <f>MAX($E$2:E1123)</f>
        <v/>
      </c>
      <c r="N1123" s="341">
        <f>E1123/M1123-1</f>
        <v/>
      </c>
    </row>
    <row r="1124">
      <c r="A1124" s="424" t="n">
        <v>46098</v>
      </c>
      <c r="B1124" s="425" t="n">
        <v>54.38135450833227</v>
      </c>
      <c r="C1124" s="425" t="n">
        <v>54.60692144198445</v>
      </c>
      <c r="D1124" s="425" t="n">
        <v>53.94002627241299</v>
      </c>
      <c r="E1124" s="425" t="n">
        <v>54.05771255493164</v>
      </c>
      <c r="F1124" s="207" t="n">
        <v>9861400</v>
      </c>
      <c r="G1124" s="208" t="n">
        <v>0.002630641382033616</v>
      </c>
      <c r="H1124" s="209" cm="1">
        <f t="array" ref="H1124">IF(ROW()&lt;3,"",E1124/INDEX(E:E,ROW()-1)-1)</f>
        <v/>
      </c>
      <c r="I1124" s="211">
        <f>IF(ROW()&lt;51,NA(),AVERAGE(INDEX(E:E,ROW()-49):E1124))</f>
        <v/>
      </c>
      <c r="J1124" s="211">
        <f>IF(ROW()&lt;201,NA(),AVERAGE(INDEX(E:E,ROW()-199):E1124))</f>
        <v/>
      </c>
      <c r="K1124" s="341">
        <f>IF(ROW()&lt;22,NA(),_xlfn.STDEV.S(INDEX(H:H,ROW()-19):H1124)*SQRT(252))</f>
        <v/>
      </c>
      <c r="L1124" s="426" cm="1">
        <f t="array" ref="L1124">IF(ROW()&lt;17,NA(),_xlfn.LET(_xlpm.d,INDEX(E:E,ROW()-13):E1124-INDEX(E:E,ROW()-14):INDEX(E:E,ROW()-1),_xlpm.g,SUM(IF(_xlpm.d&gt;0,_xlpm.d,0)),_xlpm.l,-SUM(IF(_xlpm.d&lt;0,_xlpm.d,0)),IF(_xlpm.l=0,100,100-100/(1+_xlpm.g/_xlpm.l))))</f>
        <v/>
      </c>
      <c r="M1124" s="211">
        <f>MAX($E$2:E1124)</f>
        <v/>
      </c>
      <c r="N1124" s="341">
        <f>E1124/M1124-1</f>
        <v/>
      </c>
    </row>
    <row r="1125">
      <c r="A1125" s="424" t="n">
        <v>46099</v>
      </c>
      <c r="B1125" s="425" t="n">
        <v>53.44966254876277</v>
      </c>
      <c r="C1125" s="425" t="n">
        <v>53.90079641734632</v>
      </c>
      <c r="D1125" s="425" t="n">
        <v>52.2335584886903</v>
      </c>
      <c r="E1125" s="425" t="n">
        <v>52.43951416015625</v>
      </c>
      <c r="F1125" s="207" t="n">
        <v>16861300</v>
      </c>
      <c r="G1125" s="208" t="n">
        <v>-0.01395363082800105</v>
      </c>
      <c r="H1125" s="209" cm="1">
        <f t="array" ref="H1125">IF(ROW()&lt;3,"",E1125/INDEX(E:E,ROW()-1)-1)</f>
        <v/>
      </c>
      <c r="I1125" s="211">
        <f>IF(ROW()&lt;51,NA(),AVERAGE(INDEX(E:E,ROW()-49):E1125))</f>
        <v/>
      </c>
      <c r="J1125" s="211">
        <f>IF(ROW()&lt;201,NA(),AVERAGE(INDEX(E:E,ROW()-199):E1125))</f>
        <v/>
      </c>
      <c r="K1125" s="341">
        <f>IF(ROW()&lt;22,NA(),_xlfn.STDEV.S(INDEX(H:H,ROW()-19):H1125)*SQRT(252))</f>
        <v/>
      </c>
      <c r="L1125" s="426" cm="1">
        <f t="array" ref="L1125">IF(ROW()&lt;17,NA(),_xlfn.LET(_xlpm.d,INDEX(E:E,ROW()-13):E1125-INDEX(E:E,ROW()-14):INDEX(E:E,ROW()-1),_xlpm.g,SUM(IF(_xlpm.d&gt;0,_xlpm.d,0)),_xlpm.l,-SUM(IF(_xlpm.d&lt;0,_xlpm.d,0)),IF(_xlpm.l=0,100,100-100/(1+_xlpm.g/_xlpm.l))))</f>
        <v/>
      </c>
      <c r="M1125" s="211">
        <f>MAX($E$2:E1125)</f>
        <v/>
      </c>
      <c r="N1125" s="341">
        <f>E1125/M1125-1</f>
        <v/>
      </c>
    </row>
    <row r="1126">
      <c r="A1126" s="424" t="n">
        <v>46100</v>
      </c>
      <c r="B1126" s="425" t="n">
        <v>51.88049746423525</v>
      </c>
      <c r="C1126" s="425" t="n">
        <v>52.59642824509463</v>
      </c>
      <c r="D1126" s="425" t="n">
        <v>51.57647052667333</v>
      </c>
      <c r="E1126" s="425" t="n">
        <v>52.41008758544922</v>
      </c>
      <c r="F1126" s="207" t="n">
        <v>12307700</v>
      </c>
      <c r="G1126" s="208" t="n">
        <v>-0.002464362577400125</v>
      </c>
      <c r="H1126" s="209" cm="1">
        <f t="array" ref="H1126">IF(ROW()&lt;3,"",E1126/INDEX(E:E,ROW()-1)-1)</f>
        <v/>
      </c>
      <c r="I1126" s="211">
        <f>IF(ROW()&lt;51,NA(),AVERAGE(INDEX(E:E,ROW()-49):E1126))</f>
        <v/>
      </c>
      <c r="J1126" s="211">
        <f>IF(ROW()&lt;201,NA(),AVERAGE(INDEX(E:E,ROW()-199):E1126))</f>
        <v/>
      </c>
      <c r="K1126" s="341">
        <f>IF(ROW()&lt;22,NA(),_xlfn.STDEV.S(INDEX(H:H,ROW()-19):H1126)*SQRT(252))</f>
        <v/>
      </c>
      <c r="L1126" s="426" cm="1">
        <f t="array" ref="L1126">IF(ROW()&lt;17,NA(),_xlfn.LET(_xlpm.d,INDEX(E:E,ROW()-13):E1126-INDEX(E:E,ROW()-14):INDEX(E:E,ROW()-1),_xlpm.g,SUM(IF(_xlpm.d&gt;0,_xlpm.d,0)),_xlpm.l,-SUM(IF(_xlpm.d&lt;0,_xlpm.d,0)),IF(_xlpm.l=0,100,100-100/(1+_xlpm.g/_xlpm.l))))</f>
        <v/>
      </c>
      <c r="M1126" s="211">
        <f>MAX($E$2:E1126)</f>
        <v/>
      </c>
      <c r="N1126" s="341">
        <f>E1126/M1126-1</f>
        <v/>
      </c>
    </row>
    <row r="1127">
      <c r="A1127" s="424" t="n">
        <v>46101</v>
      </c>
      <c r="B1127" s="425" t="n">
        <v>51.91972465053813</v>
      </c>
      <c r="C1127" s="425" t="n">
        <v>52.57681417468645</v>
      </c>
      <c r="D1127" s="425" t="n">
        <v>51.17437322227104</v>
      </c>
      <c r="E1127" s="425" t="n">
        <v>51.36071014404297</v>
      </c>
      <c r="F1127" s="207" t="n">
        <v>19566100</v>
      </c>
      <c r="G1127" s="208" t="n">
        <v>-0.01433586699262934</v>
      </c>
      <c r="H1127" s="209" cm="1">
        <f t="array" ref="H1127">IF(ROW()&lt;3,"",E1127/INDEX(E:E,ROW()-1)-1)</f>
        <v/>
      </c>
      <c r="I1127" s="211">
        <f>IF(ROW()&lt;51,NA(),AVERAGE(INDEX(E:E,ROW()-49):E1127))</f>
        <v/>
      </c>
      <c r="J1127" s="211">
        <f>IF(ROW()&lt;201,NA(),AVERAGE(INDEX(E:E,ROW()-199):E1127))</f>
        <v/>
      </c>
      <c r="K1127" s="341">
        <f>IF(ROW()&lt;22,NA(),_xlfn.STDEV.S(INDEX(H:H,ROW()-19):H1127)*SQRT(252))</f>
        <v/>
      </c>
      <c r="L1127" s="426" cm="1">
        <f t="array" ref="L1127">IF(ROW()&lt;17,NA(),_xlfn.LET(_xlpm.d,INDEX(E:E,ROW()-13):E1127-INDEX(E:E,ROW()-14):INDEX(E:E,ROW()-1),_xlpm.g,SUM(IF(_xlpm.d&gt;0,_xlpm.d,0)),_xlpm.l,-SUM(IF(_xlpm.d&lt;0,_xlpm.d,0)),IF(_xlpm.l=0,100,100-100/(1+_xlpm.g/_xlpm.l))))</f>
        <v/>
      </c>
      <c r="M1127" s="211">
        <f>MAX($E$2:E1127)</f>
        <v/>
      </c>
      <c r="N1127" s="341">
        <f>E1127/M1127-1</f>
        <v/>
      </c>
    </row>
    <row r="1128">
      <c r="A1128" s="424" t="n">
        <v>46104</v>
      </c>
      <c r="B1128" s="425" t="n">
        <v>52.25317114159901</v>
      </c>
      <c r="C1128" s="425" t="n">
        <v>52.52777744413805</v>
      </c>
      <c r="D1128" s="425" t="n">
        <v>51.51762535980317</v>
      </c>
      <c r="E1128" s="425" t="n">
        <v>51.69415664672852</v>
      </c>
      <c r="F1128" s="207" t="n">
        <v>15242700</v>
      </c>
      <c r="G1128" s="208" t="n">
        <v>0.01050005528435682</v>
      </c>
      <c r="H1128" s="209" cm="1">
        <f t="array" ref="H1128">IF(ROW()&lt;3,"",E1128/INDEX(E:E,ROW()-1)-1)</f>
        <v/>
      </c>
      <c r="I1128" s="211">
        <f>IF(ROW()&lt;51,NA(),AVERAGE(INDEX(E:E,ROW()-49):E1128))</f>
        <v/>
      </c>
      <c r="J1128" s="211">
        <f>IF(ROW()&lt;201,NA(),AVERAGE(INDEX(E:E,ROW()-199):E1128))</f>
        <v/>
      </c>
      <c r="K1128" s="341">
        <f>IF(ROW()&lt;22,NA(),_xlfn.STDEV.S(INDEX(H:H,ROW()-19):H1128)*SQRT(252))</f>
        <v/>
      </c>
      <c r="L1128" s="426" cm="1">
        <f t="array" ref="L1128">IF(ROW()&lt;17,NA(),_xlfn.LET(_xlpm.d,INDEX(E:E,ROW()-13):E1128-INDEX(E:E,ROW()-14):INDEX(E:E,ROW()-1),_xlpm.g,SUM(IF(_xlpm.d&gt;0,_xlpm.d,0)),_xlpm.l,-SUM(IF(_xlpm.d&lt;0,_xlpm.d,0)),IF(_xlpm.l=0,100,100-100/(1+_xlpm.g/_xlpm.l))))</f>
        <v/>
      </c>
      <c r="M1128" s="211">
        <f>MAX($E$2:E1128)</f>
        <v/>
      </c>
      <c r="N1128" s="341">
        <f>E1128/M1128-1</f>
        <v/>
      </c>
    </row>
    <row r="1129">
      <c r="A1129" s="424" t="n">
        <v>46105</v>
      </c>
      <c r="B1129" s="425" t="n">
        <v>51.35090592128578</v>
      </c>
      <c r="C1129" s="425" t="n">
        <v>53.03775885939215</v>
      </c>
      <c r="D1129" s="425" t="n">
        <v>51.26264027356674</v>
      </c>
      <c r="E1129" s="425" t="n">
        <v>52.45912933349609</v>
      </c>
      <c r="F1129" s="207" t="n">
        <v>12073800</v>
      </c>
      <c r="G1129" s="208" t="n">
        <v>-0.003356819745809148</v>
      </c>
      <c r="H1129" s="209" cm="1">
        <f t="array" ref="H1129">IF(ROW()&lt;3,"",E1129/INDEX(E:E,ROW()-1)-1)</f>
        <v/>
      </c>
      <c r="I1129" s="211">
        <f>IF(ROW()&lt;51,NA(),AVERAGE(INDEX(E:E,ROW()-49):E1129))</f>
        <v/>
      </c>
      <c r="J1129" s="211">
        <f>IF(ROW()&lt;201,NA(),AVERAGE(INDEX(E:E,ROW()-199):E1129))</f>
        <v/>
      </c>
      <c r="K1129" s="341">
        <f>IF(ROW()&lt;22,NA(),_xlfn.STDEV.S(INDEX(H:H,ROW()-19):H1129)*SQRT(252))</f>
        <v/>
      </c>
      <c r="L1129" s="426" cm="1">
        <f t="array" ref="L1129">IF(ROW()&lt;17,NA(),_xlfn.LET(_xlpm.d,INDEX(E:E,ROW()-13):E1129-INDEX(E:E,ROW()-14):INDEX(E:E,ROW()-1),_xlpm.g,SUM(IF(_xlpm.d&gt;0,_xlpm.d,0)),_xlpm.l,-SUM(IF(_xlpm.d&lt;0,_xlpm.d,0)),IF(_xlpm.l=0,100,100-100/(1+_xlpm.g/_xlpm.l))))</f>
        <v/>
      </c>
      <c r="M1129" s="211">
        <f>MAX($E$2:E1129)</f>
        <v/>
      </c>
      <c r="N1129" s="341">
        <f>E1129/M1129-1</f>
        <v/>
      </c>
    </row>
    <row r="1130">
      <c r="A1130" s="424" t="n">
        <v>46106</v>
      </c>
      <c r="B1130" s="425" t="n">
        <v>52.72392027743897</v>
      </c>
      <c r="C1130" s="425" t="n">
        <v>53.17505786933713</v>
      </c>
      <c r="D1130" s="425" t="n">
        <v>51.54705001316016</v>
      </c>
      <c r="E1130" s="425" t="n">
        <v>51.95895385742188</v>
      </c>
      <c r="F1130" s="207" t="n">
        <v>13427100</v>
      </c>
      <c r="G1130" s="208" t="n">
        <v>0.005572814791767078</v>
      </c>
      <c r="H1130" s="209" cm="1">
        <f t="array" ref="H1130">IF(ROW()&lt;3,"",E1130/INDEX(E:E,ROW()-1)-1)</f>
        <v/>
      </c>
      <c r="I1130" s="211">
        <f>IF(ROW()&lt;51,NA(),AVERAGE(INDEX(E:E,ROW()-49):E1130))</f>
        <v/>
      </c>
      <c r="J1130" s="211">
        <f>IF(ROW()&lt;201,NA(),AVERAGE(INDEX(E:E,ROW()-199):E1130))</f>
        <v/>
      </c>
      <c r="K1130" s="341">
        <f>IF(ROW()&lt;22,NA(),_xlfn.STDEV.S(INDEX(H:H,ROW()-19):H1130)*SQRT(252))</f>
        <v/>
      </c>
      <c r="L1130" s="426" cm="1">
        <f t="array" ref="L1130">IF(ROW()&lt;17,NA(),_xlfn.LET(_xlpm.d,INDEX(E:E,ROW()-13):E1130-INDEX(E:E,ROW()-14):INDEX(E:E,ROW()-1),_xlpm.g,SUM(IF(_xlpm.d&gt;0,_xlpm.d,0)),_xlpm.l,-SUM(IF(_xlpm.d&lt;0,_xlpm.d,0)),IF(_xlpm.l=0,100,100-100/(1+_xlpm.g/_xlpm.l))))</f>
        <v/>
      </c>
      <c r="M1130" s="211">
        <f>MAX($E$2:E1130)</f>
        <v/>
      </c>
      <c r="N1130" s="341">
        <f>E1130/M1130-1</f>
        <v/>
      </c>
    </row>
    <row r="1131">
      <c r="A1131" s="424" t="n">
        <v>46107</v>
      </c>
      <c r="B1131" s="425" t="n">
        <v>51.74319092803478</v>
      </c>
      <c r="C1131" s="425" t="n">
        <v>52.58661733431435</v>
      </c>
      <c r="D1131" s="425" t="n">
        <v>50.8703438884317</v>
      </c>
      <c r="E1131" s="425" t="n">
        <v>51.06649017333984</v>
      </c>
      <c r="F1131" s="207" t="n">
        <v>14486700</v>
      </c>
      <c r="G1131" s="208" t="n">
        <v>-0.0178587122431576</v>
      </c>
      <c r="H1131" s="209" cm="1">
        <f t="array" ref="H1131">IF(ROW()&lt;3,"",E1131/INDEX(E:E,ROW()-1)-1)</f>
        <v/>
      </c>
      <c r="I1131" s="211">
        <f>IF(ROW()&lt;51,NA(),AVERAGE(INDEX(E:E,ROW()-49):E1131))</f>
        <v/>
      </c>
      <c r="J1131" s="211">
        <f>IF(ROW()&lt;201,NA(),AVERAGE(INDEX(E:E,ROW()-199):E1131))</f>
        <v/>
      </c>
      <c r="K1131" s="341">
        <f>IF(ROW()&lt;22,NA(),_xlfn.STDEV.S(INDEX(H:H,ROW()-19):H1131)*SQRT(252))</f>
        <v/>
      </c>
      <c r="L1131" s="426" cm="1">
        <f t="array" ref="L1131">IF(ROW()&lt;17,NA(),_xlfn.LET(_xlpm.d,INDEX(E:E,ROW()-13):E1131-INDEX(E:E,ROW()-14):INDEX(E:E,ROW()-1),_xlpm.g,SUM(IF(_xlpm.d&gt;0,_xlpm.d,0)),_xlpm.l,-SUM(IF(_xlpm.d&lt;0,_xlpm.d,0)),IF(_xlpm.l=0,100,100-100/(1+_xlpm.g/_xlpm.l))))</f>
        <v/>
      </c>
      <c r="M1131" s="211">
        <f>MAX($E$2:E1131)</f>
        <v/>
      </c>
      <c r="N1131" s="341">
        <f>E1131/M1131-1</f>
        <v/>
      </c>
    </row>
    <row r="1132">
      <c r="A1132" s="424" t="n">
        <v>46108</v>
      </c>
      <c r="B1132" s="425" t="n">
        <v>50.71342956951131</v>
      </c>
      <c r="C1132" s="425" t="n">
        <v>51.1057221544951</v>
      </c>
      <c r="D1132" s="425" t="n">
        <v>50.21326007777738</v>
      </c>
      <c r="E1132" s="425" t="n">
        <v>50.37998199462891</v>
      </c>
      <c r="F1132" s="207" t="n">
        <v>13077800</v>
      </c>
      <c r="G1132" s="208" t="n">
        <v>-0.01705191879256185</v>
      </c>
      <c r="H1132" s="209" cm="1">
        <f t="array" ref="H1132">IF(ROW()&lt;3,"",E1132/INDEX(E:E,ROW()-1)-1)</f>
        <v/>
      </c>
      <c r="I1132" s="211">
        <f>IF(ROW()&lt;51,NA(),AVERAGE(INDEX(E:E,ROW()-49):E1132))</f>
        <v/>
      </c>
      <c r="J1132" s="211">
        <f>IF(ROW()&lt;201,NA(),AVERAGE(INDEX(E:E,ROW()-199):E1132))</f>
        <v/>
      </c>
      <c r="K1132" s="341">
        <f>IF(ROW()&lt;22,NA(),_xlfn.STDEV.S(INDEX(H:H,ROW()-19):H1132)*SQRT(252))</f>
        <v/>
      </c>
      <c r="L1132" s="426" cm="1">
        <f t="array" ref="L1132">IF(ROW()&lt;17,NA(),_xlfn.LET(_xlpm.d,INDEX(E:E,ROW()-13):E1132-INDEX(E:E,ROW()-14):INDEX(E:E,ROW()-1),_xlpm.g,SUM(IF(_xlpm.d&gt;0,_xlpm.d,0)),_xlpm.l,-SUM(IF(_xlpm.d&lt;0,_xlpm.d,0)),IF(_xlpm.l=0,100,100-100/(1+_xlpm.g/_xlpm.l))))</f>
        <v/>
      </c>
      <c r="M1132" s="211">
        <f>MAX($E$2:E1132)</f>
        <v/>
      </c>
      <c r="N1132" s="341">
        <f>E1132/M1132-1</f>
        <v/>
      </c>
    </row>
    <row r="1133">
      <c r="A1133" s="424" t="n">
        <v>46111</v>
      </c>
      <c r="B1133" s="425" t="n">
        <v>50.43882792091779</v>
      </c>
      <c r="C1133" s="425" t="n">
        <v>51.18417935651056</v>
      </c>
      <c r="D1133" s="425" t="n">
        <v>49.96807905509402</v>
      </c>
      <c r="E1133" s="425" t="n">
        <v>50.25249099731445</v>
      </c>
      <c r="F1133" s="207" t="n">
        <v>16869200</v>
      </c>
      <c r="G1133" s="208" t="n">
        <v>-0.003343469515220132</v>
      </c>
      <c r="H1133" s="209" cm="1">
        <f t="array" ref="H1133">IF(ROW()&lt;3,"",E1133/INDEX(E:E,ROW()-1)-1)</f>
        <v/>
      </c>
      <c r="I1133" s="211">
        <f>IF(ROW()&lt;51,NA(),AVERAGE(INDEX(E:E,ROW()-49):E1133))</f>
        <v/>
      </c>
      <c r="J1133" s="211">
        <f>IF(ROW()&lt;201,NA(),AVERAGE(INDEX(E:E,ROW()-199):E1133))</f>
        <v/>
      </c>
      <c r="K1133" s="341">
        <f>IF(ROW()&lt;22,NA(),_xlfn.STDEV.S(INDEX(H:H,ROW()-19):H1133)*SQRT(252))</f>
        <v/>
      </c>
      <c r="L1133" s="426" cm="1">
        <f t="array" ref="L1133">IF(ROW()&lt;17,NA(),_xlfn.LET(_xlpm.d,INDEX(E:E,ROW()-13):E1133-INDEX(E:E,ROW()-14):INDEX(E:E,ROW()-1),_xlpm.g,SUM(IF(_xlpm.d&gt;0,_xlpm.d,0)),_xlpm.l,-SUM(IF(_xlpm.d&lt;0,_xlpm.d,0)),IF(_xlpm.l=0,100,100-100/(1+_xlpm.g/_xlpm.l))))</f>
        <v/>
      </c>
      <c r="M1133" s="211">
        <f>MAX($E$2:E1133)</f>
        <v/>
      </c>
      <c r="N1133" s="341">
        <f>E1133/M1133-1</f>
        <v/>
      </c>
    </row>
    <row r="1134">
      <c r="A1134" s="424" t="n">
        <v>46112</v>
      </c>
      <c r="B1134" s="425" t="n">
        <v>50.92918923990769</v>
      </c>
      <c r="C1134" s="425" t="n">
        <v>52.08644821337734</v>
      </c>
      <c r="D1134" s="425" t="n">
        <v>50.69381294819385</v>
      </c>
      <c r="E1134" s="425" t="n">
        <v>51.80203628540039</v>
      </c>
      <c r="F1134" s="207" t="n">
        <v>36422800</v>
      </c>
      <c r="G1134" s="208" t="n">
        <v>0.02906792539862124</v>
      </c>
      <c r="H1134" s="209" cm="1">
        <f t="array" ref="H1134">IF(ROW()&lt;3,"",E1134/INDEX(E:E,ROW()-1)-1)</f>
        <v/>
      </c>
      <c r="I1134" s="211">
        <f>IF(ROW()&lt;51,NA(),AVERAGE(INDEX(E:E,ROW()-49):E1134))</f>
        <v/>
      </c>
      <c r="J1134" s="211">
        <f>IF(ROW()&lt;201,NA(),AVERAGE(INDEX(E:E,ROW()-199):E1134))</f>
        <v/>
      </c>
      <c r="K1134" s="341">
        <f>IF(ROW()&lt;22,NA(),_xlfn.STDEV.S(INDEX(H:H,ROW()-19):H1134)*SQRT(252))</f>
        <v/>
      </c>
      <c r="L1134" s="426" cm="1">
        <f t="array" ref="L1134">IF(ROW()&lt;17,NA(),_xlfn.LET(_xlpm.d,INDEX(E:E,ROW()-13):E1134-INDEX(E:E,ROW()-14):INDEX(E:E,ROW()-1),_xlpm.g,SUM(IF(_xlpm.d&gt;0,_xlpm.d,0)),_xlpm.l,-SUM(IF(_xlpm.d&lt;0,_xlpm.d,0)),IF(_xlpm.l=0,100,100-100/(1+_xlpm.g/_xlpm.l))))</f>
        <v/>
      </c>
      <c r="M1134" s="211">
        <f>MAX($E$2:E1134)</f>
        <v/>
      </c>
      <c r="N1134" s="341">
        <f>E1134/M1134-1</f>
        <v/>
      </c>
    </row>
    <row r="1135">
      <c r="A1135" s="424" t="n">
        <v>46113</v>
      </c>
      <c r="B1135" s="425" t="n">
        <v>45.66268315159085</v>
      </c>
      <c r="C1135" s="425" t="n">
        <v>45.92748008007032</v>
      </c>
      <c r="D1135" s="425" t="n">
        <v>43.70122774760605</v>
      </c>
      <c r="E1135" s="425" t="n">
        <v>43.76987838745117</v>
      </c>
      <c r="F1135" s="207" t="n">
        <v>114225700</v>
      </c>
      <c r="G1135" s="208" t="n">
        <v>0.00753442967227369</v>
      </c>
      <c r="H1135" s="209" cm="1">
        <f t="array" ref="H1135">IF(ROW()&lt;3,"",E1135/INDEX(E:E,ROW()-1)-1)</f>
        <v/>
      </c>
      <c r="I1135" s="211">
        <f>IF(ROW()&lt;51,NA(),AVERAGE(INDEX(E:E,ROW()-49):E1135))</f>
        <v/>
      </c>
      <c r="J1135" s="211">
        <f>IF(ROW()&lt;201,NA(),AVERAGE(INDEX(E:E,ROW()-199):E1135))</f>
        <v/>
      </c>
      <c r="K1135" s="341">
        <f>IF(ROW()&lt;22,NA(),_xlfn.STDEV.S(INDEX(H:H,ROW()-19):H1135)*SQRT(252))</f>
        <v/>
      </c>
      <c r="L1135" s="426" cm="1">
        <f t="array" ref="L1135">IF(ROW()&lt;17,NA(),_xlfn.LET(_xlpm.d,INDEX(E:E,ROW()-13):E1135-INDEX(E:E,ROW()-14):INDEX(E:E,ROW()-1),_xlpm.g,SUM(IF(_xlpm.d&gt;0,_xlpm.d,0)),_xlpm.l,-SUM(IF(_xlpm.d&lt;0,_xlpm.d,0)),IF(_xlpm.l=0,100,100-100/(1+_xlpm.g/_xlpm.l))))</f>
        <v/>
      </c>
      <c r="M1135" s="211">
        <f>MAX($E$2:E1135)</f>
        <v/>
      </c>
      <c r="N1135" s="341">
        <f>E1135/M1135-1</f>
        <v/>
      </c>
    </row>
    <row r="1136">
      <c r="A1136" s="424" t="n">
        <v>46114</v>
      </c>
      <c r="B1136" s="425" t="n">
        <v>42.91664280483445</v>
      </c>
      <c r="C1136" s="425" t="n">
        <v>43.48546667056288</v>
      </c>
      <c r="D1136" s="425" t="n">
        <v>42.3380133081566</v>
      </c>
      <c r="E1136" s="425" t="n">
        <v>43.33835601806641</v>
      </c>
      <c r="F1136" s="207" t="n">
        <v>63242600</v>
      </c>
      <c r="G1136" s="208" t="n">
        <v>0.0009005422726844348</v>
      </c>
      <c r="H1136" s="209" cm="1">
        <f t="array" ref="H1136">IF(ROW()&lt;3,"",E1136/INDEX(E:E,ROW()-1)-1)</f>
        <v/>
      </c>
      <c r="I1136" s="211">
        <f>IF(ROW()&lt;51,NA(),AVERAGE(INDEX(E:E,ROW()-49):E1136))</f>
        <v/>
      </c>
      <c r="J1136" s="211">
        <f>IF(ROW()&lt;201,NA(),AVERAGE(INDEX(E:E,ROW()-199):E1136))</f>
        <v/>
      </c>
      <c r="K1136" s="341">
        <f>IF(ROW()&lt;22,NA(),_xlfn.STDEV.S(INDEX(H:H,ROW()-19):H1136)*SQRT(252))</f>
        <v/>
      </c>
      <c r="L1136" s="426" cm="1">
        <f t="array" ref="L1136">IF(ROW()&lt;17,NA(),_xlfn.LET(_xlpm.d,INDEX(E:E,ROW()-13):E1136-INDEX(E:E,ROW()-14):INDEX(E:E,ROW()-1),_xlpm.g,SUM(IF(_xlpm.d&gt;0,_xlpm.d,0)),_xlpm.l,-SUM(IF(_xlpm.d&lt;0,_xlpm.d,0)),IF(_xlpm.l=0,100,100-100/(1+_xlpm.g/_xlpm.l))))</f>
        <v/>
      </c>
      <c r="M1136" s="211">
        <f>MAX($E$2:E1136)</f>
        <v/>
      </c>
      <c r="N1136" s="341">
        <f>E1136/M1136-1</f>
        <v/>
      </c>
    </row>
    <row r="1137">
      <c r="A1137" s="424" t="n">
        <v>46118</v>
      </c>
      <c r="B1137" s="425" t="n">
        <v>43.30893409165865</v>
      </c>
      <c r="C1137" s="425" t="n">
        <v>43.52469537790046</v>
      </c>
      <c r="D1137" s="425" t="n">
        <v>42.72049898159084</v>
      </c>
      <c r="E1137" s="425" t="n">
        <v>43.18143844604492</v>
      </c>
      <c r="F1137" s="207" t="n">
        <v>26999600</v>
      </c>
      <c r="G1137" s="208" t="n">
        <v>0.004726703240241825</v>
      </c>
      <c r="H1137" s="209" cm="1">
        <f t="array" ref="H1137">IF(ROW()&lt;3,"",E1137/INDEX(E:E,ROW()-1)-1)</f>
        <v/>
      </c>
      <c r="I1137" s="211">
        <f>IF(ROW()&lt;51,NA(),AVERAGE(INDEX(E:E,ROW()-49):E1137))</f>
        <v/>
      </c>
      <c r="J1137" s="211">
        <f>IF(ROW()&lt;201,NA(),AVERAGE(INDEX(E:E,ROW()-199):E1137))</f>
        <v/>
      </c>
      <c r="K1137" s="341">
        <f>IF(ROW()&lt;22,NA(),_xlfn.STDEV.S(INDEX(H:H,ROW()-19):H1137)*SQRT(252))</f>
        <v/>
      </c>
      <c r="L1137" s="426" cm="1">
        <f t="array" ref="L1137">IF(ROW()&lt;17,NA(),_xlfn.LET(_xlpm.d,INDEX(E:E,ROW()-13):E1137-INDEX(E:E,ROW()-14):INDEX(E:E,ROW()-1),_xlpm.g,SUM(IF(_xlpm.d&gt;0,_xlpm.d,0)),_xlpm.l,-SUM(IF(_xlpm.d&lt;0,_xlpm.d,0)),IF(_xlpm.l=0,100,100-100/(1+_xlpm.g/_xlpm.l))))</f>
        <v/>
      </c>
      <c r="M1137" s="211">
        <f>MAX($E$2:E1137)</f>
        <v/>
      </c>
      <c r="N1137" s="341">
        <f>E1137/M1137-1</f>
        <v/>
      </c>
    </row>
    <row r="1138">
      <c r="A1138" s="424" t="n">
        <v>46119</v>
      </c>
      <c r="B1138" s="425" t="n">
        <v>42.85780085719912</v>
      </c>
      <c r="C1138" s="425" t="n">
        <v>43.02452276895079</v>
      </c>
      <c r="D1138" s="425" t="n">
        <v>41.54362560123591</v>
      </c>
      <c r="E1138" s="425" t="n">
        <v>41.86726379394531</v>
      </c>
      <c r="F1138" s="207" t="n">
        <v>38253000</v>
      </c>
      <c r="G1138" s="208" t="n">
        <v>0.0004400691374961685</v>
      </c>
      <c r="H1138" s="209" cm="1">
        <f t="array" ref="H1138">IF(ROW()&lt;3,"",E1138/INDEX(E:E,ROW()-1)-1)</f>
        <v/>
      </c>
      <c r="I1138" s="211">
        <f>IF(ROW()&lt;51,NA(),AVERAGE(INDEX(E:E,ROW()-49):E1138))</f>
        <v/>
      </c>
      <c r="J1138" s="211">
        <f>IF(ROW()&lt;201,NA(),AVERAGE(INDEX(E:E,ROW()-199):E1138))</f>
        <v/>
      </c>
      <c r="K1138" s="341">
        <f>IF(ROW()&lt;22,NA(),_xlfn.STDEV.S(INDEX(H:H,ROW()-19):H1138)*SQRT(252))</f>
        <v/>
      </c>
      <c r="L1138" s="426" cm="1">
        <f t="array" ref="L1138">IF(ROW()&lt;17,NA(),_xlfn.LET(_xlpm.d,INDEX(E:E,ROW()-13):E1138-INDEX(E:E,ROW()-14):INDEX(E:E,ROW()-1),_xlpm.g,SUM(IF(_xlpm.d&gt;0,_xlpm.d,0)),_xlpm.l,-SUM(IF(_xlpm.d&lt;0,_xlpm.d,0)),IF(_xlpm.l=0,100,100-100/(1+_xlpm.g/_xlpm.l))))</f>
        <v/>
      </c>
      <c r="M1138" s="211">
        <f>MAX($E$2:E1138)</f>
        <v/>
      </c>
      <c r="N1138" s="341">
        <f>E1138/M1138-1</f>
        <v/>
      </c>
    </row>
    <row r="1139">
      <c r="A1139" s="424" t="n">
        <v>46120</v>
      </c>
      <c r="B1139" s="425" t="n">
        <v>43.06375644525488</v>
      </c>
      <c r="C1139" s="425" t="n">
        <v>43.44623967886866</v>
      </c>
      <c r="D1139" s="425" t="n">
        <v>41.93591800767312</v>
      </c>
      <c r="E1139" s="425" t="n">
        <v>42.29878997802734</v>
      </c>
      <c r="F1139" s="207" t="n">
        <v>29462900</v>
      </c>
      <c r="G1139" s="208" t="n">
        <v>0.0254696046172882</v>
      </c>
      <c r="H1139" s="209" cm="1">
        <f t="array" ref="H1139">IF(ROW()&lt;3,"",E1139/INDEX(E:E,ROW()-1)-1)</f>
        <v/>
      </c>
      <c r="I1139" s="211">
        <f>IF(ROW()&lt;51,NA(),AVERAGE(INDEX(E:E,ROW()-49):E1139))</f>
        <v/>
      </c>
      <c r="J1139" s="211">
        <f>IF(ROW()&lt;201,NA(),AVERAGE(INDEX(E:E,ROW()-199):E1139))</f>
        <v/>
      </c>
      <c r="K1139" s="341">
        <f>IF(ROW()&lt;22,NA(),_xlfn.STDEV.S(INDEX(H:H,ROW()-19):H1139)*SQRT(252))</f>
        <v/>
      </c>
      <c r="L1139" s="426" cm="1">
        <f t="array" ref="L1139">IF(ROW()&lt;17,NA(),_xlfn.LET(_xlpm.d,INDEX(E:E,ROW()-13):E1139-INDEX(E:E,ROW()-14):INDEX(E:E,ROW()-1),_xlpm.g,SUM(IF(_xlpm.d&gt;0,_xlpm.d,0)),_xlpm.l,-SUM(IF(_xlpm.d&lt;0,_xlpm.d,0)),IF(_xlpm.l=0,100,100-100/(1+_xlpm.g/_xlpm.l))))</f>
        <v/>
      </c>
      <c r="M1139" s="211">
        <f>MAX($E$2:E1139)</f>
        <v/>
      </c>
      <c r="N1139" s="341">
        <f>E1139/M1139-1</f>
        <v/>
      </c>
    </row>
    <row r="1140">
      <c r="A1140" s="424" t="n">
        <v>46121</v>
      </c>
      <c r="B1140" s="425" t="n">
        <v>42.38705307948774</v>
      </c>
      <c r="C1140" s="425" t="n">
        <v>43.36778079541347</v>
      </c>
      <c r="D1140" s="425" t="n">
        <v>41.89668922152487</v>
      </c>
      <c r="E1140" s="425" t="n">
        <v>43.15201950073242</v>
      </c>
      <c r="F1140" s="207" t="n">
        <v>24147400</v>
      </c>
      <c r="G1140" s="208" t="n">
        <v>0.005769096571727417</v>
      </c>
      <c r="H1140" s="209" cm="1">
        <f t="array" ref="H1140">IF(ROW()&lt;3,"",E1140/INDEX(E:E,ROW()-1)-1)</f>
        <v/>
      </c>
      <c r="I1140" s="211">
        <f>IF(ROW()&lt;51,NA(),AVERAGE(INDEX(E:E,ROW()-49):E1140))</f>
        <v/>
      </c>
      <c r="J1140" s="211">
        <f>IF(ROW()&lt;201,NA(),AVERAGE(INDEX(E:E,ROW()-199):E1140))</f>
        <v/>
      </c>
      <c r="K1140" s="341">
        <f>IF(ROW()&lt;22,NA(),_xlfn.STDEV.S(INDEX(H:H,ROW()-19):H1140)*SQRT(252))</f>
        <v/>
      </c>
      <c r="L1140" s="426" cm="1">
        <f t="array" ref="L1140">IF(ROW()&lt;17,NA(),_xlfn.LET(_xlpm.d,INDEX(E:E,ROW()-13):E1140-INDEX(E:E,ROW()-14):INDEX(E:E,ROW()-1),_xlpm.g,SUM(IF(_xlpm.d&gt;0,_xlpm.d,0)),_xlpm.l,-SUM(IF(_xlpm.d&lt;0,_xlpm.d,0)),IF(_xlpm.l=0,100,100-100/(1+_xlpm.g/_xlpm.l))))</f>
        <v/>
      </c>
      <c r="M1140" s="211">
        <f>MAX($E$2:E1140)</f>
        <v/>
      </c>
      <c r="N1140" s="341">
        <f>E1140/M1140-1</f>
        <v/>
      </c>
    </row>
    <row r="1141">
      <c r="A1141" s="424" t="n">
        <v>46122</v>
      </c>
      <c r="B1141" s="425" t="n">
        <v>42.98529788994383</v>
      </c>
      <c r="C1141" s="425" t="n">
        <v>43.11278980027012</v>
      </c>
      <c r="D1141" s="425" t="n">
        <v>41.58285694691975</v>
      </c>
      <c r="E1141" s="425" t="n">
        <v>41.79861450195312</v>
      </c>
      <c r="F1141" s="207" t="n">
        <v>26094800</v>
      </c>
      <c r="G1141" s="208" t="n">
        <v>-0.0006617946789001516</v>
      </c>
      <c r="H1141" s="209" cm="1">
        <f t="array" ref="H1141">IF(ROW()&lt;3,"",E1141/INDEX(E:E,ROW()-1)-1)</f>
        <v/>
      </c>
      <c r="I1141" s="211">
        <f>IF(ROW()&lt;51,NA(),AVERAGE(INDEX(E:E,ROW()-49):E1141))</f>
        <v/>
      </c>
      <c r="J1141" s="211">
        <f>IF(ROW()&lt;201,NA(),AVERAGE(INDEX(E:E,ROW()-199):E1141))</f>
        <v/>
      </c>
      <c r="K1141" s="341">
        <f>IF(ROW()&lt;22,NA(),_xlfn.STDEV.S(INDEX(H:H,ROW()-19):H1141)*SQRT(252))</f>
        <v/>
      </c>
      <c r="L1141" s="426" cm="1">
        <f t="array" ref="L1141">IF(ROW()&lt;17,NA(),_xlfn.LET(_xlpm.d,INDEX(E:E,ROW()-13):E1141-INDEX(E:E,ROW()-14):INDEX(E:E,ROW()-1),_xlpm.g,SUM(IF(_xlpm.d&gt;0,_xlpm.d,0)),_xlpm.l,-SUM(IF(_xlpm.d&lt;0,_xlpm.d,0)),IF(_xlpm.l=0,100,100-100/(1+_xlpm.g/_xlpm.l))))</f>
        <v/>
      </c>
      <c r="M1141" s="211">
        <f>MAX($E$2:E1141)</f>
        <v/>
      </c>
      <c r="N1141" s="341">
        <f>E1141/M1141-1</f>
        <v/>
      </c>
    </row>
    <row r="1142">
      <c r="A1142" s="424" t="n">
        <v>46125</v>
      </c>
      <c r="B1142" s="425" t="n">
        <v>41.41613172805225</v>
      </c>
      <c r="C1142" s="425" t="n">
        <v>42.15167752802254</v>
      </c>
      <c r="D1142" s="425" t="n">
        <v>41.27883044397983</v>
      </c>
      <c r="E1142" s="425" t="n">
        <v>42.08302688598633</v>
      </c>
      <c r="F1142" s="207" t="n">
        <v>21236700</v>
      </c>
      <c r="G1142" s="208" t="n">
        <v>0.009772337225445238</v>
      </c>
      <c r="H1142" s="209" cm="1">
        <f t="array" ref="H1142">IF(ROW()&lt;3,"",E1142/INDEX(E:E,ROW()-1)-1)</f>
        <v/>
      </c>
      <c r="I1142" s="211">
        <f>IF(ROW()&lt;51,NA(),AVERAGE(INDEX(E:E,ROW()-49):E1142))</f>
        <v/>
      </c>
      <c r="J1142" s="211">
        <f>IF(ROW()&lt;201,NA(),AVERAGE(INDEX(E:E,ROW()-199):E1142))</f>
        <v/>
      </c>
      <c r="K1142" s="341">
        <f>IF(ROW()&lt;22,NA(),_xlfn.STDEV.S(INDEX(H:H,ROW()-19):H1142)*SQRT(252))</f>
        <v/>
      </c>
      <c r="L1142" s="426" cm="1">
        <f t="array" ref="L1142">IF(ROW()&lt;17,NA(),_xlfn.LET(_xlpm.d,INDEX(E:E,ROW()-13):E1142-INDEX(E:E,ROW()-14):INDEX(E:E,ROW()-1),_xlpm.g,SUM(IF(_xlpm.d&gt;0,_xlpm.d,0)),_xlpm.l,-SUM(IF(_xlpm.d&lt;0,_xlpm.d,0)),IF(_xlpm.l=0,100,100-100/(1+_xlpm.g/_xlpm.l))))</f>
        <v/>
      </c>
      <c r="M1142" s="211">
        <f>MAX($E$2:E1142)</f>
        <v/>
      </c>
      <c r="N1142" s="341">
        <f>E1142/M1142-1</f>
        <v/>
      </c>
    </row>
    <row r="1143">
      <c r="A1143" s="424" t="n">
        <v>46126</v>
      </c>
      <c r="B1143" s="425" t="n">
        <v>42.16148402623096</v>
      </c>
      <c r="C1143" s="425" t="n">
        <v>43.35796923528187</v>
      </c>
      <c r="D1143" s="425" t="n">
        <v>42.1222540216905</v>
      </c>
      <c r="E1143" s="425" t="n">
        <v>43.34816360473633</v>
      </c>
      <c r="F1143" s="207" t="n">
        <v>22554100</v>
      </c>
      <c r="G1143" s="208" t="n">
        <v>0.01218491501066254</v>
      </c>
      <c r="H1143" s="209" cm="1">
        <f t="array" ref="H1143">IF(ROW()&lt;3,"",E1143/INDEX(E:E,ROW()-1)-1)</f>
        <v/>
      </c>
      <c r="I1143" s="211">
        <f>IF(ROW()&lt;51,NA(),AVERAGE(INDEX(E:E,ROW()-49):E1143))</f>
        <v/>
      </c>
      <c r="J1143" s="211">
        <f>IF(ROW()&lt;201,NA(),AVERAGE(INDEX(E:E,ROW()-199):E1143))</f>
        <v/>
      </c>
      <c r="K1143" s="341">
        <f>IF(ROW()&lt;22,NA(),_xlfn.STDEV.S(INDEX(H:H,ROW()-19):H1143)*SQRT(252))</f>
        <v/>
      </c>
      <c r="L1143" s="426" cm="1">
        <f t="array" ref="L1143">IF(ROW()&lt;17,NA(),_xlfn.LET(_xlpm.d,INDEX(E:E,ROW()-13):E1143-INDEX(E:E,ROW()-14):INDEX(E:E,ROW()-1),_xlpm.g,SUM(IF(_xlpm.d&gt;0,_xlpm.d,0)),_xlpm.l,-SUM(IF(_xlpm.d&lt;0,_xlpm.d,0)),IF(_xlpm.l=0,100,100-100/(1+_xlpm.g/_xlpm.l))))</f>
        <v/>
      </c>
      <c r="M1143" s="211">
        <f>MAX($E$2:E1143)</f>
        <v/>
      </c>
      <c r="N1143" s="341">
        <f>E1143/M1143-1</f>
        <v/>
      </c>
    </row>
    <row r="1144">
      <c r="A1144" s="424" t="n">
        <v>46127</v>
      </c>
      <c r="B1144" s="425" t="n">
        <v>44.22101299965342</v>
      </c>
      <c r="C1144" s="425" t="n">
        <v>45.01540379887331</v>
      </c>
      <c r="D1144" s="425" t="n">
        <v>43.84833541890071</v>
      </c>
      <c r="E1144" s="425" t="n">
        <v>44.56426620483398</v>
      </c>
      <c r="F1144" s="207" t="n">
        <v>31523500</v>
      </c>
      <c r="G1144" s="208" t="n">
        <v>0.007891042626046341</v>
      </c>
      <c r="H1144" s="209" cm="1">
        <f t="array" ref="H1144">IF(ROW()&lt;3,"",E1144/INDEX(E:E,ROW()-1)-1)</f>
        <v/>
      </c>
      <c r="I1144" s="211">
        <f>IF(ROW()&lt;51,NA(),AVERAGE(INDEX(E:E,ROW()-49):E1144))</f>
        <v/>
      </c>
      <c r="J1144" s="211">
        <f>IF(ROW()&lt;201,NA(),AVERAGE(INDEX(E:E,ROW()-199):E1144))</f>
        <v/>
      </c>
      <c r="K1144" s="341">
        <f>IF(ROW()&lt;22,NA(),_xlfn.STDEV.S(INDEX(H:H,ROW()-19):H1144)*SQRT(252))</f>
        <v/>
      </c>
      <c r="L1144" s="426" cm="1">
        <f t="array" ref="L1144">IF(ROW()&lt;17,NA(),_xlfn.LET(_xlpm.d,INDEX(E:E,ROW()-13):E1144-INDEX(E:E,ROW()-14):INDEX(E:E,ROW()-1),_xlpm.g,SUM(IF(_xlpm.d&gt;0,_xlpm.d,0)),_xlpm.l,-SUM(IF(_xlpm.d&lt;0,_xlpm.d,0)),IF(_xlpm.l=0,100,100-100/(1+_xlpm.g/_xlpm.l))))</f>
        <v/>
      </c>
      <c r="M1144" s="211">
        <f>MAX($E$2:E1144)</f>
        <v/>
      </c>
      <c r="N1144" s="341">
        <f>E1144/M1144-1</f>
        <v/>
      </c>
    </row>
    <row r="1145">
      <c r="A1145" s="424" t="n">
        <v>46128</v>
      </c>
      <c r="B1145" s="425" t="n">
        <v>44.91732710061467</v>
      </c>
      <c r="C1145" s="425" t="n">
        <v>45.59403159574899</v>
      </c>
      <c r="D1145" s="425" t="n">
        <v>44.67214518004234</v>
      </c>
      <c r="E1145" s="425" t="n">
        <v>44.81925582885742</v>
      </c>
      <c r="F1145" s="207" t="n">
        <v>21766300</v>
      </c>
      <c r="G1145" s="208" t="n">
        <v>0.002457314696140633</v>
      </c>
      <c r="H1145" s="209" cm="1">
        <f t="array" ref="H1145">IF(ROW()&lt;3,"",E1145/INDEX(E:E,ROW()-1)-1)</f>
        <v/>
      </c>
      <c r="I1145" s="211">
        <f>IF(ROW()&lt;51,NA(),AVERAGE(INDEX(E:E,ROW()-49):E1145))</f>
        <v/>
      </c>
      <c r="J1145" s="211">
        <f>IF(ROW()&lt;201,NA(),AVERAGE(INDEX(E:E,ROW()-199):E1145))</f>
        <v/>
      </c>
      <c r="K1145" s="341">
        <f>IF(ROW()&lt;22,NA(),_xlfn.STDEV.S(INDEX(H:H,ROW()-19):H1145)*SQRT(252))</f>
        <v/>
      </c>
      <c r="L1145" s="426" cm="1">
        <f t="array" ref="L1145">IF(ROW()&lt;17,NA(),_xlfn.LET(_xlpm.d,INDEX(E:E,ROW()-13):E1145-INDEX(E:E,ROW()-14):INDEX(E:E,ROW()-1),_xlpm.g,SUM(IF(_xlpm.d&gt;0,_xlpm.d,0)),_xlpm.l,-SUM(IF(_xlpm.d&lt;0,_xlpm.d,0)),IF(_xlpm.l=0,100,100-100/(1+_xlpm.g/_xlpm.l))))</f>
        <v/>
      </c>
      <c r="M1145" s="211">
        <f>MAX($E$2:E1145)</f>
        <v/>
      </c>
      <c r="N1145" s="341">
        <f>E1145/M1145-1</f>
        <v/>
      </c>
    </row>
    <row r="1146">
      <c r="A1146" s="424" t="n">
        <v>46129</v>
      </c>
      <c r="B1146" s="425" t="n">
        <v>45.48615168390426</v>
      </c>
      <c r="C1146" s="425" t="n">
        <v>45.87844051842373</v>
      </c>
      <c r="D1146" s="425" t="n">
        <v>44.89771282035615</v>
      </c>
      <c r="E1146" s="425" t="n">
        <v>45.14289474487305</v>
      </c>
      <c r="F1146" s="207" t="n">
        <v>31290400</v>
      </c>
      <c r="G1146" s="208" t="n">
        <v>0.01208570968453193</v>
      </c>
      <c r="H1146" s="209" cm="1">
        <f t="array" ref="H1146">IF(ROW()&lt;3,"",E1146/INDEX(E:E,ROW()-1)-1)</f>
        <v/>
      </c>
      <c r="I1146" s="211">
        <f>IF(ROW()&lt;51,NA(),AVERAGE(INDEX(E:E,ROW()-49):E1146))</f>
        <v/>
      </c>
      <c r="J1146" s="211">
        <f>IF(ROW()&lt;201,NA(),AVERAGE(INDEX(E:E,ROW()-199):E1146))</f>
        <v/>
      </c>
      <c r="K1146" s="341">
        <f>IF(ROW()&lt;22,NA(),_xlfn.STDEV.S(INDEX(H:H,ROW()-19):H1146)*SQRT(252))</f>
        <v/>
      </c>
      <c r="L1146" s="426" cm="1">
        <f t="array" ref="L1146">IF(ROW()&lt;17,NA(),_xlfn.LET(_xlpm.d,INDEX(E:E,ROW()-13):E1146-INDEX(E:E,ROW()-14):INDEX(E:E,ROW()-1),_xlpm.g,SUM(IF(_xlpm.d&gt;0,_xlpm.d,0)),_xlpm.l,-SUM(IF(_xlpm.d&lt;0,_xlpm.d,0)),IF(_xlpm.l=0,100,100-100/(1+_xlpm.g/_xlpm.l))))</f>
        <v/>
      </c>
      <c r="M1146" s="211">
        <f>MAX($E$2:E1146)</f>
        <v/>
      </c>
      <c r="N1146" s="341">
        <f>E1146/M1146-1</f>
        <v/>
      </c>
    </row>
    <row r="1147">
      <c r="A1147" s="424" t="n">
        <v>46132</v>
      </c>
      <c r="B1147" s="425" t="n">
        <v>45.09386083313655</v>
      </c>
      <c r="C1147" s="425" t="n">
        <v>45.66268471554044</v>
      </c>
      <c r="D1147" s="425" t="n">
        <v>44.69176261119495</v>
      </c>
      <c r="E1147" s="425" t="n">
        <v>45.58422470092773</v>
      </c>
      <c r="F1147" s="207" t="n">
        <v>19003100</v>
      </c>
      <c r="G1147" s="208" t="n">
        <v>-0.001999776957921973</v>
      </c>
      <c r="H1147" s="209" cm="1">
        <f t="array" ref="H1147">IF(ROW()&lt;3,"",E1147/INDEX(E:E,ROW()-1)-1)</f>
        <v/>
      </c>
      <c r="I1147" s="211">
        <f>IF(ROW()&lt;51,NA(),AVERAGE(INDEX(E:E,ROW()-49):E1147))</f>
        <v/>
      </c>
      <c r="J1147" s="211">
        <f>IF(ROW()&lt;201,NA(),AVERAGE(INDEX(E:E,ROW()-199):E1147))</f>
        <v/>
      </c>
      <c r="K1147" s="341">
        <f>IF(ROW()&lt;22,NA(),_xlfn.STDEV.S(INDEX(H:H,ROW()-19):H1147)*SQRT(252))</f>
        <v/>
      </c>
      <c r="L1147" s="426" cm="1">
        <f t="array" ref="L1147">IF(ROW()&lt;17,NA(),_xlfn.LET(_xlpm.d,INDEX(E:E,ROW()-13):E1147-INDEX(E:E,ROW()-14):INDEX(E:E,ROW()-1),_xlpm.g,SUM(IF(_xlpm.d&gt;0,_xlpm.d,0)),_xlpm.l,-SUM(IF(_xlpm.d&lt;0,_xlpm.d,0)),IF(_xlpm.l=0,100,100-100/(1+_xlpm.g/_xlpm.l))))</f>
        <v/>
      </c>
      <c r="M1147" s="211">
        <f>MAX($E$2:E1147)</f>
        <v/>
      </c>
      <c r="N1147" s="341">
        <f>E1147/M1147-1</f>
        <v/>
      </c>
    </row>
    <row r="1148">
      <c r="A1148" s="424" t="n">
        <v>46133</v>
      </c>
      <c r="B1148" s="425" t="n">
        <v>45.86863398637225</v>
      </c>
      <c r="C1148" s="425" t="n">
        <v>46.06478027036789</v>
      </c>
      <c r="D1148" s="425" t="n">
        <v>45.04482258653389</v>
      </c>
      <c r="E1148" s="425" t="n">
        <v>45.49595642089844</v>
      </c>
      <c r="F1148" s="207" t="n">
        <v>22194000</v>
      </c>
      <c r="G1148" s="208" t="n">
        <v>-0.006546877598048839</v>
      </c>
      <c r="H1148" s="209" cm="1">
        <f t="array" ref="H1148">IF(ROW()&lt;3,"",E1148/INDEX(E:E,ROW()-1)-1)</f>
        <v/>
      </c>
      <c r="I1148" s="211">
        <f>IF(ROW()&lt;51,NA(),AVERAGE(INDEX(E:E,ROW()-49):E1148))</f>
        <v/>
      </c>
      <c r="J1148" s="211">
        <f>IF(ROW()&lt;201,NA(),AVERAGE(INDEX(E:E,ROW()-199):E1148))</f>
        <v/>
      </c>
      <c r="K1148" s="341">
        <f>IF(ROW()&lt;22,NA(),_xlfn.STDEV.S(INDEX(H:H,ROW()-19):H1148)*SQRT(252))</f>
        <v/>
      </c>
      <c r="L1148" s="426" cm="1">
        <f t="array" ref="L1148">IF(ROW()&lt;17,NA(),_xlfn.LET(_xlpm.d,INDEX(E:E,ROW()-13):E1148-INDEX(E:E,ROW()-14):INDEX(E:E,ROW()-1),_xlpm.g,SUM(IF(_xlpm.d&gt;0,_xlpm.d,0)),_xlpm.l,-SUM(IF(_xlpm.d&lt;0,_xlpm.d,0)),IF(_xlpm.l=0,100,100-100/(1+_xlpm.g/_xlpm.l))))</f>
        <v/>
      </c>
      <c r="M1148" s="211">
        <f>MAX($E$2:E1148)</f>
        <v/>
      </c>
      <c r="N1148" s="341">
        <f>E1148/M1148-1</f>
        <v/>
      </c>
    </row>
    <row r="1149">
      <c r="A1149" s="424" t="n">
        <v>46134</v>
      </c>
      <c r="B1149" s="425" t="n">
        <v>45.41750014053507</v>
      </c>
      <c r="C1149" s="425" t="n">
        <v>46.04516525621923</v>
      </c>
      <c r="D1149" s="425" t="n">
        <v>44.62310937408401</v>
      </c>
      <c r="E1149" s="425" t="n">
        <v>44.79964065551758</v>
      </c>
      <c r="F1149" s="207" t="n">
        <v>17985200</v>
      </c>
      <c r="G1149" s="208" t="n">
        <v>0.01012667911071952</v>
      </c>
      <c r="H1149" s="209" cm="1">
        <f t="array" ref="H1149">IF(ROW()&lt;3,"",E1149/INDEX(E:E,ROW()-1)-1)</f>
        <v/>
      </c>
      <c r="I1149" s="211">
        <f>IF(ROW()&lt;51,NA(),AVERAGE(INDEX(E:E,ROW()-49):E1149))</f>
        <v/>
      </c>
      <c r="J1149" s="211">
        <f>IF(ROW()&lt;201,NA(),AVERAGE(INDEX(E:E,ROW()-199):E1149))</f>
        <v/>
      </c>
      <c r="K1149" s="341">
        <f>IF(ROW()&lt;22,NA(),_xlfn.STDEV.S(INDEX(H:H,ROW()-19):H1149)*SQRT(252))</f>
        <v/>
      </c>
      <c r="L1149" s="426" cm="1">
        <f t="array" ref="L1149">IF(ROW()&lt;17,NA(),_xlfn.LET(_xlpm.d,INDEX(E:E,ROW()-13):E1149-INDEX(E:E,ROW()-14):INDEX(E:E,ROW()-1),_xlpm.g,SUM(IF(_xlpm.d&gt;0,_xlpm.d,0)),_xlpm.l,-SUM(IF(_xlpm.d&lt;0,_xlpm.d,0)),IF(_xlpm.l=0,100,100-100/(1+_xlpm.g/_xlpm.l))))</f>
        <v/>
      </c>
      <c r="M1149" s="211">
        <f>MAX($E$2:E1149)</f>
        <v/>
      </c>
      <c r="N1149" s="341">
        <f>E1149/M1149-1</f>
        <v/>
      </c>
    </row>
    <row r="1150">
      <c r="A1150" s="424" t="n">
        <v>46135</v>
      </c>
      <c r="B1150" s="425" t="n">
        <v>44.70157358227125</v>
      </c>
      <c r="C1150" s="425" t="n">
        <v>44.86829550751661</v>
      </c>
      <c r="D1150" s="425" t="n">
        <v>43.3873982199449</v>
      </c>
      <c r="E1150" s="425" t="n">
        <v>43.91698837280273</v>
      </c>
      <c r="F1150" s="207" t="n">
        <v>17457500</v>
      </c>
      <c r="G1150" s="208" t="n">
        <v>-0.003880717280620449</v>
      </c>
      <c r="H1150" s="209" cm="1">
        <f t="array" ref="H1150">IF(ROW()&lt;3,"",E1150/INDEX(E:E,ROW()-1)-1)</f>
        <v/>
      </c>
      <c r="I1150" s="211">
        <f>IF(ROW()&lt;51,NA(),AVERAGE(INDEX(E:E,ROW()-49):E1150))</f>
        <v/>
      </c>
      <c r="J1150" s="211">
        <f>IF(ROW()&lt;201,NA(),AVERAGE(INDEX(E:E,ROW()-199):E1150))</f>
        <v/>
      </c>
      <c r="K1150" s="341">
        <f>IF(ROW()&lt;22,NA(),_xlfn.STDEV.S(INDEX(H:H,ROW()-19):H1150)*SQRT(252))</f>
        <v/>
      </c>
      <c r="L1150" s="426" cm="1">
        <f t="array" ref="L1150">IF(ROW()&lt;17,NA(),_xlfn.LET(_xlpm.d,INDEX(E:E,ROW()-13):E1150-INDEX(E:E,ROW()-14):INDEX(E:E,ROW()-1),_xlpm.g,SUM(IF(_xlpm.d&gt;0,_xlpm.d,0)),_xlpm.l,-SUM(IF(_xlpm.d&lt;0,_xlpm.d,0)),IF(_xlpm.l=0,100,100-100/(1+_xlpm.g/_xlpm.l))))</f>
        <v/>
      </c>
      <c r="M1150" s="211">
        <f>MAX($E$2:E1150)</f>
        <v/>
      </c>
      <c r="N1150" s="341">
        <f>E1150/M1150-1</f>
        <v/>
      </c>
    </row>
    <row r="1151">
      <c r="A1151" s="424" t="n">
        <v>46136</v>
      </c>
      <c r="B1151" s="425" t="n">
        <v>44.11313202707365</v>
      </c>
      <c r="C1151" s="425" t="n">
        <v>44.54465087343377</v>
      </c>
      <c r="D1151" s="425" t="n">
        <v>43.73064881806683</v>
      </c>
      <c r="E1151" s="425" t="n">
        <v>43.82872009277344</v>
      </c>
      <c r="F1151" s="207" t="n">
        <v>15885000</v>
      </c>
      <c r="G1151" s="208" t="n">
        <v>0.00774924296942836</v>
      </c>
      <c r="H1151" s="209" cm="1">
        <f t="array" ref="H1151">IF(ROW()&lt;3,"",E1151/INDEX(E:E,ROW()-1)-1)</f>
        <v/>
      </c>
      <c r="I1151" s="211">
        <f>IF(ROW()&lt;51,NA(),AVERAGE(INDEX(E:E,ROW()-49):E1151))</f>
        <v/>
      </c>
      <c r="J1151" s="211">
        <f>IF(ROW()&lt;201,NA(),AVERAGE(INDEX(E:E,ROW()-199):E1151))</f>
        <v/>
      </c>
      <c r="K1151" s="341">
        <f>IF(ROW()&lt;22,NA(),_xlfn.STDEV.S(INDEX(H:H,ROW()-19):H1151)*SQRT(252))</f>
        <v/>
      </c>
      <c r="L1151" s="426" cm="1">
        <f t="array" ref="L1151">IF(ROW()&lt;17,NA(),_xlfn.LET(_xlpm.d,INDEX(E:E,ROW()-13):E1151-INDEX(E:E,ROW()-14):INDEX(E:E,ROW()-1),_xlpm.g,SUM(IF(_xlpm.d&gt;0,_xlpm.d,0)),_xlpm.l,-SUM(IF(_xlpm.d&lt;0,_xlpm.d,0)),IF(_xlpm.l=0,100,100-100/(1+_xlpm.g/_xlpm.l))))</f>
        <v/>
      </c>
      <c r="M1151" s="211">
        <f>MAX($E$2:E1151)</f>
        <v/>
      </c>
      <c r="N1151" s="341">
        <f>E1151/M1151-1</f>
        <v/>
      </c>
    </row>
    <row r="1152">
      <c r="A1152" s="424" t="n">
        <v>46139</v>
      </c>
      <c r="B1152" s="425" t="n">
        <v>43.74045616579651</v>
      </c>
      <c r="C1152" s="425" t="n">
        <v>44.53484699034393</v>
      </c>
      <c r="D1152" s="425" t="n">
        <v>43.63257925585701</v>
      </c>
      <c r="E1152" s="425" t="n">
        <v>44.27005004882812</v>
      </c>
      <c r="F1152" s="207" t="n">
        <v>14583100</v>
      </c>
      <c r="G1152" s="208" t="n">
        <v>0.001722941665982747</v>
      </c>
      <c r="H1152" s="209" cm="1">
        <f t="array" ref="H1152">IF(ROW()&lt;3,"",E1152/INDEX(E:E,ROW()-1)-1)</f>
        <v/>
      </c>
      <c r="I1152" s="211">
        <f>IF(ROW()&lt;51,NA(),AVERAGE(INDEX(E:E,ROW()-49):E1152))</f>
        <v/>
      </c>
      <c r="J1152" s="211">
        <f>IF(ROW()&lt;201,NA(),AVERAGE(INDEX(E:E,ROW()-199):E1152))</f>
        <v/>
      </c>
      <c r="K1152" s="341">
        <f>IF(ROW()&lt;22,NA(),_xlfn.STDEV.S(INDEX(H:H,ROW()-19):H1152)*SQRT(252))</f>
        <v/>
      </c>
      <c r="L1152" s="426" cm="1">
        <f t="array" ref="L1152">IF(ROW()&lt;17,NA(),_xlfn.LET(_xlpm.d,INDEX(E:E,ROW()-13):E1152-INDEX(E:E,ROW()-14):INDEX(E:E,ROW()-1),_xlpm.g,SUM(IF(_xlpm.d&gt;0,_xlpm.d,0)),_xlpm.l,-SUM(IF(_xlpm.d&lt;0,_xlpm.d,0)),IF(_xlpm.l=0,100,100-100/(1+_xlpm.g/_xlpm.l))))</f>
        <v/>
      </c>
      <c r="M1152" s="211">
        <f>MAX($E$2:E1152)</f>
        <v/>
      </c>
      <c r="N1152" s="341">
        <f>E1152/M1152-1</f>
        <v/>
      </c>
    </row>
    <row r="1153">
      <c r="A1153" s="424" t="n">
        <v>46140</v>
      </c>
      <c r="B1153" s="425" t="n">
        <v>44.5054273753296</v>
      </c>
      <c r="C1153" s="425" t="n">
        <v>44.82906559492667</v>
      </c>
      <c r="D1153" s="425" t="n">
        <v>43.88756783096121</v>
      </c>
      <c r="E1153" s="425" t="n">
        <v>44.16217041015625</v>
      </c>
      <c r="F1153" s="207" t="n">
        <v>12426000</v>
      </c>
      <c r="G1153" s="208" t="n">
        <v>-0.004865980739709008</v>
      </c>
      <c r="H1153" s="209" cm="1">
        <f t="array" ref="H1153">IF(ROW()&lt;3,"",E1153/INDEX(E:E,ROW()-1)-1)</f>
        <v/>
      </c>
      <c r="I1153" s="211">
        <f>IF(ROW()&lt;51,NA(),AVERAGE(INDEX(E:E,ROW()-49):E1153))</f>
        <v/>
      </c>
      <c r="J1153" s="211">
        <f>IF(ROW()&lt;201,NA(),AVERAGE(INDEX(E:E,ROW()-199):E1153))</f>
        <v/>
      </c>
      <c r="K1153" s="341">
        <f>IF(ROW()&lt;22,NA(),_xlfn.STDEV.S(INDEX(H:H,ROW()-19):H1153)*SQRT(252))</f>
        <v/>
      </c>
      <c r="L1153" s="426" cm="1">
        <f t="array" ref="L1153">IF(ROW()&lt;17,NA(),_xlfn.LET(_xlpm.d,INDEX(E:E,ROW()-13):E1153-INDEX(E:E,ROW()-14):INDEX(E:E,ROW()-1),_xlpm.g,SUM(IF(_xlpm.d&gt;0,_xlpm.d,0)),_xlpm.l,-SUM(IF(_xlpm.d&lt;0,_xlpm.d,0)),IF(_xlpm.l=0,100,100-100/(1+_xlpm.g/_xlpm.l))))</f>
        <v/>
      </c>
      <c r="M1153" s="211">
        <f>MAX($E$2:E1153)</f>
        <v/>
      </c>
      <c r="N1153" s="341">
        <f>E1153/M1153-1</f>
        <v/>
      </c>
    </row>
    <row r="1154">
      <c r="A1154" s="424" t="n">
        <v>46141</v>
      </c>
      <c r="B1154" s="425" t="n">
        <v>44.05428844366177</v>
      </c>
      <c r="C1154" s="425" t="n">
        <v>44.28966474822825</v>
      </c>
      <c r="D1154" s="425" t="n">
        <v>43.29913137338055</v>
      </c>
      <c r="E1154" s="425" t="n">
        <v>43.53450393676758</v>
      </c>
      <c r="F1154" s="207" t="n">
        <v>13329700</v>
      </c>
      <c r="G1154" s="208" t="n">
        <v>-0.0001546344034137892</v>
      </c>
      <c r="H1154" s="209" cm="1">
        <f t="array" ref="H1154">IF(ROW()&lt;3,"",E1154/INDEX(E:E,ROW()-1)-1)</f>
        <v/>
      </c>
      <c r="I1154" s="211">
        <f>IF(ROW()&lt;51,NA(),AVERAGE(INDEX(E:E,ROW()-49):E1154))</f>
        <v/>
      </c>
      <c r="J1154" s="211">
        <f>IF(ROW()&lt;201,NA(),AVERAGE(INDEX(E:E,ROW()-199):E1154))</f>
        <v/>
      </c>
      <c r="K1154" s="341">
        <f>IF(ROW()&lt;22,NA(),_xlfn.STDEV.S(INDEX(H:H,ROW()-19):H1154)*SQRT(252))</f>
        <v/>
      </c>
      <c r="L1154" s="426" cm="1">
        <f t="array" ref="L1154">IF(ROW()&lt;17,NA(),_xlfn.LET(_xlpm.d,INDEX(E:E,ROW()-13):E1154-INDEX(E:E,ROW()-14):INDEX(E:E,ROW()-1),_xlpm.g,SUM(IF(_xlpm.d&gt;0,_xlpm.d,0)),_xlpm.l,-SUM(IF(_xlpm.d&lt;0,_xlpm.d,0)),IF(_xlpm.l=0,100,100-100/(1+_xlpm.g/_xlpm.l))))</f>
        <v/>
      </c>
      <c r="M1154" s="211">
        <f>MAX($E$2:E1154)</f>
        <v/>
      </c>
      <c r="N1154" s="341">
        <f>E1154/M1154-1</f>
        <v/>
      </c>
    </row>
    <row r="1155">
      <c r="A1155" s="424" t="n">
        <v>46142</v>
      </c>
      <c r="B1155" s="425" t="n">
        <v>43.24028424999607</v>
      </c>
      <c r="C1155" s="425" t="n">
        <v>43.94640938802739</v>
      </c>
      <c r="D1155" s="425" t="n">
        <v>42.67146039076433</v>
      </c>
      <c r="E1155" s="425" t="n">
        <v>43.50508117675781</v>
      </c>
      <c r="F1155" s="207" t="n">
        <v>21679500</v>
      </c>
      <c r="G1155" s="208" t="n">
        <v>0.009949685183250345</v>
      </c>
      <c r="H1155" s="209" cm="1">
        <f t="array" ref="H1155">IF(ROW()&lt;3,"",E1155/INDEX(E:E,ROW()-1)-1)</f>
        <v/>
      </c>
      <c r="I1155" s="211">
        <f>IF(ROW()&lt;51,NA(),AVERAGE(INDEX(E:E,ROW()-49):E1155))</f>
        <v/>
      </c>
      <c r="J1155" s="211">
        <f>IF(ROW()&lt;201,NA(),AVERAGE(INDEX(E:E,ROW()-199):E1155))</f>
        <v/>
      </c>
      <c r="K1155" s="341">
        <f>IF(ROW()&lt;22,NA(),_xlfn.STDEV.S(INDEX(H:H,ROW()-19):H1155)*SQRT(252))</f>
        <v/>
      </c>
      <c r="L1155" s="426" cm="1">
        <f t="array" ref="L1155">IF(ROW()&lt;17,NA(),_xlfn.LET(_xlpm.d,INDEX(E:E,ROW()-13):E1155-INDEX(E:E,ROW()-14):INDEX(E:E,ROW()-1),_xlpm.g,SUM(IF(_xlpm.d&gt;0,_xlpm.d,0)),_xlpm.l,-SUM(IF(_xlpm.d&lt;0,_xlpm.d,0)),IF(_xlpm.l=0,100,100-100/(1+_xlpm.g/_xlpm.l))))</f>
        <v/>
      </c>
      <c r="M1155" s="211">
        <f>MAX($E$2:E1155)</f>
        <v/>
      </c>
      <c r="N1155" s="341">
        <f>E1155/M1155-1</f>
        <v/>
      </c>
    </row>
    <row r="1156">
      <c r="A1156" s="424" t="n">
        <v>46143</v>
      </c>
      <c r="B1156" s="425" t="n">
        <v>43.95621536306166</v>
      </c>
      <c r="C1156" s="425" t="n">
        <v>44.09351664293638</v>
      </c>
      <c r="D1156" s="425" t="n">
        <v>43.36778023754735</v>
      </c>
      <c r="E1156" s="425" t="n">
        <v>43.5443115234375</v>
      </c>
      <c r="F1156" s="207" t="n">
        <v>11562800</v>
      </c>
      <c r="G1156" s="208" t="n">
        <v>0.00276905737155686</v>
      </c>
      <c r="H1156" s="209" cm="1">
        <f t="array" ref="H1156">IF(ROW()&lt;3,"",E1156/INDEX(E:E,ROW()-1)-1)</f>
        <v/>
      </c>
      <c r="I1156" s="211">
        <f>IF(ROW()&lt;51,NA(),AVERAGE(INDEX(E:E,ROW()-49):E1156))</f>
        <v/>
      </c>
      <c r="J1156" s="211">
        <f>IF(ROW()&lt;201,NA(),AVERAGE(INDEX(E:E,ROW()-199):E1156))</f>
        <v/>
      </c>
      <c r="K1156" s="341">
        <f>IF(ROW()&lt;22,NA(),_xlfn.STDEV.S(INDEX(H:H,ROW()-19):H1156)*SQRT(252))</f>
        <v/>
      </c>
      <c r="L1156" s="426" cm="1">
        <f t="array" ref="L1156">IF(ROW()&lt;17,NA(),_xlfn.LET(_xlpm.d,INDEX(E:E,ROW()-13):E1156-INDEX(E:E,ROW()-14):INDEX(E:E,ROW()-1),_xlpm.g,SUM(IF(_xlpm.d&gt;0,_xlpm.d,0)),_xlpm.l,-SUM(IF(_xlpm.d&lt;0,_xlpm.d,0)),IF(_xlpm.l=0,100,100-100/(1+_xlpm.g/_xlpm.l))))</f>
        <v/>
      </c>
      <c r="M1156" s="211">
        <f>MAX($E$2:E1156)</f>
        <v/>
      </c>
      <c r="N1156" s="341">
        <f>E1156/M1156-1</f>
        <v/>
      </c>
    </row>
    <row r="1157">
      <c r="A1157" s="424" t="n">
        <v>46146</v>
      </c>
      <c r="B1157" s="425" t="n">
        <v>43.33835867861848</v>
      </c>
      <c r="C1157" s="425" t="n">
        <v>43.48546934014611</v>
      </c>
      <c r="D1157" s="425" t="n">
        <v>42.25955963134766</v>
      </c>
      <c r="E1157" s="425" t="n">
        <v>42.25955963134766</v>
      </c>
      <c r="F1157" s="207" t="n">
        <v>33272400</v>
      </c>
      <c r="G1157" s="208" t="n">
        <v>-0.003663380950929773</v>
      </c>
      <c r="H1157" s="209" cm="1">
        <f t="array" ref="H1157">IF(ROW()&lt;3,"",E1157/INDEX(E:E,ROW()-1)-1)</f>
        <v/>
      </c>
      <c r="I1157" s="211">
        <f>IF(ROW()&lt;51,NA(),AVERAGE(INDEX(E:E,ROW()-49):E1157))</f>
        <v/>
      </c>
      <c r="J1157" s="211">
        <f>IF(ROW()&lt;201,NA(),AVERAGE(INDEX(E:E,ROW()-199):E1157))</f>
        <v/>
      </c>
      <c r="K1157" s="341">
        <f>IF(ROW()&lt;22,NA(),_xlfn.STDEV.S(INDEX(H:H,ROW()-19):H1157)*SQRT(252))</f>
        <v/>
      </c>
      <c r="L1157" s="426" cm="1">
        <f t="array" ref="L1157">IF(ROW()&lt;17,NA(),_xlfn.LET(_xlpm.d,INDEX(E:E,ROW()-13):E1157-INDEX(E:E,ROW()-14):INDEX(E:E,ROW()-1),_xlpm.g,SUM(IF(_xlpm.d&gt;0,_xlpm.d,0)),_xlpm.l,-SUM(IF(_xlpm.d&lt;0,_xlpm.d,0)),IF(_xlpm.l=0,100,100-100/(1+_xlpm.g/_xlpm.l))))</f>
        <v/>
      </c>
      <c r="M1157" s="211">
        <f>MAX($E$2:E1157)</f>
        <v/>
      </c>
      <c r="N1157" s="341">
        <f>E1157/M1157-1</f>
        <v/>
      </c>
    </row>
    <row r="1158">
      <c r="A1158" s="424" t="n">
        <v>46147</v>
      </c>
      <c r="B1158" s="425" t="n">
        <v>42.21052186804221</v>
      </c>
      <c r="C1158" s="425" t="n">
        <v>42.46550942852742</v>
      </c>
      <c r="D1158" s="425" t="n">
        <v>41.82803865672472</v>
      </c>
      <c r="E1158" s="425" t="n">
        <v>42.23013687133789</v>
      </c>
      <c r="F1158" s="207" t="n">
        <v>18589700</v>
      </c>
      <c r="G1158" s="208" t="n">
        <v>0.008022242913074518</v>
      </c>
      <c r="H1158" s="209" cm="1">
        <f t="array" ref="H1158">IF(ROW()&lt;3,"",E1158/INDEX(E:E,ROW()-1)-1)</f>
        <v/>
      </c>
      <c r="I1158" s="211">
        <f>IF(ROW()&lt;51,NA(),AVERAGE(INDEX(E:E,ROW()-49):E1158))</f>
        <v/>
      </c>
      <c r="J1158" s="211">
        <f>IF(ROW()&lt;201,NA(),AVERAGE(INDEX(E:E,ROW()-199):E1158))</f>
        <v/>
      </c>
      <c r="K1158" s="341">
        <f>IF(ROW()&lt;22,NA(),_xlfn.STDEV.S(INDEX(H:H,ROW()-19):H1158)*SQRT(252))</f>
        <v/>
      </c>
      <c r="L1158" s="426" cm="1">
        <f t="array" ref="L1158">IF(ROW()&lt;17,NA(),_xlfn.LET(_xlpm.d,INDEX(E:E,ROW()-13):E1158-INDEX(E:E,ROW()-14):INDEX(E:E,ROW()-1),_xlpm.g,SUM(IF(_xlpm.d&gt;0,_xlpm.d,0)),_xlpm.l,-SUM(IF(_xlpm.d&lt;0,_xlpm.d,0)),IF(_xlpm.l=0,100,100-100/(1+_xlpm.g/_xlpm.l))))</f>
        <v/>
      </c>
      <c r="M1158" s="211">
        <f>MAX($E$2:E1158)</f>
        <v/>
      </c>
      <c r="N1158" s="341">
        <f>E1158/M1158-1</f>
        <v/>
      </c>
    </row>
    <row r="1159">
      <c r="A1159" s="424" t="n">
        <v>46148</v>
      </c>
      <c r="B1159" s="425" t="n">
        <v>42.78915035180437</v>
      </c>
      <c r="C1159" s="425" t="n">
        <v>43.22066919049166</v>
      </c>
      <c r="D1159" s="425" t="n">
        <v>42.36743714394166</v>
      </c>
      <c r="E1159" s="425" t="n">
        <v>43.03433227539062</v>
      </c>
      <c r="F1159" s="207" t="n">
        <v>19406700</v>
      </c>
      <c r="G1159" s="208" t="n">
        <v>0.01389941873015998</v>
      </c>
      <c r="H1159" s="209" cm="1">
        <f t="array" ref="H1159">IF(ROW()&lt;3,"",E1159/INDEX(E:E,ROW()-1)-1)</f>
        <v/>
      </c>
      <c r="I1159" s="211">
        <f>IF(ROW()&lt;51,NA(),AVERAGE(INDEX(E:E,ROW()-49):E1159))</f>
        <v/>
      </c>
      <c r="J1159" s="211">
        <f>IF(ROW()&lt;201,NA(),AVERAGE(INDEX(E:E,ROW()-199):E1159))</f>
        <v/>
      </c>
      <c r="K1159" s="341">
        <f>IF(ROW()&lt;22,NA(),_xlfn.STDEV.S(INDEX(H:H,ROW()-19):H1159)*SQRT(252))</f>
        <v/>
      </c>
      <c r="L1159" s="426" cm="1">
        <f t="array" ref="L1159">IF(ROW()&lt;17,NA(),_xlfn.LET(_xlpm.d,INDEX(E:E,ROW()-13):E1159-INDEX(E:E,ROW()-14):INDEX(E:E,ROW()-1),_xlpm.g,SUM(IF(_xlpm.d&gt;0,_xlpm.d,0)),_xlpm.l,-SUM(IF(_xlpm.d&lt;0,_xlpm.d,0)),IF(_xlpm.l=0,100,100-100/(1+_xlpm.g/_xlpm.l))))</f>
        <v/>
      </c>
      <c r="M1159" s="211">
        <f>MAX($E$2:E1159)</f>
        <v/>
      </c>
      <c r="N1159" s="341">
        <f>E1159/M1159-1</f>
        <v/>
      </c>
    </row>
    <row r="1160">
      <c r="A1160" s="424" t="n">
        <v>46149</v>
      </c>
      <c r="B1160" s="425" t="n">
        <v>43.20105652247319</v>
      </c>
      <c r="C1160" s="425" t="n">
        <v>43.77968604305608</v>
      </c>
      <c r="D1160" s="425" t="n">
        <v>43.16182651469617</v>
      </c>
      <c r="E1160" s="425" t="n">
        <v>43.55411911010742</v>
      </c>
      <c r="F1160" s="207" t="n">
        <v>17177700</v>
      </c>
      <c r="G1160" s="208" t="n">
        <v>-0.00306608893764504</v>
      </c>
      <c r="H1160" s="209" cm="1">
        <f t="array" ref="H1160">IF(ROW()&lt;3,"",E1160/INDEX(E:E,ROW()-1)-1)</f>
        <v/>
      </c>
      <c r="I1160" s="211">
        <f>IF(ROW()&lt;51,NA(),AVERAGE(INDEX(E:E,ROW()-49):E1160))</f>
        <v/>
      </c>
      <c r="J1160" s="211">
        <f>IF(ROW()&lt;201,NA(),AVERAGE(INDEX(E:E,ROW()-199):E1160))</f>
        <v/>
      </c>
      <c r="K1160" s="341">
        <f>IF(ROW()&lt;22,NA(),_xlfn.STDEV.S(INDEX(H:H,ROW()-19):H1160)*SQRT(252))</f>
        <v/>
      </c>
      <c r="L1160" s="426" cm="1">
        <f t="array" ref="L1160">IF(ROW()&lt;17,NA(),_xlfn.LET(_xlpm.d,INDEX(E:E,ROW()-13):E1160-INDEX(E:E,ROW()-14):INDEX(E:E,ROW()-1),_xlpm.g,SUM(IF(_xlpm.d&gt;0,_xlpm.d,0)),_xlpm.l,-SUM(IF(_xlpm.d&lt;0,_xlpm.d,0)),IF(_xlpm.l=0,100,100-100/(1+_xlpm.g/_xlpm.l))))</f>
        <v/>
      </c>
      <c r="M1160" s="211">
        <f>MAX($E$2:E1160)</f>
        <v/>
      </c>
      <c r="N1160" s="341">
        <f>E1160/M1160-1</f>
        <v/>
      </c>
    </row>
    <row r="1161">
      <c r="A1161" s="424" t="n">
        <v>46150</v>
      </c>
      <c r="B1161" s="425" t="n">
        <v>43.40700818083172</v>
      </c>
      <c r="C1161" s="425" t="n">
        <v>43.7993007737965</v>
      </c>
      <c r="D1161" s="425" t="n">
        <v>42.95587431774783</v>
      </c>
      <c r="E1161" s="425" t="n">
        <v>43.28932189941406</v>
      </c>
      <c r="F1161" s="207" t="n">
        <v>17357100</v>
      </c>
      <c r="G1161" s="208" t="n">
        <v>0.008256054754597786</v>
      </c>
      <c r="H1161" s="209" cm="1">
        <f t="array" ref="H1161">IF(ROW()&lt;3,"",E1161/INDEX(E:E,ROW()-1)-1)</f>
        <v/>
      </c>
      <c r="I1161" s="211">
        <f>IF(ROW()&lt;51,NA(),AVERAGE(INDEX(E:E,ROW()-49):E1161))</f>
        <v/>
      </c>
      <c r="J1161" s="211">
        <f>IF(ROW()&lt;201,NA(),AVERAGE(INDEX(E:E,ROW()-199):E1161))</f>
        <v/>
      </c>
      <c r="K1161" s="341">
        <f>IF(ROW()&lt;22,NA(),_xlfn.STDEV.S(INDEX(H:H,ROW()-19):H1161)*SQRT(252))</f>
        <v/>
      </c>
      <c r="L1161" s="426" cm="1">
        <f t="array" ref="L1161">IF(ROW()&lt;17,NA(),_xlfn.LET(_xlpm.d,INDEX(E:E,ROW()-13):E1161-INDEX(E:E,ROW()-14):INDEX(E:E,ROW()-1),_xlpm.g,SUM(IF(_xlpm.d&gt;0,_xlpm.d,0)),_xlpm.l,-SUM(IF(_xlpm.d&lt;0,_xlpm.d,0)),IF(_xlpm.l=0,100,100-100/(1+_xlpm.g/_xlpm.l))))</f>
        <v/>
      </c>
      <c r="M1161" s="211">
        <f>MAX($E$2:E1161)</f>
        <v/>
      </c>
      <c r="N1161" s="341">
        <f>E1161/M1161-1</f>
        <v/>
      </c>
    </row>
    <row r="1162">
      <c r="A1162" s="424" t="n">
        <v>46153</v>
      </c>
      <c r="B1162" s="425" t="n">
        <v>43.22067051419458</v>
      </c>
      <c r="C1162" s="425" t="n">
        <v>43.22067051419458</v>
      </c>
      <c r="D1162" s="425" t="n">
        <v>41.57304763793945</v>
      </c>
      <c r="E1162" s="425" t="n">
        <v>41.57304763793945</v>
      </c>
      <c r="F1162" s="207" t="n">
        <v>24863800</v>
      </c>
      <c r="G1162" s="208" t="n">
        <v>0.002277563520993731</v>
      </c>
      <c r="H1162" s="209" cm="1">
        <f t="array" ref="H1162">IF(ROW()&lt;3,"",E1162/INDEX(E:E,ROW()-1)-1)</f>
        <v/>
      </c>
      <c r="I1162" s="211">
        <f>IF(ROW()&lt;51,NA(),AVERAGE(INDEX(E:E,ROW()-49):E1162))</f>
        <v/>
      </c>
      <c r="J1162" s="211">
        <f>IF(ROW()&lt;201,NA(),AVERAGE(INDEX(E:E,ROW()-199):E1162))</f>
        <v/>
      </c>
      <c r="K1162" s="341">
        <f>IF(ROW()&lt;22,NA(),_xlfn.STDEV.S(INDEX(H:H,ROW()-19):H1162)*SQRT(252))</f>
        <v/>
      </c>
      <c r="L1162" s="426" cm="1">
        <f t="array" ref="L1162">IF(ROW()&lt;17,NA(),_xlfn.LET(_xlpm.d,INDEX(E:E,ROW()-13):E1162-INDEX(E:E,ROW()-14):INDEX(E:E,ROW()-1),_xlpm.g,SUM(IF(_xlpm.d&gt;0,_xlpm.d,0)),_xlpm.l,-SUM(IF(_xlpm.d&lt;0,_xlpm.d,0)),IF(_xlpm.l=0,100,100-100/(1+_xlpm.g/_xlpm.l))))</f>
        <v/>
      </c>
      <c r="M1162" s="211">
        <f>MAX($E$2:E1162)</f>
        <v/>
      </c>
      <c r="N1162" s="341">
        <f>E1162/M1162-1</f>
        <v/>
      </c>
    </row>
    <row r="1163">
      <c r="A1163" s="424" t="n">
        <v>46154</v>
      </c>
      <c r="B1163" s="425" t="n">
        <v>41.48478165367777</v>
      </c>
      <c r="C1163" s="425" t="n">
        <v>41.69073357622976</v>
      </c>
      <c r="D1163" s="425" t="n">
        <v>41.24940909681245</v>
      </c>
      <c r="E1163" s="425" t="n">
        <v>41.53381729125977</v>
      </c>
      <c r="F1163" s="207" t="n">
        <v>21271300</v>
      </c>
      <c r="G1163" s="208" t="n">
        <v>-0.001514897683211336</v>
      </c>
      <c r="H1163" s="209" cm="1">
        <f t="array" ref="H1163">IF(ROW()&lt;3,"",E1163/INDEX(E:E,ROW()-1)-1)</f>
        <v/>
      </c>
      <c r="I1163" s="211">
        <f>IF(ROW()&lt;51,NA(),AVERAGE(INDEX(E:E,ROW()-49):E1163))</f>
        <v/>
      </c>
      <c r="J1163" s="211">
        <f>IF(ROW()&lt;201,NA(),AVERAGE(INDEX(E:E,ROW()-199):E1163))</f>
        <v/>
      </c>
      <c r="K1163" s="341">
        <f>IF(ROW()&lt;22,NA(),_xlfn.STDEV.S(INDEX(H:H,ROW()-19):H1163)*SQRT(252))</f>
        <v/>
      </c>
      <c r="L1163" s="426" cm="1">
        <f t="array" ref="L1163">IF(ROW()&lt;17,NA(),_xlfn.LET(_xlpm.d,INDEX(E:E,ROW()-13):E1163-INDEX(E:E,ROW()-14):INDEX(E:E,ROW()-1),_xlpm.g,SUM(IF(_xlpm.d&gt;0,_xlpm.d,0)),_xlpm.l,-SUM(IF(_xlpm.d&lt;0,_xlpm.d,0)),IF(_xlpm.l=0,100,100-100/(1+_xlpm.g/_xlpm.l))))</f>
        <v/>
      </c>
      <c r="M1163" s="211">
        <f>MAX($E$2:E1163)</f>
        <v/>
      </c>
      <c r="N1163" s="341">
        <f>E1163/M1163-1</f>
        <v/>
      </c>
    </row>
    <row r="1164">
      <c r="A1164" s="424" t="n">
        <v>46155</v>
      </c>
      <c r="B1164" s="425" t="n">
        <v>41.38671223143866</v>
      </c>
      <c r="C1164" s="425" t="n">
        <v>41.78881046350033</v>
      </c>
      <c r="D1164" s="425" t="n">
        <v>40.89634835130593</v>
      </c>
      <c r="E1164" s="425" t="n">
        <v>41.52401351928711</v>
      </c>
      <c r="F1164" s="207" t="n">
        <v>21325200</v>
      </c>
      <c r="G1164" s="208" t="n">
        <v>0.005594852718878274</v>
      </c>
      <c r="H1164" s="209" cm="1">
        <f t="array" ref="H1164">IF(ROW()&lt;3,"",E1164/INDEX(E:E,ROW()-1)-1)</f>
        <v/>
      </c>
      <c r="I1164" s="211">
        <f>IF(ROW()&lt;51,NA(),AVERAGE(INDEX(E:E,ROW()-49):E1164))</f>
        <v/>
      </c>
      <c r="J1164" s="211">
        <f>IF(ROW()&lt;201,NA(),AVERAGE(INDEX(E:E,ROW()-199):E1164))</f>
        <v/>
      </c>
      <c r="K1164" s="341">
        <f>IF(ROW()&lt;22,NA(),_xlfn.STDEV.S(INDEX(H:H,ROW()-19):H1164)*SQRT(252))</f>
        <v/>
      </c>
      <c r="L1164" s="426" cm="1">
        <f t="array" ref="L1164">IF(ROW()&lt;17,NA(),_xlfn.LET(_xlpm.d,INDEX(E:E,ROW()-13):E1164-INDEX(E:E,ROW()-14):INDEX(E:E,ROW()-1),_xlpm.g,SUM(IF(_xlpm.d&gt;0,_xlpm.d,0)),_xlpm.l,-SUM(IF(_xlpm.d&lt;0,_xlpm.d,0)),IF(_xlpm.l=0,100,100-100/(1+_xlpm.g/_xlpm.l))))</f>
        <v/>
      </c>
      <c r="M1164" s="211">
        <f>MAX($E$2:E1164)</f>
        <v/>
      </c>
      <c r="N1164" s="341">
        <f>E1164/M1164-1</f>
        <v/>
      </c>
    </row>
    <row r="1165">
      <c r="A1165" s="424" t="n">
        <v>46156</v>
      </c>
      <c r="B1165" s="425" t="n">
        <v>41.73977223077123</v>
      </c>
      <c r="C1165" s="425" t="n">
        <v>42.00456915853477</v>
      </c>
      <c r="D1165" s="425" t="n">
        <v>41.18075774144128</v>
      </c>
      <c r="E1165" s="425" t="n">
        <v>41.21017837524414</v>
      </c>
      <c r="F1165" s="207" t="n">
        <v>19146900</v>
      </c>
      <c r="G1165" s="208" t="n">
        <v>0.007894249484761584</v>
      </c>
      <c r="H1165" s="209" cm="1">
        <f t="array" ref="H1165">IF(ROW()&lt;3,"",E1165/INDEX(E:E,ROW()-1)-1)</f>
        <v/>
      </c>
      <c r="I1165" s="211">
        <f>IF(ROW()&lt;51,NA(),AVERAGE(INDEX(E:E,ROW()-49):E1165))</f>
        <v/>
      </c>
      <c r="J1165" s="211">
        <f>IF(ROW()&lt;201,NA(),AVERAGE(INDEX(E:E,ROW()-199):E1165))</f>
        <v/>
      </c>
      <c r="K1165" s="341">
        <f>IF(ROW()&lt;22,NA(),_xlfn.STDEV.S(INDEX(H:H,ROW()-19):H1165)*SQRT(252))</f>
        <v/>
      </c>
      <c r="L1165" s="426" cm="1">
        <f t="array" ref="L1165">IF(ROW()&lt;17,NA(),_xlfn.LET(_xlpm.d,INDEX(E:E,ROW()-13):E1165-INDEX(E:E,ROW()-14):INDEX(E:E,ROW()-1),_xlpm.g,SUM(IF(_xlpm.d&gt;0,_xlpm.d,0)),_xlpm.l,-SUM(IF(_xlpm.d&lt;0,_xlpm.d,0)),IF(_xlpm.l=0,100,100-100/(1+_xlpm.g/_xlpm.l))))</f>
        <v/>
      </c>
      <c r="M1165" s="211">
        <f>MAX($E$2:E1165)</f>
        <v/>
      </c>
      <c r="N1165" s="341">
        <f>E1165/M1165-1</f>
        <v/>
      </c>
    </row>
    <row r="1166">
      <c r="A1166" s="424" t="n">
        <v>46157</v>
      </c>
      <c r="B1166" s="425" t="n">
        <v>41.19056224974589</v>
      </c>
      <c r="C1166" s="425" t="n">
        <v>41.9555286372067</v>
      </c>
      <c r="D1166" s="425" t="n">
        <v>41.03364597177498</v>
      </c>
      <c r="E1166" s="425" t="n">
        <v>41.0728759765625</v>
      </c>
      <c r="F1166" s="207" t="n">
        <v>26172600</v>
      </c>
      <c r="G1166" s="208" t="n">
        <v>-0.01202928805968206</v>
      </c>
      <c r="H1166" s="209" cm="1">
        <f t="array" ref="H1166">IF(ROW()&lt;3,"",E1166/INDEX(E:E,ROW()-1)-1)</f>
        <v/>
      </c>
      <c r="I1166" s="211">
        <f>IF(ROW()&lt;51,NA(),AVERAGE(INDEX(E:E,ROW()-49):E1166))</f>
        <v/>
      </c>
      <c r="J1166" s="211">
        <f>IF(ROW()&lt;201,NA(),AVERAGE(INDEX(E:E,ROW()-199):E1166))</f>
        <v/>
      </c>
      <c r="K1166" s="341">
        <f>IF(ROW()&lt;22,NA(),_xlfn.STDEV.S(INDEX(H:H,ROW()-19):H1166)*SQRT(252))</f>
        <v/>
      </c>
      <c r="L1166" s="426" cm="1">
        <f t="array" ref="L1166">IF(ROW()&lt;17,NA(),_xlfn.LET(_xlpm.d,INDEX(E:E,ROW()-13):E1166-INDEX(E:E,ROW()-14):INDEX(E:E,ROW()-1),_xlpm.g,SUM(IF(_xlpm.d&gt;0,_xlpm.d,0)),_xlpm.l,-SUM(IF(_xlpm.d&lt;0,_xlpm.d,0)),IF(_xlpm.l=0,100,100-100/(1+_xlpm.g/_xlpm.l))))</f>
        <v/>
      </c>
      <c r="M1166" s="211">
        <f>MAX($E$2:E1166)</f>
        <v/>
      </c>
      <c r="N1166" s="341">
        <f>E1166/M1166-1</f>
        <v/>
      </c>
    </row>
    <row r="1167">
      <c r="A1167" s="424" t="n">
        <v>46160</v>
      </c>
      <c r="B1167" s="425" t="n">
        <v>41.07287957670772</v>
      </c>
      <c r="C1167" s="425" t="n">
        <v>41.92611167913888</v>
      </c>
      <c r="D1167" s="425" t="n">
        <v>40.5530913206602</v>
      </c>
      <c r="E1167" s="425" t="n">
        <v>41.74958038330078</v>
      </c>
      <c r="F1167" s="207" t="n">
        <v>18694900</v>
      </c>
      <c r="G1167" s="208" t="n">
        <v>-0.0007035134425675826</v>
      </c>
      <c r="H1167" s="209" cm="1">
        <f t="array" ref="H1167">IF(ROW()&lt;3,"",E1167/INDEX(E:E,ROW()-1)-1)</f>
        <v/>
      </c>
      <c r="I1167" s="211">
        <f>IF(ROW()&lt;51,NA(),AVERAGE(INDEX(E:E,ROW()-49):E1167))</f>
        <v/>
      </c>
      <c r="J1167" s="211">
        <f>IF(ROW()&lt;201,NA(),AVERAGE(INDEX(E:E,ROW()-199):E1167))</f>
        <v/>
      </c>
      <c r="K1167" s="341">
        <f>IF(ROW()&lt;22,NA(),_xlfn.STDEV.S(INDEX(H:H,ROW()-19):H1167)*SQRT(252))</f>
        <v/>
      </c>
      <c r="L1167" s="426" cm="1">
        <f t="array" ref="L1167">IF(ROW()&lt;17,NA(),_xlfn.LET(_xlpm.d,INDEX(E:E,ROW()-13):E1167-INDEX(E:E,ROW()-14):INDEX(E:E,ROW()-1),_xlpm.g,SUM(IF(_xlpm.d&gt;0,_xlpm.d,0)),_xlpm.l,-SUM(IF(_xlpm.d&lt;0,_xlpm.d,0)),IF(_xlpm.l=0,100,100-100/(1+_xlpm.g/_xlpm.l))))</f>
        <v/>
      </c>
      <c r="M1167" s="211">
        <f>MAX($E$2:E1167)</f>
        <v/>
      </c>
      <c r="N1167" s="341">
        <f>E1167/M1167-1</f>
        <v/>
      </c>
    </row>
    <row r="1168">
      <c r="A1168" s="424" t="n">
        <v>46161</v>
      </c>
      <c r="B1168" s="425" t="n">
        <v>41.77899786576702</v>
      </c>
      <c r="C1168" s="425" t="n">
        <v>42.3674367212103</v>
      </c>
      <c r="D1168" s="425" t="n">
        <v>41.00422583826114</v>
      </c>
      <c r="E1168" s="425" t="n">
        <v>41.60246658325195</v>
      </c>
      <c r="F1168" s="207" t="n">
        <v>22957900</v>
      </c>
      <c r="G1168" s="208" t="n">
        <v>-0.006660884222331576</v>
      </c>
      <c r="H1168" s="209" cm="1">
        <f t="array" ref="H1168">IF(ROW()&lt;3,"",E1168/INDEX(E:E,ROW()-1)-1)</f>
        <v/>
      </c>
      <c r="I1168" s="211">
        <f>IF(ROW()&lt;51,NA(),AVERAGE(INDEX(E:E,ROW()-49):E1168))</f>
        <v/>
      </c>
      <c r="J1168" s="211">
        <f>IF(ROW()&lt;201,NA(),AVERAGE(INDEX(E:E,ROW()-199):E1168))</f>
        <v/>
      </c>
      <c r="K1168" s="341">
        <f>IF(ROW()&lt;22,NA(),_xlfn.STDEV.S(INDEX(H:H,ROW()-19):H1168)*SQRT(252))</f>
        <v/>
      </c>
      <c r="L1168" s="426" cm="1">
        <f t="array" ref="L1168">IF(ROW()&lt;17,NA(),_xlfn.LET(_xlpm.d,INDEX(E:E,ROW()-13):E1168-INDEX(E:E,ROW()-14):INDEX(E:E,ROW()-1),_xlpm.g,SUM(IF(_xlpm.d&gt;0,_xlpm.d,0)),_xlpm.l,-SUM(IF(_xlpm.d&lt;0,_xlpm.d,0)),IF(_xlpm.l=0,100,100-100/(1+_xlpm.g/_xlpm.l))))</f>
        <v/>
      </c>
      <c r="M1168" s="211">
        <f>MAX($E$2:E1168)</f>
        <v/>
      </c>
      <c r="N1168" s="341">
        <f>E1168/M1168-1</f>
        <v/>
      </c>
    </row>
    <row r="1169">
      <c r="A1169" s="424" t="n">
        <v>46162</v>
      </c>
      <c r="B1169" s="425" t="n">
        <v>41.39651560748124</v>
      </c>
      <c r="C1169" s="425" t="n">
        <v>43.42662166132843</v>
      </c>
      <c r="D1169" s="425" t="n">
        <v>41.02384177253431</v>
      </c>
      <c r="E1169" s="425" t="n">
        <v>43.33835601806641</v>
      </c>
      <c r="F1169" s="207" t="n">
        <v>27060200</v>
      </c>
      <c r="G1169" s="208" t="n">
        <v>0.01024902933238803</v>
      </c>
      <c r="H1169" s="209" cm="1">
        <f t="array" ref="H1169">IF(ROW()&lt;3,"",E1169/INDEX(E:E,ROW()-1)-1)</f>
        <v/>
      </c>
      <c r="I1169" s="211">
        <f>IF(ROW()&lt;51,NA(),AVERAGE(INDEX(E:E,ROW()-49):E1169))</f>
        <v/>
      </c>
      <c r="J1169" s="211">
        <f>IF(ROW()&lt;201,NA(),AVERAGE(INDEX(E:E,ROW()-199):E1169))</f>
        <v/>
      </c>
      <c r="K1169" s="341">
        <f>IF(ROW()&lt;22,NA(),_xlfn.STDEV.S(INDEX(H:H,ROW()-19):H1169)*SQRT(252))</f>
        <v/>
      </c>
      <c r="L1169" s="426" cm="1">
        <f t="array" ref="L1169">IF(ROW()&lt;17,NA(),_xlfn.LET(_xlpm.d,INDEX(E:E,ROW()-13):E1169-INDEX(E:E,ROW()-14):INDEX(E:E,ROW()-1),_xlpm.g,SUM(IF(_xlpm.d&gt;0,_xlpm.d,0)),_xlpm.l,-SUM(IF(_xlpm.d&lt;0,_xlpm.d,0)),IF(_xlpm.l=0,100,100-100/(1+_xlpm.g/_xlpm.l))))</f>
        <v/>
      </c>
      <c r="M1169" s="211">
        <f>MAX($E$2:E1169)</f>
        <v/>
      </c>
      <c r="N1169" s="341">
        <f>E1169/M1169-1</f>
        <v/>
      </c>
    </row>
    <row r="1170">
      <c r="A1170" s="424" t="n">
        <v>46163</v>
      </c>
      <c r="B1170" s="425" t="n">
        <v>43.0441400650019</v>
      </c>
      <c r="C1170" s="425" t="n">
        <v>43.87776089171121</v>
      </c>
      <c r="D1170" s="425" t="n">
        <v>42.32820926116556</v>
      </c>
      <c r="E1170" s="425" t="n">
        <v>43.53450393676758</v>
      </c>
      <c r="F1170" s="207" t="n">
        <v>18428100</v>
      </c>
      <c r="G1170" s="208" t="n">
        <v>0.001983129454913746</v>
      </c>
      <c r="H1170" s="209" cm="1">
        <f t="array" ref="H1170">IF(ROW()&lt;3,"",E1170/INDEX(E:E,ROW()-1)-1)</f>
        <v/>
      </c>
      <c r="I1170" s="211">
        <f>IF(ROW()&lt;51,NA(),AVERAGE(INDEX(E:E,ROW()-49):E1170))</f>
        <v/>
      </c>
      <c r="J1170" s="211">
        <f>IF(ROW()&lt;201,NA(),AVERAGE(INDEX(E:E,ROW()-199):E1170))</f>
        <v/>
      </c>
      <c r="K1170" s="341">
        <f>IF(ROW()&lt;22,NA(),_xlfn.STDEV.S(INDEX(H:H,ROW()-19):H1170)*SQRT(252))</f>
        <v/>
      </c>
      <c r="L1170" s="426" cm="1">
        <f t="array" ref="L1170">IF(ROW()&lt;17,NA(),_xlfn.LET(_xlpm.d,INDEX(E:E,ROW()-13):E1170-INDEX(E:E,ROW()-14):INDEX(E:E,ROW()-1),_xlpm.g,SUM(IF(_xlpm.d&gt;0,_xlpm.d,0)),_xlpm.l,-SUM(IF(_xlpm.d&lt;0,_xlpm.d,0)),IF(_xlpm.l=0,100,100-100/(1+_xlpm.g/_xlpm.l))))</f>
        <v/>
      </c>
      <c r="M1170" s="211">
        <f>MAX($E$2:E1170)</f>
        <v/>
      </c>
      <c r="N1170" s="341">
        <f>E1170/M1170-1</f>
        <v/>
      </c>
    </row>
    <row r="1171">
      <c r="A1171" s="424" t="n">
        <v>46164</v>
      </c>
      <c r="B1171" s="425" t="n">
        <v>43.70122801414707</v>
      </c>
      <c r="C1171" s="425" t="n">
        <v>43.85814429777574</v>
      </c>
      <c r="D1171" s="425" t="n">
        <v>43.35797107164858</v>
      </c>
      <c r="E1171" s="425" t="n">
        <v>43.80910491943359</v>
      </c>
      <c r="F1171" s="207" t="n">
        <v>14905100</v>
      </c>
      <c r="G1171" s="208" t="n">
        <v>0.003931565762728351</v>
      </c>
      <c r="H1171" s="209" cm="1">
        <f t="array" ref="H1171">IF(ROW()&lt;3,"",E1171/INDEX(E:E,ROW()-1)-1)</f>
        <v/>
      </c>
      <c r="I1171" s="211">
        <f>IF(ROW()&lt;51,NA(),AVERAGE(INDEX(E:E,ROW()-49):E1171))</f>
        <v/>
      </c>
      <c r="J1171" s="211">
        <f>IF(ROW()&lt;201,NA(),AVERAGE(INDEX(E:E,ROW()-199):E1171))</f>
        <v/>
      </c>
      <c r="K1171" s="341">
        <f>IF(ROW()&lt;22,NA(),_xlfn.STDEV.S(INDEX(H:H,ROW()-19):H1171)*SQRT(252))</f>
        <v/>
      </c>
      <c r="L1171" s="426" cm="1">
        <f t="array" ref="L1171">IF(ROW()&lt;17,NA(),_xlfn.LET(_xlpm.d,INDEX(E:E,ROW()-13):E1171-INDEX(E:E,ROW()-14):INDEX(E:E,ROW()-1),_xlpm.g,SUM(IF(_xlpm.d&gt;0,_xlpm.d,0)),_xlpm.l,-SUM(IF(_xlpm.d&lt;0,_xlpm.d,0)),IF(_xlpm.l=0,100,100-100/(1+_xlpm.g/_xlpm.l))))</f>
        <v/>
      </c>
      <c r="M1171" s="211">
        <f>MAX($E$2:E1171)</f>
        <v/>
      </c>
      <c r="N1171" s="341">
        <f>E1171/M1171-1</f>
        <v/>
      </c>
    </row>
    <row r="1172">
      <c r="A1172" s="424" t="n">
        <v>46168</v>
      </c>
      <c r="B1172" s="425" t="n">
        <v>43.83852957377508</v>
      </c>
      <c r="C1172" s="425" t="n">
        <v>44.08371150232956</v>
      </c>
      <c r="D1172" s="425" t="n">
        <v>43.25009070053676</v>
      </c>
      <c r="E1172" s="425" t="n">
        <v>44.07390213012695</v>
      </c>
      <c r="F1172" s="207" t="n">
        <v>18667600</v>
      </c>
      <c r="G1172" s="208" t="n">
        <v>0.006638589859918387</v>
      </c>
      <c r="H1172" s="209" cm="1">
        <f t="array" ref="H1172">IF(ROW()&lt;3,"",E1172/INDEX(E:E,ROW()-1)-1)</f>
        <v/>
      </c>
      <c r="I1172" s="211">
        <f>IF(ROW()&lt;51,NA(),AVERAGE(INDEX(E:E,ROW()-49):E1172))</f>
        <v/>
      </c>
      <c r="J1172" s="211">
        <f>IF(ROW()&lt;201,NA(),AVERAGE(INDEX(E:E,ROW()-199):E1172))</f>
        <v/>
      </c>
      <c r="K1172" s="341">
        <f>IF(ROW()&lt;22,NA(),_xlfn.STDEV.S(INDEX(H:H,ROW()-19):H1172)*SQRT(252))</f>
        <v/>
      </c>
      <c r="L1172" s="426" cm="1">
        <f t="array" ref="L1172">IF(ROW()&lt;17,NA(),_xlfn.LET(_xlpm.d,INDEX(E:E,ROW()-13):E1172-INDEX(E:E,ROW()-14):INDEX(E:E,ROW()-1),_xlpm.g,SUM(IF(_xlpm.d&gt;0,_xlpm.d,0)),_xlpm.l,-SUM(IF(_xlpm.d&lt;0,_xlpm.d,0)),IF(_xlpm.l=0,100,100-100/(1+_xlpm.g/_xlpm.l))))</f>
        <v/>
      </c>
      <c r="M1172" s="211">
        <f>MAX($E$2:E1172)</f>
        <v/>
      </c>
      <c r="N1172" s="341">
        <f>E1172/M1172-1</f>
        <v/>
      </c>
    </row>
    <row r="1173">
      <c r="A1173" s="424" t="n">
        <v>46169</v>
      </c>
      <c r="B1173" s="425" t="n">
        <v>44.82906368988696</v>
      </c>
      <c r="C1173" s="425" t="n">
        <v>45.69210514076958</v>
      </c>
      <c r="D1173" s="425" t="n">
        <v>44.78983368276062</v>
      </c>
      <c r="E1173" s="425" t="n">
        <v>45.0938606262207</v>
      </c>
      <c r="F1173" s="207" t="n">
        <v>24251900</v>
      </c>
      <c r="G1173" s="208" t="n">
        <v>-0.000173263723814987</v>
      </c>
      <c r="H1173" s="209" cm="1">
        <f t="array" ref="H1173">IF(ROW()&lt;3,"",E1173/INDEX(E:E,ROW()-1)-1)</f>
        <v/>
      </c>
      <c r="I1173" s="211">
        <f>IF(ROW()&lt;51,NA(),AVERAGE(INDEX(E:E,ROW()-49):E1173))</f>
        <v/>
      </c>
      <c r="J1173" s="211">
        <f>IF(ROW()&lt;201,NA(),AVERAGE(INDEX(E:E,ROW()-199):E1173))</f>
        <v/>
      </c>
      <c r="K1173" s="341">
        <f>IF(ROW()&lt;22,NA(),_xlfn.STDEV.S(INDEX(H:H,ROW()-19):H1173)*SQRT(252))</f>
        <v/>
      </c>
      <c r="L1173" s="426" cm="1">
        <f t="array" ref="L1173">IF(ROW()&lt;17,NA(),_xlfn.LET(_xlpm.d,INDEX(E:E,ROW()-13):E1173-INDEX(E:E,ROW()-14):INDEX(E:E,ROW()-1),_xlpm.g,SUM(IF(_xlpm.d&gt;0,_xlpm.d,0)),_xlpm.l,-SUM(IF(_xlpm.d&lt;0,_xlpm.d,0)),IF(_xlpm.l=0,100,100-100/(1+_xlpm.g/_xlpm.l))))</f>
        <v/>
      </c>
      <c r="M1173" s="211">
        <f>MAX($E$2:E1173)</f>
        <v/>
      </c>
      <c r="N1173" s="341">
        <f>E1173/M1173-1</f>
        <v/>
      </c>
    </row>
    <row r="1174">
      <c r="A1174" s="424" t="n">
        <v>46170</v>
      </c>
      <c r="B1174" s="425" t="n">
        <v>45.08405658445701</v>
      </c>
      <c r="C1174" s="425" t="n">
        <v>46.73167953005613</v>
      </c>
      <c r="D1174" s="425" t="n">
        <v>44.68195835018458</v>
      </c>
      <c r="E1174" s="425" t="n">
        <v>46.45707321166992</v>
      </c>
      <c r="F1174" s="207" t="n">
        <v>22871300</v>
      </c>
      <c r="G1174" s="208" t="n">
        <v>0.005516626676954184</v>
      </c>
      <c r="H1174" s="209" cm="1">
        <f t="array" ref="H1174">IF(ROW()&lt;3,"",E1174/INDEX(E:E,ROW()-1)-1)</f>
        <v/>
      </c>
      <c r="I1174" s="211">
        <f>IF(ROW()&lt;51,NA(),AVERAGE(INDEX(E:E,ROW()-49):E1174))</f>
        <v/>
      </c>
      <c r="J1174" s="211">
        <f>IF(ROW()&lt;201,NA(),AVERAGE(INDEX(E:E,ROW()-199):E1174))</f>
        <v/>
      </c>
      <c r="K1174" s="341">
        <f>IF(ROW()&lt;22,NA(),_xlfn.STDEV.S(INDEX(H:H,ROW()-19):H1174)*SQRT(252))</f>
        <v/>
      </c>
      <c r="L1174" s="426" cm="1">
        <f t="array" ref="L1174">IF(ROW()&lt;17,NA(),_xlfn.LET(_xlpm.d,INDEX(E:E,ROW()-13):E1174-INDEX(E:E,ROW()-14):INDEX(E:E,ROW()-1),_xlpm.g,SUM(IF(_xlpm.d&gt;0,_xlpm.d,0)),_xlpm.l,-SUM(IF(_xlpm.d&lt;0,_xlpm.d,0)),IF(_xlpm.l=0,100,100-100/(1+_xlpm.g/_xlpm.l))))</f>
        <v/>
      </c>
      <c r="M1174" s="211">
        <f>MAX($E$2:E1174)</f>
        <v/>
      </c>
      <c r="N1174" s="341">
        <f>E1174/M1174-1</f>
        <v/>
      </c>
    </row>
    <row r="1175">
      <c r="A1175" s="424" t="n">
        <v>46171</v>
      </c>
      <c r="B1175" s="425" t="n">
        <v>46.2020841164476</v>
      </c>
      <c r="C1175" s="425" t="n">
        <v>46.29034976209579</v>
      </c>
      <c r="D1175" s="425" t="n">
        <v>45.19193574828019</v>
      </c>
      <c r="E1175" s="425" t="n">
        <v>45.33904266357422</v>
      </c>
      <c r="F1175" s="207" t="n">
        <v>38949100</v>
      </c>
      <c r="G1175" s="208" t="n">
        <v>0.002491413132097442</v>
      </c>
      <c r="H1175" s="209" cm="1">
        <f t="array" ref="H1175">IF(ROW()&lt;3,"",E1175/INDEX(E:E,ROW()-1)-1)</f>
        <v/>
      </c>
      <c r="I1175" s="211">
        <f>IF(ROW()&lt;51,NA(),AVERAGE(INDEX(E:E,ROW()-49):E1175))</f>
        <v/>
      </c>
      <c r="J1175" s="211">
        <f>IF(ROW()&lt;201,NA(),AVERAGE(INDEX(E:E,ROW()-199):E1175))</f>
        <v/>
      </c>
      <c r="K1175" s="341">
        <f>IF(ROW()&lt;22,NA(),_xlfn.STDEV.S(INDEX(H:H,ROW()-19):H1175)*SQRT(252))</f>
        <v/>
      </c>
      <c r="L1175" s="426" cm="1">
        <f t="array" ref="L1175">IF(ROW()&lt;17,NA(),_xlfn.LET(_xlpm.d,INDEX(E:E,ROW()-13):E1175-INDEX(E:E,ROW()-14):INDEX(E:E,ROW()-1),_xlpm.g,SUM(IF(_xlpm.d&gt;0,_xlpm.d,0)),_xlpm.l,-SUM(IF(_xlpm.d&lt;0,_xlpm.d,0)),IF(_xlpm.l=0,100,100-100/(1+_xlpm.g/_xlpm.l))))</f>
        <v/>
      </c>
      <c r="M1175" s="211">
        <f>MAX($E$2:E1175)</f>
        <v/>
      </c>
      <c r="N1175" s="341">
        <f>E1175/M1175-1</f>
        <v/>
      </c>
    </row>
    <row r="1176">
      <c r="A1176" s="424" t="n">
        <v>46174</v>
      </c>
      <c r="B1176" s="425" t="n">
        <v>45.04219121373372</v>
      </c>
      <c r="C1176" s="425" t="n">
        <v>45.7942120699808</v>
      </c>
      <c r="D1176" s="425" t="n">
        <v>44.57712344921906</v>
      </c>
      <c r="E1176" s="425" t="n">
        <v>45.4478874206543</v>
      </c>
      <c r="F1176" s="207" t="n">
        <v>26885100</v>
      </c>
      <c r="G1176" s="208" t="n">
        <v>0.002723063766238765</v>
      </c>
      <c r="H1176" s="209" cm="1">
        <f t="array" ref="H1176">IF(ROW()&lt;3,"",E1176/INDEX(E:E,ROW()-1)-1)</f>
        <v/>
      </c>
      <c r="I1176" s="211">
        <f>IF(ROW()&lt;51,NA(),AVERAGE(INDEX(E:E,ROW()-49):E1176))</f>
        <v/>
      </c>
      <c r="J1176" s="211">
        <f>IF(ROW()&lt;201,NA(),AVERAGE(INDEX(E:E,ROW()-199):E1176))</f>
        <v/>
      </c>
      <c r="K1176" s="341">
        <f>IF(ROW()&lt;22,NA(),_xlfn.STDEV.S(INDEX(H:H,ROW()-19):H1176)*SQRT(252))</f>
        <v/>
      </c>
      <c r="L1176" s="426" cm="1">
        <f t="array" ref="L1176">IF(ROW()&lt;17,NA(),_xlfn.LET(_xlpm.d,INDEX(E:E,ROW()-13):E1176-INDEX(E:E,ROW()-14):INDEX(E:E,ROW()-1),_xlpm.g,SUM(IF(_xlpm.d&gt;0,_xlpm.d,0)),_xlpm.l,-SUM(IF(_xlpm.d&lt;0,_xlpm.d,0)),IF(_xlpm.l=0,100,100-100/(1+_xlpm.g/_xlpm.l))))</f>
        <v/>
      </c>
      <c r="M1176" s="211">
        <f>MAX($E$2:E1176)</f>
        <v/>
      </c>
      <c r="N1176" s="341">
        <f>E1176/M1176-1</f>
        <v/>
      </c>
    </row>
    <row r="1177">
      <c r="A1177" s="424" t="n">
        <v>46175</v>
      </c>
      <c r="B1177" s="425" t="n">
        <v>45.29946193779872</v>
      </c>
      <c r="C1177" s="425" t="n">
        <v>45.29946193779872</v>
      </c>
      <c r="D1177" s="425" t="n">
        <v>43.05328889111542</v>
      </c>
      <c r="E1177" s="425" t="n">
        <v>43.27098083496094</v>
      </c>
      <c r="F1177" s="207" t="n">
        <v>28345000</v>
      </c>
      <c r="G1177" s="208" t="n">
        <v>0.001357996156657437</v>
      </c>
      <c r="H1177" s="209" cm="1">
        <f t="array" ref="H1177">IF(ROW()&lt;3,"",E1177/INDEX(E:E,ROW()-1)-1)</f>
        <v/>
      </c>
      <c r="I1177" s="211">
        <f>IF(ROW()&lt;51,NA(),AVERAGE(INDEX(E:E,ROW()-49):E1177))</f>
        <v/>
      </c>
      <c r="J1177" s="211">
        <f>IF(ROW()&lt;201,NA(),AVERAGE(INDEX(E:E,ROW()-199):E1177))</f>
        <v/>
      </c>
      <c r="K1177" s="341">
        <f>IF(ROW()&lt;22,NA(),_xlfn.STDEV.S(INDEX(H:H,ROW()-19):H1177)*SQRT(252))</f>
        <v/>
      </c>
      <c r="L1177" s="426" cm="1">
        <f t="array" ref="L1177">IF(ROW()&lt;17,NA(),_xlfn.LET(_xlpm.d,INDEX(E:E,ROW()-13):E1177-INDEX(E:E,ROW()-14):INDEX(E:E,ROW()-1),_xlpm.g,SUM(IF(_xlpm.d&gt;0,_xlpm.d,0)),_xlpm.l,-SUM(IF(_xlpm.d&lt;0,_xlpm.d,0)),IF(_xlpm.l=0,100,100-100/(1+_xlpm.g/_xlpm.l))))</f>
        <v/>
      </c>
      <c r="M1177" s="211">
        <f>MAX($E$2:E1177)</f>
        <v/>
      </c>
      <c r="N1177" s="341">
        <f>E1177/M1177-1</f>
        <v/>
      </c>
    </row>
    <row r="1178">
      <c r="A1178" s="424" t="n">
        <v>46176</v>
      </c>
      <c r="B1178" s="425" t="n">
        <v>43.19182304647038</v>
      </c>
      <c r="C1178" s="425" t="n">
        <v>43.52825433886432</v>
      </c>
      <c r="D1178" s="425" t="n">
        <v>42.70696474065191</v>
      </c>
      <c r="E1178" s="425" t="n">
        <v>43.35014343261719</v>
      </c>
      <c r="F1178" s="207" t="n">
        <v>18940500</v>
      </c>
      <c r="G1178" s="208" t="n">
        <v>-0.00701716271996522</v>
      </c>
      <c r="H1178" s="209" cm="1">
        <f t="array" ref="H1178">IF(ROW()&lt;3,"",E1178/INDEX(E:E,ROW()-1)-1)</f>
        <v/>
      </c>
      <c r="I1178" s="211">
        <f>IF(ROW()&lt;51,NA(),AVERAGE(INDEX(E:E,ROW()-49):E1178))</f>
        <v/>
      </c>
      <c r="J1178" s="211">
        <f>IF(ROW()&lt;201,NA(),AVERAGE(INDEX(E:E,ROW()-199):E1178))</f>
        <v/>
      </c>
      <c r="K1178" s="341">
        <f>IF(ROW()&lt;22,NA(),_xlfn.STDEV.S(INDEX(H:H,ROW()-19):H1178)*SQRT(252))</f>
        <v/>
      </c>
      <c r="L1178" s="426" cm="1">
        <f t="array" ref="L1178">IF(ROW()&lt;17,NA(),_xlfn.LET(_xlpm.d,INDEX(E:E,ROW()-13):E1178-INDEX(E:E,ROW()-14):INDEX(E:E,ROW()-1),_xlpm.g,SUM(IF(_xlpm.d&gt;0,_xlpm.d,0)),_xlpm.l,-SUM(IF(_xlpm.d&lt;0,_xlpm.d,0)),IF(_xlpm.l=0,100,100-100/(1+_xlpm.g/_xlpm.l))))</f>
        <v/>
      </c>
      <c r="M1178" s="211">
        <f>MAX($E$2:E1178)</f>
        <v/>
      </c>
      <c r="N1178" s="341">
        <f>E1178/M1178-1</f>
        <v/>
      </c>
    </row>
    <row r="1179">
      <c r="A1179" s="424" t="n">
        <v>46177</v>
      </c>
      <c r="B1179" s="425" t="n">
        <v>44.03289621145981</v>
      </c>
      <c r="C1179" s="425" t="n">
        <v>44.23079762352107</v>
      </c>
      <c r="D1179" s="425" t="n">
        <v>42.67727776702178</v>
      </c>
      <c r="E1179" s="425" t="n">
        <v>43.16213226318359</v>
      </c>
      <c r="F1179" s="207" t="n">
        <v>17350900</v>
      </c>
      <c r="G1179" s="208" t="n">
        <v>0.003778634283035931</v>
      </c>
      <c r="H1179" s="209" cm="1">
        <f t="array" ref="H1179">IF(ROW()&lt;3,"",E1179/INDEX(E:E,ROW()-1)-1)</f>
        <v/>
      </c>
      <c r="I1179" s="211">
        <f>IF(ROW()&lt;51,NA(),AVERAGE(INDEX(E:E,ROW()-49):E1179))</f>
        <v/>
      </c>
      <c r="J1179" s="211">
        <f>IF(ROW()&lt;201,NA(),AVERAGE(INDEX(E:E,ROW()-199):E1179))</f>
        <v/>
      </c>
      <c r="K1179" s="341">
        <f>IF(ROW()&lt;22,NA(),_xlfn.STDEV.S(INDEX(H:H,ROW()-19):H1179)*SQRT(252))</f>
        <v/>
      </c>
      <c r="L1179" s="426" cm="1">
        <f t="array" ref="L1179">IF(ROW()&lt;17,NA(),_xlfn.LET(_xlpm.d,INDEX(E:E,ROW()-13):E1179-INDEX(E:E,ROW()-14):INDEX(E:E,ROW()-1),_xlpm.g,SUM(IF(_xlpm.d&gt;0,_xlpm.d,0)),_xlpm.l,-SUM(IF(_xlpm.d&lt;0,_xlpm.d,0)),IF(_xlpm.l=0,100,100-100/(1+_xlpm.g/_xlpm.l))))</f>
        <v/>
      </c>
      <c r="M1179" s="211">
        <f>MAX($E$2:E1179)</f>
        <v/>
      </c>
      <c r="N1179" s="341">
        <f>E1179/M1179-1</f>
        <v/>
      </c>
    </row>
    <row r="1180">
      <c r="A1180" s="424" t="n">
        <v>46178</v>
      </c>
      <c r="B1180" s="425" t="n">
        <v>42.84549130330046</v>
      </c>
      <c r="C1180" s="425" t="n">
        <v>43.28087516262781</v>
      </c>
      <c r="D1180" s="425" t="n">
        <v>42.34084629094568</v>
      </c>
      <c r="E1180" s="425" t="n">
        <v>42.52885055541992</v>
      </c>
      <c r="F1180" s="207" t="n">
        <v>18406500</v>
      </c>
      <c r="G1180" s="208" t="n">
        <v>-0.02580936961224445</v>
      </c>
      <c r="H1180" s="209" cm="1">
        <f t="array" ref="H1180">IF(ROW()&lt;3,"",E1180/INDEX(E:E,ROW()-1)-1)</f>
        <v/>
      </c>
      <c r="I1180" s="211">
        <f>IF(ROW()&lt;51,NA(),AVERAGE(INDEX(E:E,ROW()-49):E1180))</f>
        <v/>
      </c>
      <c r="J1180" s="211">
        <f>IF(ROW()&lt;201,NA(),AVERAGE(INDEX(E:E,ROW()-199):E1180))</f>
        <v/>
      </c>
      <c r="K1180" s="341">
        <f>IF(ROW()&lt;22,NA(),_xlfn.STDEV.S(INDEX(H:H,ROW()-19):H1180)*SQRT(252))</f>
        <v/>
      </c>
      <c r="L1180" s="426" cm="1">
        <f t="array" ref="L1180">IF(ROW()&lt;17,NA(),_xlfn.LET(_xlpm.d,INDEX(E:E,ROW()-13):E1180-INDEX(E:E,ROW()-14):INDEX(E:E,ROW()-1),_xlpm.g,SUM(IF(_xlpm.d&gt;0,_xlpm.d,0)),_xlpm.l,-SUM(IF(_xlpm.d&lt;0,_xlpm.d,0)),IF(_xlpm.l=0,100,100-100/(1+_xlpm.g/_xlpm.l))))</f>
        <v/>
      </c>
      <c r="M1180" s="211">
        <f>MAX($E$2:E1180)</f>
        <v/>
      </c>
      <c r="N1180" s="341">
        <f>E1180/M1180-1</f>
        <v/>
      </c>
    </row>
    <row r="1181">
      <c r="A1181" s="424" t="n">
        <v>46181</v>
      </c>
      <c r="B1181" s="425" t="n">
        <v>42.60801609880293</v>
      </c>
      <c r="C1181" s="425" t="n">
        <v>43.39961803295542</v>
      </c>
      <c r="D1181" s="425" t="n">
        <v>42.2023198716338</v>
      </c>
      <c r="E1181" s="425" t="n">
        <v>42.77622985839844</v>
      </c>
      <c r="F1181" s="207" t="n">
        <v>18192000</v>
      </c>
      <c r="G1181" s="208" t="n">
        <v>0.002264222440912178</v>
      </c>
      <c r="H1181" s="209" cm="1">
        <f t="array" ref="H1181">IF(ROW()&lt;3,"",E1181/INDEX(E:E,ROW()-1)-1)</f>
        <v/>
      </c>
      <c r="I1181" s="211">
        <f>IF(ROW()&lt;51,NA(),AVERAGE(INDEX(E:E,ROW()-49):E1181))</f>
        <v/>
      </c>
      <c r="J1181" s="211">
        <f>IF(ROW()&lt;201,NA(),AVERAGE(INDEX(E:E,ROW()-199):E1181))</f>
        <v/>
      </c>
      <c r="K1181" s="341">
        <f>IF(ROW()&lt;22,NA(),_xlfn.STDEV.S(INDEX(H:H,ROW()-19):H1181)*SQRT(252))</f>
        <v/>
      </c>
      <c r="L1181" s="426" cm="1">
        <f t="array" ref="L1181">IF(ROW()&lt;17,NA(),_xlfn.LET(_xlpm.d,INDEX(E:E,ROW()-13):E1181-INDEX(E:E,ROW()-14):INDEX(E:E,ROW()-1),_xlpm.g,SUM(IF(_xlpm.d&gt;0,_xlpm.d,0)),_xlpm.l,-SUM(IF(_xlpm.d&lt;0,_xlpm.d,0)),IF(_xlpm.l=0,100,100-100/(1+_xlpm.g/_xlpm.l))))</f>
        <v/>
      </c>
      <c r="M1181" s="211">
        <f>MAX($E$2:E1181)</f>
        <v/>
      </c>
      <c r="N1181" s="341">
        <f>E1181/M1181-1</f>
        <v/>
      </c>
    </row>
    <row r="1182">
      <c r="A1182" s="424" t="n">
        <v>46182</v>
      </c>
      <c r="B1182" s="425" t="n">
        <v>43.06318421542051</v>
      </c>
      <c r="C1182" s="425" t="n">
        <v>44.80470836849516</v>
      </c>
      <c r="D1182" s="425" t="n">
        <v>42.81580838957916</v>
      </c>
      <c r="E1182" s="425" t="n">
        <v>44.18132400512695</v>
      </c>
      <c r="F1182" s="207" t="n">
        <v>21505800</v>
      </c>
      <c r="G1182" s="208" t="n">
        <v>-0.002935437064612745</v>
      </c>
      <c r="H1182" s="209" cm="1">
        <f t="array" ref="H1182">IF(ROW()&lt;3,"",E1182/INDEX(E:E,ROW()-1)-1)</f>
        <v/>
      </c>
      <c r="I1182" s="211">
        <f>IF(ROW()&lt;51,NA(),AVERAGE(INDEX(E:E,ROW()-49):E1182))</f>
        <v/>
      </c>
      <c r="J1182" s="211">
        <f>IF(ROW()&lt;201,NA(),AVERAGE(INDEX(E:E,ROW()-199):E1182))</f>
        <v/>
      </c>
      <c r="K1182" s="341">
        <f>IF(ROW()&lt;22,NA(),_xlfn.STDEV.S(INDEX(H:H,ROW()-19):H1182)*SQRT(252))</f>
        <v/>
      </c>
      <c r="L1182" s="426" cm="1">
        <f t="array" ref="L1182">IF(ROW()&lt;17,NA(),_xlfn.LET(_xlpm.d,INDEX(E:E,ROW()-13):E1182-INDEX(E:E,ROW()-14):INDEX(E:E,ROW()-1),_xlpm.g,SUM(IF(_xlpm.d&gt;0,_xlpm.d,0)),_xlpm.l,-SUM(IF(_xlpm.d&lt;0,_xlpm.d,0)),IF(_xlpm.l=0,100,100-100/(1+_xlpm.g/_xlpm.l))))</f>
        <v/>
      </c>
      <c r="M1182" s="211">
        <f>MAX($E$2:E1182)</f>
        <v/>
      </c>
      <c r="N1182" s="341">
        <f>E1182/M1182-1</f>
        <v/>
      </c>
    </row>
    <row r="1183">
      <c r="A1183" s="424" t="n">
        <v>46183</v>
      </c>
      <c r="B1183" s="425" t="n">
        <v>43.31056139917023</v>
      </c>
      <c r="C1183" s="425" t="n">
        <v>44.11206045890145</v>
      </c>
      <c r="D1183" s="425" t="n">
        <v>42.8553907712686</v>
      </c>
      <c r="E1183" s="425" t="n">
        <v>43.49856567382812</v>
      </c>
      <c r="F1183" s="207" t="n">
        <v>15335600</v>
      </c>
      <c r="G1183" s="208" t="n">
        <v>-0.01576559293321111</v>
      </c>
      <c r="H1183" s="209" cm="1">
        <f t="array" ref="H1183">IF(ROW()&lt;3,"",E1183/INDEX(E:E,ROW()-1)-1)</f>
        <v/>
      </c>
      <c r="I1183" s="211">
        <f>IF(ROW()&lt;51,NA(),AVERAGE(INDEX(E:E,ROW()-49):E1183))</f>
        <v/>
      </c>
      <c r="J1183" s="211">
        <f>IF(ROW()&lt;201,NA(),AVERAGE(INDEX(E:E,ROW()-199):E1183))</f>
        <v/>
      </c>
      <c r="K1183" s="341">
        <f>IF(ROW()&lt;22,NA(),_xlfn.STDEV.S(INDEX(H:H,ROW()-19):H1183)*SQRT(252))</f>
        <v/>
      </c>
      <c r="L1183" s="426" cm="1">
        <f t="array" ref="L1183">IF(ROW()&lt;17,NA(),_xlfn.LET(_xlpm.d,INDEX(E:E,ROW()-13):E1183-INDEX(E:E,ROW()-14):INDEX(E:E,ROW()-1),_xlpm.g,SUM(IF(_xlpm.d&gt;0,_xlpm.d,0)),_xlpm.l,-SUM(IF(_xlpm.d&lt;0,_xlpm.d,0)),IF(_xlpm.l=0,100,100-100/(1+_xlpm.g/_xlpm.l))))</f>
        <v/>
      </c>
      <c r="M1183" s="211">
        <f>MAX($E$2:E1183)</f>
        <v/>
      </c>
      <c r="N1183" s="341">
        <f>E1183/M1183-1</f>
        <v/>
      </c>
    </row>
    <row r="1184">
      <c r="A1184" s="424" t="n">
        <v>46184</v>
      </c>
      <c r="B1184" s="425" t="n">
        <v>44.052689919165</v>
      </c>
      <c r="C1184" s="425" t="n">
        <v>45.49736391487973</v>
      </c>
      <c r="D1184" s="425" t="n">
        <v>43.75583966691148</v>
      </c>
      <c r="E1184" s="425" t="n">
        <v>45.47757339477539</v>
      </c>
      <c r="F1184" s="207" t="n">
        <v>16647500</v>
      </c>
      <c r="G1184" s="208" t="n">
        <v>0.01699685739483003</v>
      </c>
      <c r="H1184" s="209" cm="1">
        <f t="array" ref="H1184">IF(ROW()&lt;3,"",E1184/INDEX(E:E,ROW()-1)-1)</f>
        <v/>
      </c>
      <c r="I1184" s="211">
        <f>IF(ROW()&lt;51,NA(),AVERAGE(INDEX(E:E,ROW()-49):E1184))</f>
        <v/>
      </c>
      <c r="J1184" s="211">
        <f>IF(ROW()&lt;201,NA(),AVERAGE(INDEX(E:E,ROW()-199):E1184))</f>
        <v/>
      </c>
      <c r="K1184" s="341">
        <f>IF(ROW()&lt;22,NA(),_xlfn.STDEV.S(INDEX(H:H,ROW()-19):H1184)*SQRT(252))</f>
        <v/>
      </c>
      <c r="L1184" s="426" cm="1">
        <f t="array" ref="L1184">IF(ROW()&lt;17,NA(),_xlfn.LET(_xlpm.d,INDEX(E:E,ROW()-13):E1184-INDEX(E:E,ROW()-14):INDEX(E:E,ROW()-1),_xlpm.g,SUM(IF(_xlpm.d&gt;0,_xlpm.d,0)),_xlpm.l,-SUM(IF(_xlpm.d&lt;0,_xlpm.d,0)),IF(_xlpm.l=0,100,100-100/(1+_xlpm.g/_xlpm.l))))</f>
        <v/>
      </c>
      <c r="M1184" s="211">
        <f>MAX($E$2:E1184)</f>
        <v/>
      </c>
      <c r="N1184" s="341">
        <f>E1184/M1184-1</f>
        <v/>
      </c>
    </row>
    <row r="1185">
      <c r="A1185" s="424" t="n">
        <v>46185</v>
      </c>
      <c r="B1185" s="425" t="n">
        <v>45.80411061688167</v>
      </c>
      <c r="C1185" s="425" t="n">
        <v>45.82390113668458</v>
      </c>
      <c r="D1185" s="425" t="n">
        <v>44.37922338831766</v>
      </c>
      <c r="E1185" s="425" t="n">
        <v>44.4583854675293</v>
      </c>
      <c r="F1185" s="207" t="n">
        <v>16524300</v>
      </c>
      <c r="G1185" s="208" t="n">
        <v>0.005408207317551872</v>
      </c>
      <c r="H1185" s="209" cm="1">
        <f t="array" ref="H1185">IF(ROW()&lt;3,"",E1185/INDEX(E:E,ROW()-1)-1)</f>
        <v/>
      </c>
      <c r="I1185" s="211">
        <f>IF(ROW()&lt;51,NA(),AVERAGE(INDEX(E:E,ROW()-49):E1185))</f>
        <v/>
      </c>
      <c r="J1185" s="211">
        <f>IF(ROW()&lt;201,NA(),AVERAGE(INDEX(E:E,ROW()-199):E1185))</f>
        <v/>
      </c>
      <c r="K1185" s="341">
        <f>IF(ROW()&lt;22,NA(),_xlfn.STDEV.S(INDEX(H:H,ROW()-19):H1185)*SQRT(252))</f>
        <v/>
      </c>
      <c r="L1185" s="426" cm="1">
        <f t="array" ref="L1185">IF(ROW()&lt;17,NA(),_xlfn.LET(_xlpm.d,INDEX(E:E,ROW()-13):E1185-INDEX(E:E,ROW()-14):INDEX(E:E,ROW()-1),_xlpm.g,SUM(IF(_xlpm.d&gt;0,_xlpm.d,0)),_xlpm.l,-SUM(IF(_xlpm.d&lt;0,_xlpm.d,0)),IF(_xlpm.l=0,100,100-100/(1+_xlpm.g/_xlpm.l))))</f>
        <v/>
      </c>
      <c r="M1185" s="211">
        <f>MAX($E$2:E1185)</f>
        <v/>
      </c>
      <c r="N1185" s="341">
        <f>E1185/M1185-1</f>
        <v/>
      </c>
    </row>
    <row r="1186">
      <c r="A1186" s="424" t="n">
        <v>46188</v>
      </c>
      <c r="B1186" s="425" t="n">
        <v>44.88387198822173</v>
      </c>
      <c r="C1186" s="425" t="n">
        <v>45.60620897156203</v>
      </c>
      <c r="D1186" s="425" t="n">
        <v>44.61670563416616</v>
      </c>
      <c r="E1186" s="425" t="n">
        <v>44.72555160522461</v>
      </c>
      <c r="F1186" s="207" t="n">
        <v>14345100</v>
      </c>
      <c r="G1186" s="208" t="n">
        <v>0.01763400939066839</v>
      </c>
      <c r="H1186" s="209" cm="1">
        <f t="array" ref="H1186">IF(ROW()&lt;3,"",E1186/INDEX(E:E,ROW()-1)-1)</f>
        <v/>
      </c>
      <c r="I1186" s="211">
        <f>IF(ROW()&lt;51,NA(),AVERAGE(INDEX(E:E,ROW()-49):E1186))</f>
        <v/>
      </c>
      <c r="J1186" s="211">
        <f>IF(ROW()&lt;201,NA(),AVERAGE(INDEX(E:E,ROW()-199):E1186))</f>
        <v/>
      </c>
      <c r="K1186" s="341">
        <f>IF(ROW()&lt;22,NA(),_xlfn.STDEV.S(INDEX(H:H,ROW()-19):H1186)*SQRT(252))</f>
        <v/>
      </c>
      <c r="L1186" s="426" cm="1">
        <f t="array" ref="L1186">IF(ROW()&lt;17,NA(),_xlfn.LET(_xlpm.d,INDEX(E:E,ROW()-13):E1186-INDEX(E:E,ROW()-14):INDEX(E:E,ROW()-1),_xlpm.g,SUM(IF(_xlpm.d&gt;0,_xlpm.d,0)),_xlpm.l,-SUM(IF(_xlpm.d&lt;0,_xlpm.d,0)),IF(_xlpm.l=0,100,100-100/(1+_xlpm.g/_xlpm.l))))</f>
        <v/>
      </c>
      <c r="M1186" s="211">
        <f>MAX($E$2:E1186)</f>
        <v/>
      </c>
      <c r="N1186" s="341">
        <f>E1186/M1186-1</f>
        <v/>
      </c>
    </row>
    <row r="1187">
      <c r="A1187" s="424" t="n">
        <v>46189</v>
      </c>
      <c r="B1187" s="425" t="n">
        <v>45.03229421600932</v>
      </c>
      <c r="C1187" s="425" t="n">
        <v>45.61610132299084</v>
      </c>
      <c r="D1187" s="425" t="n">
        <v>44.52764918608218</v>
      </c>
      <c r="E1187" s="425" t="n">
        <v>44.56723022460938</v>
      </c>
      <c r="F1187" s="207" t="n">
        <v>19591400</v>
      </c>
      <c r="G1187" s="208" t="n">
        <v>-0.005961575485861181</v>
      </c>
      <c r="H1187" s="209" cm="1">
        <f t="array" ref="H1187">IF(ROW()&lt;3,"",E1187/INDEX(E:E,ROW()-1)-1)</f>
        <v/>
      </c>
      <c r="I1187" s="211">
        <f>IF(ROW()&lt;51,NA(),AVERAGE(INDEX(E:E,ROW()-49):E1187))</f>
        <v/>
      </c>
      <c r="J1187" s="211">
        <f>IF(ROW()&lt;201,NA(),AVERAGE(INDEX(E:E,ROW()-199):E1187))</f>
        <v/>
      </c>
      <c r="K1187" s="341">
        <f>IF(ROW()&lt;22,NA(),_xlfn.STDEV.S(INDEX(H:H,ROW()-19):H1187)*SQRT(252))</f>
        <v/>
      </c>
      <c r="L1187" s="426" cm="1">
        <f t="array" ref="L1187">IF(ROW()&lt;17,NA(),_xlfn.LET(_xlpm.d,INDEX(E:E,ROW()-13):E1187-INDEX(E:E,ROW()-14):INDEX(E:E,ROW()-1),_xlpm.g,SUM(IF(_xlpm.d&gt;0,_xlpm.d,0)),_xlpm.l,-SUM(IF(_xlpm.d&lt;0,_xlpm.d,0)),IF(_xlpm.l=0,100,100-100/(1+_xlpm.g/_xlpm.l))))</f>
        <v/>
      </c>
      <c r="M1187" s="211">
        <f>MAX($E$2:E1187)</f>
        <v/>
      </c>
      <c r="N1187" s="341">
        <f>E1187/M1187-1</f>
        <v/>
      </c>
    </row>
    <row r="1188">
      <c r="A1188" s="424" t="n">
        <v>46190</v>
      </c>
      <c r="B1188" s="425" t="n">
        <v>44.4287007412167</v>
      </c>
      <c r="C1188" s="425" t="n">
        <v>45.36872587894847</v>
      </c>
      <c r="D1188" s="425" t="n">
        <v>43.69646662087597</v>
      </c>
      <c r="E1188" s="425" t="n">
        <v>43.72615051269531</v>
      </c>
      <c r="F1188" s="207" t="n">
        <v>20859700</v>
      </c>
      <c r="G1188" s="208" t="n">
        <v>-0.01248789492983049</v>
      </c>
      <c r="H1188" s="209" cm="1">
        <f t="array" ref="H1188">IF(ROW()&lt;3,"",E1188/INDEX(E:E,ROW()-1)-1)</f>
        <v/>
      </c>
      <c r="I1188" s="211">
        <f>IF(ROW()&lt;51,NA(),AVERAGE(INDEX(E:E,ROW()-49):E1188))</f>
        <v/>
      </c>
      <c r="J1188" s="211">
        <f>IF(ROW()&lt;201,NA(),AVERAGE(INDEX(E:E,ROW()-199):E1188))</f>
        <v/>
      </c>
      <c r="K1188" s="341">
        <f>IF(ROW()&lt;22,NA(),_xlfn.STDEV.S(INDEX(H:H,ROW()-19):H1188)*SQRT(252))</f>
        <v/>
      </c>
      <c r="L1188" s="426" cm="1">
        <f t="array" ref="L1188">IF(ROW()&lt;17,NA(),_xlfn.LET(_xlpm.d,INDEX(E:E,ROW()-13):E1188-INDEX(E:E,ROW()-14):INDEX(E:E,ROW()-1),_xlpm.g,SUM(IF(_xlpm.d&gt;0,_xlpm.d,0)),_xlpm.l,-SUM(IF(_xlpm.d&lt;0,_xlpm.d,0)),IF(_xlpm.l=0,100,100-100/(1+_xlpm.g/_xlpm.l))))</f>
        <v/>
      </c>
      <c r="M1188" s="211">
        <f>MAX($E$2:E1188)</f>
        <v/>
      </c>
      <c r="N1188" s="341">
        <f>E1188/M1188-1</f>
        <v/>
      </c>
    </row>
    <row r="1189">
      <c r="A1189" s="424" t="n">
        <v>46191</v>
      </c>
      <c r="B1189" s="425" t="n">
        <v>43.94384306276451</v>
      </c>
      <c r="C1189" s="425" t="n">
        <v>45.23019664644801</v>
      </c>
      <c r="D1189" s="425" t="n">
        <v>43.77562930724194</v>
      </c>
      <c r="E1189" s="425" t="n">
        <v>44.72555160522461</v>
      </c>
      <c r="F1189" s="207" t="n">
        <v>32320300</v>
      </c>
      <c r="G1189" s="208" t="n">
        <v>0.01039697980742971</v>
      </c>
      <c r="H1189" s="209" cm="1">
        <f t="array" ref="H1189">IF(ROW()&lt;3,"",E1189/INDEX(E:E,ROW()-1)-1)</f>
        <v/>
      </c>
      <c r="I1189" s="211">
        <f>IF(ROW()&lt;51,NA(),AVERAGE(INDEX(E:E,ROW()-49):E1189))</f>
        <v/>
      </c>
      <c r="J1189" s="211">
        <f>IF(ROW()&lt;201,NA(),AVERAGE(INDEX(E:E,ROW()-199):E1189))</f>
        <v/>
      </c>
      <c r="K1189" s="341">
        <f>IF(ROW()&lt;22,NA(),_xlfn.STDEV.S(INDEX(H:H,ROW()-19):H1189)*SQRT(252))</f>
        <v/>
      </c>
      <c r="L1189" s="426" cm="1">
        <f t="array" ref="L1189">IF(ROW()&lt;17,NA(),_xlfn.LET(_xlpm.d,INDEX(E:E,ROW()-13):E1189-INDEX(E:E,ROW()-14):INDEX(E:E,ROW()-1),_xlpm.g,SUM(IF(_xlpm.d&gt;0,_xlpm.d,0)),_xlpm.l,-SUM(IF(_xlpm.d&lt;0,_xlpm.d,0)),IF(_xlpm.l=0,100,100-100/(1+_xlpm.g/_xlpm.l))))</f>
        <v/>
      </c>
      <c r="M1189" s="211">
        <f>MAX($E$2:E1189)</f>
        <v/>
      </c>
      <c r="N1189" s="341">
        <f>E1189/M1189-1</f>
        <v/>
      </c>
    </row>
    <row r="1190">
      <c r="A1190" s="424" t="n">
        <v>46195</v>
      </c>
      <c r="B1190" s="425" t="n">
        <v>44.1516386597224</v>
      </c>
      <c r="C1190" s="425" t="n">
        <v>44.43859553869719</v>
      </c>
      <c r="D1190" s="425" t="n">
        <v>42.68717414673294</v>
      </c>
      <c r="E1190" s="425" t="n">
        <v>42.73664855957031</v>
      </c>
      <c r="F1190" s="207" t="n">
        <v>25864500</v>
      </c>
      <c r="G1190" s="208" t="n">
        <v>-0.003146928266652638</v>
      </c>
      <c r="H1190" s="209" cm="1">
        <f t="array" ref="H1190">IF(ROW()&lt;3,"",E1190/INDEX(E:E,ROW()-1)-1)</f>
        <v/>
      </c>
      <c r="I1190" s="211">
        <f>IF(ROW()&lt;51,NA(),AVERAGE(INDEX(E:E,ROW()-49):E1190))</f>
        <v/>
      </c>
      <c r="J1190" s="211">
        <f>IF(ROW()&lt;201,NA(),AVERAGE(INDEX(E:E,ROW()-199):E1190))</f>
        <v/>
      </c>
      <c r="K1190" s="341">
        <f>IF(ROW()&lt;22,NA(),_xlfn.STDEV.S(INDEX(H:H,ROW()-19):H1190)*SQRT(252))</f>
        <v/>
      </c>
      <c r="L1190" s="426" cm="1">
        <f t="array" ref="L1190">IF(ROW()&lt;17,NA(),_xlfn.LET(_xlpm.d,INDEX(E:E,ROW()-13):E1190-INDEX(E:E,ROW()-14):INDEX(E:E,ROW()-1),_xlpm.g,SUM(IF(_xlpm.d&gt;0,_xlpm.d,0)),_xlpm.l,-SUM(IF(_xlpm.d&lt;0,_xlpm.d,0)),IF(_xlpm.l=0,100,100-100/(1+_xlpm.g/_xlpm.l))))</f>
        <v/>
      </c>
      <c r="M1190" s="211">
        <f>MAX($E$2:E1190)</f>
        <v/>
      </c>
      <c r="N1190" s="341">
        <f>E1190/M1190-1</f>
        <v/>
      </c>
    </row>
    <row r="1191">
      <c r="A1191" s="424" t="n">
        <v>46196</v>
      </c>
      <c r="B1191" s="425" t="n">
        <v>41.9450435184556</v>
      </c>
      <c r="C1191" s="425" t="n">
        <v>42.7366453890947</v>
      </c>
      <c r="D1191" s="425" t="n">
        <v>41.87577859069064</v>
      </c>
      <c r="E1191" s="425" t="n">
        <v>41.93515014648438</v>
      </c>
      <c r="F1191" s="207" t="n">
        <v>31517900</v>
      </c>
      <c r="G1191" s="208" t="n">
        <v>-0.01452201222501359</v>
      </c>
      <c r="H1191" s="209" cm="1">
        <f t="array" ref="H1191">IF(ROW()&lt;3,"",E1191/INDEX(E:E,ROW()-1)-1)</f>
        <v/>
      </c>
      <c r="I1191" s="211">
        <f>IF(ROW()&lt;51,NA(),AVERAGE(INDEX(E:E,ROW()-49):E1191))</f>
        <v/>
      </c>
      <c r="J1191" s="211">
        <f>IF(ROW()&lt;201,NA(),AVERAGE(INDEX(E:E,ROW()-199):E1191))</f>
        <v/>
      </c>
      <c r="K1191" s="341">
        <f>IF(ROW()&lt;22,NA(),_xlfn.STDEV.S(INDEX(H:H,ROW()-19):H1191)*SQRT(252))</f>
        <v/>
      </c>
      <c r="L1191" s="426" cm="1">
        <f t="array" ref="L1191">IF(ROW()&lt;17,NA(),_xlfn.LET(_xlpm.d,INDEX(E:E,ROW()-13):E1191-INDEX(E:E,ROW()-14):INDEX(E:E,ROW()-1),_xlpm.g,SUM(IF(_xlpm.d&gt;0,_xlpm.d,0)),_xlpm.l,-SUM(IF(_xlpm.d&lt;0,_xlpm.d,0)),IF(_xlpm.l=0,100,100-100/(1+_xlpm.g/_xlpm.l))))</f>
        <v/>
      </c>
      <c r="M1191" s="211">
        <f>MAX($E$2:E1191)</f>
        <v/>
      </c>
      <c r="N1191" s="341">
        <f>E1191/M1191-1</f>
        <v/>
      </c>
    </row>
    <row r="1192">
      <c r="A1192" s="424" t="n">
        <v>46197</v>
      </c>
      <c r="B1192" s="425" t="n">
        <v>41.59871915303199</v>
      </c>
      <c r="C1192" s="425" t="n">
        <v>41.88567601260447</v>
      </c>
      <c r="D1192" s="425" t="n">
        <v>40.87638220541039</v>
      </c>
      <c r="E1192" s="425" t="n">
        <v>41.38102722167969</v>
      </c>
      <c r="F1192" s="207" t="n">
        <v>34384300</v>
      </c>
      <c r="G1192" s="208" t="n">
        <v>-0.0004635003677893046</v>
      </c>
      <c r="H1192" s="209" cm="1">
        <f t="array" ref="H1192">IF(ROW()&lt;3,"",E1192/INDEX(E:E,ROW()-1)-1)</f>
        <v/>
      </c>
      <c r="I1192" s="211">
        <f>IF(ROW()&lt;51,NA(),AVERAGE(INDEX(E:E,ROW()-49):E1192))</f>
        <v/>
      </c>
      <c r="J1192" s="211">
        <f>IF(ROW()&lt;201,NA(),AVERAGE(INDEX(E:E,ROW()-199):E1192))</f>
        <v/>
      </c>
      <c r="K1192" s="341">
        <f>IF(ROW()&lt;22,NA(),_xlfn.STDEV.S(INDEX(H:H,ROW()-19):H1192)*SQRT(252))</f>
        <v/>
      </c>
      <c r="L1192" s="426" cm="1">
        <f t="array" ref="L1192">IF(ROW()&lt;17,NA(),_xlfn.LET(_xlpm.d,INDEX(E:E,ROW()-13):E1192-INDEX(E:E,ROW()-14):INDEX(E:E,ROW()-1),_xlpm.g,SUM(IF(_xlpm.d&gt;0,_xlpm.d,0)),_xlpm.l,-SUM(IF(_xlpm.d&lt;0,_xlpm.d,0)),IF(_xlpm.l=0,100,100-100/(1+_xlpm.g/_xlpm.l))))</f>
        <v/>
      </c>
      <c r="M1192" s="211">
        <f>MAX($E$2:E1192)</f>
        <v/>
      </c>
      <c r="N1192" s="341">
        <f>E1192/M1192-1</f>
        <v/>
      </c>
    </row>
    <row r="1193">
      <c r="A1193" s="424" t="n">
        <v>46198</v>
      </c>
      <c r="B1193" s="425" t="n">
        <v>41.36123860192399</v>
      </c>
      <c r="C1193" s="425" t="n">
        <v>41.4206101608338</v>
      </c>
      <c r="D1193" s="425" t="n">
        <v>40.01551346388045</v>
      </c>
      <c r="E1193" s="425" t="n">
        <v>40.47068786621094</v>
      </c>
      <c r="F1193" s="207" t="n">
        <v>29228300</v>
      </c>
      <c r="G1193" s="208" t="n">
        <v>0.001445636828724783</v>
      </c>
      <c r="H1193" s="209" cm="1">
        <f t="array" ref="H1193">IF(ROW()&lt;3,"",E1193/INDEX(E:E,ROW()-1)-1)</f>
        <v/>
      </c>
      <c r="I1193" s="211">
        <f>IF(ROW()&lt;51,NA(),AVERAGE(INDEX(E:E,ROW()-49):E1193))</f>
        <v/>
      </c>
      <c r="J1193" s="211">
        <f>IF(ROW()&lt;201,NA(),AVERAGE(INDEX(E:E,ROW()-199):E1193))</f>
        <v/>
      </c>
      <c r="K1193" s="341">
        <f>IF(ROW()&lt;22,NA(),_xlfn.STDEV.S(INDEX(H:H,ROW()-19):H1193)*SQRT(252))</f>
        <v/>
      </c>
      <c r="L1193" s="426" cm="1">
        <f t="array" ref="L1193">IF(ROW()&lt;17,NA(),_xlfn.LET(_xlpm.d,INDEX(E:E,ROW()-13):E1193-INDEX(E:E,ROW()-14):INDEX(E:E,ROW()-1),_xlpm.g,SUM(IF(_xlpm.d&gt;0,_xlpm.d,0)),_xlpm.l,-SUM(IF(_xlpm.d&lt;0,_xlpm.d,0)),IF(_xlpm.l=0,100,100-100/(1+_xlpm.g/_xlpm.l))))</f>
        <v/>
      </c>
      <c r="M1193" s="211">
        <f>MAX($E$2:E1193)</f>
        <v/>
      </c>
      <c r="N1193" s="341">
        <f>E1193/M1193-1</f>
        <v/>
      </c>
    </row>
    <row r="1194">
      <c r="A1194" s="424" t="n">
        <v>46199</v>
      </c>
      <c r="B1194" s="425" t="n">
        <v>39.6493992253608</v>
      </c>
      <c r="C1194" s="425" t="n">
        <v>41.03470543545436</v>
      </c>
      <c r="D1194" s="425" t="n">
        <v>39.5801342923217</v>
      </c>
      <c r="E1194" s="425" t="n">
        <v>40.32226181030273</v>
      </c>
      <c r="F1194" s="207" t="n">
        <v>33970700</v>
      </c>
      <c r="G1194" s="208" t="n">
        <v>-0.007231332133985857</v>
      </c>
      <c r="H1194" s="209" cm="1">
        <f t="array" ref="H1194">IF(ROW()&lt;3,"",E1194/INDEX(E:E,ROW()-1)-1)</f>
        <v/>
      </c>
      <c r="I1194" s="211">
        <f>IF(ROW()&lt;51,NA(),AVERAGE(INDEX(E:E,ROW()-49):E1194))</f>
        <v/>
      </c>
      <c r="J1194" s="211">
        <f>IF(ROW()&lt;201,NA(),AVERAGE(INDEX(E:E,ROW()-199):E1194))</f>
        <v/>
      </c>
      <c r="K1194" s="341">
        <f>IF(ROW()&lt;22,NA(),_xlfn.STDEV.S(INDEX(H:H,ROW()-19):H1194)*SQRT(252))</f>
        <v/>
      </c>
      <c r="L1194" s="426" cm="1">
        <f t="array" ref="L1194">IF(ROW()&lt;17,NA(),_xlfn.LET(_xlpm.d,INDEX(E:E,ROW()-13):E1194-INDEX(E:E,ROW()-14):INDEX(E:E,ROW()-1),_xlpm.g,SUM(IF(_xlpm.d&gt;0,_xlpm.d,0)),_xlpm.l,-SUM(IF(_xlpm.d&lt;0,_xlpm.d,0)),IF(_xlpm.l=0,100,100-100/(1+_xlpm.g/_xlpm.l))))</f>
        <v/>
      </c>
      <c r="M1194" s="211">
        <f>MAX($E$2:E1194)</f>
        <v/>
      </c>
      <c r="N1194" s="341">
        <f>E1194/M1194-1</f>
        <v/>
      </c>
    </row>
    <row r="1195">
      <c r="A1195" s="424" t="n">
        <v>46202</v>
      </c>
      <c r="B1195" s="425" t="n">
        <v>40.70816634295365</v>
      </c>
      <c r="C1195" s="425" t="n">
        <v>41.25239241886341</v>
      </c>
      <c r="D1195" s="425" t="n">
        <v>40.34205116820063</v>
      </c>
      <c r="E1195" s="425" t="n">
        <v>41.04459762573242</v>
      </c>
      <c r="F1195" s="207" t="n">
        <v>27824700</v>
      </c>
      <c r="G1195" s="208" t="n">
        <v>0.01647481275894025</v>
      </c>
      <c r="H1195" s="209" cm="1">
        <f t="array" ref="H1195">IF(ROW()&lt;3,"",E1195/INDEX(E:E,ROW()-1)-1)</f>
        <v/>
      </c>
      <c r="I1195" s="211">
        <f>IF(ROW()&lt;51,NA(),AVERAGE(INDEX(E:E,ROW()-49):E1195))</f>
        <v/>
      </c>
      <c r="J1195" s="211">
        <f>IF(ROW()&lt;201,NA(),AVERAGE(INDEX(E:E,ROW()-199):E1195))</f>
        <v/>
      </c>
      <c r="K1195" s="341">
        <f>IF(ROW()&lt;22,NA(),_xlfn.STDEV.S(INDEX(H:H,ROW()-19):H1195)*SQRT(252))</f>
        <v/>
      </c>
      <c r="L1195" s="426" cm="1">
        <f t="array" ref="L1195">IF(ROW()&lt;17,NA(),_xlfn.LET(_xlpm.d,INDEX(E:E,ROW()-13):E1195-INDEX(E:E,ROW()-14):INDEX(E:E,ROW()-1),_xlpm.g,SUM(IF(_xlpm.d&gt;0,_xlpm.d,0)),_xlpm.l,-SUM(IF(_xlpm.d&lt;0,_xlpm.d,0)),IF(_xlpm.l=0,100,100-100/(1+_xlpm.g/_xlpm.l))))</f>
        <v/>
      </c>
      <c r="M1195" s="211">
        <f>MAX($E$2:E1195)</f>
        <v/>
      </c>
      <c r="N1195" s="341">
        <f>E1195/M1195-1</f>
        <v/>
      </c>
    </row>
    <row r="1196">
      <c r="A1196" s="424" t="n">
        <v>46203</v>
      </c>
      <c r="B1196" s="425" t="n">
        <v>40.94564801145086</v>
      </c>
      <c r="C1196" s="425" t="n">
        <v>41.20291721111914</v>
      </c>
      <c r="D1196" s="425" t="n">
        <v>40.46078972885934</v>
      </c>
      <c r="E1196" s="425" t="n">
        <v>40.61911010742188</v>
      </c>
      <c r="F1196" s="207" t="n">
        <v>73891500</v>
      </c>
      <c r="G1196" s="208" t="n">
        <v>0.007786815227913024</v>
      </c>
      <c r="H1196" s="209" cm="1">
        <f t="array" ref="H1196">IF(ROW()&lt;3,"",E1196/INDEX(E:E,ROW()-1)-1)</f>
        <v/>
      </c>
      <c r="I1196" s="211">
        <f>IF(ROW()&lt;51,NA(),AVERAGE(INDEX(E:E,ROW()-49):E1196))</f>
        <v/>
      </c>
      <c r="J1196" s="211">
        <f>IF(ROW()&lt;201,NA(),AVERAGE(INDEX(E:E,ROW()-199):E1196))</f>
        <v/>
      </c>
      <c r="K1196" s="341">
        <f>IF(ROW()&lt;22,NA(),_xlfn.STDEV.S(INDEX(H:H,ROW()-19):H1196)*SQRT(252))</f>
        <v/>
      </c>
      <c r="L1196" s="426" cm="1">
        <f t="array" ref="L1196">IF(ROW()&lt;17,NA(),_xlfn.LET(_xlpm.d,INDEX(E:E,ROW()-13):E1196-INDEX(E:E,ROW()-14):INDEX(E:E,ROW()-1),_xlpm.g,SUM(IF(_xlpm.d&gt;0,_xlpm.d,0)),_xlpm.l,-SUM(IF(_xlpm.d&lt;0,_xlpm.d,0)),IF(_xlpm.l=0,100,100-100/(1+_xlpm.g/_xlpm.l))))</f>
        <v/>
      </c>
      <c r="M1196" s="211">
        <f>MAX($E$2:E1196)</f>
        <v/>
      </c>
      <c r="N1196" s="341">
        <f>E1196/M1196-1</f>
        <v/>
      </c>
    </row>
    <row r="1197">
      <c r="A1197" s="424" t="n">
        <v>46204</v>
      </c>
      <c r="B1197" s="425" t="n">
        <v>40.96543783777414</v>
      </c>
      <c r="C1197" s="425" t="n">
        <v>42.82570131075827</v>
      </c>
      <c r="D1197" s="425" t="n">
        <v>39.68897768395811</v>
      </c>
      <c r="E1197" s="425" t="n">
        <v>42.60801315307617</v>
      </c>
      <c r="F1197" s="207" t="n">
        <v>80185700</v>
      </c>
      <c r="G1197" s="208" t="n">
        <v>-0.001352503647548353</v>
      </c>
      <c r="H1197" s="209" cm="1">
        <f t="array" ref="H1197">IF(ROW()&lt;3,"",E1197/INDEX(E:E,ROW()-1)-1)</f>
        <v/>
      </c>
      <c r="I1197" s="211">
        <f>IF(ROW()&lt;51,NA(),AVERAGE(INDEX(E:E,ROW()-49):E1197))</f>
        <v/>
      </c>
      <c r="J1197" s="211">
        <f>IF(ROW()&lt;201,NA(),AVERAGE(INDEX(E:E,ROW()-199):E1197))</f>
        <v/>
      </c>
      <c r="K1197" s="341">
        <f>IF(ROW()&lt;22,NA(),_xlfn.STDEV.S(INDEX(H:H,ROW()-19):H1197)*SQRT(252))</f>
        <v/>
      </c>
      <c r="L1197" s="426" cm="1">
        <f t="array" ref="L1197">IF(ROW()&lt;17,NA(),_xlfn.LET(_xlpm.d,INDEX(E:E,ROW()-13):E1197-INDEX(E:E,ROW()-14):INDEX(E:E,ROW()-1),_xlpm.g,SUM(IF(_xlpm.d&gt;0,_xlpm.d,0)),_xlpm.l,-SUM(IF(_xlpm.d&lt;0,_xlpm.d,0)),IF(_xlpm.l=0,100,100-100/(1+_xlpm.g/_xlpm.l))))</f>
        <v/>
      </c>
      <c r="M1197" s="211">
        <f>MAX($E$2:E1197)</f>
        <v/>
      </c>
      <c r="N1197" s="341">
        <f>E1197/M1197-1</f>
        <v/>
      </c>
    </row>
    <row r="1198">
      <c r="A1198" s="424" t="n">
        <v>46205</v>
      </c>
      <c r="B1198" s="425" t="n">
        <v>43.64699159947705</v>
      </c>
      <c r="C1198" s="425" t="n">
        <v>44.56722997956886</v>
      </c>
      <c r="D1198" s="425" t="n">
        <v>43.142342797669</v>
      </c>
      <c r="E1198" s="425" t="n">
        <v>43.62720108032227</v>
      </c>
      <c r="F1198" s="207" t="n">
        <v>34233400</v>
      </c>
      <c r="G1198" s="208" t="n">
        <v>-0.001314050743559392</v>
      </c>
      <c r="H1198" s="209" cm="1">
        <f t="array" ref="H1198">IF(ROW()&lt;3,"",E1198/INDEX(E:E,ROW()-1)-1)</f>
        <v/>
      </c>
      <c r="I1198" s="211">
        <f>IF(ROW()&lt;51,NA(),AVERAGE(INDEX(E:E,ROW()-49):E1198))</f>
        <v/>
      </c>
      <c r="J1198" s="211">
        <f>IF(ROW()&lt;201,NA(),AVERAGE(INDEX(E:E,ROW()-199):E1198))</f>
        <v/>
      </c>
      <c r="K1198" s="341">
        <f>IF(ROW()&lt;22,NA(),_xlfn.STDEV.S(INDEX(H:H,ROW()-19):H1198)*SQRT(252))</f>
        <v/>
      </c>
      <c r="L1198" s="426" cm="1">
        <f t="array" ref="L1198">IF(ROW()&lt;17,NA(),_xlfn.LET(_xlpm.d,INDEX(E:E,ROW()-13):E1198-INDEX(E:E,ROW()-14):INDEX(E:E,ROW()-1),_xlpm.g,SUM(IF(_xlpm.d&gt;0,_xlpm.d,0)),_xlpm.l,-SUM(IF(_xlpm.d&lt;0,_xlpm.d,0)),IF(_xlpm.l=0,100,100-100/(1+_xlpm.g/_xlpm.l))))</f>
        <v/>
      </c>
      <c r="M1198" s="211">
        <f>MAX($E$2:E1198)</f>
        <v/>
      </c>
      <c r="N1198" s="341">
        <f>E1198/M1198-1</f>
        <v/>
      </c>
    </row>
    <row r="1199">
      <c r="A1199" s="424" t="n">
        <v>46209</v>
      </c>
      <c r="B1199" s="425" t="n">
        <v>43.43919784099312</v>
      </c>
      <c r="C1199" s="425" t="n">
        <v>43.64699263506523</v>
      </c>
      <c r="D1199" s="425" t="n">
        <v>41.40081961555377</v>
      </c>
      <c r="E1199" s="425" t="n">
        <v>42.88507461547852</v>
      </c>
      <c r="F1199" s="207" t="n">
        <v>21979100</v>
      </c>
      <c r="G1199" s="208" t="n">
        <v>0.008727392224116226</v>
      </c>
      <c r="H1199" s="209" cm="1">
        <f t="array" ref="H1199">IF(ROW()&lt;3,"",E1199/INDEX(E:E,ROW()-1)-1)</f>
        <v/>
      </c>
      <c r="I1199" s="211">
        <f>IF(ROW()&lt;51,NA(),AVERAGE(INDEX(E:E,ROW()-49):E1199))</f>
        <v/>
      </c>
      <c r="J1199" s="211">
        <f>IF(ROW()&lt;201,NA(),AVERAGE(INDEX(E:E,ROW()-199):E1199))</f>
        <v/>
      </c>
      <c r="K1199" s="341">
        <f>IF(ROW()&lt;22,NA(),_xlfn.STDEV.S(INDEX(H:H,ROW()-19):H1199)*SQRT(252))</f>
        <v/>
      </c>
      <c r="L1199" s="426" cm="1">
        <f t="array" ref="L1199">IF(ROW()&lt;17,NA(),_xlfn.LET(_xlpm.d,INDEX(E:E,ROW()-13):E1199-INDEX(E:E,ROW()-14):INDEX(E:E,ROW()-1),_xlpm.g,SUM(IF(_xlpm.d&gt;0,_xlpm.d,0)),_xlpm.l,-SUM(IF(_xlpm.d&lt;0,_xlpm.d,0)),IF(_xlpm.l=0,100,100-100/(1+_xlpm.g/_xlpm.l))))</f>
        <v/>
      </c>
      <c r="M1199" s="211">
        <f>MAX($E$2:E1199)</f>
        <v/>
      </c>
      <c r="N1199" s="341">
        <f>E1199/M1199-1</f>
        <v/>
      </c>
    </row>
    <row r="1200">
      <c r="A1200" s="424" t="n">
        <v>46210</v>
      </c>
      <c r="B1200" s="425" t="n">
        <v>43.26108803555716</v>
      </c>
      <c r="C1200" s="425" t="n">
        <v>43.57772880826113</v>
      </c>
      <c r="D1200" s="425" t="n">
        <v>42.4299050635453</v>
      </c>
      <c r="E1200" s="425" t="n">
        <v>42.75643920898438</v>
      </c>
      <c r="F1200" s="207" t="n">
        <v>17784900</v>
      </c>
      <c r="G1200" s="208" t="n">
        <v>-0.004751890339538711</v>
      </c>
      <c r="H1200" s="209" cm="1">
        <f t="array" ref="H1200">IF(ROW()&lt;3,"",E1200/INDEX(E:E,ROW()-1)-1)</f>
        <v/>
      </c>
      <c r="I1200" s="211">
        <f>IF(ROW()&lt;51,NA(),AVERAGE(INDEX(E:E,ROW()-49):E1200))</f>
        <v/>
      </c>
      <c r="J1200" s="211">
        <f>IF(ROW()&lt;201,NA(),AVERAGE(INDEX(E:E,ROW()-199):E1200))</f>
        <v/>
      </c>
      <c r="K1200" s="341">
        <f>IF(ROW()&lt;22,NA(),_xlfn.STDEV.S(INDEX(H:H,ROW()-19):H1200)*SQRT(252))</f>
        <v/>
      </c>
      <c r="L1200" s="426" cm="1">
        <f t="array" ref="L1200">IF(ROW()&lt;17,NA(),_xlfn.LET(_xlpm.d,INDEX(E:E,ROW()-13):E1200-INDEX(E:E,ROW()-14):INDEX(E:E,ROW()-1),_xlpm.g,SUM(IF(_xlpm.d&gt;0,_xlpm.d,0)),_xlpm.l,-SUM(IF(_xlpm.d&lt;0,_xlpm.d,0)),IF(_xlpm.l=0,100,100-100/(1+_xlpm.g/_xlpm.l))))</f>
        <v/>
      </c>
      <c r="M1200" s="211">
        <f>MAX($E$2:E1200)</f>
        <v/>
      </c>
      <c r="N1200" s="341">
        <f>E1200/M1200-1</f>
        <v/>
      </c>
    </row>
    <row r="1201">
      <c r="A1201" s="424" t="n">
        <v>46211</v>
      </c>
      <c r="B1201" s="425" t="n">
        <v>42.25179217734983</v>
      </c>
      <c r="C1201" s="425" t="n">
        <v>42.80591161629051</v>
      </c>
      <c r="D1201" s="425" t="n">
        <v>41.62840403388599</v>
      </c>
      <c r="E1201" s="425" t="n">
        <v>42.43979644775391</v>
      </c>
      <c r="F1201" s="207" t="n">
        <v>21101500</v>
      </c>
      <c r="G1201" s="208" t="n">
        <v>-0.003089409152238543</v>
      </c>
      <c r="H1201" s="209" cm="1">
        <f t="array" ref="H1201">IF(ROW()&lt;3,"",E1201/INDEX(E:E,ROW()-1)-1)</f>
        <v/>
      </c>
      <c r="I1201" s="211">
        <f>IF(ROW()&lt;51,NA(),AVERAGE(INDEX(E:E,ROW()-49):E1201))</f>
        <v/>
      </c>
      <c r="J1201" s="211">
        <f>IF(ROW()&lt;201,NA(),AVERAGE(INDEX(E:E,ROW()-199):E1201))</f>
        <v/>
      </c>
      <c r="K1201" s="341">
        <f>IF(ROW()&lt;22,NA(),_xlfn.STDEV.S(INDEX(H:H,ROW()-19):H1201)*SQRT(252))</f>
        <v/>
      </c>
      <c r="L1201" s="426" cm="1">
        <f t="array" ref="L1201">IF(ROW()&lt;17,NA(),_xlfn.LET(_xlpm.d,INDEX(E:E,ROW()-13):E1201-INDEX(E:E,ROW()-14):INDEX(E:E,ROW()-1),_xlpm.g,SUM(IF(_xlpm.d&gt;0,_xlpm.d,0)),_xlpm.l,-SUM(IF(_xlpm.d&lt;0,_xlpm.d,0)),IF(_xlpm.l=0,100,100-100/(1+_xlpm.g/_xlpm.l))))</f>
        <v/>
      </c>
      <c r="M1201" s="211">
        <f>MAX($E$2:E1201)</f>
        <v/>
      </c>
      <c r="N1201" s="341">
        <f>E1201/M1201-1</f>
        <v/>
      </c>
    </row>
    <row r="1202">
      <c r="A1202" s="424" t="n">
        <v>46212</v>
      </c>
      <c r="B1202" s="425" t="n">
        <v>42.24189623905949</v>
      </c>
      <c r="C1202" s="425" t="n">
        <v>42.60801519272716</v>
      </c>
      <c r="D1202" s="425" t="n">
        <v>41.68777678426419</v>
      </c>
      <c r="E1202" s="425" t="n">
        <v>42.33095169067383</v>
      </c>
      <c r="F1202" s="207" t="n">
        <v>19647000</v>
      </c>
      <c r="G1202" s="208" t="n">
        <v>0.008465256756416295</v>
      </c>
      <c r="H1202" s="209" cm="1">
        <f t="array" ref="H1202">IF(ROW()&lt;3,"",E1202/INDEX(E:E,ROW()-1)-1)</f>
        <v/>
      </c>
      <c r="I1202" s="211">
        <f>IF(ROW()&lt;51,NA(),AVERAGE(INDEX(E:E,ROW()-49):E1202))</f>
        <v/>
      </c>
      <c r="J1202" s="211">
        <f>IF(ROW()&lt;201,NA(),AVERAGE(INDEX(E:E,ROW()-199):E1202))</f>
        <v/>
      </c>
      <c r="K1202" s="341">
        <f>IF(ROW()&lt;22,NA(),_xlfn.STDEV.S(INDEX(H:H,ROW()-19):H1202)*SQRT(252))</f>
        <v/>
      </c>
      <c r="L1202" s="426" cm="1">
        <f t="array" ref="L1202">IF(ROW()&lt;17,NA(),_xlfn.LET(_xlpm.d,INDEX(E:E,ROW()-13):E1202-INDEX(E:E,ROW()-14):INDEX(E:E,ROW()-1),_xlpm.g,SUM(IF(_xlpm.d&gt;0,_xlpm.d,0)),_xlpm.l,-SUM(IF(_xlpm.d&lt;0,_xlpm.d,0)),IF(_xlpm.l=0,100,100-100/(1+_xlpm.g/_xlpm.l))))</f>
        <v/>
      </c>
      <c r="M1202" s="211">
        <f>MAX($E$2:E1202)</f>
        <v/>
      </c>
      <c r="N1202" s="341">
        <f>E1202/M1202-1</f>
        <v/>
      </c>
    </row>
    <row r="1203">
      <c r="A1203" s="424" t="n">
        <v>46213</v>
      </c>
      <c r="B1203" s="425" t="n">
        <v>42.96423360614715</v>
      </c>
      <c r="C1203" s="425" t="n">
        <v>44.16153552729817</v>
      </c>
      <c r="D1203" s="425" t="n">
        <v>42.60801557118147</v>
      </c>
      <c r="E1203" s="425" t="n">
        <v>43.90426254272461</v>
      </c>
      <c r="F1203" s="207" t="n">
        <v>23313500</v>
      </c>
      <c r="G1203" s="208" t="n">
        <v>0.004310118179872147</v>
      </c>
      <c r="H1203" s="209" cm="1">
        <f t="array" ref="H1203">IF(ROW()&lt;3,"",E1203/INDEX(E:E,ROW()-1)-1)</f>
        <v/>
      </c>
      <c r="I1203" s="211">
        <f>IF(ROW()&lt;51,NA(),AVERAGE(INDEX(E:E,ROW()-49):E1203))</f>
        <v/>
      </c>
      <c r="J1203" s="211">
        <f>IF(ROW()&lt;201,NA(),AVERAGE(INDEX(E:E,ROW()-199):E1203))</f>
        <v/>
      </c>
      <c r="K1203" s="341">
        <f>IF(ROW()&lt;22,NA(),_xlfn.STDEV.S(INDEX(H:H,ROW()-19):H1203)*SQRT(252))</f>
        <v/>
      </c>
      <c r="L1203" s="426" cm="1">
        <f t="array" ref="L1203">IF(ROW()&lt;17,NA(),_xlfn.LET(_xlpm.d,INDEX(E:E,ROW()-13):E1203-INDEX(E:E,ROW()-14):INDEX(E:E,ROW()-1),_xlpm.g,SUM(IF(_xlpm.d&gt;0,_xlpm.d,0)),_xlpm.l,-SUM(IF(_xlpm.d&lt;0,_xlpm.d,0)),IF(_xlpm.l=0,100,100-100/(1+_xlpm.g/_xlpm.l))))</f>
        <v/>
      </c>
      <c r="M1203" s="211">
        <f>MAX($E$2:E1203)</f>
        <v/>
      </c>
      <c r="N1203" s="341">
        <f>E1203/M1203-1</f>
        <v/>
      </c>
    </row>
    <row r="1204">
      <c r="A1204" s="424" t="n">
        <v>46216</v>
      </c>
      <c r="B1204" s="425" t="n">
        <v>44.29016630003452</v>
      </c>
      <c r="C1204" s="425" t="n">
        <v>44.42869993353615</v>
      </c>
      <c r="D1204" s="425" t="n">
        <v>43.21160754589007</v>
      </c>
      <c r="E1204" s="425" t="n">
        <v>43.30066299438477</v>
      </c>
      <c r="F1204" s="207" t="n">
        <v>13665500</v>
      </c>
      <c r="G1204" s="208" t="n">
        <v>-0.007656140611366324</v>
      </c>
      <c r="H1204" s="209" cm="1">
        <f t="array" ref="H1204">IF(ROW()&lt;3,"",E1204/INDEX(E:E,ROW()-1)-1)</f>
        <v/>
      </c>
      <c r="I1204" s="211">
        <f>IF(ROW()&lt;51,NA(),AVERAGE(INDEX(E:E,ROW()-49):E1204))</f>
        <v/>
      </c>
      <c r="J1204" s="211">
        <f>IF(ROW()&lt;201,NA(),AVERAGE(INDEX(E:E,ROW()-199):E1204))</f>
        <v/>
      </c>
      <c r="K1204" s="341">
        <f>IF(ROW()&lt;22,NA(),_xlfn.STDEV.S(INDEX(H:H,ROW()-19):H1204)*SQRT(252))</f>
        <v/>
      </c>
      <c r="L1204" s="426" cm="1">
        <f t="array" ref="L1204">IF(ROW()&lt;17,NA(),_xlfn.LET(_xlpm.d,INDEX(E:E,ROW()-13):E1204-INDEX(E:E,ROW()-14):INDEX(E:E,ROW()-1),_xlpm.g,SUM(IF(_xlpm.d&gt;0,_xlpm.d,0)),_xlpm.l,-SUM(IF(_xlpm.d&lt;0,_xlpm.d,0)),IF(_xlpm.l=0,100,100-100/(1+_xlpm.g/_xlpm.l))))</f>
        <v/>
      </c>
      <c r="M1204" s="211">
        <f>MAX($E$2:E1204)</f>
        <v/>
      </c>
      <c r="N1204" s="341">
        <f>E1204/M1204-1</f>
        <v/>
      </c>
    </row>
    <row r="1205">
      <c r="A1205" s="424" t="n">
        <v>46217</v>
      </c>
      <c r="B1205" s="425" t="n">
        <v>43.84489490425886</v>
      </c>
      <c r="C1205" s="425" t="n">
        <v>44.02300580966551</v>
      </c>
      <c r="D1205" s="425" t="n">
        <v>42.02420858483426</v>
      </c>
      <c r="E1205" s="425" t="n">
        <v>42.41011428833008</v>
      </c>
      <c r="F1205" s="207" t="n">
        <v>13090200</v>
      </c>
      <c r="G1205" s="208" t="n">
        <v>0.00355063791668675</v>
      </c>
      <c r="H1205" s="209" cm="1">
        <f t="array" ref="H1205">IF(ROW()&lt;3,"",E1205/INDEX(E:E,ROW()-1)-1)</f>
        <v/>
      </c>
      <c r="I1205" s="211">
        <f>IF(ROW()&lt;51,NA(),AVERAGE(INDEX(E:E,ROW()-49):E1205))</f>
        <v/>
      </c>
      <c r="J1205" s="211">
        <f>IF(ROW()&lt;201,NA(),AVERAGE(INDEX(E:E,ROW()-199):E1205))</f>
        <v/>
      </c>
      <c r="K1205" s="341">
        <f>IF(ROW()&lt;22,NA(),_xlfn.STDEV.S(INDEX(H:H,ROW()-19):H1205)*SQRT(252))</f>
        <v/>
      </c>
      <c r="L1205" s="426" cm="1">
        <f t="array" ref="L1205">IF(ROW()&lt;17,NA(),_xlfn.LET(_xlpm.d,INDEX(E:E,ROW()-13):E1205-INDEX(E:E,ROW()-14):INDEX(E:E,ROW()-1),_xlpm.g,SUM(IF(_xlpm.d&gt;0,_xlpm.d,0)),_xlpm.l,-SUM(IF(_xlpm.d&lt;0,_xlpm.d,0)),IF(_xlpm.l=0,100,100-100/(1+_xlpm.g/_xlpm.l))))</f>
        <v/>
      </c>
      <c r="M1205" s="211">
        <f>MAX($E$2:E1205)</f>
        <v/>
      </c>
      <c r="N1205" s="341">
        <f>E1205/M1205-1</f>
        <v/>
      </c>
    </row>
    <row r="1206">
      <c r="A1206" s="424" t="n">
        <v>46218</v>
      </c>
      <c r="B1206" s="425" t="n">
        <v>42.54864167078208</v>
      </c>
      <c r="C1206" s="425" t="n">
        <v>43.12255539352496</v>
      </c>
      <c r="D1206" s="425" t="n">
        <v>42.03409950459536</v>
      </c>
      <c r="E1206" s="425" t="n">
        <v>42.3210563659668</v>
      </c>
      <c r="F1206" s="207" t="n">
        <v>14388200</v>
      </c>
      <c r="G1206" s="208" t="n">
        <v>0.003963630921285599</v>
      </c>
      <c r="H1206" s="209" cm="1">
        <f t="array" ref="H1206">IF(ROW()&lt;3,"",E1206/INDEX(E:E,ROW()-1)-1)</f>
        <v/>
      </c>
      <c r="I1206" s="211">
        <f>IF(ROW()&lt;51,NA(),AVERAGE(INDEX(E:E,ROW()-49):E1206))</f>
        <v/>
      </c>
      <c r="J1206" s="211">
        <f>IF(ROW()&lt;201,NA(),AVERAGE(INDEX(E:E,ROW()-199):E1206))</f>
        <v/>
      </c>
      <c r="K1206" s="341">
        <f>IF(ROW()&lt;22,NA(),_xlfn.STDEV.S(INDEX(H:H,ROW()-19):H1206)*SQRT(252))</f>
        <v/>
      </c>
      <c r="L1206" s="426" cm="1">
        <f t="array" ref="L1206">IF(ROW()&lt;17,NA(),_xlfn.LET(_xlpm.d,INDEX(E:E,ROW()-13):E1206-INDEX(E:E,ROW()-14):INDEX(E:E,ROW()-1),_xlpm.g,SUM(IF(_xlpm.d&gt;0,_xlpm.d,0)),_xlpm.l,-SUM(IF(_xlpm.d&lt;0,_xlpm.d,0)),IF(_xlpm.l=0,100,100-100/(1+_xlpm.g/_xlpm.l))))</f>
        <v/>
      </c>
      <c r="M1206" s="211">
        <f>MAX($E$2:E1206)</f>
        <v/>
      </c>
      <c r="N1206" s="341">
        <f>E1206/M1206-1</f>
        <v/>
      </c>
    </row>
    <row r="1207">
      <c r="A1207" s="424" t="n">
        <v>46219</v>
      </c>
      <c r="B1207" s="425" t="n">
        <v>42.44969272222726</v>
      </c>
      <c r="C1207" s="425" t="n">
        <v>44.20111022677485</v>
      </c>
      <c r="D1207" s="425" t="n">
        <v>42.44969272222726</v>
      </c>
      <c r="E1207" s="425" t="n">
        <v>44.1021614074707</v>
      </c>
      <c r="F1207" s="207" t="n">
        <v>15944700</v>
      </c>
      <c r="G1207" s="208" t="n">
        <v>-0.005418616825605738</v>
      </c>
      <c r="H1207" s="209" cm="1">
        <f t="array" ref="H1207">IF(ROW()&lt;3,"",E1207/INDEX(E:E,ROW()-1)-1)</f>
        <v/>
      </c>
      <c r="I1207" s="211">
        <f>IF(ROW()&lt;51,NA(),AVERAGE(INDEX(E:E,ROW()-49):E1207))</f>
        <v/>
      </c>
      <c r="J1207" s="211">
        <f>IF(ROW()&lt;201,NA(),AVERAGE(INDEX(E:E,ROW()-199):E1207))</f>
        <v/>
      </c>
      <c r="K1207" s="341">
        <f>IF(ROW()&lt;22,NA(),_xlfn.STDEV.S(INDEX(H:H,ROW()-19):H1207)*SQRT(252))</f>
        <v/>
      </c>
      <c r="L1207" s="426" cm="1">
        <f t="array" ref="L1207">IF(ROW()&lt;17,NA(),_xlfn.LET(_xlpm.d,INDEX(E:E,ROW()-13):E1207-INDEX(E:E,ROW()-14):INDEX(E:E,ROW()-1),_xlpm.g,SUM(IF(_xlpm.d&gt;0,_xlpm.d,0)),_xlpm.l,-SUM(IF(_xlpm.d&lt;0,_xlpm.d,0)),IF(_xlpm.l=0,100,100-100/(1+_xlpm.g/_xlpm.l))))</f>
        <v/>
      </c>
      <c r="M1207" s="211">
        <f>MAX($E$2:E1207)</f>
        <v/>
      </c>
      <c r="N1207" s="341">
        <f>E1207/M1207-1</f>
        <v/>
      </c>
    </row>
    <row r="1208">
      <c r="A1208" s="424" t="n">
        <v>46220</v>
      </c>
      <c r="B1208" s="425" t="n">
        <v>44.05268762048569</v>
      </c>
      <c r="C1208" s="425" t="n">
        <v>44.50785823516724</v>
      </c>
      <c r="D1208" s="425" t="n">
        <v>43.06318431483594</v>
      </c>
      <c r="E1208" s="425" t="n">
        <v>43.30066299438477</v>
      </c>
      <c r="F1208" s="207" t="n">
        <v>15825100</v>
      </c>
      <c r="G1208" s="208" t="n">
        <v>-0.009897199757215702</v>
      </c>
      <c r="H1208" s="209" cm="1">
        <f t="array" ref="H1208">IF(ROW()&lt;3,"",E1208/INDEX(E:E,ROW()-1)-1)</f>
        <v/>
      </c>
      <c r="I1208" s="211">
        <f>IF(ROW()&lt;51,NA(),AVERAGE(INDEX(E:E,ROW()-49):E1208))</f>
        <v/>
      </c>
      <c r="J1208" s="211">
        <f>IF(ROW()&lt;201,NA(),AVERAGE(INDEX(E:E,ROW()-199):E1208))</f>
        <v/>
      </c>
      <c r="K1208" s="341">
        <f>IF(ROW()&lt;22,NA(),_xlfn.STDEV.S(INDEX(H:H,ROW()-19):H1208)*SQRT(252))</f>
        <v/>
      </c>
      <c r="L1208" s="426" cm="1">
        <f t="array" ref="L1208">IF(ROW()&lt;17,NA(),_xlfn.LET(_xlpm.d,INDEX(E:E,ROW()-13):E1208-INDEX(E:E,ROW()-14):INDEX(E:E,ROW()-1),_xlpm.g,SUM(IF(_xlpm.d&gt;0,_xlpm.d,0)),_xlpm.l,-SUM(IF(_xlpm.d&lt;0,_xlpm.d,0)),IF(_xlpm.l=0,100,100-100/(1+_xlpm.g/_xlpm.l))))</f>
        <v/>
      </c>
      <c r="M1208" s="211">
        <f>MAX($E$2:E1208)</f>
        <v/>
      </c>
      <c r="N1208" s="341">
        <f>E1208/M1208-1</f>
        <v/>
      </c>
    </row>
    <row r="1209">
      <c r="A1209" s="424" t="n">
        <v>46223</v>
      </c>
      <c r="B1209" s="425" t="n">
        <v>43.37982518915952</v>
      </c>
      <c r="C1209" s="425" t="n">
        <v>43.37982518915952</v>
      </c>
      <c r="D1209" s="425" t="n">
        <v>42.38042850857195</v>
      </c>
      <c r="E1209" s="425" t="n">
        <v>43.01371002197266</v>
      </c>
      <c r="F1209" s="207" t="n">
        <v>11926900</v>
      </c>
      <c r="G1209" s="208" t="n">
        <v>-0.001614353496740994</v>
      </c>
      <c r="H1209" s="209" cm="1">
        <f t="array" ref="H1209">IF(ROW()&lt;3,"",E1209/INDEX(E:E,ROW()-1)-1)</f>
        <v/>
      </c>
      <c r="I1209" s="211">
        <f>IF(ROW()&lt;51,NA(),AVERAGE(INDEX(E:E,ROW()-49):E1209))</f>
        <v/>
      </c>
      <c r="J1209" s="211">
        <f>IF(ROW()&lt;201,NA(),AVERAGE(INDEX(E:E,ROW()-199):E1209))</f>
        <v/>
      </c>
      <c r="K1209" s="341">
        <f>IF(ROW()&lt;22,NA(),_xlfn.STDEV.S(INDEX(H:H,ROW()-19):H1209)*SQRT(252))</f>
        <v/>
      </c>
      <c r="L1209" s="426" cm="1">
        <f t="array" ref="L1209">IF(ROW()&lt;17,NA(),_xlfn.LET(_xlpm.d,INDEX(E:E,ROW()-13):E1209-INDEX(E:E,ROW()-14):INDEX(E:E,ROW()-1),_xlpm.g,SUM(IF(_xlpm.d&gt;0,_xlpm.d,0)),_xlpm.l,-SUM(IF(_xlpm.d&lt;0,_xlpm.d,0)),IF(_xlpm.l=0,100,100-100/(1+_xlpm.g/_xlpm.l))))</f>
        <v/>
      </c>
      <c r="M1209" s="211">
        <f>MAX($E$2:E1209)</f>
        <v/>
      </c>
      <c r="N1209" s="341">
        <f>E1209/M1209-1</f>
        <v/>
      </c>
    </row>
    <row r="1210">
      <c r="A1210" s="424" t="n">
        <v>46224</v>
      </c>
      <c r="B1210" s="425" t="n">
        <v>42.60801632215075</v>
      </c>
      <c r="C1210" s="425" t="n">
        <v>43.10276800542147</v>
      </c>
      <c r="D1210" s="425" t="n">
        <v>42.30126891964681</v>
      </c>
      <c r="E1210" s="425" t="n">
        <v>42.50906372070312</v>
      </c>
      <c r="F1210" s="207" t="n">
        <v>11859000</v>
      </c>
      <c r="G1210" s="208" t="n">
        <v>0.008341327043244195</v>
      </c>
      <c r="H1210" s="209" cm="1">
        <f t="array" ref="H1210">IF(ROW()&lt;3,"",E1210/INDEX(E:E,ROW()-1)-1)</f>
        <v/>
      </c>
      <c r="I1210" s="211">
        <f>IF(ROW()&lt;51,NA(),AVERAGE(INDEX(E:E,ROW()-49):E1210))</f>
        <v/>
      </c>
      <c r="J1210" s="211">
        <f>IF(ROW()&lt;201,NA(),AVERAGE(INDEX(E:E,ROW()-199):E1210))</f>
        <v/>
      </c>
      <c r="K1210" s="341">
        <f>IF(ROW()&lt;22,NA(),_xlfn.STDEV.S(INDEX(H:H,ROW()-19):H1210)*SQRT(252))</f>
        <v/>
      </c>
      <c r="L1210" s="426" cm="1">
        <f t="array" ref="L1210">IF(ROW()&lt;17,NA(),_xlfn.LET(_xlpm.d,INDEX(E:E,ROW()-13):E1210-INDEX(E:E,ROW()-14):INDEX(E:E,ROW()-1),_xlpm.g,SUM(IF(_xlpm.d&gt;0,_xlpm.d,0)),_xlpm.l,-SUM(IF(_xlpm.d&lt;0,_xlpm.d,0)),IF(_xlpm.l=0,100,100-100/(1+_xlpm.g/_xlpm.l))))</f>
        <v/>
      </c>
      <c r="M1210" s="211">
        <f>MAX($E$2:E1210)</f>
        <v/>
      </c>
      <c r="N1210" s="341">
        <f>E1210/M1210-1</f>
        <v/>
      </c>
    </row>
    <row r="1211">
      <c r="A1211" s="424" t="n">
        <v>46225</v>
      </c>
      <c r="B1211" s="425" t="n">
        <v>42.00441589431804</v>
      </c>
      <c r="C1211" s="425" t="n">
        <v>42.45958650699006</v>
      </c>
      <c r="D1211" s="425" t="n">
        <v>41.13365193228703</v>
      </c>
      <c r="E1211" s="425" t="n">
        <v>41.76693344116211</v>
      </c>
      <c r="F1211" s="207" t="n">
        <v>18990000</v>
      </c>
      <c r="G1211" s="208" t="n">
        <v>-0.001162766737217713</v>
      </c>
      <c r="H1211" s="209" cm="1">
        <f t="array" ref="H1211">IF(ROW()&lt;3,"",E1211/INDEX(E:E,ROW()-1)-1)</f>
        <v/>
      </c>
      <c r="I1211" s="211">
        <f>IF(ROW()&lt;51,NA(),AVERAGE(INDEX(E:E,ROW()-49):E1211))</f>
        <v/>
      </c>
      <c r="J1211" s="211">
        <f>IF(ROW()&lt;201,NA(),AVERAGE(INDEX(E:E,ROW()-199):E1211))</f>
        <v/>
      </c>
      <c r="K1211" s="341">
        <f>IF(ROW()&lt;22,NA(),_xlfn.STDEV.S(INDEX(H:H,ROW()-19):H1211)*SQRT(252))</f>
        <v/>
      </c>
      <c r="L1211" s="426" cm="1">
        <f t="array" ref="L1211">IF(ROW()&lt;17,NA(),_xlfn.LET(_xlpm.d,INDEX(E:E,ROW()-13):E1211-INDEX(E:E,ROW()-14):INDEX(E:E,ROW()-1),_xlpm.g,SUM(IF(_xlpm.d&gt;0,_xlpm.d,0)),_xlpm.l,-SUM(IF(_xlpm.d&lt;0,_xlpm.d,0)),IF(_xlpm.l=0,100,100-100/(1+_xlpm.g/_xlpm.l))))</f>
        <v/>
      </c>
      <c r="M1211" s="211">
        <f>MAX($E$2:E1211)</f>
        <v/>
      </c>
      <c r="N1211" s="341">
        <f>E1211/M1211-1</f>
        <v/>
      </c>
    </row>
    <row r="1212">
      <c r="A1212" s="424" t="n">
        <v>46226</v>
      </c>
      <c r="B1212" s="425" t="n">
        <v>41.36123723200697</v>
      </c>
      <c r="C1212" s="425" t="n">
        <v>41.63830072308716</v>
      </c>
      <c r="D1212" s="425" t="n">
        <v>40.26288796381564</v>
      </c>
      <c r="E1212" s="425" t="n">
        <v>40.55974197387695</v>
      </c>
      <c r="F1212" s="207" t="n">
        <v>18156200</v>
      </c>
      <c r="G1212" s="208" t="n">
        <v>-0.01234925378412788</v>
      </c>
      <c r="H1212" s="209" cm="1">
        <f t="array" ref="H1212">IF(ROW()&lt;3,"",E1212/INDEX(E:E,ROW()-1)-1)</f>
        <v/>
      </c>
      <c r="I1212" s="211">
        <f>IF(ROW()&lt;51,NA(),AVERAGE(INDEX(E:E,ROW()-49):E1212))</f>
        <v/>
      </c>
      <c r="J1212" s="211">
        <f>IF(ROW()&lt;201,NA(),AVERAGE(INDEX(E:E,ROW()-199):E1212))</f>
        <v/>
      </c>
      <c r="K1212" s="341">
        <f>IF(ROW()&lt;22,NA(),_xlfn.STDEV.S(INDEX(H:H,ROW()-19):H1212)*SQRT(252))</f>
        <v/>
      </c>
      <c r="L1212" s="426" cm="1">
        <f t="array" ref="L1212">IF(ROW()&lt;17,NA(),_xlfn.LET(_xlpm.d,INDEX(E:E,ROW()-13):E1212-INDEX(E:E,ROW()-14):INDEX(E:E,ROW()-1),_xlpm.g,SUM(IF(_xlpm.d&gt;0,_xlpm.d,0)),_xlpm.l,-SUM(IF(_xlpm.d&lt;0,_xlpm.d,0)),IF(_xlpm.l=0,100,100-100/(1+_xlpm.g/_xlpm.l))))</f>
        <v/>
      </c>
      <c r="M1212" s="211">
        <f>MAX($E$2:E1212)</f>
        <v/>
      </c>
      <c r="N1212" s="341">
        <f>E1212/M1212-1</f>
        <v/>
      </c>
    </row>
    <row r="1213">
      <c r="A1213" s="424" t="n">
        <v>46227</v>
      </c>
      <c r="B1213" s="425" t="n">
        <v>40.75764212611053</v>
      </c>
      <c r="C1213" s="425" t="n">
        <v>41.70756822246695</v>
      </c>
      <c r="D1213" s="425" t="n">
        <v>40.46079187241104</v>
      </c>
      <c r="E1213" s="425" t="n">
        <v>41.26229095458984</v>
      </c>
      <c r="F1213" s="207" t="n">
        <v>26175200</v>
      </c>
      <c r="G1213" s="208" t="n">
        <v>0.001015965756392179</v>
      </c>
      <c r="H1213" s="209" cm="1">
        <f t="array" ref="H1213">IF(ROW()&lt;3,"",E1213/INDEX(E:E,ROW()-1)-1)</f>
        <v/>
      </c>
      <c r="I1213" s="211">
        <f>IF(ROW()&lt;51,NA(),AVERAGE(INDEX(E:E,ROW()-49):E1213))</f>
        <v/>
      </c>
      <c r="J1213" s="211">
        <f>IF(ROW()&lt;201,NA(),AVERAGE(INDEX(E:E,ROW()-199):E1213))</f>
        <v/>
      </c>
      <c r="K1213" s="341">
        <f>IF(ROW()&lt;22,NA(),_xlfn.STDEV.S(INDEX(H:H,ROW()-19):H1213)*SQRT(252))</f>
        <v/>
      </c>
      <c r="L1213" s="426" cm="1">
        <f t="array" ref="L1213">IF(ROW()&lt;17,NA(),_xlfn.LET(_xlpm.d,INDEX(E:E,ROW()-13):E1213-INDEX(E:E,ROW()-14):INDEX(E:E,ROW()-1),_xlpm.g,SUM(IF(_xlpm.d&gt;0,_xlpm.d,0)),_xlpm.l,-SUM(IF(_xlpm.d&lt;0,_xlpm.d,0)),IF(_xlpm.l=0,100,100-100/(1+_xlpm.g/_xlpm.l))))</f>
        <v/>
      </c>
      <c r="M1213" s="211">
        <f>MAX($E$2:E1213)</f>
        <v/>
      </c>
      <c r="N1213" s="341">
        <f>E1213/M1213-1</f>
        <v/>
      </c>
    </row>
    <row r="1214">
      <c r="A1214" s="424" t="n">
        <v>46230</v>
      </c>
      <c r="B1214" s="425" t="n">
        <v>41.70756713007918</v>
      </c>
      <c r="C1214" s="425" t="n">
        <v>42.1528406116381</v>
      </c>
      <c r="D1214" s="425" t="n">
        <v>41.14355053042593</v>
      </c>
      <c r="E1214" s="425" t="n">
        <v>41.69766998291016</v>
      </c>
      <c r="F1214" s="207" t="n">
        <v>16996900</v>
      </c>
      <c r="G1214" s="208" t="n">
        <v>0.0002166165423496125</v>
      </c>
      <c r="H1214" s="209" cm="1">
        <f t="array" ref="H1214">IF(ROW()&lt;3,"",E1214/INDEX(E:E,ROW()-1)-1)</f>
        <v/>
      </c>
      <c r="I1214" s="211">
        <f>IF(ROW()&lt;51,NA(),AVERAGE(INDEX(E:E,ROW()-49):E1214))</f>
        <v/>
      </c>
      <c r="J1214" s="211">
        <f>IF(ROW()&lt;201,NA(),AVERAGE(INDEX(E:E,ROW()-199):E1214))</f>
        <v/>
      </c>
      <c r="K1214" s="341">
        <f>IF(ROW()&lt;22,NA(),_xlfn.STDEV.S(INDEX(H:H,ROW()-19):H1214)*SQRT(252))</f>
        <v/>
      </c>
      <c r="L1214" s="426" cm="1">
        <f t="array" ref="L1214">IF(ROW()&lt;17,NA(),_xlfn.LET(_xlpm.d,INDEX(E:E,ROW()-13):E1214-INDEX(E:E,ROW()-14):INDEX(E:E,ROW()-1),_xlpm.g,SUM(IF(_xlpm.d&gt;0,_xlpm.d,0)),_xlpm.l,-SUM(IF(_xlpm.d&lt;0,_xlpm.d,0)),IF(_xlpm.l=0,100,100-100/(1+_xlpm.g/_xlpm.l))))</f>
        <v/>
      </c>
      <c r="M1214" s="211">
        <f>MAX($E$2:E1214)</f>
        <v/>
      </c>
      <c r="N1214" s="341">
        <f>E1214/M1214-1</f>
        <v/>
      </c>
    </row>
    <row r="1215">
      <c r="A1215" s="424" t="n">
        <v>46231</v>
      </c>
      <c r="B1215" s="425" t="n">
        <v>42.30126758271978</v>
      </c>
      <c r="C1215" s="425" t="n">
        <v>42.81580977001798</v>
      </c>
      <c r="D1215" s="425" t="n">
        <v>42.07368226856676</v>
      </c>
      <c r="E1215" s="425" t="n">
        <v>42.59811782836914</v>
      </c>
      <c r="F1215" s="207" t="n">
        <v>23601400</v>
      </c>
      <c r="G1215" s="208" t="n">
        <v>0.002394766697551676</v>
      </c>
      <c r="H1215" s="209" cm="1">
        <f t="array" ref="H1215">IF(ROW()&lt;3,"",E1215/INDEX(E:E,ROW()-1)-1)</f>
        <v/>
      </c>
      <c r="I1215" s="211">
        <f>IF(ROW()&lt;51,NA(),AVERAGE(INDEX(E:E,ROW()-49):E1215))</f>
        <v/>
      </c>
      <c r="J1215" s="211">
        <f>IF(ROW()&lt;201,NA(),AVERAGE(INDEX(E:E,ROW()-199):E1215))</f>
        <v/>
      </c>
      <c r="K1215" s="341">
        <f>IF(ROW()&lt;22,NA(),_xlfn.STDEV.S(INDEX(H:H,ROW()-19):H1215)*SQRT(252))</f>
        <v/>
      </c>
      <c r="L1215" s="426" cm="1">
        <f t="array" ref="L1215">IF(ROW()&lt;17,NA(),_xlfn.LET(_xlpm.d,INDEX(E:E,ROW()-13):E1215-INDEX(E:E,ROW()-14):INDEX(E:E,ROW()-1),_xlpm.g,SUM(IF(_xlpm.d&gt;0,_xlpm.d,0)),_xlpm.l,-SUM(IF(_xlpm.d&lt;0,_xlpm.d,0)),IF(_xlpm.l=0,100,100-100/(1+_xlpm.g/_xlpm.l))))</f>
        <v/>
      </c>
      <c r="M1215" s="211">
        <f>MAX($E$2:E1215)</f>
        <v/>
      </c>
      <c r="N1215" s="341">
        <f>E1215/M1215-1</f>
        <v/>
      </c>
    </row>
    <row r="1216">
      <c r="A1216" s="424" t="n">
        <v>46232</v>
      </c>
      <c r="B1216" s="425" t="n">
        <v>42.15283975990057</v>
      </c>
      <c r="C1216" s="425" t="n">
        <v>43.23139852553566</v>
      </c>
      <c r="D1216" s="425" t="n">
        <v>41.95494211638673</v>
      </c>
      <c r="E1216" s="425" t="n">
        <v>42.76633453369141</v>
      </c>
      <c r="F1216" s="207" t="n">
        <v>15029100</v>
      </c>
      <c r="G1216" s="208" t="n">
        <v>-0.01538744500310241</v>
      </c>
      <c r="H1216" s="209" cm="1">
        <f t="array" ref="H1216">IF(ROW()&lt;3,"",E1216/INDEX(E:E,ROW()-1)-1)</f>
        <v/>
      </c>
      <c r="I1216" s="211">
        <f>IF(ROW()&lt;51,NA(),AVERAGE(INDEX(E:E,ROW()-49):E1216))</f>
        <v/>
      </c>
      <c r="J1216" s="211">
        <f>IF(ROW()&lt;201,NA(),AVERAGE(INDEX(E:E,ROW()-199):E1216))</f>
        <v/>
      </c>
      <c r="K1216" s="341">
        <f>IF(ROW()&lt;22,NA(),_xlfn.STDEV.S(INDEX(H:H,ROW()-19):H1216)*SQRT(252))</f>
        <v/>
      </c>
      <c r="L1216" s="426" cm="1">
        <f t="array" ref="L1216">IF(ROW()&lt;17,NA(),_xlfn.LET(_xlpm.d,INDEX(E:E,ROW()-13):E1216-INDEX(E:E,ROW()-14):INDEX(E:E,ROW()-1),_xlpm.g,SUM(IF(_xlpm.d&gt;0,_xlpm.d,0)),_xlpm.l,-SUM(IF(_xlpm.d&lt;0,_xlpm.d,0)),IF(_xlpm.l=0,100,100-100/(1+_xlpm.g/_xlpm.l))))</f>
        <v/>
      </c>
      <c r="M1216" s="211">
        <f>MAX($E$2:E1216)</f>
        <v/>
      </c>
      <c r="N1216" s="341">
        <f>E1216/M1216-1</f>
        <v/>
      </c>
    </row>
    <row r="1217">
      <c r="A1217" s="424" t="n">
        <v>46233</v>
      </c>
      <c r="B1217" s="425" t="n">
        <v>42.05389082876078</v>
      </c>
      <c r="C1217" s="425" t="n">
        <v>42.05389082876078</v>
      </c>
      <c r="D1217" s="425" t="n">
        <v>40.79722116750737</v>
      </c>
      <c r="E1217" s="425" t="n">
        <v>41.84609603881836</v>
      </c>
      <c r="F1217" s="207" t="n">
        <v>16977600</v>
      </c>
      <c r="G1217" s="208" t="n">
        <v>0.01676574369337569</v>
      </c>
      <c r="H1217" s="209" cm="1">
        <f t="array" ref="H1217">IF(ROW()&lt;3,"",E1217/INDEX(E:E,ROW()-1)-1)</f>
        <v/>
      </c>
      <c r="I1217" s="211">
        <f>IF(ROW()&lt;51,NA(),AVERAGE(INDEX(E:E,ROW()-49):E1217))</f>
        <v/>
      </c>
      <c r="J1217" s="211">
        <f>IF(ROW()&lt;201,NA(),AVERAGE(INDEX(E:E,ROW()-199):E1217))</f>
        <v/>
      </c>
      <c r="K1217" s="341">
        <f>IF(ROW()&lt;22,NA(),_xlfn.STDEV.S(INDEX(H:H,ROW()-19):H1217)*SQRT(252))</f>
        <v/>
      </c>
      <c r="L1217" s="426" cm="1">
        <f t="array" ref="L1217">IF(ROW()&lt;17,NA(),_xlfn.LET(_xlpm.d,INDEX(E:E,ROW()-13):E1217-INDEX(E:E,ROW()-14):INDEX(E:E,ROW()-1),_xlpm.g,SUM(IF(_xlpm.d&gt;0,_xlpm.d,0)),_xlpm.l,-SUM(IF(_xlpm.d&lt;0,_xlpm.d,0)),IF(_xlpm.l=0,100,100-100/(1+_xlpm.g/_xlpm.l))))</f>
        <v/>
      </c>
      <c r="M1217" s="211">
        <f>MAX($E$2:E1217)</f>
        <v/>
      </c>
      <c r="N1217" s="341">
        <f>E1217/M1217-1</f>
        <v/>
      </c>
    </row>
    <row r="1218">
      <c r="A1218" s="424" t="n">
        <v>46234</v>
      </c>
      <c r="B1218" s="425" t="n">
        <v>41.57892985188273</v>
      </c>
      <c r="C1218" s="425" t="n">
        <v>41.63830140980528</v>
      </c>
      <c r="D1218" s="425" t="n">
        <v>41.05449430152812</v>
      </c>
      <c r="E1218" s="425" t="n">
        <v>41.27218246459961</v>
      </c>
      <c r="F1218" s="207" t="n">
        <v>22622400</v>
      </c>
      <c r="G1218" s="208" t="n">
        <v>0.007199869193782904</v>
      </c>
      <c r="H1218" s="209" cm="1">
        <f t="array" ref="H1218">IF(ROW()&lt;3,"",E1218/INDEX(E:E,ROW()-1)-1)</f>
        <v/>
      </c>
      <c r="I1218" s="211">
        <f>IF(ROW()&lt;51,NA(),AVERAGE(INDEX(E:E,ROW()-49):E1218))</f>
        <v/>
      </c>
      <c r="J1218" s="211">
        <f>IF(ROW()&lt;201,NA(),AVERAGE(INDEX(E:E,ROW()-199):E1218))</f>
        <v/>
      </c>
      <c r="K1218" s="341">
        <f>IF(ROW()&lt;22,NA(),_xlfn.STDEV.S(INDEX(H:H,ROW()-19):H1218)*SQRT(252))</f>
        <v/>
      </c>
      <c r="L1218" s="426" cm="1">
        <f t="array" ref="L1218">IF(ROW()&lt;17,NA(),_xlfn.LET(_xlpm.d,INDEX(E:E,ROW()-13):E1218-INDEX(E:E,ROW()-14):INDEX(E:E,ROW()-1),_xlpm.g,SUM(IF(_xlpm.d&gt;0,_xlpm.d,0)),_xlpm.l,-SUM(IF(_xlpm.d&lt;0,_xlpm.d,0)),IF(_xlpm.l=0,100,100-100/(1+_xlpm.g/_xlpm.l))))</f>
        <v/>
      </c>
      <c r="M1218" s="211">
        <f>MAX($E$2:E1218)</f>
        <v/>
      </c>
      <c r="N1218" s="341">
        <f>E1218/M1218-1</f>
        <v/>
      </c>
    </row>
    <row r="1219">
      <c r="A1219" s="424" t="n">
        <v>46237</v>
      </c>
      <c r="B1219" s="425" t="n">
        <v>42.12315602904737</v>
      </c>
      <c r="C1219" s="425" t="n">
        <v>42.75643754988173</v>
      </c>
      <c r="D1219" s="425" t="n">
        <v>41.61851099671238</v>
      </c>
      <c r="E1219" s="425" t="n">
        <v>42.19242095947266</v>
      </c>
      <c r="F1219" s="207" t="n">
        <v>21329900</v>
      </c>
      <c r="G1219" s="208" t="n">
        <v>0.0142429906144006</v>
      </c>
      <c r="H1219" s="209" cm="1">
        <f t="array" ref="H1219">IF(ROW()&lt;3,"",E1219/INDEX(E:E,ROW()-1)-1)</f>
        <v/>
      </c>
      <c r="I1219" s="211">
        <f>IF(ROW()&lt;51,NA(),AVERAGE(INDEX(E:E,ROW()-49):E1219))</f>
        <v/>
      </c>
      <c r="J1219" s="211">
        <f>IF(ROW()&lt;201,NA(),AVERAGE(INDEX(E:E,ROW()-199):E1219))</f>
        <v/>
      </c>
      <c r="K1219" s="341">
        <f>IF(ROW()&lt;22,NA(),_xlfn.STDEV.S(INDEX(H:H,ROW()-19):H1219)*SQRT(252))</f>
        <v/>
      </c>
      <c r="L1219" s="426" cm="1">
        <f t="array" ref="L1219">IF(ROW()&lt;17,NA(),_xlfn.LET(_xlpm.d,INDEX(E:E,ROW()-13):E1219-INDEX(E:E,ROW()-14):INDEX(E:E,ROW()-1),_xlpm.g,SUM(IF(_xlpm.d&gt;0,_xlpm.d,0)),_xlpm.l,-SUM(IF(_xlpm.d&lt;0,_xlpm.d,0)),IF(_xlpm.l=0,100,100-100/(1+_xlpm.g/_xlpm.l))))</f>
        <v/>
      </c>
      <c r="M1219" s="211">
        <f>MAX($E$2:E1219)</f>
        <v/>
      </c>
      <c r="N1219" s="341">
        <f>E1219/M1219-1</f>
        <v/>
      </c>
    </row>
    <row r="1220">
      <c r="A1220" s="424" t="n">
        <v>46238</v>
      </c>
      <c r="B1220" s="425" t="n">
        <v>40.9159595403599</v>
      </c>
      <c r="C1220" s="425" t="n">
        <v>41.64819363596441</v>
      </c>
      <c r="D1220" s="425" t="n">
        <v>40.48057945154307</v>
      </c>
      <c r="E1220" s="425" t="n">
        <v>41.09407043457031</v>
      </c>
      <c r="F1220" s="207" t="n">
        <v>27802800</v>
      </c>
      <c r="G1220" s="208" t="n">
        <v>0.01802895214665101</v>
      </c>
      <c r="H1220" s="209" cm="1">
        <f t="array" ref="H1220">IF(ROW()&lt;3,"",E1220/INDEX(E:E,ROW()-1)-1)</f>
        <v/>
      </c>
      <c r="I1220" s="211">
        <f>IF(ROW()&lt;51,NA(),AVERAGE(INDEX(E:E,ROW()-49):E1220))</f>
        <v/>
      </c>
      <c r="J1220" s="211">
        <f>IF(ROW()&lt;201,NA(),AVERAGE(INDEX(E:E,ROW()-199):E1220))</f>
        <v/>
      </c>
      <c r="K1220" s="341">
        <f>IF(ROW()&lt;22,NA(),_xlfn.STDEV.S(INDEX(H:H,ROW()-19):H1220)*SQRT(252))</f>
        <v/>
      </c>
      <c r="L1220" s="426" cm="1">
        <f t="array" ref="L1220">IF(ROW()&lt;17,NA(),_xlfn.LET(_xlpm.d,INDEX(E:E,ROW()-13):E1220-INDEX(E:E,ROW()-14):INDEX(E:E,ROW()-1),_xlpm.g,SUM(IF(_xlpm.d&gt;0,_xlpm.d,0)),_xlpm.l,-SUM(IF(_xlpm.d&lt;0,_xlpm.d,0)),IF(_xlpm.l=0,100,100-100/(1+_xlpm.g/_xlpm.l))))</f>
        <v/>
      </c>
      <c r="M1220" s="211">
        <f>MAX($E$2:E1220)</f>
        <v/>
      </c>
      <c r="N1220" s="341">
        <f>E1220/M1220-1</f>
        <v/>
      </c>
    </row>
    <row r="1221">
      <c r="A1221" s="424" t="n">
        <v>46239</v>
      </c>
      <c r="B1221" s="425" t="n">
        <v>41.2128155045979</v>
      </c>
      <c r="C1221" s="425" t="n">
        <v>42.03410131166003</v>
      </c>
      <c r="D1221" s="425" t="n">
        <v>40.92585863089005</v>
      </c>
      <c r="E1221" s="425" t="n">
        <v>42.00441741943359</v>
      </c>
      <c r="F1221" s="207" t="n">
        <v>22088600</v>
      </c>
      <c r="G1221" s="208" t="n">
        <v>-0.001996562476127783</v>
      </c>
      <c r="H1221" s="209" cm="1">
        <f t="array" ref="H1221">IF(ROW()&lt;3,"",E1221/INDEX(E:E,ROW()-1)-1)</f>
        <v/>
      </c>
      <c r="I1221" s="211">
        <f>IF(ROW()&lt;51,NA(),AVERAGE(INDEX(E:E,ROW()-49):E1221))</f>
        <v/>
      </c>
      <c r="J1221" s="211">
        <f>IF(ROW()&lt;201,NA(),AVERAGE(INDEX(E:E,ROW()-199):E1221))</f>
        <v/>
      </c>
      <c r="K1221" s="341">
        <f>IF(ROW()&lt;22,NA(),_xlfn.STDEV.S(INDEX(H:H,ROW()-19):H1221)*SQRT(252))</f>
        <v/>
      </c>
      <c r="L1221" s="426" cm="1">
        <f t="array" ref="L1221">IF(ROW()&lt;17,NA(),_xlfn.LET(_xlpm.d,INDEX(E:E,ROW()-13):E1221-INDEX(E:E,ROW()-14):INDEX(E:E,ROW()-1),_xlpm.g,SUM(IF(_xlpm.d&gt;0,_xlpm.d,0)),_xlpm.l,-SUM(IF(_xlpm.d&lt;0,_xlpm.d,0)),IF(_xlpm.l=0,100,100-100/(1+_xlpm.g/_xlpm.l))))</f>
        <v/>
      </c>
      <c r="M1221" s="211">
        <f>MAX($E$2:E1221)</f>
        <v/>
      </c>
      <c r="N1221" s="341">
        <f>E1221/M1221-1</f>
        <v/>
      </c>
    </row>
    <row r="1222">
      <c r="A1222" s="424" t="n">
        <v>46240</v>
      </c>
      <c r="B1222" s="425" t="n">
        <v>42.07368142873643</v>
      </c>
      <c r="C1222" s="425" t="n">
        <v>42.19242076969489</v>
      </c>
      <c r="D1222" s="425" t="n">
        <v>41.41071224451921</v>
      </c>
      <c r="E1222" s="425" t="n">
        <v>41.55913925170898</v>
      </c>
      <c r="F1222" s="207" t="n">
        <v>18150300</v>
      </c>
      <c r="G1222" s="208" t="n">
        <v>-0.001597806469725183</v>
      </c>
      <c r="H1222" s="209" cm="1">
        <f t="array" ref="H1222">IF(ROW()&lt;3,"",E1222/INDEX(E:E,ROW()-1)-1)</f>
        <v/>
      </c>
      <c r="I1222" s="211">
        <f>IF(ROW()&lt;51,NA(),AVERAGE(INDEX(E:E,ROW()-49):E1222))</f>
        <v/>
      </c>
      <c r="J1222" s="211">
        <f>IF(ROW()&lt;201,NA(),AVERAGE(INDEX(E:E,ROW()-199):E1222))</f>
        <v/>
      </c>
      <c r="K1222" s="341">
        <f>IF(ROW()&lt;22,NA(),_xlfn.STDEV.S(INDEX(H:H,ROW()-19):H1222)*SQRT(252))</f>
        <v/>
      </c>
      <c r="L1222" s="426" cm="1">
        <f t="array" ref="L1222">IF(ROW()&lt;17,NA(),_xlfn.LET(_xlpm.d,INDEX(E:E,ROW()-13):E1222-INDEX(E:E,ROW()-14):INDEX(E:E,ROW()-1),_xlpm.g,SUM(IF(_xlpm.d&gt;0,_xlpm.d,0)),_xlpm.l,-SUM(IF(_xlpm.d&lt;0,_xlpm.d,0)),IF(_xlpm.l=0,100,100-100/(1+_xlpm.g/_xlpm.l))))</f>
        <v/>
      </c>
      <c r="M1222" s="211">
        <f>MAX($E$2:E1222)</f>
        <v/>
      </c>
      <c r="N1222" s="341">
        <f>E1222/M1222-1</f>
        <v/>
      </c>
    </row>
    <row r="1223">
      <c r="A1223" s="424" t="n">
        <v>46241</v>
      </c>
      <c r="B1223" s="425" t="n">
        <v>41.57893172849006</v>
      </c>
      <c r="C1223" s="425" t="n">
        <v>41.9252563953635</v>
      </c>
      <c r="D1223" s="425" t="n">
        <v>41.17323550101442</v>
      </c>
      <c r="E1223" s="425" t="n">
        <v>41.26229095458984</v>
      </c>
      <c r="F1223" s="207" t="n">
        <v>22042300</v>
      </c>
      <c r="G1223" s="208" t="n">
        <v>0.006115328078506455</v>
      </c>
      <c r="H1223" s="209" cm="1">
        <f t="array" ref="H1223">IF(ROW()&lt;3,"",E1223/INDEX(E:E,ROW()-1)-1)</f>
        <v/>
      </c>
      <c r="I1223" s="211">
        <f>IF(ROW()&lt;51,NA(),AVERAGE(INDEX(E:E,ROW()-49):E1223))</f>
        <v/>
      </c>
      <c r="J1223" s="211">
        <f>IF(ROW()&lt;201,NA(),AVERAGE(INDEX(E:E,ROW()-199):E1223))</f>
        <v/>
      </c>
      <c r="K1223" s="341">
        <f>IF(ROW()&lt;22,NA(),_xlfn.STDEV.S(INDEX(H:H,ROW()-19):H1223)*SQRT(252))</f>
        <v/>
      </c>
      <c r="L1223" s="426" cm="1">
        <f t="array" ref="L1223">IF(ROW()&lt;17,NA(),_xlfn.LET(_xlpm.d,INDEX(E:E,ROW()-13):E1223-INDEX(E:E,ROW()-14):INDEX(E:E,ROW()-1),_xlpm.g,SUM(IF(_xlpm.d&gt;0,_xlpm.d,0)),_xlpm.l,-SUM(IF(_xlpm.d&lt;0,_xlpm.d,0)),IF(_xlpm.l=0,100,100-100/(1+_xlpm.g/_xlpm.l))))</f>
        <v/>
      </c>
      <c r="M1223" s="211">
        <f>MAX($E$2:E1223)</f>
        <v/>
      </c>
      <c r="N1223" s="341">
        <f>E1223/M1223-1</f>
        <v/>
      </c>
    </row>
    <row r="1224">
      <c r="A1224" s="424" t="n">
        <v>46244</v>
      </c>
      <c r="B1224" s="425" t="n">
        <v>41.30186884959684</v>
      </c>
      <c r="C1224" s="425" t="n">
        <v>41.78672334629496</v>
      </c>
      <c r="D1224" s="425" t="n">
        <v>40.70816461275638</v>
      </c>
      <c r="E1224" s="425" t="n">
        <v>41.66798400878906</v>
      </c>
      <c r="F1224" s="207" t="n">
        <v>21664600</v>
      </c>
      <c r="G1224" s="208" t="n">
        <v>-0.0002974431285415191</v>
      </c>
      <c r="H1224" s="209" cm="1">
        <f t="array" ref="H1224">IF(ROW()&lt;3,"",E1224/INDEX(E:E,ROW()-1)-1)</f>
        <v/>
      </c>
      <c r="I1224" s="211">
        <f>IF(ROW()&lt;51,NA(),AVERAGE(INDEX(E:E,ROW()-49):E1224))</f>
        <v/>
      </c>
      <c r="J1224" s="211">
        <f>IF(ROW()&lt;201,NA(),AVERAGE(INDEX(E:E,ROW()-199):E1224))</f>
        <v/>
      </c>
      <c r="K1224" s="341">
        <f>IF(ROW()&lt;22,NA(),_xlfn.STDEV.S(INDEX(H:H,ROW()-19):H1224)*SQRT(252))</f>
        <v/>
      </c>
      <c r="L1224" s="426" cm="1">
        <f t="array" ref="L1224">IF(ROW()&lt;17,NA(),_xlfn.LET(_xlpm.d,INDEX(E:E,ROW()-13):E1224-INDEX(E:E,ROW()-14):INDEX(E:E,ROW()-1),_xlpm.g,SUM(IF(_xlpm.d&gt;0,_xlpm.d,0)),_xlpm.l,-SUM(IF(_xlpm.d&lt;0,_xlpm.d,0)),IF(_xlpm.l=0,100,100-100/(1+_xlpm.g/_xlpm.l))))</f>
        <v/>
      </c>
      <c r="M1224" s="211">
        <f>MAX($E$2:E1224)</f>
        <v/>
      </c>
      <c r="N1224" s="341">
        <f>E1224/M1224-1</f>
        <v/>
      </c>
    </row>
    <row r="1225">
      <c r="A1225" s="424" t="n">
        <v>46245</v>
      </c>
      <c r="B1225" s="425" t="n">
        <v>41.04459662287091</v>
      </c>
      <c r="C1225" s="425" t="n">
        <v>41.09407103317103</v>
      </c>
      <c r="D1225" s="425" t="n">
        <v>40.40142173965823</v>
      </c>
      <c r="E1225" s="425" t="n">
        <v>40.88627624511719</v>
      </c>
      <c r="F1225" s="207" t="n">
        <v>25538000</v>
      </c>
      <c r="G1225" s="208" t="n">
        <v>-0.003195199981383512</v>
      </c>
      <c r="H1225" s="209" cm="1">
        <f t="array" ref="H1225">IF(ROW()&lt;3,"",E1225/INDEX(E:E,ROW()-1)-1)</f>
        <v/>
      </c>
      <c r="I1225" s="211">
        <f>IF(ROW()&lt;51,NA(),AVERAGE(INDEX(E:E,ROW()-49):E1225))</f>
        <v/>
      </c>
      <c r="J1225" s="211">
        <f>IF(ROW()&lt;201,NA(),AVERAGE(INDEX(E:E,ROW()-199):E1225))</f>
        <v/>
      </c>
      <c r="K1225" s="341">
        <f>IF(ROW()&lt;22,NA(),_xlfn.STDEV.S(INDEX(H:H,ROW()-19):H1225)*SQRT(252))</f>
        <v/>
      </c>
      <c r="L1225" s="426" cm="1">
        <f t="array" ref="L1225">IF(ROW()&lt;17,NA(),_xlfn.LET(_xlpm.d,INDEX(E:E,ROW()-13):E1225-INDEX(E:E,ROW()-14):INDEX(E:E,ROW()-1),_xlpm.g,SUM(IF(_xlpm.d&gt;0,_xlpm.d,0)),_xlpm.l,-SUM(IF(_xlpm.d&lt;0,_xlpm.d,0)),IF(_xlpm.l=0,100,100-100/(1+_xlpm.g/_xlpm.l))))</f>
        <v/>
      </c>
      <c r="M1225" s="211">
        <f>MAX($E$2:E1225)</f>
        <v/>
      </c>
      <c r="N1225" s="341">
        <f>E1225/M1225-1</f>
        <v/>
      </c>
    </row>
    <row r="1226">
      <c r="A1226" s="424" t="n">
        <v>46246</v>
      </c>
      <c r="B1226" s="425" t="n">
        <v>40.59932001138581</v>
      </c>
      <c r="C1226" s="425" t="n">
        <v>40.81701194967387</v>
      </c>
      <c r="D1226" s="425" t="n">
        <v>40.02541004861131</v>
      </c>
      <c r="E1226" s="425" t="n">
        <v>40.08477783203125</v>
      </c>
      <c r="F1226" s="207" t="n">
        <v>28760300</v>
      </c>
      <c r="G1226" s="208" t="n">
        <v>0.002504608894863258</v>
      </c>
      <c r="H1226" s="209" cm="1">
        <f t="array" ref="H1226">IF(ROW()&lt;3,"",E1226/INDEX(E:E,ROW()-1)-1)</f>
        <v/>
      </c>
      <c r="I1226" s="211">
        <f>IF(ROW()&lt;51,NA(),AVERAGE(INDEX(E:E,ROW()-49):E1226))</f>
        <v/>
      </c>
      <c r="J1226" s="211">
        <f>IF(ROW()&lt;201,NA(),AVERAGE(INDEX(E:E,ROW()-199):E1226))</f>
        <v/>
      </c>
      <c r="K1226" s="341">
        <f>IF(ROW()&lt;22,NA(),_xlfn.STDEV.S(INDEX(H:H,ROW()-19):H1226)*SQRT(252))</f>
        <v/>
      </c>
      <c r="L1226" s="426" cm="1">
        <f t="array" ref="L1226">IF(ROW()&lt;17,NA(),_xlfn.LET(_xlpm.d,INDEX(E:E,ROW()-13):E1226-INDEX(E:E,ROW()-14):INDEX(E:E,ROW()-1),_xlpm.g,SUM(IF(_xlpm.d&gt;0,_xlpm.d,0)),_xlpm.l,-SUM(IF(_xlpm.d&lt;0,_xlpm.d,0)),IF(_xlpm.l=0,100,100-100/(1+_xlpm.g/_xlpm.l))))</f>
        <v/>
      </c>
      <c r="M1226" s="211">
        <f>MAX($E$2:E1226)</f>
        <v/>
      </c>
      <c r="N1226" s="341">
        <f>E1226/M1226-1</f>
        <v/>
      </c>
    </row>
    <row r="1227">
      <c r="A1227" s="424" t="n">
        <v>46247</v>
      </c>
      <c r="B1227" s="425" t="n">
        <v>40.31236761605823</v>
      </c>
      <c r="C1227" s="425" t="n">
        <v>41.03470459921401</v>
      </c>
      <c r="D1227" s="425" t="n">
        <v>40.05509463459385</v>
      </c>
      <c r="E1227" s="425" t="n">
        <v>40.79722213745117</v>
      </c>
      <c r="F1227" s="207" t="n">
        <v>23641700</v>
      </c>
      <c r="G1227" s="208" t="n">
        <v>0.006977515074108265</v>
      </c>
      <c r="H1227" s="209" cm="1">
        <f t="array" ref="H1227">IF(ROW()&lt;3,"",E1227/INDEX(E:E,ROW()-1)-1)</f>
        <v/>
      </c>
      <c r="I1227" s="211">
        <f>IF(ROW()&lt;51,NA(),AVERAGE(INDEX(E:E,ROW()-49):E1227))</f>
        <v/>
      </c>
      <c r="J1227" s="211">
        <f>IF(ROW()&lt;201,NA(),AVERAGE(INDEX(E:E,ROW()-199):E1227))</f>
        <v/>
      </c>
      <c r="K1227" s="341">
        <f>IF(ROW()&lt;22,NA(),_xlfn.STDEV.S(INDEX(H:H,ROW()-19):H1227)*SQRT(252))</f>
        <v/>
      </c>
      <c r="L1227" s="426" cm="1">
        <f t="array" ref="L1227">IF(ROW()&lt;17,NA(),_xlfn.LET(_xlpm.d,INDEX(E:E,ROW()-13):E1227-INDEX(E:E,ROW()-14):INDEX(E:E,ROW()-1),_xlpm.g,SUM(IF(_xlpm.d&gt;0,_xlpm.d,0)),_xlpm.l,-SUM(IF(_xlpm.d&lt;0,_xlpm.d,0)),IF(_xlpm.l=0,100,100-100/(1+_xlpm.g/_xlpm.l))))</f>
        <v/>
      </c>
      <c r="M1227" s="211">
        <f>MAX($E$2:E1227)</f>
        <v/>
      </c>
      <c r="N1227" s="341">
        <f>E1227/M1227-1</f>
        <v/>
      </c>
    </row>
    <row r="1228">
      <c r="A1228" s="424" t="n">
        <v>46248</v>
      </c>
      <c r="B1228" s="425" t="n">
        <v>40.7972228379553</v>
      </c>
      <c r="C1228" s="425" t="n">
        <v>40.89617543816207</v>
      </c>
      <c r="D1228" s="425" t="n">
        <v>40.28268064084732</v>
      </c>
      <c r="E1228" s="425" t="n">
        <v>40.30247116088867</v>
      </c>
      <c r="F1228" s="207" t="n">
        <v>23639800</v>
      </c>
      <c r="G1228" s="208" t="n">
        <v>-0.001979750679941938</v>
      </c>
      <c r="H1228" s="209" cm="1">
        <f t="array" ref="H1228">IF(ROW()&lt;3,"",E1228/INDEX(E:E,ROW()-1)-1)</f>
        <v/>
      </c>
      <c r="I1228" s="211">
        <f>IF(ROW()&lt;51,NA(),AVERAGE(INDEX(E:E,ROW()-49):E1228))</f>
        <v/>
      </c>
      <c r="J1228" s="211">
        <f>IF(ROW()&lt;201,NA(),AVERAGE(INDEX(E:E,ROW()-199):E1228))</f>
        <v/>
      </c>
      <c r="K1228" s="341">
        <f>IF(ROW()&lt;22,NA(),_xlfn.STDEV.S(INDEX(H:H,ROW()-19):H1228)*SQRT(252))</f>
        <v/>
      </c>
      <c r="L1228" s="426" cm="1">
        <f t="array" ref="L1228">IF(ROW()&lt;17,NA(),_xlfn.LET(_xlpm.d,INDEX(E:E,ROW()-13):E1228-INDEX(E:E,ROW()-14):INDEX(E:E,ROW()-1),_xlpm.g,SUM(IF(_xlpm.d&gt;0,_xlpm.d,0)),_xlpm.l,-SUM(IF(_xlpm.d&lt;0,_xlpm.d,0)),IF(_xlpm.l=0,100,100-100/(1+_xlpm.g/_xlpm.l))))</f>
        <v/>
      </c>
      <c r="M1228" s="211">
        <f>MAX($E$2:E1228)</f>
        <v/>
      </c>
      <c r="N1228" s="341">
        <f>E1228/M1228-1</f>
        <v/>
      </c>
    </row>
    <row r="1229">
      <c r="A1229" s="424" t="n">
        <v>46251</v>
      </c>
      <c r="B1229" s="425" t="n">
        <v>39.9264561675405</v>
      </c>
      <c r="C1229" s="425" t="n">
        <v>40.17383198958141</v>
      </c>
      <c r="D1229" s="425" t="n">
        <v>38.45209838198375</v>
      </c>
      <c r="E1229" s="425" t="n">
        <v>38.67968368530273</v>
      </c>
      <c r="F1229" s="207" t="n">
        <v>58659900</v>
      </c>
      <c r="G1229" s="208" t="n">
        <v>-0.004727362317670902</v>
      </c>
      <c r="H1229" s="209" cm="1">
        <f t="array" ref="H1229">IF(ROW()&lt;3,"",E1229/INDEX(E:E,ROW()-1)-1)</f>
        <v/>
      </c>
      <c r="I1229" s="211">
        <f>IF(ROW()&lt;51,NA(),AVERAGE(INDEX(E:E,ROW()-49):E1229))</f>
        <v/>
      </c>
      <c r="J1229" s="211">
        <f>IF(ROW()&lt;201,NA(),AVERAGE(INDEX(E:E,ROW()-199):E1229))</f>
        <v/>
      </c>
      <c r="K1229" s="341">
        <f>IF(ROW()&lt;22,NA(),_xlfn.STDEV.S(INDEX(H:H,ROW()-19):H1229)*SQRT(252))</f>
        <v/>
      </c>
      <c r="L1229" s="426" cm="1">
        <f t="array" ref="L1229">IF(ROW()&lt;17,NA(),_xlfn.LET(_xlpm.d,INDEX(E:E,ROW()-13):E1229-INDEX(E:E,ROW()-14):INDEX(E:E,ROW()-1),_xlpm.g,SUM(IF(_xlpm.d&gt;0,_xlpm.d,0)),_xlpm.l,-SUM(IF(_xlpm.d&lt;0,_xlpm.d,0)),IF(_xlpm.l=0,100,100-100/(1+_xlpm.g/_xlpm.l))))</f>
        <v/>
      </c>
      <c r="M1229" s="211">
        <f>MAX($E$2:E1229)</f>
        <v/>
      </c>
      <c r="N1229" s="341">
        <f>E1229/M1229-1</f>
        <v/>
      </c>
    </row>
    <row r="1230">
      <c r="A1230" s="424" t="n">
        <v>46252</v>
      </c>
      <c r="B1230" s="425" t="n">
        <v>39.23380727778712</v>
      </c>
      <c r="C1230" s="425" t="n">
        <v>40.21341342905558</v>
      </c>
      <c r="D1230" s="425" t="n">
        <v>38.81821392978268</v>
      </c>
      <c r="E1230" s="425" t="n">
        <v>39.63950347900391</v>
      </c>
      <c r="F1230" s="207" t="n">
        <v>39173300</v>
      </c>
      <c r="G1230" s="208" t="n">
        <v>-0.00675574496080833</v>
      </c>
      <c r="H1230" s="209" cm="1">
        <f t="array" ref="H1230">IF(ROW()&lt;3,"",E1230/INDEX(E:E,ROW()-1)-1)</f>
        <v/>
      </c>
      <c r="I1230" s="211">
        <f>IF(ROW()&lt;51,NA(),AVERAGE(INDEX(E:E,ROW()-49):E1230))</f>
        <v/>
      </c>
      <c r="J1230" s="211">
        <f>IF(ROW()&lt;201,NA(),AVERAGE(INDEX(E:E,ROW()-199):E1230))</f>
        <v/>
      </c>
      <c r="K1230" s="341">
        <f>IF(ROW()&lt;22,NA(),_xlfn.STDEV.S(INDEX(H:H,ROW()-19):H1230)*SQRT(252))</f>
        <v/>
      </c>
      <c r="L1230" s="426" cm="1">
        <f t="array" ref="L1230">IF(ROW()&lt;17,NA(),_xlfn.LET(_xlpm.d,INDEX(E:E,ROW()-13):E1230-INDEX(E:E,ROW()-14):INDEX(E:E,ROW()-1),_xlpm.g,SUM(IF(_xlpm.d&gt;0,_xlpm.d,0)),_xlpm.l,-SUM(IF(_xlpm.d&lt;0,_xlpm.d,0)),IF(_xlpm.l=0,100,100-100/(1+_xlpm.g/_xlpm.l))))</f>
        <v/>
      </c>
      <c r="M1230" s="211">
        <f>MAX($E$2:E1230)</f>
        <v/>
      </c>
      <c r="N1230" s="341">
        <f>E1230/M1230-1</f>
        <v/>
      </c>
    </row>
    <row r="1231">
      <c r="A1231" s="424" t="n">
        <v>46253</v>
      </c>
      <c r="B1231" s="425" t="n">
        <v>40.10456793342975</v>
      </c>
      <c r="C1231" s="425" t="n">
        <v>40.87638308174572</v>
      </c>
      <c r="D1231" s="425" t="n">
        <v>39.94624755486721</v>
      </c>
      <c r="E1231" s="425" t="n">
        <v>40.61911010742188</v>
      </c>
      <c r="F1231" s="207" t="n">
        <v>22055700</v>
      </c>
      <c r="G1231" s="208" t="n">
        <v>0.002097784737085329</v>
      </c>
      <c r="H1231" s="209" cm="1">
        <f t="array" ref="H1231">IF(ROW()&lt;3,"",E1231/INDEX(E:E,ROW()-1)-1)</f>
        <v/>
      </c>
      <c r="I1231" s="211">
        <f>IF(ROW()&lt;51,NA(),AVERAGE(INDEX(E:E,ROW()-49):E1231))</f>
        <v/>
      </c>
      <c r="J1231" s="211">
        <f>IF(ROW()&lt;201,NA(),AVERAGE(INDEX(E:E,ROW()-199):E1231))</f>
        <v/>
      </c>
      <c r="K1231" s="341">
        <f>IF(ROW()&lt;22,NA(),_xlfn.STDEV.S(INDEX(H:H,ROW()-19):H1231)*SQRT(252))</f>
        <v/>
      </c>
      <c r="L1231" s="426" cm="1">
        <f t="array" ref="L1231">IF(ROW()&lt;17,NA(),_xlfn.LET(_xlpm.d,INDEX(E:E,ROW()-13):E1231-INDEX(E:E,ROW()-14):INDEX(E:E,ROW()-1),_xlpm.g,SUM(IF(_xlpm.d&gt;0,_xlpm.d,0)),_xlpm.l,-SUM(IF(_xlpm.d&lt;0,_xlpm.d,0)),IF(_xlpm.l=0,100,100-100/(1+_xlpm.g/_xlpm.l))))</f>
        <v/>
      </c>
      <c r="M1231" s="211">
        <f>MAX($E$2:E1231)</f>
        <v/>
      </c>
      <c r="N1231" s="341">
        <f>E1231/M1231-1</f>
        <v/>
      </c>
    </row>
    <row r="1232">
      <c r="A1232" s="424" t="n">
        <v>46254</v>
      </c>
      <c r="B1232" s="425" t="n">
        <v>40.0649930448124</v>
      </c>
      <c r="C1232" s="425" t="n">
        <v>40.21341628526947</v>
      </c>
      <c r="D1232" s="425" t="n">
        <v>39.3921304523708</v>
      </c>
      <c r="E1232" s="425" t="n">
        <v>39.78792953491211</v>
      </c>
      <c r="F1232" s="207" t="n">
        <v>16662100</v>
      </c>
      <c r="G1232" s="208" t="n">
        <v>-0.008399827926766523</v>
      </c>
      <c r="H1232" s="209" cm="1">
        <f t="array" ref="H1232">IF(ROW()&lt;3,"",E1232/INDEX(E:E,ROW()-1)-1)</f>
        <v/>
      </c>
      <c r="I1232" s="211">
        <f>IF(ROW()&lt;51,NA(),AVERAGE(INDEX(E:E,ROW()-49):E1232))</f>
        <v/>
      </c>
      <c r="J1232" s="211">
        <f>IF(ROW()&lt;201,NA(),AVERAGE(INDEX(E:E,ROW()-199):E1232))</f>
        <v/>
      </c>
      <c r="K1232" s="341">
        <f>IF(ROW()&lt;22,NA(),_xlfn.STDEV.S(INDEX(H:H,ROW()-19):H1232)*SQRT(252))</f>
        <v/>
      </c>
      <c r="L1232" s="426" cm="1">
        <f t="array" ref="L1232">IF(ROW()&lt;17,NA(),_xlfn.LET(_xlpm.d,INDEX(E:E,ROW()-13):E1232-INDEX(E:E,ROW()-14):INDEX(E:E,ROW()-1),_xlpm.g,SUM(IF(_xlpm.d&gt;0,_xlpm.d,0)),_xlpm.l,-SUM(IF(_xlpm.d&lt;0,_xlpm.d,0)),IF(_xlpm.l=0,100,100-100/(1+_xlpm.g/_xlpm.l))))</f>
        <v/>
      </c>
      <c r="M1232" s="211">
        <f>MAX($E$2:E1232)</f>
        <v/>
      </c>
      <c r="N1232" s="341">
        <f>E1232/M1232-1</f>
        <v/>
      </c>
    </row>
    <row r="1233">
      <c r="A1233" s="424" t="n">
        <v>46255</v>
      </c>
      <c r="B1233" s="425" t="n">
        <v>39.83740166450827</v>
      </c>
      <c r="C1233" s="425" t="n">
        <v>40.69827226335965</v>
      </c>
      <c r="D1233" s="425" t="n">
        <v>39.81761491997301</v>
      </c>
      <c r="E1233" s="425" t="n">
        <v>40.3321533203125</v>
      </c>
      <c r="F1233" s="207" t="n">
        <v>14707800</v>
      </c>
      <c r="G1233" s="208" t="n">
        <v>0.004091229991858514</v>
      </c>
      <c r="H1233" s="209" cm="1">
        <f t="array" ref="H1233">IF(ROW()&lt;3,"",E1233/INDEX(E:E,ROW()-1)-1)</f>
        <v/>
      </c>
      <c r="I1233" s="211">
        <f>IF(ROW()&lt;51,NA(),AVERAGE(INDEX(E:E,ROW()-49):E1233))</f>
        <v/>
      </c>
      <c r="J1233" s="211">
        <f>IF(ROW()&lt;201,NA(),AVERAGE(INDEX(E:E,ROW()-199):E1233))</f>
        <v/>
      </c>
      <c r="K1233" s="341">
        <f>IF(ROW()&lt;22,NA(),_xlfn.STDEV.S(INDEX(H:H,ROW()-19):H1233)*SQRT(252))</f>
        <v/>
      </c>
      <c r="L1233" s="426" cm="1">
        <f t="array" ref="L1233">IF(ROW()&lt;17,NA(),_xlfn.LET(_xlpm.d,INDEX(E:E,ROW()-13):E1233-INDEX(E:E,ROW()-14):INDEX(E:E,ROW()-1),_xlpm.g,SUM(IF(_xlpm.d&gt;0,_xlpm.d,0)),_xlpm.l,-SUM(IF(_xlpm.d&lt;0,_xlpm.d,0)),IF(_xlpm.l=0,100,100-100/(1+_xlpm.g/_xlpm.l))))</f>
        <v/>
      </c>
      <c r="M1233" s="211">
        <f>MAX($E$2:E1233)</f>
        <v/>
      </c>
      <c r="N1233" s="341">
        <f>E1233/M1233-1</f>
        <v/>
      </c>
    </row>
    <row r="1234">
      <c r="A1234" s="424" t="n">
        <v>46258</v>
      </c>
      <c r="B1234" s="425" t="n">
        <v>40.56963764962974</v>
      </c>
      <c r="C1234" s="425" t="n">
        <v>40.90606894210071</v>
      </c>
      <c r="D1234" s="425" t="n">
        <v>40.25299687726363</v>
      </c>
      <c r="E1234" s="425" t="n">
        <v>40.32226181030273</v>
      </c>
      <c r="F1234" s="207" t="n">
        <v>18839100</v>
      </c>
      <c r="G1234" s="208" t="n">
        <v>-0.002938436115603738</v>
      </c>
      <c r="H1234" s="209" cm="1">
        <f t="array" ref="H1234">IF(ROW()&lt;3,"",E1234/INDEX(E:E,ROW()-1)-1)</f>
        <v/>
      </c>
      <c r="I1234" s="211">
        <f>IF(ROW()&lt;51,NA(),AVERAGE(INDEX(E:E,ROW()-49):E1234))</f>
        <v/>
      </c>
      <c r="J1234" s="211">
        <f>IF(ROW()&lt;201,NA(),AVERAGE(INDEX(E:E,ROW()-199):E1234))</f>
        <v/>
      </c>
      <c r="K1234" s="341">
        <f>IF(ROW()&lt;22,NA(),_xlfn.STDEV.S(INDEX(H:H,ROW()-19):H1234)*SQRT(252))</f>
        <v/>
      </c>
      <c r="L1234" s="426" cm="1">
        <f t="array" ref="L1234">IF(ROW()&lt;17,NA(),_xlfn.LET(_xlpm.d,INDEX(E:E,ROW()-13):E1234-INDEX(E:E,ROW()-14):INDEX(E:E,ROW()-1),_xlpm.g,SUM(IF(_xlpm.d&gt;0,_xlpm.d,0)),_xlpm.l,-SUM(IF(_xlpm.d&lt;0,_xlpm.d,0)),IF(_xlpm.l=0,100,100-100/(1+_xlpm.g/_xlpm.l))))</f>
        <v/>
      </c>
      <c r="M1234" s="211">
        <f>MAX($E$2:E1234)</f>
        <v/>
      </c>
      <c r="N1234" s="341">
        <f>E1234/M1234-1</f>
        <v/>
      </c>
    </row>
    <row r="1235">
      <c r="A1235" s="424" t="n">
        <v>46259</v>
      </c>
      <c r="B1235" s="425" t="n">
        <v>39.1051709427772</v>
      </c>
      <c r="C1235" s="425" t="n">
        <v>39.45149558856874</v>
      </c>
      <c r="D1235" s="425" t="n">
        <v>38.6203126640135</v>
      </c>
      <c r="E1235" s="425" t="n">
        <v>39.06558990478516</v>
      </c>
      <c r="F1235" s="207" t="n">
        <v>41525000</v>
      </c>
      <c r="G1235" s="208" t="n">
        <v>0.003195939766817757</v>
      </c>
      <c r="H1235" s="209" cm="1">
        <f t="array" ref="H1235">IF(ROW()&lt;3,"",E1235/INDEX(E:E,ROW()-1)-1)</f>
        <v/>
      </c>
      <c r="I1235" s="211">
        <f>IF(ROW()&lt;51,NA(),AVERAGE(INDEX(E:E,ROW()-49):E1235))</f>
        <v/>
      </c>
      <c r="J1235" s="211">
        <f>IF(ROW()&lt;201,NA(),AVERAGE(INDEX(E:E,ROW()-199):E1235))</f>
        <v/>
      </c>
      <c r="K1235" s="341">
        <f>IF(ROW()&lt;22,NA(),_xlfn.STDEV.S(INDEX(H:H,ROW()-19):H1235)*SQRT(252))</f>
        <v/>
      </c>
      <c r="L1235" s="426" cm="1">
        <f t="array" ref="L1235">IF(ROW()&lt;17,NA(),_xlfn.LET(_xlpm.d,INDEX(E:E,ROW()-13):E1235-INDEX(E:E,ROW()-14):INDEX(E:E,ROW()-1),_xlpm.g,SUM(IF(_xlpm.d&gt;0,_xlpm.d,0)),_xlpm.l,-SUM(IF(_xlpm.d&lt;0,_xlpm.d,0)),IF(_xlpm.l=0,100,100-100/(1+_xlpm.g/_xlpm.l))))</f>
        <v/>
      </c>
      <c r="M1235" s="211">
        <f>MAX($E$2:E1235)</f>
        <v/>
      </c>
      <c r="N1235" s="341">
        <f>E1235/M1235-1</f>
        <v/>
      </c>
    </row>
    <row r="1236">
      <c r="A1236" s="424" t="n">
        <v>46260</v>
      </c>
      <c r="B1236" s="425" t="n">
        <v>38.98643174503994</v>
      </c>
      <c r="C1236" s="425" t="n">
        <v>39.06559004665596</v>
      </c>
      <c r="D1236" s="425" t="n">
        <v>38.00682181178475</v>
      </c>
      <c r="E1236" s="425" t="n">
        <v>38.18493270874023</v>
      </c>
      <c r="F1236" s="207" t="n">
        <v>38604300</v>
      </c>
      <c r="G1236" s="208" t="n">
        <v>0.0002220076795962367</v>
      </c>
      <c r="H1236" s="209" cm="1">
        <f t="array" ref="H1236">IF(ROW()&lt;3,"",E1236/INDEX(E:E,ROW()-1)-1)</f>
        <v/>
      </c>
      <c r="I1236" s="211">
        <f>IF(ROW()&lt;51,NA(),AVERAGE(INDEX(E:E,ROW()-49):E1236))</f>
        <v/>
      </c>
      <c r="J1236" s="211">
        <f>IF(ROW()&lt;201,NA(),AVERAGE(INDEX(E:E,ROW()-199):E1236))</f>
        <v/>
      </c>
      <c r="K1236" s="341">
        <f>IF(ROW()&lt;22,NA(),_xlfn.STDEV.S(INDEX(H:H,ROW()-19):H1236)*SQRT(252))</f>
        <v/>
      </c>
      <c r="L1236" s="426" cm="1">
        <f t="array" ref="L1236">IF(ROW()&lt;17,NA(),_xlfn.LET(_xlpm.d,INDEX(E:E,ROW()-13):E1236-INDEX(E:E,ROW()-14):INDEX(E:E,ROW()-1),_xlpm.g,SUM(IF(_xlpm.d&gt;0,_xlpm.d,0)),_xlpm.l,-SUM(IF(_xlpm.d&lt;0,_xlpm.d,0)),IF(_xlpm.l=0,100,100-100/(1+_xlpm.g/_xlpm.l))))</f>
        <v/>
      </c>
      <c r="M1236" s="211">
        <f>MAX($E$2:E1236)</f>
        <v/>
      </c>
      <c r="N1236" s="341">
        <f>E1236/M1236-1</f>
        <v/>
      </c>
    </row>
    <row r="1237">
      <c r="A1237" s="424" t="n">
        <v>46261</v>
      </c>
      <c r="B1237" s="425" t="n">
        <v>38.09587821151822</v>
      </c>
      <c r="C1237" s="425" t="n">
        <v>38.39272845563789</v>
      </c>
      <c r="D1237" s="425" t="n">
        <v>37.76934030072764</v>
      </c>
      <c r="E1237" s="425" t="n">
        <v>38.03650665283203</v>
      </c>
      <c r="F1237" s="207" t="n">
        <v>36573800</v>
      </c>
      <c r="G1237" s="208" t="n">
        <v>0.006552844629756693</v>
      </c>
      <c r="H1237" s="209" cm="1">
        <f t="array" ref="H1237">IF(ROW()&lt;3,"",E1237/INDEX(E:E,ROW()-1)-1)</f>
        <v/>
      </c>
      <c r="I1237" s="211">
        <f>IF(ROW()&lt;51,NA(),AVERAGE(INDEX(E:E,ROW()-49):E1237))</f>
        <v/>
      </c>
      <c r="J1237" s="211">
        <f>IF(ROW()&lt;201,NA(),AVERAGE(INDEX(E:E,ROW()-199):E1237))</f>
        <v/>
      </c>
      <c r="K1237" s="341">
        <f>IF(ROW()&lt;22,NA(),_xlfn.STDEV.S(INDEX(H:H,ROW()-19):H1237)*SQRT(252))</f>
        <v/>
      </c>
      <c r="L1237" s="426" cm="1">
        <f t="array" ref="L1237">IF(ROW()&lt;17,NA(),_xlfn.LET(_xlpm.d,INDEX(E:E,ROW()-13):E1237-INDEX(E:E,ROW()-14):INDEX(E:E,ROW()-1),_xlpm.g,SUM(IF(_xlpm.d&gt;0,_xlpm.d,0)),_xlpm.l,-SUM(IF(_xlpm.d&lt;0,_xlpm.d,0)),IF(_xlpm.l=0,100,100-100/(1+_xlpm.g/_xlpm.l))))</f>
        <v/>
      </c>
      <c r="M1237" s="211">
        <f>MAX($E$2:E1237)</f>
        <v/>
      </c>
      <c r="N1237" s="341">
        <f>E1237/M1237-1</f>
        <v/>
      </c>
    </row>
    <row r="1238">
      <c r="A1238" s="424" t="n">
        <v>46262</v>
      </c>
      <c r="B1238" s="425" t="n">
        <v>38.30367263516801</v>
      </c>
      <c r="C1238" s="425" t="n">
        <v>39.34265036688477</v>
      </c>
      <c r="D1238" s="425" t="n">
        <v>38.15524940186882</v>
      </c>
      <c r="E1238" s="425" t="n">
        <v>39.18432998657227</v>
      </c>
      <c r="F1238" s="207" t="n">
        <v>28437400</v>
      </c>
      <c r="G1238" s="208" t="n">
        <v>-0.002269486910755458</v>
      </c>
      <c r="H1238" s="209" cm="1">
        <f t="array" ref="H1238">IF(ROW()&lt;3,"",E1238/INDEX(E:E,ROW()-1)-1)</f>
        <v/>
      </c>
      <c r="I1238" s="211">
        <f>IF(ROW()&lt;51,NA(),AVERAGE(INDEX(E:E,ROW()-49):E1238))</f>
        <v/>
      </c>
      <c r="J1238" s="211">
        <f>IF(ROW()&lt;201,NA(),AVERAGE(INDEX(E:E,ROW()-199):E1238))</f>
        <v/>
      </c>
      <c r="K1238" s="341">
        <f>IF(ROW()&lt;22,NA(),_xlfn.STDEV.S(INDEX(H:H,ROW()-19):H1238)*SQRT(252))</f>
        <v/>
      </c>
      <c r="L1238" s="426" cm="1">
        <f t="array" ref="L1238">IF(ROW()&lt;17,NA(),_xlfn.LET(_xlpm.d,INDEX(E:E,ROW()-13):E1238-INDEX(E:E,ROW()-14):INDEX(E:E,ROW()-1),_xlpm.g,SUM(IF(_xlpm.d&gt;0,_xlpm.d,0)),_xlpm.l,-SUM(IF(_xlpm.d&lt;0,_xlpm.d,0)),IF(_xlpm.l=0,100,100-100/(1+_xlpm.g/_xlpm.l))))</f>
        <v/>
      </c>
      <c r="M1238" s="211">
        <f>MAX($E$2:E1238)</f>
        <v/>
      </c>
      <c r="N1238" s="341">
        <f>E1238/M1238-1</f>
        <v/>
      </c>
    </row>
    <row r="1239">
      <c r="A1239" s="424" t="n">
        <v>46265</v>
      </c>
      <c r="B1239" s="425" t="n">
        <v>38.99632618238763</v>
      </c>
      <c r="C1239" s="425" t="n">
        <v>39.46139395654706</v>
      </c>
      <c r="D1239" s="425" t="n">
        <v>38.6203138591384</v>
      </c>
      <c r="E1239" s="425" t="n">
        <v>38.65000152587891</v>
      </c>
      <c r="F1239" s="207" t="n">
        <v>23905300</v>
      </c>
      <c r="G1239" s="208" t="n">
        <v>-0.002989548034258882</v>
      </c>
      <c r="H1239" s="209" cm="1">
        <f t="array" ref="H1239">IF(ROW()&lt;3,"",E1239/INDEX(E:E,ROW()-1)-1)</f>
        <v/>
      </c>
      <c r="I1239" s="211">
        <f>IF(ROW()&lt;51,NA(),AVERAGE(INDEX(E:E,ROW()-49):E1239))</f>
        <v/>
      </c>
      <c r="J1239" s="211">
        <f>IF(ROW()&lt;201,NA(),AVERAGE(INDEX(E:E,ROW()-199):E1239))</f>
        <v/>
      </c>
      <c r="K1239" s="341">
        <f>IF(ROW()&lt;22,NA(),_xlfn.STDEV.S(INDEX(H:H,ROW()-19):H1239)*SQRT(252))</f>
        <v/>
      </c>
      <c r="L1239" s="426" cm="1">
        <f t="array" ref="L1239">IF(ROW()&lt;17,NA(),_xlfn.LET(_xlpm.d,INDEX(E:E,ROW()-13):E1239-INDEX(E:E,ROW()-14):INDEX(E:E,ROW()-1),_xlpm.g,SUM(IF(_xlpm.d&gt;0,_xlpm.d,0)),_xlpm.l,-SUM(IF(_xlpm.d&lt;0,_xlpm.d,0)),IF(_xlpm.l=0,100,100-100/(1+_xlpm.g/_xlpm.l))))</f>
        <v/>
      </c>
      <c r="M1239" s="211">
        <f>MAX($E$2:E1239)</f>
        <v/>
      </c>
      <c r="N1239" s="341">
        <f>E1239/M1239-1</f>
        <v/>
      </c>
    </row>
    <row r="1240">
      <c r="A1240" s="424" t="n">
        <v>46266</v>
      </c>
      <c r="B1240" s="425" t="n">
        <v>38.36000061035156</v>
      </c>
      <c r="C1240" s="425" t="n">
        <v>38.56999969482422</v>
      </c>
      <c r="D1240" s="425" t="n">
        <v>37.97000122070312</v>
      </c>
      <c r="E1240" s="425" t="n">
        <v>38.11999893188477</v>
      </c>
      <c r="F1240" s="207" t="n">
        <v>22241100</v>
      </c>
      <c r="G1240" s="208" t="n">
        <v>-0.006870413937474118</v>
      </c>
      <c r="H1240" s="209" cm="1">
        <f t="array" ref="H1240">IF(ROW()&lt;3,"",E1240/INDEX(E:E,ROW()-1)-1)</f>
        <v/>
      </c>
      <c r="I1240" s="211">
        <f>IF(ROW()&lt;51,NA(),AVERAGE(INDEX(E:E,ROW()-49):E1240))</f>
        <v/>
      </c>
      <c r="J1240" s="211">
        <f>IF(ROW()&lt;201,NA(),AVERAGE(INDEX(E:E,ROW()-199):E1240))</f>
        <v/>
      </c>
      <c r="K1240" s="341">
        <f>IF(ROW()&lt;22,NA(),_xlfn.STDEV.S(INDEX(H:H,ROW()-19):H1240)*SQRT(252))</f>
        <v/>
      </c>
      <c r="L1240" s="426" cm="1">
        <f t="array" ref="L1240">IF(ROW()&lt;17,NA(),_xlfn.LET(_xlpm.d,INDEX(E:E,ROW()-13):E1240-INDEX(E:E,ROW()-14):INDEX(E:E,ROW()-1),_xlpm.g,SUM(IF(_xlpm.d&gt;0,_xlpm.d,0)),_xlpm.l,-SUM(IF(_xlpm.d&lt;0,_xlpm.d,0)),IF(_xlpm.l=0,100,100-100/(1+_xlpm.g/_xlpm.l))))</f>
        <v/>
      </c>
      <c r="M1240" s="211">
        <f>MAX($E$2:E1240)</f>
        <v/>
      </c>
      <c r="N1240" s="341">
        <f>E1240/M1240-1</f>
        <v/>
      </c>
    </row>
    <row r="1241">
      <c r="A1241" s="424" t="n">
        <v>46267</v>
      </c>
      <c r="B1241" s="425" t="n">
        <v>38.06000137329102</v>
      </c>
      <c r="C1241" s="425" t="n">
        <v>38.72999954223633</v>
      </c>
      <c r="D1241" s="425" t="n">
        <v>38.0099983215332</v>
      </c>
      <c r="E1241" s="425" t="n">
        <v>38.2400016784668</v>
      </c>
      <c r="F1241" s="207" t="n">
        <v>20727200</v>
      </c>
      <c r="G1241" s="208" t="n">
        <v>0.004436916429827686</v>
      </c>
      <c r="H1241" s="209" cm="1">
        <f t="array" ref="H1241">IF(ROW()&lt;3,"",E1241/INDEX(E:E,ROW()-1)-1)</f>
        <v/>
      </c>
      <c r="I1241" s="211">
        <f>IF(ROW()&lt;51,NA(),AVERAGE(INDEX(E:E,ROW()-49):E1241))</f>
        <v/>
      </c>
      <c r="J1241" s="211">
        <f>IF(ROW()&lt;201,NA(),AVERAGE(INDEX(E:E,ROW()-199):E1241))</f>
        <v/>
      </c>
      <c r="K1241" s="341">
        <f>IF(ROW()&lt;22,NA(),_xlfn.STDEV.S(INDEX(H:H,ROW()-19):H1241)*SQRT(252))</f>
        <v/>
      </c>
      <c r="L1241" s="426" cm="1">
        <f t="array" ref="L1241">IF(ROW()&lt;17,NA(),_xlfn.LET(_xlpm.d,INDEX(E:E,ROW()-13):E1241-INDEX(E:E,ROW()-14):INDEX(E:E,ROW()-1),_xlpm.g,SUM(IF(_xlpm.d&gt;0,_xlpm.d,0)),_xlpm.l,-SUM(IF(_xlpm.d&lt;0,_xlpm.d,0)),IF(_xlpm.l=0,100,100-100/(1+_xlpm.g/_xlpm.l))))</f>
        <v/>
      </c>
      <c r="M1241" s="211">
        <f>MAX($E$2:E1241)</f>
        <v/>
      </c>
      <c r="N1241" s="341">
        <f>E1241/M1241-1</f>
        <v/>
      </c>
    </row>
    <row r="1242">
      <c r="A1242" s="424" t="n">
        <v>46268</v>
      </c>
      <c r="B1242" s="425" t="n">
        <v>38.52000045776367</v>
      </c>
      <c r="C1242" s="425" t="n">
        <v>38.93000030517578</v>
      </c>
      <c r="D1242" s="425" t="n">
        <v>37.95000076293945</v>
      </c>
      <c r="E1242" s="425" t="n">
        <v>38.77000045776367</v>
      </c>
      <c r="F1242" s="207" t="n">
        <v>29597500</v>
      </c>
      <c r="G1242" s="208" t="n">
        <v>0.01046841794153663</v>
      </c>
      <c r="H1242" s="209" cm="1">
        <f t="array" ref="H1242">IF(ROW()&lt;3,"",E1242/INDEX(E:E,ROW()-1)-1)</f>
        <v/>
      </c>
      <c r="I1242" s="211">
        <f>IF(ROW()&lt;51,NA(),AVERAGE(INDEX(E:E,ROW()-49):E1242))</f>
        <v/>
      </c>
      <c r="J1242" s="211">
        <f>IF(ROW()&lt;201,NA(),AVERAGE(INDEX(E:E,ROW()-199):E1242))</f>
        <v/>
      </c>
      <c r="K1242" s="341">
        <f>IF(ROW()&lt;22,NA(),_xlfn.STDEV.S(INDEX(H:H,ROW()-19):H1242)*SQRT(252))</f>
        <v/>
      </c>
      <c r="L1242" s="426" cm="1">
        <f t="array" ref="L1242">IF(ROW()&lt;17,NA(),_xlfn.LET(_xlpm.d,INDEX(E:E,ROW()-13):E1242-INDEX(E:E,ROW()-14):INDEX(E:E,ROW()-1),_xlpm.g,SUM(IF(_xlpm.d&gt;0,_xlpm.d,0)),_xlpm.l,-SUM(IF(_xlpm.d&lt;0,_xlpm.d,0)),IF(_xlpm.l=0,100,100-100/(1+_xlpm.g/_xlpm.l))))</f>
        <v/>
      </c>
      <c r="M1242" s="211">
        <f>MAX($E$2:E1242)</f>
        <v/>
      </c>
      <c r="N1242" s="341">
        <f>E1242/M1242-1</f>
        <v/>
      </c>
    </row>
    <row r="1243">
      <c r="A1243" s="424" t="n">
        <v>46269</v>
      </c>
      <c r="B1243" s="425" t="n">
        <v>38.22000122070312</v>
      </c>
      <c r="C1243" s="425" t="n">
        <v>38.65999984741211</v>
      </c>
      <c r="D1243" s="425" t="n">
        <v>37.97999954223633</v>
      </c>
      <c r="E1243" s="425" t="n">
        <v>38.40000152587891</v>
      </c>
      <c r="F1243" s="207" t="n">
        <v>20631600</v>
      </c>
      <c r="G1243" s="208" t="n">
        <v>-0.003854232260089407</v>
      </c>
      <c r="H1243" s="209" cm="1">
        <f t="array" ref="H1243">IF(ROW()&lt;3,"",E1243/INDEX(E:E,ROW()-1)-1)</f>
        <v/>
      </c>
      <c r="I1243" s="211">
        <f>IF(ROW()&lt;51,NA(),AVERAGE(INDEX(E:E,ROW()-49):E1243))</f>
        <v/>
      </c>
      <c r="J1243" s="211">
        <f>IF(ROW()&lt;201,NA(),AVERAGE(INDEX(E:E,ROW()-199):E1243))</f>
        <v/>
      </c>
      <c r="K1243" s="341">
        <f>IF(ROW()&lt;22,NA(),_xlfn.STDEV.S(INDEX(H:H,ROW()-19):H1243)*SQRT(252))</f>
        <v/>
      </c>
      <c r="L1243" s="426" cm="1">
        <f t="array" ref="L1243">IF(ROW()&lt;17,NA(),_xlfn.LET(_xlpm.d,INDEX(E:E,ROW()-13):E1243-INDEX(E:E,ROW()-14):INDEX(E:E,ROW()-1),_xlpm.g,SUM(IF(_xlpm.d&gt;0,_xlpm.d,0)),_xlpm.l,-SUM(IF(_xlpm.d&lt;0,_xlpm.d,0)),IF(_xlpm.l=0,100,100-100/(1+_xlpm.g/_xlpm.l))))</f>
        <v/>
      </c>
      <c r="M1243" s="211">
        <f>MAX($E$2:E1243)</f>
        <v/>
      </c>
      <c r="N1243" s="341">
        <f>E1243/M1243-1</f>
        <v/>
      </c>
    </row>
    <row r="1244">
      <c r="A1244" s="424" t="n">
        <v>46273</v>
      </c>
      <c r="B1244" s="425" t="n">
        <v>38.52000045776367</v>
      </c>
      <c r="C1244" s="425" t="n">
        <v>38.7400016784668</v>
      </c>
      <c r="D1244" s="425" t="n">
        <v>37.90000152587891</v>
      </c>
      <c r="E1244" s="425" t="n">
        <v>38.09999847412109</v>
      </c>
      <c r="F1244" s="207" t="n">
        <v>31672300</v>
      </c>
      <c r="G1244" s="208" t="n">
        <v>-0.005492178930014524</v>
      </c>
      <c r="H1244" s="209" cm="1">
        <f t="array" ref="H1244">IF(ROW()&lt;3,"",E1244/INDEX(E:E,ROW()-1)-1)</f>
        <v/>
      </c>
      <c r="I1244" s="211">
        <f>IF(ROW()&lt;51,NA(),AVERAGE(INDEX(E:E,ROW()-49):E1244))</f>
        <v/>
      </c>
      <c r="J1244" s="211">
        <f>IF(ROW()&lt;201,NA(),AVERAGE(INDEX(E:E,ROW()-199):E1244))</f>
        <v/>
      </c>
      <c r="K1244" s="341">
        <f>IF(ROW()&lt;22,NA(),_xlfn.STDEV.S(INDEX(H:H,ROW()-19):H1244)*SQRT(252))</f>
        <v/>
      </c>
      <c r="L1244" s="426" cm="1">
        <f t="array" ref="L1244">IF(ROW()&lt;17,NA(),_xlfn.LET(_xlpm.d,INDEX(E:E,ROW()-13):E1244-INDEX(E:E,ROW()-14):INDEX(E:E,ROW()-1),_xlpm.g,SUM(IF(_xlpm.d&gt;0,_xlpm.d,0)),_xlpm.l,-SUM(IF(_xlpm.d&lt;0,_xlpm.d,0)),IF(_xlpm.l=0,100,100-100/(1+_xlpm.g/_xlpm.l))))</f>
        <v/>
      </c>
      <c r="M1244" s="211">
        <f>MAX($E$2:E1244)</f>
        <v/>
      </c>
      <c r="N1244" s="341">
        <f>E1244/M1244-1</f>
        <v/>
      </c>
    </row>
    <row r="1245">
      <c r="A1245" s="424" t="n">
        <v>46274</v>
      </c>
      <c r="B1245" s="425" t="n">
        <v>37.79000091552734</v>
      </c>
      <c r="C1245" s="425" t="n">
        <v>37.84999847412109</v>
      </c>
      <c r="D1245" s="425" t="n">
        <v>36.84999847412109</v>
      </c>
      <c r="E1245" s="425" t="n">
        <v>37.34999847412109</v>
      </c>
      <c r="F1245" s="207" t="n">
        <v>41088800</v>
      </c>
      <c r="G1245" s="208" t="n">
        <v>-0.004647717444469568</v>
      </c>
      <c r="H1245" s="209" cm="1">
        <f t="array" ref="H1245">IF(ROW()&lt;3,"",E1245/INDEX(E:E,ROW()-1)-1)</f>
        <v/>
      </c>
      <c r="I1245" s="211">
        <f>IF(ROW()&lt;51,NA(),AVERAGE(INDEX(E:E,ROW()-49):E1245))</f>
        <v/>
      </c>
      <c r="J1245" s="211">
        <f>IF(ROW()&lt;201,NA(),AVERAGE(INDEX(E:E,ROW()-199):E1245))</f>
        <v/>
      </c>
      <c r="K1245" s="341">
        <f>IF(ROW()&lt;22,NA(),_xlfn.STDEV.S(INDEX(H:H,ROW()-19):H1245)*SQRT(252))</f>
        <v/>
      </c>
      <c r="L1245" s="426" cm="1">
        <f t="array" ref="L1245">IF(ROW()&lt;17,NA(),_xlfn.LET(_xlpm.d,INDEX(E:E,ROW()-13):E1245-INDEX(E:E,ROW()-14):INDEX(E:E,ROW()-1),_xlpm.g,SUM(IF(_xlpm.d&gt;0,_xlpm.d,0)),_xlpm.l,-SUM(IF(_xlpm.d&lt;0,_xlpm.d,0)),IF(_xlpm.l=0,100,100-100/(1+_xlpm.g/_xlpm.l))))</f>
        <v/>
      </c>
      <c r="M1245" s="211">
        <f>MAX($E$2:E1245)</f>
        <v/>
      </c>
      <c r="N1245" s="341">
        <f>E1245/M1245-1</f>
        <v/>
      </c>
    </row>
    <row r="1246">
      <c r="A1246" s="424" t="n">
        <v>46275</v>
      </c>
      <c r="B1246" s="425" t="n">
        <v>36.95999908447266</v>
      </c>
      <c r="C1246" s="425" t="n">
        <v>37.15999984741211</v>
      </c>
      <c r="D1246" s="425" t="n">
        <v>36.54999923706055</v>
      </c>
      <c r="E1246" s="425" t="n">
        <v>36.61999893188477</v>
      </c>
      <c r="F1246" s="207" t="n">
        <v>29961000</v>
      </c>
      <c r="G1246" s="208" t="n">
        <v>-0.005994275703456675</v>
      </c>
      <c r="H1246" s="209" cm="1">
        <f t="array" ref="H1246">IF(ROW()&lt;3,"",E1246/INDEX(E:E,ROW()-1)-1)</f>
        <v/>
      </c>
      <c r="I1246" s="211">
        <f>IF(ROW()&lt;51,NA(),AVERAGE(INDEX(E:E,ROW()-49):E1246))</f>
        <v/>
      </c>
      <c r="J1246" s="211">
        <f>IF(ROW()&lt;201,NA(),AVERAGE(INDEX(E:E,ROW()-199):E1246))</f>
        <v/>
      </c>
      <c r="K1246" s="341">
        <f>IF(ROW()&lt;22,NA(),_xlfn.STDEV.S(INDEX(H:H,ROW()-19):H1246)*SQRT(252))</f>
        <v/>
      </c>
      <c r="L1246" s="426" cm="1">
        <f t="array" ref="L1246">IF(ROW()&lt;17,NA(),_xlfn.LET(_xlpm.d,INDEX(E:E,ROW()-13):E1246-INDEX(E:E,ROW()-14):INDEX(E:E,ROW()-1),_xlpm.g,SUM(IF(_xlpm.d&gt;0,_xlpm.d,0)),_xlpm.l,-SUM(IF(_xlpm.d&lt;0,_xlpm.d,0)),IF(_xlpm.l=0,100,100-100/(1+_xlpm.g/_xlpm.l))))</f>
        <v/>
      </c>
      <c r="M1246" s="211">
        <f>MAX($E$2:E1246)</f>
        <v/>
      </c>
      <c r="N1246" s="341">
        <f>E1246/M1246-1</f>
        <v/>
      </c>
    </row>
    <row r="1247">
      <c r="A1247" s="424" t="n">
        <v>46276</v>
      </c>
      <c r="B1247" s="425" t="n">
        <v>36.79999923706055</v>
      </c>
      <c r="C1247" s="425" t="n">
        <v>37.04999923706055</v>
      </c>
      <c r="D1247" s="425" t="n">
        <v>36.61999893188477</v>
      </c>
      <c r="E1247" s="425" t="n">
        <v>36.79999923706055</v>
      </c>
      <c r="F1247" s="207" t="n">
        <v>19974900</v>
      </c>
      <c r="G1247" s="208" t="n">
        <v>0.008524301461116268</v>
      </c>
      <c r="H1247" s="209" cm="1">
        <f t="array" ref="H1247">IF(ROW()&lt;3,"",E1247/INDEX(E:E,ROW()-1)-1)</f>
        <v/>
      </c>
      <c r="I1247" s="211">
        <f>IF(ROW()&lt;51,NA(),AVERAGE(INDEX(E:E,ROW()-49):E1247))</f>
        <v/>
      </c>
      <c r="J1247" s="211">
        <f>IF(ROW()&lt;201,NA(),AVERAGE(INDEX(E:E,ROW()-199):E1247))</f>
        <v/>
      </c>
      <c r="K1247" s="341">
        <f>IF(ROW()&lt;22,NA(),_xlfn.STDEV.S(INDEX(H:H,ROW()-19):H1247)*SQRT(252))</f>
        <v/>
      </c>
      <c r="L1247" s="426" cm="1">
        <f t="array" ref="L1247">IF(ROW()&lt;17,NA(),_xlfn.LET(_xlpm.d,INDEX(E:E,ROW()-13):E1247-INDEX(E:E,ROW()-14):INDEX(E:E,ROW()-1),_xlpm.g,SUM(IF(_xlpm.d&gt;0,_xlpm.d,0)),_xlpm.l,-SUM(IF(_xlpm.d&lt;0,_xlpm.d,0)),IF(_xlpm.l=0,100,100-100/(1+_xlpm.g/_xlpm.l))))</f>
        <v/>
      </c>
      <c r="M1247" s="211">
        <f>MAX($E$2:E1247)</f>
        <v/>
      </c>
      <c r="N1247" s="341">
        <f>E1247/M1247-1</f>
        <v/>
      </c>
    </row>
    <row r="1248">
      <c r="A1248" s="424" t="n">
        <v>46279</v>
      </c>
      <c r="B1248" s="425" t="n">
        <v>36.7599983215332</v>
      </c>
      <c r="C1248" s="425" t="n">
        <v>37.40999984741211</v>
      </c>
      <c r="D1248" s="425" t="n">
        <v>36.58000183105469</v>
      </c>
      <c r="E1248" s="425" t="n">
        <v>37.04999923706055</v>
      </c>
      <c r="F1248" s="207" t="n">
        <v>30513500</v>
      </c>
      <c r="G1248" s="208" t="n">
        <v>-0.004461653484890693</v>
      </c>
      <c r="H1248" s="209" cm="1">
        <f t="array" ref="H1248">IF(ROW()&lt;3,"",E1248/INDEX(E:E,ROW()-1)-1)</f>
        <v/>
      </c>
      <c r="I1248" s="211">
        <f>IF(ROW()&lt;51,NA(),AVERAGE(INDEX(E:E,ROW()-49):E1248))</f>
        <v/>
      </c>
      <c r="J1248" s="211">
        <f>IF(ROW()&lt;201,NA(),AVERAGE(INDEX(E:E,ROW()-199):E1248))</f>
        <v/>
      </c>
      <c r="K1248" s="341">
        <f>IF(ROW()&lt;22,NA(),_xlfn.STDEV.S(INDEX(H:H,ROW()-19):H1248)*SQRT(252))</f>
        <v/>
      </c>
      <c r="L1248" s="426" cm="1">
        <f t="array" ref="L1248">IF(ROW()&lt;17,NA(),_xlfn.LET(_xlpm.d,INDEX(E:E,ROW()-13):E1248-INDEX(E:E,ROW()-14):INDEX(E:E,ROW()-1),_xlpm.g,SUM(IF(_xlpm.d&gt;0,_xlpm.d,0)),_xlpm.l,-SUM(IF(_xlpm.d&lt;0,_xlpm.d,0)),IF(_xlpm.l=0,100,100-100/(1+_xlpm.g/_xlpm.l))))</f>
        <v/>
      </c>
      <c r="M1248" s="211">
        <f>MAX($E$2:E1248)</f>
        <v/>
      </c>
      <c r="N1248" s="341">
        <f>E1248/M1248-1</f>
        <v/>
      </c>
    </row>
    <row r="1249">
      <c r="A1249" s="424" t="n">
        <v>46280</v>
      </c>
      <c r="B1249" s="425" t="n">
        <v>36.84999847412109</v>
      </c>
      <c r="C1249" s="425" t="n">
        <v>36.88000106811523</v>
      </c>
      <c r="D1249" s="425" t="n">
        <v>36.16999816894531</v>
      </c>
      <c r="E1249" s="425" t="n">
        <v>36.22000122070312</v>
      </c>
      <c r="F1249" s="207" t="n">
        <v>29693100</v>
      </c>
      <c r="G1249" s="208" t="n">
        <v>-0.004586752409134642</v>
      </c>
      <c r="H1249" s="209" cm="1">
        <f t="array" ref="H1249">IF(ROW()&lt;3,"",E1249/INDEX(E:E,ROW()-1)-1)</f>
        <v/>
      </c>
      <c r="I1249" s="211">
        <f>IF(ROW()&lt;51,NA(),AVERAGE(INDEX(E:E,ROW()-49):E1249))</f>
        <v/>
      </c>
      <c r="J1249" s="211">
        <f>IF(ROW()&lt;201,NA(),AVERAGE(INDEX(E:E,ROW()-199):E1249))</f>
        <v/>
      </c>
      <c r="K1249" s="341">
        <f>IF(ROW()&lt;22,NA(),_xlfn.STDEV.S(INDEX(H:H,ROW()-19):H1249)*SQRT(252))</f>
        <v/>
      </c>
      <c r="L1249" s="426" cm="1">
        <f t="array" ref="L1249">IF(ROW()&lt;17,NA(),_xlfn.LET(_xlpm.d,INDEX(E:E,ROW()-13):E1249-INDEX(E:E,ROW()-14):INDEX(E:E,ROW()-1),_xlpm.g,SUM(IF(_xlpm.d&gt;0,_xlpm.d,0)),_xlpm.l,-SUM(IF(_xlpm.d&lt;0,_xlpm.d,0)),IF(_xlpm.l=0,100,100-100/(1+_xlpm.g/_xlpm.l))))</f>
        <v/>
      </c>
      <c r="M1249" s="211">
        <f>MAX($E$2:E1249)</f>
        <v/>
      </c>
      <c r="N1249" s="341">
        <f>E1249/M1249-1</f>
        <v/>
      </c>
    </row>
    <row r="1250">
      <c r="A1250" s="424" t="n">
        <v>46281</v>
      </c>
      <c r="B1250" s="425" t="n">
        <v>36.38000106811523</v>
      </c>
      <c r="C1250" s="425" t="n">
        <v>36.5099983215332</v>
      </c>
      <c r="D1250" s="425" t="n">
        <v>35.7599983215332</v>
      </c>
      <c r="E1250" s="425" t="n">
        <v>35.77999877929688</v>
      </c>
      <c r="F1250" s="207" t="n">
        <v>30717000</v>
      </c>
      <c r="G1250" s="208" t="n">
        <v>-0.004409880484782303</v>
      </c>
      <c r="H1250" s="209" cm="1">
        <f t="array" ref="H1250">IF(ROW()&lt;3,"",E1250/INDEX(E:E,ROW()-1)-1)</f>
        <v/>
      </c>
      <c r="I1250" s="211">
        <f>IF(ROW()&lt;51,NA(),AVERAGE(INDEX(E:E,ROW()-49):E1250))</f>
        <v/>
      </c>
      <c r="J1250" s="211">
        <f>IF(ROW()&lt;201,NA(),AVERAGE(INDEX(E:E,ROW()-199):E1250))</f>
        <v/>
      </c>
      <c r="K1250" s="341">
        <f>IF(ROW()&lt;22,NA(),_xlfn.STDEV.S(INDEX(H:H,ROW()-19):H1250)*SQRT(252))</f>
        <v/>
      </c>
      <c r="L1250" s="426" cm="1">
        <f t="array" ref="L1250">IF(ROW()&lt;17,NA(),_xlfn.LET(_xlpm.d,INDEX(E:E,ROW()-13):E1250-INDEX(E:E,ROW()-14):INDEX(E:E,ROW()-1),_xlpm.g,SUM(IF(_xlpm.d&gt;0,_xlpm.d,0)),_xlpm.l,-SUM(IF(_xlpm.d&lt;0,_xlpm.d,0)),IF(_xlpm.l=0,100,100-100/(1+_xlpm.g/_xlpm.l))))</f>
        <v/>
      </c>
      <c r="M1250" s="211">
        <f>MAX($E$2:E1250)</f>
        <v/>
      </c>
      <c r="N1250" s="341">
        <f>E1250/M1250-1</f>
        <v/>
      </c>
    </row>
    <row r="1251">
      <c r="A1251" s="424" t="n">
        <v>46282</v>
      </c>
      <c r="B1251" s="425" t="n">
        <v>36.5</v>
      </c>
      <c r="C1251" s="425" t="n">
        <v>36.79999923706055</v>
      </c>
      <c r="D1251" s="425" t="n">
        <v>35.72000122070312</v>
      </c>
      <c r="E1251" s="425" t="n">
        <v>36.36000061035156</v>
      </c>
      <c r="F1251" s="207" t="n">
        <v>45453300</v>
      </c>
      <c r="G1251" s="208" t="n">
        <v>0.01133875370595305</v>
      </c>
      <c r="H1251" s="209" cm="1">
        <f t="array" ref="H1251">IF(ROW()&lt;3,"",E1251/INDEX(E:E,ROW()-1)-1)</f>
        <v/>
      </c>
      <c r="I1251" s="211">
        <f>IF(ROW()&lt;51,NA(),AVERAGE(INDEX(E:E,ROW()-49):E1251))</f>
        <v/>
      </c>
      <c r="J1251" s="211">
        <f>IF(ROW()&lt;201,NA(),AVERAGE(INDEX(E:E,ROW()-199):E1251))</f>
        <v/>
      </c>
      <c r="K1251" s="341">
        <f>IF(ROW()&lt;22,NA(),_xlfn.STDEV.S(INDEX(H:H,ROW()-19):H1251)*SQRT(252))</f>
        <v/>
      </c>
      <c r="L1251" s="426" cm="1">
        <f t="array" ref="L1251">IF(ROW()&lt;17,NA(),_xlfn.LET(_xlpm.d,INDEX(E:E,ROW()-13):E1251-INDEX(E:E,ROW()-14):INDEX(E:E,ROW()-1),_xlpm.g,SUM(IF(_xlpm.d&gt;0,_xlpm.d,0)),_xlpm.l,-SUM(IF(_xlpm.d&lt;0,_xlpm.d,0)),IF(_xlpm.l=0,100,100-100/(1+_xlpm.g/_xlpm.l))))</f>
        <v/>
      </c>
      <c r="M1251" s="211">
        <f>MAX($E$2:E1251)</f>
        <v/>
      </c>
      <c r="N1251" s="341">
        <f>E1251/M1251-1</f>
        <v/>
      </c>
    </row>
    <row r="1252">
      <c r="A1252" s="424" t="n">
        <v>46283</v>
      </c>
      <c r="B1252" s="425" t="n">
        <v>36.27000045776367</v>
      </c>
      <c r="C1252" s="425" t="n">
        <v>36.68000030517578</v>
      </c>
      <c r="D1252" s="425" t="n">
        <v>35.5</v>
      </c>
      <c r="E1252" s="425" t="n">
        <v>35.5099983215332</v>
      </c>
      <c r="F1252" s="207" t="n">
        <v>52053600</v>
      </c>
      <c r="G1252" s="208" t="n">
        <v>0.001286959052958503</v>
      </c>
      <c r="H1252" s="209" cm="1">
        <f t="array" ref="H1252">IF(ROW()&lt;3,"",E1252/INDEX(E:E,ROW()-1)-1)</f>
        <v/>
      </c>
      <c r="I1252" s="211">
        <f>IF(ROW()&lt;51,NA(),AVERAGE(INDEX(E:E,ROW()-49):E1252))</f>
        <v/>
      </c>
      <c r="J1252" s="211">
        <f>IF(ROW()&lt;201,NA(),AVERAGE(INDEX(E:E,ROW()-199):E1252))</f>
        <v/>
      </c>
      <c r="K1252" s="341">
        <f>IF(ROW()&lt;22,NA(),_xlfn.STDEV.S(INDEX(H:H,ROW()-19):H1252)*SQRT(252))</f>
        <v/>
      </c>
      <c r="L1252" s="426" cm="1">
        <f t="array" ref="L1252">IF(ROW()&lt;17,NA(),_xlfn.LET(_xlpm.d,INDEX(E:E,ROW()-13):E1252-INDEX(E:E,ROW()-14):INDEX(E:E,ROW()-1),_xlpm.g,SUM(IF(_xlpm.d&gt;0,_xlpm.d,0)),_xlpm.l,-SUM(IF(_xlpm.d&lt;0,_xlpm.d,0)),IF(_xlpm.l=0,100,100-100/(1+_xlpm.g/_xlpm.l))))</f>
        <v/>
      </c>
      <c r="M1252" s="211">
        <f>MAX($E$2:E1252)</f>
        <v/>
      </c>
      <c r="N1252" s="341">
        <f>E1252/M1252-1</f>
        <v/>
      </c>
    </row>
    <row r="1253">
      <c r="A1253" s="424" t="n">
        <v>46286</v>
      </c>
      <c r="B1253" s="425" t="n">
        <v>35.52000045776367</v>
      </c>
      <c r="C1253" s="425" t="n">
        <v>36.36000061035156</v>
      </c>
      <c r="D1253" s="425" t="n">
        <v>35.34999847412109</v>
      </c>
      <c r="E1253" s="425" t="n">
        <v>36.09999847412109</v>
      </c>
      <c r="F1253" s="207" t="n">
        <v>42128800</v>
      </c>
      <c r="G1253" s="208" t="n">
        <v>0.01550499221565182</v>
      </c>
      <c r="H1253" s="209" cm="1">
        <f t="array" ref="H1253">IF(ROW()&lt;3,"",E1253/INDEX(E:E,ROW()-1)-1)</f>
        <v/>
      </c>
      <c r="I1253" s="211">
        <f>IF(ROW()&lt;51,NA(),AVERAGE(INDEX(E:E,ROW()-49):E1253))</f>
        <v/>
      </c>
      <c r="J1253" s="211">
        <f>IF(ROW()&lt;201,NA(),AVERAGE(INDEX(E:E,ROW()-199):E1253))</f>
        <v/>
      </c>
      <c r="K1253" s="341">
        <f>IF(ROW()&lt;22,NA(),_xlfn.STDEV.S(INDEX(H:H,ROW()-19):H1253)*SQRT(252))</f>
        <v/>
      </c>
      <c r="L1253" s="426" cm="1">
        <f t="array" ref="L1253">IF(ROW()&lt;17,NA(),_xlfn.LET(_xlpm.d,INDEX(E:E,ROW()-13):E1253-INDEX(E:E,ROW()-14):INDEX(E:E,ROW()-1),_xlpm.g,SUM(IF(_xlpm.d&gt;0,_xlpm.d,0)),_xlpm.l,-SUM(IF(_xlpm.d&lt;0,_xlpm.d,0)),IF(_xlpm.l=0,100,100-100/(1+_xlpm.g/_xlpm.l))))</f>
        <v/>
      </c>
      <c r="M1253" s="211">
        <f>MAX($E$2:E1253)</f>
        <v/>
      </c>
      <c r="N1253" s="341">
        <f>E1253/M1253-1</f>
        <v/>
      </c>
    </row>
    <row r="1254">
      <c r="A1254" s="424" t="n">
        <v>46287</v>
      </c>
      <c r="B1254" s="425" t="n">
        <v>36.95000076293945</v>
      </c>
      <c r="C1254" s="425" t="n">
        <v>37.04000091552734</v>
      </c>
      <c r="D1254" s="425" t="n">
        <v>35.93999862670898</v>
      </c>
      <c r="E1254" s="425" t="n">
        <v>36.09999847412109</v>
      </c>
      <c r="F1254" s="207" t="n">
        <v>31524800</v>
      </c>
      <c r="G1254" s="208" t="n">
        <v>-0.0001551326660471641</v>
      </c>
      <c r="H1254" s="209" cm="1">
        <f t="array" ref="H1254">IF(ROW()&lt;3,"",E1254/INDEX(E:E,ROW()-1)-1)</f>
        <v/>
      </c>
      <c r="I1254" s="211">
        <f>IF(ROW()&lt;51,NA(),AVERAGE(INDEX(E:E,ROW()-49):E1254))</f>
        <v/>
      </c>
      <c r="J1254" s="211">
        <f>IF(ROW()&lt;201,NA(),AVERAGE(INDEX(E:E,ROW()-199):E1254))</f>
        <v/>
      </c>
      <c r="K1254" s="341">
        <f>IF(ROW()&lt;22,NA(),_xlfn.STDEV.S(INDEX(H:H,ROW()-19):H1254)*SQRT(252))</f>
        <v/>
      </c>
      <c r="L1254" s="426" cm="1">
        <f t="array" ref="L1254">IF(ROW()&lt;17,NA(),_xlfn.LET(_xlpm.d,INDEX(E:E,ROW()-13):E1254-INDEX(E:E,ROW()-14):INDEX(E:E,ROW()-1),_xlpm.g,SUM(IF(_xlpm.d&gt;0,_xlpm.d,0)),_xlpm.l,-SUM(IF(_xlpm.d&lt;0,_xlpm.d,0)),IF(_xlpm.l=0,100,100-100/(1+_xlpm.g/_xlpm.l))))</f>
        <v/>
      </c>
      <c r="M1254" s="211">
        <f>MAX($E$2:E1254)</f>
        <v/>
      </c>
      <c r="N1254" s="341">
        <f>E1254/M1254-1</f>
        <v/>
      </c>
    </row>
    <row r="1255">
      <c r="A1255" s="424" t="n">
        <v>46288</v>
      </c>
      <c r="B1255" s="425" t="n">
        <v>36.41999816894531</v>
      </c>
      <c r="C1255" s="425" t="n">
        <v>36.61999893188477</v>
      </c>
      <c r="D1255" s="425" t="n">
        <v>35.61000061035156</v>
      </c>
      <c r="E1255" s="425" t="n">
        <v>36.04999923706055</v>
      </c>
      <c r="F1255" s="207" t="n">
        <v>40581400</v>
      </c>
      <c r="G1255" s="208" t="n">
        <v>-0.007202161019229769</v>
      </c>
      <c r="H1255" s="209" cm="1">
        <f t="array" ref="H1255">IF(ROW()&lt;3,"",E1255/INDEX(E:E,ROW()-1)-1)</f>
        <v/>
      </c>
      <c r="I1255" s="211">
        <f>IF(ROW()&lt;51,NA(),AVERAGE(INDEX(E:E,ROW()-49):E1255))</f>
        <v/>
      </c>
      <c r="J1255" s="211">
        <f>IF(ROW()&lt;201,NA(),AVERAGE(INDEX(E:E,ROW()-199):E1255))</f>
        <v/>
      </c>
      <c r="K1255" s="341">
        <f>IF(ROW()&lt;22,NA(),_xlfn.STDEV.S(INDEX(H:H,ROW()-19):H1255)*SQRT(252))</f>
        <v/>
      </c>
      <c r="L1255" s="426" cm="1">
        <f t="array" ref="L1255">IF(ROW()&lt;17,NA(),_xlfn.LET(_xlpm.d,INDEX(E:E,ROW()-13):E1255-INDEX(E:E,ROW()-14):INDEX(E:E,ROW()-1),_xlpm.g,SUM(IF(_xlpm.d&gt;0,_xlpm.d,0)),_xlpm.l,-SUM(IF(_xlpm.d&lt;0,_xlpm.d,0)),IF(_xlpm.l=0,100,100-100/(1+_xlpm.g/_xlpm.l))))</f>
        <v/>
      </c>
      <c r="M1255" s="211">
        <f>MAX($E$2:E1255)</f>
        <v/>
      </c>
      <c r="N1255" s="341">
        <f>E1255/M1255-1</f>
        <v/>
      </c>
    </row>
    <row r="1256">
      <c r="A1256" s="424" t="n">
        <v>46289</v>
      </c>
      <c r="B1256" s="425" t="n">
        <v>36</v>
      </c>
      <c r="C1256" s="425" t="n">
        <v>36.13999938964844</v>
      </c>
      <c r="D1256" s="425" t="n">
        <v>35.52000045776367</v>
      </c>
      <c r="E1256" s="425" t="n">
        <v>35.9900016784668</v>
      </c>
      <c r="F1256" s="207" t="n">
        <v>39138000</v>
      </c>
      <c r="G1256" s="208" t="n">
        <v>-0.000820521854125067</v>
      </c>
      <c r="H1256" s="209" cm="1">
        <f t="array" ref="H1256">IF(ROW()&lt;3,"",E1256/INDEX(E:E,ROW()-1)-1)</f>
        <v/>
      </c>
      <c r="I1256" s="211">
        <f>IF(ROW()&lt;51,NA(),AVERAGE(INDEX(E:E,ROW()-49):E1256))</f>
        <v/>
      </c>
      <c r="J1256" s="211">
        <f>IF(ROW()&lt;201,NA(),AVERAGE(INDEX(E:E,ROW()-199):E1256))</f>
        <v/>
      </c>
      <c r="K1256" s="341">
        <f>IF(ROW()&lt;22,NA(),_xlfn.STDEV.S(INDEX(H:H,ROW()-19):H1256)*SQRT(252))</f>
        <v/>
      </c>
      <c r="L1256" s="426" cm="1">
        <f t="array" ref="L1256">IF(ROW()&lt;17,NA(),_xlfn.LET(_xlpm.d,INDEX(E:E,ROW()-13):E1256-INDEX(E:E,ROW()-14):INDEX(E:E,ROW()-1),_xlpm.g,SUM(IF(_xlpm.d&gt;0,_xlpm.d,0)),_xlpm.l,-SUM(IF(_xlpm.d&lt;0,_xlpm.d,0)),IF(_xlpm.l=0,100,100-100/(1+_xlpm.g/_xlpm.l))))</f>
        <v/>
      </c>
      <c r="M1256" s="211">
        <f>MAX($E$2:E1256)</f>
        <v/>
      </c>
      <c r="N1256" s="341">
        <f>E1256/M1256-1</f>
        <v/>
      </c>
    </row>
  </sheetData>
  <autoFilter ref="A1:N1"/>
  <conditionalFormatting sqref="H2:H1256">
    <cfRule type="colorScale" priority="1">
      <colorScale>
        <cfvo type="num" val="-0.05"/>
        <cfvo type="num" val="0"/>
        <cfvo type="num" val="0.05"/>
        <color rgb="FFFFAAAA"/>
        <color rgb="FFFFFFFF"/>
        <color rgb="FFAAFFAA"/>
      </colorScale>
    </cfRule>
  </conditionalFormatting>
  <conditionalFormatting sqref="L2:L1256">
    <cfRule type="cellIs" priority="2" operator="greaterThan" dxfId="1">
      <formula>70</formula>
    </cfRule>
    <cfRule type="cellIs" priority="3" operator="lessThan" dxfId="0">
      <formula>30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2026-09-23T18:42:18Z</dcterms:created>
  <dcterms:modified xmlns:dcterms="http://purl.org/dc/terms/" xmlns:xsi="http://www.w3.org/2001/XMLSchema-instance" xsi:type="dcterms:W3CDTF">2026-09-25T05:54:54Z</dcterms:modified>
  <cp:lastModifiedBy>QuantWizard</cp:lastModifiedBy>
</cp:coreProperties>
</file>
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inancial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Multiples" sheetId="5" state="visible" r:id="rId5"/>
    <sheet xmlns:r="http://schemas.openxmlformats.org/officeDocument/2006/relationships" name="Risk" sheetId="6" state="visible" r:id="rId6"/>
    <sheet xmlns:r="http://schemas.openxmlformats.org/officeDocument/2006/relationships" name="Catalysts_News" sheetId="7" state="visible" r:id="rId7"/>
    <sheet xmlns:r="http://schemas.openxmlformats.org/officeDocument/2006/relationships" name="Methodology" sheetId="8" state="visible" r:id="rId8"/>
    <sheet xmlns:r="http://schemas.openxmlformats.org/officeDocument/2006/relationships" name="Sources" sheetId="9" state="visible" r:id="rId9"/>
    <sheet xmlns:r="http://schemas.openxmlformats.org/officeDocument/2006/relationships" name="Peers" sheetId="10" state="visible" r:id="rId10"/>
    <sheet xmlns:r="http://schemas.openxmlformats.org/officeDocument/2006/relationships" name="Business_Mix" sheetId="11" state="visible" r:id="rId11"/>
    <sheet xmlns:r="http://schemas.openxmlformats.org/officeDocument/2006/relationships" name="Capital_Returns" sheetId="12" state="visible" r:id="rId12"/>
    <sheet xmlns:r="http://schemas.openxmlformats.org/officeDocument/2006/relationships" name="Valuation_History" sheetId="13" state="visible" r:id="rId13"/>
    <sheet xmlns:r="http://schemas.openxmlformats.org/officeDocument/2006/relationships" name="Raw_Fundamentals" sheetId="14" state="visible" r:id="rId14"/>
    <sheet xmlns:r="http://schemas.openxmlformats.org/officeDocument/2006/relationships" name="Price_Data" sheetId="15" state="visible" r:id="rId15"/>
    <sheet xmlns:r="http://schemas.openxmlformats.org/officeDocument/2006/relationships" name="Raw_News" sheetId="16" state="visible" r:id="rId16"/>
    <sheet xmlns:r="http://schemas.openxmlformats.org/officeDocument/2006/relationships" name="Raw_Peers" sheetId="17" state="visible" r:id="rId17"/>
    <sheet xmlns:r="http://schemas.openxmlformats.org/officeDocument/2006/relationships" name="Monte_Carlo" sheetId="18" state="visible" r:id="rId18"/>
  </sheets>
  <definedNames>
    <definedName name="_xlnm._FilterDatabase" localSheetId="14" hidden="1">'Price_Data'!$A$1:$Q$1</definedName>
    <definedName name="_xlnm._FilterDatabase" localSheetId="15" hidden="1">'Raw_News'!$A$1:$G$1</definedName>
    <definedName name="_xlnm._FilterDatabase" localSheetId="16" hidden="1">'Raw_Peers'!$A$1:$F$1</definedName>
  </definedNames>
  <calcPr calcId="19102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3">
    <numFmt numFmtId="164" formatCode="&quot;$&quot;#,##0.00"/>
    <numFmt numFmtId="165" formatCode="0.0000"/>
    <numFmt numFmtId="166" formatCode="0.0%"/>
    <numFmt numFmtId="167" formatCode="\+0.0%;\-0.0%"/>
    <numFmt numFmtId="168" formatCode="_(\$* #,##0.00_)"/>
    <numFmt numFmtId="169" formatCode="\$#,##0.0,,,&quot;B&quot;"/>
    <numFmt numFmtId="170" formatCode="#,##0.00,,,&quot;B&quot;"/>
    <numFmt numFmtId="171" formatCode="0.000"/>
    <numFmt numFmtId="172" formatCode="0.00&quot;x&quot;"/>
    <numFmt numFmtId="173" formatCode="&quot;$&quot;#,##0.0,,,&quot;B&quot;"/>
    <numFmt numFmtId="174" formatCode="0.0"/>
    <numFmt numFmtId="175" formatCode="yyyy\-mm\-dd"/>
    <numFmt numFmtId="176" formatCode="#,##0.0;\(#,##0.0\);&quot;–&quot;"/>
    <numFmt numFmtId="177" formatCode="0.0%;\(0.0%\);&quot;–&quot;"/>
    <numFmt numFmtId="178" formatCode="&quot;$&quot;#,##0.00;\(&quot;$&quot;#,##0.00\);&quot;–&quot;"/>
    <numFmt numFmtId="179" formatCode="#,##0.000"/>
    <numFmt numFmtId="180" formatCode="0.00;\(0.00\);&quot;0.00 ✓&quot;"/>
    <numFmt numFmtId="181" formatCode="0.0&quot;x&quot;;\(0.0&quot;x&quot;\);&quot;–&quot;"/>
    <numFmt numFmtId="182" formatCode="mmm\-yyyy"/>
    <numFmt numFmtId="183" formatCode="dd\-mmm\-yyyy"/>
    <numFmt numFmtId="184" formatCode="&quot;$&quot;#,##0.00_);[Red]\(&quot;$&quot;#,##0.00\)"/>
    <numFmt numFmtId="185" formatCode="yyyy-mm-dd h:mm:ss"/>
    <numFmt numFmtId="186" formatCode="&quot;$&quot;0.00"/>
  </numFmts>
  <fonts count="80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8"/>
    </font>
    <font>
      <name val="Calibri"/>
      <family val="2"/>
      <i val="1"/>
      <color rgb="FF888888"/>
      <sz val="9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12"/>
    </font>
    <font>
      <name val="Calibri"/>
      <family val="2"/>
      <i val="1"/>
      <sz val="10"/>
    </font>
    <font>
      <name val="Calibri"/>
      <family val="2"/>
      <b val="1"/>
      <color rgb="FF1F4E79"/>
      <sz val="10"/>
    </font>
    <font>
      <name val="Calibri"/>
      <family val="2"/>
      <sz val="9"/>
    </font>
    <font>
      <name val="Calibri"/>
      <family val="2"/>
      <i val="1"/>
      <color rgb="FF888888"/>
      <sz val="8"/>
    </font>
    <font>
      <name val="Calibri"/>
      <family val="2"/>
      <b val="1"/>
      <color rgb="FFFFFFFF"/>
      <sz val="11"/>
    </font>
    <font>
      <name val="Calibri"/>
      <family val="2"/>
      <b val="1"/>
      <sz val="9"/>
    </font>
    <font>
      <name val="Calibri"/>
      <family val="2"/>
      <b val="1"/>
      <color rgb="FF1F4E79"/>
      <sz val="14"/>
    </font>
    <font>
      <name val="Calibri"/>
      <family val="2"/>
      <b val="1"/>
      <color rgb="FF9C0006"/>
      <sz val="10"/>
    </font>
    <font>
      <name val="Calibri"/>
      <family val="2"/>
      <b val="1"/>
      <color rgb="FF7F6000"/>
      <sz val="10"/>
    </font>
    <font>
      <name val="Calibri"/>
      <family val="2"/>
      <color rgb="FF2E75B6"/>
      <sz val="10"/>
      <u val="single"/>
    </font>
    <font>
      <name val="Calibri"/>
      <family val="2"/>
      <b val="1"/>
      <color rgb="FF006100"/>
      <sz val="10"/>
    </font>
    <font>
      <name val="Calibri"/>
      <family val="2"/>
      <b val="1"/>
      <color rgb="FF1F4E79"/>
      <sz val="12"/>
    </font>
    <font>
      <name val="Calibri"/>
      <family val="2"/>
      <b val="1"/>
      <color rgb="FF1F4E79"/>
      <sz val="13"/>
    </font>
    <font>
      <name val="Calibri"/>
      <family val="2"/>
      <b val="1"/>
      <color rgb="FF1F4E79"/>
      <sz val="30"/>
    </font>
    <font>
      <name val="Calibri"/>
      <family val="2"/>
      <sz val="11"/>
    </font>
    <font>
      <name val="Calibri"/>
      <family val="2"/>
      <i val="1"/>
      <sz val="9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22"/>
    </font>
    <font>
      <name val="Calibri"/>
      <family val="2"/>
      <b val="1"/>
      <color rgb="FF1F4E79"/>
      <sz val="16"/>
    </font>
    <font>
      <name val="Calibri"/>
      <family val="2"/>
      <b val="1"/>
      <color rgb="FF808080"/>
      <sz val="8"/>
    </font>
    <font>
      <name val="Calibri"/>
      <family val="2"/>
      <b val="1"/>
      <color rgb="FF70AD47"/>
      <sz val="16"/>
    </font>
    <font>
      <name val="Calibri"/>
      <family val="2"/>
      <b val="1"/>
      <color rgb="FF2E75B6"/>
      <sz val="10"/>
      <u val="single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rgb="FFFFFFFF"/>
      <sz val="16"/>
      <scheme val="minor"/>
    </font>
    <font>
      <name val="Calibri"/>
      <i val="1"/>
      <color rgb="FFD9E1F2"/>
      <sz val="9"/>
      <scheme val="minor"/>
    </font>
    <font>
      <name val="Calibri"/>
      <family val="2"/>
      <color rgb="FFFFFFFF"/>
      <sz val="9"/>
      <u val="single"/>
      <scheme val="minor"/>
    </font>
    <font>
      <name val="Calibri"/>
      <b val="1"/>
      <color theme="1"/>
      <sz val="10"/>
      <scheme val="minor"/>
    </font>
    <font>
      <name val="Calibri"/>
      <b val="1"/>
      <color rgb="FF1F3864"/>
      <sz val="10"/>
      <scheme val="minor"/>
    </font>
    <font>
      <name val="Calibri"/>
      <b val="1"/>
      <color rgb="FF1F3864"/>
      <sz val="11"/>
      <scheme val="minor"/>
    </font>
    <font>
      <name val="Calibri"/>
      <color rgb="FF008000"/>
      <sz val="10"/>
      <scheme val="minor"/>
    </font>
    <font>
      <name val="Calibri"/>
      <i val="1"/>
      <color rgb="FF595959"/>
      <sz val="10"/>
      <scheme val="minor"/>
    </font>
    <font>
      <name val="Calibri"/>
      <b val="1"/>
      <color rgb="FF008000"/>
      <sz val="10"/>
      <scheme val="minor"/>
    </font>
    <font>
      <name val="Calibri"/>
      <color rgb="FF595959"/>
      <sz val="10"/>
      <scheme val="minor"/>
    </font>
    <font>
      <name val="Calibri"/>
      <color rgb="FF0000FF"/>
      <sz val="10"/>
      <scheme val="minor"/>
    </font>
    <font>
      <name val="Calibri"/>
      <b val="1"/>
      <color rgb="FF0000FF"/>
      <sz val="10"/>
      <scheme val="minor"/>
    </font>
    <font>
      <name val="Calibri"/>
      <i val="1"/>
      <color theme="1"/>
      <sz val="9"/>
      <scheme val="minor"/>
    </font>
    <font>
      <name val="Calibri"/>
      <i val="1"/>
      <color rgb="FF595959"/>
      <sz val="9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color theme="1"/>
      <sz val="9"/>
      <scheme val="minor"/>
    </font>
    <font>
      <name val="Calibri"/>
      <b val="1"/>
      <color theme="1"/>
      <sz val="12"/>
      <scheme val="minor"/>
    </font>
    <font>
      <name val="Calibri"/>
      <b val="1"/>
      <color rgb="FF7F7F7F"/>
      <sz val="10"/>
      <scheme val="minor"/>
    </font>
    <font>
      <name val="Calibri"/>
      <color rgb="FF7F7F7F"/>
      <sz val="10"/>
      <scheme val="minor"/>
    </font>
    <font>
      <name val="Calibri"/>
      <color rgb="FF595959"/>
      <sz val="9"/>
      <scheme val="minor"/>
    </font>
    <font>
      <name val="Calibri"/>
      <b val="1"/>
      <color rgb="FF595959"/>
      <sz val="9"/>
      <scheme val="minor"/>
    </font>
    <font>
      <name val="Calibri"/>
      <b val="1"/>
      <color theme="1"/>
      <sz val="9"/>
      <scheme val="minor"/>
    </font>
    <font>
      <name val="Calibri"/>
      <b val="1"/>
      <color rgb="FF1F3864"/>
      <sz val="9"/>
      <scheme val="minor"/>
    </font>
    <font>
      <name val="Calibri"/>
      <b val="1"/>
      <color rgb="FFC00000"/>
      <sz val="10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7F7F7F"/>
      <sz val="8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b val="1"/>
      <color rgb="FF0061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rgb="FF2E75B6"/>
      <sz val="11"/>
      <u val="single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theme="1"/>
      <sz val="12"/>
      <scheme val="minor"/>
    </font>
    <font>
      <name val="Calibri"/>
      <i val="1"/>
      <color rgb="FF7F7F7F"/>
      <sz val="8"/>
      <scheme val="minor"/>
    </font>
    <font>
      <name val="Calibri"/>
      <family val="2"/>
      <color rgb="FF2E75B6"/>
      <sz val="9"/>
      <u val="single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b val="1"/>
      <color rgb="FF1F3864"/>
      <sz val="9"/>
      <scheme val="minor"/>
    </font>
    <font>
      <name val="Calibri"/>
      <b val="1"/>
      <color rgb="FF1F3864"/>
      <sz val="12"/>
    </font>
    <font>
      <name val="Calibri"/>
      <b val="1"/>
      <color rgb="FFFFFFFF"/>
    </font>
    <font>
      <name val="Calibri"/>
      <i val="1"/>
      <color rgb="FF595959"/>
    </font>
    <font>
      <name val="Calibri"/>
      <color rgb="FF0000FF"/>
      <sz val="10"/>
    </font>
    <font>
      <name val="Calibri"/>
      <b val="1"/>
      <sz val="11"/>
    </font>
    <font>
      <name val="Calibri"/>
      <i val="1"/>
      <color rgb="FF595959"/>
      <sz val="9"/>
    </font>
  </fonts>
  <fills count="2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70AD47"/>
      </patternFill>
    </fill>
    <fill>
      <patternFill patternType="solid">
        <fgColor rgb="FFF2F2F2"/>
      </patternFill>
    </fill>
    <fill>
      <patternFill patternType="solid">
        <fgColor rgb="FFFF0000"/>
      </patternFill>
    </fill>
    <fill>
      <patternFill patternType="solid">
        <fgColor rgb="FFF0F5FB"/>
      </patternFill>
    </fill>
    <fill>
      <patternFill patternType="solid">
        <fgColor rgb="FFBF8F00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FFF8E1"/>
      </patternFill>
    </fill>
    <fill>
      <patternFill patternType="solid">
        <fgColor rgb="FF16A34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D6E4F0"/>
      </patternFill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DF3F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2E75B6"/>
      </bottom>
      <diagonal/>
    </border>
    <border>
      <left/>
      <right/>
      <top style="thin">
        <color rgb="FF2E75B6"/>
      </top>
      <bottom style="thin">
        <color rgb="FF1F3864"/>
      </bottom>
      <diagonal/>
    </border>
    <border>
      <left/>
      <right/>
      <top style="thin">
        <color rgb="FF1F3864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2E75B6"/>
      </top>
      <bottom/>
      <diagonal/>
    </border>
    <border>
      <left style="thick">
        <color rgb="FF2E75B6"/>
      </left>
      <right/>
      <top style="thin">
        <color rgb="FF2E75B6"/>
      </top>
      <bottom/>
      <diagonal/>
    </border>
    <border>
      <left style="thick">
        <color rgb="FF2E75B6"/>
      </left>
      <right/>
      <top/>
      <bottom/>
      <diagonal/>
    </border>
    <border>
      <left/>
      <right/>
      <top/>
      <bottom style="thin">
        <color rgb="FF1F3864"/>
      </bottom>
      <diagonal/>
    </border>
    <border>
      <left/>
      <right/>
      <top style="thin">
        <color rgb="FF1F3864"/>
      </top>
      <bottom style="thin">
        <color rgb="FF2E75B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30" fillId="0" borderId="0"/>
  </cellStyleXfs>
  <cellXfs count="391">
    <xf numFmtId="0" fontId="0" fillId="0" borderId="0" pivotButton="0" quotePrefix="0" xfId="0"/>
    <xf numFmtId="0" fontId="26" fillId="7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17" fillId="0" borderId="0" pivotButton="0" quotePrefix="0" xfId="0"/>
    <xf numFmtId="0" fontId="29" fillId="0" borderId="0" pivotButton="0" quotePrefix="0" xfId="0"/>
    <xf numFmtId="0" fontId="11" fillId="0" borderId="0" pivotButton="0" quotePrefix="0" xfId="0"/>
    <xf numFmtId="0" fontId="12" fillId="9" borderId="0" pivotButton="0" quotePrefix="0" xfId="0"/>
    <xf numFmtId="0" fontId="4" fillId="3" borderId="1" pivotButton="0" quotePrefix="0" xfId="0"/>
    <xf numFmtId="164" fontId="5" fillId="3" borderId="1" applyAlignment="1" pivotButton="0" quotePrefix="0" xfId="0">
      <alignment horizontal="right"/>
    </xf>
    <xf numFmtId="0" fontId="13" fillId="0" borderId="0" pivotButton="0" quotePrefix="0" xfId="0"/>
    <xf numFmtId="0" fontId="4" fillId="5" borderId="1" pivotButton="0" quotePrefix="0" xfId="0"/>
    <xf numFmtId="10" fontId="6" fillId="4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0" fontId="5" fillId="5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10" fontId="6" fillId="6" borderId="1" applyAlignment="1" pivotButton="0" quotePrefix="0" xfId="0">
      <alignment horizontal="right"/>
    </xf>
    <xf numFmtId="0" fontId="5" fillId="3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5" fillId="0" borderId="1" pivotButton="0" quotePrefix="0" xfId="0"/>
    <xf numFmtId="0" fontId="7" fillId="8" borderId="1" applyAlignment="1" pivotButton="0" quotePrefix="0" xfId="0">
      <alignment horizontal="right"/>
    </xf>
    <xf numFmtId="0" fontId="4" fillId="0" borderId="1" pivotButton="0" quotePrefix="0" xfId="0"/>
    <xf numFmtId="0" fontId="6" fillId="9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/>
    </xf>
    <xf numFmtId="0" fontId="6" fillId="6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9" fillId="0" borderId="0" pivotButton="0" quotePrefix="0" xfId="0"/>
    <xf numFmtId="0" fontId="5" fillId="5" borderId="1" applyAlignment="1" pivotButton="0" quotePrefix="0" xfId="0">
      <alignment horizontal="right"/>
    </xf>
    <xf numFmtId="0" fontId="6" fillId="12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1" fontId="5" fillId="5" borderId="1" applyAlignment="1" pivotButton="0" quotePrefix="0" xfId="0">
      <alignment horizontal="right"/>
    </xf>
    <xf numFmtId="1" fontId="5" fillId="3" borderId="1" applyAlignment="1" pivotButton="0" quotePrefix="0" xfId="0">
      <alignment horizontal="right"/>
    </xf>
    <xf numFmtId="2" fontId="5" fillId="5" borderId="1" applyAlignment="1" pivotButton="0" quotePrefix="0" xfId="0">
      <alignment horizontal="right"/>
    </xf>
    <xf numFmtId="166" fontId="5" fillId="5" borderId="1" applyAlignment="1" pivotButton="0" quotePrefix="0" xfId="0">
      <alignment horizontal="right"/>
    </xf>
    <xf numFmtId="0" fontId="14" fillId="0" borderId="0" pivotButton="0" quotePrefix="0" xfId="0"/>
    <xf numFmtId="0" fontId="3" fillId="2" borderId="0" pivotButton="0" quotePrefix="0" xfId="0"/>
    <xf numFmtId="168" fontId="5" fillId="0" borderId="1" applyAlignment="1" pivotButton="0" quotePrefix="0" xfId="0">
      <alignment horizontal="right"/>
    </xf>
    <xf numFmtId="167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5" fillId="16" borderId="1" applyAlignment="1" pivotButton="0" quotePrefix="0" xfId="0">
      <alignment horizontal="left"/>
    </xf>
    <xf numFmtId="166" fontId="5" fillId="16" borderId="1" applyAlignment="1" pivotButton="0" quotePrefix="0" xfId="0">
      <alignment horizontal="right"/>
    </xf>
    <xf numFmtId="168" fontId="5" fillId="16" borderId="1" applyAlignment="1" pivotButton="0" quotePrefix="0" xfId="0">
      <alignment horizontal="right"/>
    </xf>
    <xf numFmtId="167" fontId="5" fillId="16" borderId="1" applyAlignment="1" pivotButton="0" quotePrefix="0" xfId="0">
      <alignment horizontal="right"/>
    </xf>
    <xf numFmtId="0" fontId="5" fillId="7" borderId="1" applyAlignment="1" pivotButton="0" quotePrefix="0" xfId="0">
      <alignment horizontal="left"/>
    </xf>
    <xf numFmtId="166" fontId="5" fillId="7" borderId="1" applyAlignment="1" pivotButton="0" quotePrefix="0" xfId="0">
      <alignment horizontal="right"/>
    </xf>
    <xf numFmtId="168" fontId="5" fillId="7" borderId="1" applyAlignment="1" pivotButton="0" quotePrefix="0" xfId="0">
      <alignment horizontal="right"/>
    </xf>
    <xf numFmtId="167" fontId="5" fillId="7" borderId="1" applyAlignment="1" pivotButton="0" quotePrefix="0" xfId="0">
      <alignment horizontal="right"/>
    </xf>
    <xf numFmtId="10" fontId="5" fillId="14" borderId="1" applyAlignment="1" pivotButton="0" quotePrefix="0" xfId="0">
      <alignment horizontal="right"/>
    </xf>
    <xf numFmtId="1" fontId="5" fillId="14" borderId="1" applyAlignment="1" pivotButton="0" quotePrefix="0" xfId="0">
      <alignment horizontal="right"/>
    </xf>
    <xf numFmtId="169" fontId="5" fillId="14" borderId="1" applyAlignment="1" pivotButton="0" quotePrefix="0" xfId="0">
      <alignment horizontal="right"/>
    </xf>
    <xf numFmtId="166" fontId="5" fillId="14" borderId="1" applyAlignment="1" pivotButton="0" quotePrefix="0" xfId="0">
      <alignment horizontal="right"/>
    </xf>
    <xf numFmtId="170" fontId="5" fillId="14" borderId="1" applyAlignment="1" pivotButton="0" quotePrefix="0" xfId="0">
      <alignment horizontal="right"/>
    </xf>
    <xf numFmtId="168" fontId="5" fillId="14" borderId="1" applyAlignment="1" pivotButton="0" quotePrefix="0" xfId="0">
      <alignment horizontal="right"/>
    </xf>
    <xf numFmtId="1" fontId="4" fillId="0" borderId="1" applyAlignment="1" pivotButton="0" quotePrefix="0" xfId="0">
      <alignment horizontal="right"/>
    </xf>
    <xf numFmtId="169" fontId="4" fillId="0" borderId="1" applyAlignment="1" pivotButton="0" quotePrefix="0" xfId="0">
      <alignment horizontal="right"/>
    </xf>
    <xf numFmtId="171" fontId="4" fillId="0" borderId="1" applyAlignment="1" pivotButton="0" quotePrefix="0" xfId="0">
      <alignment horizontal="right"/>
    </xf>
    <xf numFmtId="1" fontId="4" fillId="5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9" fontId="4" fillId="5" borderId="1" applyAlignment="1" pivotButton="0" quotePrefix="0" xfId="0">
      <alignment horizontal="right"/>
    </xf>
    <xf numFmtId="171" fontId="4" fillId="5" borderId="1" applyAlignment="1" pivotButton="0" quotePrefix="0" xfId="0">
      <alignment horizontal="right"/>
    </xf>
    <xf numFmtId="0" fontId="2" fillId="0" borderId="0" pivotButton="0" quotePrefix="0" xfId="0"/>
    <xf numFmtId="169" fontId="5" fillId="16" borderId="1" applyAlignment="1" pivotButton="0" quotePrefix="0" xfId="0">
      <alignment horizontal="right"/>
    </xf>
    <xf numFmtId="0" fontId="13" fillId="0" borderId="1" pivotButton="0" quotePrefix="0" xfId="0"/>
    <xf numFmtId="172" fontId="24" fillId="5" borderId="1" applyAlignment="1" pivotButton="0" quotePrefix="0" xfId="0">
      <alignment horizontal="right"/>
    </xf>
    <xf numFmtId="172" fontId="24" fillId="0" borderId="1" applyAlignment="1" pivotButton="0" quotePrefix="0" xfId="0">
      <alignment horizontal="right"/>
    </xf>
    <xf numFmtId="166" fontId="24" fillId="5" borderId="1" applyAlignment="1" pivotButton="0" quotePrefix="0" xfId="0">
      <alignment horizontal="right"/>
    </xf>
    <xf numFmtId="166" fontId="24" fillId="0" borderId="1" applyAlignment="1" pivotButton="0" quotePrefix="0" xfId="0">
      <alignment horizontal="right"/>
    </xf>
    <xf numFmtId="0" fontId="24" fillId="0" borderId="1" applyAlignment="1" pivotButton="0" quotePrefix="0" xfId="0">
      <alignment horizontal="right"/>
    </xf>
    <xf numFmtId="173" fontId="24" fillId="0" borderId="1" applyAlignment="1" pivotButton="0" quotePrefix="0" xfId="0">
      <alignment horizontal="right"/>
    </xf>
    <xf numFmtId="2" fontId="24" fillId="5" borderId="1" applyAlignment="1" pivotButton="0" quotePrefix="0" xfId="0">
      <alignment horizontal="right"/>
    </xf>
    <xf numFmtId="2" fontId="24" fillId="0" borderId="1" applyAlignment="1" pivotButton="0" quotePrefix="0" xfId="0">
      <alignment horizontal="right"/>
    </xf>
    <xf numFmtId="0" fontId="24" fillId="5" borderId="1" applyAlignment="1" pivotButton="0" quotePrefix="0" xfId="0">
      <alignment horizontal="right"/>
    </xf>
    <xf numFmtId="0" fontId="6" fillId="9" borderId="1" pivotButton="0" quotePrefix="0" xfId="0"/>
    <xf numFmtId="174" fontId="4" fillId="0" borderId="1" pivotButton="0" quotePrefix="0" xfId="0"/>
    <xf numFmtId="1" fontId="4" fillId="3" borderId="1" pivotButton="0" quotePrefix="0" xfId="0"/>
    <xf numFmtId="10" fontId="6" fillId="4" borderId="1" pivotButton="0" quotePrefix="0" xfId="0"/>
    <xf numFmtId="10" fontId="4" fillId="3" borderId="1" pivotButton="0" quotePrefix="0" xfId="0"/>
    <xf numFmtId="1" fontId="4" fillId="5" borderId="1" pivotButton="0" quotePrefix="0" xfId="0"/>
    <xf numFmtId="10" fontId="15" fillId="13" borderId="1" pivotButton="0" quotePrefix="0" xfId="0"/>
    <xf numFmtId="10" fontId="4" fillId="5" borderId="1" pivotButton="0" quotePrefix="0" xfId="0"/>
    <xf numFmtId="0" fontId="6" fillId="2" borderId="1" applyAlignment="1" pivotButton="0" quotePrefix="0" xfId="0">
      <alignment horizontal="center" vertical="center" wrapText="1"/>
    </xf>
    <xf numFmtId="175" fontId="0" fillId="0" borderId="0" pivotButton="0" quotePrefix="0" xfId="0"/>
    <xf numFmtId="168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175" fontId="4" fillId="5" borderId="1" pivotButton="0" quotePrefix="0" xfId="0"/>
    <xf numFmtId="0" fontId="16" fillId="1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7" fillId="5" borderId="1" pivotButton="0" quotePrefix="0" xfId="0"/>
    <xf numFmtId="175" fontId="4" fillId="0" borderId="1" pivotButton="0" quotePrefix="0" xfId="0"/>
    <xf numFmtId="0" fontId="4" fillId="0" borderId="1" applyAlignment="1" pivotButton="0" quotePrefix="0" xfId="0">
      <alignment horizontal="center"/>
    </xf>
    <xf numFmtId="0" fontId="17" fillId="0" borderId="1" pivotButton="0" quotePrefix="0" xfId="0"/>
    <xf numFmtId="0" fontId="18" fillId="15" borderId="1" applyAlignment="1" pivotButton="0" quotePrefix="0" xfId="0">
      <alignment horizontal="center"/>
    </xf>
    <xf numFmtId="0" fontId="15" fillId="13" borderId="1" applyAlignment="1" pivotButton="0" quotePrefix="0" xfId="0">
      <alignment horizontal="center"/>
    </xf>
    <xf numFmtId="0" fontId="5" fillId="16" borderId="1" pivotButton="0" quotePrefix="0" xfId="0"/>
    <xf numFmtId="0" fontId="20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3" fontId="5" fillId="0" borderId="0" applyAlignment="1" pivotButton="0" quotePrefix="0" xfId="0">
      <alignment horizontal="right"/>
    </xf>
    <xf numFmtId="166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2" fontId="5" fillId="0" borderId="0" applyAlignment="1" pivotButton="0" quotePrefix="0" xfId="0">
      <alignment horizontal="right"/>
    </xf>
    <xf numFmtId="164" fontId="0" fillId="0" borderId="0" pivotButton="0" quotePrefix="0" xfId="0"/>
    <xf numFmtId="0" fontId="5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25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left" indent="1"/>
    </xf>
    <xf numFmtId="0" fontId="3" fillId="2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 wrapText="1"/>
    </xf>
    <xf numFmtId="0" fontId="4" fillId="7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6" fillId="8" borderId="1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1" fillId="0" borderId="0" pivotButton="0" quotePrefix="0" xfId="0"/>
    <xf numFmtId="0" fontId="2" fillId="0" borderId="0" applyAlignment="1" pivotButton="0" quotePrefix="0" xfId="0">
      <alignment vertical="center"/>
    </xf>
    <xf numFmtId="0" fontId="8" fillId="7" borderId="1" applyAlignment="1" pivotButton="0" quotePrefix="0" xfId="0">
      <alignment vertical="top" wrapText="1"/>
    </xf>
    <xf numFmtId="166" fontId="21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6" fillId="6" borderId="1" applyAlignment="1" pivotButton="0" quotePrefix="0" xfId="0">
      <alignment horizontal="right"/>
    </xf>
    <xf numFmtId="0" fontId="0" fillId="0" borderId="2" pivotButton="0" quotePrefix="0" xfId="0"/>
    <xf numFmtId="0" fontId="3" fillId="2" borderId="0" pivotButton="0" quotePrefix="0" xfId="0"/>
    <xf numFmtId="0" fontId="22" fillId="7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center"/>
    </xf>
    <xf numFmtId="2" fontId="0" fillId="0" borderId="0" pivotButton="0" quotePrefix="0" xfId="0"/>
    <xf numFmtId="166" fontId="0" fillId="0" borderId="0" pivotButton="0" quotePrefix="0" xfId="0"/>
    <xf numFmtId="0" fontId="32" fillId="0" borderId="0" pivotButton="0" quotePrefix="0" xfId="0"/>
    <xf numFmtId="0" fontId="33" fillId="17" borderId="0" applyAlignment="1" pivotButton="0" quotePrefix="0" xfId="0">
      <alignment vertical="center"/>
    </xf>
    <xf numFmtId="0" fontId="34" fillId="17" borderId="0" pivotButton="0" quotePrefix="0" xfId="0"/>
    <xf numFmtId="0" fontId="35" fillId="17" borderId="0" pivotButton="0" quotePrefix="0" xfId="1"/>
    <xf numFmtId="0" fontId="38" fillId="18" borderId="3" pivotButton="0" quotePrefix="0" xfId="0"/>
    <xf numFmtId="0" fontId="36" fillId="0" borderId="0" pivotButton="0" quotePrefix="0" xfId="0"/>
    <xf numFmtId="0" fontId="37" fillId="0" borderId="0" pivotButton="0" quotePrefix="0" xfId="0"/>
    <xf numFmtId="0" fontId="37" fillId="0" borderId="4" applyAlignment="1" pivotButton="0" quotePrefix="0" xfId="0">
      <alignment horizontal="right"/>
    </xf>
    <xf numFmtId="0" fontId="37" fillId="0" borderId="4" applyAlignment="1" pivotButton="0" quotePrefix="0" xfId="0">
      <alignment horizontal="left"/>
    </xf>
    <xf numFmtId="176" fontId="39" fillId="0" borderId="0" pivotButton="0" quotePrefix="0" xfId="0"/>
    <xf numFmtId="176" fontId="32" fillId="0" borderId="0" pivotButton="0" quotePrefix="0" xfId="0"/>
    <xf numFmtId="177" fontId="32" fillId="0" borderId="0" pivotButton="0" quotePrefix="0" xfId="0"/>
    <xf numFmtId="0" fontId="40" fillId="0" borderId="0" pivotButton="0" quotePrefix="0" xfId="0"/>
    <xf numFmtId="177" fontId="40" fillId="0" borderId="0" pivotButton="0" quotePrefix="0" xfId="0"/>
    <xf numFmtId="176" fontId="41" fillId="0" borderId="0" pivotButton="0" quotePrefix="0" xfId="0"/>
    <xf numFmtId="177" fontId="36" fillId="0" borderId="0" pivotButton="0" quotePrefix="0" xfId="0"/>
    <xf numFmtId="172" fontId="40" fillId="0" borderId="0" pivotButton="0" quotePrefix="0" xfId="0"/>
    <xf numFmtId="0" fontId="42" fillId="0" borderId="0" pivotButton="0" quotePrefix="0" xfId="0"/>
    <xf numFmtId="15" fontId="42" fillId="0" borderId="0" applyAlignment="1" pivotButton="0" quotePrefix="0" xfId="0">
      <alignment horizontal="right"/>
    </xf>
    <xf numFmtId="176" fontId="43" fillId="0" borderId="0" pivotButton="0" quotePrefix="0" xfId="0"/>
    <xf numFmtId="177" fontId="43" fillId="0" borderId="0" pivotButton="0" quotePrefix="0" xfId="0"/>
    <xf numFmtId="178" fontId="32" fillId="0" borderId="0" pivotButton="0" quotePrefix="0" xfId="0"/>
    <xf numFmtId="176" fontId="44" fillId="0" borderId="0" pivotButton="0" quotePrefix="0" xfId="0"/>
    <xf numFmtId="176" fontId="36" fillId="0" borderId="0" pivotButton="0" quotePrefix="0" xfId="0"/>
    <xf numFmtId="178" fontId="44" fillId="0" borderId="0" pivotButton="0" quotePrefix="0" xfId="0"/>
    <xf numFmtId="178" fontId="36" fillId="0" borderId="0" pivotButton="0" quotePrefix="0" xfId="0"/>
    <xf numFmtId="176" fontId="36" fillId="19" borderId="0" pivotButton="0" quotePrefix="0" xfId="0"/>
    <xf numFmtId="177" fontId="32" fillId="19" borderId="0" pivotButton="0" quotePrefix="0" xfId="0"/>
    <xf numFmtId="178" fontId="36" fillId="19" borderId="0" pivotButton="0" quotePrefix="0" xfId="0"/>
    <xf numFmtId="0" fontId="45" fillId="0" borderId="0" pivotButton="0" quotePrefix="0" xfId="0"/>
    <xf numFmtId="0" fontId="46" fillId="0" borderId="0" pivotButton="0" quotePrefix="0" xfId="0"/>
    <xf numFmtId="176" fontId="32" fillId="0" borderId="0" applyAlignment="1" pivotButton="0" quotePrefix="0" xfId="0">
      <alignment horizontal="right"/>
    </xf>
    <xf numFmtId="176" fontId="43" fillId="0" borderId="0" applyAlignment="1" pivotButton="0" quotePrefix="0" xfId="0">
      <alignment horizontal="right"/>
    </xf>
    <xf numFmtId="179" fontId="43" fillId="0" borderId="0" pivotButton="0" quotePrefix="0" xfId="0"/>
    <xf numFmtId="176" fontId="36" fillId="0" borderId="0" applyAlignment="1" pivotButton="0" quotePrefix="0" xfId="0">
      <alignment horizontal="right"/>
    </xf>
    <xf numFmtId="0" fontId="36" fillId="0" borderId="5" pivotButton="0" quotePrefix="0" xfId="0"/>
    <xf numFmtId="176" fontId="36" fillId="0" borderId="5" pivotButton="0" quotePrefix="0" xfId="0"/>
    <xf numFmtId="176" fontId="36" fillId="0" borderId="5" applyAlignment="1" pivotButton="0" quotePrefix="0" xfId="0">
      <alignment horizontal="right"/>
    </xf>
    <xf numFmtId="0" fontId="49" fillId="0" borderId="0" pivotButton="0" quotePrefix="0" xfId="0"/>
    <xf numFmtId="0" fontId="37" fillId="0" borderId="4" applyAlignment="1" pivotButton="0" quotePrefix="0" xfId="0">
      <alignment horizontal="right" wrapText="1"/>
    </xf>
    <xf numFmtId="177" fontId="43" fillId="20" borderId="0" pivotButton="0" quotePrefix="0" xfId="0"/>
    <xf numFmtId="0" fontId="43" fillId="20" borderId="0" applyAlignment="1" pivotButton="0" quotePrefix="0" xfId="0">
      <alignment horizontal="right"/>
    </xf>
    <xf numFmtId="0" fontId="32" fillId="0" borderId="0" applyAlignment="1" pivotButton="0" quotePrefix="0" xfId="0">
      <alignment horizontal="right"/>
    </xf>
    <xf numFmtId="174" fontId="32" fillId="0" borderId="0" pivotButton="0" quotePrefix="0" xfId="0"/>
    <xf numFmtId="171" fontId="32" fillId="0" borderId="0" pivotButton="0" quotePrefix="0" xfId="0"/>
    <xf numFmtId="0" fontId="50" fillId="21" borderId="0" pivotButton="0" quotePrefix="0" xfId="0"/>
    <xf numFmtId="0" fontId="51" fillId="0" borderId="0" pivotButton="0" quotePrefix="0" xfId="0"/>
    <xf numFmtId="166" fontId="52" fillId="0" borderId="0" pivotButton="0" quotePrefix="0" xfId="0"/>
    <xf numFmtId="178" fontId="52" fillId="0" borderId="0" pivotButton="0" quotePrefix="0" xfId="0"/>
    <xf numFmtId="0" fontId="36" fillId="21" borderId="0" pivotButton="0" quotePrefix="0" xfId="0"/>
    <xf numFmtId="0" fontId="32" fillId="0" borderId="0" pivotButton="0" quotePrefix="0" xfId="0"/>
    <xf numFmtId="0" fontId="46" fillId="0" borderId="0" applyAlignment="1" pivotButton="0" quotePrefix="0" xfId="0">
      <alignment vertical="top" wrapText="1"/>
    </xf>
    <xf numFmtId="0" fontId="53" fillId="0" borderId="0" pivotButton="0" quotePrefix="0" xfId="0"/>
    <xf numFmtId="0" fontId="54" fillId="18" borderId="3" pivotButton="0" quotePrefix="0" xfId="0"/>
    <xf numFmtId="0" fontId="54" fillId="0" borderId="4" applyAlignment="1" pivotButton="0" quotePrefix="0" xfId="0">
      <alignment horizontal="right"/>
    </xf>
    <xf numFmtId="177" fontId="53" fillId="0" borderId="0" pivotButton="0" quotePrefix="0" xfId="0"/>
    <xf numFmtId="178" fontId="39" fillId="0" borderId="0" applyAlignment="1" pivotButton="0" quotePrefix="0" xfId="0">
      <alignment horizontal="right"/>
    </xf>
    <xf numFmtId="179" fontId="39" fillId="0" borderId="0" applyAlignment="1" pivotButton="0" quotePrefix="0" xfId="0">
      <alignment horizontal="right"/>
    </xf>
    <xf numFmtId="177" fontId="43" fillId="20" borderId="0" applyAlignment="1" pivotButton="0" quotePrefix="0" xfId="0">
      <alignment horizontal="right"/>
    </xf>
    <xf numFmtId="177" fontId="39" fillId="20" borderId="0" applyAlignment="1" pivotButton="0" quotePrefix="0" xfId="0">
      <alignment horizontal="right"/>
    </xf>
    <xf numFmtId="10" fontId="43" fillId="20" borderId="0" applyAlignment="1" pivotButton="0" quotePrefix="0" xfId="0">
      <alignment horizontal="right"/>
    </xf>
    <xf numFmtId="0" fontId="38" fillId="18" borderId="3" applyAlignment="1" pivotButton="0" quotePrefix="0" xfId="0">
      <alignment horizontal="right"/>
    </xf>
    <xf numFmtId="1" fontId="32" fillId="0" borderId="0" applyAlignment="1" pivotButton="0" quotePrefix="0" xfId="0">
      <alignment horizontal="right"/>
    </xf>
    <xf numFmtId="177" fontId="32" fillId="0" borderId="0" applyAlignment="1" pivotButton="0" quotePrefix="0" xfId="0">
      <alignment horizontal="right"/>
    </xf>
    <xf numFmtId="178" fontId="50" fillId="21" borderId="0" applyAlignment="1" pivotButton="0" quotePrefix="0" xfId="0">
      <alignment horizontal="right"/>
    </xf>
    <xf numFmtId="178" fontId="32" fillId="0" borderId="0" applyAlignment="1" pivotButton="0" quotePrefix="0" xfId="0">
      <alignment horizontal="right"/>
    </xf>
    <xf numFmtId="177" fontId="36" fillId="0" borderId="0" applyAlignment="1" pivotButton="0" quotePrefix="0" xfId="0">
      <alignment horizontal="right"/>
    </xf>
    <xf numFmtId="180" fontId="32" fillId="0" borderId="0" applyAlignment="1" pivotButton="0" quotePrefix="0" xfId="0">
      <alignment horizontal="right"/>
    </xf>
    <xf numFmtId="177" fontId="36" fillId="21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77" fontId="39" fillId="0" borderId="0" pivotButton="0" quotePrefix="0" xfId="0"/>
    <xf numFmtId="178" fontId="36" fillId="21" borderId="0" pivotButton="0" quotePrefix="0" xfId="0"/>
    <xf numFmtId="0" fontId="49" fillId="0" borderId="0" applyAlignment="1" pivotButton="0" quotePrefix="0" xfId="0">
      <alignment vertical="top" wrapText="1"/>
    </xf>
    <xf numFmtId="0" fontId="55" fillId="0" borderId="0" applyAlignment="1" pivotButton="0" quotePrefix="0" xfId="0">
      <alignment vertical="top"/>
    </xf>
    <xf numFmtId="177" fontId="36" fillId="18" borderId="0" pivotButton="0" quotePrefix="0" xfId="0"/>
    <xf numFmtId="178" fontId="32" fillId="0" borderId="6" applyAlignment="1" pivotButton="0" quotePrefix="0" xfId="0">
      <alignment horizontal="center"/>
    </xf>
    <xf numFmtId="178" fontId="32" fillId="0" borderId="8" applyAlignment="1" pivotButton="0" quotePrefix="0" xfId="0">
      <alignment horizontal="center"/>
    </xf>
    <xf numFmtId="178" fontId="32" fillId="0" borderId="7" applyAlignment="1" pivotButton="0" quotePrefix="0" xfId="0">
      <alignment horizontal="center"/>
    </xf>
    <xf numFmtId="178" fontId="32" fillId="0" borderId="9" applyAlignment="1" pivotButton="0" quotePrefix="0" xfId="0">
      <alignment horizontal="center"/>
    </xf>
    <xf numFmtId="178" fontId="32" fillId="0" borderId="10" applyAlignment="1" pivotButton="0" quotePrefix="0" xfId="0">
      <alignment horizontal="center"/>
    </xf>
    <xf numFmtId="178" fontId="36" fillId="22" borderId="11" applyAlignment="1" pivotButton="0" quotePrefix="0" xfId="0">
      <alignment horizontal="center"/>
    </xf>
    <xf numFmtId="181" fontId="32" fillId="0" borderId="0" applyAlignment="1" pivotButton="0" quotePrefix="0" xfId="0">
      <alignment horizontal="right"/>
    </xf>
    <xf numFmtId="181" fontId="36" fillId="0" borderId="0" applyAlignment="1" pivotButton="0" quotePrefix="0" xfId="0">
      <alignment horizontal="right"/>
    </xf>
    <xf numFmtId="177" fontId="39" fillId="0" borderId="0" applyAlignment="1" pivotButton="0" quotePrefix="0" xfId="0">
      <alignment horizontal="right"/>
    </xf>
    <xf numFmtId="177" fontId="43" fillId="0" borderId="0" applyAlignment="1" pivotButton="0" quotePrefix="0" xfId="0">
      <alignment horizontal="right"/>
    </xf>
    <xf numFmtId="172" fontId="32" fillId="0" borderId="0" applyAlignment="1" pivotButton="0" quotePrefix="0" xfId="0">
      <alignment horizontal="right"/>
    </xf>
    <xf numFmtId="0" fontId="32" fillId="0" borderId="12" pivotButton="0" quotePrefix="0" xfId="0"/>
    <xf numFmtId="0" fontId="49" fillId="0" borderId="12" applyAlignment="1" pivotButton="0" quotePrefix="0" xfId="0">
      <alignment vertical="top" wrapText="1"/>
    </xf>
    <xf numFmtId="176" fontId="39" fillId="0" borderId="0" applyAlignment="1" pivotButton="0" quotePrefix="0" xfId="0">
      <alignment horizontal="right"/>
    </xf>
    <xf numFmtId="178" fontId="43" fillId="0" borderId="0" applyAlignment="1" pivotButton="0" quotePrefix="0" xfId="0">
      <alignment horizontal="right"/>
    </xf>
    <xf numFmtId="10" fontId="32" fillId="0" borderId="0" applyAlignment="1" pivotButton="0" quotePrefix="0" xfId="0">
      <alignment horizontal="right"/>
    </xf>
    <xf numFmtId="1" fontId="32" fillId="0" borderId="0" applyAlignment="1" pivotButton="0" quotePrefix="0" xfId="0">
      <alignment horizontal="left"/>
    </xf>
    <xf numFmtId="182" fontId="32" fillId="0" borderId="0" pivotButton="0" quotePrefix="0" xfId="0"/>
    <xf numFmtId="0" fontId="36" fillId="0" borderId="0" applyAlignment="1" pivotButton="0" quotePrefix="0" xfId="0">
      <alignment horizontal="right"/>
    </xf>
    <xf numFmtId="183" fontId="32" fillId="0" borderId="0" applyAlignment="1" pivotButton="0" quotePrefix="0" xfId="0">
      <alignment horizontal="right"/>
    </xf>
    <xf numFmtId="2" fontId="32" fillId="0" borderId="0" applyAlignment="1" pivotButton="0" quotePrefix="0" xfId="0">
      <alignment horizontal="right"/>
    </xf>
    <xf numFmtId="3" fontId="32" fillId="0" borderId="0" applyAlignment="1" pivotButton="0" quotePrefix="0" xfId="0">
      <alignment horizontal="right"/>
    </xf>
    <xf numFmtId="0" fontId="57" fillId="0" borderId="0" applyAlignment="1" pivotButton="0" quotePrefix="0" xfId="0">
      <alignment horizontal="right"/>
    </xf>
    <xf numFmtId="174" fontId="32" fillId="0" borderId="0" applyAlignment="1" pivotButton="0" quotePrefix="0" xfId="0">
      <alignment horizontal="right"/>
    </xf>
    <xf numFmtId="3" fontId="39" fillId="0" borderId="0" applyAlignment="1" pivotButton="0" quotePrefix="0" xfId="0">
      <alignment horizontal="right"/>
    </xf>
    <xf numFmtId="0" fontId="58" fillId="17" borderId="0" applyAlignment="1" pivotButton="0" quotePrefix="0" xfId="0">
      <alignment vertical="center"/>
    </xf>
    <xf numFmtId="0" fontId="59" fillId="17" borderId="0" pivotButton="0" quotePrefix="0" xfId="0"/>
    <xf numFmtId="0" fontId="60" fillId="18" borderId="3" pivotButton="0" quotePrefix="0" xfId="0"/>
    <xf numFmtId="0" fontId="31" fillId="0" borderId="0" pivotButton="0" quotePrefix="0" xfId="0"/>
    <xf numFmtId="0" fontId="60" fillId="0" borderId="4" applyAlignment="1" pivotButton="0" quotePrefix="0" xfId="0">
      <alignment horizontal="right"/>
    </xf>
    <xf numFmtId="0" fontId="60" fillId="0" borderId="4" applyAlignment="1" pivotButton="0" quotePrefix="0" xfId="0">
      <alignment horizontal="left"/>
    </xf>
    <xf numFmtId="0" fontId="0" fillId="0" borderId="12" pivotButton="0" quotePrefix="0" xfId="0"/>
    <xf numFmtId="0" fontId="0" fillId="0" borderId="0" pivotButton="0" quotePrefix="0" xfId="0"/>
    <xf numFmtId="0" fontId="60" fillId="18" borderId="0" pivotButton="0" quotePrefix="0" xfId="0"/>
    <xf numFmtId="0" fontId="62" fillId="23" borderId="13" applyAlignment="1" pivotButton="0" quotePrefix="0" xfId="0">
      <alignment vertical="top" wrapText="1"/>
    </xf>
    <xf numFmtId="0" fontId="0" fillId="0" borderId="14" pivotButton="0" quotePrefix="0" xfId="0"/>
    <xf numFmtId="0" fontId="63" fillId="0" borderId="0" pivotButton="0" quotePrefix="0" xfId="0"/>
    <xf numFmtId="0" fontId="31" fillId="0" borderId="12" pivotButton="0" quotePrefix="0" xfId="0"/>
    <xf numFmtId="0" fontId="64" fillId="0" borderId="12" pivotButton="0" quotePrefix="0" xfId="0"/>
    <xf numFmtId="0" fontId="65" fillId="0" borderId="12" pivotButton="0" quotePrefix="0" xfId="0"/>
    <xf numFmtId="0" fontId="66" fillId="0" borderId="0" applyAlignment="1" pivotButton="0" quotePrefix="0" xfId="0">
      <alignment vertical="top" wrapText="1"/>
    </xf>
    <xf numFmtId="0" fontId="31" fillId="0" borderId="0" pivotButton="0" quotePrefix="0" xfId="0"/>
    <xf numFmtId="0" fontId="60" fillId="0" borderId="0" pivotButton="0" quotePrefix="0" xfId="0"/>
    <xf numFmtId="0" fontId="67" fillId="0" borderId="0" pivotButton="0" quotePrefix="0" xfId="1"/>
    <xf numFmtId="0" fontId="68" fillId="0" borderId="0" pivotButton="0" quotePrefix="0" xfId="0"/>
    <xf numFmtId="178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177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60" fillId="18" borderId="3" applyAlignment="1" pivotButton="0" quotePrefix="0" xfId="0">
      <alignment horizontal="right"/>
    </xf>
    <xf numFmtId="181" fontId="0" fillId="0" borderId="0" applyAlignment="1" pivotButton="0" quotePrefix="0" xfId="0">
      <alignment horizontal="right"/>
    </xf>
    <xf numFmtId="0" fontId="61" fillId="0" borderId="0" applyAlignment="1" pivotButton="0" quotePrefix="0" xfId="0">
      <alignment horizontal="right"/>
    </xf>
    <xf numFmtId="0" fontId="31" fillId="0" borderId="0" applyAlignment="1" pivotButton="0" quotePrefix="0" xfId="0">
      <alignment horizontal="right"/>
    </xf>
    <xf numFmtId="178" fontId="31" fillId="0" borderId="0" applyAlignment="1" pivotButton="0" quotePrefix="0" xfId="0">
      <alignment horizontal="right"/>
    </xf>
    <xf numFmtId="177" fontId="31" fillId="0" borderId="0" applyAlignment="1" pivotButton="0" quotePrefix="0" xfId="0">
      <alignment horizontal="right"/>
    </xf>
    <xf numFmtId="178" fontId="69" fillId="0" borderId="0" applyAlignment="1" pivotButton="0" quotePrefix="0" xfId="0">
      <alignment horizontal="right"/>
    </xf>
    <xf numFmtId="0" fontId="31" fillId="24" borderId="0" pivotButton="0" quotePrefix="0" xfId="0"/>
    <xf numFmtId="178" fontId="31" fillId="24" borderId="0" applyAlignment="1" pivotButton="0" quotePrefix="0" xfId="0">
      <alignment horizontal="right"/>
    </xf>
    <xf numFmtId="0" fontId="0" fillId="24" borderId="0" applyAlignment="1" pivotButton="0" quotePrefix="0" xfId="0">
      <alignment horizontal="right"/>
    </xf>
    <xf numFmtId="177" fontId="31" fillId="24" borderId="0" applyAlignment="1" pivotButton="0" quotePrefix="0" xfId="0">
      <alignment horizontal="right"/>
    </xf>
    <xf numFmtId="0" fontId="70" fillId="0" borderId="0" pivotButton="0" quotePrefix="0" xfId="0"/>
    <xf numFmtId="0" fontId="56" fillId="18" borderId="3" applyAlignment="1" pivotButton="0" quotePrefix="0" xfId="0">
      <alignment vertical="top" wrapText="1"/>
    </xf>
    <xf numFmtId="0" fontId="56" fillId="0" borderId="4" applyAlignment="1" pivotButton="0" quotePrefix="0" xfId="0">
      <alignment horizontal="left" vertical="top" wrapText="1"/>
    </xf>
    <xf numFmtId="0" fontId="56" fillId="0" borderId="4" applyAlignment="1" pivotButton="0" quotePrefix="0" xfId="0">
      <alignment horizontal="right" vertical="top" wrapText="1"/>
    </xf>
    <xf numFmtId="183" fontId="49" fillId="0" borderId="0" applyAlignment="1" pivotButton="0" quotePrefix="0" xfId="0">
      <alignment vertical="top" wrapText="1"/>
    </xf>
    <xf numFmtId="0" fontId="37" fillId="0" borderId="15" applyAlignment="1" pivotButton="0" quotePrefix="0" xfId="0">
      <alignment horizontal="right"/>
    </xf>
    <xf numFmtId="0" fontId="37" fillId="0" borderId="15" applyAlignment="1" pivotButton="0" quotePrefix="0" xfId="0">
      <alignment horizontal="left"/>
    </xf>
    <xf numFmtId="0" fontId="56" fillId="18" borderId="16" applyAlignment="1" pivotButton="0" quotePrefix="0" xfId="0">
      <alignment vertical="top" wrapText="1"/>
    </xf>
    <xf numFmtId="0" fontId="55" fillId="0" borderId="0" applyAlignment="1" pivotButton="0" quotePrefix="0" xfId="0">
      <alignment vertical="top" wrapText="1"/>
    </xf>
    <xf numFmtId="0" fontId="71" fillId="0" borderId="0" applyAlignment="1" pivotButton="0" quotePrefix="0" xfId="1">
      <alignment vertical="top" wrapText="1"/>
    </xf>
    <xf numFmtId="184" fontId="49" fillId="0" borderId="0" applyAlignment="1" pivotButton="0" quotePrefix="0" xfId="0">
      <alignment vertical="top" wrapText="1"/>
    </xf>
    <xf numFmtId="10" fontId="49" fillId="0" borderId="0" applyAlignment="1" pivotButton="0" quotePrefix="0" xfId="0">
      <alignment vertical="top" wrapText="1"/>
    </xf>
    <xf numFmtId="49" fontId="72" fillId="0" borderId="0" pivotButton="0" quotePrefix="0" xfId="0"/>
    <xf numFmtId="0" fontId="73" fillId="18" borderId="3" applyAlignment="1" pivotButton="0" quotePrefix="0" xfId="0">
      <alignment vertical="top"/>
    </xf>
    <xf numFmtId="0" fontId="66" fillId="0" borderId="0" applyAlignment="1" pivotButton="0" quotePrefix="0" xfId="0">
      <alignment vertical="top"/>
    </xf>
    <xf numFmtId="0" fontId="66" fillId="0" borderId="12" applyAlignment="1" pivotButton="0" quotePrefix="0" xfId="0">
      <alignment vertical="top" wrapText="1"/>
    </xf>
    <xf numFmtId="0" fontId="73" fillId="0" borderId="4" applyAlignment="1" pivotButton="0" quotePrefix="0" xfId="0">
      <alignment horizontal="left" vertical="top"/>
    </xf>
    <xf numFmtId="0" fontId="73" fillId="0" borderId="4" applyAlignment="1" pivotButton="0" quotePrefix="0" xfId="0">
      <alignment horizontal="right" vertical="top"/>
    </xf>
    <xf numFmtId="0" fontId="66" fillId="0" borderId="5" applyAlignment="1" pivotButton="0" quotePrefix="0" xfId="0">
      <alignment vertical="top"/>
    </xf>
    <xf numFmtId="0" fontId="66" fillId="0" borderId="0" applyAlignment="1" pivotButton="0" quotePrefix="0" xfId="0">
      <alignment vertical="top"/>
    </xf>
    <xf numFmtId="0" fontId="66" fillId="0" borderId="0" applyAlignment="1" pivotButton="0" quotePrefix="0" xfId="0">
      <alignment vertical="top" wrapText="1"/>
    </xf>
    <xf numFmtId="49" fontId="66" fillId="0" borderId="0" applyAlignment="1" pivotButton="0" quotePrefix="0" xfId="0">
      <alignment vertical="top"/>
    </xf>
    <xf numFmtId="0" fontId="73" fillId="18" borderId="3" applyAlignment="1" pivotButton="0" quotePrefix="0" xfId="0">
      <alignment horizontal="left" vertical="top"/>
    </xf>
    <xf numFmtId="49" fontId="66" fillId="0" borderId="0" applyAlignment="1" pivotButton="0" quotePrefix="0" xfId="0">
      <alignment horizontal="left" vertical="top" wrapText="1"/>
    </xf>
    <xf numFmtId="178" fontId="69" fillId="0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178" fontId="31" fillId="0" borderId="0" applyAlignment="1" pivotButton="0" quotePrefix="0" xfId="0">
      <alignment horizontal="right"/>
    </xf>
    <xf numFmtId="177" fontId="0" fillId="0" borderId="0" applyAlignment="1" pivotButton="0" quotePrefix="0" xfId="0">
      <alignment horizontal="right"/>
    </xf>
    <xf numFmtId="178" fontId="0" fillId="0" borderId="0" applyAlignment="1" pivotButton="0" quotePrefix="0" xfId="0">
      <alignment horizontal="right"/>
    </xf>
    <xf numFmtId="178" fontId="31" fillId="24" borderId="0" applyAlignment="1" pivotButton="0" quotePrefix="0" xfId="0">
      <alignment horizontal="right"/>
    </xf>
    <xf numFmtId="177" fontId="31" fillId="24" borderId="0" applyAlignment="1" pivotButton="0" quotePrefix="0" xfId="0">
      <alignment horizontal="right"/>
    </xf>
    <xf numFmtId="177" fontId="31" fillId="0" borderId="0" applyAlignment="1" pivotButton="0" quotePrefix="0" xfId="0">
      <alignment horizontal="right"/>
    </xf>
    <xf numFmtId="181" fontId="0" fillId="0" borderId="0" applyAlignment="1" pivotButton="0" quotePrefix="0" xfId="0">
      <alignment horizontal="right"/>
    </xf>
    <xf numFmtId="176" fontId="41" fillId="0" borderId="0" pivotButton="0" quotePrefix="0" xfId="0"/>
    <xf numFmtId="177" fontId="36" fillId="0" borderId="0" pivotButton="0" quotePrefix="0" xfId="0"/>
    <xf numFmtId="177" fontId="40" fillId="0" borderId="0" pivotButton="0" quotePrefix="0" xfId="0"/>
    <xf numFmtId="172" fontId="40" fillId="0" borderId="0" pivotButton="0" quotePrefix="0" xfId="0"/>
    <xf numFmtId="176" fontId="44" fillId="0" borderId="0" pivotButton="0" quotePrefix="0" xfId="0"/>
    <xf numFmtId="176" fontId="36" fillId="19" borderId="0" pivotButton="0" quotePrefix="0" xfId="0"/>
    <xf numFmtId="177" fontId="43" fillId="0" borderId="0" pivotButton="0" quotePrefix="0" xfId="0"/>
    <xf numFmtId="177" fontId="32" fillId="19" borderId="0" pivotButton="0" quotePrefix="0" xfId="0"/>
    <xf numFmtId="178" fontId="44" fillId="0" borderId="0" pivotButton="0" quotePrefix="0" xfId="0"/>
    <xf numFmtId="178" fontId="36" fillId="19" borderId="0" pivotButton="0" quotePrefix="0" xfId="0"/>
    <xf numFmtId="176" fontId="43" fillId="0" borderId="0" pivotButton="0" quotePrefix="0" xfId="0"/>
    <xf numFmtId="176" fontId="32" fillId="0" borderId="0" applyAlignment="1" pivotButton="0" quotePrefix="0" xfId="0">
      <alignment horizontal="right"/>
    </xf>
    <xf numFmtId="176" fontId="36" fillId="0" borderId="0" pivotButton="0" quotePrefix="0" xfId="0"/>
    <xf numFmtId="176" fontId="36" fillId="0" borderId="0" applyAlignment="1" pivotButton="0" quotePrefix="0" xfId="0">
      <alignment horizontal="right"/>
    </xf>
    <xf numFmtId="176" fontId="43" fillId="0" borderId="0" applyAlignment="1" pivotButton="0" quotePrefix="0" xfId="0">
      <alignment horizontal="right"/>
    </xf>
    <xf numFmtId="176" fontId="36" fillId="0" borderId="5" pivotButton="0" quotePrefix="0" xfId="0"/>
    <xf numFmtId="176" fontId="36" fillId="0" borderId="5" applyAlignment="1" pivotButton="0" quotePrefix="0" xfId="0">
      <alignment horizontal="right"/>
    </xf>
    <xf numFmtId="176" fontId="32" fillId="0" borderId="0" pivotButton="0" quotePrefix="0" xfId="0"/>
    <xf numFmtId="176" fontId="39" fillId="0" borderId="0" pivotButton="0" quotePrefix="0" xfId="0"/>
    <xf numFmtId="179" fontId="43" fillId="0" borderId="0" pivotButton="0" quotePrefix="0" xfId="0"/>
    <xf numFmtId="178" fontId="39" fillId="0" borderId="0" applyAlignment="1" pivotButton="0" quotePrefix="0" xfId="0">
      <alignment horizontal="right"/>
    </xf>
    <xf numFmtId="179" fontId="39" fillId="0" borderId="0" applyAlignment="1" pivotButton="0" quotePrefix="0" xfId="0">
      <alignment horizontal="right"/>
    </xf>
    <xf numFmtId="177" fontId="43" fillId="20" borderId="0" applyAlignment="1" pivotButton="0" quotePrefix="0" xfId="0">
      <alignment horizontal="right"/>
    </xf>
    <xf numFmtId="177" fontId="39" fillId="20" borderId="0" applyAlignment="1" pivotButton="0" quotePrefix="0" xfId="0">
      <alignment horizontal="right"/>
    </xf>
    <xf numFmtId="177" fontId="32" fillId="0" borderId="0" applyAlignment="1" pivotButton="0" quotePrefix="0" xfId="0">
      <alignment horizontal="right"/>
    </xf>
    <xf numFmtId="177" fontId="53" fillId="0" borderId="0" pivotButton="0" quotePrefix="0" xfId="0"/>
    <xf numFmtId="174" fontId="32" fillId="0" borderId="0" pivotButton="0" quotePrefix="0" xfId="0"/>
    <xf numFmtId="171" fontId="32" fillId="0" borderId="0" pivotButton="0" quotePrefix="0" xfId="0"/>
    <xf numFmtId="178" fontId="52" fillId="0" borderId="0" pivotButton="0" quotePrefix="0" xfId="0"/>
    <xf numFmtId="178" fontId="50" fillId="21" borderId="0" applyAlignment="1" pivotButton="0" quotePrefix="0" xfId="0">
      <alignment horizontal="right"/>
    </xf>
    <xf numFmtId="178" fontId="32" fillId="0" borderId="0" applyAlignment="1" pivotButton="0" quotePrefix="0" xfId="0">
      <alignment horizontal="right"/>
    </xf>
    <xf numFmtId="177" fontId="36" fillId="0" borderId="0" applyAlignment="1" pivotButton="0" quotePrefix="0" xfId="0">
      <alignment horizontal="right"/>
    </xf>
    <xf numFmtId="180" fontId="32" fillId="0" borderId="0" applyAlignment="1" pivotButton="0" quotePrefix="0" xfId="0">
      <alignment horizontal="right"/>
    </xf>
    <xf numFmtId="177" fontId="36" fillId="21" borderId="0" applyAlignment="1" pivotButton="0" quotePrefix="0" xfId="0">
      <alignment horizontal="right"/>
    </xf>
    <xf numFmtId="177" fontId="43" fillId="20" borderId="0" pivotButton="0" quotePrefix="0" xfId="0"/>
    <xf numFmtId="177" fontId="39" fillId="0" borderId="0" pivotButton="0" quotePrefix="0" xfId="0"/>
    <xf numFmtId="178" fontId="36" fillId="0" borderId="0" pivotButton="0" quotePrefix="0" xfId="0"/>
    <xf numFmtId="177" fontId="32" fillId="0" borderId="0" pivotButton="0" quotePrefix="0" xfId="0"/>
    <xf numFmtId="178" fontId="36" fillId="21" borderId="0" pivotButton="0" quotePrefix="0" xfId="0"/>
    <xf numFmtId="177" fontId="36" fillId="18" borderId="0" pivotButton="0" quotePrefix="0" xfId="0"/>
    <xf numFmtId="178" fontId="32" fillId="0" borderId="7" applyAlignment="1" pivotButton="0" quotePrefix="0" xfId="0">
      <alignment horizontal="center"/>
    </xf>
    <xf numFmtId="178" fontId="32" fillId="0" borderId="9" applyAlignment="1" pivotButton="0" quotePrefix="0" xfId="0">
      <alignment horizontal="center"/>
    </xf>
    <xf numFmtId="178" fontId="32" fillId="0" borderId="6" applyAlignment="1" pivotButton="0" quotePrefix="0" xfId="0">
      <alignment horizontal="center"/>
    </xf>
    <xf numFmtId="178" fontId="36" fillId="22" borderId="11" applyAlignment="1" pivotButton="0" quotePrefix="0" xfId="0">
      <alignment horizontal="center"/>
    </xf>
    <xf numFmtId="178" fontId="32" fillId="0" borderId="8" applyAlignment="1" pivotButton="0" quotePrefix="0" xfId="0">
      <alignment horizontal="center"/>
    </xf>
    <xf numFmtId="178" fontId="32" fillId="0" borderId="10" applyAlignment="1" pivotButton="0" quotePrefix="0" xfId="0">
      <alignment horizontal="center"/>
    </xf>
    <xf numFmtId="178" fontId="32" fillId="0" borderId="0" pivotButton="0" quotePrefix="0" xfId="0"/>
    <xf numFmtId="176" fontId="39" fillId="0" borderId="0" applyAlignment="1" pivotButton="0" quotePrefix="0" xfId="0">
      <alignment horizontal="right"/>
    </xf>
    <xf numFmtId="178" fontId="43" fillId="0" borderId="0" applyAlignment="1" pivotButton="0" quotePrefix="0" xfId="0">
      <alignment horizontal="right"/>
    </xf>
    <xf numFmtId="181" fontId="36" fillId="0" borderId="0" applyAlignment="1" pivotButton="0" quotePrefix="0" xfId="0">
      <alignment horizontal="right"/>
    </xf>
    <xf numFmtId="181" fontId="32" fillId="0" borderId="0" applyAlignment="1" pivotButton="0" quotePrefix="0" xfId="0">
      <alignment horizontal="right"/>
    </xf>
    <xf numFmtId="177" fontId="39" fillId="0" borderId="0" applyAlignment="1" pivotButton="0" quotePrefix="0" xfId="0">
      <alignment horizontal="right"/>
    </xf>
    <xf numFmtId="177" fontId="43" fillId="0" borderId="0" applyAlignment="1" pivotButton="0" quotePrefix="0" xfId="0">
      <alignment horizontal="right"/>
    </xf>
    <xf numFmtId="172" fontId="32" fillId="0" borderId="0" applyAlignment="1" pivotButton="0" quotePrefix="0" xfId="0">
      <alignment horizontal="right"/>
    </xf>
    <xf numFmtId="182" fontId="32" fillId="0" borderId="0" pivotButton="0" quotePrefix="0" xfId="0"/>
    <xf numFmtId="174" fontId="32" fillId="0" borderId="0" applyAlignment="1" pivotButton="0" quotePrefix="0" xfId="0">
      <alignment horizontal="right"/>
    </xf>
    <xf numFmtId="184" fontId="49" fillId="0" borderId="0" applyAlignment="1" pivotButton="0" quotePrefix="0" xfId="0">
      <alignment vertical="top" wrapText="1"/>
    </xf>
    <xf numFmtId="172" fontId="24" fillId="5" borderId="1" applyAlignment="1" pivotButton="0" quotePrefix="0" xfId="0">
      <alignment horizontal="right"/>
    </xf>
    <xf numFmtId="172" fontId="24" fillId="0" borderId="1" applyAlignment="1" pivotButton="0" quotePrefix="0" xfId="0">
      <alignment horizontal="right"/>
    </xf>
    <xf numFmtId="173" fontId="24" fillId="0" borderId="1" applyAlignment="1" pivotButton="0" quotePrefix="0" xfId="0">
      <alignment horizontal="right"/>
    </xf>
    <xf numFmtId="174" fontId="4" fillId="0" borderId="1" pivotButton="0" quotePrefix="0" xfId="0"/>
    <xf numFmtId="175" fontId="0" fillId="0" borderId="0" pivotButton="0" quotePrefix="0" xfId="0"/>
    <xf numFmtId="168" fontId="0" fillId="0" borderId="0" pivotButton="0" quotePrefix="0" xfId="0"/>
    <xf numFmtId="175" fontId="4" fillId="5" borderId="1" pivotButton="0" quotePrefix="0" xfId="0"/>
    <xf numFmtId="175" fontId="4" fillId="0" borderId="1" pivotButton="0" quotePrefix="0" xfId="0"/>
    <xf numFmtId="177" fontId="77" fillId="20" borderId="0" applyAlignment="1" pivotButton="0" quotePrefix="0" xfId="0">
      <alignment horizontal="right"/>
    </xf>
    <xf numFmtId="0" fontId="78" fillId="0" borderId="0" pivotButton="0" quotePrefix="0" xfId="0"/>
    <xf numFmtId="181" fontId="78" fillId="0" borderId="0" applyAlignment="1" pivotButton="0" quotePrefix="0" xfId="0">
      <alignment horizontal="right"/>
    </xf>
    <xf numFmtId="0" fontId="79" fillId="0" borderId="0" pivotButton="0" quotePrefix="0" xfId="0"/>
    <xf numFmtId="179" fontId="32" fillId="0" borderId="0" applyAlignment="1" pivotButton="0" quotePrefix="0" xfId="0">
      <alignment horizontal="right"/>
    </xf>
    <xf numFmtId="186" fontId="32" fillId="0" borderId="0" applyAlignment="1" pivotButton="0" quotePrefix="0" xfId="0">
      <alignment horizontal="right"/>
    </xf>
    <xf numFmtId="0" fontId="74" fillId="0" borderId="0" pivotButton="0" quotePrefix="0" xfId="0"/>
    <xf numFmtId="0" fontId="75" fillId="25" borderId="1" applyAlignment="1" pivotButton="0" quotePrefix="0" xfId="0">
      <alignment horizontal="center" vertical="center" wrapText="1"/>
    </xf>
    <xf numFmtId="4" fontId="5" fillId="0" borderId="0" applyAlignment="1" pivotButton="0" quotePrefix="0" xfId="0">
      <alignment horizontal="right"/>
    </xf>
    <xf numFmtId="0" fontId="76" fillId="0" borderId="0" pivotButton="0" quotePrefix="0" xfId="0"/>
    <xf numFmtId="0" fontId="75" fillId="25" borderId="0" pivotButton="0" quotePrefix="0" xfId="0"/>
    <xf numFmtId="164" fontId="75" fillId="25" borderId="0" pivotButton="0" quotePrefix="0" xfId="0"/>
  </cellXfs>
  <cellStyles count="2">
    <cellStyle name="Normal" xfId="0" builtinId="0"/>
    <cellStyle name="Hyperlink" xfId="1" builtinId="8"/>
  </cellStyles>
  <dxfs count="14">
    <dxf>
      <font>
        <color rgb="FF0000FF"/>
      </font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font>
        <color rgb="FF0061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rgb="FF99FF99"/>
        </patternFill>
      </fill>
    </dxf>
    <dxf>
      <fill>
        <patternFill patternType="solid">
          <fgColor rgb="FFFF9999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1"/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Relationship Id="rIdQWmeta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Value per share vs price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E75B6"/>
            </a:solidFill>
            <a:ln>
              <a:noFill/>
            </a:ln>
            <a:effectLst/>
          </c:spPr>
          <c:invertIfNegative val="0"/>
          <c:dLbls>
            <c:numFmt formatCode="&quot;$&quot;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Scenarios!$A$38:$A$44</c:f>
            </c:strRef>
          </c:cat>
          <c:val>
            <c:numRef>
              <c:f>Scenarios!$B$38:$B$44</c:f>
            </c:numRef>
          </c:val>
          <c:extLst>
            <c:ext xmlns:c16="http://schemas.microsoft.com/office/drawing/2014/chart" uri="{C3380CC4-5D6E-409C-BE32-E72D297353CC}">
              <c16:uniqueId val="{00000000-8526-4994-A9B1-0F2944092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644694128"/>
        <c:axId val="1536488400"/>
      </c:barChart>
      <c:catAx>
        <c:axId val="164469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488400"/>
        <c:crosses val="autoZero"/>
        <c:auto val="1"/>
        <c:lblAlgn val="ctr"/>
        <c:lblOffset val="100"/>
        <c:noMultiLvlLbl val="0"/>
      </c:catAx>
      <c:valAx>
        <c:axId val="1536488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4694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NKE price, 5 years (total return, 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</c:v>
          </c:tx>
          <c:spPr>
            <a:ln w="19050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Price_Data!$A$2:$A$1254</c:f>
            </c:numRef>
          </c:cat>
          <c:val>
            <c:numRef>
              <c:f>Price_Data!$E$2:$E$1254</c:f>
            </c:numRef>
          </c:val>
          <c:smooth val="0"/>
          <c:extLst>
            <c:ext xmlns:c16="http://schemas.microsoft.com/office/drawing/2014/chart" uri="{C3380CC4-5D6E-409C-BE32-E72D297353CC}">
              <c16:uniqueId val="{00000001-C6F1-4C2B-9749-FF759F4371A4}"/>
            </c:ext>
          </c:extLst>
        </c:ser>
        <c:ser>
          <c:idx val="1"/>
          <c:order val="1"/>
          <c:tx>
            <c:v>200-day MA</c:v>
          </c:tx>
          <c:spPr>
            <a:ln w="158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Price_Data!$A$2:$A$1254</c:f>
            </c:numRef>
          </c:cat>
          <c:val>
            <c:numRef>
              <c:f>Price_Data!$J$2:$J$1254</c:f>
            </c:numRef>
          </c:val>
          <c:smooth val="0"/>
          <c:extLst>
            <c:ext xmlns:c16="http://schemas.microsoft.com/office/drawing/2014/chart" uri="{C3380CC4-5D6E-409C-BE32-E72D297353CC}">
              <c16:uniqueId val="{00000002-C6F1-4C2B-9749-FF759F43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2381312"/>
        <c:axId val="1536532080"/>
      </c:lineChart>
      <c:dateAx>
        <c:axId val="172238131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32080"/>
        <c:crosses val="autoZero"/>
        <c:auto val="1"/>
        <c:lblOffset val="100"/>
        <c:baseTimeUnit val="days"/>
      </c:dateAx>
      <c:valAx>
        <c:axId val="1536532080"/>
        <c:scaling>
          <c:orientation val="minMax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238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omments/comment1.xml><?xml version="1.0" encoding="utf-8"?>
<comments xmlns="http://schemas.openxmlformats.org/spreadsheetml/2006/main">
  <authors>
    <author>QuantWizard</author>
  </authors>
  <commentList>
    <comment ref="B17" authorId="0" shapeId="0">
      <text>
        <t>Source: Nike, Inc. Form 10-Q for the period ended 31-Aug-2025 (filed 01-Oct-2025), quarter ended 31-Aug-2025, SEC EDGAR XBRL, https://www.sec.gov/Archives/edgar/data/320187/000032018725000097/nke-20250831.htm</t>
      </text>
    </comment>
    <comment ref="C17" authorId="0" shapeId="0">
      <text>
        <t>Source: Nike, Inc. Form 10-Q for the period ended 30-Nov-2025 (filed 30-Dec-2025), quarter ended 30-Nov-2025, SEC EDGAR XBRL, https://www.sec.gov/Archives/edgar/data/320187/000032018725000151/nke-20251130.htm</t>
      </text>
    </comment>
    <comment ref="D17" authorId="0" shapeId="0">
      <text>
        <t>Source: Nike, Inc. Form 10-Q for the period ended 28-Feb-2026 (filed 01-Apr-2026), quarter ended 28-Feb-2026, SEC EDGAR XBRL, https://www.sec.gov/Archives/edgar/data/320187/000032018726000037/nke-20260228.htm</t>
      </text>
    </comment>
    <comment ref="E17" authorId="0" shapeId="0">
      <text>
        <t>Source: Nike, Inc. Form 10-K for the period ended 31-May-2026 (filed 15-Jul-2026), quarter ended 31-May-2026, SEC EDGAR XBRL, https://www.sec.gov/Archives/edgar/data/320187/000032018726000088/nke-20260531.htm</t>
      </text>
    </comment>
    <comment ref="B18" authorId="0" shapeId="0">
      <text>
        <t>Source: Nike, Inc. Form 10-Q for the period ended 31-Aug-2025 (filed 01-Oct-2025), quarter ended 31-Aug-2025, SEC EDGAR XBRL, https://www.sec.gov/Archives/edgar/data/320187/000032018725000097/nke-20250831.htm</t>
      </text>
    </comment>
    <comment ref="C18" authorId="0" shapeId="0">
      <text>
        <t>Source: Nike, Inc. Form 10-Q for the period ended 30-Nov-2025 (filed 30-Dec-2025), quarter ended 30-Nov-2025, SEC EDGAR XBRL, https://www.sec.gov/Archives/edgar/data/320187/000032018725000151/nke-20251130.htm</t>
      </text>
    </comment>
    <comment ref="D18" authorId="0" shapeId="0">
      <text>
        <t>Source: Nike, Inc. Form 10-Q for the period ended 28-Feb-2026 (filed 01-Apr-2026), quarter ended 28-Feb-2026, SEC EDGAR XBRL, https://www.sec.gov/Archives/edgar/data/320187/000032018726000037/nke-20260228.htm</t>
      </text>
    </comment>
    <comment ref="E18" authorId="0" shapeId="0">
      <text>
        <t>Source: Nike, Inc. Form 10-K for the period ended 31-May-2026 (filed 15-Jul-2026), quarter ended 31-May-2026, SEC EDGAR XBRL, https://www.sec.gov/Archives/edgar/data/320187/000032018726000088/nke-20260531.htm</t>
      </text>
    </comment>
    <comment ref="B19" authorId="0" shapeId="0">
      <text>
        <t>Source: Nike, Inc. Form 10-Q for the period ended 31-Aug-2025 (filed 01-Oct-2025), quarter ended 31-Aug-2025, SEC EDGAR XBRL, https://www.sec.gov/Archives/edgar/data/320187/000032018725000097/nke-20250831.htm</t>
      </text>
    </comment>
    <comment ref="C19" authorId="0" shapeId="0">
      <text>
        <t>Source: Nike, Inc. Form 10-Q for the period ended 30-Nov-2025 (filed 30-Dec-2025), quarter ended 30-Nov-2025, SEC EDGAR XBRL, https://www.sec.gov/Archives/edgar/data/320187/000032018725000151/nke-20251130.htm</t>
      </text>
    </comment>
    <comment ref="D19" authorId="0" shapeId="0">
      <text>
        <t>Source: Nike, Inc. Form 10-Q for the period ended 28-Feb-2026 (filed 01-Apr-2026), quarter ended 28-Feb-2026, SEC EDGAR XBRL, https://www.sec.gov/Archives/edgar/data/320187/000032018726000037/nke-20260228.htm</t>
      </text>
    </comment>
    <comment ref="E19" authorId="0" shapeId="0">
      <text>
        <t>Source: Nike, Inc. Form 10-K for the period ended 31-May-2026 (filed 15-Jul-2026), quarter ended 31-May-2026, SEC EDGAR XBRL, https://www.sec.gov/Archives/edgar/data/320187/000032018726000088/nke-20260531.htm</t>
      </text>
    </comment>
    <comment ref="B20" authorId="0" shapeId="0">
      <text>
        <t>Source: Nike, Inc. Form 10-Q for the period ended 31-Aug-2025 (filed 01-Oct-2025), quarter ended 31-Aug-2025, SEC EDGAR XBRL, https://www.sec.gov/Archives/edgar/data/320187/000032018725000097/nke-20250831.htm</t>
      </text>
    </comment>
    <comment ref="C20" authorId="0" shapeId="0">
      <text>
        <t>Source: Nike, Inc. Form 10-Q for the period ended 30-Nov-2025 (filed 30-Dec-2025), quarter ended 30-Nov-2025, SEC EDGAR XBRL, https://www.sec.gov/Archives/edgar/data/320187/000032018725000151/nke-20251130.htm</t>
      </text>
    </comment>
    <comment ref="D20" authorId="0" shapeId="0">
      <text>
        <t>Source: Nike, Inc. Form 10-Q for the period ended 28-Feb-2026 (filed 01-Apr-2026), quarter ended 28-Feb-2026, SEC EDGAR XBRL, https://www.sec.gov/Archives/edgar/data/320187/000032018726000037/nke-20260228.htm</t>
      </text>
    </comment>
    <comment ref="E20" authorId="0" shapeId="0">
      <text>
        <t>Source: Nike, Inc. Form 10-K for the period ended 31-May-2026 (filed 15-Jul-2026), quarter ended 31-May-2026, SEC EDGAR XBRL, https://www.sec.gov/Archives/edgar/data/320187/000032018726000088/nke-20260531.htm</t>
      </text>
    </comment>
    <comment ref="B25" authorId="0" shapeId="0">
      <text>
        <t>Source: Nike, Inc. Form 10-K for the period ended 31-May-2026 (filed 15-Jul-2026), balance sheet, SEC EDGAR XBRL, https://www.sec.gov/Archives/edgar/data/320187/000032018726000088/nke-20260531.htm</t>
      </text>
    </comment>
    <comment ref="B30" authorId="0" shapeId="0">
      <text>
        <t>Source: Nike, Inc. Form 10-K for the period ended 31-May-2026 (filed 15-Jul-2026), balance sheet, SEC EDGAR XBRL, https://www.sec.gov/Archives/edgar/data/320187/000032018726000088/nke-20260531.htm</t>
      </text>
    </comment>
    <comment ref="B33" authorId="0" shapeId="0">
      <text>
        <t>Source: Nike, Inc. Form 10-K for the period ended 31-May-2026 (filed 15-Jul-2026), balance sheet, SEC EDGAR XBRL, https://www.sec.gov/Archives/edgar/data/320187/000032018726000088/nke-20260531.htm</t>
      </text>
    </comment>
    <comment ref="B34" authorId="0" shapeId="0">
      <text>
        <t>Source: Nike, Inc. Form 10-K for the period ended 31-May-2026 (filed 15-Jul-2026), balance sheet, SEC EDGAR XBRL, https://www.sec.gov/Archives/edgar/data/320187/000032018726000088/nke-20260531.htm</t>
      </text>
    </comment>
    <comment ref="B35" authorId="0" shapeId="0">
      <text>
        <t>Source: Nike, Inc. Form 10-K for the period ended 31-May-2026 (filed 15-Jul-2026), cash flow statement, SEC EDGAR XBRL, https://www.sec.gov/Archives/edgar/data/320187/000032018726000088/nke-20260531.htm</t>
      </text>
    </comment>
    <comment ref="B37" authorId="0" shapeId="0">
      <text>
        <t>Source: Nike, Inc. Form 10-K for the period ended 31-May-2026 (filed 15-Jul-2026), cash flow statement, SEC EDGAR XBRL, https://www.sec.gov/Archives/edgar/data/320187/000032018726000088/nke-20260531.htm</t>
      </text>
    </comment>
    <comment ref="B39" authorId="0" shapeId="0">
      <text>
        <t>Source: Nike, Inc. Form 10-K for the period ended 31-May-2026 (filed 15-Jul-2026), income / cash flow statement, SEC EDGAR XBRL, https://www.sec.gov/Archives/edgar/data/320187/000032018726000088/nke-20260531.htm</t>
      </text>
    </comment>
    <comment ref="B41" authorId="0" shapeId="0">
      <text>
        <t>Source: vendor market capitalisation ÷ report price (no current cover-page count)</t>
      </text>
    </comment>
  </commentList>
</comments>
</file>

<file path=xl/comments/comment2.xml><?xml version="1.0" encoding="utf-8"?>
<comments xmlns="http://schemas.openxmlformats.org/spreadsheetml/2006/main">
  <authors>
    <author>QuantWizard</author>
  </authors>
  <commentList>
    <comment ref="B10" authorId="0" shapeId="0">
      <text>
        <t>Source: Nike, Inc. Form 10-K for the period ended 31-May-2026 (filed 15-Jul-2026), dividends declared per share, SEC EDGAR XBRL, https://www.sec.gov/Archives/edgar/data/320187/000032018726000088/nke-20260531.htm</t>
      </text>
    </comment>
    <comment ref="C27" authorId="0" shapeId="0">
      <text>
        <t>Source: Nike, Inc. Form 10-K for the period ended 31-May-2026 (filed 15-Jul-2026), gross margin, quarter ended 31-May-2026, SEC EDGAR XBRL, https://www.sec.gov/Archives/edgar/data/320187/000032018726000088/nke-20260531.htm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9</col>
      <colOff>0</colOff>
      <row>3</row>
      <rowOff>0</rowOff>
    </from>
    <to>
      <col>16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21</row>
      <rowOff>0</rowOff>
    </from>
    <to>
      <col>16</col>
      <colOff>0</colOff>
      <row>41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ancials'!A1" TargetMode="External" Id="rId1"/><Relationship Type="http://schemas.openxmlformats.org/officeDocument/2006/relationships/hyperlink" Target="#'Risk'!A1" TargetMode="External" Id="rId2"/><Relationship Type="http://schemas.openxmlformats.org/officeDocument/2006/relationships/hyperlink" Target="#'DCF'!A1" TargetMode="External" Id="rId3"/><Relationship Type="http://schemas.openxmlformats.org/officeDocument/2006/relationships/hyperlink" Target="#'Catalysts_News'!A1" TargetMode="External" Id="rId4"/><Relationship Type="http://schemas.openxmlformats.org/officeDocument/2006/relationships/hyperlink" Target="#'Scenarios'!A1" TargetMode="External" Id="rId5"/><Relationship Type="http://schemas.openxmlformats.org/officeDocument/2006/relationships/hyperlink" Target="#'Methodology'!A1" TargetMode="External" Id="rId6"/><Relationship Type="http://schemas.openxmlformats.org/officeDocument/2006/relationships/hyperlink" Target="#'Multiples'!A1" TargetMode="External" Id="rId7"/><Relationship Type="http://schemas.openxmlformats.org/officeDocument/2006/relationships/hyperlink" Target="#'Sources'!A1" TargetMode="External" Id="rId8"/><Relationship Type="http://schemas.openxmlformats.org/officeDocument/2006/relationships/drawing" Target="/xl/drawings/drawing1.xml" Id="rId9"/></Relationships>
</file>

<file path=xl/worksheets/_rels/sheet2.xml.rels><Relationships xmlns="http://schemas.openxmlformats.org/package/2006/relationships"><Relationship Type="http://schemas.openxmlformats.org/officeDocument/2006/relationships/hyperlink" Target="#'Summary'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#'Summary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Summary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Summary'!A1" TargetMode="Externa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Summary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Summary'!A1" TargetMode="External" Id="rId1"/><Relationship Type="http://schemas.openxmlformats.org/officeDocument/2006/relationships/hyperlink" Target="https://www.sec.gov/Archives/edgar/data/320187/000032018726000170/nke-20260915.htm" TargetMode="External" Id="rId2"/><Relationship Type="http://schemas.openxmlformats.org/officeDocument/2006/relationships/hyperlink" Target="https://finnhub.io/api/news?id=58f91ab5438b1da9a2fff9bb25a1722146434f6a8f09476ef8c17e15771457a7" TargetMode="External" Id="rId3"/><Relationship Type="http://schemas.openxmlformats.org/officeDocument/2006/relationships/hyperlink" Target="https://news.google.com/rss/articles/CBMic0FVX3lxTE5faEhJY2FERFpaelYtMVdJZ2JGb1FURjBtUE82aHl2RWFnclVFYnpkX2dsLTdJUXBuLWZaaWZzWGZ1cjlBNnRfaFdDVF9yQkhNdlFha21hWHFzalNKRlNLdlVKMl9vcGxYaHdMTmIxTm1fZ1k?oc=5" TargetMode="External" Id="rId4"/><Relationship Type="http://schemas.openxmlformats.org/officeDocument/2006/relationships/hyperlink" Target="https://finnhub.io/api/news?id=240d1439ab4b7b7adecbdf40a94a3dd033290cc1377db2df7757757b755f2a23" TargetMode="External" Id="rId5"/><Relationship Type="http://schemas.openxmlformats.org/officeDocument/2006/relationships/hyperlink" Target="https://www.zacks.com/stock/news/2993031/nike-s-marketplace-strategy-balancing-reach-and-profitability?cid=CS-ZC-FT-analyst_blog|quick_take-2993031" TargetMode="External" Id="rId6"/><Relationship Type="http://schemas.openxmlformats.org/officeDocument/2006/relationships/hyperlink" Target="https://news.google.com/rss/articles/CBMipwFBVV95cUxPOUtUb0lXSWFXR2hacEVCMEl3VUR6QXVNLVlGZ0FjX1pGb2FTWW5mOUw4S2NuRUlfekhKQ3lVQkdJOUtGUl9KRGVlOUlKWmVoM01CdXlRR243V0pVdDBpR2JfejMxWHdDRWtDYW9VRmx6dUtPaUtINW5VdkVoaU9UcHlpQ1BGU1BJSzFsQ0h4ZW9hZVlJUmcwdHdfblFxTG91VlJfdXhZZw?oc=5" TargetMode="External" Id="rId7"/><Relationship Type="http://schemas.openxmlformats.org/officeDocument/2006/relationships/hyperlink" Target="https://news.google.com/rss/articles/CBMirgFBVV95cUxPMkNRWkx0MG1tWVVhckZES0VJNk56UE1hbjNLbzRhcWNEa3V0aGZvWF9rODNmcnZvX2FXdm9iYWlIblNKOGt4U2dSWGRBc2g5VGdvenFLWFlFZ0tzV2lMNDR3aDE1TkN1cUFxcWIxVjJnQ09HeVVkX2p1eVNTV2tHcEpsM0tVaTFTY3pZNkNCOGhwNEdGU1hwQy1DUW9pX1RUV3VIbVhuYlZ0V2JKbVE?oc=5" TargetMode="External" Id="rId8"/><Relationship Type="http://schemas.openxmlformats.org/officeDocument/2006/relationships/hyperlink" Target="https://news.google.com/rss/articles/CBMixgFBVV95cUxQLTFkSXBZVlFHcDhMZXo5LXZod3VDMnVCenBVWmZobXpOVXY2bVJwNm92NTBqUmxHbjdFUkxMWTQycDdFU1BWS1NiMjNSSFUwSnVEcGRqdEMycm5nU0FoSEs3OWtUV0RkRzZSMmhiWEZPRnl2UmdxTFVrMmZial9FRlZReUhncFdCVUxLdTI4akxRZ094WkNIQjZtTHZkbFNDWVgyZzJHTWVtZHVzX1dhX1dqaFhpV3hCVHRVcF9YTXNfNV8tN0E?oc=5" TargetMode="External" Id="rId9"/><Relationship Type="http://schemas.openxmlformats.org/officeDocument/2006/relationships/hyperlink" Target="https://news.google.com/rss/articles/CBMiyAFBVV95cUxOTHlvUmhodUF2bW5acUFMS3JaejVTeGZjVGxCS1lpT0N3VXRKZG5qUXFtS0RtcUI1VE9xNFZvZ2JLbm0xeHRvdDJ5MUppdHhLNWptcTBSUzhpNHZwSzM2SV9lYTUyWEU2SHBRbkxfNkZjZUpMQmxuUXRVZFV2bGtJYTQybmpQaGNoYTNsZFBLU2xYRHkxSENBSUQzbDB5VzZhX1pZMGpsVFZITWxveHRNbzlqRkNpUTBNQlNtVzRZNlpzVDFLYUdYMtIBzgFBVV95cUxPOUc2MjZQQ0dSZkF6a2Z0b0hFQUozQ1JKNFNkcEtpWUlrR1paS0E3YTN3NDFuUk9wc1M0bUExY0FIam85RVVNR2k1UG5NRUc5VVNSNjM4TEhzVjZqR1E3X1hpNDBsRnFEVUV0ZVF5NEZRd2lZMXczd3h5YnlUamFrdGJtempFc1kzQlIzYm04OEpTWmhUTmZNcGlNaklxRFpSNEh3c2N6VVRCZkYtLTd1LXdmUGJvTHEtaFNpNVdPaDRVZWMxZXQ2QTN2V0pDZw?oc=5" TargetMode="External" Id="rId10"/><Relationship Type="http://schemas.openxmlformats.org/officeDocument/2006/relationships/hyperlink" Target="https://news.google.com/rss/articles/CBMimwFBVV95cUxOR0IxWFV1ZWtvZmplek5qSTVVUDhyY0hXWmtkbmV0NldNYTBRM0NlY3duWkdWRVhXcWI1SWtBWXc2VHVfeVpDcXN3Rm0yTjFNV1lvRXF4QXN5Tk1FZVJOVy05ZTFEWi1jN0NkZzJVSFdScnpLVTVTUE5vVnIwUEhnSkJsNHFoN3IwX1lscFBFOUpnNkhEdG5wcXMydw?oc=5" TargetMode="External" Id="rId11"/><Relationship Type="http://schemas.openxmlformats.org/officeDocument/2006/relationships/hyperlink" Target="https://news.google.com/rss/articles/CBMilAFBVV95cUxObzFWVXYzeHcwRFlWOGJDbHFNeGVXOHJHWW1EcE1mMFRTaGRfSllxOFQ5eWtBVlVDS2w5VUpNd2FYOUtfUVI4WGhwX0R3RXIya294VjR1cHZIZmEtWEx5NFRFNVlqMzFEMTRpXzJrakM3eHFsM0tRQU9NRVpReEtQdTRTbVQyYTYwemR5NTNSS0FLZzZ5?oc=5" TargetMode="External" Id="rId12"/><Relationship Type="http://schemas.openxmlformats.org/officeDocument/2006/relationships/hyperlink" Target="https://news.google.com/rss/articles/CBMimAFBVV95cUxPXzlBQldQYU05bHo5Mmw2c2h3SzdhOGJUeE1nNUh3U3YxeWVQbi1vVHg3Z0tmNEV5MHZsSXN5N0c4M3Vvc1pKOUpYRVJ1VUdSa0o3eXpnQTN3c1JKc09Pc1ZFMndIN1JKVFZOb25yQ2hmLW5PNEY3NGU2UjZXNlMzU3BKWEwwXzJ3MVF3aUxqQkRiZ2dSTGlURA?oc=5" TargetMode="External" Id="rId13"/><Relationship Type="http://schemas.openxmlformats.org/officeDocument/2006/relationships/hyperlink" Target="https://news.google.com/rss/articles/CBMiiwFBVV95cUxPVDVCMW8yUFc5c3kzZGJjdnJQdGVaVnI0QmxIZjNSb2cxdXJ5UkdnWlNyc25ObFVZbTljUGZjSzUwZmYwcWlJOXl5UTR2WFlUdDE2dXptTVBxdEZNZnJxSmIxQ2V3ckF1UVV1Nmo0TUZUQUF2OW1nMGF5emZ3LXJ0TTRjemJBcEQ4X29V?oc=5" TargetMode="External" Id="rId14"/></Relationships>
</file>

<file path=xl/worksheets/_rels/sheet8.xml.rels><Relationships xmlns="http://schemas.openxmlformats.org/package/2006/relationships"><Relationship Type="http://schemas.openxmlformats.org/officeDocument/2006/relationships/hyperlink" Target="#'Summary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Summary'!A1" TargetMode="External" Id="rId1"/><Relationship Type="http://schemas.openxmlformats.org/officeDocument/2006/relationships/hyperlink" Target="https://www.sec.gov/Archives/edgar/data/320187/000032018725000097/nke-20250831.htm" TargetMode="External" Id="rId2"/><Relationship Type="http://schemas.openxmlformats.org/officeDocument/2006/relationships/hyperlink" Target="https://www.sec.gov/Archives/edgar/data/320187/000032018725000151/nke-20251130.htm" TargetMode="External" Id="rId3"/><Relationship Type="http://schemas.openxmlformats.org/officeDocument/2006/relationships/hyperlink" Target="https://www.sec.gov/Archives/edgar/data/320187/000032018726000037/nke-20260228.htm" TargetMode="External" Id="rId4"/><Relationship Type="http://schemas.openxmlformats.org/officeDocument/2006/relationships/hyperlink" Target="https://www.sec.gov/Archives/edgar/data/320187/000032018726000088/nke-20260531.htm" TargetMode="External" Id="rId5"/><Relationship Type="http://schemas.openxmlformats.org/officeDocument/2006/relationships/hyperlink" Target="https://www.sec.gov/Archives/edgar/data/320187/000032018726000088/nke-20260531.htm" TargetMode="External" Id="rId6"/><Relationship Type="http://schemas.openxmlformats.org/officeDocument/2006/relationships/hyperlink" Target="https://www.sec.gov/Archives/edgar/data/320187/000032018726000088/nke-20260531.htm" TargetMode="External" Id="rId7"/><Relationship Type="http://schemas.openxmlformats.org/officeDocument/2006/relationships/hyperlink" Target="https://www.sec.gov/cgi-bin/browse-edgar?action=getcompany&amp;CIK=0000320187&amp;type=10-&amp;dateb=&amp;owner=include&amp;count=40" TargetMode="External" Id="rId8"/><Relationship Type="http://schemas.openxmlformats.org/officeDocument/2006/relationships/hyperlink" Target="https://www.sec.gov/Archives/edgar/data/320187/000032018726000088/nke-20260531.htm" TargetMode="External" Id="rId9"/><Relationship Type="http://schemas.openxmlformats.org/officeDocument/2006/relationships/hyperlink" Target="https://finance.yahoo.com/quote/NKE/history/" TargetMode="External" Id="rId10"/><Relationship Type="http://schemas.openxmlformats.org/officeDocument/2006/relationships/hyperlink" Target="https://fred.stlouisfed.org/series/DGS3MO" TargetMode="External" Id="rId11"/><Relationship Type="http://schemas.openxmlformats.org/officeDocument/2006/relationships/hyperlink" Target="https://fred.stlouisfed.org/series/DGS10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#'Summary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Summary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Summary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Summary'!A1" TargetMode="Externa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H47"/>
  <sheetViews>
    <sheetView showGridLines="0" tabSelected="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6.36328125" customWidth="1" style="195" min="1" max="1"/>
    <col width="14.54296875" customWidth="1" style="195" min="2" max="3"/>
    <col width="3.6328125" customWidth="1" style="195" min="4" max="4"/>
    <col width="30.90625" customWidth="1" style="195" min="5" max="5"/>
    <col width="14.54296875" customWidth="1" style="195" min="6" max="8"/>
    <col width="8.7265625" customWidth="1" style="195" min="9" max="26"/>
  </cols>
  <sheetData>
    <row r="1" ht="30" customHeight="1" s="252">
      <c r="A1" s="245" t="inlineStr">
        <is>
          <t>Nike, Inc. (NYSE: NKE) — Equity Research Summary</t>
        </is>
      </c>
      <c r="B1" s="245" t="n"/>
      <c r="C1" s="245" t="n"/>
      <c r="D1" s="245" t="n"/>
      <c r="E1" s="245" t="n"/>
      <c r="F1" s="245" t="n"/>
      <c r="G1" s="245" t="n"/>
      <c r="H1" s="245" t="n"/>
    </row>
    <row r="2">
      <c r="A2" s="246" t="inlineStr">
        <is>
          <t>Report date 24-Sep-2026 · Price $ per share · Financials $ in billions · Fiscal year ends late May</t>
        </is>
      </c>
      <c r="B2" s="246" t="n"/>
      <c r="C2" s="246" t="n"/>
      <c r="D2" s="246" t="n"/>
      <c r="E2" s="246" t="n"/>
      <c r="F2" s="246" t="n"/>
      <c r="G2" s="246" t="n"/>
      <c r="H2" s="246" t="n"/>
    </row>
    <row r="4">
      <c r="A4" s="247" t="inlineStr">
        <is>
          <t>Market snapshot</t>
        </is>
      </c>
      <c r="B4" s="247" t="n"/>
      <c r="C4" s="247" t="n"/>
      <c r="E4" s="247" t="inlineStr">
        <is>
          <t>Intrinsic value (DCF)</t>
        </is>
      </c>
      <c r="F4" s="247" t="n"/>
      <c r="G4" s="247" t="n"/>
      <c r="H4" s="247" t="n"/>
    </row>
    <row r="5" ht="15.5" customHeight="1" s="252">
      <c r="A5" t="inlineStr">
        <is>
          <t>Share price</t>
        </is>
      </c>
      <c r="B5" s="305">
        <f>DCF!B5</f>
        <v/>
      </c>
      <c r="C5" s="266" t="n"/>
      <c r="E5" s="250" t="n"/>
      <c r="F5" s="249" t="inlineStr">
        <is>
          <t>Bear</t>
        </is>
      </c>
      <c r="G5" s="249" t="inlineStr">
        <is>
          <t>Base</t>
        </is>
      </c>
      <c r="H5" s="249" t="inlineStr">
        <is>
          <t>Bull</t>
        </is>
      </c>
    </row>
    <row r="6">
      <c r="A6" t="inlineStr">
        <is>
          <t>Market capitalisation ($B)</t>
        </is>
      </c>
      <c r="B6" s="306">
        <f>Multiples!B7</f>
        <v/>
      </c>
      <c r="C6" s="266" t="n"/>
      <c r="E6" s="261" t="inlineStr">
        <is>
          <t>Fair value / share</t>
        </is>
      </c>
      <c r="F6" s="307">
        <f>Scenarios!B10</f>
        <v/>
      </c>
      <c r="G6" s="307">
        <f>Scenarios!C10</f>
        <v/>
      </c>
      <c r="H6" s="307">
        <f>Scenarios!D10</f>
        <v/>
      </c>
    </row>
    <row r="7">
      <c r="A7" t="inlineStr">
        <is>
          <t>Enterprise value ($B)</t>
        </is>
      </c>
      <c r="B7" s="306">
        <f>Multiples!B9</f>
        <v/>
      </c>
      <c r="C7" s="266" t="n"/>
      <c r="E7" t="inlineStr">
        <is>
          <t>vs current price</t>
        </is>
      </c>
      <c r="F7" s="308">
        <f>Scenarios!B11</f>
        <v/>
      </c>
      <c r="G7" s="308">
        <f>Scenarios!C11</f>
        <v/>
      </c>
      <c r="H7" s="308">
        <f>Scenarios!D11</f>
        <v/>
      </c>
    </row>
    <row r="8">
      <c r="A8" t="inlineStr">
        <is>
          <t>52-week low</t>
        </is>
      </c>
      <c r="B8" s="309">
        <f>Risk!B30</f>
        <v/>
      </c>
      <c r="C8" s="266" t="n"/>
      <c r="E8" t="inlineStr">
        <is>
          <t>Scenario weight</t>
        </is>
      </c>
      <c r="F8" s="308">
        <f>Scenarios!B9</f>
        <v/>
      </c>
      <c r="G8" s="308">
        <f>Scenarios!C9</f>
        <v/>
      </c>
      <c r="H8" s="308">
        <f>Scenarios!D9</f>
        <v/>
      </c>
    </row>
    <row r="9">
      <c r="A9" t="inlineStr">
        <is>
          <t>52-week high</t>
        </is>
      </c>
      <c r="B9" s="309">
        <f>Risk!B29</f>
        <v/>
      </c>
      <c r="C9" s="266" t="n"/>
      <c r="E9" s="277" t="inlineStr">
        <is>
          <t>Probability-weighted value</t>
        </is>
      </c>
      <c r="F9" s="310">
        <f>Scenarios!B12</f>
        <v/>
      </c>
      <c r="G9" s="279" t="n"/>
      <c r="H9" s="279" t="n"/>
    </row>
    <row r="10">
      <c r="A10" t="inlineStr">
        <is>
          <t>2026 YTD price return</t>
        </is>
      </c>
      <c r="B10" s="308">
        <f>Risk!C43</f>
        <v/>
      </c>
      <c r="C10" s="266" t="n"/>
      <c r="E10" s="277" t="inlineStr">
        <is>
          <t>Upside / (downside)</t>
        </is>
      </c>
      <c r="F10" s="311">
        <f>Scenarios!B13</f>
        <v/>
      </c>
      <c r="G10" s="279" t="n"/>
      <c r="H10" s="279" t="n"/>
    </row>
    <row r="11">
      <c r="A11" t="inlineStr">
        <is>
          <t>Dividend yield</t>
        </is>
      </c>
      <c r="B11" s="269">
        <f>Multiples!B11</f>
        <v/>
      </c>
      <c r="C11" s="266" t="n"/>
      <c r="F11" s="266" t="n"/>
      <c r="G11" s="266" t="n"/>
      <c r="H11" s="266" t="n"/>
    </row>
    <row r="12">
      <c r="A12" t="inlineStr">
        <is>
          <t>Net cash ($B)</t>
        </is>
      </c>
      <c r="B12" s="306">
        <f>-Multiples!B8</f>
        <v/>
      </c>
      <c r="C12" s="266" t="n"/>
      <c r="E12" s="247" t="inlineStr">
        <is>
          <t>What is the market pricing in? (reverse DCF)</t>
        </is>
      </c>
      <c r="F12" s="270" t="n"/>
      <c r="G12" s="270" t="n"/>
      <c r="H12" s="270" t="n"/>
    </row>
    <row r="13">
      <c r="B13" s="266" t="n"/>
      <c r="C13" s="266" t="n"/>
      <c r="E13" t="inlineStr">
        <is>
          <t>Implied year-1 FCF growth</t>
        </is>
      </c>
      <c r="F13" s="308">
        <f>DCF!B49</f>
        <v/>
      </c>
      <c r="G13" s="266" t="n"/>
      <c r="H13" s="266" t="n"/>
    </row>
    <row r="14">
      <c r="A14" s="247" t="inlineStr">
        <is>
          <t>Valuation multiples</t>
        </is>
      </c>
      <c r="B14" s="270" t="n"/>
      <c r="C14" s="270" t="n"/>
      <c r="E14" s="261" t="inlineStr">
        <is>
          <t>Implied 10-year FCF CAGR</t>
        </is>
      </c>
      <c r="F14" s="312">
        <f>DCF!B50</f>
        <v/>
      </c>
      <c r="G14" s="266" t="n"/>
      <c r="H14" s="266" t="n"/>
    </row>
    <row r="15">
      <c r="B15" s="273" t="inlineStr">
        <is>
          <t>FY2026</t>
        </is>
      </c>
      <c r="C15" s="273" t="inlineStr">
        <is>
          <t>TTM</t>
        </is>
      </c>
      <c r="E15" t="inlineStr">
        <is>
          <t>Actual 9-year FCF CAGR</t>
        </is>
      </c>
      <c r="F15" s="308">
        <f>DCF!B52</f>
        <v/>
      </c>
      <c r="G15" s="266" t="n"/>
      <c r="H15" s="266" t="n"/>
    </row>
    <row r="16">
      <c r="A16" t="inlineStr">
        <is>
          <t>P/E</t>
        </is>
      </c>
      <c r="B16" s="313">
        <f>Multiples!B15</f>
        <v/>
      </c>
      <c r="C16" s="313">
        <f>Multiples!C15</f>
        <v/>
      </c>
      <c r="E16" t="inlineStr">
        <is>
          <t>Implied FCF in FY2036 ($B)</t>
        </is>
      </c>
      <c r="F16" s="306">
        <f>DCF!B51</f>
        <v/>
      </c>
      <c r="G16" s="266" t="n"/>
      <c r="H16" s="266" t="n"/>
    </row>
    <row r="17">
      <c r="A17" t="inlineStr">
        <is>
          <t>Price / Sales</t>
        </is>
      </c>
      <c r="B17" s="313">
        <f>Multiples!B17</f>
        <v/>
      </c>
      <c r="C17" s="313">
        <f>Multiples!C17</f>
        <v/>
      </c>
    </row>
    <row r="18">
      <c r="A18" t="inlineStr">
        <is>
          <t>EV / EBITDA</t>
        </is>
      </c>
      <c r="B18" s="313">
        <f>Multiples!B18</f>
        <v/>
      </c>
      <c r="C18" s="313" t="inlineStr">
        <is>
          <t>n/a</t>
        </is>
      </c>
      <c r="E18" s="253" t="inlineStr">
        <is>
          <t>Analyst view</t>
        </is>
      </c>
      <c r="F18" s="253" t="n"/>
      <c r="G18" s="253" t="n"/>
      <c r="H18" s="253" t="n"/>
    </row>
    <row r="19">
      <c r="A19" t="inlineStr">
        <is>
          <t>FCF yield</t>
        </is>
      </c>
      <c r="B19" s="308">
        <f>Multiples!B20</f>
        <v/>
      </c>
      <c r="C19" s="308" t="inlineStr">
        <is>
          <t>n/a</t>
        </is>
      </c>
      <c r="E19" s="254">
        <f>"At "&amp;TEXT(B5,"$0")&amp;", Nike trades at "&amp;IFERROR(TEXT(C16,"0.0x"),"n/m")&amp;" trailing earnings. "&amp;IF(ISNUMBER(F14),"To justify the price, free cash flow must compound at about "&amp;TEXT(F14,"0%")&amp;" a year for a decade"&amp;IFERROR(IF(F15&gt;0," — roughly "&amp;TEXT(F14/F15,"0.0")&amp;"x its 9-year record of "&amp;TEXT(F15,"0%"),""),"")&amp;" — reaching about $"&amp;TEXT(F16,"0")&amp;"B by FY2036. ","The price sits outside the growth range the model can solve, so no single implied rate is quoted. ")&amp;IFERROR(IF(B24&gt;=0,"Recent results are strong (revenue +","Recent results are soft (revenue ")&amp;TEXT(B24,"0%")&amp;" y/y over the last three quarters), ","")&amp;IF(H7&lt;0,"even the bull case ("&amp;TEXT(H6,"$0")&amp;") sits "&amp;TEXT(-H7,"0%")&amp;" below the price.","the bull case ("&amp;TEXT(H6,"$0")&amp;") sits "&amp;TEXT(H7,"0%")&amp;" above the price.")&amp;" On cash-flow fundamentals the shares look "&amp;IF(F10&lt;-0.15,"fully valued",IF(F10&gt;0.15,"undervalued","roughly fairly valued"))&amp;IFERROR(IF(F14&gt;F15,"; the case for owning them rests on growth well above the company's record proving durable.","."),".")</f>
        <v/>
      </c>
      <c r="F19" s="251" t="n"/>
      <c r="G19" s="251" t="n"/>
      <c r="H19" s="251" t="n"/>
    </row>
    <row r="20">
      <c r="A20" t="inlineStr">
        <is>
          <t>FCF yield after stock comp</t>
        </is>
      </c>
      <c r="B20" s="308">
        <f>Multiples!B21</f>
        <v/>
      </c>
      <c r="C20" s="308" t="inlineStr">
        <is>
          <t>n/a</t>
        </is>
      </c>
      <c r="E20" s="255" t="n"/>
    </row>
    <row r="21">
      <c r="B21" s="266" t="n"/>
      <c r="C21" s="266" t="n"/>
      <c r="E21" s="255" t="n"/>
    </row>
    <row r="22">
      <c r="A22" s="247" t="inlineStr">
        <is>
          <t>Fundamentals</t>
        </is>
      </c>
      <c r="B22" s="270" t="n"/>
      <c r="C22" s="270" t="n"/>
      <c r="E22" s="255" t="n"/>
    </row>
    <row r="23">
      <c r="A23" t="inlineStr">
        <is>
          <t>Revenue, FY26 ($B)</t>
        </is>
      </c>
      <c r="B23" s="306">
        <f>Financials!K6</f>
        <v/>
      </c>
      <c r="C23" s="272" t="n"/>
      <c r="E23" s="255" t="n"/>
    </row>
    <row r="24">
      <c r="A24" t="inlineStr">
        <is>
          <t>Revenue growth, last 3 qtrs avg y/y</t>
        </is>
      </c>
      <c r="B24" s="308">
        <f>DCF!B53</f>
        <v/>
      </c>
      <c r="C24" s="272" t="n"/>
      <c r="E24" s="255" t="n"/>
    </row>
    <row r="25">
      <c r="A25" t="inlineStr">
        <is>
          <t>Diluted EPS, TTM ($)</t>
        </is>
      </c>
      <c r="B25" s="309">
        <f>Financials!F19</f>
        <v/>
      </c>
      <c r="C25" s="272" t="n"/>
      <c r="E25" s="255" t="n"/>
    </row>
    <row r="26">
      <c r="A26" t="inlineStr">
        <is>
          <t>Gross margin, Q4 FY26</t>
        </is>
      </c>
      <c r="B26" s="308">
        <f>Multiples!C27</f>
        <v/>
      </c>
      <c r="C26" s="272" t="inlineStr">
        <is>
          <t>quarter to May-26</t>
        </is>
      </c>
      <c r="E26" s="255" t="n"/>
    </row>
    <row r="27">
      <c r="A27" t="inlineStr">
        <is>
          <t>Free cash flow FY26 ($B)</t>
        </is>
      </c>
      <c r="B27" s="306">
        <f>Financials!K10</f>
        <v/>
      </c>
      <c r="C27" s="272" t="n"/>
      <c r="E27" s="256" t="inlineStr">
        <is>
          <t>Valuation view only — not a recommendation to buy or sell.</t>
        </is>
      </c>
    </row>
    <row r="28">
      <c r="A28" t="inlineStr">
        <is>
          <t>9-year FCF CAGR (FY17–FY26)</t>
        </is>
      </c>
      <c r="B28" s="308">
        <f>Financials!L10</f>
        <v/>
      </c>
      <c r="C28" s="272" t="n"/>
    </row>
    <row r="30">
      <c r="A30" s="247" t="inlineStr">
        <is>
          <t>Bull case, bear case, catalysts and risks</t>
        </is>
      </c>
      <c r="B30" s="247" t="n"/>
      <c r="C30" s="247" t="n"/>
      <c r="D30" s="247" t="n"/>
      <c r="E30" s="247" t="n"/>
      <c r="F30" s="247" t="n"/>
      <c r="G30" s="247" t="n"/>
      <c r="H30" s="247" t="n"/>
    </row>
    <row r="31">
      <c r="A31" s="258" t="inlineStr">
        <is>
          <t>Bull case</t>
        </is>
      </c>
      <c r="B31" s="251" t="n"/>
      <c r="C31" s="251" t="n"/>
      <c r="D31" s="259" t="inlineStr">
        <is>
          <t>Bear case</t>
        </is>
      </c>
      <c r="E31" s="251" t="n"/>
      <c r="F31" s="251" t="n"/>
      <c r="G31" s="251" t="n"/>
      <c r="H31" s="251" t="n"/>
    </row>
    <row r="32" ht="30" customHeight="1" s="252">
      <c r="A32" s="301" t="inlineStr">
        <is>
          <t>• $8B of cash and securities, and $0B of buybacks over the last twelve months shrink the share count ~2% a year.</t>
        </is>
      </c>
      <c r="D32" s="301" t="inlineStr">
        <is>
          <t>• The price already discounts ~9% FCF compounding for 10 years vs ~-2% historically.</t>
        </is>
      </c>
    </row>
    <row r="33" ht="30" customHeight="1" s="252">
      <c r="A33" s="301" t="inlineStr">
        <is>
          <t>• At 17x trailing earnings the shares trade below their decade median of 33x.</t>
        </is>
      </c>
      <c r="D33" s="301" t="inlineStr">
        <is>
          <t>• Footwear revenue fell 1% in FY26 (66% of the total).</t>
        </is>
      </c>
    </row>
    <row r="34" ht="30" customHeight="1" s="252">
      <c r="A34" s="301" t="n"/>
      <c r="D34" s="301" t="inlineStr">
        <is>
          <t>• P/E of 17x against a peer median of 8x (Apparel &amp; footwear).</t>
        </is>
      </c>
    </row>
    <row r="35" ht="30" customHeight="1" s="252">
      <c r="A35" s="301" t="n"/>
      <c r="D35" s="301" t="inlineStr">
        <is>
          <t>• Stock-based pay of $0.7B (33% of FCF) is added back in reported free cash flow.</t>
        </is>
      </c>
    </row>
    <row r="37">
      <c r="A37" s="262" t="inlineStr">
        <is>
          <t>Upcoming catalysts</t>
        </is>
      </c>
      <c r="D37" s="262" t="inlineStr">
        <is>
          <t>Data-quality flags</t>
        </is>
      </c>
    </row>
    <row r="38" ht="30" customHeight="1" s="252">
      <c r="A38" s="301" t="inlineStr">
        <is>
          <t>• Q1 FY27 earnings (mid Oct-2026): Refreshes revenue, margins and the trailing-twelve-month figures in this report; tests whether recent growth is holding.</t>
        </is>
      </c>
      <c r="D38" s="301" t="inlineStr">
        <is>
          <t>• Price history covers 5.0 years; returns are total returns (dividend-adjusted closes).</t>
        </is>
      </c>
    </row>
    <row r="39" ht="30" customHeight="1" s="252">
      <c r="A39" s="301" t="inlineStr">
        <is>
          <t>• Q2 FY27 earnings (mid Jan-2027): Refreshes revenue, margins and the trailing-twelve-month figures in this report; tests whether recent growth is holding.</t>
        </is>
      </c>
      <c r="D39" s="301" t="inlineStr">
        <is>
          <t>• Financials are FY26 (audited 10-K).</t>
        </is>
      </c>
    </row>
    <row r="40" ht="30" customHeight="1" s="252">
      <c r="A40" s="301" t="inlineStr">
        <is>
          <t>• Dividend declaration (with results): Last declared $0.41 a share a quarter.</t>
        </is>
      </c>
      <c r="D40" s="301" t="inlineStr">
        <is>
          <t>• Every external figure and its link is on the Sources tab.</t>
        </is>
      </c>
    </row>
    <row r="41" ht="30" customHeight="1" s="252">
      <c r="A41" s="301" t="inlineStr">
        <is>
          <t>• Product launches and demand (ongoing): Recent headlines concern new products.</t>
        </is>
      </c>
      <c r="D41" s="301" t="n"/>
    </row>
    <row r="43">
      <c r="A43" s="247" t="inlineStr">
        <is>
          <t>Contents — click to jump</t>
        </is>
      </c>
      <c r="B43" s="247" t="n"/>
      <c r="C43" s="247" t="n"/>
      <c r="D43" s="247" t="n"/>
      <c r="E43" s="247" t="n"/>
      <c r="F43" s="247" t="n"/>
      <c r="G43" s="247" t="n"/>
      <c r="H43" s="247" t="n"/>
    </row>
    <row r="44">
      <c r="A44" s="263" t="inlineStr">
        <is>
          <t>→ Financials</t>
        </is>
      </c>
      <c r="B44" s="264" t="inlineStr">
        <is>
          <t>10-year history + TTM</t>
        </is>
      </c>
      <c r="E44" s="263" t="inlineStr">
        <is>
          <t>→ Risk</t>
        </is>
      </c>
      <c r="F44" s="264" t="inlineStr">
        <is>
          <t>Performance, drawdown, volatility</t>
        </is>
      </c>
    </row>
    <row r="45">
      <c r="A45" s="263" t="inlineStr">
        <is>
          <t>→ DCF</t>
        </is>
      </c>
      <c r="B45" s="264" t="inlineStr">
        <is>
          <t>Live model &amp; reverse DCF</t>
        </is>
      </c>
      <c r="E45" s="263" t="inlineStr">
        <is>
          <t>→ Catalysts_News</t>
        </is>
      </c>
      <c r="F45" s="264" t="inlineStr">
        <is>
          <t>Catalysts &amp; filtered headlines</t>
        </is>
      </c>
    </row>
    <row r="46">
      <c r="A46" s="263" t="inlineStr">
        <is>
          <t>→ Scenarios</t>
        </is>
      </c>
      <c r="B46" s="264" t="inlineStr">
        <is>
          <t>Bear/base/bull &amp; sensitivities</t>
        </is>
      </c>
      <c r="E46" s="263" t="inlineStr">
        <is>
          <t>→ Methodology</t>
        </is>
      </c>
      <c r="F46" s="264" t="inlineStr">
        <is>
          <t>How every number is built</t>
        </is>
      </c>
    </row>
    <row r="47">
      <c r="A47" s="263" t="inlineStr">
        <is>
          <t>→ Multiples</t>
        </is>
      </c>
      <c r="B47" s="264" t="inlineStr">
        <is>
          <t>Valuation &amp; quality ratios</t>
        </is>
      </c>
      <c r="E47" s="263" t="inlineStr">
        <is>
          <t>→ Sources</t>
        </is>
      </c>
      <c r="F47" s="264" t="inlineStr">
        <is>
          <t>Every external figure, linked</t>
        </is>
      </c>
    </row>
    <row r="49" s="252"/>
    <row r="50" s="252"/>
    <row r="51" s="252"/>
    <row r="52" s="252"/>
    <row r="53" s="252"/>
    <row r="54" s="252"/>
    <row r="55" s="252"/>
    <row r="56" s="252"/>
    <row r="57" s="252"/>
    <row r="58" s="252"/>
    <row r="59" s="252"/>
    <row r="60" s="252"/>
    <row r="61" s="252"/>
    <row r="62" s="252"/>
    <row r="63" s="252"/>
    <row r="64" s="252"/>
    <row r="65" s="252"/>
    <row r="66" s="252"/>
    <row r="67" s="252"/>
    <row r="68" s="252"/>
    <row r="69" s="252"/>
    <row r="70" s="252"/>
    <row r="71" s="252"/>
    <row r="72" s="252"/>
    <row r="73" s="252"/>
    <row r="74" s="252"/>
    <row r="75" s="252"/>
    <row r="76" s="252"/>
    <row r="77" s="252"/>
    <row r="78" s="252"/>
    <row r="79" s="252"/>
    <row r="80" s="252"/>
  </sheetData>
  <mergeCells count="21">
    <mergeCell ref="D35:H35"/>
    <mergeCell ref="A41:C41"/>
    <mergeCell ref="D34:H34"/>
    <mergeCell ref="A37:C37"/>
    <mergeCell ref="D31:H31"/>
    <mergeCell ref="D40:H40"/>
    <mergeCell ref="A33:C33"/>
    <mergeCell ref="A32:C32"/>
    <mergeCell ref="D41:H41"/>
    <mergeCell ref="D32:H32"/>
    <mergeCell ref="A35:C35"/>
    <mergeCell ref="A38:C38"/>
    <mergeCell ref="E19:H26"/>
    <mergeCell ref="A31:C31"/>
    <mergeCell ref="A40:C40"/>
    <mergeCell ref="D37:H37"/>
    <mergeCell ref="A39:C39"/>
    <mergeCell ref="A34:C34"/>
    <mergeCell ref="D39:H39"/>
    <mergeCell ref="D33:H33"/>
    <mergeCell ref="D38:H38"/>
  </mergeCells>
  <conditionalFormatting sqref="F7:H7">
    <cfRule type="cellIs" priority="1" operator="lessThan" dxfId="3">
      <formula>0</formula>
    </cfRule>
  </conditionalFormatting>
  <conditionalFormatting sqref="F10">
    <cfRule type="cellIs" priority="2" operator="lessThan" dxfId="3">
      <formula>0</formula>
    </cfRule>
  </conditionalFormatting>
  <hyperlinks>
    <hyperlink xmlns:r="http://schemas.openxmlformats.org/officeDocument/2006/relationships" ref="A44" location="'Financials'!A1" r:id="rId1"/>
    <hyperlink xmlns:r="http://schemas.openxmlformats.org/officeDocument/2006/relationships" ref="E44" location="'Risk'!A1" r:id="rId2"/>
    <hyperlink xmlns:r="http://schemas.openxmlformats.org/officeDocument/2006/relationships" ref="A45" location="'DCF'!A1" r:id="rId3"/>
    <hyperlink xmlns:r="http://schemas.openxmlformats.org/officeDocument/2006/relationships" ref="E45" location="'Catalysts_News'!A1" r:id="rId4"/>
    <hyperlink xmlns:r="http://schemas.openxmlformats.org/officeDocument/2006/relationships" ref="A46" location="'Scenarios'!A1" r:id="rId5"/>
    <hyperlink xmlns:r="http://schemas.openxmlformats.org/officeDocument/2006/relationships" ref="E46" location="'Methodology'!A1" r:id="rId6"/>
    <hyperlink xmlns:r="http://schemas.openxmlformats.org/officeDocument/2006/relationships" ref="A47" location="'Multiples'!A1" r:id="rId7"/>
    <hyperlink xmlns:r="http://schemas.openxmlformats.org/officeDocument/2006/relationships" ref="E47" location="'Sources'!A1" r:id="rId8"/>
  </hyperlinks>
  <pageMargins left="0.7" right="0.7" top="0.75" bottom="0.75" header="0.3" footer="0.3"/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M43"/>
  <sheetViews>
    <sheetView showGridLines="0" workbookViewId="0">
      <pane ySplit="2" topLeftCell="A18" activePane="bottomLeft" state="frozen"/>
      <selection pane="bottomLeft" activeCell="A1" sqref="A1"/>
    </sheetView>
  </sheetViews>
  <sheetFormatPr baseColWidth="8" defaultRowHeight="14.5"/>
  <cols>
    <col width="45.453125" customWidth="1" style="195" min="1" max="1"/>
    <col width="12.7265625" customWidth="1" style="195" min="2" max="13"/>
    <col width="8.7265625" customWidth="1" style="195" min="14" max="26"/>
  </cols>
  <sheetData>
    <row r="1" ht="30" customHeight="1" s="252">
      <c r="A1" s="146" t="inlineStr">
        <is>
          <t>Nike, Inc. (NKE) — Historical Financials</t>
        </is>
      </c>
      <c r="B1" s="146" t="n"/>
      <c r="C1" s="146" t="n"/>
      <c r="D1" s="146" t="n"/>
      <c r="E1" s="146" t="n"/>
      <c r="F1" s="146" t="n"/>
      <c r="G1" s="146" t="n"/>
      <c r="H1" s="146" t="n"/>
      <c r="I1" s="146" t="n"/>
      <c r="J1" s="146" t="n"/>
      <c r="K1" s="146" t="n"/>
      <c r="L1" s="146" t="n"/>
      <c r="M1" s="146" t="n"/>
    </row>
    <row r="2">
      <c r="A2" s="147" t="inlineStr">
        <is>
          <t>$ in billions except per-share data · Nike's fiscal year ends on May 31</t>
        </is>
      </c>
      <c r="B2" s="147" t="n"/>
      <c r="C2" s="147" t="n"/>
      <c r="D2" s="147" t="n"/>
      <c r="E2" s="147" t="n"/>
      <c r="F2" s="147" t="n"/>
      <c r="G2" s="147" t="n"/>
      <c r="H2" s="147" t="n"/>
      <c r="I2" s="147" t="n"/>
      <c r="J2" s="147" t="n"/>
      <c r="K2" s="147" t="n"/>
      <c r="L2" s="148" t="inlineStr">
        <is>
          <t>← Back to Summary</t>
        </is>
      </c>
      <c r="M2" s="147" t="n"/>
    </row>
    <row r="4">
      <c r="A4" s="149" t="inlineStr">
        <is>
          <t>Annual income &amp; cash flow ($B)</t>
        </is>
      </c>
      <c r="B4" s="149" t="n"/>
      <c r="C4" s="149" t="n"/>
      <c r="D4" s="149" t="n"/>
      <c r="E4" s="149" t="n"/>
      <c r="F4" s="149" t="n"/>
      <c r="G4" s="149" t="n"/>
      <c r="H4" s="149" t="n"/>
      <c r="I4" s="149" t="n"/>
      <c r="J4" s="149" t="n"/>
      <c r="K4" s="149" t="n"/>
      <c r="L4" s="149" t="n"/>
      <c r="M4" s="149" t="n"/>
    </row>
    <row r="5">
      <c r="A5" s="153" t="inlineStr">
        <is>
          <t>Fiscal year</t>
        </is>
      </c>
      <c r="B5" s="152" t="inlineStr">
        <is>
          <t>FY2017</t>
        </is>
      </c>
      <c r="C5" s="152" t="inlineStr">
        <is>
          <t>FY2018</t>
        </is>
      </c>
      <c r="D5" s="152" t="inlineStr">
        <is>
          <t>FY2019</t>
        </is>
      </c>
      <c r="E5" s="152" t="inlineStr">
        <is>
          <t>FY2020</t>
        </is>
      </c>
      <c r="F5" s="152" t="inlineStr">
        <is>
          <t>FY2021</t>
        </is>
      </c>
      <c r="G5" s="152" t="inlineStr">
        <is>
          <t>FY2022</t>
        </is>
      </c>
      <c r="H5" s="152" t="inlineStr">
        <is>
          <t>FY2023</t>
        </is>
      </c>
      <c r="I5" s="152" t="inlineStr">
        <is>
          <t>FY2024</t>
        </is>
      </c>
      <c r="J5" s="152" t="inlineStr">
        <is>
          <t>FY2025</t>
        </is>
      </c>
      <c r="K5" s="152" t="inlineStr">
        <is>
          <t>FY2026</t>
        </is>
      </c>
      <c r="L5" s="152" t="inlineStr">
        <is>
          <t>9-yr CAGR</t>
        </is>
      </c>
      <c r="M5" s="152" t="inlineStr">
        <is>
          <t>5-yr CAGR</t>
        </is>
      </c>
    </row>
    <row r="6">
      <c r="A6" s="150" t="inlineStr">
        <is>
          <t>Revenue</t>
        </is>
      </c>
      <c r="B6" s="314">
        <f>Raw_Fundamentals!B34</f>
        <v/>
      </c>
      <c r="C6" s="314">
        <f>Raw_Fundamentals!C34</f>
        <v/>
      </c>
      <c r="D6" s="314">
        <f>Raw_Fundamentals!D34</f>
        <v/>
      </c>
      <c r="E6" s="314">
        <f>Raw_Fundamentals!E34</f>
        <v/>
      </c>
      <c r="F6" s="314">
        <f>Raw_Fundamentals!F34</f>
        <v/>
      </c>
      <c r="G6" s="314">
        <f>Raw_Fundamentals!G34</f>
        <v/>
      </c>
      <c r="H6" s="314">
        <f>Raw_Fundamentals!H34</f>
        <v/>
      </c>
      <c r="I6" s="314">
        <f>Raw_Fundamentals!I34</f>
        <v/>
      </c>
      <c r="J6" s="314">
        <f>Raw_Fundamentals!J34</f>
        <v/>
      </c>
      <c r="K6" s="314">
        <f>Raw_Fundamentals!K34</f>
        <v/>
      </c>
      <c r="L6" s="315">
        <f>(K6/B6)^(1/9)-1</f>
        <v/>
      </c>
      <c r="M6" s="315">
        <f>(K6/F6)^(1/5)-1</f>
        <v/>
      </c>
    </row>
    <row r="7">
      <c r="A7" s="157" t="inlineStr">
        <is>
          <t xml:space="preserve">  Growth y/y</t>
        </is>
      </c>
      <c r="B7" s="316" t="n"/>
      <c r="C7" s="316">
        <f>C6/B6-1</f>
        <v/>
      </c>
      <c r="D7" s="316">
        <f>D6/C6-1</f>
        <v/>
      </c>
      <c r="E7" s="316">
        <f>E6/D6-1</f>
        <v/>
      </c>
      <c r="F7" s="316">
        <f>F6/E6-1</f>
        <v/>
      </c>
      <c r="G7" s="316">
        <f>G6/F6-1</f>
        <v/>
      </c>
      <c r="H7" s="316">
        <f>H6/G6-1</f>
        <v/>
      </c>
      <c r="I7" s="316">
        <f>I6/H6-1</f>
        <v/>
      </c>
      <c r="J7" s="316">
        <f>J6/I6-1</f>
        <v/>
      </c>
      <c r="K7" s="316">
        <f>K6/J6-1</f>
        <v/>
      </c>
      <c r="L7" s="316" t="n"/>
      <c r="M7" s="316" t="n"/>
    </row>
    <row r="8">
      <c r="A8" s="150" t="inlineStr">
        <is>
          <t>Net income</t>
        </is>
      </c>
      <c r="B8" s="314">
        <f>Raw_Fundamentals!B35</f>
        <v/>
      </c>
      <c r="C8" s="314">
        <f>Raw_Fundamentals!C35</f>
        <v/>
      </c>
      <c r="D8" s="314">
        <f>Raw_Fundamentals!D35</f>
        <v/>
      </c>
      <c r="E8" s="314">
        <f>Raw_Fundamentals!E35</f>
        <v/>
      </c>
      <c r="F8" s="314">
        <f>Raw_Fundamentals!F35</f>
        <v/>
      </c>
      <c r="G8" s="314">
        <f>Raw_Fundamentals!G35</f>
        <v/>
      </c>
      <c r="H8" s="314">
        <f>Raw_Fundamentals!H35</f>
        <v/>
      </c>
      <c r="I8" s="314">
        <f>Raw_Fundamentals!I35</f>
        <v/>
      </c>
      <c r="J8" s="314">
        <f>Raw_Fundamentals!J35</f>
        <v/>
      </c>
      <c r="K8" s="314">
        <f>Raw_Fundamentals!K35</f>
        <v/>
      </c>
      <c r="L8" s="315">
        <f>(K8/B8)^(1/9)-1</f>
        <v/>
      </c>
      <c r="M8" s="315">
        <f>(K8/F8)^(1/5)-1</f>
        <v/>
      </c>
    </row>
    <row r="9">
      <c r="A9" s="157" t="inlineStr">
        <is>
          <t xml:space="preserve">  Net margin</t>
        </is>
      </c>
      <c r="B9" s="316">
        <f>B8/B6</f>
        <v/>
      </c>
      <c r="C9" s="316">
        <f>C8/C6</f>
        <v/>
      </c>
      <c r="D9" s="316">
        <f>D8/D6</f>
        <v/>
      </c>
      <c r="E9" s="316">
        <f>E8/E6</f>
        <v/>
      </c>
      <c r="F9" s="316">
        <f>F8/F6</f>
        <v/>
      </c>
      <c r="G9" s="316">
        <f>G8/G6</f>
        <v/>
      </c>
      <c r="H9" s="316">
        <f>H8/H6</f>
        <v/>
      </c>
      <c r="I9" s="316">
        <f>I8/I6</f>
        <v/>
      </c>
      <c r="J9" s="316">
        <f>J8/J6</f>
        <v/>
      </c>
      <c r="K9" s="316">
        <f>K8/K6</f>
        <v/>
      </c>
      <c r="L9" s="316" t="n"/>
      <c r="M9" s="316" t="n"/>
    </row>
    <row r="10">
      <c r="A10" s="150" t="inlineStr">
        <is>
          <t>Free cash flow (CFO − capex)</t>
        </is>
      </c>
      <c r="B10" s="314">
        <f>Raw_Fundamentals!B36</f>
        <v/>
      </c>
      <c r="C10" s="314">
        <f>Raw_Fundamentals!C36</f>
        <v/>
      </c>
      <c r="D10" s="314">
        <f>Raw_Fundamentals!D36</f>
        <v/>
      </c>
      <c r="E10" s="314">
        <f>Raw_Fundamentals!E36</f>
        <v/>
      </c>
      <c r="F10" s="314">
        <f>Raw_Fundamentals!F36</f>
        <v/>
      </c>
      <c r="G10" s="314">
        <f>Raw_Fundamentals!G36</f>
        <v/>
      </c>
      <c r="H10" s="314">
        <f>Raw_Fundamentals!H36</f>
        <v/>
      </c>
      <c r="I10" s="314">
        <f>Raw_Fundamentals!I36</f>
        <v/>
      </c>
      <c r="J10" s="314">
        <f>Raw_Fundamentals!J36</f>
        <v/>
      </c>
      <c r="K10" s="314">
        <f>Raw_Fundamentals!K36</f>
        <v/>
      </c>
      <c r="L10" s="315">
        <f>(K10/B10)^(1/9)-1</f>
        <v/>
      </c>
      <c r="M10" s="315">
        <f>(K10/F10)^(1/5)-1</f>
        <v/>
      </c>
    </row>
    <row r="11">
      <c r="A11" s="157" t="inlineStr">
        <is>
          <t xml:space="preserve">  FCF margin</t>
        </is>
      </c>
      <c r="B11" s="316">
        <f>B10/B6</f>
        <v/>
      </c>
      <c r="C11" s="316">
        <f>C10/C6</f>
        <v/>
      </c>
      <c r="D11" s="316">
        <f>D10/D6</f>
        <v/>
      </c>
      <c r="E11" s="316">
        <f>E10/E6</f>
        <v/>
      </c>
      <c r="F11" s="316">
        <f>F10/F6</f>
        <v/>
      </c>
      <c r="G11" s="316">
        <f>G10/G6</f>
        <v/>
      </c>
      <c r="H11" s="316">
        <f>H10/H6</f>
        <v/>
      </c>
      <c r="I11" s="316">
        <f>I10/I6</f>
        <v/>
      </c>
      <c r="J11" s="316">
        <f>J10/J6</f>
        <v/>
      </c>
      <c r="K11" s="316">
        <f>K10/K6</f>
        <v/>
      </c>
      <c r="L11" s="316" t="n"/>
      <c r="M11" s="316" t="n"/>
    </row>
    <row r="12">
      <c r="A12" s="157" t="inlineStr">
        <is>
          <t xml:space="preserve">  FCF ÷ net income</t>
        </is>
      </c>
      <c r="B12" s="317">
        <f>B10/B8</f>
        <v/>
      </c>
      <c r="C12" s="317">
        <f>C10/C8</f>
        <v/>
      </c>
      <c r="D12" s="317">
        <f>D10/D8</f>
        <v/>
      </c>
      <c r="E12" s="317">
        <f>E10/E8</f>
        <v/>
      </c>
      <c r="F12" s="317">
        <f>F10/F8</f>
        <v/>
      </c>
      <c r="G12" s="317">
        <f>G10/G8</f>
        <v/>
      </c>
      <c r="H12" s="317">
        <f>H10/H8</f>
        <v/>
      </c>
      <c r="I12" s="317">
        <f>I10/I8</f>
        <v/>
      </c>
      <c r="J12" s="317">
        <f>J10/J8</f>
        <v/>
      </c>
      <c r="K12" s="317">
        <f>K10/K8</f>
        <v/>
      </c>
      <c r="L12" s="316" t="n"/>
      <c r="M12" s="316" t="n"/>
    </row>
    <row r="14">
      <c r="A14" s="149" t="inlineStr">
        <is>
          <t>Latest four quarters — Nike 10-Q / 10-K filings ($B except per share)</t>
        </is>
      </c>
      <c r="B14" s="149" t="n"/>
      <c r="C14" s="149" t="n"/>
      <c r="D14" s="149" t="n"/>
      <c r="E14" s="149" t="n"/>
      <c r="F14" s="149" t="n"/>
      <c r="G14" s="149" t="n"/>
      <c r="H14" s="149" t="n"/>
      <c r="I14" s="149" t="n"/>
      <c r="J14" s="149" t="n"/>
      <c r="K14" s="149" t="n"/>
      <c r="L14" s="149" t="n"/>
      <c r="M14" s="149" t="n"/>
    </row>
    <row r="15">
      <c r="A15" s="153" t="inlineStr">
        <is>
          <t>Fiscal quarter</t>
        </is>
      </c>
      <c r="B15" s="152" t="inlineStr">
        <is>
          <t>Q1 FY26</t>
        </is>
      </c>
      <c r="C15" s="152" t="inlineStr">
        <is>
          <t>Q2 FY26</t>
        </is>
      </c>
      <c r="D15" s="152" t="inlineStr">
        <is>
          <t>Q3 FY26</t>
        </is>
      </c>
      <c r="E15" s="152" t="inlineStr">
        <is>
          <t>Q4 FY26</t>
        </is>
      </c>
      <c r="F15" s="152" t="inlineStr">
        <is>
          <t>TTM</t>
        </is>
      </c>
    </row>
    <row r="16">
      <c r="A16" s="162" t="inlineStr">
        <is>
          <t>Quarter ended</t>
        </is>
      </c>
      <c r="B16" s="163" t="n">
        <v>45900</v>
      </c>
      <c r="C16" s="163" t="n">
        <v>45991</v>
      </c>
      <c r="D16" s="163" t="n">
        <v>46081</v>
      </c>
      <c r="E16" s="163" t="n">
        <v>46173</v>
      </c>
      <c r="F16" s="163" t="n">
        <v>46173</v>
      </c>
    </row>
    <row r="17">
      <c r="A17" s="150" t="inlineStr">
        <is>
          <t>Revenue</t>
        </is>
      </c>
      <c r="B17" s="318" t="n">
        <v>11.72</v>
      </c>
      <c r="C17" s="318" t="n">
        <v>12.427</v>
      </c>
      <c r="D17" s="318" t="n">
        <v>11.279</v>
      </c>
      <c r="E17" s="318" t="n">
        <v>10.972</v>
      </c>
      <c r="F17" s="319">
        <f>SUM(B17:E17)</f>
        <v/>
      </c>
    </row>
    <row r="18">
      <c r="A18" s="195" t="inlineStr">
        <is>
          <t xml:space="preserve">  Revenue growth y/y (as reported)</t>
        </is>
      </c>
      <c r="B18" s="320" t="n">
        <v>0.01130382259038742</v>
      </c>
      <c r="C18" s="320" t="n">
        <v>0.00590901732232485</v>
      </c>
      <c r="D18" s="320" t="n">
        <v>0.000887390185464465</v>
      </c>
      <c r="E18" s="320" t="n">
        <v>-0.01126430566819858</v>
      </c>
      <c r="F18" s="321" t="n"/>
    </row>
    <row r="19">
      <c r="A19" s="150" t="inlineStr">
        <is>
          <t>Diluted EPS ($)</t>
        </is>
      </c>
      <c r="B19" s="322" t="n">
        <v>0.49</v>
      </c>
      <c r="C19" s="322" t="n">
        <v>0.53</v>
      </c>
      <c r="D19" s="322" t="n">
        <v>0.35</v>
      </c>
      <c r="E19" s="322" t="n">
        <v>0.7200000000000002</v>
      </c>
      <c r="F19" s="323">
        <f>SUM(B19:E19)</f>
        <v/>
      </c>
    </row>
    <row r="20">
      <c r="A20" s="195" t="inlineStr">
        <is>
          <t xml:space="preserve">  Diluted EPS growth y/y (as reported)</t>
        </is>
      </c>
      <c r="B20" s="320" t="n">
        <v>-0.2999999999999999</v>
      </c>
      <c r="C20" s="320" t="n">
        <v>-0.3205128205128205</v>
      </c>
      <c r="D20" s="320" t="n">
        <v>-0.351851851851852</v>
      </c>
      <c r="E20" s="320" t="n">
        <v>4.14285714285714</v>
      </c>
      <c r="F20" s="321" t="n"/>
    </row>
    <row r="21">
      <c r="A21" s="175" t="inlineStr">
        <is>
          <t>Q4 FY26 EPS is the full year less the first nine months (the 10-K reports the year, not the quarter). Q3 FY26 EPS growth compares with Q3 FY25, which was taxed at 6% against a usual 17% — a one-off tax item in the base quarter. Q4 FY26 EPS growth compares with Q4 FY25, which was taxed at 34% against a usual 17% — a one-off tax item in the base quarter. Q4 FY26 gross margin: 49.2%.</t>
        </is>
      </c>
    </row>
    <row r="23">
      <c r="A23" s="149" t="inlineStr">
        <is>
          <t>Balance sheet &amp; other items ($B)</t>
        </is>
      </c>
      <c r="B23" s="149" t="n"/>
      <c r="C23" s="149" t="n"/>
      <c r="D23" s="149" t="n"/>
      <c r="E23" s="149" t="n"/>
      <c r="F23" s="149" t="n"/>
      <c r="G23" s="149" t="n"/>
      <c r="H23" s="149" t="n"/>
      <c r="I23" s="149" t="n"/>
      <c r="J23" s="149" t="n"/>
      <c r="K23" s="149" t="n"/>
      <c r="L23" s="149" t="n"/>
      <c r="M23" s="149" t="n"/>
    </row>
    <row r="24" ht="28" customHeight="1" s="252">
      <c r="A24" s="153" t="n"/>
      <c r="B24" s="184" t="inlineStr">
        <is>
          <t>FY26 · 31-May-2026 (10-K)</t>
        </is>
      </c>
      <c r="C24" s="184" t="inlineStr">
        <is>
          <t>n/a</t>
        </is>
      </c>
    </row>
    <row r="25">
      <c r="A25" s="195" t="inlineStr">
        <is>
          <t>Cash &amp; cash equivalents</t>
        </is>
      </c>
      <c r="B25" s="324" t="n">
        <v>7.563</v>
      </c>
      <c r="C25" s="328" t="inlineStr">
        <is>
          <t>n/a</t>
        </is>
      </c>
    </row>
    <row r="26">
      <c r="A26" s="195" t="inlineStr">
        <is>
          <t>Current marketable securities</t>
        </is>
      </c>
      <c r="B26" s="324" t="n">
        <v>0</v>
      </c>
      <c r="C26" s="328" t="inlineStr">
        <is>
          <t>n/a</t>
        </is>
      </c>
    </row>
    <row r="27">
      <c r="A27" s="195" t="inlineStr">
        <is>
          <t>Non-current marketable securities</t>
        </is>
      </c>
      <c r="B27" s="324" t="n">
        <v>0</v>
      </c>
      <c r="C27" s="328" t="inlineStr">
        <is>
          <t>n/a</t>
        </is>
      </c>
    </row>
    <row r="28">
      <c r="A28" s="150" t="inlineStr">
        <is>
          <t>Total cash &amp; marketable securities</t>
        </is>
      </c>
      <c r="B28" s="326">
        <f>SUM(B25:B27)</f>
        <v/>
      </c>
      <c r="C28" s="327" t="inlineStr">
        <is>
          <t>n/a</t>
        </is>
      </c>
    </row>
    <row r="29">
      <c r="A29" s="195" t="inlineStr">
        <is>
          <t>Commercial paper</t>
        </is>
      </c>
      <c r="B29" s="324" t="n">
        <v>0</v>
      </c>
      <c r="C29" s="328" t="inlineStr">
        <is>
          <t>n/a</t>
        </is>
      </c>
    </row>
    <row r="30">
      <c r="A30" s="195" t="inlineStr">
        <is>
          <t>Term debt (notes, carrying amount)</t>
        </is>
      </c>
      <c r="B30" s="324" t="n">
        <v>7.942</v>
      </c>
      <c r="C30" s="328" t="inlineStr">
        <is>
          <t>n/a</t>
        </is>
      </c>
    </row>
    <row r="31">
      <c r="A31" s="150" t="inlineStr">
        <is>
          <t>Total debt</t>
        </is>
      </c>
      <c r="B31" s="326">
        <f>B29+B30</f>
        <v/>
      </c>
      <c r="C31" s="327" t="inlineStr">
        <is>
          <t>n/a</t>
        </is>
      </c>
    </row>
    <row r="32">
      <c r="A32" s="180" t="inlineStr">
        <is>
          <t>Net cash / (net debt) — all securities</t>
        </is>
      </c>
      <c r="B32" s="329">
        <f>B28-B31</f>
        <v/>
      </c>
      <c r="C32" s="330" t="inlineStr">
        <is>
          <t>n/a</t>
        </is>
      </c>
    </row>
    <row r="33">
      <c r="A33" s="195" t="inlineStr">
        <is>
          <t>Shareholders' equity</t>
        </is>
      </c>
      <c r="B33" s="324" t="n">
        <v>14.865</v>
      </c>
      <c r="C33" s="328" t="inlineStr">
        <is>
          <t>n/a</t>
        </is>
      </c>
    </row>
    <row r="34">
      <c r="A34" s="195" t="inlineStr">
        <is>
          <t>Total assets</t>
        </is>
      </c>
      <c r="B34" s="324" t="n">
        <v>38.41</v>
      </c>
      <c r="C34" s="328" t="inlineStr">
        <is>
          <t>n/a</t>
        </is>
      </c>
    </row>
    <row r="35">
      <c r="A35" s="195" t="inlineStr">
        <is>
          <t>Cash from operations</t>
        </is>
      </c>
      <c r="B35" s="324" t="n">
        <v>2.868</v>
      </c>
      <c r="C35" s="325" t="n"/>
    </row>
    <row r="36">
      <c r="A36" s="195" t="inlineStr">
        <is>
          <t>Capital expenditures</t>
        </is>
      </c>
      <c r="B36" s="331">
        <f>B35-K10</f>
        <v/>
      </c>
      <c r="C36" s="325" t="n"/>
    </row>
    <row r="37">
      <c r="A37" s="195" t="inlineStr">
        <is>
          <t>Share-based compensation</t>
        </is>
      </c>
      <c r="B37" s="324" t="n">
        <v>0.715</v>
      </c>
      <c r="C37" s="325" t="n"/>
    </row>
    <row r="38">
      <c r="A38" s="195" t="inlineStr">
        <is>
          <t>FCF after SBC</t>
        </is>
      </c>
      <c r="B38" s="331">
        <f>K10-B37</f>
        <v/>
      </c>
      <c r="C38" s="325" t="n"/>
    </row>
    <row r="39">
      <c r="A39" s="195" t="inlineStr">
        <is>
          <t>Depreciation &amp; amortisation</t>
        </is>
      </c>
      <c r="B39" s="324" t="n">
        <v>0.747</v>
      </c>
      <c r="C39" s="325" t="n"/>
    </row>
    <row r="40">
      <c r="A40" s="195" t="inlineStr">
        <is>
          <t>Operating income</t>
        </is>
      </c>
      <c r="B40" s="332" t="inlineStr">
        <is>
          <t>N/A</t>
        </is>
      </c>
      <c r="C40" s="325" t="n"/>
    </row>
    <row r="41">
      <c r="A41" s="195" t="inlineStr">
        <is>
          <t>Shares outstanding (B) — market cap ÷ price</t>
        </is>
      </c>
      <c r="B41" s="333" t="n">
        <v>1.485556291586394</v>
      </c>
      <c r="C41" s="325" t="n"/>
    </row>
    <row r="43">
      <c r="A43" s="175" t="inlineStr">
        <is>
          <t>Annual figures link to the SEC EDGAR pull on Raw_Fundamentals; quarterly, balance-sheet and TTM figures are from the XBRL in each 10-Q / 10-K (hover for the filing). Blue = hard-coded source input · Green = link to another tab · Black = formula.</t>
        </is>
      </c>
    </row>
  </sheetData>
  <hyperlinks>
    <hyperlink xmlns:r="http://schemas.openxmlformats.org/officeDocument/2006/relationships" ref="L2" location="'Summary'!A1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K184"/>
  <sheetViews>
    <sheetView showGridLines="0" workbookViewId="0">
      <pane ySplit="2" topLeftCell="A25" activePane="bottomLeft" state="frozen"/>
      <selection pane="bottomLeft" activeCell="A1" sqref="A1"/>
    </sheetView>
  </sheetViews>
  <sheetFormatPr baseColWidth="8" defaultRowHeight="14.5"/>
  <cols>
    <col width="43.6328125" customWidth="1" style="195" min="1" max="1"/>
    <col width="15.453125" customWidth="1" style="195" min="2" max="7"/>
    <col width="3.6328125" customWidth="1" style="195" min="8" max="9"/>
    <col outlineLevel="1" width="8.7265625" customWidth="1" style="195" min="10" max="11"/>
    <col width="8.7265625" customWidth="1" style="195" min="12" max="26"/>
  </cols>
  <sheetData>
    <row r="1" ht="30" customHeight="1" s="252">
      <c r="A1" s="146" t="inlineStr">
        <is>
          <t>Nike, Inc. (NKE) — Discounted Cash Flow Valuation</t>
        </is>
      </c>
      <c r="B1" s="146" t="n"/>
      <c r="C1" s="146" t="n"/>
      <c r="D1" s="146" t="n"/>
      <c r="E1" s="146" t="n"/>
      <c r="F1" s="146" t="n"/>
      <c r="G1" s="146" t="n"/>
      <c r="H1" s="146" t="n"/>
    </row>
    <row r="2">
      <c r="A2" s="147" t="inlineStr">
        <is>
          <t>Two-stage free-cash-flow DCF · $ in billions except per share · blue/yellow cells are editable inputs</t>
        </is>
      </c>
      <c r="B2" s="147" t="n"/>
      <c r="C2" s="147" t="n"/>
      <c r="D2" s="147" t="n"/>
      <c r="E2" s="147" t="n"/>
      <c r="F2" s="147" t="n"/>
      <c r="G2" s="148" t="inlineStr">
        <is>
          <t>← Back to Summary</t>
        </is>
      </c>
      <c r="H2" s="147" t="n"/>
    </row>
    <row r="4">
      <c r="A4" s="149" t="inlineStr">
        <is>
          <t>Inputs</t>
        </is>
      </c>
      <c r="B4" s="149" t="n"/>
      <c r="C4" s="149" t="n"/>
      <c r="D4" s="149" t="n"/>
      <c r="E4" s="149" t="n"/>
      <c r="F4" s="149" t="n"/>
      <c r="G4" s="149" t="n"/>
      <c r="H4" s="149" t="n"/>
    </row>
    <row r="5">
      <c r="A5" s="195" t="inlineStr">
        <is>
          <t>Current share price ($)</t>
        </is>
      </c>
      <c r="B5" s="334">
        <f>Price_Data!E1254</f>
        <v/>
      </c>
      <c r="C5" s="197" t="inlineStr">
        <is>
          <t>Report price: close of 23-Sep-2026 (Yahoo Finance).</t>
        </is>
      </c>
    </row>
    <row r="6">
      <c r="A6" s="195" t="inlineStr">
        <is>
          <t>Shares outstanding (B)</t>
        </is>
      </c>
      <c r="B6" s="335">
        <f>Financials!B41</f>
        <v/>
      </c>
      <c r="C6" s="197" t="inlineStr">
        <is>
          <t>Market cap ÷ price (no current 10-Q cover count).</t>
        </is>
      </c>
    </row>
    <row r="7">
      <c r="A7" s="195" t="inlineStr">
        <is>
          <t>Discount rate (WACC)</t>
        </is>
      </c>
      <c r="B7" s="336" t="n">
        <v>0.0951</v>
      </c>
      <c r="C7" s="197" t="inlineStr">
        <is>
          <t>CAPM: 4.96% 10-yr Treasury + 1.05 adjusted beta × 5.0% ERP = 10.2% cost of equity, blended with 4.9% after-tax debt at a 13% weight. Cross-check below.</t>
        </is>
      </c>
    </row>
    <row r="8">
      <c r="A8" s="195" t="inlineStr">
        <is>
          <t>Terminal growth rate</t>
        </is>
      </c>
      <c r="B8" s="336" t="n">
        <v>0.025</v>
      </c>
      <c r="C8" s="197" t="inlineStr">
        <is>
          <t>Perpetual growth after year 10. Must be below WACC; ~nominal GDP growth or less.</t>
        </is>
      </c>
    </row>
    <row r="9">
      <c r="A9" s="195" t="inlineStr">
        <is>
          <t>Stage-1 FCF growth (year 1)</t>
        </is>
      </c>
      <c r="B9" s="379" t="n">
        <v>0.03</v>
      </c>
      <c r="C9" s="197" t="inlineStr">
        <is>
          <t>Historical FCF CAGR bounded to a sane range (or revenue CAGR where FCF was negative); fades linearly to terminal growth by year 10. Overwrite to test.</t>
        </is>
      </c>
    </row>
    <row r="10">
      <c r="A10" s="195" t="inlineStr">
        <is>
          <t>Base FCF method</t>
        </is>
      </c>
      <c r="B10" s="186" t="inlineStr">
        <is>
          <t>FY26 reported</t>
        </is>
      </c>
      <c r="C10" s="197" t="inlineStr">
        <is>
          <t>Choose: FY26 reported / 3-yr average (FY24–FY26).</t>
        </is>
      </c>
    </row>
    <row r="11">
      <c r="A11" s="195" t="inlineStr">
        <is>
          <t>Deduct stock-based compensation?</t>
        </is>
      </c>
      <c r="B11" s="186" t="inlineStr">
        <is>
          <t>No</t>
        </is>
      </c>
      <c r="C11" s="197" t="inlineStr">
        <is>
          <t>Yes = treat SBC as a real cost (more conservative; FY26 SBC $0.7B).</t>
        </is>
      </c>
    </row>
    <row r="12">
      <c r="A12" s="195" t="inlineStr">
        <is>
          <t>Count non-current securities as cash?</t>
        </is>
      </c>
      <c r="B12" s="186" t="inlineStr">
        <is>
          <t>Yes</t>
        </is>
      </c>
      <c r="C12" s="197" t="inlineStr">
        <is>
          <t>No non-current marketable securities reported.</t>
        </is>
      </c>
    </row>
    <row r="13">
      <c r="A13" s="195" t="inlineStr">
        <is>
          <t>Mid-year discounting?</t>
        </is>
      </c>
      <c r="B13" s="186" t="inlineStr">
        <is>
          <t>Yes</t>
        </is>
      </c>
      <c r="C13" s="197" t="inlineStr">
        <is>
          <t>Yes = cash flows arrive mid-year on average (standard practice).</t>
        </is>
      </c>
    </row>
    <row r="14">
      <c r="A14" s="195" t="inlineStr">
        <is>
          <t>Risk-free rate (3-month T-bill)</t>
        </is>
      </c>
      <c r="B14" s="205" t="n">
        <v>0.0416</v>
      </c>
      <c r="C14" s="197" t="inlineStr">
        <is>
          <t>Used only for the ERP cross-check below.</t>
        </is>
      </c>
    </row>
    <row r="15">
      <c r="B15" s="187" t="n"/>
      <c r="C15" s="197" t="n"/>
    </row>
    <row r="16">
      <c r="A16" s="149" t="inlineStr">
        <is>
          <t>Derived inputs</t>
        </is>
      </c>
      <c r="B16" s="206" t="n"/>
      <c r="C16" s="198" t="n"/>
      <c r="D16" s="149" t="n"/>
      <c r="E16" s="149" t="n"/>
      <c r="F16" s="149" t="n"/>
      <c r="G16" s="149" t="n"/>
      <c r="H16" s="149" t="n"/>
    </row>
    <row r="17">
      <c r="A17" s="195" t="inlineStr">
        <is>
          <t>Base free cash flow ($B)</t>
        </is>
      </c>
      <c r="B17" s="325">
        <f>IF(B10="3-yr average",AVERAGE(Financials!I10:K10),Financials!K10)-IF(B11="Yes",Financials!B37,0)</f>
        <v/>
      </c>
      <c r="C17" s="197" t="inlineStr">
        <is>
          <t>FCF = cash from operations − capex (SBC added back unless deducted above).</t>
        </is>
      </c>
    </row>
    <row r="18">
      <c r="A18" s="195" t="inlineStr">
        <is>
          <t>Net debt / (net cash) ($B)</t>
        </is>
      </c>
      <c r="B18" s="325">
        <f>Financials!B31-Financials!B25-Financials!B26-IF(B12="Yes",Financials!B27,0)</f>
        <v/>
      </c>
      <c r="C18" s="197" t="inlineStr">
        <is>
          <t>Negative = net cash (added to equity value). Balance sheet at 31-May-2026 (10-K).</t>
        </is>
      </c>
    </row>
    <row r="19">
      <c r="A19" s="195" t="inlineStr">
        <is>
          <t>Mid-year flag</t>
        </is>
      </c>
      <c r="B19" s="207">
        <f>IF(B13="Yes",1,0)</f>
        <v/>
      </c>
      <c r="C19" s="197" t="n"/>
    </row>
    <row r="20">
      <c r="A20" s="195" t="inlineStr">
        <is>
          <t>Implied equity risk premium at beta 1.0</t>
        </is>
      </c>
      <c r="B20" s="338">
        <f>B7-B14</f>
        <v/>
      </c>
      <c r="C20" s="197" t="inlineStr">
        <is>
          <t>WACC − risk-free. 4–6% is a typical range.</t>
        </is>
      </c>
    </row>
    <row r="21">
      <c r="B21" s="187" t="n"/>
      <c r="C21" s="197" t="n"/>
    </row>
    <row r="22">
      <c r="A22" s="149" t="inlineStr">
        <is>
          <t>10-year free cash flow projection ($B)</t>
        </is>
      </c>
      <c r="B22" s="206" t="n"/>
      <c r="C22" s="198" t="n"/>
      <c r="D22" s="149" t="n"/>
      <c r="E22" s="149" t="n"/>
      <c r="F22" s="149" t="n"/>
      <c r="G22" s="149" t="n"/>
      <c r="H22" s="149" t="n"/>
      <c r="J22" s="191" t="inlineStr">
        <is>
          <t>Reverse-DCF helper</t>
        </is>
      </c>
      <c r="K22" s="191" t="n"/>
    </row>
    <row r="23">
      <c r="A23" s="153" t="inlineStr">
        <is>
          <t>Year</t>
        </is>
      </c>
      <c r="B23" s="152" t="inlineStr">
        <is>
          <t>Fiscal year</t>
        </is>
      </c>
      <c r="C23" s="199" t="inlineStr">
        <is>
          <t>FCF growth</t>
        </is>
      </c>
      <c r="D23" s="152" t="inlineStr">
        <is>
          <t>Free cash flow</t>
        </is>
      </c>
      <c r="E23" s="152" t="inlineStr">
        <is>
          <t>Discount period</t>
        </is>
      </c>
      <c r="F23" s="152" t="inlineStr">
        <is>
          <t>Discount factor</t>
        </is>
      </c>
      <c r="G23" s="152" t="inlineStr">
        <is>
          <t>PV of FCF</t>
        </is>
      </c>
      <c r="J23" s="191" t="inlineStr">
        <is>
          <t>Year-1 growth</t>
        </is>
      </c>
      <c r="K23" s="191" t="inlineStr">
        <is>
          <t>Fair value ($)</t>
        </is>
      </c>
    </row>
    <row r="24">
      <c r="A24" s="187" t="n">
        <v>1</v>
      </c>
      <c r="B24" s="187">
        <f>"FY"&amp;(2026+A24)</f>
        <v/>
      </c>
      <c r="C24" s="339">
        <f>$B$9-($B$9-$B$8)*(A24-1)/9</f>
        <v/>
      </c>
      <c r="D24" s="331">
        <f>$B$17*(1+C24)</f>
        <v/>
      </c>
      <c r="E24" s="340">
        <f>A24-0.5*$B$19</f>
        <v/>
      </c>
      <c r="F24" s="341">
        <f>1/(1+$B$7)^E24</f>
        <v/>
      </c>
      <c r="G24" s="331">
        <f>D24*F24</f>
        <v/>
      </c>
      <c r="J24" s="192" t="n">
        <v>-0.2</v>
      </c>
      <c r="K24" s="342" cm="1">
        <f t="array" ref="K24">_xlfn.LET(_xlpm.gs,J24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5">
      <c r="A25" s="187" t="n">
        <v>2</v>
      </c>
      <c r="B25" s="187">
        <f>"FY"&amp;(2026+A25)</f>
        <v/>
      </c>
      <c r="C25" s="339">
        <f>$B$9-($B$9-$B$8)*(A25-1)/9</f>
        <v/>
      </c>
      <c r="D25" s="331">
        <f>D24*(1+C25)</f>
        <v/>
      </c>
      <c r="E25" s="340">
        <f>A25-0.5*$B$19</f>
        <v/>
      </c>
      <c r="F25" s="341">
        <f>1/(1+$B$7)^E25</f>
        <v/>
      </c>
      <c r="G25" s="331">
        <f>D25*F25</f>
        <v/>
      </c>
      <c r="J25" s="192">
        <f>J24+0.005</f>
        <v/>
      </c>
      <c r="K25" s="342" cm="1">
        <f t="array" ref="K25">_xlfn.LET(_xlpm.gs,J25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6">
      <c r="A26" s="187" t="n">
        <v>3</v>
      </c>
      <c r="B26" s="187">
        <f>"FY"&amp;(2026+A26)</f>
        <v/>
      </c>
      <c r="C26" s="339">
        <f>$B$9-($B$9-$B$8)*(A26-1)/9</f>
        <v/>
      </c>
      <c r="D26" s="331">
        <f>D25*(1+C26)</f>
        <v/>
      </c>
      <c r="E26" s="340">
        <f>A26-0.5*$B$19</f>
        <v/>
      </c>
      <c r="F26" s="341">
        <f>1/(1+$B$7)^E26</f>
        <v/>
      </c>
      <c r="G26" s="331">
        <f>D26*F26</f>
        <v/>
      </c>
      <c r="J26" s="192">
        <f>J25+0.005</f>
        <v/>
      </c>
      <c r="K26" s="342" cm="1">
        <f t="array" ref="K26">_xlfn.LET(_xlpm.gs,J26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7">
      <c r="A27" s="187" t="n">
        <v>4</v>
      </c>
      <c r="B27" s="187">
        <f>"FY"&amp;(2026+A27)</f>
        <v/>
      </c>
      <c r="C27" s="339">
        <f>$B$9-($B$9-$B$8)*(A27-1)/9</f>
        <v/>
      </c>
      <c r="D27" s="331">
        <f>D26*(1+C27)</f>
        <v/>
      </c>
      <c r="E27" s="340">
        <f>A27-0.5*$B$19</f>
        <v/>
      </c>
      <c r="F27" s="341">
        <f>1/(1+$B$7)^E27</f>
        <v/>
      </c>
      <c r="G27" s="331">
        <f>D27*F27</f>
        <v/>
      </c>
      <c r="J27" s="192">
        <f>J26+0.005</f>
        <v/>
      </c>
      <c r="K27" s="342" cm="1">
        <f t="array" ref="K27">_xlfn.LET(_xlpm.gs,J27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8">
      <c r="A28" s="187" t="n">
        <v>5</v>
      </c>
      <c r="B28" s="187">
        <f>"FY"&amp;(2026+A28)</f>
        <v/>
      </c>
      <c r="C28" s="339">
        <f>$B$9-($B$9-$B$8)*(A28-1)/9</f>
        <v/>
      </c>
      <c r="D28" s="331">
        <f>D27*(1+C28)</f>
        <v/>
      </c>
      <c r="E28" s="340">
        <f>A28-0.5*$B$19</f>
        <v/>
      </c>
      <c r="F28" s="341">
        <f>1/(1+$B$7)^E28</f>
        <v/>
      </c>
      <c r="G28" s="331">
        <f>D28*F28</f>
        <v/>
      </c>
      <c r="J28" s="192">
        <f>J27+0.005</f>
        <v/>
      </c>
      <c r="K28" s="342" cm="1">
        <f t="array" ref="K28">_xlfn.LET(_xlpm.gs,J28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9">
      <c r="A29" s="187" t="n">
        <v>6</v>
      </c>
      <c r="B29" s="187">
        <f>"FY"&amp;(2026+A29)</f>
        <v/>
      </c>
      <c r="C29" s="339">
        <f>$B$9-($B$9-$B$8)*(A29-1)/9</f>
        <v/>
      </c>
      <c r="D29" s="331">
        <f>D28*(1+C29)</f>
        <v/>
      </c>
      <c r="E29" s="340">
        <f>A29-0.5*$B$19</f>
        <v/>
      </c>
      <c r="F29" s="341">
        <f>1/(1+$B$7)^E29</f>
        <v/>
      </c>
      <c r="G29" s="331">
        <f>D29*F29</f>
        <v/>
      </c>
      <c r="J29" s="192">
        <f>J28+0.005</f>
        <v/>
      </c>
      <c r="K29" s="342" cm="1">
        <f t="array" ref="K29">_xlfn.LET(_xlpm.gs,J29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0">
      <c r="A30" s="187" t="n">
        <v>7</v>
      </c>
      <c r="B30" s="187">
        <f>"FY"&amp;(2026+A30)</f>
        <v/>
      </c>
      <c r="C30" s="339">
        <f>$B$9-($B$9-$B$8)*(A30-1)/9</f>
        <v/>
      </c>
      <c r="D30" s="331">
        <f>D29*(1+C30)</f>
        <v/>
      </c>
      <c r="E30" s="340">
        <f>A30-0.5*$B$19</f>
        <v/>
      </c>
      <c r="F30" s="341">
        <f>1/(1+$B$7)^E30</f>
        <v/>
      </c>
      <c r="G30" s="331">
        <f>D30*F30</f>
        <v/>
      </c>
      <c r="J30" s="192">
        <f>J29+0.005</f>
        <v/>
      </c>
      <c r="K30" s="342" cm="1">
        <f t="array" ref="K30">_xlfn.LET(_xlpm.gs,J30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1">
      <c r="A31" s="187" t="n">
        <v>8</v>
      </c>
      <c r="B31" s="187">
        <f>"FY"&amp;(2026+A31)</f>
        <v/>
      </c>
      <c r="C31" s="339">
        <f>$B$9-($B$9-$B$8)*(A31-1)/9</f>
        <v/>
      </c>
      <c r="D31" s="331">
        <f>D30*(1+C31)</f>
        <v/>
      </c>
      <c r="E31" s="340">
        <f>A31-0.5*$B$19</f>
        <v/>
      </c>
      <c r="F31" s="341">
        <f>1/(1+$B$7)^E31</f>
        <v/>
      </c>
      <c r="G31" s="331">
        <f>D31*F31</f>
        <v/>
      </c>
      <c r="J31" s="192">
        <f>J30+0.005</f>
        <v/>
      </c>
      <c r="K31" s="342" cm="1">
        <f t="array" ref="K31">_xlfn.LET(_xlpm.gs,J31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2">
      <c r="A32" s="187" t="n">
        <v>9</v>
      </c>
      <c r="B32" s="187">
        <f>"FY"&amp;(2026+A32)</f>
        <v/>
      </c>
      <c r="C32" s="339">
        <f>$B$9-($B$9-$B$8)*(A32-1)/9</f>
        <v/>
      </c>
      <c r="D32" s="331">
        <f>D31*(1+C32)</f>
        <v/>
      </c>
      <c r="E32" s="340">
        <f>A32-0.5*$B$19</f>
        <v/>
      </c>
      <c r="F32" s="341">
        <f>1/(1+$B$7)^E32</f>
        <v/>
      </c>
      <c r="G32" s="331">
        <f>D32*F32</f>
        <v/>
      </c>
      <c r="J32" s="192">
        <f>J31+0.005</f>
        <v/>
      </c>
      <c r="K32" s="342" cm="1">
        <f t="array" ref="K32">_xlfn.LET(_xlpm.gs,J32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3">
      <c r="A33" s="187" t="n">
        <v>10</v>
      </c>
      <c r="B33" s="187">
        <f>"FY"&amp;(2026+A33)</f>
        <v/>
      </c>
      <c r="C33" s="339">
        <f>$B$9-($B$9-$B$8)*(A33-1)/9</f>
        <v/>
      </c>
      <c r="D33" s="331">
        <f>D32*(1+C33)</f>
        <v/>
      </c>
      <c r="E33" s="340">
        <f>A33-0.5*$B$19</f>
        <v/>
      </c>
      <c r="F33" s="341">
        <f>1/(1+$B$7)^E33</f>
        <v/>
      </c>
      <c r="G33" s="331">
        <f>D33*F33</f>
        <v/>
      </c>
      <c r="J33" s="192">
        <f>J32+0.005</f>
        <v/>
      </c>
      <c r="K33" s="342" cm="1">
        <f t="array" ref="K33">_xlfn.LET(_xlpm.gs,J33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4">
      <c r="B34" s="187" t="n"/>
      <c r="C34" s="197" t="n"/>
      <c r="J34" s="192">
        <f>J33+0.005</f>
        <v/>
      </c>
      <c r="K34" s="342" cm="1">
        <f t="array" ref="K34">_xlfn.LET(_xlpm.gs,J34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5">
      <c r="A35" s="149" t="inlineStr">
        <is>
          <t>Valuation bridge</t>
        </is>
      </c>
      <c r="B35" s="206" t="n"/>
      <c r="C35" s="198" t="n"/>
      <c r="D35" s="149" t="n"/>
      <c r="E35" s="149" t="n"/>
      <c r="F35" s="149" t="n"/>
      <c r="G35" s="149" t="n"/>
      <c r="H35" s="149" t="n"/>
      <c r="J35" s="192">
        <f>J34+0.005</f>
        <v/>
      </c>
      <c r="K35" s="342" cm="1">
        <f t="array" ref="K35">_xlfn.LET(_xlpm.gs,J35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6">
      <c r="A36" s="195" t="inlineStr">
        <is>
          <t>PV of forecast FCF ($B)</t>
        </is>
      </c>
      <c r="B36" s="325">
        <f>SUM(G24:G33)</f>
        <v/>
      </c>
      <c r="C36" s="197" t="n"/>
      <c r="J36" s="192">
        <f>J35+0.005</f>
        <v/>
      </c>
      <c r="K36" s="342" cm="1">
        <f t="array" ref="K36">_xlfn.LET(_xlpm.gs,J36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7">
      <c r="A37" s="195" t="inlineStr">
        <is>
          <t>Terminal value at year 10 ($B)</t>
        </is>
      </c>
      <c r="B37" s="325">
        <f>D33*(1+B8)/(B7-B8)</f>
        <v/>
      </c>
      <c r="C37" s="197" t="inlineStr">
        <is>
          <t>Gordon growth on year-11 FCF.</t>
        </is>
      </c>
      <c r="J37" s="192">
        <f>J36+0.005</f>
        <v/>
      </c>
      <c r="K37" s="342" cm="1">
        <f t="array" ref="K37">_xlfn.LET(_xlpm.gs,J37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8">
      <c r="A38" s="195" t="inlineStr">
        <is>
          <t>PV of terminal value ($B)</t>
        </is>
      </c>
      <c r="B38" s="325">
        <f>B37/(1+B7)^A33</f>
        <v/>
      </c>
      <c r="C38" s="197" t="inlineStr">
        <is>
          <t>Discounted a full 10 years.</t>
        </is>
      </c>
      <c r="J38" s="192">
        <f>J37+0.005</f>
        <v/>
      </c>
      <c r="K38" s="342" cm="1">
        <f t="array" ref="K38">_xlfn.LET(_xlpm.gs,J38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9">
      <c r="A39" s="150" t="inlineStr">
        <is>
          <t>Enterprise value ($B)</t>
        </is>
      </c>
      <c r="B39" s="327">
        <f>B36+B38</f>
        <v/>
      </c>
      <c r="C39" s="197" t="n"/>
      <c r="J39" s="192">
        <f>J38+0.005</f>
        <v/>
      </c>
      <c r="K39" s="342" cm="1">
        <f t="array" ref="K39">_xlfn.LET(_xlpm.gs,J39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0">
      <c r="A40" s="195" t="inlineStr">
        <is>
          <t>Less: net debt / add: net cash ($B)</t>
        </is>
      </c>
      <c r="B40" s="325">
        <f>-B18</f>
        <v/>
      </c>
      <c r="C40" s="197" t="n"/>
      <c r="J40" s="192">
        <f>J39+0.005</f>
        <v/>
      </c>
      <c r="K40" s="342" cm="1">
        <f t="array" ref="K40">_xlfn.LET(_xlpm.gs,J40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1">
      <c r="A41" s="150" t="inlineStr">
        <is>
          <t>Equity value ($B)</t>
        </is>
      </c>
      <c r="B41" s="327">
        <f>B39+B40</f>
        <v/>
      </c>
      <c r="C41" s="197" t="n"/>
      <c r="J41" s="192">
        <f>J40+0.005</f>
        <v/>
      </c>
      <c r="K41" s="342" cm="1">
        <f t="array" ref="K41">_xlfn.LET(_xlpm.gs,J41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2" ht="15.5" customHeight="1" s="252">
      <c r="A42" s="190" t="inlineStr">
        <is>
          <t>Fair value per share ($)</t>
        </is>
      </c>
      <c r="B42" s="343">
        <f>B41/B6</f>
        <v/>
      </c>
      <c r="C42" s="197" t="n"/>
      <c r="J42" s="192">
        <f>J41+0.005</f>
        <v/>
      </c>
      <c r="K42" s="342" cm="1">
        <f t="array" ref="K42">_xlfn.LET(_xlpm.gs,J42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3">
      <c r="A43" s="195" t="inlineStr">
        <is>
          <t>Current share price ($)</t>
        </is>
      </c>
      <c r="B43" s="344">
        <f>B5</f>
        <v/>
      </c>
      <c r="C43" s="197" t="n"/>
      <c r="J43" s="192">
        <f>J42+0.005</f>
        <v/>
      </c>
      <c r="K43" s="342" cm="1">
        <f t="array" ref="K43">_xlfn.LET(_xlpm.gs,J43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4">
      <c r="A44" s="150" t="inlineStr">
        <is>
          <t>Upside / (downside)</t>
        </is>
      </c>
      <c r="B44" s="345">
        <f>B42/B43-1</f>
        <v/>
      </c>
      <c r="C44" s="197" t="n"/>
      <c r="J44" s="192">
        <f>J43+0.005</f>
        <v/>
      </c>
      <c r="K44" s="342" cm="1">
        <f t="array" ref="K44">_xlfn.LET(_xlpm.gs,J44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5">
      <c r="A45" s="195" t="inlineStr">
        <is>
          <t>Terminal value as % of EV</t>
        </is>
      </c>
      <c r="B45" s="338">
        <f>B38/B39</f>
        <v/>
      </c>
      <c r="C45" s="197" t="inlineStr">
        <is>
          <t>Above ~75% means the valuation rests mostly on the perpetuity assumption.</t>
        </is>
      </c>
      <c r="J45" s="192">
        <f>J44+0.005</f>
        <v/>
      </c>
      <c r="K45" s="342" cm="1">
        <f t="array" ref="K45">_xlfn.LET(_xlpm.gs,J45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6">
      <c r="A46" s="195" t="inlineStr">
        <is>
          <t>Model check (closed-form recompute − table)</t>
        </is>
      </c>
      <c r="B46" s="346" cm="1">
        <f t="array" ref="B46">_xlfn.LET(_xlpm.gs,$B$9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-B42</f>
        <v/>
      </c>
      <c r="C46" s="197" t="inlineStr">
        <is>
          <t>Should be 0.00.</t>
        </is>
      </c>
      <c r="J46" s="192">
        <f>J45+0.005</f>
        <v/>
      </c>
      <c r="K46" s="342" cm="1">
        <f t="array" ref="K46">_xlfn.LET(_xlpm.gs,J46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7">
      <c r="B47" s="187" t="n"/>
      <c r="C47" s="197" t="n"/>
      <c r="J47" s="192">
        <f>J46+0.005</f>
        <v/>
      </c>
      <c r="K47" s="342" cm="1">
        <f t="array" ref="K47">_xlfn.LET(_xlpm.gs,J47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8">
      <c r="A48" s="149" t="inlineStr">
        <is>
          <t>Reverse DCF — what growth is the current price discounting?</t>
        </is>
      </c>
      <c r="B48" s="206" t="n"/>
      <c r="C48" s="198" t="n"/>
      <c r="D48" s="149" t="n"/>
      <c r="E48" s="149" t="n"/>
      <c r="F48" s="149" t="n"/>
      <c r="G48" s="149" t="n"/>
      <c r="H48" s="149" t="n"/>
      <c r="J48" s="192">
        <f>J47+0.005</f>
        <v/>
      </c>
      <c r="K48" s="342" cm="1">
        <f t="array" ref="K48">_xlfn.LET(_xlpm.gs,J48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9">
      <c r="A49" s="195" t="inlineStr">
        <is>
          <t>Implied year-1 FCF growth (fading to terminal)</t>
        </is>
      </c>
      <c r="B49" s="338" cm="1">
        <f t="array" ref="B49">IFERROR(_xlfn.LET(_xlpm.p,B5,_xlpm.lo,MATCH(_xlpm.p,K24:K184,1),_xlpm.glo,INDEX(J24:J184,_xlpm.lo),_xlpm.flo,INDEX(K24:K184,_xlpm.lo),_xlpm.fhi,INDEX(K24:K184,_xlpm.lo+1),_xlpm.glo+(_xlpm.p-_xlpm.flo)/(_xlpm.fhi-_xlpm.flo)*0.005),"n/a")</f>
        <v/>
      </c>
      <c r="C49" s="197" t="inlineStr">
        <is>
          <t>Solved so the DCF equals today's price, holding WACC, terminal growth and base FCF constant.</t>
        </is>
      </c>
      <c r="J49" s="192">
        <f>J48+0.005</f>
        <v/>
      </c>
      <c r="K49" s="342" cm="1">
        <f t="array" ref="K49">_xlfn.LET(_xlpm.gs,J49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0">
      <c r="A50" s="194" t="inlineStr">
        <is>
          <t>Equivalent 10-year FCF CAGR</t>
        </is>
      </c>
      <c r="B50" s="347" cm="1">
        <f t="array" ref="B50">IFERROR(_xlfn.LET(_xlpm.gs,B49,_xlpm.tgr,B8,_xlpm.t,_xlfn.SEQUENCE(10),_xlpm.g,_xlpm.gs-(_xlpm.gs-_xlpm.tgr)*(_xlpm.t-1)/9,EXP(SUM(LN(1+_xlpm.g)))^(1/10)-1),"n/a")</f>
        <v/>
      </c>
      <c r="C50" s="197" t="inlineStr">
        <is>
          <t>The single annual rate that produces the same year-10 FCF — the number to compare with history.</t>
        </is>
      </c>
      <c r="J50" s="192">
        <f>J49+0.005</f>
        <v/>
      </c>
      <c r="K50" s="342" cm="1">
        <f t="array" ref="K50">_xlfn.LET(_xlpm.gs,J50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1">
      <c r="A51" s="195" t="inlineStr">
        <is>
          <t>Implied FY2036 free cash flow ($B)</t>
        </is>
      </c>
      <c r="B51" s="325">
        <f>IFERROR(B17*(1+B50)^10,"n/a")</f>
        <v/>
      </c>
      <c r="C51" s="197" t="inlineStr">
        <is>
          <t>Compare with FY26 FCF of ~$2B.</t>
        </is>
      </c>
      <c r="J51" s="192">
        <f>J50+0.005</f>
        <v/>
      </c>
      <c r="K51" s="342" cm="1">
        <f t="array" ref="K51">_xlfn.LET(_xlpm.gs,J51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2">
      <c r="A52" s="195" t="inlineStr">
        <is>
          <t>Historical 9-yr FCF CAGR (FY17–FY26)</t>
        </is>
      </c>
      <c r="B52" s="338">
        <f>Financials!L10</f>
        <v/>
      </c>
      <c r="C52" s="197" t="n"/>
      <c r="J52" s="192">
        <f>J51+0.005</f>
        <v/>
      </c>
      <c r="K52" s="342" cm="1">
        <f t="array" ref="K52">_xlfn.LET(_xlpm.gs,J52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3">
      <c r="A53" s="195" t="inlineStr">
        <is>
          <t>Latest 3 quarters avg. revenue growth y/y</t>
        </is>
      </c>
      <c r="B53" s="338">
        <f>AVERAGE(Financials!C18:E18)</f>
        <v/>
      </c>
      <c r="C53" s="197" t="inlineStr">
        <is>
          <t>Q2 FY26–Q4 FY26 as filed.</t>
        </is>
      </c>
      <c r="J53" s="192">
        <f>J52+0.005</f>
        <v/>
      </c>
      <c r="K53" s="342" cm="1">
        <f t="array" ref="K53">_xlfn.LET(_xlpm.gs,J53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4">
      <c r="A54" s="195" t="inlineStr">
        <is>
          <t>Market-implied CAGR minus historical CAGR</t>
        </is>
      </c>
      <c r="B54" s="214">
        <f>IFERROR(B50-B52,"n/a")</f>
        <v/>
      </c>
      <c r="C54" s="197" t="inlineStr">
        <is>
          <t>Positive = the market expects a clear acceleration vs history.</t>
        </is>
      </c>
      <c r="J54" s="192">
        <f>J53+0.005</f>
        <v/>
      </c>
      <c r="K54" s="342" cm="1">
        <f t="array" ref="K54">_xlfn.LET(_xlpm.gs,J54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5">
      <c r="J55" s="192">
        <f>J54+0.005</f>
        <v/>
      </c>
      <c r="K55" s="342" cm="1">
        <f t="array" ref="K55">_xlfn.LET(_xlpm.gs,J55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6" ht="40" customHeight="1" s="252">
      <c r="A56" s="196" t="inlineStr">
        <is>
          <t>Notes: FCF is cash from operations less capital expenditures, i.e. after interest and tax (not a strict unlevered FCF). Balance-sheet items are as of 31-May-2026. Valuation date ≈ fiscal year-end, so year 1 = FY2027. Same model as the QuantWizard site.</t>
        </is>
      </c>
      <c r="J56" s="192">
        <f>J55+0.005</f>
        <v/>
      </c>
      <c r="K56" s="342" cm="1">
        <f t="array" ref="K56">_xlfn.LET(_xlpm.gs,J56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7">
      <c r="J57" s="192">
        <f>J56+0.005</f>
        <v/>
      </c>
      <c r="K57" s="342" cm="1">
        <f t="array" ref="K57">_xlfn.LET(_xlpm.gs,J57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8">
      <c r="J58" s="192">
        <f>J57+0.005</f>
        <v/>
      </c>
      <c r="K58" s="342" cm="1">
        <f t="array" ref="K58">_xlfn.LET(_xlpm.gs,J58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9">
      <c r="J59" s="192">
        <f>J58+0.005</f>
        <v/>
      </c>
      <c r="K59" s="342" cm="1">
        <f t="array" ref="K59">_xlfn.LET(_xlpm.gs,J59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0">
      <c r="J60" s="192">
        <f>J59+0.005</f>
        <v/>
      </c>
      <c r="K60" s="342" cm="1">
        <f t="array" ref="K60">_xlfn.LET(_xlpm.gs,J60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1">
      <c r="J61" s="192">
        <f>J60+0.005</f>
        <v/>
      </c>
      <c r="K61" s="342" cm="1">
        <f t="array" ref="K61">_xlfn.LET(_xlpm.gs,J61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2">
      <c r="J62" s="192">
        <f>J61+0.005</f>
        <v/>
      </c>
      <c r="K62" s="342" cm="1">
        <f t="array" ref="K62">_xlfn.LET(_xlpm.gs,J62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3">
      <c r="J63" s="192">
        <f>J62+0.005</f>
        <v/>
      </c>
      <c r="K63" s="342" cm="1">
        <f t="array" ref="K63">_xlfn.LET(_xlpm.gs,J63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4">
      <c r="J64" s="192">
        <f>J63+0.005</f>
        <v/>
      </c>
      <c r="K64" s="342" cm="1">
        <f t="array" ref="K64">_xlfn.LET(_xlpm.gs,J64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5">
      <c r="J65" s="192">
        <f>J64+0.005</f>
        <v/>
      </c>
      <c r="K65" s="342" cm="1">
        <f t="array" ref="K65">_xlfn.LET(_xlpm.gs,J65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6">
      <c r="J66" s="192">
        <f>J65+0.005</f>
        <v/>
      </c>
      <c r="K66" s="342" cm="1">
        <f t="array" ref="K66">_xlfn.LET(_xlpm.gs,J66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7">
      <c r="J67" s="192">
        <f>J66+0.005</f>
        <v/>
      </c>
      <c r="K67" s="342" cm="1">
        <f t="array" ref="K67">_xlfn.LET(_xlpm.gs,J67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8">
      <c r="J68" s="192">
        <f>J67+0.005</f>
        <v/>
      </c>
      <c r="K68" s="342" cm="1">
        <f t="array" ref="K68">_xlfn.LET(_xlpm.gs,J68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9">
      <c r="J69" s="192">
        <f>J68+0.005</f>
        <v/>
      </c>
      <c r="K69" s="342" cm="1">
        <f t="array" ref="K69">_xlfn.LET(_xlpm.gs,J69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0">
      <c r="J70" s="192">
        <f>J69+0.005</f>
        <v/>
      </c>
      <c r="K70" s="342" cm="1">
        <f t="array" ref="K70">_xlfn.LET(_xlpm.gs,J70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1">
      <c r="J71" s="192">
        <f>J70+0.005</f>
        <v/>
      </c>
      <c r="K71" s="342" cm="1">
        <f t="array" ref="K71">_xlfn.LET(_xlpm.gs,J71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2">
      <c r="J72" s="192">
        <f>J71+0.005</f>
        <v/>
      </c>
      <c r="K72" s="342" cm="1">
        <f t="array" ref="K72">_xlfn.LET(_xlpm.gs,J72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3">
      <c r="J73" s="192">
        <f>J72+0.005</f>
        <v/>
      </c>
      <c r="K73" s="342" cm="1">
        <f t="array" ref="K73">_xlfn.LET(_xlpm.gs,J73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4">
      <c r="J74" s="192">
        <f>J73+0.005</f>
        <v/>
      </c>
      <c r="K74" s="342" cm="1">
        <f t="array" ref="K74">_xlfn.LET(_xlpm.gs,J74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5">
      <c r="J75" s="192">
        <f>J74+0.005</f>
        <v/>
      </c>
      <c r="K75" s="342" cm="1">
        <f t="array" ref="K75">_xlfn.LET(_xlpm.gs,J75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6">
      <c r="J76" s="192">
        <f>J75+0.005</f>
        <v/>
      </c>
      <c r="K76" s="342" cm="1">
        <f t="array" ref="K76">_xlfn.LET(_xlpm.gs,J76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7">
      <c r="J77" s="192">
        <f>J76+0.005</f>
        <v/>
      </c>
      <c r="K77" s="342" cm="1">
        <f t="array" ref="K77">_xlfn.LET(_xlpm.gs,J77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8">
      <c r="J78" s="192">
        <f>J77+0.005</f>
        <v/>
      </c>
      <c r="K78" s="342" cm="1">
        <f t="array" ref="K78">_xlfn.LET(_xlpm.gs,J78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9">
      <c r="J79" s="192">
        <f>J78+0.005</f>
        <v/>
      </c>
      <c r="K79" s="342" cm="1">
        <f t="array" ref="K79">_xlfn.LET(_xlpm.gs,J79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0">
      <c r="J80" s="192">
        <f>J79+0.005</f>
        <v/>
      </c>
      <c r="K80" s="342" cm="1">
        <f t="array" ref="K80">_xlfn.LET(_xlpm.gs,J80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1">
      <c r="J81" s="192">
        <f>J80+0.005</f>
        <v/>
      </c>
      <c r="K81" s="342" cm="1">
        <f t="array" ref="K81">_xlfn.LET(_xlpm.gs,J81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2">
      <c r="J82" s="192">
        <f>J81+0.005</f>
        <v/>
      </c>
      <c r="K82" s="342" cm="1">
        <f t="array" ref="K82">_xlfn.LET(_xlpm.gs,J82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3">
      <c r="J83" s="192">
        <f>J82+0.005</f>
        <v/>
      </c>
      <c r="K83" s="342" cm="1">
        <f t="array" ref="K83">_xlfn.LET(_xlpm.gs,J83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4">
      <c r="J84" s="192">
        <f>J83+0.005</f>
        <v/>
      </c>
      <c r="K84" s="342" cm="1">
        <f t="array" ref="K84">_xlfn.LET(_xlpm.gs,J84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5">
      <c r="J85" s="192">
        <f>J84+0.005</f>
        <v/>
      </c>
      <c r="K85" s="342" cm="1">
        <f t="array" ref="K85">_xlfn.LET(_xlpm.gs,J85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6">
      <c r="J86" s="192">
        <f>J85+0.005</f>
        <v/>
      </c>
      <c r="K86" s="342" cm="1">
        <f t="array" ref="K86">_xlfn.LET(_xlpm.gs,J86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7">
      <c r="J87" s="192">
        <f>J86+0.005</f>
        <v/>
      </c>
      <c r="K87" s="342" cm="1">
        <f t="array" ref="K87">_xlfn.LET(_xlpm.gs,J87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8">
      <c r="J88" s="192">
        <f>J87+0.005</f>
        <v/>
      </c>
      <c r="K88" s="342" cm="1">
        <f t="array" ref="K88">_xlfn.LET(_xlpm.gs,J88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9">
      <c r="J89" s="192">
        <f>J88+0.005</f>
        <v/>
      </c>
      <c r="K89" s="342" cm="1">
        <f t="array" ref="K89">_xlfn.LET(_xlpm.gs,J89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0">
      <c r="J90" s="192">
        <f>J89+0.005</f>
        <v/>
      </c>
      <c r="K90" s="342" cm="1">
        <f t="array" ref="K90">_xlfn.LET(_xlpm.gs,J90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1">
      <c r="J91" s="192">
        <f>J90+0.005</f>
        <v/>
      </c>
      <c r="K91" s="342" cm="1">
        <f t="array" ref="K91">_xlfn.LET(_xlpm.gs,J91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2">
      <c r="J92" s="192">
        <f>J91+0.005</f>
        <v/>
      </c>
      <c r="K92" s="342" cm="1">
        <f t="array" ref="K92">_xlfn.LET(_xlpm.gs,J92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3">
      <c r="J93" s="192">
        <f>J92+0.005</f>
        <v/>
      </c>
      <c r="K93" s="342" cm="1">
        <f t="array" ref="K93">_xlfn.LET(_xlpm.gs,J93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4">
      <c r="J94" s="192">
        <f>J93+0.005</f>
        <v/>
      </c>
      <c r="K94" s="342" cm="1">
        <f t="array" ref="K94">_xlfn.LET(_xlpm.gs,J94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5">
      <c r="J95" s="192">
        <f>J94+0.005</f>
        <v/>
      </c>
      <c r="K95" s="342" cm="1">
        <f t="array" ref="K95">_xlfn.LET(_xlpm.gs,J95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6">
      <c r="J96" s="192">
        <f>J95+0.005</f>
        <v/>
      </c>
      <c r="K96" s="342" cm="1">
        <f t="array" ref="K96">_xlfn.LET(_xlpm.gs,J96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7">
      <c r="J97" s="192">
        <f>J96+0.005</f>
        <v/>
      </c>
      <c r="K97" s="342" cm="1">
        <f t="array" ref="K97">_xlfn.LET(_xlpm.gs,J97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8">
      <c r="J98" s="192">
        <f>J97+0.005</f>
        <v/>
      </c>
      <c r="K98" s="342" cm="1">
        <f t="array" ref="K98">_xlfn.LET(_xlpm.gs,J98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9">
      <c r="J99" s="192">
        <f>J98+0.005</f>
        <v/>
      </c>
      <c r="K99" s="342" cm="1">
        <f t="array" ref="K99">_xlfn.LET(_xlpm.gs,J99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0">
      <c r="J100" s="192">
        <f>J99+0.005</f>
        <v/>
      </c>
      <c r="K100" s="342" cm="1">
        <f t="array" ref="K100">_xlfn.LET(_xlpm.gs,J100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1">
      <c r="J101" s="192">
        <f>J100+0.005</f>
        <v/>
      </c>
      <c r="K101" s="342" cm="1">
        <f t="array" ref="K101">_xlfn.LET(_xlpm.gs,J101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2">
      <c r="J102" s="192">
        <f>J101+0.005</f>
        <v/>
      </c>
      <c r="K102" s="342" cm="1">
        <f t="array" ref="K102">_xlfn.LET(_xlpm.gs,J102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3">
      <c r="J103" s="192">
        <f>J102+0.005</f>
        <v/>
      </c>
      <c r="K103" s="342" cm="1">
        <f t="array" ref="K103">_xlfn.LET(_xlpm.gs,J103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4">
      <c r="J104" s="192">
        <f>J103+0.005</f>
        <v/>
      </c>
      <c r="K104" s="342" cm="1">
        <f t="array" ref="K104">_xlfn.LET(_xlpm.gs,J104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5">
      <c r="J105" s="192">
        <f>J104+0.005</f>
        <v/>
      </c>
      <c r="K105" s="342" cm="1">
        <f t="array" ref="K105">_xlfn.LET(_xlpm.gs,J105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6">
      <c r="J106" s="192">
        <f>J105+0.005</f>
        <v/>
      </c>
      <c r="K106" s="342" cm="1">
        <f t="array" ref="K106">_xlfn.LET(_xlpm.gs,J106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7">
      <c r="J107" s="192">
        <f>J106+0.005</f>
        <v/>
      </c>
      <c r="K107" s="342" cm="1">
        <f t="array" ref="K107">_xlfn.LET(_xlpm.gs,J107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8">
      <c r="J108" s="192">
        <f>J107+0.005</f>
        <v/>
      </c>
      <c r="K108" s="342" cm="1">
        <f t="array" ref="K108">_xlfn.LET(_xlpm.gs,J108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9">
      <c r="J109" s="192">
        <f>J108+0.005</f>
        <v/>
      </c>
      <c r="K109" s="342" cm="1">
        <f t="array" ref="K109">_xlfn.LET(_xlpm.gs,J109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0">
      <c r="J110" s="192">
        <f>J109+0.005</f>
        <v/>
      </c>
      <c r="K110" s="342" cm="1">
        <f t="array" ref="K110">_xlfn.LET(_xlpm.gs,J110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1">
      <c r="J111" s="192">
        <f>J110+0.005</f>
        <v/>
      </c>
      <c r="K111" s="342" cm="1">
        <f t="array" ref="K111">_xlfn.LET(_xlpm.gs,J111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2">
      <c r="J112" s="192">
        <f>J111+0.005</f>
        <v/>
      </c>
      <c r="K112" s="342" cm="1">
        <f t="array" ref="K112">_xlfn.LET(_xlpm.gs,J112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3">
      <c r="J113" s="192">
        <f>J112+0.005</f>
        <v/>
      </c>
      <c r="K113" s="342" cm="1">
        <f t="array" ref="K113">_xlfn.LET(_xlpm.gs,J113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4">
      <c r="J114" s="192">
        <f>J113+0.005</f>
        <v/>
      </c>
      <c r="K114" s="342" cm="1">
        <f t="array" ref="K114">_xlfn.LET(_xlpm.gs,J114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5">
      <c r="J115" s="192">
        <f>J114+0.005</f>
        <v/>
      </c>
      <c r="K115" s="342" cm="1">
        <f t="array" ref="K115">_xlfn.LET(_xlpm.gs,J115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6">
      <c r="J116" s="192">
        <f>J115+0.005</f>
        <v/>
      </c>
      <c r="K116" s="342" cm="1">
        <f t="array" ref="K116">_xlfn.LET(_xlpm.gs,J116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7">
      <c r="J117" s="192">
        <f>J116+0.005</f>
        <v/>
      </c>
      <c r="K117" s="342" cm="1">
        <f t="array" ref="K117">_xlfn.LET(_xlpm.gs,J117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8">
      <c r="J118" s="192">
        <f>J117+0.005</f>
        <v/>
      </c>
      <c r="K118" s="342" cm="1">
        <f t="array" ref="K118">_xlfn.LET(_xlpm.gs,J118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9">
      <c r="J119" s="192">
        <f>J118+0.005</f>
        <v/>
      </c>
      <c r="K119" s="342" cm="1">
        <f t="array" ref="K119">_xlfn.LET(_xlpm.gs,J119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0">
      <c r="J120" s="192">
        <f>J119+0.005</f>
        <v/>
      </c>
      <c r="K120" s="342" cm="1">
        <f t="array" ref="K120">_xlfn.LET(_xlpm.gs,J120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1">
      <c r="J121" s="192">
        <f>J120+0.005</f>
        <v/>
      </c>
      <c r="K121" s="342" cm="1">
        <f t="array" ref="K121">_xlfn.LET(_xlpm.gs,J121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2">
      <c r="J122" s="192">
        <f>J121+0.005</f>
        <v/>
      </c>
      <c r="K122" s="342" cm="1">
        <f t="array" ref="K122">_xlfn.LET(_xlpm.gs,J122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3">
      <c r="J123" s="192">
        <f>J122+0.005</f>
        <v/>
      </c>
      <c r="K123" s="342" cm="1">
        <f t="array" ref="K123">_xlfn.LET(_xlpm.gs,J123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4">
      <c r="J124" s="192">
        <f>J123+0.005</f>
        <v/>
      </c>
      <c r="K124" s="342" cm="1">
        <f t="array" ref="K124">_xlfn.LET(_xlpm.gs,J124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5">
      <c r="J125" s="192">
        <f>J124+0.005</f>
        <v/>
      </c>
      <c r="K125" s="342" cm="1">
        <f t="array" ref="K125">_xlfn.LET(_xlpm.gs,J125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6">
      <c r="J126" s="192">
        <f>J125+0.005</f>
        <v/>
      </c>
      <c r="K126" s="342" cm="1">
        <f t="array" ref="K126">_xlfn.LET(_xlpm.gs,J126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7">
      <c r="J127" s="192">
        <f>J126+0.005</f>
        <v/>
      </c>
      <c r="K127" s="342" cm="1">
        <f t="array" ref="K127">_xlfn.LET(_xlpm.gs,J127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8">
      <c r="J128" s="192">
        <f>J127+0.005</f>
        <v/>
      </c>
      <c r="K128" s="342" cm="1">
        <f t="array" ref="K128">_xlfn.LET(_xlpm.gs,J128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9">
      <c r="J129" s="192">
        <f>J128+0.005</f>
        <v/>
      </c>
      <c r="K129" s="342" cm="1">
        <f t="array" ref="K129">_xlfn.LET(_xlpm.gs,J129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0">
      <c r="J130" s="192">
        <f>J129+0.005</f>
        <v/>
      </c>
      <c r="K130" s="342" cm="1">
        <f t="array" ref="K130">_xlfn.LET(_xlpm.gs,J130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1">
      <c r="J131" s="192">
        <f>J130+0.005</f>
        <v/>
      </c>
      <c r="K131" s="342" cm="1">
        <f t="array" ref="K131">_xlfn.LET(_xlpm.gs,J131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2">
      <c r="J132" s="192">
        <f>J131+0.005</f>
        <v/>
      </c>
      <c r="K132" s="342" cm="1">
        <f t="array" ref="K132">_xlfn.LET(_xlpm.gs,J132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3">
      <c r="J133" s="192">
        <f>J132+0.005</f>
        <v/>
      </c>
      <c r="K133" s="342" cm="1">
        <f t="array" ref="K133">_xlfn.LET(_xlpm.gs,J133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4">
      <c r="J134" s="192">
        <f>J133+0.005</f>
        <v/>
      </c>
      <c r="K134" s="342" cm="1">
        <f t="array" ref="K134">_xlfn.LET(_xlpm.gs,J134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5">
      <c r="J135" s="192">
        <f>J134+0.005</f>
        <v/>
      </c>
      <c r="K135" s="342" cm="1">
        <f t="array" ref="K135">_xlfn.LET(_xlpm.gs,J135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6">
      <c r="J136" s="192">
        <f>J135+0.005</f>
        <v/>
      </c>
      <c r="K136" s="342" cm="1">
        <f t="array" ref="K136">_xlfn.LET(_xlpm.gs,J136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7">
      <c r="J137" s="192">
        <f>J136+0.005</f>
        <v/>
      </c>
      <c r="K137" s="342" cm="1">
        <f t="array" ref="K137">_xlfn.LET(_xlpm.gs,J137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8">
      <c r="J138" s="192">
        <f>J137+0.005</f>
        <v/>
      </c>
      <c r="K138" s="342" cm="1">
        <f t="array" ref="K138">_xlfn.LET(_xlpm.gs,J138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9">
      <c r="J139" s="192">
        <f>J138+0.005</f>
        <v/>
      </c>
      <c r="K139" s="342" cm="1">
        <f t="array" ref="K139">_xlfn.LET(_xlpm.gs,J139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0">
      <c r="J140" s="192">
        <f>J139+0.005</f>
        <v/>
      </c>
      <c r="K140" s="342" cm="1">
        <f t="array" ref="K140">_xlfn.LET(_xlpm.gs,J140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1">
      <c r="J141" s="192">
        <f>J140+0.005</f>
        <v/>
      </c>
      <c r="K141" s="342" cm="1">
        <f t="array" ref="K141">_xlfn.LET(_xlpm.gs,J141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2">
      <c r="J142" s="192">
        <f>J141+0.005</f>
        <v/>
      </c>
      <c r="K142" s="342" cm="1">
        <f t="array" ref="K142">_xlfn.LET(_xlpm.gs,J142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3">
      <c r="J143" s="192">
        <f>J142+0.005</f>
        <v/>
      </c>
      <c r="K143" s="342" cm="1">
        <f t="array" ref="K143">_xlfn.LET(_xlpm.gs,J143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4">
      <c r="J144" s="192">
        <f>J143+0.005</f>
        <v/>
      </c>
      <c r="K144" s="342" cm="1">
        <f t="array" ref="K144">_xlfn.LET(_xlpm.gs,J144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5">
      <c r="J145" s="192">
        <f>J144+0.005</f>
        <v/>
      </c>
      <c r="K145" s="342" cm="1">
        <f t="array" ref="K145">_xlfn.LET(_xlpm.gs,J145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6">
      <c r="J146" s="192">
        <f>J145+0.005</f>
        <v/>
      </c>
      <c r="K146" s="342" cm="1">
        <f t="array" ref="K146">_xlfn.LET(_xlpm.gs,J146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7">
      <c r="J147" s="192">
        <f>J146+0.005</f>
        <v/>
      </c>
      <c r="K147" s="342" cm="1">
        <f t="array" ref="K147">_xlfn.LET(_xlpm.gs,J147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8">
      <c r="J148" s="192">
        <f>J147+0.005</f>
        <v/>
      </c>
      <c r="K148" s="342" cm="1">
        <f t="array" ref="K148">_xlfn.LET(_xlpm.gs,J148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9">
      <c r="J149" s="192">
        <f>J148+0.005</f>
        <v/>
      </c>
      <c r="K149" s="342" cm="1">
        <f t="array" ref="K149">_xlfn.LET(_xlpm.gs,J149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0">
      <c r="J150" s="192">
        <f>J149+0.005</f>
        <v/>
      </c>
      <c r="K150" s="342" cm="1">
        <f t="array" ref="K150">_xlfn.LET(_xlpm.gs,J150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1">
      <c r="J151" s="192">
        <f>J150+0.005</f>
        <v/>
      </c>
      <c r="K151" s="342" cm="1">
        <f t="array" ref="K151">_xlfn.LET(_xlpm.gs,J151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2">
      <c r="J152" s="192">
        <f>J151+0.005</f>
        <v/>
      </c>
      <c r="K152" s="342" cm="1">
        <f t="array" ref="K152">_xlfn.LET(_xlpm.gs,J152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3">
      <c r="J153" s="192">
        <f>J152+0.005</f>
        <v/>
      </c>
      <c r="K153" s="342" cm="1">
        <f t="array" ref="K153">_xlfn.LET(_xlpm.gs,J153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4">
      <c r="J154" s="192">
        <f>J153+0.005</f>
        <v/>
      </c>
      <c r="K154" s="342" cm="1">
        <f t="array" ref="K154">_xlfn.LET(_xlpm.gs,J154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5">
      <c r="J155" s="192">
        <f>J154+0.005</f>
        <v/>
      </c>
      <c r="K155" s="342" cm="1">
        <f t="array" ref="K155">_xlfn.LET(_xlpm.gs,J155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6">
      <c r="J156" s="192">
        <f>J155+0.005</f>
        <v/>
      </c>
      <c r="K156" s="342" cm="1">
        <f t="array" ref="K156">_xlfn.LET(_xlpm.gs,J156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7">
      <c r="J157" s="192">
        <f>J156+0.005</f>
        <v/>
      </c>
      <c r="K157" s="342" cm="1">
        <f t="array" ref="K157">_xlfn.LET(_xlpm.gs,J157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8">
      <c r="J158" s="192">
        <f>J157+0.005</f>
        <v/>
      </c>
      <c r="K158" s="342" cm="1">
        <f t="array" ref="K158">_xlfn.LET(_xlpm.gs,J158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9">
      <c r="J159" s="192">
        <f>J158+0.005</f>
        <v/>
      </c>
      <c r="K159" s="342" cm="1">
        <f t="array" ref="K159">_xlfn.LET(_xlpm.gs,J159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0">
      <c r="J160" s="192">
        <f>J159+0.005</f>
        <v/>
      </c>
      <c r="K160" s="342" cm="1">
        <f t="array" ref="K160">_xlfn.LET(_xlpm.gs,J160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1">
      <c r="J161" s="192">
        <f>J160+0.005</f>
        <v/>
      </c>
      <c r="K161" s="342" cm="1">
        <f t="array" ref="K161">_xlfn.LET(_xlpm.gs,J161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2">
      <c r="J162" s="192">
        <f>J161+0.005</f>
        <v/>
      </c>
      <c r="K162" s="342" cm="1">
        <f t="array" ref="K162">_xlfn.LET(_xlpm.gs,J162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3">
      <c r="J163" s="192">
        <f>J162+0.005</f>
        <v/>
      </c>
      <c r="K163" s="342" cm="1">
        <f t="array" ref="K163">_xlfn.LET(_xlpm.gs,J163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4">
      <c r="J164" s="192">
        <f>J163+0.005</f>
        <v/>
      </c>
      <c r="K164" s="342" cm="1">
        <f t="array" ref="K164">_xlfn.LET(_xlpm.gs,J164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5">
      <c r="J165" s="192">
        <f>J164+0.005</f>
        <v/>
      </c>
      <c r="K165" s="342" cm="1">
        <f t="array" ref="K165">_xlfn.LET(_xlpm.gs,J165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6">
      <c r="J166" s="192">
        <f>J165+0.005</f>
        <v/>
      </c>
      <c r="K166" s="342" cm="1">
        <f t="array" ref="K166">_xlfn.LET(_xlpm.gs,J166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7">
      <c r="J167" s="192">
        <f>J166+0.005</f>
        <v/>
      </c>
      <c r="K167" s="342" cm="1">
        <f t="array" ref="K167">_xlfn.LET(_xlpm.gs,J167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8">
      <c r="J168" s="192">
        <f>J167+0.005</f>
        <v/>
      </c>
      <c r="K168" s="342" cm="1">
        <f t="array" ref="K168">_xlfn.LET(_xlpm.gs,J168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69">
      <c r="J169" s="192">
        <f>J168+0.005</f>
        <v/>
      </c>
      <c r="K169" s="342" cm="1">
        <f t="array" ref="K169">_xlfn.LET(_xlpm.gs,J169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0">
      <c r="J170" s="192">
        <f>J169+0.005</f>
        <v/>
      </c>
      <c r="K170" s="342" cm="1">
        <f t="array" ref="K170">_xlfn.LET(_xlpm.gs,J170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1">
      <c r="J171" s="192">
        <f>J170+0.005</f>
        <v/>
      </c>
      <c r="K171" s="342" cm="1">
        <f t="array" ref="K171">_xlfn.LET(_xlpm.gs,J171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2">
      <c r="J172" s="192">
        <f>J171+0.005</f>
        <v/>
      </c>
      <c r="K172" s="342" cm="1">
        <f t="array" ref="K172">_xlfn.LET(_xlpm.gs,J172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3">
      <c r="J173" s="192">
        <f>J172+0.005</f>
        <v/>
      </c>
      <c r="K173" s="342" cm="1">
        <f t="array" ref="K173">_xlfn.LET(_xlpm.gs,J173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4">
      <c r="J174" s="192">
        <f>J173+0.005</f>
        <v/>
      </c>
      <c r="K174" s="342" cm="1">
        <f t="array" ref="K174">_xlfn.LET(_xlpm.gs,J174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5">
      <c r="J175" s="192">
        <f>J174+0.005</f>
        <v/>
      </c>
      <c r="K175" s="342" cm="1">
        <f t="array" ref="K175">_xlfn.LET(_xlpm.gs,J175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6">
      <c r="J176" s="192">
        <f>J175+0.005</f>
        <v/>
      </c>
      <c r="K176" s="342" cm="1">
        <f t="array" ref="K176">_xlfn.LET(_xlpm.gs,J176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7">
      <c r="J177" s="192">
        <f>J176+0.005</f>
        <v/>
      </c>
      <c r="K177" s="342" cm="1">
        <f t="array" ref="K177">_xlfn.LET(_xlpm.gs,J177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8">
      <c r="J178" s="192">
        <f>J177+0.005</f>
        <v/>
      </c>
      <c r="K178" s="342" cm="1">
        <f t="array" ref="K178">_xlfn.LET(_xlpm.gs,J178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79">
      <c r="J179" s="192">
        <f>J178+0.005</f>
        <v/>
      </c>
      <c r="K179" s="342" cm="1">
        <f t="array" ref="K179">_xlfn.LET(_xlpm.gs,J179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80">
      <c r="J180" s="192">
        <f>J179+0.005</f>
        <v/>
      </c>
      <c r="K180" s="342" cm="1">
        <f t="array" ref="K180">_xlfn.LET(_xlpm.gs,J180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81">
      <c r="J181" s="192">
        <f>J180+0.005</f>
        <v/>
      </c>
      <c r="K181" s="342" cm="1">
        <f t="array" ref="K181">_xlfn.LET(_xlpm.gs,J181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82">
      <c r="J182" s="192">
        <f>J181+0.005</f>
        <v/>
      </c>
      <c r="K182" s="342" cm="1">
        <f t="array" ref="K182">_xlfn.LET(_xlpm.gs,J182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83">
      <c r="J183" s="192">
        <f>J182+0.005</f>
        <v/>
      </c>
      <c r="K183" s="342" cm="1">
        <f t="array" ref="K183">_xlfn.LET(_xlpm.gs,J183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84">
      <c r="J184" s="192">
        <f>J183+0.005</f>
        <v/>
      </c>
      <c r="K184" s="342" cm="1">
        <f t="array" ref="K184">_xlfn.LET(_xlpm.gs,J184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</sheetData>
  <mergeCells count="1">
    <mergeCell ref="A56:H56"/>
  </mergeCells>
  <dataValidations count="2">
    <dataValidation sqref="B11 B12 B13" showDropDown="0" showInputMessage="1" showErrorMessage="1" allowBlank="1" type="list">
      <formula1>"Yes,No"</formula1>
    </dataValidation>
    <dataValidation sqref="B10" showDropDown="0" showInputMessage="0" showErrorMessage="0" allowBlank="0" type="list">
      <formula1>"FY26 reported,3-yr average"</formula1>
    </dataValidation>
  </dataValidations>
  <hyperlinks>
    <hyperlink xmlns:r="http://schemas.openxmlformats.org/officeDocument/2006/relationships" ref="G2" location="'Summary'!A1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H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95" min="1" max="1"/>
    <col width="27.26953125" customWidth="1" style="195" min="2" max="4"/>
    <col width="16.36328125" customWidth="1" style="195" min="5" max="7"/>
    <col width="8.7265625" customWidth="1" style="195" min="8" max="26"/>
  </cols>
  <sheetData>
    <row r="1" ht="30" customHeight="1" s="252">
      <c r="A1" s="146" t="inlineStr">
        <is>
          <t>Nike, Inc. (NKE) — Scenarios &amp; Sensitivity</t>
        </is>
      </c>
      <c r="B1" s="146" t="n"/>
      <c r="C1" s="146" t="n"/>
      <c r="D1" s="146" t="n"/>
      <c r="E1" s="146" t="n"/>
      <c r="F1" s="146" t="n"/>
      <c r="G1" s="146" t="n"/>
      <c r="H1" s="146" t="n"/>
    </row>
    <row r="2">
      <c r="A2" s="147" t="inlineStr">
        <is>
          <t>Every value on this tab is live: it recalculates from the DCF tab inputs · $ per share</t>
        </is>
      </c>
      <c r="B2" s="147" t="n"/>
      <c r="C2" s="147" t="n"/>
      <c r="D2" s="147" t="n"/>
      <c r="E2" s="147" t="n"/>
      <c r="F2" s="147" t="n"/>
      <c r="G2" s="148" t="inlineStr">
        <is>
          <t>← Back to Summary</t>
        </is>
      </c>
      <c r="H2" s="147" t="n"/>
    </row>
    <row r="4">
      <c r="A4" s="149" t="inlineStr">
        <is>
          <t>Bear / base / bull scenarios</t>
        </is>
      </c>
      <c r="B4" s="149" t="n"/>
      <c r="C4" s="149" t="n"/>
      <c r="D4" s="149" t="n"/>
      <c r="E4" s="149" t="n"/>
      <c r="F4" s="149" t="n"/>
      <c r="G4" s="149" t="n"/>
      <c r="H4" s="149" t="n"/>
    </row>
    <row r="5">
      <c r="A5" s="153" t="n"/>
      <c r="B5" s="152" t="inlineStr">
        <is>
          <t>Bear</t>
        </is>
      </c>
      <c r="C5" s="152" t="inlineStr">
        <is>
          <t>Base</t>
        </is>
      </c>
      <c r="D5" s="152" t="inlineStr">
        <is>
          <t>Bull</t>
        </is>
      </c>
    </row>
    <row r="6">
      <c r="A6" s="195" t="inlineStr">
        <is>
          <t>Year-1 FCF growth (fades to terminal)</t>
        </is>
      </c>
      <c r="B6" s="348" t="n">
        <v>0</v>
      </c>
      <c r="C6" s="349">
        <f>DCF!B9</f>
        <v/>
      </c>
      <c r="D6" s="348" t="n">
        <v>0.06</v>
      </c>
      <c r="E6" s="281" t="inlineStr">
        <is>
          <t>Bear and bull are fixed inputs (blue); base links to the DCF tab.</t>
        </is>
      </c>
    </row>
    <row r="7">
      <c r="A7" s="195" t="inlineStr">
        <is>
          <t>Discount rate (WACC)</t>
        </is>
      </c>
      <c r="B7" s="348" t="n">
        <v>0.1001</v>
      </c>
      <c r="C7" s="349">
        <f>DCF!B7</f>
        <v/>
      </c>
      <c r="D7" s="348" t="n">
        <v>0.0901</v>
      </c>
    </row>
    <row r="8">
      <c r="A8" s="195" t="inlineStr">
        <is>
          <t>Terminal growth</t>
        </is>
      </c>
      <c r="B8" s="348" t="n">
        <v>0.02</v>
      </c>
      <c r="C8" s="349">
        <f>DCF!B8</f>
        <v/>
      </c>
      <c r="D8" s="348" t="n">
        <v>0.03</v>
      </c>
    </row>
    <row r="9">
      <c r="A9" s="195" t="inlineStr">
        <is>
          <t>Scenario probability</t>
        </is>
      </c>
      <c r="B9" s="348" t="n">
        <v>0.25</v>
      </c>
      <c r="C9" s="348" t="n">
        <v>0.5</v>
      </c>
      <c r="D9" s="348" t="n">
        <v>0.25</v>
      </c>
      <c r="E9" s="195">
        <f>IF(ABS(SUM(B9:D9)-1)&lt;0.0001,"✓ sums to 100%","⚠ must sum to 100%")</f>
        <v/>
      </c>
    </row>
    <row r="10">
      <c r="A10" s="150" t="inlineStr">
        <is>
          <t>Fair value per share ($)</t>
        </is>
      </c>
      <c r="B10" s="350" cm="1">
        <f t="array" ref="B10">_xlfn.LET(_xlpm.gs,B6,_xlpm.w,B7,_xlpm.tgr,B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C10" s="350" cm="1">
        <f t="array" ref="C10">_xlfn.LET(_xlpm.gs,C6,_xlpm.w,C7,_xlpm.tgr,C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10" s="350" cm="1">
        <f t="array" ref="D10">_xlfn.LET(_xlpm.gs,D6,_xlpm.w,D7,_xlpm.tgr,D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">
      <c r="A11" s="195" t="inlineStr">
        <is>
          <t>Upside / (downside) vs price</t>
        </is>
      </c>
      <c r="B11" s="351">
        <f>B10/DCF!$B$5-1</f>
        <v/>
      </c>
      <c r="C11" s="351">
        <f>C10/DCF!$B$5-1</f>
        <v/>
      </c>
      <c r="D11" s="351">
        <f>D10/DCF!$B$5-1</f>
        <v/>
      </c>
    </row>
    <row r="12">
      <c r="A12" s="194" t="inlineStr">
        <is>
          <t>Probability-weighted fair value ($)</t>
        </is>
      </c>
      <c r="B12" s="352">
        <f>SUMPRODUCT(B9:D9,B10:D10)</f>
        <v/>
      </c>
    </row>
    <row r="13">
      <c r="A13" s="195" t="inlineStr">
        <is>
          <t>Probability-weighted upside / (downside)</t>
        </is>
      </c>
      <c r="B13" s="351">
        <f>B12/DCF!B5-1</f>
        <v/>
      </c>
    </row>
    <row r="14" ht="78" customHeight="1" s="252">
      <c r="A14" s="218" t="inlineStr">
        <is>
          <t>What has to happen</t>
        </is>
      </c>
      <c r="B14" s="217" t="inlineStr">
        <is>
          <t>Growth normalises: FCF rises 0.0% in year one, fading to 2.0%; a 10.0% discount rate prices in more risk.</t>
        </is>
      </c>
      <c r="C14" s="217" t="inlineStr">
        <is>
          <t>FCF compounds near its 9-year historical rate (~3%), fading to 2.5% long-run growth.</t>
        </is>
      </c>
      <c r="D14" s="217" t="inlineStr">
        <is>
          <t>Recent momentum holds: year-one FCF growth of 6% (revenue grew +0% over the latest twelve months), a 9.0% discount rate and 3.0% terminal growth.</t>
        </is>
      </c>
    </row>
    <row r="18">
      <c r="A18" s="149" t="inlineStr">
        <is>
          <t>Sensitivity 1 — fair value per share: WACC (rows) × terminal growth (columns), base-case growth</t>
        </is>
      </c>
      <c r="B18" s="149" t="n"/>
      <c r="C18" s="149" t="n"/>
      <c r="D18" s="149" t="n"/>
      <c r="E18" s="149" t="n"/>
      <c r="F18" s="149" t="n"/>
      <c r="G18" s="149" t="n"/>
      <c r="H18" s="149" t="n"/>
    </row>
    <row r="19">
      <c r="B19" s="183" t="inlineStr">
        <is>
          <t>WACC ↓ · g →</t>
        </is>
      </c>
      <c r="C19" s="353">
        <f>DCF!$B$8+(-0.01)</f>
        <v/>
      </c>
      <c r="D19" s="353">
        <f>DCF!$B$8+(-0.005)</f>
        <v/>
      </c>
      <c r="E19" s="353">
        <f>DCF!$B$8+(0)</f>
        <v/>
      </c>
      <c r="F19" s="353">
        <f>DCF!$B$8+(0.005)</f>
        <v/>
      </c>
      <c r="G19" s="353">
        <f>DCF!$B$8+(0.01)</f>
        <v/>
      </c>
    </row>
    <row r="20">
      <c r="B20" s="353">
        <f>DCF!$B$7+(-0.01)</f>
        <v/>
      </c>
      <c r="C20" s="354" cm="1">
        <f t="array" ref="C20">_xlfn.LET(_xlpm.gs,DCF!$B$9,_xlpm.w,$B20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0" s="354" cm="1">
        <f t="array" ref="D20">_xlfn.LET(_xlpm.gs,DCF!$B$9,_xlpm.w,$B20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0" s="354" cm="1">
        <f t="array" ref="E20">_xlfn.LET(_xlpm.gs,DCF!$B$9,_xlpm.w,$B20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0" s="354" cm="1">
        <f t="array" ref="F20">_xlfn.LET(_xlpm.gs,DCF!$B$9,_xlpm.w,$B20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0" s="354" cm="1">
        <f t="array" ref="G20">_xlfn.LET(_xlpm.gs,DCF!$B$9,_xlpm.w,$B20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1" ht="15" customHeight="1" s="252" thickBot="1">
      <c r="B21" s="353">
        <f>DCF!$B$7+(-0.005)</f>
        <v/>
      </c>
      <c r="C21" s="354" cm="1">
        <f t="array" ref="C21">_xlfn.LET(_xlpm.gs,DCF!$B$9,_xlpm.w,$B21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1" s="354" cm="1">
        <f t="array" ref="D21">_xlfn.LET(_xlpm.gs,DCF!$B$9,_xlpm.w,$B21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1" s="355" cm="1">
        <f t="array" ref="E21">_xlfn.LET(_xlpm.gs,DCF!$B$9,_xlpm.w,$B21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1" s="354" cm="1">
        <f t="array" ref="F21">_xlfn.LET(_xlpm.gs,DCF!$B$9,_xlpm.w,$B21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1" s="354" cm="1">
        <f t="array" ref="G21">_xlfn.LET(_xlpm.gs,DCF!$B$9,_xlpm.w,$B21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2" ht="15" customHeight="1" s="252" thickBot="1">
      <c r="B22" s="353">
        <f>DCF!$B$7+(0)</f>
        <v/>
      </c>
      <c r="C22" s="354" cm="1">
        <f t="array" ref="C22">_xlfn.LET(_xlpm.gs,DCF!$B$9,_xlpm.w,$B22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2" s="356" cm="1">
        <f t="array" ref="D22">_xlfn.LET(_xlpm.gs,DCF!$B$9,_xlpm.w,$B22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2" s="357" cm="1">
        <f t="array" ref="E22">_xlfn.LET(_xlpm.gs,DCF!$B$9,_xlpm.w,$B22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2" s="358" cm="1">
        <f t="array" ref="F22">_xlfn.LET(_xlpm.gs,DCF!$B$9,_xlpm.w,$B22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2" s="354" cm="1">
        <f t="array" ref="G22">_xlfn.LET(_xlpm.gs,DCF!$B$9,_xlpm.w,$B22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3">
      <c r="B23" s="353">
        <f>DCF!$B$7+(0.005)</f>
        <v/>
      </c>
      <c r="C23" s="354" cm="1">
        <f t="array" ref="C23">_xlfn.LET(_xlpm.gs,DCF!$B$9,_xlpm.w,$B23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3" s="354" cm="1">
        <f t="array" ref="D23">_xlfn.LET(_xlpm.gs,DCF!$B$9,_xlpm.w,$B23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3" s="359" cm="1">
        <f t="array" ref="E23">_xlfn.LET(_xlpm.gs,DCF!$B$9,_xlpm.w,$B23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3" s="354" cm="1">
        <f t="array" ref="F23">_xlfn.LET(_xlpm.gs,DCF!$B$9,_xlpm.w,$B23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3" s="354" cm="1">
        <f t="array" ref="G23">_xlfn.LET(_xlpm.gs,DCF!$B$9,_xlpm.w,$B23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4">
      <c r="B24" s="353">
        <f>DCF!$B$7+(0.01)</f>
        <v/>
      </c>
      <c r="C24" s="354" cm="1">
        <f t="array" ref="C24">_xlfn.LET(_xlpm.gs,DCF!$B$9,_xlpm.w,$B24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4" s="354" cm="1">
        <f t="array" ref="D24">_xlfn.LET(_xlpm.gs,DCF!$B$9,_xlpm.w,$B24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4" s="354" cm="1">
        <f t="array" ref="E24">_xlfn.LET(_xlpm.gs,DCF!$B$9,_xlpm.w,$B24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4" s="354" cm="1">
        <f t="array" ref="F24">_xlfn.LET(_xlpm.gs,DCF!$B$9,_xlpm.w,$B24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4" s="354" cm="1">
        <f t="array" ref="G24">_xlfn.LET(_xlpm.gs,DCF!$B$9,_xlpm.w,$B24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6">
      <c r="A26" s="149" t="inlineStr">
        <is>
          <t>Sensitivity 2 — fair value per share: year-1 FCF growth (rows) × WACC (columns)</t>
        </is>
      </c>
      <c r="B26" s="149" t="n"/>
      <c r="C26" s="149" t="n"/>
      <c r="D26" s="149" t="n"/>
      <c r="E26" s="149" t="n"/>
      <c r="F26" s="149" t="n"/>
      <c r="G26" s="149" t="n"/>
      <c r="H26" s="149" t="n"/>
    </row>
    <row r="27">
      <c r="B27" s="183" t="inlineStr">
        <is>
          <t>Growth ↓ · WACC →</t>
        </is>
      </c>
      <c r="C27" s="353">
        <f>DCF!$B$7+(-0.01)</f>
        <v/>
      </c>
      <c r="D27" s="353">
        <f>DCF!$B$7+(-0.005)</f>
        <v/>
      </c>
      <c r="E27" s="353">
        <f>DCF!$B$7+(0)</f>
        <v/>
      </c>
      <c r="F27" s="353">
        <f>DCF!$B$7+(0.005)</f>
        <v/>
      </c>
      <c r="G27" s="353">
        <f>DCF!$B$7+(0.01)</f>
        <v/>
      </c>
    </row>
    <row r="28">
      <c r="B28" s="353">
        <f>DCF!$B$9+(-0.06)</f>
        <v/>
      </c>
      <c r="C28" s="354" cm="1">
        <f t="array" ref="C28">_xlfn.LET(_xlpm.gs,$B28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8" s="354" cm="1">
        <f t="array" ref="D28">_xlfn.LET(_xlpm.gs,$B28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8" s="354" cm="1">
        <f t="array" ref="E28">_xlfn.LET(_xlpm.gs,$B28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8" s="354" cm="1">
        <f t="array" ref="F28">_xlfn.LET(_xlpm.gs,$B28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8" s="354" cm="1">
        <f t="array" ref="G28">_xlfn.LET(_xlpm.gs,$B28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9" ht="15" customHeight="1" s="252" thickBot="1">
      <c r="B29" s="353">
        <f>DCF!$B$9+(-0.03)</f>
        <v/>
      </c>
      <c r="C29" s="354" cm="1">
        <f t="array" ref="C29">_xlfn.LET(_xlpm.gs,$B29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9" s="354" cm="1">
        <f t="array" ref="D29">_xlfn.LET(_xlpm.gs,$B29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9" s="355" cm="1">
        <f t="array" ref="E29">_xlfn.LET(_xlpm.gs,$B29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9" s="354" cm="1">
        <f t="array" ref="F29">_xlfn.LET(_xlpm.gs,$B29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9" s="354" cm="1">
        <f t="array" ref="G29">_xlfn.LET(_xlpm.gs,$B29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0" ht="15" customHeight="1" s="252" thickBot="1">
      <c r="B30" s="353">
        <f>DCF!$B$9+(0)</f>
        <v/>
      </c>
      <c r="C30" s="354" cm="1">
        <f t="array" ref="C30">_xlfn.LET(_xlpm.gs,$B30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30" s="356" cm="1">
        <f t="array" ref="D30">_xlfn.LET(_xlpm.gs,$B30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30" s="357" cm="1">
        <f t="array" ref="E30">_xlfn.LET(_xlpm.gs,$B30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30" s="358" cm="1">
        <f t="array" ref="F30">_xlfn.LET(_xlpm.gs,$B30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30" s="354" cm="1">
        <f t="array" ref="G30">_xlfn.LET(_xlpm.gs,$B30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1">
      <c r="B31" s="353">
        <f>DCF!$B$9+(0.03)</f>
        <v/>
      </c>
      <c r="C31" s="354" cm="1">
        <f t="array" ref="C31">_xlfn.LET(_xlpm.gs,$B31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31" s="354" cm="1">
        <f t="array" ref="D31">_xlfn.LET(_xlpm.gs,$B31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31" s="359" cm="1">
        <f t="array" ref="E31">_xlfn.LET(_xlpm.gs,$B31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31" s="354" cm="1">
        <f t="array" ref="F31">_xlfn.LET(_xlpm.gs,$B31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31" s="354" cm="1">
        <f t="array" ref="G31">_xlfn.LET(_xlpm.gs,$B31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2">
      <c r="B32" s="353">
        <f>DCF!$B$9+(0.06)</f>
        <v/>
      </c>
      <c r="C32" s="354" cm="1">
        <f t="array" ref="C32">_xlfn.LET(_xlpm.gs,$B32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32" s="354" cm="1">
        <f t="array" ref="D32">_xlfn.LET(_xlpm.gs,$B32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32" s="354" cm="1">
        <f t="array" ref="E32">_xlfn.LET(_xlpm.gs,$B32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32" s="354" cm="1">
        <f t="array" ref="F32">_xlfn.LET(_xlpm.gs,$B32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32" s="354" cm="1">
        <f t="array" ref="G32">_xlfn.LET(_xlpm.gs,$B32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4">
      <c r="A34" s="175">
        <f>"Yellow = base case. Green = fair value at or above today's price of "&amp;TEXT(DCF!B5,"$0.00")&amp;". The base case assumes "&amp;TEXT(DCF!B9,"0.0%")&amp;" year-1 growth; "&amp;IFERROR("the market price implies "&amp;TEXT(DCF!B49,"0.0%")&amp;" (≈"&amp;TEXT(DCF!B50,"0.0%")&amp;" 10-yr CAGR).","the market price is outside the range the model can solve.")</f>
        <v/>
      </c>
    </row>
    <row r="36">
      <c r="A36" s="149" t="inlineStr">
        <is>
          <t>Valuation range (feeds the Summary chart)</t>
        </is>
      </c>
      <c r="B36" s="149" t="n"/>
      <c r="C36" s="149" t="n"/>
      <c r="D36" s="149" t="n"/>
      <c r="E36" s="149" t="n"/>
      <c r="F36" s="149" t="n"/>
      <c r="G36" s="149" t="n"/>
      <c r="H36" s="149" t="n"/>
    </row>
    <row r="37">
      <c r="A37" s="153" t="inlineStr">
        <is>
          <t>Measure</t>
        </is>
      </c>
      <c r="B37" s="152" t="inlineStr">
        <is>
          <t>$ per share</t>
        </is>
      </c>
    </row>
    <row r="38">
      <c r="A38" s="195" t="inlineStr">
        <is>
          <t>DCF — bear</t>
        </is>
      </c>
      <c r="B38" s="360">
        <f>B10</f>
        <v/>
      </c>
    </row>
    <row r="39">
      <c r="A39" s="195" t="inlineStr">
        <is>
          <t>DCF — base</t>
        </is>
      </c>
      <c r="B39" s="360">
        <f>C10</f>
        <v/>
      </c>
    </row>
    <row r="40">
      <c r="A40" s="195" t="inlineStr">
        <is>
          <t>DCF — bull</t>
        </is>
      </c>
      <c r="B40" s="360">
        <f>D10</f>
        <v/>
      </c>
    </row>
    <row r="41">
      <c r="A41" s="195" t="inlineStr">
        <is>
          <t>DCF — probability-weighted</t>
        </is>
      </c>
      <c r="B41" s="360">
        <f>B12</f>
        <v/>
      </c>
    </row>
    <row r="42">
      <c r="A42" s="195" t="inlineStr">
        <is>
          <t>52-week low</t>
        </is>
      </c>
      <c r="B42" s="360">
        <f>MIN(Price_Data!D1002:D1254)</f>
        <v/>
      </c>
    </row>
    <row r="43">
      <c r="A43" s="195" t="inlineStr">
        <is>
          <t>52-week high</t>
        </is>
      </c>
      <c r="B43" s="360">
        <f>MAX(Price_Data!C1002:C1254)</f>
        <v/>
      </c>
    </row>
    <row r="44">
      <c r="A44" s="195" t="inlineStr">
        <is>
          <t>Current price</t>
        </is>
      </c>
      <c r="B44" s="360">
        <f>DCF!B5</f>
        <v/>
      </c>
    </row>
  </sheetData>
  <conditionalFormatting sqref="C20:G24">
    <cfRule type="expression" priority="1" dxfId="12">
      <formula>C20&gt;=DCF!$B$5</formula>
    </cfRule>
  </conditionalFormatting>
  <conditionalFormatting sqref="C28:G32">
    <cfRule type="expression" priority="2" dxfId="12">
      <formula>C28&gt;=DCF!$B$5</formula>
    </cfRule>
  </conditionalFormatting>
  <hyperlinks>
    <hyperlink xmlns:r="http://schemas.openxmlformats.org/officeDocument/2006/relationships" ref="G2" location="'Summary'!A1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E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0" customWidth="1" style="195" min="1" max="1"/>
    <col width="16.36328125" customWidth="1" style="195" min="2" max="3"/>
    <col width="69.08984375" customWidth="1" style="195" min="4" max="4"/>
    <col width="3.6328125" customWidth="1" style="195" min="5" max="5"/>
    <col width="8.7265625" customWidth="1" style="195" min="6" max="26"/>
  </cols>
  <sheetData>
    <row r="1" ht="30" customHeight="1" s="252">
      <c r="A1" s="146" t="inlineStr">
        <is>
          <t>Nike, Inc. (NKE) — Multiples &amp; Quality Metrics</t>
        </is>
      </c>
      <c r="B1" s="146" t="n"/>
      <c r="C1" s="146" t="n"/>
      <c r="D1" s="146" t="n"/>
      <c r="E1" s="146" t="n"/>
    </row>
    <row r="2">
      <c r="A2" s="147" t="inlineStr">
        <is>
          <t>FY2026 = last audited fiscal year (ended 31-May-2026) · $ in billions except per share</t>
        </is>
      </c>
      <c r="B2" s="147" t="n"/>
      <c r="C2" s="147" t="n"/>
      <c r="D2" s="148" t="inlineStr">
        <is>
          <t>← Back to Summary</t>
        </is>
      </c>
      <c r="E2" s="147" t="n"/>
    </row>
    <row r="4">
      <c r="A4" s="149" t="inlineStr">
        <is>
          <t>Market value</t>
        </is>
      </c>
      <c r="B4" s="149" t="n"/>
      <c r="C4" s="149" t="n"/>
      <c r="D4" s="149" t="n"/>
      <c r="E4" s="149" t="n"/>
    </row>
    <row r="5">
      <c r="A5" s="195" t="inlineStr">
        <is>
          <t>Share price ($)</t>
        </is>
      </c>
      <c r="B5" s="334">
        <f>DCF!B5</f>
        <v/>
      </c>
      <c r="C5" s="197" t="inlineStr">
        <is>
          <t>Report price, 23-Sep-2026</t>
        </is>
      </c>
    </row>
    <row r="6">
      <c r="A6" s="195" t="inlineStr">
        <is>
          <t>Shares outstanding (B)</t>
        </is>
      </c>
      <c r="B6" s="335">
        <f>Financials!B41</f>
        <v/>
      </c>
      <c r="C6" s="197" t="inlineStr">
        <is>
          <t>Market cap ÷ price</t>
        </is>
      </c>
    </row>
    <row r="7">
      <c r="A7" s="195" t="inlineStr">
        <is>
          <t>Market capitalisation ($B)</t>
        </is>
      </c>
      <c r="B7" s="325">
        <f>B5*B6</f>
        <v/>
      </c>
      <c r="C7" s="197" t="inlineStr">
        <is>
          <t>Price × shares — one price, one share count, one moment</t>
        </is>
      </c>
    </row>
    <row r="8">
      <c r="A8" s="195" t="inlineStr">
        <is>
          <t>Net debt / (net cash) ($B)</t>
        </is>
      </c>
      <c r="B8" s="361">
        <f>DCF!B18</f>
        <v/>
      </c>
      <c r="C8" s="197" t="inlineStr">
        <is>
          <t>Per DCF tab treatment</t>
        </is>
      </c>
    </row>
    <row r="9">
      <c r="A9" s="195" t="inlineStr">
        <is>
          <t>Enterprise value ($B)</t>
        </is>
      </c>
      <c r="B9" s="325">
        <f>B7+B8</f>
        <v/>
      </c>
      <c r="C9" s="197" t="n"/>
    </row>
    <row r="10">
      <c r="A10" s="195" t="inlineStr">
        <is>
          <t>Quarterly dividend per share ($)</t>
        </is>
      </c>
      <c r="B10" s="362" t="n">
        <v>0.4099999999999999</v>
      </c>
      <c r="C10" s="197" t="inlineStr">
        <is>
          <t>Declared for the quarter to May-2026</t>
        </is>
      </c>
    </row>
    <row r="11">
      <c r="A11" s="195" t="inlineStr">
        <is>
          <t>Dividend yield (run-rate)</t>
        </is>
      </c>
      <c r="B11" s="235">
        <f>B10*4/B5</f>
        <v/>
      </c>
      <c r="C11" s="197" t="inlineStr">
        <is>
          <t>Quarterly dividend × 4 ÷ price</t>
        </is>
      </c>
    </row>
    <row r="13">
      <c r="A13" s="149" t="inlineStr">
        <is>
          <t>Valuation multiples</t>
        </is>
      </c>
      <c r="B13" s="149" t="n"/>
      <c r="C13" s="149" t="n"/>
      <c r="D13" s="149" t="n"/>
      <c r="E13" s="149" t="n"/>
    </row>
    <row r="14">
      <c r="A14" s="153" t="inlineStr">
        <is>
          <t>Metric</t>
        </is>
      </c>
      <c r="B14" s="152" t="inlineStr">
        <is>
          <t>FY2026</t>
        </is>
      </c>
      <c r="C14" s="152" t="inlineStr">
        <is>
          <t>TTM</t>
        </is>
      </c>
      <c r="D14" s="151" t="inlineStr">
        <is>
          <t>Definition</t>
        </is>
      </c>
    </row>
    <row r="15">
      <c r="A15" s="150" t="inlineStr">
        <is>
          <t>P/E</t>
        </is>
      </c>
      <c r="B15" s="363">
        <f>B7/Financials!K8</f>
        <v/>
      </c>
      <c r="C15" s="363">
        <f>B5/Financials!F19</f>
        <v/>
      </c>
      <c r="D15" s="197" t="inlineStr">
        <is>
          <t>FY: market cap ÷ net income · TTM: price ÷ diluted EPS (sum of last 4 quarters)</t>
        </is>
      </c>
    </row>
    <row r="16">
      <c r="A16" s="195" t="inlineStr">
        <is>
          <t>EV / Sales</t>
        </is>
      </c>
      <c r="B16" s="364">
        <f>B9/Financials!K6</f>
        <v/>
      </c>
      <c r="C16" s="364">
        <f>B9/Financials!F17</f>
        <v/>
      </c>
      <c r="D16" s="197" t="inlineStr">
        <is>
          <t>Enterprise value ÷ revenue</t>
        </is>
      </c>
    </row>
    <row r="17">
      <c r="A17" s="195" t="inlineStr">
        <is>
          <t>Price / Sales</t>
        </is>
      </c>
      <c r="B17" s="364">
        <f>B7/Financials!K6</f>
        <v/>
      </c>
      <c r="C17" s="364">
        <f>B7/Financials!F17</f>
        <v/>
      </c>
      <c r="D17" s="197" t="inlineStr">
        <is>
          <t>Market cap ÷ revenue</t>
        </is>
      </c>
    </row>
    <row r="18">
      <c r="A18" s="195" t="inlineStr">
        <is>
          <t>EV / EBITDA</t>
        </is>
      </c>
      <c r="B18" s="364" t="inlineStr">
        <is>
          <t>N/A</t>
        </is>
      </c>
      <c r="C18" s="364" t="inlineStr">
        <is>
          <t>n/a</t>
        </is>
      </c>
      <c r="D18" s="197" t="inlineStr">
        <is>
          <t>EBITDA = operating income + D&amp;A</t>
        </is>
      </c>
    </row>
    <row r="19">
      <c r="A19" s="195" t="inlineStr">
        <is>
          <t>Price / FCF</t>
        </is>
      </c>
      <c r="B19" s="364">
        <f>B7/Financials!K10</f>
        <v/>
      </c>
      <c r="C19" s="364" t="inlineStr">
        <is>
          <t>n/a</t>
        </is>
      </c>
      <c r="D19" s="197" t="inlineStr">
        <is>
          <t>Market cap ÷ (CFO − capex)</t>
        </is>
      </c>
    </row>
    <row r="20">
      <c r="A20" s="195" t="inlineStr">
        <is>
          <t>FCF yield</t>
        </is>
      </c>
      <c r="B20" s="338">
        <f>Financials!K10/B7</f>
        <v/>
      </c>
      <c r="C20" s="338" t="inlineStr">
        <is>
          <t>n/a</t>
        </is>
      </c>
      <c r="D20" s="197" t="inlineStr">
        <is>
          <t>Inverse of P/FCF</t>
        </is>
      </c>
    </row>
    <row r="21">
      <c r="A21" s="195" t="inlineStr">
        <is>
          <t>FCF yield after SBC</t>
        </is>
      </c>
      <c r="B21" s="338">
        <f>Financials!B38/B7</f>
        <v/>
      </c>
      <c r="C21" s="338" t="inlineStr">
        <is>
          <t>n/a</t>
        </is>
      </c>
      <c r="D21" s="197" t="inlineStr">
        <is>
          <t>Treats stock comp as a cash-equivalent cost</t>
        </is>
      </c>
    </row>
    <row r="22">
      <c r="A22" s="195" t="inlineStr">
        <is>
          <t>Earnings yield</t>
        </is>
      </c>
      <c r="B22" s="338">
        <f>1/B15</f>
        <v/>
      </c>
      <c r="C22" s="338">
        <f>1/C15</f>
        <v/>
      </c>
      <c r="D22" s="197" t="inlineStr">
        <is>
          <t>Inverse of P/E</t>
        </is>
      </c>
    </row>
    <row r="23">
      <c r="A23" s="195" t="inlineStr">
        <is>
          <t>Earnings yield − risk-free rate</t>
        </is>
      </c>
      <c r="B23" s="338">
        <f>B22-DCF!$B$14</f>
        <v/>
      </c>
      <c r="C23" s="338">
        <f>C22-DCF!$B$14</f>
        <v/>
      </c>
      <c r="D23" s="197" t="inlineStr">
        <is>
          <t>Equity 'spread' over T-bills (risk-free 4.16%)</t>
        </is>
      </c>
    </row>
    <row r="24">
      <c r="A24" s="195" t="inlineStr">
        <is>
          <t>Price / Book</t>
        </is>
      </c>
      <c r="B24" s="364">
        <f>B7/Financials!B33</f>
        <v/>
      </c>
      <c r="C24" s="364" t="inlineStr">
        <is>
          <t>n/a</t>
        </is>
      </c>
      <c r="D24" s="197" t="inlineStr">
        <is>
          <t>Book equity; distorted where buybacks have shrunk equity</t>
        </is>
      </c>
    </row>
    <row r="25">
      <c r="D25" s="197" t="n"/>
    </row>
    <row r="26">
      <c r="A26" s="149" t="inlineStr">
        <is>
          <t>Profitability, cash quality &amp; balance sheet (FY2026 unless stated)</t>
        </is>
      </c>
      <c r="B26" s="149" t="n"/>
      <c r="C26" s="149" t="inlineStr">
        <is>
          <t>Latest qtr</t>
        </is>
      </c>
      <c r="D26" s="198" t="n"/>
      <c r="E26" s="149" t="n"/>
    </row>
    <row r="27">
      <c r="A27" s="195" t="inlineStr">
        <is>
          <t>Gross margin</t>
        </is>
      </c>
      <c r="B27" s="365">
        <f>Raw_Fundamentals!B14</f>
        <v/>
      </c>
      <c r="C27" s="366" t="n">
        <v>0.4915238789646373</v>
      </c>
      <c r="D27" s="197" t="inlineStr">
        <is>
          <t>Latest quarter (Q4 FY26)</t>
        </is>
      </c>
    </row>
    <row r="28">
      <c r="A28" s="195" t="inlineStr">
        <is>
          <t>Operating margin</t>
        </is>
      </c>
      <c r="B28" s="338" t="inlineStr">
        <is>
          <t>N/A</t>
        </is>
      </c>
      <c r="C28" s="338" t="n"/>
      <c r="D28" s="197" t="n"/>
    </row>
    <row r="29">
      <c r="A29" s="195" t="inlineStr">
        <is>
          <t>Net margin</t>
        </is>
      </c>
      <c r="B29" s="338">
        <f>Financials!K9</f>
        <v/>
      </c>
      <c r="C29" s="338" t="n"/>
      <c r="D29" s="197" t="n"/>
    </row>
    <row r="30">
      <c r="A30" s="195" t="inlineStr">
        <is>
          <t>FCF margin</t>
        </is>
      </c>
      <c r="B30" s="338">
        <f>Financials!K11</f>
        <v/>
      </c>
      <c r="C30" s="338" t="n"/>
      <c r="D30" s="197" t="n"/>
    </row>
    <row r="31">
      <c r="A31" s="195" t="inlineStr">
        <is>
          <t>FCF ÷ net income (cash conversion)</t>
        </is>
      </c>
      <c r="B31" s="367">
        <f>Financials!K12</f>
        <v/>
      </c>
      <c r="C31" s="338" t="n"/>
      <c r="D31" s="197" t="inlineStr">
        <is>
          <t>Below 1.0x in FY26 after &gt;1.0x in FY25</t>
        </is>
      </c>
    </row>
    <row r="32">
      <c r="A32" s="195" t="inlineStr">
        <is>
          <t>Return on assets</t>
        </is>
      </c>
      <c r="B32" s="338">
        <f>Financials!K8/Financials!B34</f>
        <v/>
      </c>
      <c r="C32" s="338" t="n"/>
      <c r="D32" s="197" t="n"/>
    </row>
    <row r="33">
      <c r="A33" s="195" t="inlineStr">
        <is>
          <t>Stock-based comp as % of revenue</t>
        </is>
      </c>
      <c r="B33" s="338">
        <f>Financials!B37/Financials!K6</f>
        <v/>
      </c>
      <c r="C33" s="338" t="n"/>
      <c r="D33" s="197" t="n"/>
    </row>
    <row r="34">
      <c r="A34" s="195" t="inlineStr">
        <is>
          <t>Stock-based comp as % of FCF</t>
        </is>
      </c>
      <c r="B34" s="338">
        <f>Financials!B37/Financials!K10</f>
        <v/>
      </c>
      <c r="C34" s="338" t="n"/>
      <c r="D34" s="197" t="n"/>
    </row>
    <row r="35">
      <c r="A35" s="195" t="inlineStr">
        <is>
          <t>Net cash as % of market cap</t>
        </is>
      </c>
      <c r="B35" s="338">
        <f>-B8/B7</f>
        <v/>
      </c>
      <c r="C35" s="338" t="n"/>
      <c r="D35" s="197" t="n"/>
    </row>
    <row r="36">
      <c r="A36" s="195" t="inlineStr">
        <is>
          <t>Total debt ÷ EBITDA</t>
        </is>
      </c>
      <c r="B36" s="367" t="inlineStr">
        <is>
          <t>N/A</t>
        </is>
      </c>
      <c r="C36" s="187" t="n"/>
      <c r="D36" s="197" t="n"/>
    </row>
    <row r="38">
      <c r="A38" s="149" t="inlineStr">
        <is>
          <t>Peer comparison</t>
        </is>
      </c>
      <c r="B38" s="149" t="n"/>
      <c r="C38" s="149" t="n"/>
      <c r="D38" s="149" t="n"/>
      <c r="E38" s="149" t="n"/>
    </row>
    <row r="39" s="252">
      <c r="A39" s="153" t="inlineStr">
        <is>
          <t>Ticker</t>
        </is>
      </c>
      <c r="B39" s="152" t="inlineStr">
        <is>
          <t>P/E (TTM)</t>
        </is>
      </c>
      <c r="C39" s="152" t="inlineStr">
        <is>
          <t>EV / EBITDA</t>
        </is>
      </c>
      <c r="D39" s="151" t="inlineStr">
        <is>
          <t>Revenue growth · FCF yield</t>
        </is>
      </c>
    </row>
    <row r="40">
      <c r="A40" s="380" t="inlineStr">
        <is>
          <t>NKE</t>
        </is>
      </c>
      <c r="B40" s="381" t="n">
        <v>17.23</v>
      </c>
      <c r="C40" s="381" t="inlineStr">
        <is>
          <t>N/A</t>
        </is>
      </c>
      <c r="D40" s="380" t="inlineStr">
        <is>
          <t>+0.2% · 4.1%</t>
        </is>
      </c>
    </row>
    <row r="41">
      <c r="A41" s="150" t="inlineStr">
        <is>
          <t>UAA</t>
        </is>
      </c>
      <c r="B41" s="363" t="inlineStr">
        <is>
          <t>N/A</t>
        </is>
      </c>
      <c r="C41" s="363" t="inlineStr">
        <is>
          <t>N/A</t>
        </is>
      </c>
      <c r="D41" s="197" t="inlineStr">
        <is>
          <t>-3.6% · -4.2%</t>
        </is>
      </c>
    </row>
    <row r="42">
      <c r="A42" s="150" t="inlineStr">
        <is>
          <t>LULU</t>
        </is>
      </c>
      <c r="B42" s="363" t="n">
        <v>7.62</v>
      </c>
      <c r="C42" s="363" t="n">
        <v>3.74</v>
      </c>
      <c r="D42" s="197" t="inlineStr">
        <is>
          <t>+1.7% · 12.5%</t>
        </is>
      </c>
    </row>
    <row r="43">
      <c r="A43" s="380" t="inlineStr">
        <is>
          <t>Peer median</t>
        </is>
      </c>
      <c r="B43" s="381" t="n">
        <v>7.62</v>
      </c>
      <c r="C43" s="381" t="n">
        <v>3.74</v>
      </c>
      <c r="D43" s="380" t="inlineStr">
        <is>
          <t>-1.0% · 4.2%</t>
        </is>
      </c>
    </row>
    <row r="44">
      <c r="A44" s="382" t="inlineStr">
        <is>
          <t>Peers: Apparel &amp; footwear — each on its own latest filings and market cap. Full table on the Peers tab.</t>
        </is>
      </c>
    </row>
  </sheetData>
  <hyperlinks>
    <hyperlink xmlns:r="http://schemas.openxmlformats.org/officeDocument/2006/relationships" ref="D2" location="'Summary'!A1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71"/>
  <sheetViews>
    <sheetView showGridLines="0" workbookViewId="0">
      <pane ySplit="2" topLeftCell="A27" activePane="bottomLeft" state="frozen"/>
      <selection pane="bottomLeft" activeCell="A1" sqref="A1"/>
    </sheetView>
  </sheetViews>
  <sheetFormatPr baseColWidth="8" defaultRowHeight="14.5"/>
  <cols>
    <col width="38.1796875" customWidth="1" style="195" min="1" max="1"/>
    <col width="17.26953125" customWidth="1" style="195" min="2" max="2"/>
    <col width="54.54296875" customWidth="1" style="195" min="3" max="3"/>
    <col width="15.453125" customWidth="1" style="195" min="4" max="4"/>
    <col width="3.6328125" customWidth="1" style="195" min="5" max="5"/>
    <col width="14.54296875" customWidth="1" style="195" min="6" max="6"/>
    <col width="16.36328125" customWidth="1" style="195" min="7" max="8"/>
    <col width="8.7265625" customWidth="1" style="195" min="9" max="26"/>
  </cols>
  <sheetData>
    <row r="1" ht="30" customHeight="1" s="252">
      <c r="A1" s="146" t="inlineStr">
        <is>
          <t>Nike, Inc. (NKE) — Price Performance &amp; Risk</t>
        </is>
      </c>
      <c r="B1" s="146" t="n"/>
      <c r="C1" s="146" t="n"/>
      <c r="D1" s="146" t="n"/>
      <c r="E1" s="146" t="n"/>
      <c r="F1" s="146" t="n"/>
      <c r="G1" s="146" t="n"/>
      <c r="H1" s="146" t="n"/>
      <c r="I1" s="146" t="n"/>
    </row>
    <row r="2">
      <c r="A2" s="147" t="inlineStr">
        <is>
          <t>All statistics computed live from Price_Data (daily closes, total return — Yahoo Finance closes are dividend-adjusted) · window shown below</t>
        </is>
      </c>
      <c r="B2" s="147" t="n"/>
      <c r="C2" s="147" t="n"/>
      <c r="D2" s="147" t="n"/>
      <c r="E2" s="147" t="n"/>
      <c r="F2" s="147" t="n"/>
      <c r="G2" s="147" t="n"/>
      <c r="H2" s="148" t="inlineStr">
        <is>
          <t>← Back to Summary</t>
        </is>
      </c>
      <c r="I2" s="147" t="n"/>
    </row>
    <row r="4">
      <c r="A4" s="149" t="inlineStr">
        <is>
          <t>Performance window</t>
        </is>
      </c>
      <c r="B4" s="149" t="n"/>
      <c r="C4" s="149" t="n"/>
      <c r="D4" s="149" t="n"/>
      <c r="F4" s="149" t="inlineStr">
        <is>
          <t>Monthly price returns</t>
        </is>
      </c>
      <c r="G4" s="149" t="n"/>
      <c r="H4" s="149" t="n"/>
      <c r="I4" s="149" t="n"/>
    </row>
    <row r="5">
      <c r="A5" s="195" t="inlineStr">
        <is>
          <t>First observation</t>
        </is>
      </c>
      <c r="B5" s="239">
        <f>MIN(Price_Data!A2:A1254)</f>
        <v/>
      </c>
      <c r="C5" s="197" t="n"/>
      <c r="F5" s="153" t="inlineStr">
        <is>
          <t>Month</t>
        </is>
      </c>
      <c r="G5" s="152" t="inlineStr">
        <is>
          <t>Month-end close</t>
        </is>
      </c>
      <c r="H5" s="152" t="inlineStr">
        <is>
          <t>Return</t>
        </is>
      </c>
    </row>
    <row r="6">
      <c r="A6" s="195" t="inlineStr">
        <is>
          <t>Last observation</t>
        </is>
      </c>
      <c r="B6" s="239">
        <f>MAX(Price_Data!A2:A1254)</f>
        <v/>
      </c>
      <c r="C6" s="197" t="n"/>
      <c r="F6" s="368">
        <f>EOMONTH(B5,1)</f>
        <v/>
      </c>
      <c r="G6" s="360">
        <f>_xlfn.XLOOKUP(F6+0.99,Price_Data!$A$2:$A$1254,Price_Data!$E$2:$E$1254,,-1)</f>
        <v/>
      </c>
      <c r="H6" s="351">
        <f>G6/_xlfn.XLOOKUP(EOMONTH(F6,-1)+0.99,Price_Data!$A$2:$A$1254,Price_Data!$E$2:$E$1254,,1)-1</f>
        <v/>
      </c>
    </row>
    <row r="7">
      <c r="A7" s="195" t="inlineStr">
        <is>
          <t>Length of window (years)</t>
        </is>
      </c>
      <c r="B7" s="240">
        <f>(B6-B5)/365.25</f>
        <v/>
      </c>
      <c r="C7" s="197" t="inlineStr">
        <is>
          <t>Report period: 5Y</t>
        </is>
      </c>
      <c r="F7" s="368">
        <f>EOMONTH(F6,1)</f>
        <v/>
      </c>
      <c r="G7" s="360">
        <f>_xlfn.XLOOKUP(F7+0.99,Price_Data!$A$2:$A$1254,Price_Data!$E$2:$E$1254,,-1)</f>
        <v/>
      </c>
      <c r="H7" s="351">
        <f>G7/G6-1</f>
        <v/>
      </c>
    </row>
    <row r="8">
      <c r="A8" s="195" t="inlineStr">
        <is>
          <t>Starting close ($)</t>
        </is>
      </c>
      <c r="B8" s="344">
        <f>Price_Data!E2</f>
        <v/>
      </c>
      <c r="C8" s="197" t="n"/>
      <c r="F8" s="368">
        <f>EOMONTH(F7,1)</f>
        <v/>
      </c>
      <c r="G8" s="360">
        <f>_xlfn.XLOOKUP(F8+0.99,Price_Data!$A$2:$A$1254,Price_Data!$E$2:$E$1254,,-1)</f>
        <v/>
      </c>
      <c r="H8" s="351">
        <f>G8/G7-1</f>
        <v/>
      </c>
    </row>
    <row r="9">
      <c r="A9" s="195" t="inlineStr">
        <is>
          <t>Latest close ($)</t>
        </is>
      </c>
      <c r="B9" s="344">
        <f>Price_Data!E1254</f>
        <v/>
      </c>
      <c r="C9" s="197" t="n"/>
      <c r="F9" s="368">
        <f>EOMONTH(F8,1)</f>
        <v/>
      </c>
      <c r="G9" s="360">
        <f>_xlfn.XLOOKUP(F9+0.99,Price_Data!$A$2:$A$1254,Price_Data!$E$2:$E$1254,,-1)</f>
        <v/>
      </c>
      <c r="H9" s="351">
        <f>G9/G8-1</f>
        <v/>
      </c>
    </row>
    <row r="10">
      <c r="A10" s="195" t="inlineStr">
        <is>
          <t>Price return over window</t>
        </is>
      </c>
      <c r="B10" s="338">
        <f>B9/B8-1</f>
        <v/>
      </c>
      <c r="C10" s="197" t="inlineStr">
        <is>
          <t>Includes dividends (adjusted closes)</t>
        </is>
      </c>
      <c r="F10" s="368">
        <f>EOMONTH(F9,1)</f>
        <v/>
      </c>
      <c r="G10" s="360">
        <f>_xlfn.XLOOKUP(F10+0.99,Price_Data!$A$2:$A$1254,Price_Data!$E$2:$E$1254,,-1)</f>
        <v/>
      </c>
      <c r="H10" s="351">
        <f>G10/G9-1</f>
        <v/>
      </c>
    </row>
    <row r="11">
      <c r="A11" s="195" t="inlineStr">
        <is>
          <t>Annualised return (CAGR)</t>
        </is>
      </c>
      <c r="B11" s="338">
        <f>(1+B10)^(1/B7)-1</f>
        <v/>
      </c>
      <c r="C11" s="197" t="n"/>
      <c r="F11" s="368">
        <f>EOMONTH(F10,1)</f>
        <v/>
      </c>
      <c r="G11" s="360">
        <f>_xlfn.XLOOKUP(F11+0.99,Price_Data!$A$2:$A$1254,Price_Data!$E$2:$E$1254,,-1)</f>
        <v/>
      </c>
      <c r="H11" s="351">
        <f>G11/G10-1</f>
        <v/>
      </c>
    </row>
    <row r="12">
      <c r="A12" s="195" t="inlineStr">
        <is>
          <t>Trading days</t>
        </is>
      </c>
      <c r="B12" s="241">
        <f>COUNT(Price_Data!E2:E1254)</f>
        <v/>
      </c>
      <c r="C12" s="197" t="n"/>
      <c r="F12" s="368">
        <f>EOMONTH(F11,1)</f>
        <v/>
      </c>
      <c r="G12" s="360">
        <f>_xlfn.XLOOKUP(F12+0.99,Price_Data!$A$2:$A$1254,Price_Data!$E$2:$E$1254,,-1)</f>
        <v/>
      </c>
      <c r="H12" s="351">
        <f>G12/G11-1</f>
        <v/>
      </c>
    </row>
    <row r="13">
      <c r="B13" s="187" t="n"/>
      <c r="C13" s="197" t="n"/>
      <c r="F13" s="368">
        <f>EOMONTH(F12,1)</f>
        <v/>
      </c>
      <c r="G13" s="360">
        <f>_xlfn.XLOOKUP(F13+0.99,Price_Data!$A$2:$A$1254,Price_Data!$E$2:$E$1254,,-1)</f>
        <v/>
      </c>
      <c r="H13" s="351">
        <f>G13/G12-1</f>
        <v/>
      </c>
    </row>
    <row r="14">
      <c r="A14" s="149" t="inlineStr">
        <is>
          <t>Risk statistics (window above)</t>
        </is>
      </c>
      <c r="B14" s="206" t="n"/>
      <c r="C14" s="198" t="n"/>
      <c r="D14" s="149" t="n"/>
      <c r="F14" s="368">
        <f>EOMONTH(F13,1)</f>
        <v/>
      </c>
      <c r="G14" s="360">
        <f>_xlfn.XLOOKUP(F14+0.99,Price_Data!$A$2:$A$1254,Price_Data!$E$2:$E$1254,,-1)</f>
        <v/>
      </c>
      <c r="H14" s="351">
        <f>G14/G13-1</f>
        <v/>
      </c>
    </row>
    <row r="15">
      <c r="A15" s="195" t="inlineStr">
        <is>
          <t>Annualised volatility</t>
        </is>
      </c>
      <c r="B15" s="338">
        <f>_xlfn.STDEV.S(Price_Data!G3:G1254)*SQRT(252)</f>
        <v/>
      </c>
      <c r="C15" s="197" t="inlineStr">
        <is>
          <t>Sample st. dev. of daily returns × √252</t>
        </is>
      </c>
      <c r="F15" s="368">
        <f>EOMONTH(F14,1)</f>
        <v/>
      </c>
      <c r="G15" s="360">
        <f>_xlfn.XLOOKUP(F15+0.99,Price_Data!$A$2:$A$1254,Price_Data!$E$2:$E$1254,,-1)</f>
        <v/>
      </c>
      <c r="H15" s="351">
        <f>G15/G14-1</f>
        <v/>
      </c>
    </row>
    <row r="16">
      <c r="A16" s="195" t="inlineStr">
        <is>
          <t>Arithmetic annualised return</t>
        </is>
      </c>
      <c r="B16" s="338">
        <f>AVERAGE(Price_Data!G3:G1254)*252</f>
        <v/>
      </c>
      <c r="C16" s="197" t="inlineStr">
        <is>
          <t>Mean daily return × 252 (used in Sharpe)</t>
        </is>
      </c>
      <c r="F16" s="368">
        <f>EOMONTH(F15,1)</f>
        <v/>
      </c>
      <c r="G16" s="360">
        <f>_xlfn.XLOOKUP(F16+0.99,Price_Data!$A$2:$A$1254,Price_Data!$E$2:$E$1254,,-1)</f>
        <v/>
      </c>
      <c r="H16" s="351">
        <f>G16/G15-1</f>
        <v/>
      </c>
    </row>
    <row r="17">
      <c r="A17" s="195" t="inlineStr">
        <is>
          <t>Risk-free rate</t>
        </is>
      </c>
      <c r="B17" s="235">
        <f>DCF!B14</f>
        <v/>
      </c>
      <c r="C17" s="197" t="inlineStr">
        <is>
          <t>3-month T-bill (FRED DGS3MO)</t>
        </is>
      </c>
      <c r="F17" s="368">
        <f>EOMONTH(F16,1)</f>
        <v/>
      </c>
      <c r="G17" s="360">
        <f>_xlfn.XLOOKUP(F17+0.99,Price_Data!$A$2:$A$1254,Price_Data!$E$2:$E$1254,,-1)</f>
        <v/>
      </c>
      <c r="H17" s="351">
        <f>G17/G16-1</f>
        <v/>
      </c>
    </row>
    <row r="18">
      <c r="A18" s="195" t="inlineStr">
        <is>
          <t>Sharpe ratio</t>
        </is>
      </c>
      <c r="B18" s="240">
        <f>(B16-B17)/B15</f>
        <v/>
      </c>
      <c r="C18" s="197" t="n"/>
      <c r="F18" s="368">
        <f>EOMONTH(F17,1)</f>
        <v/>
      </c>
      <c r="G18" s="360">
        <f>_xlfn.XLOOKUP(F18+0.99,Price_Data!$A$2:$A$1254,Price_Data!$E$2:$E$1254,,-1)</f>
        <v/>
      </c>
      <c r="H18" s="351">
        <f>G18/G17-1</f>
        <v/>
      </c>
    </row>
    <row r="19">
      <c r="A19" s="195" t="inlineStr">
        <is>
          <t>Downside deviation (annualised)</t>
        </is>
      </c>
      <c r="B19" s="338">
        <f>SQRT(SUMPRODUCT((Price_Data!G3:G1254&lt;0)*Price_Data!G3:G1254^2)/COUNT(Price_Data!G3:G1254))*SQRT(252)</f>
        <v/>
      </c>
      <c r="C19" s="197" t="inlineStr">
        <is>
          <t>Target return 0%</t>
        </is>
      </c>
      <c r="F19" s="368">
        <f>EOMONTH(F18,1)</f>
        <v/>
      </c>
      <c r="G19" s="360">
        <f>_xlfn.XLOOKUP(F19+0.99,Price_Data!$A$2:$A$1254,Price_Data!$E$2:$E$1254,,-1)</f>
        <v/>
      </c>
      <c r="H19" s="351">
        <f>G19/G18-1</f>
        <v/>
      </c>
    </row>
    <row r="20">
      <c r="A20" s="195" t="inlineStr">
        <is>
          <t>Sortino ratio</t>
        </is>
      </c>
      <c r="B20" s="240">
        <f>(B16-B17)/B19</f>
        <v/>
      </c>
      <c r="C20" s="197" t="n"/>
      <c r="F20" s="368">
        <f>EOMONTH(F19,1)</f>
        <v/>
      </c>
      <c r="G20" s="360">
        <f>_xlfn.XLOOKUP(F20+0.99,Price_Data!$A$2:$A$1254,Price_Data!$E$2:$E$1254,,-1)</f>
        <v/>
      </c>
      <c r="H20" s="351">
        <f>G20/G19-1</f>
        <v/>
      </c>
    </row>
    <row r="21">
      <c r="A21" s="195" t="inlineStr">
        <is>
          <t>Maximum drawdown (peak to trough)</t>
        </is>
      </c>
      <c r="B21" s="338">
        <f>MIN(Price_Data!Q2:Q1254)</f>
        <v/>
      </c>
      <c r="C21" s="197" t="n"/>
      <c r="F21" s="368">
        <f>EOMONTH(F20,1)</f>
        <v/>
      </c>
      <c r="G21" s="360">
        <f>_xlfn.XLOOKUP(F21+0.99,Price_Data!$A$2:$A$1254,Price_Data!$E$2:$E$1254,,-1)</f>
        <v/>
      </c>
      <c r="H21" s="351">
        <f>G21/G20-1</f>
        <v/>
      </c>
    </row>
    <row r="22">
      <c r="A22" s="195" t="inlineStr">
        <is>
          <t xml:space="preserve">  Trough date</t>
        </is>
      </c>
      <c r="B22" s="239">
        <f>INDEX(Price_Data!A2:A1254,MATCH(B21,Price_Data!Q2:Q1254,0))</f>
        <v/>
      </c>
      <c r="C22" s="197" t="n"/>
      <c r="F22" s="368">
        <f>EOMONTH(F21,1)</f>
        <v/>
      </c>
      <c r="G22" s="360">
        <f>_xlfn.XLOOKUP(F22+0.99,Price_Data!$A$2:$A$1254,Price_Data!$E$2:$E$1254,,-1)</f>
        <v/>
      </c>
      <c r="H22" s="351">
        <f>G22/G21-1</f>
        <v/>
      </c>
    </row>
    <row r="23">
      <c r="A23" s="195" t="inlineStr">
        <is>
          <t>Current drawdown from peak</t>
        </is>
      </c>
      <c r="B23" s="338">
        <f>Price_Data!Q1254</f>
        <v/>
      </c>
      <c r="C23" s="197" t="n"/>
      <c r="F23" s="368">
        <f>EOMONTH(F22,1)</f>
        <v/>
      </c>
      <c r="G23" s="360">
        <f>_xlfn.XLOOKUP(F23+0.99,Price_Data!$A$2:$A$1254,Price_Data!$E$2:$E$1254,,-1)</f>
        <v/>
      </c>
      <c r="H23" s="351">
        <f>G23/G22-1</f>
        <v/>
      </c>
    </row>
    <row r="24">
      <c r="A24" s="195" t="inlineStr">
        <is>
          <t>20-day volatility (latest)</t>
        </is>
      </c>
      <c r="B24" s="338">
        <f>Price_Data!K1254</f>
        <v/>
      </c>
      <c r="C24" s="197" t="n"/>
      <c r="F24" s="368">
        <f>EOMONTH(F23,1)</f>
        <v/>
      </c>
      <c r="G24" s="360">
        <f>_xlfn.XLOOKUP(F24+0.99,Price_Data!$A$2:$A$1254,Price_Data!$E$2:$E$1254,,-1)</f>
        <v/>
      </c>
      <c r="H24" s="351">
        <f>G24/G23-1</f>
        <v/>
      </c>
    </row>
    <row r="25">
      <c r="A25" s="195" t="inlineStr">
        <is>
          <t>Beta vs S&amp;P 500</t>
        </is>
      </c>
      <c r="B25" s="240">
        <f>SLOPE(Price_Data!G3:G1254,Price_Data!R3:R1254)</f>
        <v/>
      </c>
      <c r="C25" s="197" t="inlineStr">
        <is>
          <t>Regression of daily returns on SPY over the window (raw, not Blume-adjusted)</t>
        </is>
      </c>
      <c r="F25" s="368">
        <f>EOMONTH(F24,1)</f>
        <v/>
      </c>
      <c r="G25" s="360">
        <f>_xlfn.XLOOKUP(F25+0.99,Price_Data!$A$2:$A$1254,Price_Data!$E$2:$E$1254,,-1)</f>
        <v/>
      </c>
      <c r="H25" s="351">
        <f>G25/G24-1</f>
        <v/>
      </c>
    </row>
    <row r="26">
      <c r="A26" s="195" t="inlineStr">
        <is>
          <t>RSI (14)</t>
        </is>
      </c>
      <c r="B26" s="369">
        <f>Price_Data!N1254</f>
        <v/>
      </c>
      <c r="C26" s="197" t="n"/>
      <c r="F26" s="368">
        <f>EOMONTH(F25,1)</f>
        <v/>
      </c>
      <c r="G26" s="360">
        <f>_xlfn.XLOOKUP(F26+0.99,Price_Data!$A$2:$A$1254,Price_Data!$E$2:$E$1254,,-1)</f>
        <v/>
      </c>
      <c r="H26" s="351">
        <f>G26/G25-1</f>
        <v/>
      </c>
    </row>
    <row r="27">
      <c r="B27" s="187" t="n"/>
      <c r="C27" s="197" t="n"/>
      <c r="F27" s="368">
        <f>EOMONTH(F26,1)</f>
        <v/>
      </c>
      <c r="G27" s="360">
        <f>_xlfn.XLOOKUP(F27+0.99,Price_Data!$A$2:$A$1254,Price_Data!$E$2:$E$1254,,-1)</f>
        <v/>
      </c>
      <c r="H27" s="351">
        <f>G27/G26-1</f>
        <v/>
      </c>
    </row>
    <row r="28">
      <c r="A28" s="149" t="inlineStr">
        <is>
          <t>Trend (latest)</t>
        </is>
      </c>
      <c r="B28" s="206" t="n"/>
      <c r="C28" s="198" t="n"/>
      <c r="D28" s="149" t="n"/>
      <c r="F28" s="368">
        <f>EOMONTH(F27,1)</f>
        <v/>
      </c>
      <c r="G28" s="360">
        <f>_xlfn.XLOOKUP(F28+0.99,Price_Data!$A$2:$A$1254,Price_Data!$E$2:$E$1254,,-1)</f>
        <v/>
      </c>
      <c r="H28" s="351">
        <f>G28/G27-1</f>
        <v/>
      </c>
    </row>
    <row r="29">
      <c r="A29" s="195" t="inlineStr">
        <is>
          <t>52-week high ($)</t>
        </is>
      </c>
      <c r="B29" s="344">
        <f>MAX(Price_Data!C1002:C1254)</f>
        <v/>
      </c>
      <c r="C29" s="197" t="inlineStr">
        <is>
          <t>Intraday</t>
        </is>
      </c>
      <c r="F29" s="368">
        <f>EOMONTH(F28,1)</f>
        <v/>
      </c>
      <c r="G29" s="360">
        <f>_xlfn.XLOOKUP(F29+0.99,Price_Data!$A$2:$A$1254,Price_Data!$E$2:$E$1254,,-1)</f>
        <v/>
      </c>
      <c r="H29" s="351">
        <f>G29/G28-1</f>
        <v/>
      </c>
    </row>
    <row r="30">
      <c r="A30" s="195" t="inlineStr">
        <is>
          <t>52-week low ($)</t>
        </is>
      </c>
      <c r="B30" s="344">
        <f>MIN(Price_Data!D1002:D1254)</f>
        <v/>
      </c>
      <c r="C30" s="197" t="inlineStr">
        <is>
          <t>Intraday</t>
        </is>
      </c>
      <c r="F30" s="368">
        <f>EOMONTH(F29,1)</f>
        <v/>
      </c>
      <c r="G30" s="360">
        <f>_xlfn.XLOOKUP(F30+0.99,Price_Data!$A$2:$A$1254,Price_Data!$E$2:$E$1254,,-1)</f>
        <v/>
      </c>
      <c r="H30" s="351">
        <f>G30/G29-1</f>
        <v/>
      </c>
    </row>
    <row r="31">
      <c r="A31" s="195" t="inlineStr">
        <is>
          <t>% below 52-week high</t>
        </is>
      </c>
      <c r="B31" s="338">
        <f>B9/B29-1</f>
        <v/>
      </c>
      <c r="C31" s="197" t="n"/>
      <c r="F31" s="368">
        <f>EOMONTH(F30,1)</f>
        <v/>
      </c>
      <c r="G31" s="360">
        <f>_xlfn.XLOOKUP(F31+0.99,Price_Data!$A$2:$A$1254,Price_Data!$E$2:$E$1254,,-1)</f>
        <v/>
      </c>
      <c r="H31" s="351">
        <f>G31/G30-1</f>
        <v/>
      </c>
    </row>
    <row r="32">
      <c r="A32" s="195" t="inlineStr">
        <is>
          <t>50-day moving average ($)</t>
        </is>
      </c>
      <c r="B32" s="344">
        <f>Price_Data!I1254</f>
        <v/>
      </c>
      <c r="C32" s="197" t="n"/>
      <c r="F32" s="368">
        <f>EOMONTH(F31,1)</f>
        <v/>
      </c>
      <c r="G32" s="360">
        <f>_xlfn.XLOOKUP(F32+0.99,Price_Data!$A$2:$A$1254,Price_Data!$E$2:$E$1254,,-1)</f>
        <v/>
      </c>
      <c r="H32" s="351">
        <f>G32/G31-1</f>
        <v/>
      </c>
    </row>
    <row r="33">
      <c r="A33" s="195" t="inlineStr">
        <is>
          <t>200-day moving average ($)</t>
        </is>
      </c>
      <c r="B33" s="344">
        <f>Price_Data!J1254</f>
        <v/>
      </c>
      <c r="C33" s="197" t="n"/>
      <c r="F33" s="368">
        <f>EOMONTH(F32,1)</f>
        <v/>
      </c>
      <c r="G33" s="360">
        <f>_xlfn.XLOOKUP(F33+0.99,Price_Data!$A$2:$A$1254,Price_Data!$E$2:$E$1254,,-1)</f>
        <v/>
      </c>
      <c r="H33" s="351">
        <f>G33/G32-1</f>
        <v/>
      </c>
    </row>
    <row r="34">
      <c r="A34" s="195" t="inlineStr">
        <is>
          <t>Price vs 200-day average</t>
        </is>
      </c>
      <c r="B34" s="338">
        <f>B9/B33-1</f>
        <v/>
      </c>
      <c r="C34" s="197" t="n"/>
      <c r="F34" s="368">
        <f>EOMONTH(F33,1)</f>
        <v/>
      </c>
      <c r="G34" s="360">
        <f>_xlfn.XLOOKUP(F34+0.99,Price_Data!$A$2:$A$1254,Price_Data!$E$2:$E$1254,,-1)</f>
        <v/>
      </c>
      <c r="H34" s="351">
        <f>G34/G33-1</f>
        <v/>
      </c>
    </row>
    <row r="35">
      <c r="B35" s="239" t="n"/>
      <c r="C35" s="197" t="n"/>
      <c r="F35" s="368">
        <f>EOMONTH(F34,1)</f>
        <v/>
      </c>
      <c r="G35" s="360">
        <f>_xlfn.XLOOKUP(F35+0.99,Price_Data!$A$2:$A$1254,Price_Data!$E$2:$E$1254,,-1)</f>
        <v/>
      </c>
      <c r="H35" s="351">
        <f>G35/G34-1</f>
        <v/>
      </c>
    </row>
    <row r="36">
      <c r="A36" s="149" t="inlineStr">
        <is>
          <t>Calendar-year returns</t>
        </is>
      </c>
      <c r="B36" s="149" t="n"/>
      <c r="C36" s="149" t="n"/>
      <c r="D36" s="149" t="n"/>
      <c r="F36" s="368">
        <f>EOMONTH(F35,1)</f>
        <v/>
      </c>
      <c r="G36" s="360">
        <f>_xlfn.XLOOKUP(F36+0.99,Price_Data!$A$2:$A$1254,Price_Data!$E$2:$E$1254,,-1)</f>
        <v/>
      </c>
      <c r="H36" s="351">
        <f>G36/G35-1</f>
        <v/>
      </c>
    </row>
    <row r="37">
      <c r="A37" s="153" t="inlineStr">
        <is>
          <t>Year</t>
        </is>
      </c>
      <c r="B37" s="152" t="inlineStr">
        <is>
          <t>Coverage</t>
        </is>
      </c>
      <c r="C37" s="199" t="inlineStr">
        <is>
          <t>Price return</t>
        </is>
      </c>
      <c r="D37" s="152" t="inlineStr">
        <is>
          <t>Ann. volatility</t>
        </is>
      </c>
      <c r="F37" s="368">
        <f>EOMONTH(F36,1)</f>
        <v/>
      </c>
      <c r="G37" s="360">
        <f>_xlfn.XLOOKUP(F37+0.99,Price_Data!$A$2:$A$1254,Price_Data!$E$2:$E$1254,,-1)</f>
        <v/>
      </c>
      <c r="H37" s="351">
        <f>G37/G36-1</f>
        <v/>
      </c>
    </row>
    <row r="38">
      <c r="A38" s="236" t="n">
        <v>2021</v>
      </c>
      <c r="B38" s="187">
        <f>"Partial: from "&amp;TEXT(B5,"d-mmm")</f>
        <v/>
      </c>
      <c r="C38" s="339">
        <f>_xlfn.XLOOKUP(DATE(A38,12,31)+0.99,Price_Data!$A$2:$A$1254,Price_Data!$E$2:$E$1254,,-1)/Price_Data!E2-1</f>
        <v/>
      </c>
      <c r="D38" s="351" cm="1">
        <f t="array" ref="D38">_xlfn.STDEV.S(_xlfn._xlws.FILTER(Price_Data!$G$3:$G$1254,YEAR(Price_Data!$A$3:$A$1254)=A38))*SQRT(252)</f>
        <v/>
      </c>
      <c r="F38" s="368">
        <f>EOMONTH(F37,1)</f>
        <v/>
      </c>
      <c r="G38" s="360">
        <f>_xlfn.XLOOKUP(F38+0.99,Price_Data!$A$2:$A$1254,Price_Data!$E$2:$E$1254,,-1)</f>
        <v/>
      </c>
      <c r="H38" s="351">
        <f>G38/G37-1</f>
        <v/>
      </c>
    </row>
    <row r="39">
      <c r="A39" s="236" t="n">
        <v>2022</v>
      </c>
      <c r="B39" s="187" t="inlineStr">
        <is>
          <t>Full year</t>
        </is>
      </c>
      <c r="C39" s="339">
        <f>_xlfn.XLOOKUP(DATE(A39,12,31)+0.99,Price_Data!$A$2:$A$1254,Price_Data!$E$2:$E$1254,,-1)/_xlfn.XLOOKUP(DATE(A38,12,31)+0.99,Price_Data!$A$2:$A$1254,Price_Data!$E$2:$E$1254,,-1)-1</f>
        <v/>
      </c>
      <c r="D39" s="351" cm="1">
        <f t="array" ref="D39">_xlfn.STDEV.S(_xlfn._xlws.FILTER(Price_Data!$G$3:$G$1254,YEAR(Price_Data!$A$3:$A$1254)=A39))*SQRT(252)</f>
        <v/>
      </c>
      <c r="F39" s="368">
        <f>EOMONTH(F38,1)</f>
        <v/>
      </c>
      <c r="G39" s="360">
        <f>_xlfn.XLOOKUP(F39+0.99,Price_Data!$A$2:$A$1254,Price_Data!$E$2:$E$1254,,-1)</f>
        <v/>
      </c>
      <c r="H39" s="351">
        <f>G39/G38-1</f>
        <v/>
      </c>
    </row>
    <row r="40">
      <c r="A40" s="236" t="n">
        <v>2023</v>
      </c>
      <c r="B40" s="187" t="inlineStr">
        <is>
          <t>Full year</t>
        </is>
      </c>
      <c r="C40" s="339">
        <f>_xlfn.XLOOKUP(DATE(A40,12,31)+0.99,Price_Data!$A$2:$A$1254,Price_Data!$E$2:$E$1254,,-1)/_xlfn.XLOOKUP(DATE(A39,12,31)+0.99,Price_Data!$A$2:$A$1254,Price_Data!$E$2:$E$1254,,-1)-1</f>
        <v/>
      </c>
      <c r="D40" s="351" cm="1">
        <f t="array" ref="D40">_xlfn.STDEV.S(_xlfn._xlws.FILTER(Price_Data!$G$3:$G$1254,YEAR(Price_Data!$A$3:$A$1254)=A40))*SQRT(252)</f>
        <v/>
      </c>
      <c r="F40" s="368">
        <f>EOMONTH(F39,1)</f>
        <v/>
      </c>
      <c r="G40" s="360">
        <f>_xlfn.XLOOKUP(F40+0.99,Price_Data!$A$2:$A$1254,Price_Data!$E$2:$E$1254,,-1)</f>
        <v/>
      </c>
      <c r="H40" s="351">
        <f>G40/G39-1</f>
        <v/>
      </c>
    </row>
    <row r="41">
      <c r="A41" s="236" t="n">
        <v>2024</v>
      </c>
      <c r="B41" s="187" t="inlineStr">
        <is>
          <t>Full year</t>
        </is>
      </c>
      <c r="C41" s="339">
        <f>_xlfn.XLOOKUP(DATE(A41,12,31)+0.99,Price_Data!$A$2:$A$1254,Price_Data!$E$2:$E$1254,,-1)/_xlfn.XLOOKUP(DATE(A40,12,31)+0.99,Price_Data!$A$2:$A$1254,Price_Data!$E$2:$E$1254,,-1)-1</f>
        <v/>
      </c>
      <c r="D41" s="351" cm="1">
        <f t="array" ref="D41">_xlfn.STDEV.S(_xlfn._xlws.FILTER(Price_Data!$G$3:$G$1254,YEAR(Price_Data!$A$3:$A$1254)=A41))*SQRT(252)</f>
        <v/>
      </c>
      <c r="F41" s="368">
        <f>EOMONTH(F40,1)</f>
        <v/>
      </c>
      <c r="G41" s="360">
        <f>_xlfn.XLOOKUP(F41+0.99,Price_Data!$A$2:$A$1254,Price_Data!$E$2:$E$1254,,-1)</f>
        <v/>
      </c>
      <c r="H41" s="351">
        <f>G41/G40-1</f>
        <v/>
      </c>
    </row>
    <row r="42">
      <c r="A42" s="236" t="n">
        <v>2025</v>
      </c>
      <c r="B42" s="187" t="inlineStr">
        <is>
          <t>Full year</t>
        </is>
      </c>
      <c r="C42" s="339">
        <f>_xlfn.XLOOKUP(DATE(A42,12,31)+0.99,Price_Data!$A$2:$A$1254,Price_Data!$E$2:$E$1254,,-1)/_xlfn.XLOOKUP(DATE(A41,12,31)+0.99,Price_Data!$A$2:$A$1254,Price_Data!$E$2:$E$1254,,-1)-1</f>
        <v/>
      </c>
      <c r="D42" s="351" cm="1">
        <f t="array" ref="D42">_xlfn.STDEV.S(_xlfn._xlws.FILTER(Price_Data!$G$3:$G$1254,YEAR(Price_Data!$A$3:$A$1254)=A42))*SQRT(252)</f>
        <v/>
      </c>
      <c r="F42" s="368">
        <f>EOMONTH(F41,1)</f>
        <v/>
      </c>
      <c r="G42" s="360">
        <f>_xlfn.XLOOKUP(F42+0.99,Price_Data!$A$2:$A$1254,Price_Data!$E$2:$E$1254,,-1)</f>
        <v/>
      </c>
      <c r="H42" s="351">
        <f>G42/G41-1</f>
        <v/>
      </c>
    </row>
    <row r="43">
      <c r="A43" s="236" t="n">
        <v>2026</v>
      </c>
      <c r="B43" s="187">
        <f>"YTD to "&amp;TEXT(B6,"d-mmm")</f>
        <v/>
      </c>
      <c r="C43" s="339">
        <f>B9/_xlfn.XLOOKUP(DATE(A42,12,31)+0.99,Price_Data!$A$2:$A$1254,Price_Data!$E$2:$E$1254,,-1)-1</f>
        <v/>
      </c>
      <c r="D43" s="351" cm="1">
        <f t="array" ref="D43">_xlfn.STDEV.S(_xlfn._xlws.FILTER(Price_Data!$G$3:$G$1254,YEAR(Price_Data!$A$3:$A$1254)=A43))*SQRT(252)</f>
        <v/>
      </c>
      <c r="F43" s="368">
        <f>EOMONTH(F42,1)</f>
        <v/>
      </c>
      <c r="G43" s="360">
        <f>_xlfn.XLOOKUP(F43+0.99,Price_Data!$A$2:$A$1254,Price_Data!$E$2:$E$1254,,-1)</f>
        <v/>
      </c>
      <c r="H43" s="351">
        <f>G43/G42-1</f>
        <v/>
      </c>
    </row>
    <row r="44">
      <c r="B44" s="239" t="n"/>
      <c r="C44" s="197" t="n"/>
      <c r="F44" s="368">
        <f>EOMONTH(F43,1)</f>
        <v/>
      </c>
      <c r="G44" s="360">
        <f>_xlfn.XLOOKUP(F44+0.99,Price_Data!$A$2:$A$1254,Price_Data!$E$2:$E$1254,,-1)</f>
        <v/>
      </c>
      <c r="H44" s="351">
        <f>G44/G43-1</f>
        <v/>
      </c>
    </row>
    <row r="45">
      <c r="A45" s="149" t="inlineStr">
        <is>
          <t>Monte Carlo illustration (QuantWizard simulation)</t>
        </is>
      </c>
      <c r="B45" s="149" t="n"/>
      <c r="C45" s="149" t="n"/>
      <c r="D45" s="149" t="n"/>
      <c r="F45" s="368">
        <f>EOMONTH(F44,1)</f>
        <v/>
      </c>
      <c r="G45" s="360">
        <f>_xlfn.XLOOKUP(F45+0.99,Price_Data!$A$2:$A$1254,Price_Data!$E$2:$E$1254,,-1)</f>
        <v/>
      </c>
      <c r="H45" s="351">
        <f>G45/G44-1</f>
        <v/>
      </c>
    </row>
    <row r="46">
      <c r="A46" s="195" t="inlineStr">
        <is>
          <t>Median 1-year price (P50)</t>
        </is>
      </c>
      <c r="B46" s="334">
        <f>Monte_Carlo!B7</f>
        <v/>
      </c>
      <c r="C46" s="197" t="n"/>
      <c r="F46" s="368">
        <f>EOMONTH(F45,1)</f>
        <v/>
      </c>
      <c r="G46" s="360">
        <f>_xlfn.XLOOKUP(F46+0.99,Price_Data!$A$2:$A$1254,Price_Data!$E$2:$E$1254,,-1)</f>
        <v/>
      </c>
      <c r="H46" s="351">
        <f>G46/G45-1</f>
        <v/>
      </c>
    </row>
    <row r="47">
      <c r="A47" s="195" t="inlineStr">
        <is>
          <t>5th percentile (P5)</t>
        </is>
      </c>
      <c r="B47" s="334">
        <f>Monte_Carlo!B8</f>
        <v/>
      </c>
      <c r="C47" s="197" t="n"/>
      <c r="F47" s="368">
        <f>EOMONTH(F46,1)</f>
        <v/>
      </c>
      <c r="G47" s="360">
        <f>_xlfn.XLOOKUP(F47+0.99,Price_Data!$A$2:$A$1254,Price_Data!$E$2:$E$1254,,-1)</f>
        <v/>
      </c>
      <c r="H47" s="351">
        <f>G47/G46-1</f>
        <v/>
      </c>
    </row>
    <row r="48">
      <c r="A48" s="195" t="inlineStr">
        <is>
          <t>95th percentile (P95)</t>
        </is>
      </c>
      <c r="B48" s="334">
        <f>Monte_Carlo!B11</f>
        <v/>
      </c>
      <c r="C48" s="197" t="n"/>
      <c r="F48" s="368">
        <f>EOMONTH(F47,1)</f>
        <v/>
      </c>
      <c r="G48" s="360">
        <f>_xlfn.XLOOKUP(F48+0.99,Price_Data!$A$2:$A$1254,Price_Data!$E$2:$E$1254,,-1)</f>
        <v/>
      </c>
      <c r="H48" s="351">
        <f>G48/G47-1</f>
        <v/>
      </c>
    </row>
    <row r="49">
      <c r="A49" s="195" t="inlineStr">
        <is>
          <t>Probability of gain</t>
        </is>
      </c>
      <c r="B49" s="365">
        <f>Monte_Carlo!B12</f>
        <v/>
      </c>
      <c r="C49" s="197" t="n"/>
      <c r="F49" s="368">
        <f>EOMONTH(F48,1)</f>
        <v/>
      </c>
      <c r="G49" s="360">
        <f>_xlfn.XLOOKUP(F49+0.99,Price_Data!$A$2:$A$1254,Price_Data!$E$2:$E$1254,,-1)</f>
        <v/>
      </c>
      <c r="H49" s="351">
        <f>G49/G48-1</f>
        <v/>
      </c>
    </row>
    <row r="50">
      <c r="A50" s="195" t="inlineStr">
        <is>
          <t>Drift assumption</t>
        </is>
      </c>
      <c r="B50" s="365">
        <f>Monte_Carlo!B14</f>
        <v/>
      </c>
      <c r="C50" s="197" t="inlineStr">
        <is>
          <t>CAPM, beta measured vs benchmark</t>
        </is>
      </c>
      <c r="F50" s="368">
        <f>EOMONTH(F49,1)</f>
        <v/>
      </c>
      <c r="G50" s="360">
        <f>_xlfn.XLOOKUP(F50+0.99,Price_Data!$A$2:$A$1254,Price_Data!$E$2:$E$1254,,-1)</f>
        <v/>
      </c>
      <c r="H50" s="351">
        <f>G50/G49-1</f>
        <v/>
      </c>
    </row>
    <row r="51">
      <c r="A51" s="195" t="inlineStr">
        <is>
          <t>Starting price used</t>
        </is>
      </c>
      <c r="B51" s="334">
        <f>Monte_Carlo!B3</f>
        <v/>
      </c>
      <c r="C51" s="197" t="n"/>
      <c r="F51" s="368">
        <f>EOMONTH(F50,1)</f>
        <v/>
      </c>
      <c r="G51" s="360">
        <f>_xlfn.XLOOKUP(F51+0.99,Price_Data!$A$2:$A$1254,Price_Data!$E$2:$E$1254,,-1)</f>
        <v/>
      </c>
      <c r="H51" s="351">
        <f>G51/G50-1</f>
        <v/>
      </c>
    </row>
    <row r="52">
      <c r="A52" s="195" t="inlineStr">
        <is>
          <t>Paths simulated</t>
        </is>
      </c>
      <c r="B52" s="244">
        <f>Monte_Carlo!B5</f>
        <v/>
      </c>
      <c r="C52" s="197" t="n"/>
      <c r="F52" s="368">
        <f>EOMONTH(F51,1)</f>
        <v/>
      </c>
      <c r="G52" s="360">
        <f>_xlfn.XLOOKUP(F52+0.99,Price_Data!$A$2:$A$1254,Price_Data!$E$2:$E$1254,,-1)</f>
        <v/>
      </c>
      <c r="H52" s="351">
        <f>G52/G51-1</f>
        <v/>
      </c>
    </row>
    <row r="53">
      <c r="A53" s="174" t="inlineStr">
        <is>
          <t>A random-walk illustration of the price range implied by historical volatility — not a forecast or price target.</t>
        </is>
      </c>
      <c r="F53" s="368">
        <f>EOMONTH(F52,1)</f>
        <v/>
      </c>
      <c r="G53" s="360">
        <f>_xlfn.XLOOKUP(F53+0.99,Price_Data!$A$2:$A$1254,Price_Data!$E$2:$E$1254,,-1)</f>
        <v/>
      </c>
      <c r="H53" s="351">
        <f>G53/G52-1</f>
        <v/>
      </c>
    </row>
    <row r="54">
      <c r="F54" s="368">
        <f>EOMONTH(F53,1)</f>
        <v/>
      </c>
      <c r="G54" s="360">
        <f>_xlfn.XLOOKUP(F54+0.99,Price_Data!$A$2:$A$1254,Price_Data!$E$2:$E$1254,,-1)</f>
        <v/>
      </c>
      <c r="H54" s="351">
        <f>G54/G53-1</f>
        <v/>
      </c>
    </row>
    <row r="55">
      <c r="F55" s="368">
        <f>EOMONTH(F54,1)</f>
        <v/>
      </c>
      <c r="G55" s="360">
        <f>_xlfn.XLOOKUP(F55+0.99,Price_Data!$A$2:$A$1254,Price_Data!$E$2:$E$1254,,-1)</f>
        <v/>
      </c>
      <c r="H55" s="351">
        <f>G55/G54-1</f>
        <v/>
      </c>
    </row>
    <row r="56">
      <c r="F56" s="368">
        <f>EOMONTH(F55,1)</f>
        <v/>
      </c>
      <c r="G56" s="360">
        <f>_xlfn.XLOOKUP(F56+0.99,Price_Data!$A$2:$A$1254,Price_Data!$E$2:$E$1254,,-1)</f>
        <v/>
      </c>
      <c r="H56" s="351">
        <f>G56/G55-1</f>
        <v/>
      </c>
    </row>
    <row r="57">
      <c r="F57" s="368">
        <f>EOMONTH(F56,1)</f>
        <v/>
      </c>
      <c r="G57" s="360">
        <f>_xlfn.XLOOKUP(F57+0.99,Price_Data!$A$2:$A$1254,Price_Data!$E$2:$E$1254,,-1)</f>
        <v/>
      </c>
      <c r="H57" s="351">
        <f>G57/G56-1</f>
        <v/>
      </c>
    </row>
    <row r="58">
      <c r="F58" s="368">
        <f>EOMONTH(F57,1)</f>
        <v/>
      </c>
      <c r="G58" s="360">
        <f>_xlfn.XLOOKUP(F58+0.99,Price_Data!$A$2:$A$1254,Price_Data!$E$2:$E$1254,,-1)</f>
        <v/>
      </c>
      <c r="H58" s="351">
        <f>G58/G57-1</f>
        <v/>
      </c>
    </row>
    <row r="59">
      <c r="F59" s="368">
        <f>EOMONTH(F58,1)</f>
        <v/>
      </c>
      <c r="G59" s="360">
        <f>_xlfn.XLOOKUP(F59+0.99,Price_Data!$A$2:$A$1254,Price_Data!$E$2:$E$1254,,-1)</f>
        <v/>
      </c>
      <c r="H59" s="351">
        <f>G59/G58-1</f>
        <v/>
      </c>
    </row>
    <row r="60">
      <c r="F60" s="368">
        <f>EOMONTH(F59,1)</f>
        <v/>
      </c>
      <c r="G60" s="360">
        <f>_xlfn.XLOOKUP(F60+0.99,Price_Data!$A$2:$A$1254,Price_Data!$E$2:$E$1254,,-1)</f>
        <v/>
      </c>
      <c r="H60" s="351">
        <f>G60/G59-1</f>
        <v/>
      </c>
    </row>
    <row r="61">
      <c r="F61" s="368">
        <f>EOMONTH(F60,1)</f>
        <v/>
      </c>
      <c r="G61" s="360">
        <f>_xlfn.XLOOKUP(F61+0.99,Price_Data!$A$2:$A$1254,Price_Data!$E$2:$E$1254,,-1)</f>
        <v/>
      </c>
      <c r="H61" s="351">
        <f>G61/G60-1</f>
        <v/>
      </c>
    </row>
    <row r="62">
      <c r="F62" s="368">
        <f>EOMONTH(F61,1)</f>
        <v/>
      </c>
      <c r="G62" s="360">
        <f>_xlfn.XLOOKUP(F62+0.99,Price_Data!$A$2:$A$1254,Price_Data!$E$2:$E$1254,,-1)</f>
        <v/>
      </c>
      <c r="H62" s="351">
        <f>G62/G61-1</f>
        <v/>
      </c>
    </row>
    <row r="63">
      <c r="F63" s="368">
        <f>EOMONTH(F62,1)</f>
        <v/>
      </c>
      <c r="G63" s="360">
        <f>_xlfn.XLOOKUP(F63+0.99,Price_Data!$A$2:$A$1254,Price_Data!$E$2:$E$1254,,-1)</f>
        <v/>
      </c>
      <c r="H63" s="351">
        <f>G63/G62-1</f>
        <v/>
      </c>
    </row>
    <row r="64">
      <c r="F64" s="368">
        <f>EOMONTH(F63,1)</f>
        <v/>
      </c>
      <c r="G64" s="360">
        <f>_xlfn.XLOOKUP(F64+0.99,Price_Data!$A$2:$A$1254,Price_Data!$E$2:$E$1254,,-1)</f>
        <v/>
      </c>
      <c r="H64" s="351">
        <f>G64/G63-1</f>
        <v/>
      </c>
    </row>
    <row r="65">
      <c r="F65" s="368">
        <f>EOMONTH(F64,1)</f>
        <v/>
      </c>
      <c r="G65" s="360">
        <f>_xlfn.XLOOKUP(F65+0.99,Price_Data!$A$2:$A$1254,Price_Data!$E$2:$E$1254,,-1)</f>
        <v/>
      </c>
      <c r="H65" s="351">
        <f>G65/G64-1</f>
        <v/>
      </c>
    </row>
    <row r="67">
      <c r="F67" s="150" t="inlineStr">
        <is>
          <t>Best month</t>
        </is>
      </c>
      <c r="H67" s="315">
        <f>MAX(H6:H65)</f>
        <v/>
      </c>
    </row>
    <row r="68">
      <c r="F68" s="150" t="inlineStr">
        <is>
          <t>Worst month</t>
        </is>
      </c>
      <c r="H68" s="315">
        <f>MIN(H6:H65)</f>
        <v/>
      </c>
    </row>
    <row r="69">
      <c r="F69" s="150" t="inlineStr">
        <is>
          <t>Positive months</t>
        </is>
      </c>
      <c r="H69" s="315">
        <f>COUNTIF(H6:H65,"&gt;0")&amp;" of "&amp;COUNT(H6:H65)</f>
        <v/>
      </c>
    </row>
    <row r="71">
      <c r="F71" s="195" t="inlineStr">
        <is>
          <t>First month is partial (starts 27-Sep-2021 → Oct uses 30-Sep close as base).</t>
        </is>
      </c>
    </row>
  </sheetData>
  <conditionalFormatting sqref="H6:H65">
    <cfRule type="colorScale" priority="1">
      <colorScale>
        <cfvo type="min"/>
        <cfvo type="num" val="0"/>
        <cfvo type="max"/>
        <color rgb="FFF8696B"/>
        <color rgb="FFFFFFFF"/>
        <color rgb="FF63BE7B"/>
      </colorScale>
    </cfRule>
  </conditionalFormatting>
  <hyperlinks>
    <hyperlink xmlns:r="http://schemas.openxmlformats.org/officeDocument/2006/relationships" ref="H2" location="'Summary'!A1" r:id="rId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G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.453125" customWidth="1" style="195" min="1" max="1"/>
    <col width="60" customWidth="1" style="195" min="2" max="2"/>
    <col width="47.26953125" customWidth="1" style="195" min="3" max="3"/>
    <col width="20" customWidth="1" style="195" min="4" max="4"/>
    <col width="17.26953125" customWidth="1" style="195" min="5" max="5"/>
    <col width="36.36328125" customWidth="1" style="195" min="6" max="6"/>
    <col width="8.7265625" customWidth="1" style="195" min="7" max="26"/>
  </cols>
  <sheetData>
    <row r="1" ht="30" customHeight="1" s="252">
      <c r="A1" s="146" t="inlineStr">
        <is>
          <t>Catalysts &amp; News</t>
        </is>
      </c>
      <c r="B1" s="146" t="n"/>
      <c r="C1" s="146" t="n"/>
      <c r="D1" s="146" t="n"/>
      <c r="E1" s="146" t="n"/>
      <c r="F1" s="146" t="n"/>
    </row>
    <row r="2">
      <c r="A2" s="147" t="inlineStr">
        <is>
          <t>Upcoming events and a filtered list of recent headlines (QuantWizard feed, cleaned)</t>
        </is>
      </c>
      <c r="B2" s="147" t="n"/>
      <c r="C2" s="147" t="n"/>
      <c r="D2" s="147" t="n"/>
      <c r="E2" s="147" t="n"/>
      <c r="F2" s="148" t="inlineStr">
        <is>
          <t>← Back to Summary</t>
        </is>
      </c>
    </row>
    <row r="4">
      <c r="A4" s="149" t="inlineStr">
        <is>
          <t>Upcoming catalysts</t>
        </is>
      </c>
      <c r="B4" s="149" t="n"/>
      <c r="C4" s="149" t="n"/>
      <c r="D4" s="149" t="n"/>
      <c r="E4" s="149" t="n"/>
      <c r="F4" s="149" t="n"/>
    </row>
    <row r="5">
      <c r="A5" s="153" t="inlineStr">
        <is>
          <t>Timing</t>
        </is>
      </c>
      <c r="B5" s="152" t="inlineStr">
        <is>
          <t>Event</t>
        </is>
      </c>
      <c r="C5" s="152" t="inlineStr">
        <is>
          <t>Why it matters</t>
        </is>
      </c>
      <c r="D5" s="152" t="inlineStr">
        <is>
          <t>Status</t>
        </is>
      </c>
    </row>
    <row r="6" s="252">
      <c r="A6" s="217" t="inlineStr">
        <is>
          <t>Mid Oct-2026</t>
        </is>
      </c>
      <c r="B6" s="217" t="inlineStr">
        <is>
          <t>Q1 FY27 earnings</t>
        </is>
      </c>
      <c r="C6" s="217" t="inlineStr">
        <is>
          <t>Refreshes revenue, margins and the trailing-twelve-month figures in this report; tests whether recent growth is holding.</t>
        </is>
      </c>
      <c r="D6" s="217" t="inlineStr">
        <is>
          <t>Date not yet announced</t>
        </is>
      </c>
      <c r="E6" s="217" t="n"/>
      <c r="F6" s="217" t="n"/>
    </row>
    <row r="7" s="252">
      <c r="A7" s="217" t="inlineStr">
        <is>
          <t>Mid Jan-2027</t>
        </is>
      </c>
      <c r="B7" s="217" t="inlineStr">
        <is>
          <t>Q2 FY27 earnings</t>
        </is>
      </c>
      <c r="C7" s="217" t="inlineStr">
        <is>
          <t>Refreshes revenue, margins and the trailing-twelve-month figures in this report; tests whether recent growth is holding.</t>
        </is>
      </c>
      <c r="D7" s="217" t="inlineStr">
        <is>
          <t>Expected</t>
        </is>
      </c>
      <c r="E7" s="217" t="n"/>
      <c r="F7" s="217" t="n"/>
    </row>
    <row r="8" s="252">
      <c r="A8" s="217" t="inlineStr">
        <is>
          <t>With results</t>
        </is>
      </c>
      <c r="B8" s="217" t="inlineStr">
        <is>
          <t>Dividend declaration</t>
        </is>
      </c>
      <c r="C8" s="217" t="inlineStr">
        <is>
          <t>Last declared $0.41 a share a quarter.</t>
        </is>
      </c>
      <c r="D8" s="217" t="inlineStr">
        <is>
          <t>Expected</t>
        </is>
      </c>
      <c r="E8" s="217" t="n"/>
      <c r="F8" s="217" t="n"/>
    </row>
    <row r="9" s="252">
      <c r="A9" s="217" t="inlineStr">
        <is>
          <t>Ongoing</t>
        </is>
      </c>
      <c r="B9" s="217" t="inlineStr">
        <is>
          <t>Product launches and demand</t>
        </is>
      </c>
      <c r="C9" s="217" t="inlineStr">
        <is>
          <t>Recent headlines concern new products.</t>
        </is>
      </c>
      <c r="D9" s="217" t="inlineStr">
        <is>
          <t>Monitor</t>
        </is>
      </c>
      <c r="E9" s="217" t="n"/>
      <c r="F9" s="217" t="n"/>
    </row>
    <row r="10" s="252"/>
    <row r="11" s="252">
      <c r="A11" s="282" t="inlineStr">
        <is>
          <t>Recent headlines (filtered)</t>
        </is>
      </c>
      <c r="B11" s="282" t="n"/>
      <c r="C11" s="282" t="n"/>
      <c r="D11" s="282" t="n"/>
      <c r="E11" s="282" t="n"/>
      <c r="F11" s="282" t="n"/>
    </row>
    <row r="12">
      <c r="A12" s="283" t="inlineStr">
        <is>
          <t>Date</t>
        </is>
      </c>
      <c r="B12" s="284" t="inlineStr">
        <is>
          <t>Headline</t>
        </is>
      </c>
      <c r="C12" s="284" t="inlineStr">
        <is>
          <t>Publisher</t>
        </is>
      </c>
      <c r="D12" s="284" t="inlineStr">
        <is>
          <t>Theme</t>
        </is>
      </c>
      <c r="E12" s="284" t="inlineStr">
        <is>
          <t>Tone (reviewed)</t>
        </is>
      </c>
      <c r="F12" s="284" t="inlineStr">
        <is>
          <t>Note</t>
        </is>
      </c>
    </row>
    <row r="13" s="252">
      <c r="A13" s="285" t="n">
        <v>46281</v>
      </c>
      <c r="B13" s="217" t="inlineStr">
        <is>
          <t>8-K filing — 8-K</t>
        </is>
      </c>
      <c r="C13" s="217" t="inlineStr">
        <is>
          <t>SEC EDGAR</t>
        </is>
      </c>
      <c r="D13" s="217" t="inlineStr">
        <is>
          <t>General</t>
        </is>
      </c>
      <c r="E13" s="217" t="inlineStr">
        <is>
          <t>Neutral</t>
        </is>
      </c>
      <c r="F13" s="217" t="inlineStr">
        <is>
          <t>SEC filing</t>
        </is>
      </c>
    </row>
    <row r="14" s="252">
      <c r="A14" s="285" t="n">
        <v>46288</v>
      </c>
      <c r="B14" s="217" t="inlineStr">
        <is>
          <t>Don’t Buy Nike Stock Yet</t>
        </is>
      </c>
      <c r="C14" s="217" t="inlineStr">
        <is>
          <t>Yahoo</t>
        </is>
      </c>
      <c r="D14" s="217" t="inlineStr">
        <is>
          <t>General</t>
        </is>
      </c>
      <c r="E14" s="217" t="inlineStr">
        <is>
          <t>Neutral</t>
        </is>
      </c>
      <c r="F14" s="217" t="n"/>
    </row>
    <row r="15" s="252">
      <c r="A15" s="285" t="n">
        <v>46288</v>
      </c>
      <c r="B15" s="217" t="inlineStr">
        <is>
          <t>Nike Stock: Buy or Sell?</t>
        </is>
      </c>
      <c r="C15" s="217" t="inlineStr">
        <is>
          <t>The Motley Fool</t>
        </is>
      </c>
      <c r="D15" s="217" t="inlineStr">
        <is>
          <t>General</t>
        </is>
      </c>
      <c r="E15" s="217" t="inlineStr">
        <is>
          <t>Neutral</t>
        </is>
      </c>
      <c r="F15" s="217" t="n"/>
    </row>
    <row r="16" s="252">
      <c r="A16" s="285" t="n">
        <v>46288</v>
      </c>
      <c r="B16" s="217" t="inlineStr">
        <is>
          <t>Barclays Maintains Overweight on Nike, Lowers Price Target to $48</t>
        </is>
      </c>
      <c r="C16" s="217" t="inlineStr">
        <is>
          <t>Benzinga</t>
        </is>
      </c>
      <c r="D16" s="217" t="inlineStr">
        <is>
          <t>Analyst</t>
        </is>
      </c>
      <c r="E16" s="217" t="inlineStr">
        <is>
          <t>Neutral</t>
        </is>
      </c>
      <c r="F16" s="217" t="n"/>
    </row>
    <row r="17" s="252">
      <c r="A17" s="285" t="n">
        <v>46286</v>
      </c>
      <c r="B17" s="217" t="inlineStr">
        <is>
          <t>NIKE's Marketplace Strategy: Balancing Reach and Profitability?</t>
        </is>
      </c>
      <c r="C17" s="217" t="inlineStr">
        <is>
          <t>Zacks Investment Research</t>
        </is>
      </c>
      <c r="D17" s="217" t="inlineStr">
        <is>
          <t>Earnings</t>
        </is>
      </c>
      <c r="E17" s="217" t="inlineStr">
        <is>
          <t>Neutral</t>
        </is>
      </c>
      <c r="F17" s="217" t="n"/>
    </row>
    <row r="18" s="252">
      <c r="A18" s="285" t="n">
        <v>46285</v>
      </c>
      <c r="B18" s="217" t="inlineStr">
        <is>
          <t>Converse reviews ad approvals after campaign draws racism backlash (NKE:NYSE)</t>
        </is>
      </c>
      <c r="C18" s="217" t="inlineStr">
        <is>
          <t>Seeking Alpha</t>
        </is>
      </c>
      <c r="D18" s="217" t="inlineStr">
        <is>
          <t>Product</t>
        </is>
      </c>
      <c r="E18" s="217" t="inlineStr">
        <is>
          <t>Positive</t>
        </is>
      </c>
      <c r="F18" s="217" t="n"/>
    </row>
    <row r="19" s="252">
      <c r="A19" s="285" t="n">
        <v>46289</v>
      </c>
      <c r="B19" s="217" t="inlineStr">
        <is>
          <t>NKE, OWL, SMR Stocks Hit 52-Week Lows Last Week: What Drove The Selloff?</t>
        </is>
      </c>
      <c r="C19" s="217" t="inlineStr">
        <is>
          <t>Stocktwits</t>
        </is>
      </c>
      <c r="D19" s="217" t="inlineStr">
        <is>
          <t>General</t>
        </is>
      </c>
      <c r="E19" s="217" t="inlineStr">
        <is>
          <t>Negative</t>
        </is>
      </c>
      <c r="F19" s="217" t="n"/>
    </row>
    <row r="20" s="252">
      <c r="A20" s="285" t="n">
        <v>46287</v>
      </c>
      <c r="B20" s="217" t="inlineStr">
        <is>
          <t>Nike Beat Last Quarter's EPS Estimate by 54% — Can It Repeat That Oct. 1?</t>
        </is>
      </c>
      <c r="C20" s="217" t="inlineStr">
        <is>
          <t>TradingView</t>
        </is>
      </c>
      <c r="D20" s="217" t="inlineStr">
        <is>
          <t>Earnings</t>
        </is>
      </c>
      <c r="E20" s="217" t="inlineStr">
        <is>
          <t>Positive</t>
        </is>
      </c>
      <c r="F20" s="217" t="n"/>
    </row>
    <row r="21" s="252">
      <c r="A21" s="285" t="n">
        <v>46287</v>
      </c>
      <c r="B21" s="217" t="inlineStr">
        <is>
          <t>Nike (NKE) Stock May Be 12% Undervalued Following Earnings Forecast Cuts</t>
        </is>
      </c>
      <c r="C21" s="217" t="inlineStr">
        <is>
          <t>simplywall.st</t>
        </is>
      </c>
      <c r="D21" s="217" t="inlineStr">
        <is>
          <t>Earnings</t>
        </is>
      </c>
      <c r="E21" s="217" t="inlineStr">
        <is>
          <t>Negative</t>
        </is>
      </c>
      <c r="F21" s="217" t="n"/>
    </row>
    <row r="22" s="252">
      <c r="A22" s="285" t="n">
        <v>46286</v>
      </c>
      <c r="B22" s="217" t="inlineStr">
        <is>
          <t>EXEC: Nike Inc. Faces Stock Price Target Cuts Amid Concerns Over Upcoming Fiscal Q1 Report</t>
        </is>
      </c>
      <c r="C22" s="217" t="inlineStr">
        <is>
          <t>SGB Media Online</t>
        </is>
      </c>
      <c r="D22" s="217" t="inlineStr">
        <is>
          <t>Analyst</t>
        </is>
      </c>
      <c r="E22" s="217" t="inlineStr">
        <is>
          <t>Negative</t>
        </is>
      </c>
      <c r="F22" s="217" t="n"/>
    </row>
    <row r="23" s="252">
      <c r="A23" s="285" t="n">
        <v>46286</v>
      </c>
      <c r="B23" s="217" t="inlineStr">
        <is>
          <t>NKE Maintained by Stifel -- Price Target Lowered to $40</t>
        </is>
      </c>
      <c r="C23" s="217" t="inlineStr">
        <is>
          <t>GuruFocus</t>
        </is>
      </c>
      <c r="D23" s="217" t="inlineStr">
        <is>
          <t>Analyst</t>
        </is>
      </c>
      <c r="E23" s="217" t="inlineStr">
        <is>
          <t>Neutral</t>
        </is>
      </c>
      <c r="F23" s="217" t="n"/>
    </row>
    <row r="24" s="252">
      <c r="A24" s="285" t="n">
        <v>46286</v>
      </c>
      <c r="B24" s="217" t="inlineStr">
        <is>
          <t>Nike to pay dividends next month; Here’s how much 100 NKE shares will earn</t>
        </is>
      </c>
      <c r="C24" s="217" t="inlineStr">
        <is>
          <t>finbold.com</t>
        </is>
      </c>
      <c r="D24" s="217" t="inlineStr">
        <is>
          <t>Capital Return</t>
        </is>
      </c>
      <c r="E24" s="217" t="inlineStr">
        <is>
          <t>Neutral</t>
        </is>
      </c>
      <c r="F24" s="217" t="n"/>
    </row>
    <row r="25" s="252">
      <c r="A25" s="285" t="n">
        <v>46285</v>
      </c>
      <c r="B25" s="217" t="inlineStr">
        <is>
          <t>The $986 Million Reason Nike’s Comeback Story Doesn’t Add Up</t>
        </is>
      </c>
      <c r="C25" s="217" t="inlineStr">
        <is>
          <t>TIKR.com</t>
        </is>
      </c>
      <c r="D25" s="217" t="inlineStr">
        <is>
          <t>General</t>
        </is>
      </c>
      <c r="E25" s="217" t="inlineStr">
        <is>
          <t>Neutral</t>
        </is>
      </c>
      <c r="F25" s="217" t="n"/>
    </row>
    <row r="26" s="252"/>
    <row r="27" s="252">
      <c r="A27" s="281" t="inlineStr">
        <is>
          <t>Filtered from the aggregated feed: quote and option-chain pages, headlines about other companies and off-topic press releases are removed; tone is scored on the headline. Full list on Raw_News.</t>
        </is>
      </c>
    </row>
    <row r="28"/>
    <row r="29"/>
    <row r="30"/>
    <row r="31"/>
    <row r="32"/>
    <row r="33"/>
    <row r="34"/>
    <row r="35"/>
    <row r="36"/>
    <row r="37"/>
    <row r="38"/>
    <row r="39"/>
    <row r="40"/>
  </sheetData>
  <conditionalFormatting sqref="E13:E25">
    <cfRule type="expression" priority="1" dxfId="3">
      <formula>NOT(ISERROR(SEARCH("Negative",E13)))</formula>
    </cfRule>
    <cfRule type="expression" priority="2" dxfId="2">
      <formula>NOT(ISERROR(SEARCH("Positive",E13)))</formula>
    </cfRule>
  </conditionalFormatting>
  <hyperlinks>
    <hyperlink xmlns:r="http://schemas.openxmlformats.org/officeDocument/2006/relationships" ref="F2" location="'Summary'!A1" r:id="rId1"/>
    <hyperlink xmlns:r="http://schemas.openxmlformats.org/officeDocument/2006/relationships" ref="B13" r:id="rId2"/>
    <hyperlink xmlns:r="http://schemas.openxmlformats.org/officeDocument/2006/relationships" ref="B14" r:id="rId3"/>
    <hyperlink xmlns:r="http://schemas.openxmlformats.org/officeDocument/2006/relationships" ref="B15" r:id="rId4"/>
    <hyperlink xmlns:r="http://schemas.openxmlformats.org/officeDocument/2006/relationships" ref="B16" r:id="rId5"/>
    <hyperlink xmlns:r="http://schemas.openxmlformats.org/officeDocument/2006/relationships" ref="B17" r:id="rId6"/>
    <hyperlink xmlns:r="http://schemas.openxmlformats.org/officeDocument/2006/relationships" ref="B18" r:id="rId7"/>
    <hyperlink xmlns:r="http://schemas.openxmlformats.org/officeDocument/2006/relationships" ref="B19" r:id="rId8"/>
    <hyperlink xmlns:r="http://schemas.openxmlformats.org/officeDocument/2006/relationships" ref="B20" r:id="rId9"/>
    <hyperlink xmlns:r="http://schemas.openxmlformats.org/officeDocument/2006/relationships" ref="B21" r:id="rId10"/>
    <hyperlink xmlns:r="http://schemas.openxmlformats.org/officeDocument/2006/relationships" ref="B22" r:id="rId11"/>
    <hyperlink xmlns:r="http://schemas.openxmlformats.org/officeDocument/2006/relationships" ref="B23" r:id="rId12"/>
    <hyperlink xmlns:r="http://schemas.openxmlformats.org/officeDocument/2006/relationships" ref="B24" r:id="rId13"/>
    <hyperlink xmlns:r="http://schemas.openxmlformats.org/officeDocument/2006/relationships" ref="B25" r:id="rId1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70AD47"/>
    <outlinePr summaryBelow="1" summaryRight="1"/>
    <pageSetUpPr/>
  </sheetPr>
  <dimension ref="A1:D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21.81640625" customWidth="1" style="195" min="1" max="1"/>
    <col width="76.36328125" customWidth="1" style="195" min="2" max="2"/>
    <col width="69.08984375" customWidth="1" style="195" min="3" max="3"/>
    <col width="8.7265625" customWidth="1" style="195" min="4" max="26"/>
  </cols>
  <sheetData>
    <row r="1" ht="30" customHeight="1" s="252">
      <c r="A1" s="146" t="inlineStr">
        <is>
          <t>Methodology</t>
        </is>
      </c>
      <c r="B1" s="146" t="n"/>
      <c r="C1" s="146" t="n"/>
    </row>
    <row r="2">
      <c r="A2" s="147" t="inlineStr">
        <is>
          <t>How each number in this report is built — and its known limitations</t>
        </is>
      </c>
      <c r="B2" s="147" t="n"/>
      <c r="C2" s="148" t="inlineStr">
        <is>
          <t>← Back to Summary</t>
        </is>
      </c>
    </row>
    <row r="4">
      <c r="A4" s="287" t="inlineStr">
        <is>
          <t>Item</t>
        </is>
      </c>
      <c r="B4" s="286" t="inlineStr">
        <is>
          <t>Method</t>
        </is>
      </c>
      <c r="C4" s="286" t="inlineStr">
        <is>
          <t>Limitations</t>
        </is>
      </c>
    </row>
    <row r="5">
      <c r="A5" s="288" t="inlineStr">
        <is>
          <t>Fundamentals</t>
        </is>
      </c>
      <c r="B5" s="288" t="n"/>
      <c r="C5" s="288" t="n"/>
    </row>
    <row r="6" ht="30" customHeight="1" s="252">
      <c r="A6" s="289" t="inlineStr">
        <is>
          <t>Fiscal periods</t>
        </is>
      </c>
      <c r="B6" s="217" t="inlineStr">
        <is>
          <t>FY = Nike's fiscal year, ending on May 31.</t>
        </is>
      </c>
      <c r="C6" s="217" t="inlineStr">
        <is>
          <t>Quarterly figures are reviewed, not audited; the fourth quarter is the full year less nine months.</t>
        </is>
      </c>
    </row>
    <row r="7" ht="30" customHeight="1" s="252">
      <c r="A7" s="289" t="inlineStr">
        <is>
          <t>Free cash flow</t>
        </is>
      </c>
      <c r="B7" s="217" t="inlineStr">
        <is>
          <t>Cash from operations minus capital expenditures.</t>
        </is>
      </c>
      <c r="C7" s="217" t="inlineStr">
        <is>
          <t>After interest and tax; not a strict unlevered FCF. Optional SBC deduction on the DCF tab.</t>
        </is>
      </c>
    </row>
    <row r="8" ht="30" customHeight="1" s="252">
      <c r="A8" s="289" t="inlineStr">
        <is>
          <t>Units</t>
        </is>
      </c>
      <c r="B8" s="217" t="inlineStr">
        <is>
          <t>$ billions unless stated; per-share figures in $; shares in billions.</t>
        </is>
      </c>
      <c r="C8" s="217" t="n"/>
    </row>
    <row r="9">
      <c r="A9" s="282" t="inlineStr">
        <is>
          <t>DCF</t>
        </is>
      </c>
      <c r="B9" s="282" t="n"/>
      <c r="C9" s="282" t="n"/>
    </row>
    <row r="10" ht="30" customHeight="1" s="252">
      <c r="A10" s="289" t="inlineStr">
        <is>
          <t>Structure</t>
        </is>
      </c>
      <c r="B10" s="217" t="inlineStr">
        <is>
          <t>10-year two-stage FCF model. Growth fades in a straight line from the year-1 rate to terminal growth; Gordon-growth terminal value.</t>
        </is>
      </c>
      <c r="C10" s="217" t="inlineStr">
        <is>
          <t>Horizon fixed at 10 years.</t>
        </is>
      </c>
    </row>
    <row r="11" ht="30" customHeight="1" s="252">
      <c r="A11" s="289" t="inlineStr">
        <is>
          <t>Discounting</t>
        </is>
      </c>
      <c r="B11" s="217" t="inlineStr">
        <is>
          <t>Mid-year convention (toggle on DCF tab); terminal value discounted a full 10 years.</t>
        </is>
      </c>
      <c r="C11" s="217" t="inlineStr">
        <is>
          <t>Valuation date ≈ fiscal year-end, so year 1 is the current fiscal year.</t>
        </is>
      </c>
    </row>
    <row r="12" ht="30" customHeight="1" s="252">
      <c r="A12" s="289" t="inlineStr">
        <is>
          <t>WACC</t>
        </is>
      </c>
      <c r="B12" s="217" t="inlineStr">
        <is>
          <t>CAPM: 4.96% 10-year Treasury + adjusted beta 1.05 × 5.0% ERP, blended with after-tax debt → 9.5%.</t>
        </is>
      </c>
      <c r="C12" s="217" t="inlineStr">
        <is>
          <t>Beta is estimated from the report window's daily returns; a model input, not a measured cost of capital.</t>
        </is>
      </c>
    </row>
    <row r="13" ht="30" customHeight="1" s="252">
      <c r="A13" s="289" t="inlineStr">
        <is>
          <t>Net cash</t>
        </is>
      </c>
      <c r="B13" s="217" t="inlineStr">
        <is>
          <t>Cash + current + non-current marketable securities − commercial paper − term debt (non-current securities are a toggle).</t>
        </is>
      </c>
      <c r="C13" s="217" t="inlineStr">
        <is>
          <t>Balance sheet at 31-May-2026.</t>
        </is>
      </c>
    </row>
    <row r="14" ht="30" customHeight="1" s="252">
      <c r="A14" s="289" t="inlineStr">
        <is>
          <t>Share count</t>
        </is>
      </c>
      <c r="B14" s="217" t="inlineStr">
        <is>
          <t>Market capitalisation ÷ report price.</t>
        </is>
      </c>
      <c r="C14" s="217" t="inlineStr">
        <is>
          <t>Basic shares; a diluted count would be slightly higher.</t>
        </is>
      </c>
    </row>
    <row r="15" ht="30" customHeight="1" s="252">
      <c r="A15" s="289" t="inlineStr">
        <is>
          <t>Reverse DCF</t>
        </is>
      </c>
      <c r="B15" s="217" t="inlineStr">
        <is>
          <t>Solves for the year-1 growth rate at which DCF value = price, via a lookup over a grid of growth rates; also reports the 10-year CAGR and implied year-10 FCF.</t>
        </is>
      </c>
      <c r="C15" s="217" t="inlineStr">
        <is>
          <t>Described as a fading path, not a flat rate.</t>
        </is>
      </c>
    </row>
    <row r="16" ht="30" customHeight="1" s="252">
      <c r="A16" s="289" t="inlineStr">
        <is>
          <t>Scenarios</t>
        </is>
      </c>
      <c r="B16" s="217" t="inlineStr">
        <is>
          <t>Bear / base / bull flex growth, WACC and terminal growth together; weights 25/50/25 are inputs.</t>
        </is>
      </c>
      <c r="C16" s="217" t="inlineStr">
        <is>
          <t>Sensitivity grids are live formulas.</t>
        </is>
      </c>
    </row>
    <row r="17">
      <c r="A17" s="282" t="inlineStr">
        <is>
          <t>Market &amp; risk statistics</t>
        </is>
      </c>
      <c r="B17" s="282" t="n"/>
      <c r="C17" s="282" t="n"/>
    </row>
    <row r="18" ht="30" customHeight="1" s="252">
      <c r="A18" s="289" t="inlineStr">
        <is>
          <t>Price data</t>
        </is>
      </c>
      <c r="B18" s="217" t="inlineStr">
        <is>
          <t>Daily closes 27-Sep-2021 to 23-Sep-2026 (5.0 years), Yahoo Finance.</t>
        </is>
      </c>
      <c r="C18" s="217" t="inlineStr">
        <is>
          <t>Yahoo closes are dividend-adjusted (total return).</t>
        </is>
      </c>
    </row>
    <row r="19" ht="30" customHeight="1" s="252">
      <c r="A19" s="289" t="inlineStr">
        <is>
          <t>Volatility</t>
        </is>
      </c>
      <c r="B19" s="217" t="inlineStr">
        <is>
          <t>Sample standard deviation of daily returns × √252.</t>
        </is>
      </c>
      <c r="C19" s="217" t="n"/>
    </row>
    <row r="20" ht="30" customHeight="1" s="252">
      <c r="A20" s="289" t="inlineStr">
        <is>
          <t>Sharpe / Sortino</t>
        </is>
      </c>
      <c r="B20" s="217" t="inlineStr">
        <is>
          <t>(Annualised arithmetic mean return − 4.16% risk-free) ÷ annualised volatility (downside deviation for Sortino).</t>
        </is>
      </c>
      <c r="C20" s="217" t="inlineStr">
        <is>
          <t>A 5.0-year window; a single sample, highly period-dependent.</t>
        </is>
      </c>
    </row>
    <row r="21" ht="30" customHeight="1" s="252">
      <c r="A21" s="289" t="inlineStr">
        <is>
          <t>Maximum drawdown</t>
        </is>
      </c>
      <c r="B21" s="217" t="inlineStr">
        <is>
          <t>Largest peak-to-trough decline in daily closes over the full window.</t>
        </is>
      </c>
      <c r="C21" s="217" t="n"/>
    </row>
    <row r="22" ht="30" customHeight="1" s="252">
      <c r="A22" s="289" t="inlineStr">
        <is>
          <t>Calendar-year rows</t>
        </is>
      </c>
      <c r="B22" s="217" t="inlineStr">
        <is>
          <t>The first and last years may be partial and are labelled so.</t>
        </is>
      </c>
      <c r="C22" s="217" t="inlineStr">
        <is>
          <t>Not comparable with full-year figures.</t>
        </is>
      </c>
    </row>
    <row r="23" ht="30" customHeight="1" s="252">
      <c r="A23" s="289" t="inlineStr">
        <is>
          <t>Beta / correlation</t>
        </is>
      </c>
      <c r="B23" s="217" t="inlineStr">
        <is>
          <t>Regression of daily returns on SPY over the window.</t>
        </is>
      </c>
      <c r="C23" s="217" t="inlineStr">
        <is>
          <t>The WACC uses a Blume-adjusted beta (⅔ raw + ⅓).</t>
        </is>
      </c>
    </row>
    <row r="24" ht="30" customHeight="1" s="252">
      <c r="A24" s="289" t="inlineStr">
        <is>
          <t>Monte Carlo</t>
        </is>
      </c>
      <c r="B24" s="217" t="inlineStr">
        <is>
          <t>1,000 paths, 252 trading days; drift = CAPM expected return, volatility from the window.</t>
        </is>
      </c>
      <c r="C24" s="217" t="inlineStr">
        <is>
          <t>Illustrative only: a random walk, not a forecast.</t>
        </is>
      </c>
    </row>
    <row r="25">
      <c r="A25" s="282" t="inlineStr">
        <is>
          <t>General</t>
        </is>
      </c>
      <c r="B25" s="282" t="n"/>
      <c r="C25" s="282" t="n"/>
    </row>
    <row r="26" ht="30" customHeight="1" s="252">
      <c r="A26" s="289" t="inlineStr">
        <is>
          <t>Colour code</t>
        </is>
      </c>
      <c r="B26" s="217" t="inlineStr">
        <is>
          <t>Blue text on yellow = input you can change. Black = formula. Green = link from another tab.</t>
        </is>
      </c>
      <c r="C26" s="217" t="n"/>
    </row>
    <row r="27" ht="30" customHeight="1" s="252">
      <c r="A27" s="289" t="inlineStr">
        <is>
          <t>Disclaimer</t>
        </is>
      </c>
      <c r="B27" s="217" t="inlineStr">
        <is>
          <t>For information only; not investment advice. Figures from company filings and third-party feeds may contain errors — check the Sources tab.</t>
        </is>
      </c>
      <c r="C27" s="217" t="n"/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</sheetData>
  <hyperlinks>
    <hyperlink xmlns:r="http://schemas.openxmlformats.org/officeDocument/2006/relationships" ref="C2" location="'Summary'!A1" r:id="rId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70AD47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34.54296875" customWidth="1" style="195" min="1" max="1"/>
    <col width="27.26953125" customWidth="1" style="195" min="2" max="2"/>
    <col width="30.90625" customWidth="1" style="195" min="3" max="3"/>
    <col width="60" customWidth="1" style="195" min="4" max="4"/>
    <col width="20" customWidth="1" style="195" min="5" max="5"/>
    <col width="15.453125" customWidth="1" style="195" min="6" max="6"/>
    <col width="8.7265625" customWidth="1" style="195" min="7" max="26"/>
  </cols>
  <sheetData>
    <row r="1" ht="30" customHeight="1" s="252">
      <c r="A1" s="146" t="inlineStr">
        <is>
          <t>Sources &amp; Data Log</t>
        </is>
      </c>
      <c r="B1" s="146" t="n"/>
      <c r="C1" s="146" t="n"/>
      <c r="D1" s="146" t="n"/>
      <c r="E1" s="146" t="n"/>
      <c r="F1" s="146" t="n"/>
    </row>
    <row r="2">
      <c r="A2" s="147" t="inlineStr">
        <is>
          <t>Every externally sourced figure used in this report, with where it lives and how reliable the source is</t>
        </is>
      </c>
      <c r="B2" s="147" t="n"/>
      <c r="C2" s="147" t="n"/>
      <c r="D2" s="147" t="n"/>
      <c r="E2" s="147" t="n"/>
      <c r="F2" s="148" t="inlineStr">
        <is>
          <t>← Back to Summary</t>
        </is>
      </c>
    </row>
    <row r="4">
      <c r="A4" s="287" t="inlineStr">
        <is>
          <t>Figure</t>
        </is>
      </c>
      <c r="B4" s="286" t="inlineStr">
        <is>
          <t>Used in</t>
        </is>
      </c>
      <c r="C4" s="286" t="inlineStr">
        <is>
          <t>Value</t>
        </is>
      </c>
      <c r="D4" s="286" t="inlineStr">
        <is>
          <t>Source</t>
        </is>
      </c>
      <c r="E4" s="286" t="inlineStr">
        <is>
          <t>Type</t>
        </is>
      </c>
      <c r="F4" s="286" t="inlineStr">
        <is>
          <t>Link</t>
        </is>
      </c>
    </row>
    <row r="5" ht="30" customHeight="1" s="252">
      <c r="A5" s="217" t="inlineStr">
        <is>
          <t>Q1 FY26 revenue / diluted EPS</t>
        </is>
      </c>
      <c r="B5" s="217" t="inlineStr">
        <is>
          <t>Financials quarters</t>
        </is>
      </c>
      <c r="C5" s="217" t="inlineStr">
        <is>
          <t>$11.7B / $0.49</t>
        </is>
      </c>
      <c r="D5" s="217" t="inlineStr">
        <is>
          <t>Form 10-Q for the period ended 31-Aug-2025</t>
        </is>
      </c>
      <c r="E5" s="217" t="inlineStr">
        <is>
          <t>SEC filing</t>
        </is>
      </c>
      <c r="F5" s="290" t="inlineStr">
        <is>
          <t>Open source</t>
        </is>
      </c>
    </row>
    <row r="6" ht="30" customHeight="1" s="252">
      <c r="A6" s="217" t="inlineStr">
        <is>
          <t>Q2 FY26 revenue / diluted EPS</t>
        </is>
      </c>
      <c r="B6" s="217" t="inlineStr">
        <is>
          <t>Financials quarters</t>
        </is>
      </c>
      <c r="C6" s="217" t="inlineStr">
        <is>
          <t>$12.4B / $0.53</t>
        </is>
      </c>
      <c r="D6" s="217" t="inlineStr">
        <is>
          <t>Form 10-Q for the period ended 30-Nov-2025</t>
        </is>
      </c>
      <c r="E6" s="217" t="inlineStr">
        <is>
          <t>SEC filing</t>
        </is>
      </c>
      <c r="F6" s="290" t="inlineStr">
        <is>
          <t>Open source</t>
        </is>
      </c>
    </row>
    <row r="7" ht="30" customHeight="1" s="252">
      <c r="A7" s="217" t="inlineStr">
        <is>
          <t>Q3 FY26 revenue / diluted EPS</t>
        </is>
      </c>
      <c r="B7" s="217" t="inlineStr">
        <is>
          <t>Financials quarters</t>
        </is>
      </c>
      <c r="C7" s="217" t="inlineStr">
        <is>
          <t>$11.3B / $0.35</t>
        </is>
      </c>
      <c r="D7" s="217" t="inlineStr">
        <is>
          <t>Form 10-Q for the period ended 28-Feb-2026</t>
        </is>
      </c>
      <c r="E7" s="217" t="inlineStr">
        <is>
          <t>SEC filing</t>
        </is>
      </c>
      <c r="F7" s="290" t="inlineStr">
        <is>
          <t>Open source</t>
        </is>
      </c>
    </row>
    <row r="8" ht="30" customHeight="1" s="252">
      <c r="A8" s="217" t="inlineStr">
        <is>
          <t>Q4 FY26 revenue / diluted EPS</t>
        </is>
      </c>
      <c r="B8" s="217" t="inlineStr">
        <is>
          <t>Financials quarters</t>
        </is>
      </c>
      <c r="C8" s="217" t="inlineStr">
        <is>
          <t>$11.0B / $0.72</t>
        </is>
      </c>
      <c r="D8" s="217" t="inlineStr">
        <is>
          <t>Form 10-K for the period ended 31-May-2026</t>
        </is>
      </c>
      <c r="E8" s="217" t="inlineStr">
        <is>
          <t>SEC filing</t>
        </is>
      </c>
      <c r="F8" s="290" t="inlineStr">
        <is>
          <t>Open source</t>
        </is>
      </c>
    </row>
    <row r="9" ht="30" customHeight="1" s="252">
      <c r="A9" s="217" t="inlineStr">
        <is>
          <t>FY26 balance sheet, cash flow, SBC, D&amp;A</t>
        </is>
      </c>
      <c r="B9" s="217" t="inlineStr">
        <is>
          <t>Financials column B</t>
        </is>
      </c>
      <c r="C9" s="217" t="inlineStr">
        <is>
          <t>FY ended 31-May-2026</t>
        </is>
      </c>
      <c r="D9" s="217" t="inlineStr">
        <is>
          <t>Form 10-K filed 15-Jul-2026</t>
        </is>
      </c>
      <c r="E9" s="217" t="inlineStr">
        <is>
          <t>SEC filing</t>
        </is>
      </c>
      <c r="F9" s="290" t="inlineStr">
        <is>
          <t>Open source</t>
        </is>
      </c>
    </row>
    <row r="10" ht="30" customHeight="1" s="252">
      <c r="A10" s="217" t="inlineStr">
        <is>
          <t>Quarterly dividend</t>
        </is>
      </c>
      <c r="B10" s="217" t="inlineStr">
        <is>
          <t>Multiples B10</t>
        </is>
      </c>
      <c r="C10" s="217" t="inlineStr">
        <is>
          <t>$0.41</t>
        </is>
      </c>
      <c r="D10" s="217" t="inlineStr">
        <is>
          <t>Dividends declared per share</t>
        </is>
      </c>
      <c r="E10" s="217" t="inlineStr">
        <is>
          <t>SEC filing</t>
        </is>
      </c>
      <c r="F10" s="290" t="inlineStr">
        <is>
          <t>Open source</t>
        </is>
      </c>
    </row>
    <row r="11" ht="30" customHeight="1" s="252">
      <c r="A11" s="217" t="inlineStr">
        <is>
          <t>FY17–FY26 revenue, net income, FCF</t>
        </is>
      </c>
      <c r="B11" s="217" t="inlineStr">
        <is>
          <t>Financials B6:K12</t>
        </is>
      </c>
      <c r="C11" s="217" t="inlineStr">
        <is>
          <t>Various</t>
        </is>
      </c>
      <c r="D11" s="217" t="inlineStr">
        <is>
          <t>SEC EDGAR XBRL company facts (10-K)</t>
        </is>
      </c>
      <c r="E11" s="217" t="inlineStr">
        <is>
          <t>SEC filing</t>
        </is>
      </c>
      <c r="F11" s="290" t="inlineStr">
        <is>
          <t>Open source</t>
        </is>
      </c>
    </row>
    <row r="12" ht="30" customHeight="1" s="252">
      <c r="A12" s="217" t="inlineStr">
        <is>
          <t>Revenue by segment and geography</t>
        </is>
      </c>
      <c r="B12" s="217" t="inlineStr">
        <is>
          <t>Business_Mix</t>
        </is>
      </c>
      <c r="C12" s="217" t="inlineStr">
        <is>
          <t>FY ended 31-May-2026</t>
        </is>
      </c>
      <c r="D12" s="217" t="inlineStr">
        <is>
          <t>10-K XBRL instance</t>
        </is>
      </c>
      <c r="E12" s="217" t="inlineStr">
        <is>
          <t>SEC filing</t>
        </is>
      </c>
      <c r="F12" s="290" t="inlineStr">
        <is>
          <t>Open source</t>
        </is>
      </c>
    </row>
    <row r="13" ht="30" customHeight="1" s="252">
      <c r="A13" s="217" t="inlineStr">
        <is>
          <t>Price history &amp; current price</t>
        </is>
      </c>
      <c r="B13" s="217" t="inlineStr">
        <is>
          <t>Price_Data; Risk; DCF B5</t>
        </is>
      </c>
      <c r="C13" s="217" t="inlineStr">
        <is>
          <t>$36.05 (23-Sep-2026)</t>
        </is>
      </c>
      <c r="D13" s="217" t="inlineStr">
        <is>
          <t>Yahoo Finance</t>
        </is>
      </c>
      <c r="E13" s="217" t="inlineStr">
        <is>
          <t>Feed</t>
        </is>
      </c>
      <c r="F13" s="290" t="inlineStr">
        <is>
          <t>Open source</t>
        </is>
      </c>
    </row>
    <row r="14" ht="30" customHeight="1" s="252">
      <c r="A14" s="217" t="inlineStr">
        <is>
          <t>Risk-free rate</t>
        </is>
      </c>
      <c r="B14" s="217" t="inlineStr">
        <is>
          <t>DCF B14; Risk</t>
        </is>
      </c>
      <c r="C14" s="217" t="inlineStr">
        <is>
          <t>4.16%</t>
        </is>
      </c>
      <c r="D14" s="217" t="inlineStr">
        <is>
          <t>US Treasury 3-month (FRED DGS3MO)</t>
        </is>
      </c>
      <c r="E14" s="217" t="inlineStr">
        <is>
          <t>Government data</t>
        </is>
      </c>
      <c r="F14" s="290" t="inlineStr">
        <is>
          <t>Open source</t>
        </is>
      </c>
    </row>
    <row r="15" ht="30" customHeight="1" s="252">
      <c r="A15" s="217" t="inlineStr">
        <is>
          <t>10-year Treasury (WACC)</t>
        </is>
      </c>
      <c r="B15" s="217" t="inlineStr">
        <is>
          <t>DCF B7</t>
        </is>
      </c>
      <c r="C15" s="217" t="inlineStr">
        <is>
          <t>4.96%</t>
        </is>
      </c>
      <c r="D15" s="217" t="inlineStr">
        <is>
          <t>US Treasury 10-year (FRED DGS10)</t>
        </is>
      </c>
      <c r="E15" s="217" t="inlineStr">
        <is>
          <t>Government data</t>
        </is>
      </c>
      <c r="F15" s="290" t="inlineStr">
        <is>
          <t>Open source</t>
        </is>
      </c>
    </row>
    <row r="16" ht="30" customHeight="1" s="252">
      <c r="A16" s="217" t="inlineStr">
        <is>
          <t>Peer multiples</t>
        </is>
      </c>
      <c r="B16" s="217" t="inlineStr">
        <is>
          <t>Multiples peer table</t>
        </is>
      </c>
      <c r="C16" s="217" t="inlineStr">
        <is>
          <t>NKE, UAA, LULU</t>
        </is>
      </c>
      <c r="D16" s="217" t="inlineStr">
        <is>
          <t>Each peer's own 10-Q / 10-K XBRL; market caps from the data feed</t>
        </is>
      </c>
      <c r="E16" s="217" t="inlineStr">
        <is>
          <t>SEC filing / feed</t>
        </is>
      </c>
      <c r="F16" s="217" t="n"/>
    </row>
    <row r="17" ht="30" customHeight="1" s="252">
      <c r="A17" s="217" t="inlineStr">
        <is>
          <t>Headlines</t>
        </is>
      </c>
      <c r="B17" s="217" t="inlineStr">
        <is>
          <t>Catalysts_News</t>
        </is>
      </c>
      <c r="C17" s="217" t="inlineStr">
        <is>
          <t>—</t>
        </is>
      </c>
      <c r="D17" s="217" t="inlineStr">
        <is>
          <t>QuantWizard news feed (aggregators + SEC 8-Ks)</t>
        </is>
      </c>
      <c r="E17" s="217" t="inlineStr">
        <is>
          <t>Third-party</t>
        </is>
      </c>
      <c r="F17" s="217" t="n"/>
    </row>
    <row r="18" ht="30" customHeight="1" s="252">
      <c r="A18" s="217" t="inlineStr">
        <is>
          <t>Monte Carlo outputs</t>
        </is>
      </c>
      <c r="B18" s="217" t="inlineStr">
        <is>
          <t>Risk</t>
        </is>
      </c>
      <c r="C18" s="217" t="inlineStr">
        <is>
          <t>—</t>
        </is>
      </c>
      <c r="D18" s="217" t="inlineStr">
        <is>
          <t>QuantWizard simulation</t>
        </is>
      </c>
      <c r="E18" s="217" t="inlineStr">
        <is>
          <t>Model output</t>
        </is>
      </c>
      <c r="F18" s="217" t="n"/>
    </row>
    <row r="19"/>
    <row r="20">
      <c r="A20" s="281" t="inlineStr">
        <is>
          <t>Source priority: SEC filings &gt; data feeds &gt; third-party sites. Every filing figure comes from the XBRL the company filed; the link opens that filing.</t>
        </is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conditionalFormatting sqref="E5:E18">
    <cfRule type="expression" priority="1" dxfId="13">
      <formula>NOT(ISERROR(SEARCH("verif",E5)))</formula>
    </cfRule>
  </conditionalFormatting>
  <hyperlinks>
    <hyperlink xmlns:r="http://schemas.openxmlformats.org/officeDocument/2006/relationships" ref="F2" location="'Summary'!A1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70AD47"/>
    <outlinePr summaryBelow="1" summaryRight="1"/>
    <pageSetUpPr/>
  </sheetPr>
  <dimension ref="A1:L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style="252" min="1" max="1"/>
    <col width="14" customWidth="1" style="252" min="2" max="2"/>
    <col width="9" customWidth="1" style="252" min="3" max="3"/>
    <col width="11" customWidth="1" style="252" min="4" max="4"/>
    <col width="9" customWidth="1" style="252" min="5" max="5"/>
    <col width="13" customWidth="1" style="252" min="6" max="6"/>
    <col width="12" customWidth="1" style="252" min="7" max="7"/>
    <col width="11" customWidth="1" style="252" min="8" max="8"/>
    <col width="11" customWidth="1" style="252" min="9" max="9"/>
    <col width="10" customWidth="1" style="252" min="10" max="10"/>
    <col width="10" customWidth="1" style="252" min="11" max="11"/>
    <col width="20" customWidth="1" style="252" min="12" max="12"/>
  </cols>
  <sheetData>
    <row r="1" ht="30" customHeight="1" s="252">
      <c r="A1" s="245" t="inlineStr">
        <is>
          <t>Nike, Inc. (NKE) — Valuation vs Peers</t>
        </is>
      </c>
      <c r="B1" s="245" t="n"/>
      <c r="C1" s="245" t="n"/>
      <c r="D1" s="245" t="n"/>
      <c r="E1" s="245" t="n"/>
      <c r="F1" s="245" t="n"/>
      <c r="G1" s="245" t="n"/>
      <c r="H1" s="245" t="n"/>
      <c r="I1" s="245" t="n"/>
      <c r="J1" s="245" t="n"/>
      <c r="K1" s="245" t="n"/>
      <c r="L1" s="245" t="n"/>
    </row>
    <row r="2">
      <c r="A2" s="246" t="inlineStr">
        <is>
          <t>Peer group: Apparel &amp; footwear · each company on its own latest filings (TTM where a 10-Q is newer than the 10-K) and its own market cap</t>
        </is>
      </c>
      <c r="B2" s="246" t="n"/>
      <c r="C2" s="246" t="n"/>
      <c r="D2" s="246" t="n"/>
      <c r="E2" s="246" t="n"/>
      <c r="F2" s="246" t="n"/>
      <c r="G2" s="246" t="n"/>
      <c r="H2" s="246" t="n"/>
      <c r="I2" s="246" t="n"/>
      <c r="J2" s="246" t="n"/>
      <c r="K2" s="246" t="n"/>
      <c r="L2" s="148" t="inlineStr">
        <is>
          <t>← Back to Summary</t>
        </is>
      </c>
    </row>
    <row r="4">
      <c r="A4" s="247" t="inlineStr">
        <is>
          <t>Peer comparison</t>
        </is>
      </c>
      <c r="B4" s="247" t="n"/>
      <c r="C4" s="247" t="n"/>
      <c r="D4" s="247" t="n"/>
      <c r="E4" s="247" t="n"/>
      <c r="F4" s="247" t="n"/>
      <c r="G4" s="247" t="n"/>
      <c r="H4" s="247" t="n"/>
      <c r="I4" s="247" t="n"/>
      <c r="J4" s="247" t="n"/>
      <c r="K4" s="247" t="n"/>
      <c r="L4" s="247" t="n"/>
    </row>
    <row r="5">
      <c r="A5" s="153" t="inlineStr">
        <is>
          <t>Ticker</t>
        </is>
      </c>
      <c r="B5" s="152" t="inlineStr">
        <is>
          <t>Market cap ($B)</t>
        </is>
      </c>
      <c r="C5" s="152" t="inlineStr">
        <is>
          <t>P/E</t>
        </is>
      </c>
      <c r="D5" s="152" t="inlineStr">
        <is>
          <t>EV / EBITDA</t>
        </is>
      </c>
      <c r="E5" s="152" t="inlineStr">
        <is>
          <t>P/S</t>
        </is>
      </c>
      <c r="F5" s="152" t="inlineStr">
        <is>
          <t>Revenue growth</t>
        </is>
      </c>
      <c r="G5" s="152" t="inlineStr">
        <is>
          <t>Gross margin</t>
        </is>
      </c>
      <c r="H5" s="152" t="inlineStr">
        <is>
          <t>Op. margin</t>
        </is>
      </c>
      <c r="I5" s="152" t="inlineStr">
        <is>
          <t>Net margin</t>
        </is>
      </c>
      <c r="J5" s="152" t="inlineStr">
        <is>
          <t>FCF yield</t>
        </is>
      </c>
      <c r="K5" s="152" t="inlineStr">
        <is>
          <t>Div. yield</t>
        </is>
      </c>
      <c r="L5" s="152" t="inlineStr">
        <is>
          <t>Figures as of</t>
        </is>
      </c>
    </row>
    <row r="6">
      <c r="A6" s="195" t="inlineStr">
        <is>
          <t>NKE</t>
        </is>
      </c>
      <c r="B6" s="325" t="n">
        <v>53.5543031783</v>
      </c>
      <c r="C6" s="364" t="n">
        <v>17.23</v>
      </c>
      <c r="D6" s="325" t="inlineStr">
        <is>
          <t>N/A</t>
        </is>
      </c>
      <c r="E6" s="364" t="n">
        <v>1.15</v>
      </c>
      <c r="F6" s="338" t="n">
        <v>0.002</v>
      </c>
      <c r="G6" s="338" t="n">
        <v>0.429</v>
      </c>
      <c r="H6" s="325" t="inlineStr">
        <is>
          <t>N/A</t>
        </is>
      </c>
      <c r="I6" s="338" t="n">
        <v>0.067</v>
      </c>
      <c r="J6" s="338" t="n">
        <v>0.04099999999999999</v>
      </c>
      <c r="K6" s="338" t="n">
        <v>0.045</v>
      </c>
      <c r="L6" s="325" t="inlineStr">
        <is>
          <t>FY ending 31 May 2026</t>
        </is>
      </c>
    </row>
    <row r="7">
      <c r="A7" s="195" t="inlineStr">
        <is>
          <t>UAA</t>
        </is>
      </c>
      <c r="B7" s="325" t="n">
        <v>1.95</v>
      </c>
      <c r="C7" s="325" t="inlineStr">
        <is>
          <t>N/A</t>
        </is>
      </c>
      <c r="D7" s="325" t="inlineStr">
        <is>
          <t>N/A</t>
        </is>
      </c>
      <c r="E7" s="364" t="n">
        <v>0.4</v>
      </c>
      <c r="F7" s="338" t="n">
        <v>-0.036</v>
      </c>
      <c r="G7" s="338" t="n">
        <v>0.468</v>
      </c>
      <c r="H7" s="338" t="n">
        <v>-0.024</v>
      </c>
      <c r="I7" s="338" t="n">
        <v>-0.1</v>
      </c>
      <c r="J7" s="338" t="n">
        <v>-0.042</v>
      </c>
      <c r="K7" s="325" t="inlineStr">
        <is>
          <t>N/A</t>
        </is>
      </c>
      <c r="L7" s="325" t="inlineStr">
        <is>
          <t>TTM to 30 Jun 2026</t>
        </is>
      </c>
    </row>
    <row r="8">
      <c r="A8" s="195" t="inlineStr">
        <is>
          <t>LULU</t>
        </is>
      </c>
      <c r="B8" s="325" t="n">
        <v>10.800160737021</v>
      </c>
      <c r="C8" s="364" t="n">
        <v>7.62</v>
      </c>
      <c r="D8" s="364" t="n">
        <v>3.74</v>
      </c>
      <c r="E8" s="364" t="n">
        <v>0.97</v>
      </c>
      <c r="F8" s="338" t="n">
        <v>0.017</v>
      </c>
      <c r="G8" s="338" t="n">
        <v>0.5610000000000001</v>
      </c>
      <c r="H8" s="338" t="n">
        <v>0.178</v>
      </c>
      <c r="I8" s="338" t="n">
        <v>0.128</v>
      </c>
      <c r="J8" s="338" t="n">
        <v>0.125</v>
      </c>
      <c r="K8" s="325" t="inlineStr">
        <is>
          <t>N/A</t>
        </is>
      </c>
      <c r="L8" s="325" t="inlineStr">
        <is>
          <t>TTM to 2 Aug 2026</t>
        </is>
      </c>
    </row>
    <row r="9">
      <c r="A9" s="195" t="inlineStr">
        <is>
          <t>Peer median</t>
        </is>
      </c>
      <c r="B9" s="325" t="n">
        <v>6.375080368510498</v>
      </c>
      <c r="C9" s="364" t="n">
        <v>7.62</v>
      </c>
      <c r="D9" s="364" t="n">
        <v>3.74</v>
      </c>
      <c r="E9" s="364" t="n">
        <v>0.6850000000000001</v>
      </c>
      <c r="F9" s="338" t="n">
        <v>-0.009500000000000001</v>
      </c>
      <c r="G9" s="338" t="n">
        <v>0.5145000000000001</v>
      </c>
      <c r="H9" s="338" t="n">
        <v>0.077</v>
      </c>
      <c r="I9" s="338" t="n">
        <v>0.014</v>
      </c>
      <c r="J9" s="338" t="n">
        <v>0.0415</v>
      </c>
      <c r="K9" s="325" t="inlineStr">
        <is>
          <t>N/A</t>
        </is>
      </c>
      <c r="L9" s="325" t="inlineStr">
        <is>
          <t>median of peers</t>
        </is>
      </c>
    </row>
  </sheetData>
  <hyperlinks>
    <hyperlink xmlns:r="http://schemas.openxmlformats.org/officeDocument/2006/relationships" ref="L2" location="'Summary'!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70AD47"/>
    <outlinePr summaryBelow="1" summaryRight="1"/>
    <pageSetUpPr/>
  </sheetPr>
  <dimension ref="A1:F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style="252" min="1" max="1"/>
    <col width="14" customWidth="1" style="252" min="2" max="2"/>
    <col width="16" customWidth="1" style="252" min="3" max="3"/>
    <col width="11" customWidth="1" style="252" min="4" max="4"/>
    <col width="10" customWidth="1" style="252" min="5" max="5"/>
    <col width="12" customWidth="1" style="252" min="6" max="6"/>
  </cols>
  <sheetData>
    <row r="1" ht="30" customHeight="1" s="252">
      <c r="A1" s="245" t="inlineStr">
        <is>
          <t>Nike, Inc. (NKE) — Where the Revenue Comes From</t>
        </is>
      </c>
      <c r="B1" s="245" t="n"/>
      <c r="C1" s="245" t="n"/>
      <c r="D1" s="245" t="n"/>
      <c r="E1" s="245" t="n"/>
      <c r="F1" s="245" t="n"/>
    </row>
    <row r="2">
      <c r="A2" s="246" t="inlineStr">
        <is>
          <t>Fiscal year ended 31-May-2026, from the 10-K filed 15-Jul-2026 · each breakdown adds back to reported revenue</t>
        </is>
      </c>
      <c r="B2" s="246" t="n"/>
      <c r="C2" s="246" t="n"/>
      <c r="D2" s="246" t="n"/>
      <c r="E2" s="246" t="n"/>
      <c r="F2" s="148" t="inlineStr">
        <is>
          <t>← Back to Summary</t>
        </is>
      </c>
    </row>
    <row r="4">
      <c r="A4" s="247" t="inlineStr">
        <is>
          <t>Products &amp; services</t>
        </is>
      </c>
      <c r="B4" s="247" t="n"/>
      <c r="C4" s="247" t="n"/>
      <c r="D4" s="247" t="n"/>
      <c r="E4" s="247" t="n"/>
      <c r="F4" s="247" t="n"/>
    </row>
    <row r="5">
      <c r="A5" s="153" t="inlineStr">
        <is>
          <t>Line</t>
        </is>
      </c>
      <c r="B5" s="152" t="inlineStr">
        <is>
          <t>Revenue ($B)</t>
        </is>
      </c>
      <c r="C5" s="152" t="inlineStr">
        <is>
          <t>Prior year ($B)</t>
        </is>
      </c>
      <c r="D5" s="152" t="inlineStr">
        <is>
          <t>Growth</t>
        </is>
      </c>
      <c r="E5" s="152" t="inlineStr">
        <is>
          <t>Share</t>
        </is>
      </c>
    </row>
    <row r="6">
      <c r="A6" s="195" t="inlineStr">
        <is>
          <t>Footwear</t>
        </is>
      </c>
      <c r="B6" s="325" t="n">
        <v>30.538</v>
      </c>
      <c r="C6" s="325" t="n">
        <v>30.967</v>
      </c>
      <c r="D6" s="338" t="n">
        <v>-0.01385345690573836</v>
      </c>
      <c r="E6" s="338" t="n">
        <v>0.6581749213328161</v>
      </c>
    </row>
    <row r="7">
      <c r="A7" s="195" t="inlineStr">
        <is>
          <t>Apparel</t>
        </is>
      </c>
      <c r="B7" s="325" t="n">
        <v>13.497</v>
      </c>
      <c r="C7" s="325" t="n">
        <v>13.045</v>
      </c>
      <c r="D7" s="338" t="n">
        <v>0.03464929091605984</v>
      </c>
      <c r="E7" s="338" t="n">
        <v>0.290896159317212</v>
      </c>
    </row>
    <row r="8">
      <c r="A8" s="195" t="inlineStr">
        <is>
          <t>Equipment</t>
        </is>
      </c>
      <c r="B8" s="325" t="n">
        <v>2.22</v>
      </c>
      <c r="C8" s="325" t="n">
        <v>2.223</v>
      </c>
      <c r="D8" s="338" t="n">
        <v>-0.001349527665317152</v>
      </c>
      <c r="E8" s="338" t="n">
        <v>0.04784688995215311</v>
      </c>
    </row>
    <row r="9">
      <c r="A9" s="195" t="inlineStr">
        <is>
          <t>Other</t>
        </is>
      </c>
      <c r="B9" s="325" t="n">
        <v>0.143</v>
      </c>
      <c r="C9" s="325" t="n">
        <v>0.074</v>
      </c>
      <c r="D9" s="338" t="n">
        <v>0.9324324324324325</v>
      </c>
      <c r="E9" s="338" t="n">
        <v>0.003082029397818872</v>
      </c>
    </row>
    <row r="10">
      <c r="A10" s="195" t="inlineStr">
        <is>
          <t>Total</t>
        </is>
      </c>
      <c r="B10" s="325" t="n">
        <v>46.398</v>
      </c>
      <c r="C10" s="325" t="inlineStr">
        <is>
          <t>N/A</t>
        </is>
      </c>
      <c r="D10" s="325" t="inlineStr">
        <is>
          <t>N/A</t>
        </is>
      </c>
      <c r="E10" s="338" t="n">
        <v>1</v>
      </c>
    </row>
    <row r="12">
      <c r="A12" s="247" t="inlineStr">
        <is>
          <t>Reportable segments</t>
        </is>
      </c>
      <c r="B12" s="247" t="n"/>
      <c r="C12" s="247" t="n"/>
      <c r="D12" s="247" t="n"/>
      <c r="E12" s="247" t="n"/>
      <c r="F12" s="247" t="n"/>
    </row>
    <row r="13">
      <c r="A13" s="153" t="inlineStr">
        <is>
          <t>Line</t>
        </is>
      </c>
      <c r="B13" s="152" t="inlineStr">
        <is>
          <t>Revenue ($B)</t>
        </is>
      </c>
      <c r="C13" s="152" t="inlineStr">
        <is>
          <t>Prior year ($B)</t>
        </is>
      </c>
      <c r="D13" s="152" t="inlineStr">
        <is>
          <t>Growth</t>
        </is>
      </c>
      <c r="E13" s="152" t="inlineStr">
        <is>
          <t>Share</t>
        </is>
      </c>
    </row>
    <row r="14">
      <c r="A14" s="195" t="inlineStr">
        <is>
          <t>NIKE Brand</t>
        </is>
      </c>
      <c r="B14" s="325" t="n">
        <v>45.222</v>
      </c>
      <c r="C14" s="325" t="n">
        <v>44.714</v>
      </c>
      <c r="D14" s="338" t="n">
        <v>0.01136109495907323</v>
      </c>
      <c r="E14" s="338" t="n">
        <v>0.9746540799172378</v>
      </c>
    </row>
    <row r="15">
      <c r="A15" s="195" t="inlineStr">
        <is>
          <t>Converse</t>
        </is>
      </c>
      <c r="B15" s="325" t="n">
        <v>1.174</v>
      </c>
      <c r="C15" s="325" t="n">
        <v>1.692</v>
      </c>
      <c r="D15" s="338" t="n">
        <v>-0.306146572104019</v>
      </c>
      <c r="E15" s="338" t="n">
        <v>0.02530281477649899</v>
      </c>
    </row>
    <row r="16">
      <c r="A16" s="195" t="inlineStr">
        <is>
          <t>Total</t>
        </is>
      </c>
      <c r="B16" s="325" t="n">
        <v>46.396</v>
      </c>
      <c r="C16" s="325" t="inlineStr">
        <is>
          <t>N/A</t>
        </is>
      </c>
      <c r="D16" s="325" t="inlineStr">
        <is>
          <t>N/A</t>
        </is>
      </c>
      <c r="E16" s="338" t="n">
        <v>1</v>
      </c>
    </row>
  </sheetData>
  <hyperlinks>
    <hyperlink xmlns:r="http://schemas.openxmlformats.org/officeDocument/2006/relationships" ref="F2" location="'Summary'!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70AD47"/>
    <outlinePr summaryBelow="1" summaryRight="1"/>
    <pageSetUpPr/>
  </sheetPr>
  <dimension ref="A1: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style="252" min="1" max="1"/>
    <col width="14" customWidth="1" style="252" min="2" max="2"/>
    <col width="12" customWidth="1" style="252" min="3" max="3"/>
    <col width="12" customWidth="1" style="252" min="4" max="4"/>
    <col width="14" customWidth="1" style="252" min="5" max="5"/>
    <col width="14" customWidth="1" style="252" min="6" max="6"/>
    <col width="15" customWidth="1" style="252" min="7" max="7"/>
    <col width="16" customWidth="1" style="252" min="8" max="8"/>
  </cols>
  <sheetData>
    <row r="1" ht="30" customHeight="1" s="252">
      <c r="A1" s="245" t="inlineStr">
        <is>
          <t>Nike, Inc. (NKE) — Where the Cash Goes</t>
        </is>
      </c>
      <c r="B1" s="245" t="n"/>
      <c r="C1" s="245" t="n"/>
      <c r="D1" s="245" t="n"/>
      <c r="E1" s="245" t="n"/>
      <c r="F1" s="245" t="n"/>
      <c r="G1" s="245" t="n"/>
      <c r="H1" s="245" t="n"/>
    </row>
    <row r="2">
      <c r="A2" s="246" t="inlineStr">
        <is>
          <t>Free cash flow against buybacks, dividends and stock-based pay, per fiscal year as filed</t>
        </is>
      </c>
      <c r="B2" s="246" t="n"/>
      <c r="C2" s="246" t="n"/>
      <c r="D2" s="246" t="n"/>
      <c r="E2" s="246" t="n"/>
      <c r="F2" s="246" t="n"/>
      <c r="G2" s="246" t="n"/>
      <c r="H2" s="148" t="inlineStr">
        <is>
          <t>← Back to Summary</t>
        </is>
      </c>
    </row>
    <row r="4">
      <c r="A4" s="247" t="inlineStr">
        <is>
          <t>Capital returned ($B)</t>
        </is>
      </c>
      <c r="B4" s="247" t="n"/>
      <c r="C4" s="247" t="n"/>
      <c r="D4" s="247" t="n"/>
      <c r="E4" s="247" t="n"/>
      <c r="F4" s="247" t="n"/>
      <c r="G4" s="247" t="n"/>
      <c r="H4" s="247" t="n"/>
    </row>
    <row r="5">
      <c r="A5" s="153" t="inlineStr">
        <is>
          <t>Fiscal year</t>
        </is>
      </c>
      <c r="B5" s="152" t="inlineStr">
        <is>
          <t>Free cash flow</t>
        </is>
      </c>
      <c r="C5" s="152" t="inlineStr">
        <is>
          <t>Buybacks</t>
        </is>
      </c>
      <c r="D5" s="152" t="inlineStr">
        <is>
          <t>Dividends</t>
        </is>
      </c>
      <c r="E5" s="152" t="inlineStr">
        <is>
          <t>Total returned</t>
        </is>
      </c>
      <c r="F5" s="152" t="inlineStr">
        <is>
          <t>Returned / FCF</t>
        </is>
      </c>
      <c r="G5" s="152" t="inlineStr">
        <is>
          <t>Stock-based pay</t>
        </is>
      </c>
      <c r="H5" s="152" t="inlineStr">
        <is>
          <t>Diluted shares (B)</t>
        </is>
      </c>
    </row>
    <row r="6">
      <c r="A6" s="195" t="inlineStr">
        <is>
          <t>FY2017</t>
        </is>
      </c>
      <c r="B6" s="325" t="n">
        <v>2.535</v>
      </c>
      <c r="C6" s="325" t="n">
        <v>3.223</v>
      </c>
      <c r="D6" s="325" t="n">
        <v>1.133</v>
      </c>
      <c r="E6" s="325" t="n">
        <v>4.356</v>
      </c>
      <c r="F6" s="338" t="n">
        <v>1.718343195266272</v>
      </c>
      <c r="G6" s="325" t="n">
        <v>0.215</v>
      </c>
      <c r="H6" s="383" t="n">
        <v>1.692</v>
      </c>
    </row>
    <row r="7">
      <c r="A7" s="195" t="inlineStr">
        <is>
          <t>FY2018</t>
        </is>
      </c>
      <c r="B7" s="325" t="n">
        <v>3.927</v>
      </c>
      <c r="C7" s="325" t="n">
        <v>4.254</v>
      </c>
      <c r="D7" s="325" t="n">
        <v>1.243</v>
      </c>
      <c r="E7" s="325" t="n">
        <v>5.497</v>
      </c>
      <c r="F7" s="338" t="n">
        <v>1.399796282149223</v>
      </c>
      <c r="G7" s="325" t="n">
        <v>0.218</v>
      </c>
      <c r="H7" s="383" t="n">
        <v>1.6591</v>
      </c>
    </row>
    <row r="8">
      <c r="A8" s="195" t="inlineStr">
        <is>
          <t>FY2019</t>
        </is>
      </c>
      <c r="B8" s="325" t="n">
        <v>4.784</v>
      </c>
      <c r="C8" s="325" t="n">
        <v>4.286</v>
      </c>
      <c r="D8" s="325" t="n">
        <v>1.332</v>
      </c>
      <c r="E8" s="325" t="n">
        <v>5.618</v>
      </c>
      <c r="F8" s="338" t="n">
        <v>1.17433110367893</v>
      </c>
      <c r="G8" s="325" t="n">
        <v>0.325</v>
      </c>
      <c r="H8" s="383" t="n">
        <v>1.6184</v>
      </c>
    </row>
    <row r="9">
      <c r="A9" s="195" t="inlineStr">
        <is>
          <t>FY2020</t>
        </is>
      </c>
      <c r="B9" s="325" t="n">
        <v>1.399</v>
      </c>
      <c r="C9" s="325" t="n">
        <v>3.067</v>
      </c>
      <c r="D9" s="325" t="n">
        <v>1.452</v>
      </c>
      <c r="E9" s="325" t="n">
        <v>4.519</v>
      </c>
      <c r="F9" s="338" t="n">
        <v>3.230164403145104</v>
      </c>
      <c r="G9" s="325" t="n">
        <v>0.429</v>
      </c>
      <c r="H9" s="383" t="n">
        <v>1.5916</v>
      </c>
    </row>
    <row r="10">
      <c r="A10" s="195" t="inlineStr">
        <is>
          <t>FY2021</t>
        </is>
      </c>
      <c r="B10" s="325" t="n">
        <v>5.962</v>
      </c>
      <c r="C10" s="325" t="n">
        <v>0.608</v>
      </c>
      <c r="D10" s="325" t="n">
        <v>1.638</v>
      </c>
      <c r="E10" s="325" t="n">
        <v>2.246</v>
      </c>
      <c r="F10" s="338" t="n">
        <v>0.3767192217376719</v>
      </c>
      <c r="G10" s="325" t="n">
        <v>0.611</v>
      </c>
      <c r="H10" s="383" t="n">
        <v>1.6094</v>
      </c>
    </row>
    <row r="11">
      <c r="A11" s="195" t="inlineStr">
        <is>
          <t>FY2022</t>
        </is>
      </c>
      <c r="B11" s="325" t="n">
        <v>4.43</v>
      </c>
      <c r="C11" s="325" t="n">
        <v>4.014</v>
      </c>
      <c r="D11" s="325" t="n">
        <v>1.837</v>
      </c>
      <c r="E11" s="325" t="n">
        <v>5.851</v>
      </c>
      <c r="F11" s="338" t="n">
        <v>1.320767494356659</v>
      </c>
      <c r="G11" s="325" t="n">
        <v>0.638</v>
      </c>
      <c r="H11" s="383" t="n">
        <v>1.6108</v>
      </c>
    </row>
    <row r="12">
      <c r="A12" s="195" t="inlineStr">
        <is>
          <t>FY2023</t>
        </is>
      </c>
      <c r="B12" s="325" t="n">
        <v>4.872</v>
      </c>
      <c r="C12" s="325" t="n">
        <v>5.48</v>
      </c>
      <c r="D12" s="325" t="n">
        <v>2.012</v>
      </c>
      <c r="E12" s="325" t="n">
        <v>7.492</v>
      </c>
      <c r="F12" s="338" t="n">
        <v>1.537766830870279</v>
      </c>
      <c r="G12" s="325" t="n">
        <v>0.755</v>
      </c>
      <c r="H12" s="383" t="n">
        <v>1.5698</v>
      </c>
    </row>
    <row r="13">
      <c r="A13" s="195" t="inlineStr">
        <is>
          <t>FY2024</t>
        </is>
      </c>
      <c r="B13" s="325" t="n">
        <v>6.617</v>
      </c>
      <c r="C13" s="325" t="n">
        <v>4.25</v>
      </c>
      <c r="D13" s="325" t="n">
        <v>2.169</v>
      </c>
      <c r="E13" s="325" t="n">
        <v>6.419</v>
      </c>
      <c r="F13" s="338" t="n">
        <v>0.970077074202811</v>
      </c>
      <c r="G13" s="325" t="n">
        <v>0.804</v>
      </c>
      <c r="H13" s="383" t="n">
        <v>1.5297</v>
      </c>
    </row>
    <row r="14">
      <c r="A14" s="195" t="inlineStr">
        <is>
          <t>FY2025</t>
        </is>
      </c>
      <c r="B14" s="325" t="n">
        <v>3.268</v>
      </c>
      <c r="C14" s="325" t="n">
        <v>2.985</v>
      </c>
      <c r="D14" s="325" t="n">
        <v>2.3</v>
      </c>
      <c r="E14" s="325" t="n">
        <v>5.285</v>
      </c>
      <c r="F14" s="338" t="n">
        <v>1.617197062423501</v>
      </c>
      <c r="G14" s="325" t="n">
        <v>0.709</v>
      </c>
      <c r="H14" s="383" t="n">
        <v>1.4876</v>
      </c>
    </row>
    <row r="15">
      <c r="A15" s="195" t="inlineStr">
        <is>
          <t>FY2026</t>
        </is>
      </c>
      <c r="B15" s="325" t="n">
        <v>2.184</v>
      </c>
      <c r="C15" s="325" t="n">
        <v>0.146</v>
      </c>
      <c r="D15" s="325" t="n">
        <v>2.407</v>
      </c>
      <c r="E15" s="325" t="n">
        <v>2.553</v>
      </c>
      <c r="F15" s="338" t="n">
        <v>1.168956043956044</v>
      </c>
      <c r="G15" s="325" t="n">
        <v>0.715</v>
      </c>
      <c r="H15" s="383" t="n">
        <v>1.481</v>
      </c>
    </row>
  </sheetData>
  <hyperlinks>
    <hyperlink xmlns:r="http://schemas.openxmlformats.org/officeDocument/2006/relationships" ref="H2" location="'Summary'!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70AD47"/>
    <outlinePr summaryBelow="1" summaryRight="1"/>
    <pageSetUpPr/>
  </sheetPr>
  <dimension ref="A1:F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style="252" min="1" max="1"/>
    <col width="12" customWidth="1" style="252" min="2" max="2"/>
    <col width="11" customWidth="1" style="252" min="3" max="3"/>
    <col width="12" customWidth="1" style="252" min="4" max="4"/>
    <col width="11" customWidth="1" style="252" min="5" max="5"/>
    <col width="11" customWidth="1" style="252" min="6" max="6"/>
  </cols>
  <sheetData>
    <row r="1" ht="30" customHeight="1" s="252">
      <c r="A1" s="245" t="inlineStr">
        <is>
          <t>Nike, Inc. (NKE) — What the Market Has Paid Before</t>
        </is>
      </c>
      <c r="B1" s="245" t="n"/>
      <c r="C1" s="245" t="n"/>
      <c r="D1" s="245" t="n"/>
      <c r="E1" s="245" t="n"/>
      <c r="F1" s="245" t="n"/>
    </row>
    <row r="2">
      <c r="A2" s="246" t="inlineStr">
        <is>
          <t>Each fiscal year's EPS (on today's share basis) against the stock's average, high and low price that calendar year</t>
        </is>
      </c>
      <c r="B2" s="246" t="n"/>
      <c r="C2" s="246" t="n"/>
      <c r="D2" s="246" t="n"/>
      <c r="E2" s="246" t="n"/>
      <c r="F2" s="148" t="inlineStr">
        <is>
          <t>← Back to Summary</t>
        </is>
      </c>
    </row>
    <row r="4">
      <c r="A4" s="247" t="inlineStr">
        <is>
          <t>P/E history</t>
        </is>
      </c>
      <c r="B4" s="247" t="n"/>
      <c r="C4" s="247" t="n"/>
      <c r="D4" s="247" t="n"/>
      <c r="E4" s="247" t="n"/>
      <c r="F4" s="247" t="n"/>
    </row>
    <row r="5">
      <c r="A5" s="153" t="inlineStr">
        <is>
          <t>Fiscal year</t>
        </is>
      </c>
      <c r="B5" s="152" t="inlineStr">
        <is>
          <t>EPS ($)</t>
        </is>
      </c>
      <c r="C5" s="152" t="inlineStr">
        <is>
          <t>P/E low</t>
        </is>
      </c>
      <c r="D5" s="152" t="inlineStr">
        <is>
          <t>P/E average</t>
        </is>
      </c>
      <c r="E5" s="152" t="inlineStr">
        <is>
          <t>P/E high</t>
        </is>
      </c>
      <c r="F5" s="152" t="inlineStr">
        <is>
          <t>FCF yield</t>
        </is>
      </c>
    </row>
    <row r="6">
      <c r="A6" s="195" t="inlineStr">
        <is>
          <t>2017</t>
        </is>
      </c>
      <c r="B6" s="384" t="n">
        <v>2.51</v>
      </c>
      <c r="C6" s="364" t="n">
        <v>20.05976034825542</v>
      </c>
      <c r="D6" s="364" t="n">
        <v>22.40571051163186</v>
      </c>
      <c r="E6" s="364" t="n">
        <v>25.97211252645668</v>
      </c>
      <c r="F6" s="338" t="n">
        <v>0.02668415081861295</v>
      </c>
    </row>
    <row r="7">
      <c r="A7" s="195" t="inlineStr">
        <is>
          <t>2018</t>
        </is>
      </c>
      <c r="B7" s="384" t="n">
        <v>1.17</v>
      </c>
      <c r="C7" s="364" t="n">
        <v>53.06837619879308</v>
      </c>
      <c r="D7" s="364" t="n">
        <v>63.36823433552712</v>
      </c>
      <c r="E7" s="364" t="n">
        <v>73.53846232096355</v>
      </c>
      <c r="F7" s="338" t="n">
        <v>0.03205955138771271</v>
      </c>
    </row>
    <row r="8">
      <c r="A8" s="195" t="inlineStr">
        <is>
          <t>2019</t>
        </is>
      </c>
      <c r="B8" s="384" t="n">
        <v>2.49</v>
      </c>
      <c r="C8" s="364" t="n">
        <v>28.59839320661552</v>
      </c>
      <c r="D8" s="364" t="n">
        <v>35.12516711131636</v>
      </c>
      <c r="E8" s="364" t="n">
        <v>40.87951843997082</v>
      </c>
      <c r="F8" s="338" t="n">
        <v>0.03380457688637052</v>
      </c>
    </row>
    <row r="9">
      <c r="A9" s="195" t="inlineStr">
        <is>
          <t>2020</t>
        </is>
      </c>
      <c r="B9" s="384" t="n">
        <v>1.6</v>
      </c>
      <c r="C9" s="364" t="n">
        <v>37.5</v>
      </c>
      <c r="D9" s="364" t="n">
        <v>66.850000222524</v>
      </c>
      <c r="E9" s="364" t="n">
        <v>92.46874809265137</v>
      </c>
      <c r="F9" s="338" t="n">
        <v>0.008242398363204262</v>
      </c>
    </row>
    <row r="10">
      <c r="A10" s="195" t="inlineStr">
        <is>
          <t>2021</t>
        </is>
      </c>
      <c r="B10" s="384" t="n">
        <v>3.56</v>
      </c>
      <c r="C10" s="364" t="n">
        <v>35.23595574196805</v>
      </c>
      <c r="D10" s="364" t="n">
        <v>42.26381073283792</v>
      </c>
      <c r="E10" s="364" t="n">
        <v>50.30899047851562</v>
      </c>
      <c r="F10" s="338" t="n">
        <v>0.02463179921465539</v>
      </c>
    </row>
    <row r="11">
      <c r="A11" s="195" t="inlineStr">
        <is>
          <t>2022</t>
        </is>
      </c>
      <c r="B11" s="384" t="n">
        <v>3.75</v>
      </c>
      <c r="C11" s="364" t="n">
        <v>21.92533365885417</v>
      </c>
      <c r="D11" s="364" t="n">
        <v>30.86222229003906</v>
      </c>
      <c r="E11" s="364" t="n">
        <v>44.7760009765625</v>
      </c>
      <c r="F11" s="338" t="n">
        <v>0.02374151278870764</v>
      </c>
    </row>
    <row r="12">
      <c r="A12" s="195" t="inlineStr">
        <is>
          <t>2023</t>
        </is>
      </c>
      <c r="B12" s="384" t="n">
        <v>3.23</v>
      </c>
      <c r="C12" s="364" t="n">
        <v>27.44891754244872</v>
      </c>
      <c r="D12" s="364" t="n">
        <v>34.5830753983851</v>
      </c>
      <c r="E12" s="364" t="n">
        <v>40.65325001814048</v>
      </c>
      <c r="F12" s="338" t="n">
        <v>0.02778661916247631</v>
      </c>
    </row>
    <row r="13">
      <c r="A13" s="195" t="inlineStr">
        <is>
          <t>2024</t>
        </is>
      </c>
      <c r="B13" s="384" t="n">
        <v>3.73</v>
      </c>
      <c r="C13" s="364" t="n">
        <v>18.96782841823056</v>
      </c>
      <c r="D13" s="364" t="n">
        <v>23.24106354496115</v>
      </c>
      <c r="E13" s="364" t="n">
        <v>28.91420870619869</v>
      </c>
      <c r="F13" s="338" t="n">
        <v>0.04994940058301006</v>
      </c>
    </row>
    <row r="14">
      <c r="A14" s="195" t="inlineStr">
        <is>
          <t>2025</t>
        </is>
      </c>
      <c r="B14" s="384" t="n">
        <v>2.16</v>
      </c>
      <c r="C14" s="364" t="n">
        <v>24.20370313856337</v>
      </c>
      <c r="D14" s="364" t="n">
        <v>31.73456810138843</v>
      </c>
      <c r="E14" s="364" t="n">
        <v>38.16666779694734</v>
      </c>
      <c r="F14" s="338" t="n">
        <v>0.03199104885961807</v>
      </c>
    </row>
    <row r="15">
      <c r="A15" s="195" t="inlineStr">
        <is>
          <t>2026</t>
        </is>
      </c>
      <c r="B15" s="384" t="n">
        <v>2.1</v>
      </c>
      <c r="C15" s="364" t="n">
        <v>16.83333260672433</v>
      </c>
      <c r="D15" s="364" t="n">
        <v>22.5010582252785</v>
      </c>
      <c r="E15" s="364" t="n">
        <v>32.61428469703311</v>
      </c>
      <c r="F15" s="338" t="n">
        <v>0.03122976242571832</v>
      </c>
    </row>
    <row r="16">
      <c r="A16" s="195" t="inlineStr">
        <is>
          <t>Today (TTM)</t>
        </is>
      </c>
      <c r="B16" s="325" t="inlineStr">
        <is>
          <t>N/A</t>
        </is>
      </c>
      <c r="C16" s="325" t="inlineStr">
        <is>
          <t>N/A</t>
        </is>
      </c>
      <c r="D16" s="364" t="n">
        <v>17.23</v>
      </c>
      <c r="E16" s="325" t="inlineStr">
        <is>
          <t>N/A</t>
        </is>
      </c>
      <c r="F16" s="325" t="inlineStr">
        <is>
          <t>N/A</t>
        </is>
      </c>
    </row>
  </sheetData>
  <hyperlinks>
    <hyperlink xmlns:r="http://schemas.openxmlformats.org/officeDocument/2006/relationships" ref="F2" location="'Summary'!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A6A6A6"/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4.5"/>
  <cols>
    <col width="30" customWidth="1" style="252" min="1" max="1"/>
    <col width="16" customWidth="1" style="252" min="2" max="2"/>
    <col width="12" customWidth="1" style="252" min="3" max="11"/>
  </cols>
  <sheetData>
    <row r="1" ht="18.5" customHeight="1" s="252">
      <c r="A1" s="135" t="inlineStr">
        <is>
          <t>Fundamentals &amp; Valuation   ·   source: SEC EDGAR   ·   FY ending 31 May 2026</t>
        </is>
      </c>
    </row>
    <row r="3">
      <c r="A3" s="138" t="inlineStr">
        <is>
          <t>Valuation</t>
        </is>
      </c>
      <c r="B3" s="138" t="n"/>
    </row>
    <row r="4">
      <c r="A4" s="12" t="inlineStr">
        <is>
          <t>P/E</t>
        </is>
      </c>
      <c r="B4" s="371" t="n">
        <v>17.23</v>
      </c>
    </row>
    <row r="5">
      <c r="A5" s="24" t="inlineStr">
        <is>
          <t>P/S</t>
        </is>
      </c>
      <c r="B5" s="372" t="n">
        <v>1.15</v>
      </c>
    </row>
    <row r="6">
      <c r="A6" s="12" t="inlineStr">
        <is>
          <t>P/B</t>
        </is>
      </c>
      <c r="B6" s="371" t="n">
        <v>3.6</v>
      </c>
    </row>
    <row r="7">
      <c r="A7" s="24" t="inlineStr">
        <is>
          <t>EV / EBITDA</t>
        </is>
      </c>
      <c r="B7" s="372" t="inlineStr">
        <is>
          <t>N/A</t>
        </is>
      </c>
    </row>
    <row r="8">
      <c r="A8" s="12" t="inlineStr">
        <is>
          <t>Earnings Yield</t>
        </is>
      </c>
      <c r="B8" s="75" t="n">
        <v>0.058</v>
      </c>
    </row>
    <row r="9">
      <c r="A9" s="24" t="inlineStr">
        <is>
          <t>FCF Yield</t>
        </is>
      </c>
      <c r="B9" s="76" t="n">
        <v>0.04099999999999999</v>
      </c>
    </row>
    <row r="10">
      <c r="A10" s="12" t="inlineStr">
        <is>
          <t>Implied growth — earnings basis, flat 9% discount</t>
        </is>
      </c>
      <c r="B10" s="75" t="n">
        <v>0.0368</v>
      </c>
    </row>
    <row r="11">
      <c r="A11" s="24" t="inlineStr">
        <is>
          <t xml:space="preserve">  (cross-check only; the headline reverse DCF is on the DCF tab)</t>
        </is>
      </c>
      <c r="B11" s="77" t="n"/>
    </row>
    <row r="13">
      <c r="A13" s="138" t="inlineStr">
        <is>
          <t>Profitability &amp; Returns</t>
        </is>
      </c>
      <c r="B13" s="138" t="n"/>
    </row>
    <row r="14">
      <c r="A14" s="12" t="inlineStr">
        <is>
          <t>Gross Margin</t>
        </is>
      </c>
      <c r="B14" s="75" t="n">
        <v>0.429</v>
      </c>
    </row>
    <row r="15">
      <c r="A15" s="24" t="inlineStr">
        <is>
          <t>Operating Margin</t>
        </is>
      </c>
      <c r="B15" s="76" t="inlineStr">
        <is>
          <t>N/A</t>
        </is>
      </c>
    </row>
    <row r="16">
      <c r="A16" s="12" t="inlineStr">
        <is>
          <t>Net Margin</t>
        </is>
      </c>
      <c r="B16" s="75" t="n">
        <v>0.067</v>
      </c>
    </row>
    <row r="17">
      <c r="A17" s="24" t="inlineStr">
        <is>
          <t>Return on Equity</t>
        </is>
      </c>
      <c r="B17" s="76" t="n">
        <v>0.209</v>
      </c>
    </row>
    <row r="18">
      <c r="A18" s="12" t="inlineStr">
        <is>
          <t>Return on Assets</t>
        </is>
      </c>
      <c r="B18" s="75" t="n">
        <v>0.081</v>
      </c>
    </row>
    <row r="19">
      <c r="A19" s="24" t="inlineStr">
        <is>
          <t>Free Cash Flow</t>
        </is>
      </c>
      <c r="B19" s="373" t="n">
        <v>2184000000</v>
      </c>
    </row>
    <row r="21">
      <c r="A21" s="138" t="inlineStr">
        <is>
          <t>Growth</t>
        </is>
      </c>
      <c r="B21" s="138" t="n"/>
    </row>
    <row r="22">
      <c r="A22" s="12" t="inlineStr">
        <is>
          <t>Revenue YoY</t>
        </is>
      </c>
      <c r="B22" s="75" t="n">
        <v>0.002</v>
      </c>
    </row>
    <row r="23">
      <c r="A23" s="24" t="inlineStr">
        <is>
          <t>EPS YoY</t>
        </is>
      </c>
      <c r="B23" s="76" t="n">
        <v>-0.028</v>
      </c>
    </row>
    <row r="24">
      <c r="A24" s="12" t="inlineStr">
        <is>
          <t>Revenue CAGR</t>
        </is>
      </c>
      <c r="B24" s="75" t="n">
        <v>0.034</v>
      </c>
    </row>
    <row r="25">
      <c r="A25" s="24" t="inlineStr">
        <is>
          <t>EPS CAGR</t>
        </is>
      </c>
      <c r="B25" s="76" t="n">
        <v>-0.02</v>
      </c>
    </row>
    <row r="27">
      <c r="A27" s="138" t="inlineStr">
        <is>
          <t>Balance Sheet &amp; Quality</t>
        </is>
      </c>
      <c r="B27" s="138" t="n"/>
    </row>
    <row r="28">
      <c r="A28" s="12" t="inlineStr">
        <is>
          <t>Current Ratio</t>
        </is>
      </c>
      <c r="B28" s="79" t="n">
        <v>1.96</v>
      </c>
    </row>
    <row r="29">
      <c r="A29" s="24" t="inlineStr">
        <is>
          <t>Debt / Equity</t>
        </is>
      </c>
      <c r="B29" s="80" t="n">
        <v>0.53</v>
      </c>
    </row>
    <row r="30">
      <c r="A30" s="12" t="inlineStr">
        <is>
          <t>Piotroski F-Score</t>
        </is>
      </c>
      <c r="B30" s="81" t="inlineStr">
        <is>
          <t>5 / 9</t>
        </is>
      </c>
    </row>
    <row r="31">
      <c r="A31" s="24" t="inlineStr">
        <is>
          <t>Altman Z-Score</t>
        </is>
      </c>
      <c r="B31" s="77" t="inlineStr">
        <is>
          <t>N/A</t>
        </is>
      </c>
    </row>
    <row r="33">
      <c r="A33" s="82" t="inlineStr">
        <is>
          <t>Fiscal Period</t>
        </is>
      </c>
      <c r="B33" s="82" t="inlineStr">
        <is>
          <t>2017-05</t>
        </is>
      </c>
      <c r="C33" s="82" t="inlineStr">
        <is>
          <t>2018-05</t>
        </is>
      </c>
      <c r="D33" s="82" t="inlineStr">
        <is>
          <t>2019-05</t>
        </is>
      </c>
      <c r="E33" s="82" t="inlineStr">
        <is>
          <t>2020-05</t>
        </is>
      </c>
      <c r="F33" s="82" t="inlineStr">
        <is>
          <t>2021-05</t>
        </is>
      </c>
      <c r="G33" s="82" t="inlineStr">
        <is>
          <t>2022-05</t>
        </is>
      </c>
      <c r="H33" s="82" t="inlineStr">
        <is>
          <t>2023-05</t>
        </is>
      </c>
      <c r="I33" s="82" t="inlineStr">
        <is>
          <t>2024-05</t>
        </is>
      </c>
      <c r="J33" s="82" t="inlineStr">
        <is>
          <t>2025-05</t>
        </is>
      </c>
      <c r="K33" s="82" t="inlineStr">
        <is>
          <t>2026-05</t>
        </is>
      </c>
    </row>
    <row r="34">
      <c r="A34" s="22" t="inlineStr">
        <is>
          <t>Revenue ($B)</t>
        </is>
      </c>
      <c r="B34" s="374" t="n">
        <v>34.35</v>
      </c>
      <c r="C34" s="374" t="n">
        <v>36.397</v>
      </c>
      <c r="D34" s="374" t="n">
        <v>39.117</v>
      </c>
      <c r="E34" s="374" t="n">
        <v>37.403</v>
      </c>
      <c r="F34" s="374" t="n">
        <v>44.538</v>
      </c>
      <c r="G34" s="374" t="n">
        <v>46.71</v>
      </c>
      <c r="H34" s="374" t="n">
        <v>51.217</v>
      </c>
      <c r="I34" s="374" t="n">
        <v>51.362</v>
      </c>
      <c r="J34" s="374" t="n">
        <v>46.309</v>
      </c>
      <c r="K34" s="374" t="n">
        <v>46.398</v>
      </c>
    </row>
    <row r="35">
      <c r="A35" s="22" t="inlineStr">
        <is>
          <t>Net Income ($B)</t>
        </is>
      </c>
      <c r="B35" s="374" t="n">
        <v>4.24</v>
      </c>
      <c r="C35" s="374" t="n">
        <v>1.933</v>
      </c>
      <c r="D35" s="374" t="n">
        <v>4.029</v>
      </c>
      <c r="E35" s="374" t="n">
        <v>2.539</v>
      </c>
      <c r="F35" s="374" t="n">
        <v>5.727</v>
      </c>
      <c r="G35" s="374" t="n">
        <v>6.046</v>
      </c>
      <c r="H35" s="374" t="n">
        <v>5.07</v>
      </c>
      <c r="I35" s="374" t="n">
        <v>5.7</v>
      </c>
      <c r="J35" s="374" t="n">
        <v>3.219</v>
      </c>
      <c r="K35" s="374" t="n">
        <v>3.108</v>
      </c>
    </row>
    <row r="36">
      <c r="A36" s="22" t="inlineStr">
        <is>
          <t>Free Cash Flow ($B)</t>
        </is>
      </c>
      <c r="B36" s="374" t="n">
        <v>2.535</v>
      </c>
      <c r="C36" s="374" t="n">
        <v>3.927</v>
      </c>
      <c r="D36" s="374" t="n">
        <v>4.784</v>
      </c>
      <c r="E36" s="374" t="n">
        <v>1.399</v>
      </c>
      <c r="F36" s="374" t="n">
        <v>5.962</v>
      </c>
      <c r="G36" s="374" t="n">
        <v>4.43</v>
      </c>
      <c r="H36" s="374" t="n">
        <v>4.872</v>
      </c>
      <c r="I36" s="374" t="n">
        <v>6.617</v>
      </c>
      <c r="J36" s="374" t="n">
        <v>3.268</v>
      </c>
      <c r="K36" s="374" t="n">
        <v>2.184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A6A6A6"/>
    <outlinePr summaryBelow="1" summaryRight="1"/>
    <pageSetUpPr/>
  </sheetPr>
  <dimension ref="A1:R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252" min="1" max="1"/>
    <col width="11" customWidth="1" style="252" min="2" max="4"/>
    <col width="9" customWidth="1" style="252" min="5" max="5"/>
    <col width="19" customWidth="1" style="252" min="6" max="6"/>
    <col width="26" customWidth="1" style="252" min="7" max="7"/>
    <col width="21" customWidth="1" style="252" min="8" max="10"/>
    <col width="22" customWidth="1" style="252" min="11" max="11"/>
    <col width="25" customWidth="1" style="252" min="12" max="12"/>
    <col width="26" customWidth="1" style="252" min="13" max="13"/>
    <col width="21" customWidth="1" style="252" min="14" max="14"/>
    <col width="24" customWidth="1" style="252" min="15" max="15"/>
    <col width="17" customWidth="1" style="252" min="16" max="17"/>
    <col width="14" customWidth="1" style="252" min="18" max="18"/>
  </cols>
  <sheetData>
    <row r="1" ht="26" customHeight="1" s="252">
      <c r="A1" s="90" t="inlineStr">
        <is>
          <t>Date</t>
        </is>
      </c>
      <c r="B1" s="90" t="inlineStr">
        <is>
          <t>Open</t>
        </is>
      </c>
      <c r="C1" s="90" t="inlineStr">
        <is>
          <t>High</t>
        </is>
      </c>
      <c r="D1" s="90" t="inlineStr">
        <is>
          <t>Low</t>
        </is>
      </c>
      <c r="E1" s="90" t="inlineStr">
        <is>
          <t>Close</t>
        </is>
      </c>
      <c r="F1" s="90" t="inlineStr">
        <is>
          <t>Volume</t>
        </is>
      </c>
      <c r="G1" s="90" t="inlineStr">
        <is>
          <t>Daily_Return</t>
        </is>
      </c>
      <c r="H1" s="90" t="inlineStr">
        <is>
          <t>Cumulative_Index</t>
        </is>
      </c>
      <c r="I1" s="90" t="inlineStr">
        <is>
          <t>MA50</t>
        </is>
      </c>
      <c r="J1" s="90" t="inlineStr">
        <is>
          <t>MA200</t>
        </is>
      </c>
      <c r="K1" s="90" t="inlineStr">
        <is>
          <t>Volatility_20d</t>
        </is>
      </c>
      <c r="L1" s="90" t="inlineStr">
        <is>
          <t>Drawdown_60d</t>
        </is>
      </c>
      <c r="M1" s="90" t="inlineStr">
        <is>
          <t>Pct_From_52W_High</t>
        </is>
      </c>
      <c r="N1" s="90" t="inlineStr">
        <is>
          <t>RSI14</t>
        </is>
      </c>
      <c r="O1" s="90" t="inlineStr">
        <is>
          <t>MACD_Hist</t>
        </is>
      </c>
      <c r="P1" s="90" t="inlineStr">
        <is>
          <t>Running_Peak</t>
        </is>
      </c>
      <c r="Q1" s="90" t="inlineStr">
        <is>
          <t>Drawdown_From_Peak</t>
        </is>
      </c>
      <c r="R1" s="90" t="inlineStr">
        <is>
          <t>SPY_Return</t>
        </is>
      </c>
    </row>
    <row r="2">
      <c r="A2" s="375" t="n">
        <v>44466</v>
      </c>
      <c r="B2" s="376" t="n">
        <v>136.4193717820916</v>
      </c>
      <c r="C2" s="376" t="n">
        <v>136.7843573996049</v>
      </c>
      <c r="D2" s="376" t="n">
        <v>134.3937468539203</v>
      </c>
      <c r="E2" s="376" t="n">
        <v>135.0780792236328</v>
      </c>
      <c r="F2" s="93" t="n">
        <v>11479300</v>
      </c>
      <c r="G2" s="94" t="n"/>
      <c r="H2" s="95" t="n">
        <v>100</v>
      </c>
      <c r="I2" s="376" t="n"/>
      <c r="J2" s="376" t="n"/>
      <c r="K2" s="94" t="n"/>
      <c r="L2" s="94" t="n"/>
      <c r="M2" s="94" t="n"/>
      <c r="P2" s="143">
        <f>MAX($E$2:E2)</f>
        <v/>
      </c>
      <c r="Q2" s="144">
        <f>E2/P2-1</f>
        <v/>
      </c>
      <c r="R2" s="94" t="n"/>
    </row>
    <row r="3">
      <c r="A3" s="375" t="n">
        <v>44467</v>
      </c>
      <c r="B3" s="376" t="n">
        <v>134.4393500303429</v>
      </c>
      <c r="C3" s="376" t="n">
        <v>134.612716430246</v>
      </c>
      <c r="D3" s="376" t="n">
        <v>132.3042367239874</v>
      </c>
      <c r="E3" s="376" t="n">
        <v>132.5779724121094</v>
      </c>
      <c r="F3" s="93" t="n">
        <v>10692300</v>
      </c>
      <c r="G3" s="94" t="n">
        <v>-0.01850860499270435</v>
      </c>
      <c r="H3" s="95" t="n">
        <v>98.14913950072956</v>
      </c>
      <c r="I3" s="376" t="n"/>
      <c r="J3" s="376" t="n"/>
      <c r="K3" s="94" t="n"/>
      <c r="L3" s="94" t="n"/>
      <c r="M3" s="94" t="n"/>
      <c r="P3" s="143">
        <f>MAX($E$2:E3)</f>
        <v/>
      </c>
      <c r="Q3" s="144">
        <f>E3/P3-1</f>
        <v/>
      </c>
      <c r="R3" s="94" t="n">
        <v>-0.02015173639268153</v>
      </c>
    </row>
    <row r="4">
      <c r="A4" s="375" t="n">
        <v>44468</v>
      </c>
      <c r="B4" s="376" t="n">
        <v>132.9521301333063</v>
      </c>
      <c r="C4" s="376" t="n">
        <v>134.9868749586682</v>
      </c>
      <c r="D4" s="376" t="n">
        <v>132.9338773674501</v>
      </c>
      <c r="E4" s="376" t="n">
        <v>133.2349853515625</v>
      </c>
      <c r="F4" s="93" t="n">
        <v>7794900</v>
      </c>
      <c r="G4" s="94" t="n">
        <v>0.004955671952885599</v>
      </c>
      <c r="H4" s="95" t="n">
        <v>98.63553443855318</v>
      </c>
      <c r="I4" s="376" t="n"/>
      <c r="J4" s="376" t="n"/>
      <c r="K4" s="94" t="n"/>
      <c r="L4" s="94" t="n"/>
      <c r="M4" s="94" t="n"/>
      <c r="P4" s="143">
        <f>MAX($E$2:E4)</f>
        <v/>
      </c>
      <c r="Q4" s="144">
        <f>E4/P4-1</f>
        <v/>
      </c>
      <c r="R4" s="94" t="n">
        <v>0.00168303561487515</v>
      </c>
    </row>
    <row r="5">
      <c r="A5" s="375" t="n">
        <v>44469</v>
      </c>
      <c r="B5" s="376" t="n">
        <v>133.1072107792759</v>
      </c>
      <c r="C5" s="376" t="n">
        <v>134.567111461244</v>
      </c>
      <c r="D5" s="376" t="n">
        <v>131.7750376582372</v>
      </c>
      <c r="E5" s="376" t="n">
        <v>132.5141143798828</v>
      </c>
      <c r="F5" s="93" t="n">
        <v>10133600</v>
      </c>
      <c r="G5" s="94" t="n">
        <v>-0.005410523142833301</v>
      </c>
      <c r="H5" s="95" t="n">
        <v>98.10186459676767</v>
      </c>
      <c r="I5" s="376" t="n"/>
      <c r="J5" s="376" t="n"/>
      <c r="K5" s="94" t="n"/>
      <c r="L5" s="94" t="n"/>
      <c r="M5" s="94" t="n"/>
      <c r="P5" s="143">
        <f>MAX($E$2:E5)</f>
        <v/>
      </c>
      <c r="Q5" s="144">
        <f>E5/P5-1</f>
        <v/>
      </c>
      <c r="R5" s="94" t="n">
        <v>-0.0122223624147767</v>
      </c>
    </row>
    <row r="6">
      <c r="A6" s="375" t="n">
        <v>44470</v>
      </c>
      <c r="B6" s="376" t="n">
        <v>132.5049916593078</v>
      </c>
      <c r="C6" s="376" t="n">
        <v>135.0415824317028</v>
      </c>
      <c r="D6" s="376" t="n">
        <v>131.7294094343392</v>
      </c>
      <c r="E6" s="376" t="n">
        <v>134.1838836669922</v>
      </c>
      <c r="F6" s="93" t="n">
        <v>8112300</v>
      </c>
      <c r="G6" s="94" t="n">
        <v>0.01260069008439801</v>
      </c>
      <c r="H6" s="95" t="n">
        <v>99.33801578925311</v>
      </c>
      <c r="I6" s="376" t="n"/>
      <c r="J6" s="376" t="n"/>
      <c r="K6" s="94" t="n"/>
      <c r="L6" s="94" t="n"/>
      <c r="M6" s="94" t="n"/>
      <c r="P6" s="143">
        <f>MAX($E$2:E6)</f>
        <v/>
      </c>
      <c r="Q6" s="144">
        <f>E6/P6-1</f>
        <v/>
      </c>
      <c r="R6" s="94" t="n">
        <v>0.01188432818373153</v>
      </c>
    </row>
    <row r="7">
      <c r="A7" s="375" t="n">
        <v>44473</v>
      </c>
      <c r="B7" s="376" t="n">
        <v>134.1839303441453</v>
      </c>
      <c r="C7" s="376" t="n">
        <v>134.6948964439869</v>
      </c>
      <c r="D7" s="376" t="n">
        <v>132.9977510850661</v>
      </c>
      <c r="E7" s="376" t="n">
        <v>134.2569274902344</v>
      </c>
      <c r="F7" s="93" t="n">
        <v>7951000</v>
      </c>
      <c r="G7" s="94" t="n">
        <v>0.000544356156984227</v>
      </c>
      <c r="H7" s="95" t="n">
        <v>99.39209104977058</v>
      </c>
      <c r="I7" s="376" t="n"/>
      <c r="J7" s="376" t="n"/>
      <c r="K7" s="94" t="n"/>
      <c r="L7" s="94" t="n"/>
      <c r="M7" s="94" t="n"/>
      <c r="P7" s="143">
        <f>MAX($E$2:E7)</f>
        <v/>
      </c>
      <c r="Q7" s="144">
        <f>E7/P7-1</f>
        <v/>
      </c>
      <c r="R7" s="94" t="n">
        <v>-0.01289618693497463</v>
      </c>
    </row>
    <row r="8">
      <c r="A8" s="375" t="n">
        <v>44474</v>
      </c>
      <c r="B8" s="376" t="n">
        <v>135.041605976757</v>
      </c>
      <c r="C8" s="376" t="n">
        <v>137.7789358276372</v>
      </c>
      <c r="D8" s="376" t="n">
        <v>134.8773728686383</v>
      </c>
      <c r="E8" s="376" t="n">
        <v>136.373779296875</v>
      </c>
      <c r="F8" s="93" t="n">
        <v>10881900</v>
      </c>
      <c r="G8" s="94" t="n">
        <v>0.01576717005381045</v>
      </c>
      <c r="H8" s="95" t="n">
        <v>100.9592230513561</v>
      </c>
      <c r="I8" s="376" t="n"/>
      <c r="J8" s="376" t="n"/>
      <c r="K8" s="94" t="n"/>
      <c r="L8" s="94" t="n"/>
      <c r="M8" s="94" t="n"/>
      <c r="P8" s="143">
        <f>MAX($E$2:E8)</f>
        <v/>
      </c>
      <c r="Q8" s="144">
        <f>E8/P8-1</f>
        <v/>
      </c>
      <c r="R8" s="94" t="n">
        <v>0.01040499872306788</v>
      </c>
    </row>
    <row r="9">
      <c r="A9" s="375" t="n">
        <v>44475</v>
      </c>
      <c r="B9" s="376" t="n">
        <v>135.0415880953555</v>
      </c>
      <c r="C9" s="376" t="n">
        <v>136.3737612390752</v>
      </c>
      <c r="D9" s="376" t="n">
        <v>134.5944859333804</v>
      </c>
      <c r="E9" s="376" t="n">
        <v>135.7715454101562</v>
      </c>
      <c r="F9" s="93" t="n">
        <v>7610700</v>
      </c>
      <c r="G9" s="94" t="n">
        <v>-0.004416053363218264</v>
      </c>
      <c r="H9" s="95" t="n">
        <v>100.5133817348523</v>
      </c>
      <c r="I9" s="376" t="n"/>
      <c r="J9" s="376" t="n"/>
      <c r="K9" s="94" t="n"/>
      <c r="L9" s="94" t="n"/>
      <c r="M9" s="94" t="n"/>
      <c r="P9" s="143">
        <f>MAX($E$2:E9)</f>
        <v/>
      </c>
      <c r="Q9" s="144">
        <f>E9/P9-1</f>
        <v/>
      </c>
      <c r="R9" s="94" t="n">
        <v>0.004155904425649393</v>
      </c>
    </row>
    <row r="10">
      <c r="A10" s="375" t="n">
        <v>44476</v>
      </c>
      <c r="B10" s="376" t="n">
        <v>137.1402146611485</v>
      </c>
      <c r="C10" s="376" t="n">
        <v>140.2060243458397</v>
      </c>
      <c r="D10" s="376" t="n">
        <v>137.103709136681</v>
      </c>
      <c r="E10" s="376" t="n">
        <v>138.5545043945312</v>
      </c>
      <c r="F10" s="93" t="n">
        <v>7958000</v>
      </c>
      <c r="G10" s="94" t="n">
        <v>0.0204973654528855</v>
      </c>
      <c r="H10" s="95" t="n">
        <v>102.5736412531769</v>
      </c>
      <c r="I10" s="376" t="n"/>
      <c r="J10" s="376" t="n"/>
      <c r="K10" s="94" t="n"/>
      <c r="L10" s="94" t="n"/>
      <c r="M10" s="94" t="n"/>
      <c r="P10" s="143">
        <f>MAX($E$2:E10)</f>
        <v/>
      </c>
      <c r="Q10" s="144">
        <f>E10/P10-1</f>
        <v/>
      </c>
      <c r="R10" s="94" t="n">
        <v>0.00864578373056446</v>
      </c>
    </row>
    <row r="11">
      <c r="A11" s="375" t="n">
        <v>44477</v>
      </c>
      <c r="B11" s="376" t="n">
        <v>138.8921185120346</v>
      </c>
      <c r="C11" s="376" t="n">
        <v>139.4852010805449</v>
      </c>
      <c r="D11" s="376" t="n">
        <v>137.4778286300721</v>
      </c>
      <c r="E11" s="376" t="n">
        <v>139.1293487548828</v>
      </c>
      <c r="F11" s="93" t="n">
        <v>6333700</v>
      </c>
      <c r="G11" s="94" t="n">
        <v>0.004148868078043266</v>
      </c>
      <c r="H11" s="95" t="n">
        <v>102.9992057590209</v>
      </c>
      <c r="I11" s="376" t="n"/>
      <c r="J11" s="376" t="n"/>
      <c r="K11" s="94" t="n"/>
      <c r="L11" s="94" t="n"/>
      <c r="M11" s="94" t="n"/>
      <c r="P11" s="143">
        <f>MAX($E$2:E11)</f>
        <v/>
      </c>
      <c r="Q11" s="144">
        <f>E11/P11-1</f>
        <v/>
      </c>
      <c r="R11" s="94" t="n">
        <v>-0.001823781187316631</v>
      </c>
    </row>
    <row r="12">
      <c r="A12" s="375" t="n">
        <v>44480</v>
      </c>
      <c r="B12" s="376" t="n">
        <v>138.6822320724865</v>
      </c>
      <c r="C12" s="376" t="n">
        <v>140.1421326818868</v>
      </c>
      <c r="D12" s="376" t="n">
        <v>136.9212096459437</v>
      </c>
      <c r="E12" s="376" t="n">
        <v>137.1219482421875</v>
      </c>
      <c r="F12" s="93" t="n">
        <v>5551200</v>
      </c>
      <c r="G12" s="94" t="n">
        <v>-0.01442830380980176</v>
      </c>
      <c r="H12" s="95" t="n">
        <v>101.5131019261615</v>
      </c>
      <c r="I12" s="376" t="n"/>
      <c r="J12" s="376" t="n"/>
      <c r="K12" s="94" t="n"/>
      <c r="L12" s="94" t="n"/>
      <c r="M12" s="94" t="n"/>
      <c r="P12" s="143">
        <f>MAX($E$2:E12)</f>
        <v/>
      </c>
      <c r="Q12" s="144">
        <f>E12/P12-1</f>
        <v/>
      </c>
      <c r="R12" s="94" t="n">
        <v>-0.007239598889022036</v>
      </c>
    </row>
    <row r="13">
      <c r="A13" s="375" t="n">
        <v>44481</v>
      </c>
      <c r="B13" s="376" t="n">
        <v>139.074577404617</v>
      </c>
      <c r="C13" s="376" t="n">
        <v>140.1512675161899</v>
      </c>
      <c r="D13" s="376" t="n">
        <v>138.0526455748749</v>
      </c>
      <c r="E13" s="376" t="n">
        <v>139.9231567382812</v>
      </c>
      <c r="F13" s="93" t="n">
        <v>7408600</v>
      </c>
      <c r="G13" s="94" t="n">
        <v>0.02042859317566137</v>
      </c>
      <c r="H13" s="95" t="n">
        <v>103.5868717874105</v>
      </c>
      <c r="I13" s="376" t="n"/>
      <c r="J13" s="376" t="n"/>
      <c r="K13" s="94" t="n"/>
      <c r="L13" s="94" t="n"/>
      <c r="M13" s="94" t="n"/>
      <c r="P13" s="143">
        <f>MAX($E$2:E13)</f>
        <v/>
      </c>
      <c r="Q13" s="144">
        <f>E13/P13-1</f>
        <v/>
      </c>
      <c r="R13" s="94" t="n">
        <v>-0.002461422797254809</v>
      </c>
    </row>
    <row r="14">
      <c r="A14" s="375" t="n">
        <v>44482</v>
      </c>
      <c r="B14" s="376" t="n">
        <v>140.8082195468432</v>
      </c>
      <c r="C14" s="376" t="n">
        <v>142.9524523818127</v>
      </c>
      <c r="D14" s="376" t="n">
        <v>139.7497822569442</v>
      </c>
      <c r="E14" s="376" t="n">
        <v>142.6148529052734</v>
      </c>
      <c r="F14" s="93" t="n">
        <v>8456300</v>
      </c>
      <c r="G14" s="94" t="n">
        <v>0.01923695998387798</v>
      </c>
      <c r="H14" s="95" t="n">
        <v>105.57956829484</v>
      </c>
      <c r="I14" s="376" t="n"/>
      <c r="J14" s="376" t="n"/>
      <c r="K14" s="94" t="n"/>
      <c r="L14" s="94" t="n"/>
      <c r="M14" s="94" t="n"/>
      <c r="P14" s="143">
        <f>MAX($E$2:E14)</f>
        <v/>
      </c>
      <c r="Q14" s="144">
        <f>E14/P14-1</f>
        <v/>
      </c>
      <c r="R14" s="94" t="n">
        <v>0.003597403801353094</v>
      </c>
    </row>
    <row r="15">
      <c r="A15" s="375" t="n">
        <v>44483</v>
      </c>
      <c r="B15" s="376" t="n">
        <v>144.3302365361845</v>
      </c>
      <c r="C15" s="376" t="n">
        <v>144.5857334019179</v>
      </c>
      <c r="D15" s="376" t="n">
        <v>142.5692281134596</v>
      </c>
      <c r="E15" s="376" t="n">
        <v>143.3813018798828</v>
      </c>
      <c r="F15" s="93" t="n">
        <v>6024500</v>
      </c>
      <c r="G15" s="94" t="n">
        <v>0.00537425772278044</v>
      </c>
      <c r="H15" s="95" t="n">
        <v>106.1469801051163</v>
      </c>
      <c r="I15" s="376" t="n"/>
      <c r="J15" s="376" t="n"/>
      <c r="K15" s="94" t="n"/>
      <c r="L15" s="94" t="n"/>
      <c r="M15" s="94" t="n"/>
      <c r="N15" t="n">
        <v>75.69580326061555</v>
      </c>
      <c r="P15" s="143">
        <f>MAX($E$2:E15)</f>
        <v/>
      </c>
      <c r="Q15" s="144">
        <f>E15/P15-1</f>
        <v/>
      </c>
      <c r="R15" s="94" t="n">
        <v>0.0168206797850734</v>
      </c>
    </row>
    <row r="16">
      <c r="A16" s="375" t="n">
        <v>44484</v>
      </c>
      <c r="B16" s="376" t="n">
        <v>143.9835503502908</v>
      </c>
      <c r="C16" s="376" t="n">
        <v>144.4671441680897</v>
      </c>
      <c r="D16" s="376" t="n">
        <v>142.8521156867498</v>
      </c>
      <c r="E16" s="376" t="n">
        <v>144.1751556396484</v>
      </c>
      <c r="F16" s="93" t="n">
        <v>5532100</v>
      </c>
      <c r="G16" s="94" t="n">
        <v>0.005536661680130894</v>
      </c>
      <c r="H16" s="95" t="n">
        <v>106.734680022326</v>
      </c>
      <c r="I16" s="376" t="n"/>
      <c r="J16" s="376" t="n"/>
      <c r="K16" s="94" t="n"/>
      <c r="L16" s="94" t="n"/>
      <c r="M16" s="94" t="n"/>
      <c r="N16" t="n">
        <v>77.10954398207676</v>
      </c>
      <c r="P16" s="143">
        <f>MAX($E$2:E16)</f>
        <v/>
      </c>
      <c r="Q16" s="144">
        <f>E16/P16-1</f>
        <v/>
      </c>
      <c r="R16" s="94" t="n">
        <v>0.007615691678410474</v>
      </c>
    </row>
    <row r="17">
      <c r="A17" s="375" t="n">
        <v>44487</v>
      </c>
      <c r="B17" s="376" t="n">
        <v>143.5364348444672</v>
      </c>
      <c r="C17" s="376" t="n">
        <v>145.5073154605875</v>
      </c>
      <c r="D17" s="376" t="n">
        <v>142.2955115590705</v>
      </c>
      <c r="E17" s="376" t="n">
        <v>145.4708099365234</v>
      </c>
      <c r="F17" s="93" t="n">
        <v>5765300</v>
      </c>
      <c r="G17" s="94" t="n">
        <v>0.00898666827253769</v>
      </c>
      <c r="H17" s="95" t="n">
        <v>107.6938691848621</v>
      </c>
      <c r="I17" s="376" t="n"/>
      <c r="J17" s="376" t="n"/>
      <c r="K17" s="94" t="n"/>
      <c r="L17" s="94" t="n"/>
      <c r="M17" s="94" t="n"/>
      <c r="N17" t="n">
        <v>79.23278844260281</v>
      </c>
      <c r="P17" s="143">
        <f>MAX($E$2:E17)</f>
        <v/>
      </c>
      <c r="Q17" s="144">
        <f>E17/P17-1</f>
        <v/>
      </c>
      <c r="R17" s="94" t="n">
        <v>0.002960625445206144</v>
      </c>
    </row>
    <row r="18">
      <c r="A18" s="375" t="n">
        <v>44488</v>
      </c>
      <c r="B18" s="376" t="n">
        <v>145.6988853020178</v>
      </c>
      <c r="C18" s="376" t="n">
        <v>145.9269960422247</v>
      </c>
      <c r="D18" s="376" t="n">
        <v>143.0710590423211</v>
      </c>
      <c r="E18" s="376" t="n">
        <v>144.0017547607422</v>
      </c>
      <c r="F18" s="93" t="n">
        <v>6198200</v>
      </c>
      <c r="G18" s="94" t="n">
        <v>-0.01009862512226523</v>
      </c>
      <c r="H18" s="95" t="n">
        <v>106.6063091719979</v>
      </c>
      <c r="I18" s="376" t="n"/>
      <c r="J18" s="376" t="n"/>
      <c r="K18" s="94" t="n"/>
      <c r="L18" s="94" t="n"/>
      <c r="M18" s="94" t="n"/>
      <c r="N18" t="n">
        <v>71.17181904769896</v>
      </c>
      <c r="P18" s="143">
        <f>MAX($E$2:E18)</f>
        <v/>
      </c>
      <c r="Q18" s="144">
        <f>E18/P18-1</f>
        <v/>
      </c>
      <c r="R18" s="94" t="n">
        <v>0.00771509196142417</v>
      </c>
    </row>
    <row r="19">
      <c r="A19" s="375" t="n">
        <v>44489</v>
      </c>
      <c r="B19" s="376" t="n">
        <v>144.6222545855575</v>
      </c>
      <c r="C19" s="376" t="n">
        <v>144.8959903440923</v>
      </c>
      <c r="D19" s="376" t="n">
        <v>143.5455782375075</v>
      </c>
      <c r="E19" s="376" t="n">
        <v>144.5766296386719</v>
      </c>
      <c r="F19" s="93" t="n">
        <v>4487000</v>
      </c>
      <c r="G19" s="94" t="n">
        <v>0.00399213800474052</v>
      </c>
      <c r="H19" s="95" t="n">
        <v>107.0318962703885</v>
      </c>
      <c r="I19" s="376" t="n"/>
      <c r="J19" s="376" t="n"/>
      <c r="K19" s="94" t="n"/>
      <c r="L19" s="94" t="n"/>
      <c r="M19" s="94" t="n"/>
      <c r="N19" t="n">
        <v>72.3570071928155</v>
      </c>
      <c r="P19" s="143">
        <f>MAX($E$2:E19)</f>
        <v/>
      </c>
      <c r="Q19" s="144">
        <f>E19/P19-1</f>
        <v/>
      </c>
      <c r="R19" s="94" t="n">
        <v>0.003927388280277277</v>
      </c>
    </row>
    <row r="20">
      <c r="A20" s="375" t="n">
        <v>44490</v>
      </c>
      <c r="B20" s="376" t="n">
        <v>144.5766618517447</v>
      </c>
      <c r="C20" s="376" t="n">
        <v>148.1260663149357</v>
      </c>
      <c r="D20" s="376" t="n">
        <v>144.4215481359959</v>
      </c>
      <c r="E20" s="376" t="n">
        <v>147.9800720214844</v>
      </c>
      <c r="F20" s="93" t="n">
        <v>6121700</v>
      </c>
      <c r="G20" s="94" t="n">
        <v>0.02354075061314154</v>
      </c>
      <c r="H20" s="95" t="n">
        <v>109.5515074481414</v>
      </c>
      <c r="I20" s="376" t="n"/>
      <c r="J20" s="376" t="n"/>
      <c r="K20" s="94" t="n"/>
      <c r="L20" s="94" t="n"/>
      <c r="M20" s="94" t="n"/>
      <c r="N20" t="n">
        <v>78.09796425360992</v>
      </c>
      <c r="P20" s="143">
        <f>MAX($E$2:E20)</f>
        <v/>
      </c>
      <c r="Q20" s="144">
        <f>E20/P20-1</f>
        <v/>
      </c>
      <c r="R20" s="94" t="n">
        <v>0.002608352729257524</v>
      </c>
    </row>
    <row r="21">
      <c r="A21" s="375" t="n">
        <v>44491</v>
      </c>
      <c r="B21" s="376" t="n">
        <v>148.0712697609588</v>
      </c>
      <c r="C21" s="376" t="n">
        <v>150.2063833399198</v>
      </c>
      <c r="D21" s="376" t="n">
        <v>148.0712697609588</v>
      </c>
      <c r="E21" s="376" t="n">
        <v>149.1661987304688</v>
      </c>
      <c r="F21" s="93" t="n">
        <v>5323000</v>
      </c>
      <c r="G21" s="94" t="n">
        <v>0.008015448923502033</v>
      </c>
      <c r="H21" s="95" t="n">
        <v>110.4296119605846</v>
      </c>
      <c r="I21" s="376" t="n"/>
      <c r="J21" s="376" t="n"/>
      <c r="K21" s="94" t="n"/>
      <c r="L21" s="94" t="n"/>
      <c r="M21" s="94" t="n"/>
      <c r="N21" t="n">
        <v>79.68170423872031</v>
      </c>
      <c r="P21" s="143">
        <f>MAX($E$2:E21)</f>
        <v/>
      </c>
      <c r="Q21" s="144">
        <f>E21/P21-1</f>
        <v/>
      </c>
      <c r="R21" s="94" t="n">
        <v>-0.001036210019233708</v>
      </c>
    </row>
    <row r="22">
      <c r="A22" s="375" t="n">
        <v>44494</v>
      </c>
      <c r="B22" s="376" t="n">
        <v>148.9381068401781</v>
      </c>
      <c r="C22" s="376" t="n">
        <v>150.3067717063659</v>
      </c>
      <c r="D22" s="376" t="n">
        <v>148.4180214308718</v>
      </c>
      <c r="E22" s="376" t="n">
        <v>149.8414306640625</v>
      </c>
      <c r="F22" s="93" t="n">
        <v>3878200</v>
      </c>
      <c r="G22" s="94" t="n">
        <v>0.004526708727181861</v>
      </c>
      <c r="H22" s="95" t="n">
        <v>110.9294946487859</v>
      </c>
      <c r="I22" s="376" t="n"/>
      <c r="J22" s="376" t="n"/>
      <c r="K22" s="94" t="n">
        <v>0.1856749593891873</v>
      </c>
      <c r="L22" s="94" t="n"/>
      <c r="M22" s="94" t="n">
        <v>-0.003095941966024585</v>
      </c>
      <c r="N22" t="n">
        <v>80.54419637358899</v>
      </c>
      <c r="P22" s="143">
        <f>MAX($E$2:E22)</f>
        <v/>
      </c>
      <c r="Q22" s="144">
        <f>E22/P22-1</f>
        <v/>
      </c>
      <c r="R22" s="94" t="n">
        <v>0.00536291756656504</v>
      </c>
    </row>
    <row r="23">
      <c r="A23" s="375" t="n">
        <v>44495</v>
      </c>
      <c r="B23" s="376" t="n">
        <v>150.3889108253338</v>
      </c>
      <c r="C23" s="376" t="n">
        <v>150.9637406346892</v>
      </c>
      <c r="D23" s="376" t="n">
        <v>148.8377460829231</v>
      </c>
      <c r="E23" s="376" t="n">
        <v>149.4490814208984</v>
      </c>
      <c r="F23" s="93" t="n">
        <v>4711200</v>
      </c>
      <c r="G23" s="94" t="n">
        <v>-0.002618429638753805</v>
      </c>
      <c r="H23" s="95" t="n">
        <v>110.6390335721855</v>
      </c>
      <c r="I23" s="376" t="n"/>
      <c r="J23" s="376" t="n"/>
      <c r="K23" s="94" t="n">
        <v>0.1662411129380997</v>
      </c>
      <c r="L23" s="94" t="n"/>
      <c r="M23" s="94" t="n">
        <v>-0.0100332649908037</v>
      </c>
      <c r="N23" t="n">
        <v>78.46008385146622</v>
      </c>
      <c r="P23" s="143">
        <f>MAX($E$2:E23)</f>
        <v/>
      </c>
      <c r="Q23" s="144">
        <f>E23/P23-1</f>
        <v/>
      </c>
      <c r="R23" s="94" t="n">
        <v>0.0008998908656707716</v>
      </c>
    </row>
    <row r="24">
      <c r="A24" s="375" t="n">
        <v>44496</v>
      </c>
      <c r="B24" s="376" t="n">
        <v>149.3212966394901</v>
      </c>
      <c r="C24" s="376" t="n">
        <v>149.6954016241309</v>
      </c>
      <c r="D24" s="376" t="n">
        <v>147.5055439161215</v>
      </c>
      <c r="E24" s="376" t="n">
        <v>148.1351318359375</v>
      </c>
      <c r="F24" s="93" t="n">
        <v>4163900</v>
      </c>
      <c r="G24" s="94" t="n">
        <v>-0.008791954908444199</v>
      </c>
      <c r="H24" s="95" t="n">
        <v>109.666300177905</v>
      </c>
      <c r="I24" s="376" t="n"/>
      <c r="J24" s="376" t="n"/>
      <c r="K24" s="94" t="n">
        <v>0.1744128282486347</v>
      </c>
      <c r="L24" s="94" t="n"/>
      <c r="M24" s="94" t="n">
        <v>-0.01873700788586419</v>
      </c>
      <c r="N24" t="n">
        <v>71.76310824012759</v>
      </c>
      <c r="P24" s="143">
        <f>MAX($E$2:E24)</f>
        <v/>
      </c>
      <c r="Q24" s="144">
        <f>E24/P24-1</f>
        <v/>
      </c>
      <c r="R24" s="94" t="n">
        <v>-0.004430217649496471</v>
      </c>
    </row>
    <row r="25">
      <c r="A25" s="375" t="n">
        <v>44497</v>
      </c>
      <c r="B25" s="376" t="n">
        <v>148.7373406897275</v>
      </c>
      <c r="C25" s="376" t="n">
        <v>150.188135760738</v>
      </c>
      <c r="D25" s="376" t="n">
        <v>148.5548548592261</v>
      </c>
      <c r="E25" s="376" t="n">
        <v>150.0603942871094</v>
      </c>
      <c r="F25" s="93" t="n">
        <v>3762000</v>
      </c>
      <c r="G25" s="94" t="n">
        <v>0.01299666343365558</v>
      </c>
      <c r="H25" s="95" t="n">
        <v>111.0915961713315</v>
      </c>
      <c r="I25" s="376" t="n"/>
      <c r="J25" s="376" t="n"/>
      <c r="K25" s="94" t="n">
        <v>0.1715353195402763</v>
      </c>
      <c r="L25" s="94" t="n"/>
      <c r="M25" s="94" t="n">
        <v>-0.005983863037455017</v>
      </c>
      <c r="N25" t="n">
        <v>75.11481996448309</v>
      </c>
      <c r="P25" s="143">
        <f>MAX($E$2:E25)</f>
        <v/>
      </c>
      <c r="Q25" s="144">
        <f>E25/P25-1</f>
        <v/>
      </c>
      <c r="R25" s="94" t="n">
        <v>0.009648910449911119</v>
      </c>
    </row>
    <row r="26">
      <c r="A26" s="375" t="n">
        <v>44498</v>
      </c>
      <c r="B26" s="376" t="n">
        <v>148.7829631383054</v>
      </c>
      <c r="C26" s="376" t="n">
        <v>152.9528346055039</v>
      </c>
      <c r="D26" s="376" t="n">
        <v>148.7282187823488</v>
      </c>
      <c r="E26" s="376" t="n">
        <v>152.6425933837891</v>
      </c>
      <c r="F26" s="93" t="n">
        <v>6740600</v>
      </c>
      <c r="G26" s="94" t="n">
        <v>0.01720773231968975</v>
      </c>
      <c r="H26" s="95" t="n">
        <v>113.0032306212148</v>
      </c>
      <c r="I26" s="376" t="n"/>
      <c r="J26" s="376" t="n"/>
      <c r="K26" s="94" t="n">
        <v>0.174535872283232</v>
      </c>
      <c r="L26" s="94" t="n"/>
      <c r="M26" s="94" t="n">
        <v>-0.002028345682608346</v>
      </c>
      <c r="N26" t="n">
        <v>78.75691893655279</v>
      </c>
      <c r="P26" s="143">
        <f>MAX($E$2:E26)</f>
        <v/>
      </c>
      <c r="Q26" s="144">
        <f>E26/P26-1</f>
        <v/>
      </c>
      <c r="R26" s="94" t="n">
        <v>0.002029105006077225</v>
      </c>
    </row>
    <row r="27">
      <c r="A27" s="375" t="n">
        <v>44501</v>
      </c>
      <c r="B27" s="376" t="n">
        <v>153.1079550693968</v>
      </c>
      <c r="C27" s="376" t="n">
        <v>154.0203981700217</v>
      </c>
      <c r="D27" s="376" t="n">
        <v>151.365185405737</v>
      </c>
      <c r="E27" s="376" t="n">
        <v>151.7666625976562</v>
      </c>
      <c r="F27" s="93" t="n">
        <v>3610800</v>
      </c>
      <c r="G27" s="94" t="n">
        <v>-0.005738442768267626</v>
      </c>
      <c r="H27" s="95" t="n">
        <v>112.3547680496657</v>
      </c>
      <c r="I27" s="376" t="n"/>
      <c r="J27" s="376" t="n"/>
      <c r="K27" s="94" t="n">
        <v>0.1787636062283448</v>
      </c>
      <c r="L27" s="94" t="n"/>
      <c r="M27" s="94" t="n">
        <v>-0.01463270838890784</v>
      </c>
      <c r="N27" t="n">
        <v>74.75982826120895</v>
      </c>
      <c r="P27" s="143">
        <f>MAX($E$2:E27)</f>
        <v/>
      </c>
      <c r="Q27" s="144">
        <f>E27/P27-1</f>
        <v/>
      </c>
      <c r="R27" s="94" t="n">
        <v>0.001720273314079979</v>
      </c>
    </row>
    <row r="28">
      <c r="A28" s="375" t="n">
        <v>44502</v>
      </c>
      <c r="B28" s="376" t="n">
        <v>152.1590093807758</v>
      </c>
      <c r="C28" s="376" t="n">
        <v>153.4364380999384</v>
      </c>
      <c r="D28" s="376" t="n">
        <v>151.5659269230491</v>
      </c>
      <c r="E28" s="376" t="n">
        <v>153.1353302001953</v>
      </c>
      <c r="F28" s="93" t="n">
        <v>5038000</v>
      </c>
      <c r="G28" s="94" t="n">
        <v>0.00901823614694286</v>
      </c>
      <c r="H28" s="95" t="n">
        <v>113.3680098801726</v>
      </c>
      <c r="I28" s="376" t="n"/>
      <c r="J28" s="376" t="n"/>
      <c r="K28" s="94" t="n">
        <v>0.1755535423917401</v>
      </c>
      <c r="L28" s="94" t="n"/>
      <c r="M28" s="94" t="n">
        <v>-0.005746433461685463</v>
      </c>
      <c r="N28" t="n">
        <v>76.745785263269</v>
      </c>
      <c r="P28" s="143">
        <f>MAX($E$2:E28)</f>
        <v/>
      </c>
      <c r="Q28" s="144">
        <f>E28/P28-1</f>
        <v/>
      </c>
      <c r="R28" s="94" t="n">
        <v>0.004043178875096087</v>
      </c>
    </row>
    <row r="29">
      <c r="A29" s="375" t="n">
        <v>44503</v>
      </c>
      <c r="B29" s="376" t="n">
        <v>154.2028727213542</v>
      </c>
      <c r="C29" s="376" t="n">
        <v>157.7340228070815</v>
      </c>
      <c r="D29" s="376" t="n">
        <v>153.8835120903949</v>
      </c>
      <c r="E29" s="376" t="n">
        <v>157.3964233398438</v>
      </c>
      <c r="F29" s="93" t="n">
        <v>7176700</v>
      </c>
      <c r="G29" s="94" t="n">
        <v>0.02782566984429957</v>
      </c>
      <c r="H29" s="95" t="n">
        <v>116.5225506940035</v>
      </c>
      <c r="I29" s="376" t="n"/>
      <c r="J29" s="376" t="n"/>
      <c r="K29" s="94" t="n">
        <v>0.1874013516408846</v>
      </c>
      <c r="L29" s="94" t="n"/>
      <c r="M29" s="94" t="n">
        <v>-0.002140308484052889</v>
      </c>
      <c r="N29" t="n">
        <v>81.59985936049821</v>
      </c>
      <c r="P29" s="143">
        <f>MAX($E$2:E29)</f>
        <v/>
      </c>
      <c r="Q29" s="144">
        <f>E29/P29-1</f>
        <v/>
      </c>
      <c r="R29" s="94" t="n">
        <v>0.006105264169160574</v>
      </c>
    </row>
    <row r="30">
      <c r="A30" s="375" t="n">
        <v>44504</v>
      </c>
      <c r="B30" s="376" t="n">
        <v>157.131882784843</v>
      </c>
      <c r="C30" s="376" t="n">
        <v>160.252437517182</v>
      </c>
      <c r="D30" s="376" t="n">
        <v>156.9402635463499</v>
      </c>
      <c r="E30" s="376" t="n">
        <v>160.0790710449219</v>
      </c>
      <c r="F30" s="93" t="n">
        <v>5460100</v>
      </c>
      <c r="G30" s="94" t="n">
        <v>0.01704389240971427</v>
      </c>
      <c r="H30" s="95" t="n">
        <v>118.5085485113376</v>
      </c>
      <c r="I30" s="376" t="n"/>
      <c r="J30" s="376" t="n"/>
      <c r="K30" s="94" t="n">
        <v>0.184600399227579</v>
      </c>
      <c r="L30" s="94" t="n"/>
      <c r="M30" s="94" t="n">
        <v>-0.001081833605442339</v>
      </c>
      <c r="N30" t="n">
        <v>83.88108308332122</v>
      </c>
      <c r="P30" s="143">
        <f>MAX($E$2:E30)</f>
        <v/>
      </c>
      <c r="Q30" s="144">
        <f>E30/P30-1</f>
        <v/>
      </c>
      <c r="R30" s="94" t="n">
        <v>0.004712577695746178</v>
      </c>
    </row>
    <row r="31">
      <c r="A31" s="375" t="n">
        <v>44505</v>
      </c>
      <c r="B31" s="376" t="n">
        <v>160.3436257955311</v>
      </c>
      <c r="C31" s="376" t="n">
        <v>163.4185685815678</v>
      </c>
      <c r="D31" s="376" t="n">
        <v>160.1337677760256</v>
      </c>
      <c r="E31" s="376" t="n">
        <v>161.9677734375</v>
      </c>
      <c r="F31" s="93" t="n">
        <v>5892200</v>
      </c>
      <c r="G31" s="94" t="n">
        <v>0.01179855917609696</v>
      </c>
      <c r="H31" s="95" t="n">
        <v>119.906778633822</v>
      </c>
      <c r="I31" s="376" t="n"/>
      <c r="J31" s="376" t="n"/>
      <c r="K31" s="94" t="n">
        <v>0.1848597980992205</v>
      </c>
      <c r="L31" s="94" t="n"/>
      <c r="M31" s="94" t="n">
        <v>-0.008877786390251163</v>
      </c>
      <c r="N31" t="n">
        <v>85.26608235586087</v>
      </c>
      <c r="P31" s="143">
        <f>MAX($E$2:E31)</f>
        <v/>
      </c>
      <c r="Q31" s="144">
        <f>E31/P31-1</f>
        <v/>
      </c>
      <c r="R31" s="94" t="n">
        <v>0.003469496827920526</v>
      </c>
    </row>
    <row r="32">
      <c r="A32" s="375" t="n">
        <v>44508</v>
      </c>
      <c r="B32" s="376" t="n">
        <v>160.9093697948397</v>
      </c>
      <c r="C32" s="376" t="n">
        <v>161.0827223140683</v>
      </c>
      <c r="D32" s="376" t="n">
        <v>155.4438298140421</v>
      </c>
      <c r="E32" s="376" t="n">
        <v>156.8033752441406</v>
      </c>
      <c r="F32" s="93" t="n">
        <v>8301100</v>
      </c>
      <c r="G32" s="94" t="n">
        <v>-0.03188534412589306</v>
      </c>
      <c r="H32" s="95" t="n">
        <v>116.0835097340553</v>
      </c>
      <c r="I32" s="376" t="n"/>
      <c r="J32" s="376" t="n"/>
      <c r="K32" s="94" t="n">
        <v>0.219673732294378</v>
      </c>
      <c r="L32" s="94" t="n"/>
      <c r="M32" s="94" t="n">
        <v>-0.04048005924201492</v>
      </c>
      <c r="N32" t="n">
        <v>68.04846996162956</v>
      </c>
      <c r="P32" s="143">
        <f>MAX($E$2:E32)</f>
        <v/>
      </c>
      <c r="Q32" s="144">
        <f>E32/P32-1</f>
        <v/>
      </c>
      <c r="R32" s="94" t="n">
        <v>0.0008535810150545053</v>
      </c>
    </row>
    <row r="33">
      <c r="A33" s="375" t="n">
        <v>44509</v>
      </c>
      <c r="B33" s="376" t="n">
        <v>156.2559052968415</v>
      </c>
      <c r="C33" s="376" t="n">
        <v>158.7012465041005</v>
      </c>
      <c r="D33" s="376" t="n">
        <v>155.9821695395029</v>
      </c>
      <c r="E33" s="376" t="n">
        <v>158.6008911132812</v>
      </c>
      <c r="F33" s="93" t="n">
        <v>4343000</v>
      </c>
      <c r="G33" s="94" t="n">
        <v>0.01146350240447269</v>
      </c>
      <c r="H33" s="95" t="n">
        <v>117.4142333270112</v>
      </c>
      <c r="I33" s="376" t="n"/>
      <c r="J33" s="376" t="n"/>
      <c r="K33" s="94" t="n">
        <v>0.2145528604508832</v>
      </c>
      <c r="L33" s="94" t="n"/>
      <c r="M33" s="94" t="n">
        <v>-0.02948060009399633</v>
      </c>
      <c r="N33" t="n">
        <v>70.29669166916469</v>
      </c>
      <c r="P33" s="143">
        <f>MAX($E$2:E33)</f>
        <v/>
      </c>
      <c r="Q33" s="144">
        <f>E33/P33-1</f>
        <v/>
      </c>
      <c r="R33" s="94" t="n">
        <v>-0.003305231697075972</v>
      </c>
    </row>
    <row r="34">
      <c r="A34" s="375" t="n">
        <v>44510</v>
      </c>
      <c r="B34" s="376" t="n">
        <v>156.2376522414528</v>
      </c>
      <c r="C34" s="376" t="n">
        <v>157.0953511155464</v>
      </c>
      <c r="D34" s="376" t="n">
        <v>152.8798677978635</v>
      </c>
      <c r="E34" s="376" t="n">
        <v>153.5276947021484</v>
      </c>
      <c r="F34" s="93" t="n">
        <v>8185200</v>
      </c>
      <c r="G34" s="94" t="n">
        <v>-0.03198718730722172</v>
      </c>
      <c r="H34" s="95" t="n">
        <v>113.6584822530463</v>
      </c>
      <c r="I34" s="376" t="n"/>
      <c r="J34" s="376" t="n"/>
      <c r="K34" s="94" t="n">
        <v>0.2482194133768588</v>
      </c>
      <c r="L34" s="94" t="n"/>
      <c r="M34" s="94" t="n">
        <v>-0.06052478592408217</v>
      </c>
      <c r="N34" t="n">
        <v>57.91142515317038</v>
      </c>
      <c r="P34" s="143">
        <f>MAX($E$2:E34)</f>
        <v/>
      </c>
      <c r="Q34" s="144">
        <f>E34/P34-1</f>
        <v/>
      </c>
      <c r="R34" s="94" t="n">
        <v>-0.00804488385751756</v>
      </c>
    </row>
    <row r="35">
      <c r="A35" s="375" t="n">
        <v>44511</v>
      </c>
      <c r="B35" s="376" t="n">
        <v>154.7503616197047</v>
      </c>
      <c r="C35" s="376" t="n">
        <v>154.7503616197047</v>
      </c>
      <c r="D35" s="376" t="n">
        <v>152.0404043887229</v>
      </c>
      <c r="E35" s="376" t="n">
        <v>152.3506317138672</v>
      </c>
      <c r="F35" s="93" t="n">
        <v>4994900</v>
      </c>
      <c r="G35" s="94" t="n">
        <v>-0.007666779538146651</v>
      </c>
      <c r="H35" s="95" t="n">
        <v>112.7870877269718</v>
      </c>
      <c r="I35" s="376" t="n"/>
      <c r="J35" s="376" t="n"/>
      <c r="K35" s="94" t="n">
        <v>0.2514254102578301</v>
      </c>
      <c r="L35" s="94" t="n"/>
      <c r="M35" s="94" t="n">
        <v>-0.0677275352719553</v>
      </c>
      <c r="N35" t="n">
        <v>55.46952647841498</v>
      </c>
      <c r="O35" t="n">
        <v>-0.3923523818832395</v>
      </c>
      <c r="P35" s="143">
        <f>MAX($E$2:E35)</f>
        <v/>
      </c>
      <c r="Q35" s="144">
        <f>E35/P35-1</f>
        <v/>
      </c>
      <c r="R35" s="94" t="n">
        <v>0.0003234564630838488</v>
      </c>
    </row>
    <row r="36">
      <c r="A36" s="375" t="n">
        <v>44512</v>
      </c>
      <c r="B36" s="376" t="n">
        <v>152.8342375595611</v>
      </c>
      <c r="C36" s="376" t="n">
        <v>154.823357072925</v>
      </c>
      <c r="D36" s="376" t="n">
        <v>152.7429876695186</v>
      </c>
      <c r="E36" s="376" t="n">
        <v>154.2850189208984</v>
      </c>
      <c r="F36" s="93" t="n">
        <v>5126300</v>
      </c>
      <c r="G36" s="94" t="n">
        <v>0.01269694247585562</v>
      </c>
      <c r="H36" s="95" t="n">
        <v>114.2191388918605</v>
      </c>
      <c r="I36" s="376" t="n"/>
      <c r="J36" s="376" t="n"/>
      <c r="K36" s="94" t="n">
        <v>0.2535990370466658</v>
      </c>
      <c r="L36" s="94" t="n"/>
      <c r="M36" s="94" t="n">
        <v>-0.05589052541547912</v>
      </c>
      <c r="N36" t="n">
        <v>58.56189778319334</v>
      </c>
      <c r="O36" t="n">
        <v>-0.5532583177143673</v>
      </c>
      <c r="P36" s="143">
        <f>MAX($E$2:E36)</f>
        <v/>
      </c>
      <c r="Q36" s="144">
        <f>E36/P36-1</f>
        <v/>
      </c>
      <c r="R36" s="94" t="n">
        <v>0.007546776619436368</v>
      </c>
    </row>
    <row r="37">
      <c r="A37" s="375" t="n">
        <v>44515</v>
      </c>
      <c r="B37" s="376" t="n">
        <v>154.8416237417522</v>
      </c>
      <c r="C37" s="376" t="n">
        <v>155.4438396554489</v>
      </c>
      <c r="D37" s="376" t="n">
        <v>153.7649473410032</v>
      </c>
      <c r="E37" s="376" t="n">
        <v>154.0660552978516</v>
      </c>
      <c r="F37" s="93" t="n">
        <v>3856700</v>
      </c>
      <c r="G37" s="94" t="n">
        <v>-0.001419215064290436</v>
      </c>
      <c r="H37" s="95" t="n">
        <v>114.0570373693149</v>
      </c>
      <c r="I37" s="376" t="n"/>
      <c r="J37" s="376" t="n"/>
      <c r="K37" s="94" t="n">
        <v>0.2533117597357246</v>
      </c>
      <c r="L37" s="94" t="n"/>
      <c r="M37" s="94" t="n">
        <v>-0.05723041980414878</v>
      </c>
      <c r="N37" t="n">
        <v>58.07030929634852</v>
      </c>
      <c r="O37" t="n">
        <v>-0.6804259575329414</v>
      </c>
      <c r="P37" s="143">
        <f>MAX($E$2:E37)</f>
        <v/>
      </c>
      <c r="Q37" s="144">
        <f>E37/P37-1</f>
        <v/>
      </c>
      <c r="R37" s="94" t="n">
        <v>0.0003426464216422787</v>
      </c>
    </row>
    <row r="38">
      <c r="A38" s="375" t="n">
        <v>44516</v>
      </c>
      <c r="B38" s="376" t="n">
        <v>154.4310204704694</v>
      </c>
      <c r="C38" s="376" t="n">
        <v>158.7651259194191</v>
      </c>
      <c r="D38" s="376" t="n">
        <v>154.4310204704694</v>
      </c>
      <c r="E38" s="376" t="n">
        <v>156.7851257324219</v>
      </c>
      <c r="F38" s="93" t="n">
        <v>4401000</v>
      </c>
      <c r="G38" s="94" t="n">
        <v>0.01764873144388357</v>
      </c>
      <c r="H38" s="95" t="n">
        <v>116.0699993911309</v>
      </c>
      <c r="I38" s="376" t="n"/>
      <c r="J38" s="376" t="n"/>
      <c r="K38" s="94" t="n">
        <v>0.2534357366208568</v>
      </c>
      <c r="L38" s="94" t="n"/>
      <c r="M38" s="94" t="n">
        <v>-0.04059173266980931</v>
      </c>
      <c r="N38" t="n">
        <v>62.30221134254484</v>
      </c>
      <c r="O38" t="n">
        <v>-0.5907314510492787</v>
      </c>
      <c r="P38" s="143">
        <f>MAX($E$2:E38)</f>
        <v/>
      </c>
      <c r="Q38" s="144">
        <f>E38/P38-1</f>
        <v/>
      </c>
      <c r="R38" s="94" t="n">
        <v>0.003957617142563485</v>
      </c>
    </row>
    <row r="39">
      <c r="A39" s="375" t="n">
        <v>44517</v>
      </c>
      <c r="B39" s="376" t="n">
        <v>156.5752461900069</v>
      </c>
      <c r="C39" s="376" t="n">
        <v>157.6154307980598</v>
      </c>
      <c r="D39" s="376" t="n">
        <v>155.3434423992282</v>
      </c>
      <c r="E39" s="376" t="n">
        <v>156.7029876708984</v>
      </c>
      <c r="F39" s="93" t="n">
        <v>3940200</v>
      </c>
      <c r="G39" s="94" t="n">
        <v>-0.0005238893749629492</v>
      </c>
      <c r="H39" s="95" t="n">
        <v>116.0091915516979</v>
      </c>
      <c r="I39" s="376" t="n"/>
      <c r="J39" s="376" t="n"/>
      <c r="K39" s="94" t="n">
        <v>0.254034469605955</v>
      </c>
      <c r="L39" s="94" t="n"/>
      <c r="M39" s="94" t="n">
        <v>-0.04109435646731519</v>
      </c>
      <c r="N39" t="n">
        <v>62.09831827410168</v>
      </c>
      <c r="O39" t="n">
        <v>-0.5472340724415847</v>
      </c>
      <c r="P39" s="143">
        <f>MAX($E$2:E39)</f>
        <v/>
      </c>
      <c r="Q39" s="144">
        <f>E39/P39-1</f>
        <v/>
      </c>
      <c r="R39" s="94" t="n">
        <v>-0.002429065124198271</v>
      </c>
    </row>
    <row r="40">
      <c r="A40" s="375" t="n">
        <v>44518</v>
      </c>
      <c r="B40" s="376" t="n">
        <v>157.2413585212128</v>
      </c>
      <c r="C40" s="376" t="n">
        <v>158.2724239249214</v>
      </c>
      <c r="D40" s="376" t="n">
        <v>155.4438440725361</v>
      </c>
      <c r="E40" s="376" t="n">
        <v>156.34716796875</v>
      </c>
      <c r="F40" s="93" t="n">
        <v>4044200</v>
      </c>
      <c r="G40" s="94" t="n">
        <v>-0.002270663166267894</v>
      </c>
      <c r="H40" s="95" t="n">
        <v>115.745773753493</v>
      </c>
      <c r="I40" s="376" t="n"/>
      <c r="J40" s="376" t="n"/>
      <c r="K40" s="94" t="n">
        <v>0.2442472017262826</v>
      </c>
      <c r="L40" s="94" t="n"/>
      <c r="M40" s="94" t="n">
        <v>-0.0432717081920112</v>
      </c>
      <c r="N40" t="n">
        <v>61.16448668405352</v>
      </c>
      <c r="O40" t="n">
        <v>-0.551190828851408</v>
      </c>
      <c r="P40" s="143">
        <f>MAX($E$2:E40)</f>
        <v/>
      </c>
      <c r="Q40" s="144">
        <f>E40/P40-1</f>
        <v/>
      </c>
      <c r="R40" s="94" t="n">
        <v>0.003395980025024503</v>
      </c>
    </row>
    <row r="41">
      <c r="A41" s="375" t="n">
        <v>44519</v>
      </c>
      <c r="B41" s="376" t="n">
        <v>157.0771195670895</v>
      </c>
      <c r="C41" s="376" t="n">
        <v>161.684961340538</v>
      </c>
      <c r="D41" s="376" t="n">
        <v>155.5989657724772</v>
      </c>
      <c r="E41" s="376" t="n">
        <v>159.5680999755859</v>
      </c>
      <c r="F41" s="93" t="n">
        <v>6145600</v>
      </c>
      <c r="G41" s="94" t="n">
        <v>0.02060115350141634</v>
      </c>
      <c r="H41" s="95" t="n">
        <v>118.1302702057289</v>
      </c>
      <c r="I41" s="376" t="n"/>
      <c r="J41" s="376" t="n"/>
      <c r="K41" s="94" t="n">
        <v>0.2517366757372417</v>
      </c>
      <c r="L41" s="94" t="n"/>
      <c r="M41" s="94" t="n">
        <v>-0.02356200179332701</v>
      </c>
      <c r="N41" t="n">
        <v>66.12976085363783</v>
      </c>
      <c r="O41" t="n">
        <v>-0.3551672845250016</v>
      </c>
      <c r="P41" s="143">
        <f>MAX($E$2:E41)</f>
        <v/>
      </c>
      <c r="Q41" s="144">
        <f>E41/P41-1</f>
        <v/>
      </c>
      <c r="R41" s="94" t="n">
        <v>-0.001787962386939457</v>
      </c>
    </row>
    <row r="42">
      <c r="A42" s="375" t="n">
        <v>44522</v>
      </c>
      <c r="B42" s="376" t="n">
        <v>159.6593146895219</v>
      </c>
      <c r="C42" s="376" t="n">
        <v>162.1867863698664</v>
      </c>
      <c r="D42" s="376" t="n">
        <v>158.9749822575815</v>
      </c>
      <c r="E42" s="376" t="n">
        <v>158.9841156005859</v>
      </c>
      <c r="F42" s="93" t="n">
        <v>5906400</v>
      </c>
      <c r="G42" s="94" t="n">
        <v>-0.003659781466905709</v>
      </c>
      <c r="H42" s="95" t="n">
        <v>117.6979392321494</v>
      </c>
      <c r="I42" s="376" t="n"/>
      <c r="J42" s="376" t="n"/>
      <c r="K42" s="94" t="n">
        <v>0.2529664531153775</v>
      </c>
      <c r="L42" s="94" t="n"/>
      <c r="M42" s="94" t="n">
        <v>-0.02713555148274627</v>
      </c>
      <c r="N42" t="n">
        <v>64.51909010370309</v>
      </c>
      <c r="O42" t="n">
        <v>-0.2860872164924269</v>
      </c>
      <c r="P42" s="143">
        <f>MAX($E$2:E42)</f>
        <v/>
      </c>
      <c r="Q42" s="144">
        <f>E42/P42-1</f>
        <v/>
      </c>
      <c r="R42" s="94" t="n">
        <v>-0.002814995905511153</v>
      </c>
    </row>
    <row r="43">
      <c r="A43" s="375" t="n">
        <v>44523</v>
      </c>
      <c r="B43" s="376" t="n">
        <v>157.8982946155767</v>
      </c>
      <c r="C43" s="376" t="n">
        <v>158.24501355546</v>
      </c>
      <c r="D43" s="376" t="n">
        <v>155.4894451844272</v>
      </c>
      <c r="E43" s="376" t="n">
        <v>157.0770874023438</v>
      </c>
      <c r="F43" s="93" t="n">
        <v>5302100</v>
      </c>
      <c r="G43" s="94" t="n">
        <v>-0.01199508637097557</v>
      </c>
      <c r="H43" s="95" t="n">
        <v>116.2861422853739</v>
      </c>
      <c r="I43" s="376" t="n"/>
      <c r="J43" s="376" t="n"/>
      <c r="K43" s="94" t="n">
        <v>0.2579126464564787</v>
      </c>
      <c r="L43" s="94" t="n"/>
      <c r="M43" s="94" t="n">
        <v>-0.0388051445699622</v>
      </c>
      <c r="N43" t="n">
        <v>59.42874799131828</v>
      </c>
      <c r="O43" t="n">
        <v>-0.3839756667045044</v>
      </c>
      <c r="P43" s="143">
        <f>MAX($E$2:E43)</f>
        <v/>
      </c>
      <c r="Q43" s="144">
        <f>E43/P43-1</f>
        <v/>
      </c>
      <c r="R43" s="94" t="n">
        <v>0.001325812278965888</v>
      </c>
    </row>
    <row r="44">
      <c r="A44" s="375" t="n">
        <v>44524</v>
      </c>
      <c r="B44" s="376" t="n">
        <v>153.7375776717289</v>
      </c>
      <c r="C44" s="376" t="n">
        <v>157.3325926029724</v>
      </c>
      <c r="D44" s="376" t="n">
        <v>152.9893674777208</v>
      </c>
      <c r="E44" s="376" t="n">
        <v>156.9676208496094</v>
      </c>
      <c r="F44" s="93" t="n">
        <v>4637600</v>
      </c>
      <c r="G44" s="94" t="n">
        <v>-0.0006968970111724815</v>
      </c>
      <c r="H44" s="95" t="n">
        <v>116.2051028203745</v>
      </c>
      <c r="I44" s="376" t="n"/>
      <c r="J44" s="376" t="n"/>
      <c r="K44" s="94" t="n">
        <v>0.2547439855492558</v>
      </c>
      <c r="L44" s="94" t="n"/>
      <c r="M44" s="94" t="n">
        <v>-0.03947499839186575</v>
      </c>
      <c r="N44" t="n">
        <v>59.14031073896863</v>
      </c>
      <c r="O44" t="n">
        <v>-0.4657939321222475</v>
      </c>
      <c r="P44" s="143">
        <f>MAX($E$2:E44)</f>
        <v/>
      </c>
      <c r="Q44" s="144">
        <f>E44/P44-1</f>
        <v/>
      </c>
      <c r="R44" s="94" t="n">
        <v>0.002669787516720534</v>
      </c>
    </row>
    <row r="45">
      <c r="A45" s="375" t="n">
        <v>44526</v>
      </c>
      <c r="B45" s="376" t="n">
        <v>153.3452226860102</v>
      </c>
      <c r="C45" s="376" t="n">
        <v>154.8233764144652</v>
      </c>
      <c r="D45" s="376" t="n">
        <v>152.8707482595162</v>
      </c>
      <c r="E45" s="376" t="n">
        <v>153.3087310791016</v>
      </c>
      <c r="F45" s="93" t="n">
        <v>4751100</v>
      </c>
      <c r="G45" s="94" t="n">
        <v>-0.02330983772770179</v>
      </c>
      <c r="H45" s="95" t="n">
        <v>113.4963807305006</v>
      </c>
      <c r="I45" s="376" t="n"/>
      <c r="J45" s="376" t="n"/>
      <c r="K45" s="94" t="n">
        <v>0.2681376896923386</v>
      </c>
      <c r="L45" s="94" t="n"/>
      <c r="M45" s="94" t="n">
        <v>-0.06186468031275183</v>
      </c>
      <c r="N45" t="n">
        <v>50.34478460068613</v>
      </c>
      <c r="O45" t="n">
        <v>-0.7587049274373912</v>
      </c>
      <c r="P45" s="143">
        <f>MAX($E$2:E45)</f>
        <v/>
      </c>
      <c r="Q45" s="144">
        <f>E45/P45-1</f>
        <v/>
      </c>
      <c r="R45" s="94" t="n">
        <v>-0.02230293178241971</v>
      </c>
    </row>
    <row r="46">
      <c r="A46" s="375" t="n">
        <v>44529</v>
      </c>
      <c r="B46" s="376" t="n">
        <v>154.9601819933889</v>
      </c>
      <c r="C46" s="376" t="n">
        <v>156.1645994018765</v>
      </c>
      <c r="D46" s="376" t="n">
        <v>154.4127106750383</v>
      </c>
      <c r="E46" s="376" t="n">
        <v>154.9966735839844</v>
      </c>
      <c r="F46" s="93" t="n">
        <v>5448700</v>
      </c>
      <c r="G46" s="94" t="n">
        <v>0.01101008724683727</v>
      </c>
      <c r="H46" s="95" t="n">
        <v>114.7459857845437</v>
      </c>
      <c r="I46" s="376" t="n"/>
      <c r="J46" s="376" t="n"/>
      <c r="K46" s="94" t="n">
        <v>0.2641048242307474</v>
      </c>
      <c r="L46" s="94" t="n"/>
      <c r="M46" s="94" t="n">
        <v>-0.05153572859365574</v>
      </c>
      <c r="N46" t="n">
        <v>53.76125210050184</v>
      </c>
      <c r="O46" t="n">
        <v>-0.825618291279385</v>
      </c>
      <c r="P46" s="143">
        <f>MAX($E$2:E46)</f>
        <v/>
      </c>
      <c r="Q46" s="144">
        <f>E46/P46-1</f>
        <v/>
      </c>
      <c r="R46" s="94" t="n">
        <v>0.01226651102512277</v>
      </c>
    </row>
    <row r="47">
      <c r="A47" s="375" t="n">
        <v>44530</v>
      </c>
      <c r="B47" s="376" t="n">
        <v>154.0112796856755</v>
      </c>
      <c r="C47" s="376" t="n">
        <v>156.5296317969187</v>
      </c>
      <c r="D47" s="376" t="n">
        <v>152.8616062801806</v>
      </c>
      <c r="E47" s="376" t="n">
        <v>154.4218902587891</v>
      </c>
      <c r="F47" s="93" t="n">
        <v>11033700</v>
      </c>
      <c r="G47" s="94" t="n">
        <v>-0.003708359101551095</v>
      </c>
      <c r="H47" s="95" t="n">
        <v>114.3204664637932</v>
      </c>
      <c r="I47" s="376" t="n"/>
      <c r="J47" s="376" t="n"/>
      <c r="K47" s="94" t="n">
        <v>0.263525949774435</v>
      </c>
      <c r="L47" s="94" t="n"/>
      <c r="M47" s="94" t="n">
        <v>-0.05505297470702153</v>
      </c>
      <c r="N47" t="n">
        <v>52.43815707065448</v>
      </c>
      <c r="O47" t="n">
        <v>-0.8898931341582417</v>
      </c>
      <c r="P47" s="143">
        <f>MAX($E$2:E47)</f>
        <v/>
      </c>
      <c r="Q47" s="144">
        <f>E47/P47-1</f>
        <v/>
      </c>
      <c r="R47" s="94" t="n">
        <v>-0.01945760874473634</v>
      </c>
    </row>
    <row r="48">
      <c r="A48" s="375" t="n">
        <v>44531</v>
      </c>
      <c r="B48" s="376" t="n">
        <v>155.9274334401291</v>
      </c>
      <c r="C48" s="376" t="n">
        <v>158.1902889034025</v>
      </c>
      <c r="D48" s="376" t="n">
        <v>152.0860410590441</v>
      </c>
      <c r="E48" s="376" t="n">
        <v>152.1042938232422</v>
      </c>
      <c r="F48" s="93" t="n">
        <v>6618200</v>
      </c>
      <c r="G48" s="94" t="n">
        <v>-0.0150082117999133</v>
      </c>
      <c r="H48" s="95" t="n">
        <v>112.6047206900397</v>
      </c>
      <c r="I48" s="376" t="n"/>
      <c r="J48" s="376" t="n"/>
      <c r="K48" s="94" t="n">
        <v>0.2675980656520647</v>
      </c>
      <c r="L48" s="94" t="n"/>
      <c r="M48" s="94" t="n">
        <v>-0.06923493980231654</v>
      </c>
      <c r="N48" t="n">
        <v>47.37533890160863</v>
      </c>
      <c r="O48" t="n">
        <v>-1.058338824455052</v>
      </c>
      <c r="P48" s="143">
        <f>MAX($E$2:E48)</f>
        <v/>
      </c>
      <c r="Q48" s="144">
        <f>E48/P48-1</f>
        <v/>
      </c>
      <c r="R48" s="94" t="n">
        <v>-0.01110722039157863</v>
      </c>
    </row>
    <row r="49">
      <c r="A49" s="375" t="n">
        <v>44532</v>
      </c>
      <c r="B49" s="376" t="n">
        <v>152.6334946137168</v>
      </c>
      <c r="C49" s="376" t="n">
        <v>155.6171877219766</v>
      </c>
      <c r="D49" s="376" t="n">
        <v>152.378011636173</v>
      </c>
      <c r="E49" s="376" t="n">
        <v>155.1153411865234</v>
      </c>
      <c r="F49" s="93" t="n">
        <v>4398900</v>
      </c>
      <c r="G49" s="94" t="n">
        <v>0.01979593927032952</v>
      </c>
      <c r="H49" s="95" t="n">
        <v>114.8338369023721</v>
      </c>
      <c r="I49" s="376" t="n"/>
      <c r="J49" s="376" t="n"/>
      <c r="K49" s="94" t="n">
        <v>0.2577813613881749</v>
      </c>
      <c r="L49" s="94" t="n"/>
      <c r="M49" s="94" t="n">
        <v>-0.05080957119569862</v>
      </c>
      <c r="N49" t="n">
        <v>53.63816030279781</v>
      </c>
      <c r="O49" t="n">
        <v>-0.9407728155414952</v>
      </c>
      <c r="P49" s="143">
        <f>MAX($E$2:E49)</f>
        <v/>
      </c>
      <c r="Q49" s="144">
        <f>E49/P49-1</f>
        <v/>
      </c>
      <c r="R49" s="94" t="n">
        <v>0.01531623272967475</v>
      </c>
    </row>
    <row r="50">
      <c r="A50" s="375" t="n">
        <v>44533</v>
      </c>
      <c r="B50" s="376" t="n">
        <v>155.9608522212389</v>
      </c>
      <c r="C50" s="376" t="n">
        <v>157.2862838588642</v>
      </c>
      <c r="D50" s="376" t="n">
        <v>152.4324909388965</v>
      </c>
      <c r="E50" s="376" t="n">
        <v>155.6135101318359</v>
      </c>
      <c r="F50" s="93" t="n">
        <v>4878500</v>
      </c>
      <c r="G50" s="94" t="n">
        <v>0.003211603323706402</v>
      </c>
      <c r="H50" s="95" t="n">
        <v>115.2026376346417</v>
      </c>
      <c r="I50" s="376" t="n"/>
      <c r="J50" s="376" t="n"/>
      <c r="K50" s="94" t="n">
        <v>0.2497734895009828</v>
      </c>
      <c r="L50" s="94" t="n"/>
      <c r="M50" s="94" t="n">
        <v>-0.04776114805972043</v>
      </c>
      <c r="N50" t="n">
        <v>54.6008193081158</v>
      </c>
      <c r="O50" t="n">
        <v>-0.8083250375333382</v>
      </c>
      <c r="P50" s="143">
        <f>MAX($E$2:E50)</f>
        <v/>
      </c>
      <c r="Q50" s="144">
        <f>E50/P50-1</f>
        <v/>
      </c>
      <c r="R50" s="94" t="n">
        <v>-0.008701141857231809</v>
      </c>
    </row>
    <row r="51">
      <c r="A51" s="375" t="n">
        <v>44536</v>
      </c>
      <c r="B51" s="376" t="n">
        <v>156.1528347007978</v>
      </c>
      <c r="C51" s="376" t="n">
        <v>156.5001907800303</v>
      </c>
      <c r="D51" s="376" t="n">
        <v>153.6208203318823</v>
      </c>
      <c r="E51" s="376" t="n">
        <v>154.3977966308594</v>
      </c>
      <c r="F51" s="93" t="n">
        <v>5636900</v>
      </c>
      <c r="G51" s="94" t="n">
        <v>-0.007812390453416307</v>
      </c>
      <c r="H51" s="95" t="n">
        <v>114.3026296481765</v>
      </c>
      <c r="I51" s="376" t="n">
        <v>148.7317004394531</v>
      </c>
      <c r="J51" s="376" t="n"/>
      <c r="K51" s="94" t="n">
        <v>0.2458071347071025</v>
      </c>
      <c r="L51" s="94" t="n"/>
      <c r="M51" s="94" t="n">
        <v>-0.05520040977599083</v>
      </c>
      <c r="N51" t="n">
        <v>51.77545155527198</v>
      </c>
      <c r="O51" t="n">
        <v>-0.7810264238596134</v>
      </c>
      <c r="P51" s="143">
        <f>MAX($E$2:E51)</f>
        <v/>
      </c>
      <c r="Q51" s="144">
        <f>E51/P51-1</f>
        <v/>
      </c>
      <c r="R51" s="94" t="n">
        <v>0.01184305533787344</v>
      </c>
    </row>
    <row r="52">
      <c r="A52" s="375" t="n">
        <v>44537</v>
      </c>
      <c r="B52" s="376" t="n">
        <v>156.4087139726498</v>
      </c>
      <c r="C52" s="376" t="n">
        <v>158.4562645379454</v>
      </c>
      <c r="D52" s="376" t="n">
        <v>155.7597090247695</v>
      </c>
      <c r="E52" s="376" t="n">
        <v>156.5732421875</v>
      </c>
      <c r="F52" s="93" t="n">
        <v>5898700</v>
      </c>
      <c r="G52" s="94" t="n">
        <v>0.01408987436421638</v>
      </c>
      <c r="H52" s="95" t="n">
        <v>115.9131393394188</v>
      </c>
      <c r="I52" s="376" t="n">
        <v>149.1616036987305</v>
      </c>
      <c r="J52" s="376" t="n"/>
      <c r="K52" s="94" t="n">
        <v>0.2257068805265288</v>
      </c>
      <c r="L52" s="94" t="n"/>
      <c r="M52" s="94" t="n">
        <v>-0.04188830225037143</v>
      </c>
      <c r="N52" t="n">
        <v>56.14829538333794</v>
      </c>
      <c r="O52" t="n">
        <v>-0.6028683418538652</v>
      </c>
      <c r="P52" s="143">
        <f>MAX($E$2:E52)</f>
        <v/>
      </c>
      <c r="Q52" s="144">
        <f>E52/P52-1</f>
        <v/>
      </c>
      <c r="R52" s="94" t="n">
        <v>0.02068503000144362</v>
      </c>
    </row>
    <row r="53">
      <c r="A53" s="375" t="n">
        <v>44538</v>
      </c>
      <c r="B53" s="376" t="n">
        <v>156.5093272285462</v>
      </c>
      <c r="C53" s="376" t="n">
        <v>157.0303474017152</v>
      </c>
      <c r="D53" s="376" t="n">
        <v>155.2478879443431</v>
      </c>
      <c r="E53" s="376" t="n">
        <v>155.6226654052734</v>
      </c>
      <c r="F53" s="93" t="n">
        <v>5614400</v>
      </c>
      <c r="G53" s="94" t="n">
        <v>-0.00607113175243712</v>
      </c>
      <c r="H53" s="95" t="n">
        <v>115.2094153986506</v>
      </c>
      <c r="I53" s="376" t="n">
        <v>149.6224975585938</v>
      </c>
      <c r="J53" s="376" t="n"/>
      <c r="K53" s="94" t="n">
        <v>0.2224776655605435</v>
      </c>
      <c r="L53" s="94" t="n"/>
      <c r="M53" s="94" t="n">
        <v>-0.04770512460096066</v>
      </c>
      <c r="N53" t="n">
        <v>53.85051090053273</v>
      </c>
      <c r="O53" t="n">
        <v>-0.5376151925917285</v>
      </c>
      <c r="P53" s="143">
        <f>MAX($E$2:E53)</f>
        <v/>
      </c>
      <c r="Q53" s="144">
        <f>E53/P53-1</f>
        <v/>
      </c>
      <c r="R53" s="94" t="n">
        <v>0.002647813430499024</v>
      </c>
    </row>
    <row r="54">
      <c r="A54" s="375" t="n">
        <v>44539</v>
      </c>
      <c r="B54" s="376" t="n">
        <v>154.7451263548191</v>
      </c>
      <c r="C54" s="376" t="n">
        <v>156.4636070960097</v>
      </c>
      <c r="D54" s="376" t="n">
        <v>153.5568294485592</v>
      </c>
      <c r="E54" s="376" t="n">
        <v>153.6573791503906</v>
      </c>
      <c r="F54" s="93" t="n">
        <v>5171600</v>
      </c>
      <c r="G54" s="94" t="n">
        <v>-0.0126285348587547</v>
      </c>
      <c r="H54" s="95" t="n">
        <v>113.754489280232</v>
      </c>
      <c r="I54" s="376" t="n">
        <v>150.0309454345703</v>
      </c>
      <c r="J54" s="376" t="n"/>
      <c r="K54" s="94" t="n">
        <v>0.195527006555</v>
      </c>
      <c r="L54" s="94" t="n"/>
      <c r="M54" s="94" t="n">
        <v>-0.05973121363075096</v>
      </c>
      <c r="N54" t="n">
        <v>49.35359460912994</v>
      </c>
      <c r="O54" t="n">
        <v>-0.6100803999775839</v>
      </c>
      <c r="P54" s="143">
        <f>MAX($E$2:E54)</f>
        <v/>
      </c>
      <c r="Q54" s="144">
        <f>E54/P54-1</f>
        <v/>
      </c>
      <c r="R54" s="94" t="n">
        <v>-0.006751567755117316</v>
      </c>
    </row>
    <row r="55">
      <c r="A55" s="375" t="n">
        <v>44540</v>
      </c>
      <c r="B55" s="376" t="n">
        <v>154.0230277207055</v>
      </c>
      <c r="C55" s="376" t="n">
        <v>155.613537597903</v>
      </c>
      <c r="D55" s="376" t="n">
        <v>152.9535519912774</v>
      </c>
      <c r="E55" s="376" t="n">
        <v>154.534912109375</v>
      </c>
      <c r="F55" s="93" t="n">
        <v>4791100</v>
      </c>
      <c r="G55" s="94" t="n">
        <v>0.0057109717986632</v>
      </c>
      <c r="H55" s="95" t="n">
        <v>114.4041379604827</v>
      </c>
      <c r="I55" s="376" t="n">
        <v>150.4713613891602</v>
      </c>
      <c r="J55" s="376" t="n"/>
      <c r="K55" s="94" t="n">
        <v>0.1942281905448499</v>
      </c>
      <c r="L55" s="94" t="n"/>
      <c r="M55" s="94" t="n">
        <v>-0.05436136510863288</v>
      </c>
      <c r="N55" t="n">
        <v>51.30882324685626</v>
      </c>
      <c r="O55" t="n">
        <v>-0.5822534818251091</v>
      </c>
      <c r="P55" s="143">
        <f>MAX($E$2:E55)</f>
        <v/>
      </c>
      <c r="Q55" s="144">
        <f>E55/P55-1</f>
        <v/>
      </c>
      <c r="R55" s="94" t="n">
        <v>0.009413554020520465</v>
      </c>
    </row>
    <row r="56">
      <c r="A56" s="375" t="n">
        <v>44543</v>
      </c>
      <c r="B56" s="376" t="n">
        <v>154.3063754274134</v>
      </c>
      <c r="C56" s="376" t="n">
        <v>154.836545331955</v>
      </c>
      <c r="D56" s="376" t="n">
        <v>151.0613774320614</v>
      </c>
      <c r="E56" s="376" t="n">
        <v>152.5056304931641</v>
      </c>
      <c r="F56" s="93" t="n">
        <v>5972300</v>
      </c>
      <c r="G56" s="94" t="n">
        <v>-0.01313154153007623</v>
      </c>
      <c r="H56" s="95" t="n">
        <v>112.9018352716421</v>
      </c>
      <c r="I56" s="376" t="n">
        <v>150.8377963256836</v>
      </c>
      <c r="J56" s="376" t="n"/>
      <c r="K56" s="94" t="n">
        <v>0.1948527002751019</v>
      </c>
      <c r="L56" s="94" t="n"/>
      <c r="M56" s="94" t="n">
        <v>-0.0667790581151535</v>
      </c>
      <c r="N56" t="n">
        <v>46.80856139897969</v>
      </c>
      <c r="O56" t="n">
        <v>-0.6772031772751375</v>
      </c>
      <c r="P56" s="143">
        <f>MAX($E$2:E56)</f>
        <v/>
      </c>
      <c r="Q56" s="144">
        <f>E56/P56-1</f>
        <v/>
      </c>
      <c r="R56" s="94" t="n">
        <v>-0.00885845478072933</v>
      </c>
    </row>
    <row r="57">
      <c r="A57" s="375" t="n">
        <v>44544</v>
      </c>
      <c r="B57" s="376" t="n">
        <v>152.0028644121569</v>
      </c>
      <c r="C57" s="376" t="n">
        <v>152.7249978332076</v>
      </c>
      <c r="D57" s="376" t="n">
        <v>150.1015839401613</v>
      </c>
      <c r="E57" s="376" t="n">
        <v>151.1893310546875</v>
      </c>
      <c r="F57" s="93" t="n">
        <v>4872200</v>
      </c>
      <c r="G57" s="94" t="n">
        <v>-0.008631153054611707</v>
      </c>
      <c r="H57" s="95" t="n">
        <v>111.927362251266</v>
      </c>
      <c r="I57" s="376" t="n">
        <v>151.1764443969727</v>
      </c>
      <c r="J57" s="376" t="n"/>
      <c r="K57" s="94" t="n">
        <v>0.1969699951851674</v>
      </c>
      <c r="L57" s="94" t="n"/>
      <c r="M57" s="94" t="n">
        <v>-0.07483383089833051</v>
      </c>
      <c r="N57" t="n">
        <v>44.10620585309808</v>
      </c>
      <c r="O57" t="n">
        <v>-0.7970851156687944</v>
      </c>
      <c r="P57" s="143">
        <f>MAX($E$2:E57)</f>
        <v/>
      </c>
      <c r="Q57" s="144">
        <f>E57/P57-1</f>
        <v/>
      </c>
      <c r="R57" s="94" t="n">
        <v>-0.00687985417042114</v>
      </c>
    </row>
    <row r="58">
      <c r="A58" s="375" t="n">
        <v>44545</v>
      </c>
      <c r="B58" s="376" t="n">
        <v>150.8237344467874</v>
      </c>
      <c r="C58" s="376" t="n">
        <v>151.4361685432289</v>
      </c>
      <c r="D58" s="376" t="n">
        <v>147.9169564414858</v>
      </c>
      <c r="E58" s="376" t="n">
        <v>149.8182373046875</v>
      </c>
      <c r="F58" s="93" t="n">
        <v>7144600</v>
      </c>
      <c r="G58" s="94" t="n">
        <v>-0.009068720262437435</v>
      </c>
      <c r="H58" s="95" t="n">
        <v>110.9123243132968</v>
      </c>
      <c r="I58" s="376" t="n">
        <v>151.4453335571289</v>
      </c>
      <c r="J58" s="376" t="n"/>
      <c r="K58" s="94" t="n">
        <v>0.1861922821087721</v>
      </c>
      <c r="L58" s="94" t="n"/>
      <c r="M58" s="94" t="n">
        <v>-0.08322390408218439</v>
      </c>
      <c r="N58" t="n">
        <v>41.42356922820497</v>
      </c>
      <c r="O58" t="n">
        <v>-0.9279898183551621</v>
      </c>
      <c r="P58" s="143">
        <f>MAX($E$2:E58)</f>
        <v/>
      </c>
      <c r="Q58" s="144">
        <f>E58/P58-1</f>
        <v/>
      </c>
      <c r="R58" s="94" t="n">
        <v>0.01562489767484143</v>
      </c>
    </row>
    <row r="59">
      <c r="A59" s="375" t="n">
        <v>44546</v>
      </c>
      <c r="B59" s="376" t="n">
        <v>148.7213384534868</v>
      </c>
      <c r="C59" s="376" t="n">
        <v>151.6829731343608</v>
      </c>
      <c r="D59" s="376" t="n">
        <v>148.5659459784136</v>
      </c>
      <c r="E59" s="376" t="n">
        <v>148.7396240234375</v>
      </c>
      <c r="F59" s="93" t="n">
        <v>7138100</v>
      </c>
      <c r="G59" s="94" t="n">
        <v>-0.007199479186612012</v>
      </c>
      <c r="H59" s="95" t="n">
        <v>110.1138133428644</v>
      </c>
      <c r="I59" s="376" t="n">
        <v>151.7046951293945</v>
      </c>
      <c r="J59" s="376" t="n"/>
      <c r="K59" s="94" t="n">
        <v>0.1868994578202885</v>
      </c>
      <c r="L59" s="94" t="n"/>
      <c r="M59" s="94" t="n">
        <v>-0.08982421450352818</v>
      </c>
      <c r="N59" t="n">
        <v>39.39368151556374</v>
      </c>
      <c r="O59" t="n">
        <v>-1.038160638592232</v>
      </c>
      <c r="P59" s="143">
        <f>MAX($E$2:E59)</f>
        <v/>
      </c>
      <c r="Q59" s="144">
        <f>E59/P59-1</f>
        <v/>
      </c>
      <c r="R59" s="94" t="n">
        <v>-0.008818380548269555</v>
      </c>
    </row>
    <row r="60">
      <c r="A60" s="375" t="n">
        <v>44547</v>
      </c>
      <c r="B60" s="376" t="n">
        <v>147.7432510363808</v>
      </c>
      <c r="C60" s="376" t="n">
        <v>148.8675693068606</v>
      </c>
      <c r="D60" s="376" t="n">
        <v>146.756039647252</v>
      </c>
      <c r="E60" s="376" t="n">
        <v>147.4964447021484</v>
      </c>
      <c r="F60" s="93" t="n">
        <v>7705100</v>
      </c>
      <c r="G60" s="94" t="n">
        <v>-0.008358091056443473</v>
      </c>
      <c r="H60" s="95" t="n">
        <v>109.1934720643726</v>
      </c>
      <c r="I60" s="376" t="n">
        <v>151.8835339355469</v>
      </c>
      <c r="J60" s="376" t="n"/>
      <c r="K60" s="94" t="n">
        <v>0.1880294014705618</v>
      </c>
      <c r="L60" s="94" t="n"/>
      <c r="M60" s="94" t="n">
        <v>-0.09743154659607767</v>
      </c>
      <c r="N60" t="n">
        <v>37.134972418708</v>
      </c>
      <c r="O60" t="n">
        <v>-1.13769656867197</v>
      </c>
      <c r="P60" s="143">
        <f>MAX($E$2:E60)</f>
        <v/>
      </c>
      <c r="Q60" s="144">
        <f>E60/P60-1</f>
        <v/>
      </c>
      <c r="R60" s="94" t="n">
        <v>-0.01064294885838846</v>
      </c>
    </row>
    <row r="61">
      <c r="A61" s="375" t="n">
        <v>44550</v>
      </c>
      <c r="B61" s="376" t="n">
        <v>145.6500195893125</v>
      </c>
      <c r="C61" s="376" t="n">
        <v>145.8876901574502</v>
      </c>
      <c r="D61" s="376" t="n">
        <v>142.1125219265561</v>
      </c>
      <c r="E61" s="376" t="n">
        <v>143.4927825927734</v>
      </c>
      <c r="F61" s="93" t="n">
        <v>8411900</v>
      </c>
      <c r="G61" s="94" t="n">
        <v>-0.02714412620222761</v>
      </c>
      <c r="H61" s="95" t="n">
        <v>106.2295106781978</v>
      </c>
      <c r="I61" s="376" t="n">
        <v>151.9708026123047</v>
      </c>
      <c r="J61" s="376" t="n"/>
      <c r="K61" s="94" t="n">
        <v>0.1854346790612505</v>
      </c>
      <c r="L61" s="94" t="n">
        <v>-0.1140658444122874</v>
      </c>
      <c r="M61" s="94" t="n">
        <v>-0.1219309786014231</v>
      </c>
      <c r="N61" t="n">
        <v>30.97530047126597</v>
      </c>
      <c r="O61" t="n">
        <v>-1.398923439635178</v>
      </c>
      <c r="P61" s="143">
        <f>MAX($E$2:E61)</f>
        <v/>
      </c>
      <c r="Q61" s="144">
        <f>E61/P61-1</f>
        <v/>
      </c>
      <c r="R61" s="94" t="n">
        <v>-0.01063328470594527</v>
      </c>
    </row>
    <row r="62">
      <c r="A62" s="375" t="n">
        <v>44551</v>
      </c>
      <c r="B62" s="376" t="n">
        <v>152.3685024180904</v>
      </c>
      <c r="C62" s="376" t="n">
        <v>156.4818760508158</v>
      </c>
      <c r="D62" s="376" t="n">
        <v>150.5586219250753</v>
      </c>
      <c r="E62" s="376" t="n">
        <v>152.3136596679688</v>
      </c>
      <c r="F62" s="93" t="n">
        <v>13862900</v>
      </c>
      <c r="G62" s="94" t="n">
        <v>0.06147261845376994</v>
      </c>
      <c r="H62" s="95" t="n">
        <v>112.7597168566494</v>
      </c>
      <c r="I62" s="376" t="n">
        <v>152.2746368408203</v>
      </c>
      <c r="J62" s="376" t="n"/>
      <c r="K62" s="94" t="n">
        <v>0.300917654090734</v>
      </c>
      <c r="L62" s="94" t="n">
        <v>-0.05960515209068118</v>
      </c>
      <c r="M62" s="94" t="n">
        <v>-0.06795377667291325</v>
      </c>
      <c r="N62" t="n">
        <v>50.46888215662823</v>
      </c>
      <c r="O62" t="n">
        <v>-0.9261805558478911</v>
      </c>
      <c r="P62" s="143">
        <f>MAX($E$2:E62)</f>
        <v/>
      </c>
      <c r="Q62" s="144">
        <f>E62/P62-1</f>
        <v/>
      </c>
      <c r="R62" s="94" t="n">
        <v>0.01775889370376249</v>
      </c>
    </row>
    <row r="63">
      <c r="A63" s="375" t="n">
        <v>44552</v>
      </c>
      <c r="B63" s="376" t="n">
        <v>152.871289548554</v>
      </c>
      <c r="C63" s="376" t="n">
        <v>154.4800710662595</v>
      </c>
      <c r="D63" s="376" t="n">
        <v>149.9919189085184</v>
      </c>
      <c r="E63" s="376" t="n">
        <v>151.2259368896484</v>
      </c>
      <c r="F63" s="93" t="n">
        <v>5811300</v>
      </c>
      <c r="G63" s="94" t="n">
        <v>-0.007141334406194799</v>
      </c>
      <c r="H63" s="95" t="n">
        <v>111.9544620110282</v>
      </c>
      <c r="I63" s="376" t="n">
        <v>152.5006924438477</v>
      </c>
      <c r="J63" s="376" t="n"/>
      <c r="K63" s="94" t="n">
        <v>0.2992624129336952</v>
      </c>
      <c r="L63" s="94" t="n">
        <v>-0.06632082617346435</v>
      </c>
      <c r="M63" s="94" t="n">
        <v>-0.07460983043572289</v>
      </c>
      <c r="N63" t="n">
        <v>48.64451545863772</v>
      </c>
      <c r="O63" t="n">
        <v>-0.6484143538003411</v>
      </c>
      <c r="P63" s="143">
        <f>MAX($E$2:E63)</f>
        <v/>
      </c>
      <c r="Q63" s="144">
        <f>E63/P63-1</f>
        <v/>
      </c>
      <c r="R63" s="94" t="n">
        <v>0.009998723468615189</v>
      </c>
    </row>
    <row r="64">
      <c r="A64" s="375" t="n">
        <v>44553</v>
      </c>
      <c r="B64" s="376" t="n">
        <v>151.966311827132</v>
      </c>
      <c r="C64" s="376" t="n">
        <v>152.7981307761843</v>
      </c>
      <c r="D64" s="376" t="n">
        <v>151.225906765066</v>
      </c>
      <c r="E64" s="376" t="n">
        <v>151.4361419677734</v>
      </c>
      <c r="F64" s="93" t="n">
        <v>3876900</v>
      </c>
      <c r="G64" s="94" t="n">
        <v>0.001390006783547948</v>
      </c>
      <c r="H64" s="95" t="n">
        <v>112.110079472672</v>
      </c>
      <c r="I64" s="376" t="n">
        <v>152.6771182250976</v>
      </c>
      <c r="J64" s="376" t="n"/>
      <c r="K64" s="94" t="n">
        <v>0.2994496770460089</v>
      </c>
      <c r="L64" s="94" t="n">
        <v>-0.06502300578818809</v>
      </c>
      <c r="M64" s="94" t="n">
        <v>-0.07332353182259999</v>
      </c>
      <c r="N64" t="n">
        <v>49.02798416059289</v>
      </c>
      <c r="O64" t="n">
        <v>-0.4231081307641889</v>
      </c>
      <c r="P64" s="143">
        <f>MAX($E$2:E64)</f>
        <v/>
      </c>
      <c r="Q64" s="144">
        <f>E64/P64-1</f>
        <v/>
      </c>
      <c r="R64" s="94" t="n">
        <v>0.006222071191439804</v>
      </c>
    </row>
    <row r="65">
      <c r="A65" s="375" t="n">
        <v>44557</v>
      </c>
      <c r="B65" s="376" t="n">
        <v>152.213141888342</v>
      </c>
      <c r="C65" s="376" t="n">
        <v>153.2826175833304</v>
      </c>
      <c r="D65" s="376" t="n">
        <v>151.2624875275946</v>
      </c>
      <c r="E65" s="376" t="n">
        <v>153.1820678710938</v>
      </c>
      <c r="F65" s="93" t="n">
        <v>3769300</v>
      </c>
      <c r="G65" s="94" t="n">
        <v>0.01152912297311337</v>
      </c>
      <c r="H65" s="95" t="n">
        <v>113.4026103654379</v>
      </c>
      <c r="I65" s="376" t="n">
        <v>152.8731335449219</v>
      </c>
      <c r="J65" s="376" t="n"/>
      <c r="K65" s="94" t="n">
        <v>0.2914186713703941</v>
      </c>
      <c r="L65" s="94" t="n">
        <v>-0.05424354104488815</v>
      </c>
      <c r="M65" s="94" t="n">
        <v>-0.06263976486469247</v>
      </c>
      <c r="N65" t="n">
        <v>52.2192524768414</v>
      </c>
      <c r="O65" t="n">
        <v>-0.1435232664100204</v>
      </c>
      <c r="P65" s="143">
        <f>MAX($E$2:E65)</f>
        <v/>
      </c>
      <c r="Q65" s="144">
        <f>E65/P65-1</f>
        <v/>
      </c>
      <c r="R65" s="94" t="n">
        <v>0.01415209578587695</v>
      </c>
    </row>
    <row r="66">
      <c r="A66" s="375" t="n">
        <v>44558</v>
      </c>
      <c r="B66" s="376" t="n">
        <v>153.3831432119559</v>
      </c>
      <c r="C66" s="376" t="n">
        <v>153.7944778073188</v>
      </c>
      <c r="D66" s="376" t="n">
        <v>152.012018595546</v>
      </c>
      <c r="E66" s="376" t="n">
        <v>152.1217041015625</v>
      </c>
      <c r="F66" s="93" t="n">
        <v>2658600</v>
      </c>
      <c r="G66" s="94" t="n">
        <v>-0.006922244778831188</v>
      </c>
      <c r="H66" s="95" t="n">
        <v>112.61760973793</v>
      </c>
      <c r="I66" s="376" t="n">
        <v>153.0320645141602</v>
      </c>
      <c r="J66" s="376" t="n"/>
      <c r="K66" s="94" t="n">
        <v>0.2894723037385924</v>
      </c>
      <c r="L66" s="94" t="n">
        <v>-0.06079029875493591</v>
      </c>
      <c r="M66" s="94" t="n">
        <v>-0.06912840185824187</v>
      </c>
      <c r="N66" t="n">
        <v>50.16503515365405</v>
      </c>
      <c r="O66" t="n">
        <v>-0.02333763417240609</v>
      </c>
      <c r="P66" s="143">
        <f>MAX($E$2:E66)</f>
        <v/>
      </c>
      <c r="Q66" s="144">
        <f>E66/P66-1</f>
        <v/>
      </c>
      <c r="R66" s="94" t="n">
        <v>-0.0008172526141728698</v>
      </c>
    </row>
    <row r="67">
      <c r="A67" s="375" t="n">
        <v>44559</v>
      </c>
      <c r="B67" s="376" t="n">
        <v>152.7159018266165</v>
      </c>
      <c r="C67" s="376" t="n">
        <v>155.2113453008295</v>
      </c>
      <c r="D67" s="376" t="n">
        <v>152.2862815648541</v>
      </c>
      <c r="E67" s="376" t="n">
        <v>154.2789764404297</v>
      </c>
      <c r="F67" s="93" t="n">
        <v>3830900</v>
      </c>
      <c r="G67" s="94" t="n">
        <v>0.01418122648315134</v>
      </c>
      <c r="H67" s="95" t="n">
        <v>114.2146655676147</v>
      </c>
      <c r="I67" s="376" t="n">
        <v>153.2082278442383</v>
      </c>
      <c r="J67" s="376" t="n"/>
      <c r="K67" s="94" t="n">
        <v>0.2940027962055603</v>
      </c>
      <c r="L67" s="94" t="n">
        <v>-0.04747115326640661</v>
      </c>
      <c r="M67" s="94" t="n">
        <v>-0.05592750089826048</v>
      </c>
      <c r="N67" t="n">
        <v>54.1194240306649</v>
      </c>
      <c r="O67" t="n">
        <v>0.1960345286539683</v>
      </c>
      <c r="P67" s="143">
        <f>MAX($E$2:E67)</f>
        <v/>
      </c>
      <c r="Q67" s="144">
        <f>E67/P67-1</f>
        <v/>
      </c>
      <c r="R67" s="94" t="n">
        <v>0.001279245996236744</v>
      </c>
    </row>
    <row r="68">
      <c r="A68" s="375" t="n">
        <v>44560</v>
      </c>
      <c r="B68" s="376" t="n">
        <v>153.8493180803786</v>
      </c>
      <c r="C68" s="376" t="n">
        <v>155.5038061925292</v>
      </c>
      <c r="D68" s="376" t="n">
        <v>152.8346853226784</v>
      </c>
      <c r="E68" s="376" t="n">
        <v>153.0997772216797</v>
      </c>
      <c r="F68" s="93" t="n">
        <v>2666800</v>
      </c>
      <c r="G68" s="94" t="n">
        <v>-0.00764329169117417</v>
      </c>
      <c r="H68" s="95" t="n">
        <v>113.3416895632715</v>
      </c>
      <c r="I68" s="376" t="n">
        <v>153.390188293457</v>
      </c>
      <c r="J68" s="376" t="n"/>
      <c r="K68" s="94" t="n">
        <v>0.2901153349435694</v>
      </c>
      <c r="L68" s="94" t="n">
        <v>-0.05475160908624932</v>
      </c>
      <c r="M68" s="94" t="n">
        <v>-0.06314332238651099</v>
      </c>
      <c r="N68" t="n">
        <v>51.7043035357414</v>
      </c>
      <c r="O68" t="n">
        <v>0.2527024134745721</v>
      </c>
      <c r="P68" s="143">
        <f>MAX($E$2:E68)</f>
        <v/>
      </c>
      <c r="Q68" s="144">
        <f>E68/P68-1</f>
        <v/>
      </c>
      <c r="R68" s="94" t="n">
        <v>-0.002764481334762925</v>
      </c>
    </row>
    <row r="69">
      <c r="A69" s="375" t="n">
        <v>44561</v>
      </c>
      <c r="B69" s="376" t="n">
        <v>153.1637530802498</v>
      </c>
      <c r="C69" s="376" t="n">
        <v>153.3100097152005</v>
      </c>
      <c r="D69" s="376" t="n">
        <v>151.9297493358299</v>
      </c>
      <c r="E69" s="376" t="n">
        <v>152.3502197265625</v>
      </c>
      <c r="F69" s="93" t="n">
        <v>2752000</v>
      </c>
      <c r="G69" s="94" t="n">
        <v>-0.00489587580543549</v>
      </c>
      <c r="H69" s="95" t="n">
        <v>112.7867827275915</v>
      </c>
      <c r="I69" s="376" t="n">
        <v>153.5456600952149</v>
      </c>
      <c r="J69" s="376" t="n"/>
      <c r="K69" s="94" t="n">
        <v>0.2814219225995722</v>
      </c>
      <c r="L69" s="94" t="n">
        <v>-0.05937942781345085</v>
      </c>
      <c r="M69" s="94" t="n">
        <v>-0.06773005632759954</v>
      </c>
      <c r="N69" t="n">
        <v>50.17164150131745</v>
      </c>
      <c r="O69" t="n">
        <v>0.2312625559493703</v>
      </c>
      <c r="P69" s="143">
        <f>MAX($E$2:E69)</f>
        <v/>
      </c>
      <c r="Q69" s="144">
        <f>E69/P69-1</f>
        <v/>
      </c>
      <c r="R69" s="94" t="n">
        <v>-0.002520243445082948</v>
      </c>
    </row>
    <row r="70">
      <c r="A70" s="375" t="n">
        <v>44564</v>
      </c>
      <c r="B70" s="376" t="n">
        <v>153.1363579880631</v>
      </c>
      <c r="C70" s="376" t="n">
        <v>153.4837140687389</v>
      </c>
      <c r="D70" s="376" t="n">
        <v>149.2789257529265</v>
      </c>
      <c r="E70" s="376" t="n">
        <v>150.5220794677734</v>
      </c>
      <c r="F70" s="93" t="n">
        <v>5670500</v>
      </c>
      <c r="G70" s="94" t="n">
        <v>-0.01199959056225974</v>
      </c>
      <c r="H70" s="95" t="n">
        <v>111.4333875140259</v>
      </c>
      <c r="I70" s="376" t="n">
        <v>153.5965002441406</v>
      </c>
      <c r="J70" s="376" t="n"/>
      <c r="K70" s="94" t="n">
        <v>0.2837497775716166</v>
      </c>
      <c r="L70" s="94" t="n">
        <v>-0.07066648955412791</v>
      </c>
      <c r="M70" s="94" t="n">
        <v>-0.07891691394516931</v>
      </c>
      <c r="N70" t="n">
        <v>46.54749871012934</v>
      </c>
      <c r="O70" t="n">
        <v>0.09263046512326067</v>
      </c>
      <c r="P70" s="143">
        <f>MAX($E$2:E70)</f>
        <v/>
      </c>
      <c r="Q70" s="144">
        <f>E70/P70-1</f>
        <v/>
      </c>
      <c r="R70" s="94" t="n">
        <v>0.005789888065267368</v>
      </c>
    </row>
    <row r="71">
      <c r="A71" s="375" t="n">
        <v>44565</v>
      </c>
      <c r="B71" s="376" t="n">
        <v>151.6280914931417</v>
      </c>
      <c r="C71" s="376" t="n">
        <v>152.8163882269855</v>
      </c>
      <c r="D71" s="376" t="n">
        <v>150.8236939952047</v>
      </c>
      <c r="E71" s="376" t="n">
        <v>152.0942687988281</v>
      </c>
      <c r="F71" s="93" t="n">
        <v>6064200</v>
      </c>
      <c r="G71" s="94" t="n">
        <v>0.01044490839226864</v>
      </c>
      <c r="H71" s="95" t="n">
        <v>112.59729903845</v>
      </c>
      <c r="I71" s="376" t="n">
        <v>153.6550616455078</v>
      </c>
      <c r="J71" s="376" t="n"/>
      <c r="K71" s="94" t="n">
        <v>0.285768131270969</v>
      </c>
      <c r="L71" s="94" t="n">
        <v>-0.06095968617165537</v>
      </c>
      <c r="M71" s="94" t="n">
        <v>-0.06929628548965838</v>
      </c>
      <c r="N71" t="n">
        <v>49.89924600494011</v>
      </c>
      <c r="O71" t="n">
        <v>0.1046018432014166</v>
      </c>
      <c r="P71" s="143">
        <f>MAX($E$2:E71)</f>
        <v/>
      </c>
      <c r="Q71" s="144">
        <f>E71/P71-1</f>
        <v/>
      </c>
      <c r="R71" s="94" t="n">
        <v>-0.0003348696043624644</v>
      </c>
    </row>
    <row r="72">
      <c r="A72" s="375" t="n">
        <v>44566</v>
      </c>
      <c r="B72" s="376" t="n">
        <v>152.1857153049086</v>
      </c>
      <c r="C72" s="376" t="n">
        <v>152.6610285212302</v>
      </c>
      <c r="D72" s="376" t="n">
        <v>148.1728906592323</v>
      </c>
      <c r="E72" s="376" t="n">
        <v>148.3099975585938</v>
      </c>
      <c r="F72" s="93" t="n">
        <v>5021000</v>
      </c>
      <c r="G72" s="94" t="n">
        <v>-0.02488109032720853</v>
      </c>
      <c r="H72" s="95" t="n">
        <v>109.7957554704746</v>
      </c>
      <c r="I72" s="376" t="n">
        <v>153.6244329833984</v>
      </c>
      <c r="J72" s="376" t="n"/>
      <c r="K72" s="94" t="n">
        <v>0.2925968303868827</v>
      </c>
      <c r="L72" s="94" t="n">
        <v>-0.08432403304090885</v>
      </c>
      <c r="M72" s="94" t="n">
        <v>-0.09245320867825868</v>
      </c>
      <c r="N72" t="n">
        <v>42.92253554702478</v>
      </c>
      <c r="O72" t="n">
        <v>-0.1317342102564383</v>
      </c>
      <c r="P72" s="143">
        <f>MAX($E$2:E72)</f>
        <v/>
      </c>
      <c r="Q72" s="144">
        <f>E72/P72-1</f>
        <v/>
      </c>
      <c r="R72" s="94" t="n">
        <v>-0.01920208157133141</v>
      </c>
    </row>
    <row r="73">
      <c r="A73" s="375" t="n">
        <v>44567</v>
      </c>
      <c r="B73" s="376" t="n">
        <v>148.1637698184518</v>
      </c>
      <c r="C73" s="376" t="n">
        <v>149.1692671026915</v>
      </c>
      <c r="D73" s="376" t="n">
        <v>145.3940983283612</v>
      </c>
      <c r="E73" s="376" t="n">
        <v>147.2039794921875</v>
      </c>
      <c r="F73" s="93" t="n">
        <v>4144600</v>
      </c>
      <c r="G73" s="94" t="n">
        <v>-0.007457474779940521</v>
      </c>
      <c r="H73" s="95" t="n">
        <v>108.976956393109</v>
      </c>
      <c r="I73" s="376" t="n">
        <v>153.5795309448242</v>
      </c>
      <c r="J73" s="376" t="n"/>
      <c r="K73" s="94" t="n">
        <v>0.2928594083512033</v>
      </c>
      <c r="L73" s="94" t="n">
        <v>-0.09115266347110373</v>
      </c>
      <c r="M73" s="94" t="n">
        <v>-0.09922121598615652</v>
      </c>
      <c r="N73" t="n">
        <v>41.11326572766269</v>
      </c>
      <c r="O73" t="n">
        <v>-0.3400953152593946</v>
      </c>
      <c r="P73" s="143">
        <f>MAX($E$2:E73)</f>
        <v/>
      </c>
      <c r="Q73" s="144">
        <f>E73/P73-1</f>
        <v/>
      </c>
      <c r="R73" s="94" t="n">
        <v>-0.0009393045827873481</v>
      </c>
    </row>
    <row r="74">
      <c r="A74" s="375" t="n">
        <v>44568</v>
      </c>
      <c r="B74" s="376" t="n">
        <v>146.9571615654096</v>
      </c>
      <c r="C74" s="376" t="n">
        <v>147.2953678897858</v>
      </c>
      <c r="D74" s="376" t="n">
        <v>143.3830928671209</v>
      </c>
      <c r="E74" s="376" t="n">
        <v>143.483642578125</v>
      </c>
      <c r="F74" s="93" t="n">
        <v>5108000</v>
      </c>
      <c r="G74" s="94" t="n">
        <v>-0.02527334469418985</v>
      </c>
      <c r="H74" s="95" t="n">
        <v>106.2227442104623</v>
      </c>
      <c r="I74" s="376" t="n">
        <v>153.486501159668</v>
      </c>
      <c r="J74" s="376" t="n"/>
      <c r="K74" s="94" t="n">
        <v>0.3018919815353093</v>
      </c>
      <c r="L74" s="94" t="n">
        <v>-0.1141222754815949</v>
      </c>
      <c r="M74" s="94" t="n">
        <v>-0.1219869086877515</v>
      </c>
      <c r="N74" t="n">
        <v>35.6671038072985</v>
      </c>
      <c r="O74" t="n">
        <v>-0.6860642064252298</v>
      </c>
      <c r="P74" s="143">
        <f>MAX($E$2:E74)</f>
        <v/>
      </c>
      <c r="Q74" s="144">
        <f>E74/P74-1</f>
        <v/>
      </c>
      <c r="R74" s="94" t="n">
        <v>-0.003953707828349806</v>
      </c>
    </row>
    <row r="75">
      <c r="A75" s="375" t="n">
        <v>44571</v>
      </c>
      <c r="B75" s="376" t="n">
        <v>137.5877767510689</v>
      </c>
      <c r="C75" s="376" t="n">
        <v>138.3281817477295</v>
      </c>
      <c r="D75" s="376" t="n">
        <v>135.9972673134945</v>
      </c>
      <c r="E75" s="376" t="n">
        <v>137.5146484375</v>
      </c>
      <c r="F75" s="93" t="n">
        <v>10439000</v>
      </c>
      <c r="G75" s="94" t="n">
        <v>-0.04160051998523073</v>
      </c>
      <c r="H75" s="95" t="n">
        <v>101.8038228170489</v>
      </c>
      <c r="I75" s="376" t="n">
        <v>153.2355862426758</v>
      </c>
      <c r="J75" s="376" t="n"/>
      <c r="K75" s="94" t="n">
        <v>0.3287782612444252</v>
      </c>
      <c r="L75" s="94" t="n">
        <v>-0.1509752494648936</v>
      </c>
      <c r="M75" s="94" t="n">
        <v>-0.158512709840181</v>
      </c>
      <c r="N75" t="n">
        <v>29.02402035123012</v>
      </c>
      <c r="O75" t="n">
        <v>-1.242087102913673</v>
      </c>
      <c r="P75" s="143">
        <f>MAX($E$2:E75)</f>
        <v/>
      </c>
      <c r="Q75" s="144">
        <f>E75/P75-1</f>
        <v/>
      </c>
      <c r="R75" s="94" t="n">
        <v>-0.001244514613489622</v>
      </c>
    </row>
    <row r="76">
      <c r="A76" s="375" t="n">
        <v>44572</v>
      </c>
      <c r="B76" s="376" t="n">
        <v>137.551231767166</v>
      </c>
      <c r="C76" s="376" t="n">
        <v>137.8803022668785</v>
      </c>
      <c r="D76" s="376" t="n">
        <v>134.9186817172687</v>
      </c>
      <c r="E76" s="376" t="n">
        <v>137.3867034912109</v>
      </c>
      <c r="F76" s="93" t="n">
        <v>8175400</v>
      </c>
      <c r="G76" s="94" t="n">
        <v>-0.0009304095799452794</v>
      </c>
      <c r="H76" s="95" t="n">
        <v>101.7091035650249</v>
      </c>
      <c r="I76" s="376" t="n">
        <v>152.9304684448242</v>
      </c>
      <c r="J76" s="376" t="n"/>
      <c r="K76" s="94" t="n">
        <v>0.3279308245835486</v>
      </c>
      <c r="L76" s="94" t="n">
        <v>-0.1517651902264021</v>
      </c>
      <c r="M76" s="94" t="n">
        <v>-0.1592956376763479</v>
      </c>
      <c r="N76" t="n">
        <v>28.89976849268804</v>
      </c>
      <c r="O76" t="n">
        <v>-1.525027059915329</v>
      </c>
      <c r="P76" s="143">
        <f>MAX($E$2:E76)</f>
        <v/>
      </c>
      <c r="Q76" s="144">
        <f>E76/P76-1</f>
        <v/>
      </c>
      <c r="R76" s="94" t="n">
        <v>0.00910843045635179</v>
      </c>
    </row>
    <row r="77">
      <c r="A77" s="375" t="n">
        <v>44573</v>
      </c>
      <c r="B77" s="376" t="n">
        <v>139.0594400515298</v>
      </c>
      <c r="C77" s="376" t="n">
        <v>140.2751720173339</v>
      </c>
      <c r="D77" s="376" t="n">
        <v>137.7888653417914</v>
      </c>
      <c r="E77" s="376" t="n">
        <v>139.132568359375</v>
      </c>
      <c r="F77" s="93" t="n">
        <v>6351200</v>
      </c>
      <c r="G77" s="94" t="n">
        <v>0.01270766983848448</v>
      </c>
      <c r="H77" s="95" t="n">
        <v>103.0015892726974</v>
      </c>
      <c r="I77" s="376" t="n">
        <v>152.6777865600586</v>
      </c>
      <c r="J77" s="376" t="n"/>
      <c r="K77" s="94" t="n">
        <v>0.3335029913019262</v>
      </c>
      <c r="L77" s="94" t="n">
        <v>-0.1409861023182897</v>
      </c>
      <c r="M77" s="94" t="n">
        <v>-0.1486122442081653</v>
      </c>
      <c r="N77" t="n">
        <v>33.1079275623817</v>
      </c>
      <c r="O77" t="n">
        <v>-1.498913730912373</v>
      </c>
      <c r="P77" s="143">
        <f>MAX($E$2:E77)</f>
        <v/>
      </c>
      <c r="Q77" s="144">
        <f>E77/P77-1</f>
        <v/>
      </c>
      <c r="R77" s="94" t="n">
        <v>0.002703656390543596</v>
      </c>
    </row>
    <row r="78">
      <c r="A78" s="375" t="n">
        <v>44574</v>
      </c>
      <c r="B78" s="376" t="n">
        <v>140.037573552838</v>
      </c>
      <c r="C78" s="376" t="n">
        <v>140.4032152801177</v>
      </c>
      <c r="D78" s="376" t="n">
        <v>136.2167116504529</v>
      </c>
      <c r="E78" s="376" t="n">
        <v>136.7377319335938</v>
      </c>
      <c r="F78" s="93" t="n">
        <v>4990900</v>
      </c>
      <c r="G78" s="94" t="n">
        <v>-0.01721262285330249</v>
      </c>
      <c r="H78" s="95" t="n">
        <v>101.2286617632557</v>
      </c>
      <c r="I78" s="376" t="n">
        <v>152.3498345947266</v>
      </c>
      <c r="J78" s="376" t="n"/>
      <c r="K78" s="94" t="n">
        <v>0.3364044742169924</v>
      </c>
      <c r="L78" s="94" t="n">
        <v>-0.1557719845648303</v>
      </c>
      <c r="M78" s="94" t="n">
        <v>-0.1632668605505299</v>
      </c>
      <c r="N78" t="n">
        <v>30.44597150263797</v>
      </c>
      <c r="O78" t="n">
        <v>-1.541294249009987</v>
      </c>
      <c r="P78" s="143">
        <f>MAX($E$2:E78)</f>
        <v/>
      </c>
      <c r="Q78" s="144">
        <f>E78/P78-1</f>
        <v/>
      </c>
      <c r="R78" s="94" t="n">
        <v>-0.01377852105814414</v>
      </c>
    </row>
    <row r="79">
      <c r="A79" s="375" t="n">
        <v>44575</v>
      </c>
      <c r="B79" s="376" t="n">
        <v>135.6408161632007</v>
      </c>
      <c r="C79" s="376" t="n">
        <v>136.0521508460066</v>
      </c>
      <c r="D79" s="376" t="n">
        <v>134.2331340614682</v>
      </c>
      <c r="E79" s="376" t="n">
        <v>135.4488525390625</v>
      </c>
      <c r="F79" s="93" t="n">
        <v>6030500</v>
      </c>
      <c r="G79" s="94" t="n">
        <v>-0.009425923454377538</v>
      </c>
      <c r="H79" s="95" t="n">
        <v>100.2744881460862</v>
      </c>
      <c r="I79" s="376" t="n">
        <v>151.9108831787109</v>
      </c>
      <c r="J79" s="376" t="n"/>
      <c r="K79" s="94" t="n">
        <v>0.3367475503200992</v>
      </c>
      <c r="L79" s="94" t="n">
        <v>-0.1637296132163633</v>
      </c>
      <c r="M79" s="94" t="n">
        <v>-0.1711538430747215</v>
      </c>
      <c r="N79" t="n">
        <v>29.09034853132894</v>
      </c>
      <c r="O79" t="n">
        <v>-1.550291211352357</v>
      </c>
      <c r="P79" s="143">
        <f>MAX($E$2:E79)</f>
        <v/>
      </c>
      <c r="Q79" s="144">
        <f>E79/P79-1</f>
        <v/>
      </c>
      <c r="R79" s="94" t="n">
        <v>0.000408975196210859</v>
      </c>
    </row>
    <row r="80">
      <c r="A80" s="375" t="n">
        <v>44579</v>
      </c>
      <c r="B80" s="376" t="n">
        <v>135.3391568392839</v>
      </c>
      <c r="C80" s="376" t="n">
        <v>136.0430048111594</v>
      </c>
      <c r="D80" s="376" t="n">
        <v>133.7303754227998</v>
      </c>
      <c r="E80" s="376" t="n">
        <v>134.3245239257812</v>
      </c>
      <c r="F80" s="93" t="n">
        <v>6931000</v>
      </c>
      <c r="G80" s="94" t="n">
        <v>-0.008300761447624705</v>
      </c>
      <c r="H80" s="95" t="n">
        <v>99.44213354070286</v>
      </c>
      <c r="I80" s="376" t="n">
        <v>151.3957922363281</v>
      </c>
      <c r="J80" s="376" t="n"/>
      <c r="K80" s="94" t="n">
        <v>0.3367388053831622</v>
      </c>
      <c r="L80" s="94" t="n">
        <v>-0.1706712942027672</v>
      </c>
      <c r="M80" s="94" t="n">
        <v>-0.1780338973001387</v>
      </c>
      <c r="N80" t="n">
        <v>27.92239022122838</v>
      </c>
      <c r="O80" t="n">
        <v>-1.523857698360448</v>
      </c>
      <c r="P80" s="143">
        <f>MAX($E$2:E80)</f>
        <v/>
      </c>
      <c r="Q80" s="144">
        <f>E80/P80-1</f>
        <v/>
      </c>
      <c r="R80" s="94" t="n">
        <v>-0.0177096494850929</v>
      </c>
    </row>
    <row r="81">
      <c r="A81" s="375" t="n">
        <v>44580</v>
      </c>
      <c r="B81" s="376" t="n">
        <v>135.0649545258067</v>
      </c>
      <c r="C81" s="376" t="n">
        <v>136.2898368491558</v>
      </c>
      <c r="D81" s="376" t="n">
        <v>132.5603750038448</v>
      </c>
      <c r="E81" s="376" t="n">
        <v>132.6426391601562</v>
      </c>
      <c r="F81" s="93" t="n">
        <v>4823800</v>
      </c>
      <c r="G81" s="94" t="n">
        <v>-0.01252105510200274</v>
      </c>
      <c r="H81" s="95" t="n">
        <v>98.197013107179</v>
      </c>
      <c r="I81" s="376" t="n">
        <v>150.8092895507812</v>
      </c>
      <c r="J81" s="376" t="n"/>
      <c r="K81" s="94" t="n">
        <v>0.327545977692881</v>
      </c>
      <c r="L81" s="94" t="n">
        <v>-0.1810553646257269</v>
      </c>
      <c r="M81" s="94" t="n">
        <v>-0.1883257801640222</v>
      </c>
      <c r="N81" t="n">
        <v>26.22610136560264</v>
      </c>
      <c r="O81" t="n">
        <v>-1.508711489412215</v>
      </c>
      <c r="P81" s="143">
        <f>MAX($E$2:E81)</f>
        <v/>
      </c>
      <c r="Q81" s="144">
        <f>E81/P81-1</f>
        <v/>
      </c>
      <c r="R81" s="94" t="n">
        <v>-0.01038358996479471</v>
      </c>
    </row>
    <row r="82">
      <c r="A82" s="375" t="n">
        <v>44581</v>
      </c>
      <c r="B82" s="376" t="n">
        <v>132.9625283348667</v>
      </c>
      <c r="C82" s="376" t="n">
        <v>134.7175661401616</v>
      </c>
      <c r="D82" s="376" t="n">
        <v>130.2568363343284</v>
      </c>
      <c r="E82" s="376" t="n">
        <v>130.4670715332031</v>
      </c>
      <c r="F82" s="93" t="n">
        <v>5366500</v>
      </c>
      <c r="G82" s="94" t="n">
        <v>-0.01640172150319086</v>
      </c>
      <c r="H82" s="95" t="n">
        <v>96.58641304574986</v>
      </c>
      <c r="I82" s="376" t="n">
        <v>150.2825634765625</v>
      </c>
      <c r="J82" s="376" t="n"/>
      <c r="K82" s="94" t="n">
        <v>0.2214047317622453</v>
      </c>
      <c r="L82" s="94" t="n">
        <v>-0.1944874664616679</v>
      </c>
      <c r="M82" s="94" t="n">
        <v>-0.2016386346690917</v>
      </c>
      <c r="N82" t="n">
        <v>24.17983752746345</v>
      </c>
      <c r="O82" t="n">
        <v>-1.529500961479568</v>
      </c>
      <c r="P82" s="143">
        <f>MAX($E$2:E82)</f>
        <v/>
      </c>
      <c r="Q82" s="144">
        <f>E82/P82-1</f>
        <v/>
      </c>
      <c r="R82" s="94" t="n">
        <v>-0.01106811773335159</v>
      </c>
    </row>
    <row r="83">
      <c r="A83" s="375" t="n">
        <v>44582</v>
      </c>
      <c r="B83" s="376" t="n">
        <v>131.9205011672504</v>
      </c>
      <c r="C83" s="376" t="n">
        <v>133.7852248578465</v>
      </c>
      <c r="D83" s="376" t="n">
        <v>130.5767976756342</v>
      </c>
      <c r="E83" s="376" t="n">
        <v>130.6681976318359</v>
      </c>
      <c r="F83" s="93" t="n">
        <v>7553400</v>
      </c>
      <c r="G83" s="94" t="n">
        <v>0.001541585139217538</v>
      </c>
      <c r="H83" s="95" t="n">
        <v>96.73530922475152</v>
      </c>
      <c r="I83" s="376" t="n">
        <v>149.7239096069336</v>
      </c>
      <c r="J83" s="376" t="n"/>
      <c r="K83" s="94" t="n">
        <v>0.2237850112981603</v>
      </c>
      <c r="L83" s="94" t="n">
        <v>-0.1932457003105118</v>
      </c>
      <c r="M83" s="94" t="n">
        <v>-0.2004078926525721</v>
      </c>
      <c r="N83" t="n">
        <v>24.76426762278327</v>
      </c>
      <c r="O83" t="n">
        <v>-1.416563320484475</v>
      </c>
      <c r="P83" s="143">
        <f>MAX($E$2:E83)</f>
        <v/>
      </c>
      <c r="Q83" s="144">
        <f>E83/P83-1</f>
        <v/>
      </c>
      <c r="R83" s="94" t="n">
        <v>-0.01963050902424812</v>
      </c>
    </row>
    <row r="84">
      <c r="A84" s="375" t="n">
        <v>44585</v>
      </c>
      <c r="B84" s="376" t="n">
        <v>128.7120375183334</v>
      </c>
      <c r="C84" s="376" t="n">
        <v>133.7394945073605</v>
      </c>
      <c r="D84" s="376" t="n">
        <v>127.5694336571909</v>
      </c>
      <c r="E84" s="376" t="n">
        <v>133.4561309814453</v>
      </c>
      <c r="F84" s="93" t="n">
        <v>9733200</v>
      </c>
      <c r="G84" s="94" t="n">
        <v>0.02133597462991355</v>
      </c>
      <c r="H84" s="95" t="n">
        <v>98.79925132818767</v>
      </c>
      <c r="I84" s="376" t="n">
        <v>149.3224783325195</v>
      </c>
      <c r="J84" s="376" t="n"/>
      <c r="K84" s="94" t="n">
        <v>0.2441899995194795</v>
      </c>
      <c r="L84" s="94" t="n">
        <v>-0.1760328110397632</v>
      </c>
      <c r="M84" s="94" t="n">
        <v>-0.1833478157359284</v>
      </c>
      <c r="N84" t="n">
        <v>32.52799245440038</v>
      </c>
      <c r="O84" t="n">
        <v>-1.057415863655504</v>
      </c>
      <c r="P84" s="143">
        <f>MAX($E$2:E84)</f>
        <v/>
      </c>
      <c r="Q84" s="144">
        <f>E84/P84-1</f>
        <v/>
      </c>
      <c r="R84" s="94" t="n">
        <v>0.004246506424063989</v>
      </c>
    </row>
    <row r="85">
      <c r="A85" s="375" t="n">
        <v>44586</v>
      </c>
      <c r="B85" s="376" t="n">
        <v>132.514627087211</v>
      </c>
      <c r="C85" s="376" t="n">
        <v>135.2477405560599</v>
      </c>
      <c r="D85" s="376" t="n">
        <v>130.2659765417519</v>
      </c>
      <c r="E85" s="376" t="n">
        <v>132.9808044433594</v>
      </c>
      <c r="F85" s="93" t="n">
        <v>8195400</v>
      </c>
      <c r="G85" s="94" t="n">
        <v>-0.003561668801503215</v>
      </c>
      <c r="H85" s="95" t="n">
        <v>98.44736111712018</v>
      </c>
      <c r="I85" s="376" t="n">
        <v>148.9350817871094</v>
      </c>
      <c r="J85" s="376" t="n"/>
      <c r="K85" s="94" t="n">
        <v>0.2353861749725027</v>
      </c>
      <c r="L85" s="94" t="n">
        <v>-0.1789675092701452</v>
      </c>
      <c r="M85" s="94" t="n">
        <v>-0.1862564603423011</v>
      </c>
      <c r="N85" t="n">
        <v>31.92314479038879</v>
      </c>
      <c r="O85" t="n">
        <v>-0.7686195251047341</v>
      </c>
      <c r="P85" s="143">
        <f>MAX($E$2:E85)</f>
        <v/>
      </c>
      <c r="Q85" s="144">
        <f>E85/P85-1</f>
        <v/>
      </c>
      <c r="R85" s="94" t="n">
        <v>-0.01220899335275982</v>
      </c>
    </row>
    <row r="86">
      <c r="A86" s="375" t="n">
        <v>44587</v>
      </c>
      <c r="B86" s="376" t="n">
        <v>135.0832200495004</v>
      </c>
      <c r="C86" s="376" t="n">
        <v>136.1709813364117</v>
      </c>
      <c r="D86" s="376" t="n">
        <v>130.4670968993707</v>
      </c>
      <c r="E86" s="376" t="n">
        <v>131.6188507080078</v>
      </c>
      <c r="F86" s="93" t="n">
        <v>7444600</v>
      </c>
      <c r="G86" s="94" t="n">
        <v>-0.01024173181274191</v>
      </c>
      <c r="H86" s="95" t="n">
        <v>97.43908964688647</v>
      </c>
      <c r="I86" s="376" t="n">
        <v>148.4817584228516</v>
      </c>
      <c r="J86" s="376" t="n"/>
      <c r="K86" s="94" t="n">
        <v>0.2356774402041561</v>
      </c>
      <c r="L86" s="94" t="n">
        <v>-0.1873763038497479</v>
      </c>
      <c r="M86" s="94" t="n">
        <v>-0.1945906034398266</v>
      </c>
      <c r="N86" t="n">
        <v>30.1908603188373</v>
      </c>
      <c r="O86" t="n">
        <v>-0.5938877228764863</v>
      </c>
      <c r="P86" s="143">
        <f>MAX($E$2:E86)</f>
        <v/>
      </c>
      <c r="Q86" s="144">
        <f>E86/P86-1</f>
        <v/>
      </c>
      <c r="R86" s="94" t="n">
        <v>-0.002508604173303786</v>
      </c>
    </row>
    <row r="87">
      <c r="A87" s="375" t="n">
        <v>44588</v>
      </c>
      <c r="B87" s="376" t="n">
        <v>132.5329321451943</v>
      </c>
      <c r="C87" s="376" t="n">
        <v>134.6901691194979</v>
      </c>
      <c r="D87" s="376" t="n">
        <v>131.2440714472503</v>
      </c>
      <c r="E87" s="376" t="n">
        <v>132.2129974365234</v>
      </c>
      <c r="F87" s="93" t="n">
        <v>6396400</v>
      </c>
      <c r="G87" s="94" t="n">
        <v>0.004514146152466481</v>
      </c>
      <c r="H87" s="95" t="n">
        <v>97.8789439385158</v>
      </c>
      <c r="I87" s="376" t="n">
        <v>148.044697265625</v>
      </c>
      <c r="J87" s="376" t="n"/>
      <c r="K87" s="94" t="n">
        <v>0.2264120766572556</v>
      </c>
      <c r="L87" s="94" t="n">
        <v>-0.1837080017183682</v>
      </c>
      <c r="M87" s="94" t="n">
        <v>-0.1909548677111841</v>
      </c>
      <c r="N87" t="n">
        <v>31.92629772417102</v>
      </c>
      <c r="O87" t="n">
        <v>-0.3736217399730872</v>
      </c>
      <c r="P87" s="143">
        <f>MAX($E$2:E87)</f>
        <v/>
      </c>
      <c r="Q87" s="144">
        <f>E87/P87-1</f>
        <v/>
      </c>
      <c r="R87" s="94" t="n">
        <v>-0.004937920562027243</v>
      </c>
    </row>
    <row r="88">
      <c r="A88" s="375" t="n">
        <v>44589</v>
      </c>
      <c r="B88" s="376" t="n">
        <v>131.7376844038209</v>
      </c>
      <c r="C88" s="376" t="n">
        <v>133.4835869029467</v>
      </c>
      <c r="D88" s="376" t="n">
        <v>128.5292569526215</v>
      </c>
      <c r="E88" s="376" t="n">
        <v>133.3739013671875</v>
      </c>
      <c r="F88" s="93" t="n">
        <v>6130200</v>
      </c>
      <c r="G88" s="94" t="n">
        <v>0.008780558289826379</v>
      </c>
      <c r="H88" s="95" t="n">
        <v>98.73837571111459</v>
      </c>
      <c r="I88" s="376" t="n">
        <v>147.5764727783203</v>
      </c>
      <c r="J88" s="376" t="n"/>
      <c r="K88" s="94" t="n">
        <v>0.2337477957430106</v>
      </c>
      <c r="L88" s="94" t="n">
        <v>-0.1765405022459374</v>
      </c>
      <c r="M88" s="94" t="n">
        <v>-0.1838509997680218</v>
      </c>
      <c r="N88" t="n">
        <v>35.31021420830808</v>
      </c>
      <c r="O88" t="n">
        <v>-0.09934184144803826</v>
      </c>
      <c r="P88" s="143">
        <f>MAX($E$2:E88)</f>
        <v/>
      </c>
      <c r="Q88" s="144">
        <f>E88/P88-1</f>
        <v/>
      </c>
      <c r="R88" s="94" t="n">
        <v>0.02483527007655018</v>
      </c>
    </row>
    <row r="89">
      <c r="A89" s="375" t="n">
        <v>44592</v>
      </c>
      <c r="B89" s="376" t="n">
        <v>133.7029446789856</v>
      </c>
      <c r="C89" s="376" t="n">
        <v>135.448832874565</v>
      </c>
      <c r="D89" s="376" t="n">
        <v>132.743154593245</v>
      </c>
      <c r="E89" s="376" t="n">
        <v>135.3482971191406</v>
      </c>
      <c r="F89" s="93" t="n">
        <v>6932200</v>
      </c>
      <c r="G89" s="94" t="n">
        <v>0.01480346403392274</v>
      </c>
      <c r="H89" s="95" t="n">
        <v>100.200045704722</v>
      </c>
      <c r="I89" s="376" t="n">
        <v>147.1493789672851</v>
      </c>
      <c r="J89" s="376" t="n"/>
      <c r="K89" s="94" t="n">
        <v>0.2459805145985809</v>
      </c>
      <c r="L89" s="94" t="n">
        <v>-0.164350449187543</v>
      </c>
      <c r="M89" s="94" t="n">
        <v>-0.1717691673967656</v>
      </c>
      <c r="N89" t="n">
        <v>40.70849361364883</v>
      </c>
      <c r="O89" t="n">
        <v>0.2465562951794364</v>
      </c>
      <c r="P89" s="143">
        <f>MAX($E$2:E89)</f>
        <v/>
      </c>
      <c r="Q89" s="144">
        <f>E89/P89-1</f>
        <v/>
      </c>
      <c r="R89" s="94" t="n">
        <v>0.01801115544531484</v>
      </c>
    </row>
    <row r="90">
      <c r="A90" s="375" t="n">
        <v>44593</v>
      </c>
      <c r="B90" s="376" t="n">
        <v>136.6554071930643</v>
      </c>
      <c r="C90" s="376" t="n">
        <v>136.819935436547</v>
      </c>
      <c r="D90" s="376" t="n">
        <v>134.1873859062278</v>
      </c>
      <c r="E90" s="376" t="n">
        <v>135.4853820800781</v>
      </c>
      <c r="F90" s="93" t="n">
        <v>6695000</v>
      </c>
      <c r="G90" s="94" t="n">
        <v>0.001012831072539022</v>
      </c>
      <c r="H90" s="95" t="n">
        <v>100.3015314244816</v>
      </c>
      <c r="I90" s="376" t="n">
        <v>146.7321432495117</v>
      </c>
      <c r="J90" s="376" t="n"/>
      <c r="K90" s="94" t="n">
        <v>0.2459561601232547</v>
      </c>
      <c r="L90" s="94" t="n">
        <v>-0.163504077356727</v>
      </c>
      <c r="M90" s="94" t="n">
        <v>-0.1709303094742703</v>
      </c>
      <c r="N90" t="n">
        <v>41.07615751730295</v>
      </c>
      <c r="O90" t="n">
        <v>0.5013959700225357</v>
      </c>
      <c r="P90" s="143">
        <f>MAX($E$2:E90)</f>
        <v/>
      </c>
      <c r="Q90" s="144">
        <f>E90/P90-1</f>
        <v/>
      </c>
      <c r="R90" s="94" t="n">
        <v>0.006756963308037101</v>
      </c>
    </row>
    <row r="91">
      <c r="A91" s="375" t="n">
        <v>44594</v>
      </c>
      <c r="B91" s="376" t="n">
        <v>135.6042485812002</v>
      </c>
      <c r="C91" s="376" t="n">
        <v>136.6188814932229</v>
      </c>
      <c r="D91" s="376" t="n">
        <v>134.8546936606957</v>
      </c>
      <c r="E91" s="376" t="n">
        <v>135.9333190917969</v>
      </c>
      <c r="F91" s="93" t="n">
        <v>5491700</v>
      </c>
      <c r="G91" s="94" t="n">
        <v>0.003306164878023488</v>
      </c>
      <c r="H91" s="95" t="n">
        <v>100.6331448248892</v>
      </c>
      <c r="I91" s="376" t="n">
        <v>146.2594476318359</v>
      </c>
      <c r="J91" s="376" t="n"/>
      <c r="K91" s="94" t="n">
        <v>0.2412189414538734</v>
      </c>
      <c r="L91" s="94" t="n">
        <v>-0.1481172044249767</v>
      </c>
      <c r="M91" s="94" t="n">
        <v>-0.1681892683820203</v>
      </c>
      <c r="N91" t="n">
        <v>42.33446464606747</v>
      </c>
      <c r="O91" t="n">
        <v>0.7044979170929935</v>
      </c>
      <c r="P91" s="143">
        <f>MAX($E$2:E91)</f>
        <v/>
      </c>
      <c r="Q91" s="144">
        <f>E91/P91-1</f>
        <v/>
      </c>
      <c r="R91" s="94" t="n">
        <v>0.009714244982279796</v>
      </c>
    </row>
    <row r="92">
      <c r="A92" s="375" t="n">
        <v>44595</v>
      </c>
      <c r="B92" s="376" t="n">
        <v>134.7358392081933</v>
      </c>
      <c r="C92" s="376" t="n">
        <v>135.7047789804827</v>
      </c>
      <c r="D92" s="376" t="n">
        <v>132.5146240385978</v>
      </c>
      <c r="E92" s="376" t="n">
        <v>132.8254089355469</v>
      </c>
      <c r="F92" s="93" t="n">
        <v>5240200</v>
      </c>
      <c r="G92" s="94" t="n">
        <v>-0.02286349054826808</v>
      </c>
      <c r="H92" s="95" t="n">
        <v>98.33231986934284</v>
      </c>
      <c r="I92" s="376" t="n">
        <v>145.7362734985352</v>
      </c>
      <c r="J92" s="376" t="n"/>
      <c r="K92" s="94" t="n">
        <v>0.2391653889554508</v>
      </c>
      <c r="L92" s="94" t="n">
        <v>-0.1675942186698385</v>
      </c>
      <c r="M92" s="94" t="n">
        <v>-0.187207365182316</v>
      </c>
      <c r="N92" t="n">
        <v>36.50898664533091</v>
      </c>
      <c r="O92" t="n">
        <v>0.6359931666357177</v>
      </c>
      <c r="P92" s="143">
        <f>MAX($E$2:E92)</f>
        <v/>
      </c>
      <c r="Q92" s="144">
        <f>E92/P92-1</f>
        <v/>
      </c>
      <c r="R92" s="94" t="n">
        <v>-0.02350522596658944</v>
      </c>
    </row>
    <row r="93">
      <c r="A93" s="375" t="n">
        <v>44596</v>
      </c>
      <c r="B93" s="376" t="n">
        <v>132.8802740004214</v>
      </c>
      <c r="C93" s="376" t="n">
        <v>133.8949069384307</v>
      </c>
      <c r="D93" s="376" t="n">
        <v>131.2989139260151</v>
      </c>
      <c r="E93" s="376" t="n">
        <v>132.8985595703125</v>
      </c>
      <c r="F93" s="93" t="n">
        <v>4313400</v>
      </c>
      <c r="G93" s="94" t="n">
        <v>0.0005507277210876627</v>
      </c>
      <c r="H93" s="95" t="n">
        <v>98.38647420377376</v>
      </c>
      <c r="I93" s="376" t="n">
        <v>145.2527029418945</v>
      </c>
      <c r="J93" s="376" t="n"/>
      <c r="K93" s="94" t="n">
        <v>0.239935041299096</v>
      </c>
      <c r="L93" s="94" t="n">
        <v>-0.1671357897308662</v>
      </c>
      <c r="M93" s="94" t="n">
        <v>-0.1867597377468259</v>
      </c>
      <c r="N93" t="n">
        <v>36.72967118675273</v>
      </c>
      <c r="O93" t="n">
        <v>0.6024000433514995</v>
      </c>
      <c r="P93" s="143">
        <f>MAX($E$2:E93)</f>
        <v/>
      </c>
      <c r="Q93" s="144">
        <f>E93/P93-1</f>
        <v/>
      </c>
      <c r="R93" s="94" t="n">
        <v>0.004702202231170904</v>
      </c>
    </row>
    <row r="94">
      <c r="A94" s="375" t="n">
        <v>44599</v>
      </c>
      <c r="B94" s="376" t="n">
        <v>132.8162853389368</v>
      </c>
      <c r="C94" s="376" t="n">
        <v>133.5658262739013</v>
      </c>
      <c r="D94" s="376" t="n">
        <v>131.82907385685</v>
      </c>
      <c r="E94" s="376" t="n">
        <v>132.6700286865234</v>
      </c>
      <c r="F94" s="93" t="n">
        <v>3877500</v>
      </c>
      <c r="G94" s="94" t="n">
        <v>-0.001719588869344757</v>
      </c>
      <c r="H94" s="95" t="n">
        <v>98.21728991783887</v>
      </c>
      <c r="I94" s="376" t="n">
        <v>144.7667510986328</v>
      </c>
      <c r="J94" s="376" t="n"/>
      <c r="K94" s="94" t="n">
        <v>0.2277838984407278</v>
      </c>
      <c r="L94" s="94" t="n">
        <v>-0.1685679737565207</v>
      </c>
      <c r="M94" s="94" t="n">
        <v>-0.1881581766498994</v>
      </c>
      <c r="N94" t="n">
        <v>36.30511134725533</v>
      </c>
      <c r="O94" t="n">
        <v>0.5718242573783687</v>
      </c>
      <c r="P94" s="143">
        <f>MAX($E$2:E94)</f>
        <v/>
      </c>
      <c r="Q94" s="144">
        <f>E94/P94-1</f>
        <v/>
      </c>
      <c r="R94" s="94" t="n">
        <v>-0.003209332477105531</v>
      </c>
    </row>
    <row r="95">
      <c r="A95" s="375" t="n">
        <v>44600</v>
      </c>
      <c r="B95" s="376" t="n">
        <v>132.3044110978494</v>
      </c>
      <c r="C95" s="376" t="n">
        <v>132.9991093281136</v>
      </c>
      <c r="D95" s="376" t="n">
        <v>130.0740457956814</v>
      </c>
      <c r="E95" s="376" t="n">
        <v>131.1983642578125</v>
      </c>
      <c r="F95" s="93" t="n">
        <v>5829400</v>
      </c>
      <c r="G95" s="94" t="n">
        <v>-0.01109266684631716</v>
      </c>
      <c r="H95" s="95" t="n">
        <v>97.12779824223213</v>
      </c>
      <c r="I95" s="376" t="n">
        <v>144.324543762207</v>
      </c>
      <c r="J95" s="376" t="n"/>
      <c r="K95" s="94" t="n">
        <v>0.1817453334177596</v>
      </c>
      <c r="L95" s="94" t="n">
        <v>-0.177790772228998</v>
      </c>
      <c r="M95" s="94" t="n">
        <v>-0.1971636675282287</v>
      </c>
      <c r="N95" t="n">
        <v>33.61079129057022</v>
      </c>
      <c r="O95" t="n">
        <v>0.4641053314000958</v>
      </c>
      <c r="P95" s="143">
        <f>MAX($E$2:E95)</f>
        <v/>
      </c>
      <c r="Q95" s="144">
        <f>E95/P95-1</f>
        <v/>
      </c>
      <c r="R95" s="94" t="n">
        <v>0.008228033938032064</v>
      </c>
    </row>
    <row r="96">
      <c r="A96" s="375" t="n">
        <v>44601</v>
      </c>
      <c r="B96" s="376" t="n">
        <v>133.5566949809841</v>
      </c>
      <c r="C96" s="376" t="n">
        <v>134.6992989644818</v>
      </c>
      <c r="D96" s="376" t="n">
        <v>133.1544961471445</v>
      </c>
      <c r="E96" s="376" t="n">
        <v>133.6938018798828</v>
      </c>
      <c r="F96" s="93" t="n">
        <v>4551000</v>
      </c>
      <c r="G96" s="94" t="n">
        <v>0.01902034096375349</v>
      </c>
      <c r="H96" s="95" t="n">
        <v>98.97520208185804</v>
      </c>
      <c r="I96" s="376" t="n">
        <v>143.898486328125</v>
      </c>
      <c r="J96" s="376" t="n"/>
      <c r="K96" s="94" t="n">
        <v>0.1968856046196986</v>
      </c>
      <c r="L96" s="94" t="n">
        <v>-0.1621520723732491</v>
      </c>
      <c r="M96" s="94" t="n">
        <v>-0.1818934467465263</v>
      </c>
      <c r="N96" t="n">
        <v>41.53410131817341</v>
      </c>
      <c r="O96" t="n">
        <v>0.5657947789524465</v>
      </c>
      <c r="P96" s="143">
        <f>MAX($E$2:E96)</f>
        <v/>
      </c>
      <c r="Q96" s="144">
        <f>E96/P96-1</f>
        <v/>
      </c>
      <c r="R96" s="94" t="n">
        <v>0.01463613710040268</v>
      </c>
    </row>
    <row r="97">
      <c r="A97" s="375" t="n">
        <v>44602</v>
      </c>
      <c r="B97" s="376" t="n">
        <v>131.5914208654621</v>
      </c>
      <c r="C97" s="376" t="n">
        <v>134.8638263791687</v>
      </c>
      <c r="D97" s="376" t="n">
        <v>131.4908711576463</v>
      </c>
      <c r="E97" s="376" t="n">
        <v>132.3775329589844</v>
      </c>
      <c r="F97" s="93" t="n">
        <v>5142600</v>
      </c>
      <c r="G97" s="94" t="n">
        <v>-0.009845399729757398</v>
      </c>
      <c r="H97" s="95" t="n">
        <v>98.00075165402863</v>
      </c>
      <c r="I97" s="376" t="n">
        <v>143.4575991821289</v>
      </c>
      <c r="J97" s="376" t="n"/>
      <c r="K97" s="94" t="n">
        <v>0.1918324204749165</v>
      </c>
      <c r="L97" s="94" t="n">
        <v>-0.1704010201334833</v>
      </c>
      <c r="M97" s="94" t="n">
        <v>-0.1899480327848408</v>
      </c>
      <c r="N97" t="n">
        <v>38.89710781411891</v>
      </c>
      <c r="O97" t="n">
        <v>0.548862841764397</v>
      </c>
      <c r="P97" s="143">
        <f>MAX($E$2:E97)</f>
        <v/>
      </c>
      <c r="Q97" s="144">
        <f>E97/P97-1</f>
        <v/>
      </c>
      <c r="R97" s="94" t="n">
        <v>-0.01796567184585962</v>
      </c>
    </row>
    <row r="98">
      <c r="A98" s="375" t="n">
        <v>44603</v>
      </c>
      <c r="B98" s="376" t="n">
        <v>132.3226404249504</v>
      </c>
      <c r="C98" s="376" t="n">
        <v>132.596868094545</v>
      </c>
      <c r="D98" s="376" t="n">
        <v>127.5694119605725</v>
      </c>
      <c r="E98" s="376" t="n">
        <v>128.1361389160156</v>
      </c>
      <c r="F98" s="93" t="n">
        <v>6710500</v>
      </c>
      <c r="G98" s="94" t="n">
        <v>-0.03204013512083581</v>
      </c>
      <c r="H98" s="95" t="n">
        <v>94.8607943290901</v>
      </c>
      <c r="I98" s="376" t="n">
        <v>142.9782360839844</v>
      </c>
      <c r="J98" s="376" t="n"/>
      <c r="K98" s="94" t="n">
        <v>0.2130484276315828</v>
      </c>
      <c r="L98" s="94" t="n">
        <v>-0.1969814835445139</v>
      </c>
      <c r="M98" s="94" t="n">
        <v>-0.2159022072693133</v>
      </c>
      <c r="N98" t="n">
        <v>31.87452801360295</v>
      </c>
      <c r="O98" t="n">
        <v>0.2705432977204572</v>
      </c>
      <c r="P98" s="143">
        <f>MAX($E$2:E98)</f>
        <v/>
      </c>
      <c r="Q98" s="144">
        <f>E98/P98-1</f>
        <v/>
      </c>
      <c r="R98" s="94" t="n">
        <v>-0.0197188159954429</v>
      </c>
    </row>
    <row r="99">
      <c r="A99" s="375" t="n">
        <v>44606</v>
      </c>
      <c r="B99" s="376" t="n">
        <v>128.0447729944972</v>
      </c>
      <c r="C99" s="376" t="n">
        <v>130.9058577992701</v>
      </c>
      <c r="D99" s="376" t="n">
        <v>127.7796810626326</v>
      </c>
      <c r="E99" s="376" t="n">
        <v>129.4250335693359</v>
      </c>
      <c r="F99" s="93" t="n">
        <v>6841200</v>
      </c>
      <c r="G99" s="94" t="n">
        <v>0.01005879109690588</v>
      </c>
      <c r="H99" s="95" t="n">
        <v>95.81497924253296</v>
      </c>
      <c r="I99" s="376" t="n">
        <v>142.4644299316406</v>
      </c>
      <c r="J99" s="376" t="n"/>
      <c r="K99" s="94" t="n">
        <v>0.2166410595540422</v>
      </c>
      <c r="L99" s="94" t="n">
        <v>-0.188904088040541</v>
      </c>
      <c r="M99" s="94" t="n">
        <v>-0.2080151313726903</v>
      </c>
      <c r="N99" t="n">
        <v>35.67512489270663</v>
      </c>
      <c r="O99" t="n">
        <v>0.1952945179522936</v>
      </c>
      <c r="P99" s="143">
        <f>MAX($E$2:E99)</f>
        <v/>
      </c>
      <c r="Q99" s="144">
        <f>E99/P99-1</f>
        <v/>
      </c>
      <c r="R99" s="94" t="n">
        <v>-0.003269298015544653</v>
      </c>
    </row>
    <row r="100">
      <c r="A100" s="375" t="n">
        <v>44607</v>
      </c>
      <c r="B100" s="376" t="n">
        <v>131.8290662702656</v>
      </c>
      <c r="C100" s="376" t="n">
        <v>133.7486463662654</v>
      </c>
      <c r="D100" s="376" t="n">
        <v>131.7193807611689</v>
      </c>
      <c r="E100" s="376" t="n">
        <v>133.0722198486328</v>
      </c>
      <c r="F100" s="93" t="n">
        <v>7820200</v>
      </c>
      <c r="G100" s="94" t="n">
        <v>0.0281799137208103</v>
      </c>
      <c r="H100" s="95" t="n">
        <v>98.51503709074876</v>
      </c>
      <c r="I100" s="376" t="n">
        <v>142.0136041259766</v>
      </c>
      <c r="J100" s="376" t="n"/>
      <c r="K100" s="94" t="n">
        <v>0.2403787830965465</v>
      </c>
      <c r="L100" s="94" t="n">
        <v>-0.1660474752222215</v>
      </c>
      <c r="M100" s="94" t="n">
        <v>-0.1856970661065854</v>
      </c>
      <c r="N100" t="n">
        <v>45.02181581752552</v>
      </c>
      <c r="O100" t="n">
        <v>0.4013267709360795</v>
      </c>
      <c r="P100" s="143">
        <f>MAX($E$2:E100)</f>
        <v/>
      </c>
      <c r="Q100" s="144">
        <f>E100/P100-1</f>
        <v/>
      </c>
      <c r="R100" s="94" t="n">
        <v>0.01612674711241024</v>
      </c>
    </row>
    <row r="101">
      <c r="A101" s="375" t="n">
        <v>44608</v>
      </c>
      <c r="B101" s="376" t="n">
        <v>132.5603342114382</v>
      </c>
      <c r="C101" s="376" t="n">
        <v>134.3245078881023</v>
      </c>
      <c r="D101" s="376" t="n">
        <v>132.1855567953858</v>
      </c>
      <c r="E101" s="376" t="n">
        <v>133.9040374755859</v>
      </c>
      <c r="F101" s="93" t="n">
        <v>4817500</v>
      </c>
      <c r="G101" s="94" t="n">
        <v>0.006250873607574148</v>
      </c>
      <c r="H101" s="95" t="n">
        <v>99.13084213604851</v>
      </c>
      <c r="I101" s="376" t="n">
        <v>141.6037289428711</v>
      </c>
      <c r="J101" s="376" t="n"/>
      <c r="K101" s="94" t="n">
        <v>0.2369936524188009</v>
      </c>
      <c r="L101" s="94" t="n">
        <v>-0.1577521001406729</v>
      </c>
      <c r="M101" s="94" t="n">
        <v>-0.1806069613885409</v>
      </c>
      <c r="N101" t="n">
        <v>46.91631680466471</v>
      </c>
      <c r="O101" t="n">
        <v>0.5922750197069599</v>
      </c>
      <c r="P101" s="143">
        <f>MAX($E$2:E101)</f>
        <v/>
      </c>
      <c r="Q101" s="144">
        <f>E101/P101-1</f>
        <v/>
      </c>
      <c r="R101" s="94" t="n">
        <v>0.001120910197447644</v>
      </c>
    </row>
    <row r="102">
      <c r="A102" s="375" t="n">
        <v>44609</v>
      </c>
      <c r="B102" s="376" t="n">
        <v>133.0356456125298</v>
      </c>
      <c r="C102" s="376" t="n">
        <v>134.2879489193301</v>
      </c>
      <c r="D102" s="376" t="n">
        <v>130.3848102539442</v>
      </c>
      <c r="E102" s="376" t="n">
        <v>130.5310668945312</v>
      </c>
      <c r="F102" s="93" t="n">
        <v>5202300</v>
      </c>
      <c r="G102" s="94" t="n">
        <v>-0.02518946138326605</v>
      </c>
      <c r="H102" s="95" t="n">
        <v>96.63378961617187</v>
      </c>
      <c r="I102" s="376" t="n">
        <v>141.0828854370117</v>
      </c>
      <c r="J102" s="376" t="n"/>
      <c r="K102" s="94" t="n">
        <v>0.24717895771139</v>
      </c>
      <c r="L102" s="94" t="n">
        <v>-0.1689999537603875</v>
      </c>
      <c r="M102" s="94" t="n">
        <v>-0.2012470306923613</v>
      </c>
      <c r="N102" t="n">
        <v>40.77984022096541</v>
      </c>
      <c r="O102" t="n">
        <v>0.4940694092773805</v>
      </c>
      <c r="P102" s="143">
        <f>MAX($E$2:E102)</f>
        <v/>
      </c>
      <c r="Q102" s="144">
        <f>E102/P102-1</f>
        <v/>
      </c>
      <c r="R102" s="94" t="n">
        <v>-0.02136132274673497</v>
      </c>
    </row>
    <row r="103">
      <c r="A103" s="375" t="n">
        <v>44610</v>
      </c>
      <c r="B103" s="376" t="n">
        <v>131.0521109226115</v>
      </c>
      <c r="C103" s="376" t="n">
        <v>131.5731450693949</v>
      </c>
      <c r="D103" s="376" t="n">
        <v>129.6261432860727</v>
      </c>
      <c r="E103" s="376" t="n">
        <v>130.6681976318359</v>
      </c>
      <c r="F103" s="93" t="n">
        <v>5177400</v>
      </c>
      <c r="G103" s="94" t="n">
        <v>0.001050560150676505</v>
      </c>
      <c r="H103" s="95" t="n">
        <v>96.73530922475148</v>
      </c>
      <c r="I103" s="376" t="n">
        <v>140.583796081543</v>
      </c>
      <c r="J103" s="376" t="n"/>
      <c r="K103" s="94" t="n">
        <v>0.2471481743831243</v>
      </c>
      <c r="L103" s="94" t="n">
        <v>-0.1675468040824221</v>
      </c>
      <c r="M103" s="94" t="n">
        <v>-0.2004078926525721</v>
      </c>
      <c r="N103" t="n">
        <v>41.11704344658071</v>
      </c>
      <c r="O103" t="n">
        <v>0.4426562438951986</v>
      </c>
      <c r="P103" s="143">
        <f>MAX($E$2:E103)</f>
        <v/>
      </c>
      <c r="Q103" s="144">
        <f>E103/P103-1</f>
        <v/>
      </c>
      <c r="R103" s="94" t="n">
        <v>-0.00647519269910124</v>
      </c>
    </row>
    <row r="104">
      <c r="A104" s="375" t="n">
        <v>44614</v>
      </c>
      <c r="B104" s="376" t="n">
        <v>129.4250232739741</v>
      </c>
      <c r="C104" s="376" t="n">
        <v>129.4707302187083</v>
      </c>
      <c r="D104" s="376" t="n">
        <v>124.4615587170333</v>
      </c>
      <c r="E104" s="376" t="n">
        <v>126.3171463012695</v>
      </c>
      <c r="F104" s="93" t="n">
        <v>9604500</v>
      </c>
      <c r="G104" s="94" t="n">
        <v>-0.03329847207983772</v>
      </c>
      <c r="H104" s="95" t="n">
        <v>93.51417123139663</v>
      </c>
      <c r="I104" s="376" t="n">
        <v>140.0369914245605</v>
      </c>
      <c r="J104" s="376" t="n"/>
      <c r="K104" s="94" t="n">
        <v>0.2606501033803992</v>
      </c>
      <c r="L104" s="94" t="n">
        <v>-0.1932392499734922</v>
      </c>
      <c r="M104" s="94" t="n">
        <v>-0.2270330881143391</v>
      </c>
      <c r="N104" t="n">
        <v>34.42007778515857</v>
      </c>
      <c r="O104" t="n">
        <v>0.1358326421541149</v>
      </c>
      <c r="P104" s="143">
        <f>MAX($E$2:E104)</f>
        <v/>
      </c>
      <c r="Q104" s="144">
        <f>E104/P104-1</f>
        <v/>
      </c>
      <c r="R104" s="94" t="n">
        <v>-0.0107315363026862</v>
      </c>
    </row>
    <row r="105">
      <c r="A105" s="375" t="n">
        <v>44615</v>
      </c>
      <c r="B105" s="376" t="n">
        <v>127.6608388785148</v>
      </c>
      <c r="C105" s="376" t="n">
        <v>128.8582854120513</v>
      </c>
      <c r="D105" s="376" t="n">
        <v>124.7814689752308</v>
      </c>
      <c r="E105" s="376" t="n">
        <v>125.0739822387695</v>
      </c>
      <c r="F105" s="93" t="n">
        <v>7636600</v>
      </c>
      <c r="G105" s="94" t="n">
        <v>-0.0098416097806312</v>
      </c>
      <c r="H105" s="95" t="n">
        <v>92.59384124917808</v>
      </c>
      <c r="I105" s="376" t="n">
        <v>139.4477728271484</v>
      </c>
      <c r="J105" s="376" t="n"/>
      <c r="K105" s="94" t="n">
        <v>0.2619024409060203</v>
      </c>
      <c r="L105" s="94" t="n">
        <v>-0.2011790744615826</v>
      </c>
      <c r="M105" s="94" t="n">
        <v>-0.2346403268344573</v>
      </c>
      <c r="N105" t="n">
        <v>32.77740996296193</v>
      </c>
      <c r="O105" t="n">
        <v>-0.1169645579800189</v>
      </c>
      <c r="P105" s="143">
        <f>MAX($E$2:E105)</f>
        <v/>
      </c>
      <c r="Q105" s="144">
        <f>E105/P105-1</f>
        <v/>
      </c>
      <c r="R105" s="94" t="n">
        <v>-0.01773880763816282</v>
      </c>
    </row>
    <row r="106">
      <c r="A106" s="375" t="n">
        <v>44616</v>
      </c>
      <c r="B106" s="376" t="n">
        <v>121.5730411221979</v>
      </c>
      <c r="C106" s="376" t="n">
        <v>125.6132863789891</v>
      </c>
      <c r="D106" s="376" t="n">
        <v>119.6808825842242</v>
      </c>
      <c r="E106" s="376" t="n">
        <v>125.384765625</v>
      </c>
      <c r="F106" s="93" t="n">
        <v>8417200</v>
      </c>
      <c r="G106" s="94" t="n">
        <v>0.002484796443413595</v>
      </c>
      <c r="H106" s="95" t="n">
        <v>92.82391809659605</v>
      </c>
      <c r="I106" s="376" t="n">
        <v>138.9053555297852</v>
      </c>
      <c r="J106" s="376" t="n"/>
      <c r="K106" s="94" t="n">
        <v>0.2610849668442902</v>
      </c>
      <c r="L106" s="94" t="n">
        <v>-0.1991941670668803</v>
      </c>
      <c r="M106" s="94" t="n">
        <v>-0.2327385638406434</v>
      </c>
      <c r="N106" t="n">
        <v>33.63016185515428</v>
      </c>
      <c r="O106" t="n">
        <v>-0.2232111275331077</v>
      </c>
      <c r="P106" s="143">
        <f>MAX($E$2:E106)</f>
        <v/>
      </c>
      <c r="Q106" s="144">
        <f>E106/P106-1</f>
        <v/>
      </c>
      <c r="R106" s="94" t="n">
        <v>0.01504929627009388</v>
      </c>
    </row>
    <row r="107">
      <c r="A107" s="375" t="n">
        <v>44617</v>
      </c>
      <c r="B107" s="376" t="n">
        <v>126.2623217654113</v>
      </c>
      <c r="C107" s="376" t="n">
        <v>127.2586691444954</v>
      </c>
      <c r="D107" s="376" t="n">
        <v>124.4889980571385</v>
      </c>
      <c r="E107" s="376" t="n">
        <v>126.874755859375</v>
      </c>
      <c r="F107" s="93" t="n">
        <v>5424500</v>
      </c>
      <c r="G107" s="94" t="n">
        <v>0.01188334345841713</v>
      </c>
      <c r="H107" s="95" t="n">
        <v>93.92697659649389</v>
      </c>
      <c r="I107" s="376" t="n">
        <v>138.4190640258789</v>
      </c>
      <c r="J107" s="376" t="n"/>
      <c r="K107" s="94" t="n">
        <v>0.2649158759241709</v>
      </c>
      <c r="L107" s="94" t="n">
        <v>-0.1896779163106322</v>
      </c>
      <c r="M107" s="94" t="n">
        <v>-0.2236209326723634</v>
      </c>
      <c r="N107" t="n">
        <v>37.7099396765262</v>
      </c>
      <c r="O107" t="n">
        <v>-0.1562700107384125</v>
      </c>
      <c r="P107" s="143">
        <f>MAX($E$2:E107)</f>
        <v/>
      </c>
      <c r="Q107" s="144">
        <f>E107/P107-1</f>
        <v/>
      </c>
      <c r="R107" s="94" t="n">
        <v>0.02206397178517827</v>
      </c>
    </row>
    <row r="108">
      <c r="A108" s="375" t="n">
        <v>44620</v>
      </c>
      <c r="B108" s="376" t="n">
        <v>125.2842468901191</v>
      </c>
      <c r="C108" s="376" t="n">
        <v>126.490843464247</v>
      </c>
      <c r="D108" s="376" t="n">
        <v>123.4377948362884</v>
      </c>
      <c r="E108" s="376" t="n">
        <v>124.8180694580078</v>
      </c>
      <c r="F108" s="93" t="n">
        <v>6613300</v>
      </c>
      <c r="G108" s="94" t="n">
        <v>-0.01621036736139037</v>
      </c>
      <c r="H108" s="95" t="n">
        <v>92.40438580072001</v>
      </c>
      <c r="I108" s="376" t="n">
        <v>137.9190606689453</v>
      </c>
      <c r="J108" s="376" t="n"/>
      <c r="K108" s="94" t="n">
        <v>0.2663691546772332</v>
      </c>
      <c r="L108" s="94" t="n">
        <v>-0.2028135349682841</v>
      </c>
      <c r="M108" s="94" t="n">
        <v>-0.2362063225654381</v>
      </c>
      <c r="N108" t="n">
        <v>34.55263652069648</v>
      </c>
      <c r="O108" t="n">
        <v>-0.2102718175464151</v>
      </c>
      <c r="P108" s="143">
        <f>MAX($E$2:E108)</f>
        <v/>
      </c>
      <c r="Q108" s="144">
        <f>E108/P108-1</f>
        <v/>
      </c>
      <c r="R108" s="94" t="n">
        <v>-0.002558512435145932</v>
      </c>
    </row>
    <row r="109">
      <c r="A109" s="375" t="n">
        <v>44621</v>
      </c>
      <c r="B109" s="376" t="n">
        <v>124.9734590260557</v>
      </c>
      <c r="C109" s="376" t="n">
        <v>125.0008804068472</v>
      </c>
      <c r="D109" s="376" t="n">
        <v>119.8820087927838</v>
      </c>
      <c r="E109" s="376" t="n">
        <v>120.8600845336914</v>
      </c>
      <c r="F109" s="93" t="n">
        <v>6534000</v>
      </c>
      <c r="G109" s="94" t="n">
        <v>-0.03171003158038732</v>
      </c>
      <c r="H109" s="95" t="n">
        <v>89.47423980881287</v>
      </c>
      <c r="I109" s="376" t="n">
        <v>137.3614698791504</v>
      </c>
      <c r="J109" s="376" t="n"/>
      <c r="K109" s="94" t="n">
        <v>0.2757359835539225</v>
      </c>
      <c r="L109" s="94" t="n">
        <v>-0.2280923429498973</v>
      </c>
      <c r="M109" s="94" t="n">
        <v>-0.2604262441977881</v>
      </c>
      <c r="N109" t="n">
        <v>29.44356901963391</v>
      </c>
      <c r="O109" t="n">
        <v>-0.4581046198169485</v>
      </c>
      <c r="P109" s="143">
        <f>MAX($E$2:E109)</f>
        <v/>
      </c>
      <c r="Q109" s="144">
        <f>E109/P109-1</f>
        <v/>
      </c>
      <c r="R109" s="94" t="n">
        <v>-0.01523042262901819</v>
      </c>
    </row>
    <row r="110">
      <c r="A110" s="375" t="n">
        <v>44622</v>
      </c>
      <c r="B110" s="376" t="n">
        <v>121.5547524521828</v>
      </c>
      <c r="C110" s="376" t="n">
        <v>124.8728781786609</v>
      </c>
      <c r="D110" s="376" t="n">
        <v>121.362802834502</v>
      </c>
      <c r="E110" s="376" t="n">
        <v>124.0227737426758</v>
      </c>
      <c r="F110" s="93" t="n">
        <v>7743900</v>
      </c>
      <c r="G110" s="94" t="n">
        <v>0.02616818630556828</v>
      </c>
      <c r="H110" s="95" t="n">
        <v>91.81561838567897</v>
      </c>
      <c r="I110" s="376" t="n">
        <v>136.891996459961</v>
      </c>
      <c r="J110" s="376" t="n"/>
      <c r="K110" s="94" t="n">
        <v>0.2972369677441861</v>
      </c>
      <c r="L110" s="94" t="n">
        <v>-0.2078929195695155</v>
      </c>
      <c r="M110" s="94" t="n">
        <v>-0.241072940369247</v>
      </c>
      <c r="N110" t="n">
        <v>37.40786316919996</v>
      </c>
      <c r="O110" t="n">
        <v>-0.3589662288059783</v>
      </c>
      <c r="P110" s="143">
        <f>MAX($E$2:E110)</f>
        <v/>
      </c>
      <c r="Q110" s="144">
        <f>E110/P110-1</f>
        <v/>
      </c>
      <c r="R110" s="94" t="n">
        <v>0.0183963348131575</v>
      </c>
    </row>
    <row r="111">
      <c r="A111" s="375" t="n">
        <v>44623</v>
      </c>
      <c r="B111" s="376" t="n">
        <v>124.9917309466165</v>
      </c>
      <c r="C111" s="376" t="n">
        <v>125.0465737022106</v>
      </c>
      <c r="D111" s="376" t="n">
        <v>121.9843896687232</v>
      </c>
      <c r="E111" s="376" t="n">
        <v>122.459716796875</v>
      </c>
      <c r="F111" s="93" t="n">
        <v>4576500</v>
      </c>
      <c r="G111" s="94" t="n">
        <v>-0.01260298329598586</v>
      </c>
      <c r="H111" s="95" t="n">
        <v>90.65846768085365</v>
      </c>
      <c r="I111" s="376" t="n">
        <v>136.471335144043</v>
      </c>
      <c r="J111" s="376" t="n"/>
      <c r="K111" s="94" t="n">
        <v>0.2972425078563362</v>
      </c>
      <c r="L111" s="94" t="n">
        <v>-0.2178758318728131</v>
      </c>
      <c r="M111" s="94" t="n">
        <v>-0.250637685424645</v>
      </c>
      <c r="N111" t="n">
        <v>35.28784864360232</v>
      </c>
      <c r="O111" t="n">
        <v>-0.3483179368172804</v>
      </c>
      <c r="P111" s="143">
        <f>MAX($E$2:E111)</f>
        <v/>
      </c>
      <c r="Q111" s="144">
        <f>E111/P111-1</f>
        <v/>
      </c>
      <c r="R111" s="94" t="n">
        <v>-0.00497846757825704</v>
      </c>
    </row>
    <row r="112">
      <c r="A112" s="375" t="n">
        <v>44624</v>
      </c>
      <c r="B112" s="376" t="n">
        <v>121.4015431918795</v>
      </c>
      <c r="C112" s="376" t="n">
        <v>122.4184912910937</v>
      </c>
      <c r="D112" s="376" t="n">
        <v>119.7432796201044</v>
      </c>
      <c r="E112" s="376" t="n">
        <v>120.1830368041992</v>
      </c>
      <c r="F112" s="93" t="n">
        <v>7084500</v>
      </c>
      <c r="G112" s="94" t="n">
        <v>-0.01859125639210912</v>
      </c>
      <c r="H112" s="95" t="n">
        <v>88.97301286408316</v>
      </c>
      <c r="I112" s="376" t="n">
        <v>135.8287226867676</v>
      </c>
      <c r="J112" s="376" t="n"/>
      <c r="K112" s="94" t="n">
        <v>0.2942159385248156</v>
      </c>
      <c r="L112" s="94" t="n">
        <v>-0.2277279373719897</v>
      </c>
      <c r="M112" s="94" t="n">
        <v>-0.2645692723454999</v>
      </c>
      <c r="N112" t="n">
        <v>32.40696224891028</v>
      </c>
      <c r="O112" t="n">
        <v>-0.4384395942816575</v>
      </c>
      <c r="P112" s="143">
        <f>MAX($E$2:E112)</f>
        <v/>
      </c>
      <c r="Q112" s="144">
        <f>E112/P112-1</f>
        <v/>
      </c>
      <c r="R112" s="94" t="n">
        <v>-0.008124517277275922</v>
      </c>
    </row>
    <row r="113">
      <c r="A113" s="375" t="n">
        <v>44627</v>
      </c>
      <c r="B113" s="376" t="n">
        <v>120.018138265913</v>
      </c>
      <c r="C113" s="376" t="n">
        <v>120.0456222173745</v>
      </c>
      <c r="D113" s="376" t="n">
        <v>113.7607023566308</v>
      </c>
      <c r="E113" s="376" t="n">
        <v>114.0080718994141</v>
      </c>
      <c r="F113" s="93" t="n">
        <v>11383400</v>
      </c>
      <c r="G113" s="94" t="n">
        <v>-0.05137967111652653</v>
      </c>
      <c r="H113" s="95" t="n">
        <v>84.40160872488008</v>
      </c>
      <c r="I113" s="376" t="n">
        <v>135.0843653869629</v>
      </c>
      <c r="J113" s="376" t="n"/>
      <c r="K113" s="94" t="n">
        <v>0.3363591430668684</v>
      </c>
      <c r="L113" s="94" t="n">
        <v>-0.2622503850862989</v>
      </c>
      <c r="M113" s="94" t="n">
        <v>-0.3023554612613758</v>
      </c>
      <c r="N113" t="n">
        <v>26.16711475250507</v>
      </c>
      <c r="O113" t="n">
        <v>-0.8347777210855241</v>
      </c>
      <c r="P113" s="143">
        <f>MAX($E$2:E113)</f>
        <v/>
      </c>
      <c r="Q113" s="144">
        <f>E113/P113-1</f>
        <v/>
      </c>
      <c r="R113" s="94" t="n">
        <v>-0.02947919965253443</v>
      </c>
    </row>
    <row r="114">
      <c r="A114" s="375" t="n">
        <v>44628</v>
      </c>
      <c r="B114" s="376" t="n">
        <v>114.7409796773555</v>
      </c>
      <c r="C114" s="376" t="n">
        <v>114.9517015789348</v>
      </c>
      <c r="D114" s="376" t="n">
        <v>110.6731949186336</v>
      </c>
      <c r="E114" s="376" t="n">
        <v>111.0488204956055</v>
      </c>
      <c r="F114" s="93" t="n">
        <v>9089400</v>
      </c>
      <c r="G114" s="94" t="n">
        <v>-0.02595650776744518</v>
      </c>
      <c r="H114" s="95" t="n">
        <v>82.21083771242786</v>
      </c>
      <c r="I114" s="376" t="n">
        <v>134.2766189575195</v>
      </c>
      <c r="J114" s="376" t="n"/>
      <c r="K114" s="94" t="n">
        <v>0.341867494839695</v>
      </c>
      <c r="L114" s="94" t="n">
        <v>-0.2813997886962361</v>
      </c>
      <c r="M114" s="94" t="n">
        <v>-0.3204638771500606</v>
      </c>
      <c r="N114" t="n">
        <v>23.80185664637341</v>
      </c>
      <c r="O114" t="n">
        <v>-1.195147748524011</v>
      </c>
      <c r="P114" s="143">
        <f>MAX($E$2:E114)</f>
        <v/>
      </c>
      <c r="Q114" s="144">
        <f>E114/P114-1</f>
        <v/>
      </c>
      <c r="R114" s="94" t="n">
        <v>-0.007581794174489898</v>
      </c>
    </row>
    <row r="115">
      <c r="A115" s="375" t="n">
        <v>44629</v>
      </c>
      <c r="B115" s="376" t="n">
        <v>116.7015929857196</v>
      </c>
      <c r="C115" s="376" t="n">
        <v>118.7812933313794</v>
      </c>
      <c r="D115" s="376" t="n">
        <v>116.0144663047136</v>
      </c>
      <c r="E115" s="376" t="n">
        <v>116.3076400756836</v>
      </c>
      <c r="F115" s="93" t="n">
        <v>8845100</v>
      </c>
      <c r="G115" s="94" t="n">
        <v>0.04735592468797289</v>
      </c>
      <c r="H115" s="95" t="n">
        <v>86.10400795167276</v>
      </c>
      <c r="I115" s="376" t="n">
        <v>133.5391304016113</v>
      </c>
      <c r="J115" s="376" t="n"/>
      <c r="K115" s="94" t="n">
        <v>0.3951007292076352</v>
      </c>
      <c r="L115" s="94" t="n">
        <v>-0.246121261890843</v>
      </c>
      <c r="M115" s="94" t="n">
        <v>-0.2882838156936218</v>
      </c>
      <c r="N115" t="n">
        <v>35.03923323836291</v>
      </c>
      <c r="O115" t="n">
        <v>-0.9869004010247888</v>
      </c>
      <c r="P115" s="143">
        <f>MAX($E$2:E115)</f>
        <v/>
      </c>
      <c r="Q115" s="144">
        <f>E115/P115-1</f>
        <v/>
      </c>
      <c r="R115" s="94" t="n">
        <v>0.02681095090667163</v>
      </c>
    </row>
    <row r="116">
      <c r="A116" s="375" t="n">
        <v>44630</v>
      </c>
      <c r="B116" s="376" t="n">
        <v>113.623280991729</v>
      </c>
      <c r="C116" s="376" t="n">
        <v>115.9869987867939</v>
      </c>
      <c r="D116" s="376" t="n">
        <v>113.6049606864918</v>
      </c>
      <c r="E116" s="376" t="n">
        <v>115.4647827148438</v>
      </c>
      <c r="F116" s="93" t="n">
        <v>7167400</v>
      </c>
      <c r="G116" s="94" t="n">
        <v>-0.00724679273254436</v>
      </c>
      <c r="H116" s="95" t="n">
        <v>85.48003005260564</v>
      </c>
      <c r="I116" s="376" t="n">
        <v>132.805991973877</v>
      </c>
      <c r="J116" s="376" t="n"/>
      <c r="K116" s="94" t="n">
        <v>0.3841435747537802</v>
      </c>
      <c r="L116" s="94" t="n">
        <v>-0.2515844648513921</v>
      </c>
      <c r="M116" s="94" t="n">
        <v>-0.2934414753656874</v>
      </c>
      <c r="N116" t="n">
        <v>34.16945391340738</v>
      </c>
      <c r="O116" t="n">
        <v>-0.8203167910282261</v>
      </c>
      <c r="P116" s="143">
        <f>MAX($E$2:E116)</f>
        <v/>
      </c>
      <c r="Q116" s="144">
        <f>E116/P116-1</f>
        <v/>
      </c>
      <c r="R116" s="94" t="n">
        <v>-0.004515613208695424</v>
      </c>
    </row>
    <row r="117">
      <c r="A117" s="375" t="n">
        <v>44631</v>
      </c>
      <c r="B117" s="376" t="n">
        <v>116.3626326393846</v>
      </c>
      <c r="C117" s="376" t="n">
        <v>117.150538579144</v>
      </c>
      <c r="D117" s="376" t="n">
        <v>112.239871927078</v>
      </c>
      <c r="E117" s="376" t="n">
        <v>112.3498077392578</v>
      </c>
      <c r="F117" s="93" t="n">
        <v>5882000</v>
      </c>
      <c r="G117" s="94" t="n">
        <v>-0.0269777061225569</v>
      </c>
      <c r="H117" s="95" t="n">
        <v>83.1739749224991</v>
      </c>
      <c r="I117" s="376" t="n">
        <v>131.9674085998535</v>
      </c>
      <c r="J117" s="376" t="n"/>
      <c r="K117" s="94" t="n">
        <v>0.3905723807772956</v>
      </c>
      <c r="L117" s="94" t="n">
        <v>-0.2717749992161875</v>
      </c>
      <c r="M117" s="94" t="n">
        <v>-0.3125028036016593</v>
      </c>
      <c r="N117" t="n">
        <v>31.09717535293717</v>
      </c>
      <c r="O117" t="n">
        <v>-0.8317113628322828</v>
      </c>
      <c r="P117" s="143">
        <f>MAX($E$2:E117)</f>
        <v/>
      </c>
      <c r="Q117" s="144">
        <f>E117/P117-1</f>
        <v/>
      </c>
      <c r="R117" s="94" t="n">
        <v>-0.01271503931591822</v>
      </c>
    </row>
    <row r="118">
      <c r="A118" s="375" t="n">
        <v>44634</v>
      </c>
      <c r="B118" s="376" t="n">
        <v>111.3420018932841</v>
      </c>
      <c r="C118" s="376" t="n">
        <v>112.1848755779499</v>
      </c>
      <c r="D118" s="376" t="n">
        <v>106.9627158035929</v>
      </c>
      <c r="E118" s="376" t="n">
        <v>107.7139739990234</v>
      </c>
      <c r="F118" s="93" t="n">
        <v>13884900</v>
      </c>
      <c r="G118" s="94" t="n">
        <v>-0.04126249820554428</v>
      </c>
      <c r="H118" s="95" t="n">
        <v>79.74200893151149</v>
      </c>
      <c r="I118" s="376" t="n">
        <v>131.0596925354004</v>
      </c>
      <c r="J118" s="376" t="n"/>
      <c r="K118" s="94" t="n">
        <v>0.3994104501366961</v>
      </c>
      <c r="L118" s="94" t="n">
        <v>-0.3018233820042621</v>
      </c>
      <c r="M118" s="94" t="n">
        <v>-0.3408706554343626</v>
      </c>
      <c r="N118" t="n">
        <v>27.18033925564369</v>
      </c>
      <c r="O118" t="n">
        <v>-1.049223903618669</v>
      </c>
      <c r="P118" s="143">
        <f>MAX($E$2:E118)</f>
        <v/>
      </c>
      <c r="Q118" s="144">
        <f>E118/P118-1</f>
        <v/>
      </c>
      <c r="R118" s="94" t="n">
        <v>-0.007308391100514289</v>
      </c>
    </row>
    <row r="119">
      <c r="A119" s="375" t="n">
        <v>44635</v>
      </c>
      <c r="B119" s="376" t="n">
        <v>109.7936811701961</v>
      </c>
      <c r="C119" s="376" t="n">
        <v>110.3250608269294</v>
      </c>
      <c r="D119" s="376" t="n">
        <v>107.8788914624073</v>
      </c>
      <c r="E119" s="376" t="n">
        <v>109.3905715942383</v>
      </c>
      <c r="F119" s="93" t="n">
        <v>10431300</v>
      </c>
      <c r="G119" s="94" t="n">
        <v>0.01556527470827551</v>
      </c>
      <c r="H119" s="95" t="n">
        <v>80.98321520632024</v>
      </c>
      <c r="I119" s="376" t="n">
        <v>130.2004995727539</v>
      </c>
      <c r="J119" s="376" t="n"/>
      <c r="K119" s="94" t="n">
        <v>0.4032349976724651</v>
      </c>
      <c r="L119" s="94" t="n">
        <v>-0.2909560711502636</v>
      </c>
      <c r="M119" s="94" t="n">
        <v>-0.3306111261179128</v>
      </c>
      <c r="N119" t="n">
        <v>30.58559498056755</v>
      </c>
      <c r="O119" t="n">
        <v>-0.9792888130337714</v>
      </c>
      <c r="P119" s="143">
        <f>MAX($E$2:E119)</f>
        <v/>
      </c>
      <c r="Q119" s="144">
        <f>E119/P119-1</f>
        <v/>
      </c>
      <c r="R119" s="94" t="n">
        <v>0.02199045123348631</v>
      </c>
    </row>
    <row r="120">
      <c r="A120" s="375" t="n">
        <v>44636</v>
      </c>
      <c r="B120" s="376" t="n">
        <v>112.551351501658</v>
      </c>
      <c r="C120" s="376" t="n">
        <v>115.5380641666022</v>
      </c>
      <c r="D120" s="376" t="n">
        <v>111.7084777647433</v>
      </c>
      <c r="E120" s="376" t="n">
        <v>114.6951904296875</v>
      </c>
      <c r="F120" s="93" t="n">
        <v>11100400</v>
      </c>
      <c r="G120" s="94" t="n">
        <v>0.04849246839229981</v>
      </c>
      <c r="H120" s="95" t="n">
        <v>84.91029121001952</v>
      </c>
      <c r="I120" s="376" t="n">
        <v>129.4839617919922</v>
      </c>
      <c r="J120" s="376" t="n"/>
      <c r="K120" s="94" t="n">
        <v>0.4328133241588787</v>
      </c>
      <c r="L120" s="94" t="n">
        <v>-0.2565727808417658</v>
      </c>
      <c r="M120" s="94" t="n">
        <v>-0.2981508073090285</v>
      </c>
      <c r="N120" t="n">
        <v>40.12566971124064</v>
      </c>
      <c r="O120" t="n">
        <v>-0.4990893917748354</v>
      </c>
      <c r="P120" s="143">
        <f>MAX($E$2:E120)</f>
        <v/>
      </c>
      <c r="Q120" s="144">
        <f>E120/P120-1</f>
        <v/>
      </c>
      <c r="R120" s="94" t="n">
        <v>0.02217432297597743</v>
      </c>
    </row>
    <row r="121">
      <c r="A121" s="375" t="n">
        <v>44637</v>
      </c>
      <c r="B121" s="376" t="n">
        <v>114.4661643957116</v>
      </c>
      <c r="C121" s="376" t="n">
        <v>116.7291030883789</v>
      </c>
      <c r="D121" s="376" t="n">
        <v>113.3301097306041</v>
      </c>
      <c r="E121" s="376" t="n">
        <v>116.7291030883789</v>
      </c>
      <c r="F121" s="93" t="n">
        <v>6845300</v>
      </c>
      <c r="G121" s="94" t="n">
        <v>0.0177331991958134</v>
      </c>
      <c r="H121" s="95" t="n">
        <v>86.41602231782133</v>
      </c>
      <c r="I121" s="376" t="n">
        <v>128.7766584777832</v>
      </c>
      <c r="J121" s="376" t="n"/>
      <c r="K121" s="94" t="n">
        <v>0.4393632649837573</v>
      </c>
      <c r="L121" s="94" t="n">
        <v>-0.2433894378768431</v>
      </c>
      <c r="M121" s="94" t="n">
        <v>-0.2857047757696186</v>
      </c>
      <c r="N121" t="n">
        <v>43.34105804090117</v>
      </c>
      <c r="O121" t="n">
        <v>0.005491615099989744</v>
      </c>
      <c r="P121" s="143">
        <f>MAX($E$2:E121)</f>
        <v/>
      </c>
      <c r="Q121" s="144">
        <f>E121/P121-1</f>
        <v/>
      </c>
      <c r="R121" s="94" t="n">
        <v>0.01251080029354101</v>
      </c>
    </row>
    <row r="122">
      <c r="A122" s="375" t="n">
        <v>44638</v>
      </c>
      <c r="B122" s="376" t="n">
        <v>116.2160188533003</v>
      </c>
      <c r="C122" s="376" t="n">
        <v>120.4395648599919</v>
      </c>
      <c r="D122" s="376" t="n">
        <v>116.0785921259116</v>
      </c>
      <c r="E122" s="376" t="n">
        <v>120.2380065917969</v>
      </c>
      <c r="F122" s="93" t="n">
        <v>10350900</v>
      </c>
      <c r="G122" s="94" t="n">
        <v>0.03006022843130451</v>
      </c>
      <c r="H122" s="95" t="n">
        <v>89.01370768881975</v>
      </c>
      <c r="I122" s="376" t="n">
        <v>128.2152186584473</v>
      </c>
      <c r="J122" s="376" t="n"/>
      <c r="K122" s="94" t="n">
        <v>0.4517488573348942</v>
      </c>
      <c r="L122" s="94" t="n">
        <v>-0.2206455515458833</v>
      </c>
      <c r="M122" s="94" t="n">
        <v>-0.2642328981618635</v>
      </c>
      <c r="N122" t="n">
        <v>48.48127745197847</v>
      </c>
      <c r="O122" t="n">
        <v>0.5930215106893053</v>
      </c>
      <c r="P122" s="143">
        <f>MAX($E$2:E122)</f>
        <v/>
      </c>
      <c r="Q122" s="144">
        <f>E122/P122-1</f>
        <v/>
      </c>
      <c r="R122" s="94" t="n">
        <v>0.01095271713678048</v>
      </c>
    </row>
    <row r="123">
      <c r="A123" s="375" t="n">
        <v>44641</v>
      </c>
      <c r="B123" s="376" t="n">
        <v>118.8454537977242</v>
      </c>
      <c r="C123" s="376" t="n">
        <v>121.2183283522608</v>
      </c>
      <c r="D123" s="376" t="n">
        <v>117.8376622210794</v>
      </c>
      <c r="E123" s="376" t="n">
        <v>119.2760543823242</v>
      </c>
      <c r="F123" s="93" t="n">
        <v>14388500</v>
      </c>
      <c r="G123" s="94" t="n">
        <v>-0.008000400511781969</v>
      </c>
      <c r="H123" s="95" t="n">
        <v>88.30156237627051</v>
      </c>
      <c r="I123" s="376" t="n">
        <v>127.65666015625</v>
      </c>
      <c r="J123" s="376" t="n"/>
      <c r="K123" s="94" t="n">
        <v>0.4516251287740221</v>
      </c>
      <c r="L123" s="94" t="n">
        <v>-0.2268806992741551</v>
      </c>
      <c r="M123" s="94" t="n">
        <v>-0.2701193296599617</v>
      </c>
      <c r="N123" t="n">
        <v>47.21661450018632</v>
      </c>
      <c r="O123" t="n">
        <v>0.9150716919226349</v>
      </c>
      <c r="P123" s="143">
        <f>MAX($E$2:E123)</f>
        <v/>
      </c>
      <c r="Q123" s="144">
        <f>E123/P123-1</f>
        <v/>
      </c>
      <c r="R123" s="94" t="n">
        <v>-0.0002921836178981785</v>
      </c>
    </row>
    <row r="124">
      <c r="A124" s="375" t="n">
        <v>44642</v>
      </c>
      <c r="B124" s="376" t="n">
        <v>125.7716882448236</v>
      </c>
      <c r="C124" s="376" t="n">
        <v>127.3475001564975</v>
      </c>
      <c r="D124" s="376" t="n">
        <v>121.8413291032612</v>
      </c>
      <c r="E124" s="376" t="n">
        <v>121.9329376220703</v>
      </c>
      <c r="F124" s="93" t="n">
        <v>19731200</v>
      </c>
      <c r="G124" s="94" t="n">
        <v>0.02227507653153737</v>
      </c>
      <c r="H124" s="95" t="n">
        <v>90.26848643605625</v>
      </c>
      <c r="I124" s="376" t="n">
        <v>127.2256460571289</v>
      </c>
      <c r="J124" s="376" t="n"/>
      <c r="K124" s="94" t="n">
        <v>0.4471403223572959</v>
      </c>
      <c r="L124" s="94" t="n">
        <v>-0.2096594076824784</v>
      </c>
      <c r="M124" s="94" t="n">
        <v>-0.2538611818692474</v>
      </c>
      <c r="N124" t="n">
        <v>51.01717967666052</v>
      </c>
      <c r="O124" t="n">
        <v>1.282701919355248</v>
      </c>
      <c r="P124" s="143">
        <f>MAX($E$2:E124)</f>
        <v/>
      </c>
      <c r="Q124" s="144">
        <f>E124/P124-1</f>
        <v/>
      </c>
      <c r="R124" s="94" t="n">
        <v>0.01170126386837267</v>
      </c>
    </row>
    <row r="125">
      <c r="A125" s="375" t="n">
        <v>44643</v>
      </c>
      <c r="B125" s="376" t="n">
        <v>121.5206272860628</v>
      </c>
      <c r="C125" s="376" t="n">
        <v>124.0492481042183</v>
      </c>
      <c r="D125" s="376" t="n">
        <v>120.2013419967204</v>
      </c>
      <c r="E125" s="376" t="n">
        <v>121.8504486083984</v>
      </c>
      <c r="F125" s="93" t="n">
        <v>8068800</v>
      </c>
      <c r="G125" s="94" t="n">
        <v>-0.0006765113289367575</v>
      </c>
      <c r="H125" s="95" t="n">
        <v>90.20741878233628</v>
      </c>
      <c r="I125" s="376" t="n">
        <v>126.9123620605469</v>
      </c>
      <c r="J125" s="376" t="n"/>
      <c r="K125" s="94" t="n">
        <v>0.4460242835122559</v>
      </c>
      <c r="L125" s="94" t="n">
        <v>-0.2101940820468998</v>
      </c>
      <c r="M125" s="94" t="n">
        <v>-0.2543659532326724</v>
      </c>
      <c r="N125" t="n">
        <v>50.89465278300332</v>
      </c>
      <c r="O125" t="n">
        <v>1.481885178032974</v>
      </c>
      <c r="P125" s="143">
        <f>MAX($E$2:E125)</f>
        <v/>
      </c>
      <c r="Q125" s="144">
        <f>E125/P125-1</f>
        <v/>
      </c>
      <c r="R125" s="94" t="n">
        <v>-0.0128784354823035</v>
      </c>
    </row>
    <row r="126">
      <c r="A126" s="375" t="n">
        <v>44644</v>
      </c>
      <c r="B126" s="376" t="n">
        <v>122.537607100628</v>
      </c>
      <c r="C126" s="376" t="n">
        <v>122.9407237083914</v>
      </c>
      <c r="D126" s="376" t="n">
        <v>120.2013732908208</v>
      </c>
      <c r="E126" s="376" t="n">
        <v>121.0076065063477</v>
      </c>
      <c r="F126" s="93" t="n">
        <v>5853800</v>
      </c>
      <c r="G126" s="94" t="n">
        <v>-0.006917020919303241</v>
      </c>
      <c r="H126" s="95" t="n">
        <v>89.5834521795425</v>
      </c>
      <c r="I126" s="376" t="n">
        <v>126.5847801208496</v>
      </c>
      <c r="J126" s="376" t="n"/>
      <c r="K126" s="94" t="n">
        <v>0.4463180927620135</v>
      </c>
      <c r="L126" s="94" t="n">
        <v>-0.2156571861035709</v>
      </c>
      <c r="M126" s="94" t="n">
        <v>-0.2595235195323068</v>
      </c>
      <c r="N126" t="n">
        <v>49.58428317931279</v>
      </c>
      <c r="O126" t="n">
        <v>1.513146150648429</v>
      </c>
      <c r="P126" s="143">
        <f>MAX($E$2:E126)</f>
        <v/>
      </c>
      <c r="Q126" s="144">
        <f>E126/P126-1</f>
        <v/>
      </c>
      <c r="R126" s="94" t="n">
        <v>0.01507446044035077</v>
      </c>
    </row>
    <row r="127">
      <c r="A127" s="375" t="n">
        <v>44645</v>
      </c>
      <c r="B127" s="376" t="n">
        <v>121.8962713371521</v>
      </c>
      <c r="C127" s="376" t="n">
        <v>122.6475225435354</v>
      </c>
      <c r="D127" s="376" t="n">
        <v>120.6686084025578</v>
      </c>
      <c r="E127" s="376" t="n">
        <v>122.4917755126953</v>
      </c>
      <c r="F127" s="93" t="n">
        <v>6287000</v>
      </c>
      <c r="G127" s="94" t="n">
        <v>0.01226508852788366</v>
      </c>
      <c r="H127" s="95" t="n">
        <v>90.68220115115804</v>
      </c>
      <c r="I127" s="376" t="n">
        <v>126.251964263916</v>
      </c>
      <c r="J127" s="376" t="n"/>
      <c r="K127" s="94" t="n">
        <v>0.4464708121679182</v>
      </c>
      <c r="L127" s="94" t="n">
        <v>-0.1999219219285072</v>
      </c>
      <c r="M127" s="94" t="n">
        <v>-0.2504415099465548</v>
      </c>
      <c r="N127" t="n">
        <v>51.931246666621</v>
      </c>
      <c r="O127" t="n">
        <v>1.582573582174943</v>
      </c>
      <c r="P127" s="143">
        <f>MAX($E$2:E127)</f>
        <v/>
      </c>
      <c r="Q127" s="144">
        <f>E127/P127-1</f>
        <v/>
      </c>
      <c r="R127" s="94" t="n">
        <v>0.004883595047777245</v>
      </c>
    </row>
    <row r="128">
      <c r="A128" s="375" t="n">
        <v>44648</v>
      </c>
      <c r="B128" s="376" t="n">
        <v>122.5467630197001</v>
      </c>
      <c r="C128" s="376" t="n">
        <v>123.5545545330353</v>
      </c>
      <c r="D128" s="376" t="n">
        <v>121.0900576337581</v>
      </c>
      <c r="E128" s="376" t="n">
        <v>123.5087432861328</v>
      </c>
      <c r="F128" s="93" t="n">
        <v>5804100</v>
      </c>
      <c r="G128" s="94" t="n">
        <v>0.008302335150102369</v>
      </c>
      <c r="H128" s="95" t="n">
        <v>91.43507517726394</v>
      </c>
      <c r="I128" s="376" t="n">
        <v>125.9873844909668</v>
      </c>
      <c r="J128" s="376" t="n"/>
      <c r="K128" s="94" t="n">
        <v>0.4441447239809954</v>
      </c>
      <c r="L128" s="94" t="n">
        <v>-0.1893103698320513</v>
      </c>
      <c r="M128" s="94" t="n">
        <v>-0.2442184241475265</v>
      </c>
      <c r="N128" t="n">
        <v>53.52765323828029</v>
      </c>
      <c r="O128" t="n">
        <v>1.638860813523171</v>
      </c>
      <c r="P128" s="143">
        <f>MAX($E$2:E128)</f>
        <v/>
      </c>
      <c r="Q128" s="144">
        <f>E128/P128-1</f>
        <v/>
      </c>
      <c r="R128" s="94" t="n">
        <v>0.007112970351787817</v>
      </c>
    </row>
    <row r="129">
      <c r="A129" s="375" t="n">
        <v>44649</v>
      </c>
      <c r="B129" s="376" t="n">
        <v>126.2938943694913</v>
      </c>
      <c r="C129" s="376" t="n">
        <v>128.0346097691343</v>
      </c>
      <c r="D129" s="376" t="n">
        <v>125.4693339331114</v>
      </c>
      <c r="E129" s="376" t="n">
        <v>127.4757461547852</v>
      </c>
      <c r="F129" s="93" t="n">
        <v>7275900</v>
      </c>
      <c r="G129" s="94" t="n">
        <v>0.03211920681163427</v>
      </c>
      <c r="H129" s="95" t="n">
        <v>94.37189726671981</v>
      </c>
      <c r="I129" s="376" t="n">
        <v>125.8279223632812</v>
      </c>
      <c r="J129" s="376" t="n"/>
      <c r="K129" s="94" t="n">
        <v>0.4417825921583393</v>
      </c>
      <c r="L129" s="94" t="n">
        <v>-0.1618635786770209</v>
      </c>
      <c r="M129" s="94" t="n">
        <v>-0.219943319408298</v>
      </c>
      <c r="N129" t="n">
        <v>59.21743020973666</v>
      </c>
      <c r="O129" t="n">
        <v>1.868490404945366</v>
      </c>
      <c r="P129" s="143">
        <f>MAX($E$2:E129)</f>
        <v/>
      </c>
      <c r="Q129" s="144">
        <f>E129/P129-1</f>
        <v/>
      </c>
      <c r="R129" s="94" t="n">
        <v>0.01237080331162144</v>
      </c>
    </row>
    <row r="130">
      <c r="A130" s="375" t="n">
        <v>44650</v>
      </c>
      <c r="B130" s="376" t="n">
        <v>127.3291648792648</v>
      </c>
      <c r="C130" s="376" t="n">
        <v>128.1353980801771</v>
      </c>
      <c r="D130" s="376" t="n">
        <v>126.0282065648297</v>
      </c>
      <c r="E130" s="376" t="n">
        <v>126.9260482788086</v>
      </c>
      <c r="F130" s="93" t="n">
        <v>5545800</v>
      </c>
      <c r="G130" s="94" t="n">
        <v>-0.00431217617905999</v>
      </c>
      <c r="H130" s="95" t="n">
        <v>93.96494901935357</v>
      </c>
      <c r="I130" s="376" t="n">
        <v>125.6799528503418</v>
      </c>
      <c r="J130" s="376" t="n"/>
      <c r="K130" s="94" t="n">
        <v>0.4337914727411685</v>
      </c>
      <c r="L130" s="94" t="n">
        <v>-0.1654777705878524</v>
      </c>
      <c r="M130" s="94" t="n">
        <v>-0.2233070612446622</v>
      </c>
      <c r="N130" t="n">
        <v>58.15491947721674</v>
      </c>
      <c r="O130" t="n">
        <v>1.902226109559744</v>
      </c>
      <c r="P130" s="143">
        <f>MAX($E$2:E130)</f>
        <v/>
      </c>
      <c r="Q130" s="144">
        <f>E130/P130-1</f>
        <v/>
      </c>
      <c r="R130" s="94" t="n">
        <v>-0.006174779007170006</v>
      </c>
    </row>
    <row r="131">
      <c r="A131" s="375" t="n">
        <v>44651</v>
      </c>
      <c r="B131" s="376" t="n">
        <v>126.2755622163712</v>
      </c>
      <c r="C131" s="376" t="n">
        <v>127.0817953285677</v>
      </c>
      <c r="D131" s="376" t="n">
        <v>123.2247180764037</v>
      </c>
      <c r="E131" s="376" t="n">
        <v>123.2796859741211</v>
      </c>
      <c r="F131" s="93" t="n">
        <v>7206500</v>
      </c>
      <c r="G131" s="94" t="n">
        <v>-0.0287282425801032</v>
      </c>
      <c r="H131" s="95" t="n">
        <v>91.26550116989856</v>
      </c>
      <c r="I131" s="376" t="n">
        <v>125.4926937866211</v>
      </c>
      <c r="J131" s="376" t="n"/>
      <c r="K131" s="94" t="n">
        <v>0.4443974036824991</v>
      </c>
      <c r="L131" s="94" t="n">
        <v>-0.1687702245061656</v>
      </c>
      <c r="M131" s="94" t="n">
        <v>-0.2456200843994787</v>
      </c>
      <c r="N131" t="n">
        <v>51.54777052178056</v>
      </c>
      <c r="O131" t="n">
        <v>1.609453392084682</v>
      </c>
      <c r="P131" s="143">
        <f>MAX($E$2:E131)</f>
        <v/>
      </c>
      <c r="Q131" s="144">
        <f>E131/P131-1</f>
        <v/>
      </c>
      <c r="R131" s="94" t="n">
        <v>-0.01539128390438549</v>
      </c>
    </row>
    <row r="132">
      <c r="A132" s="375" t="n">
        <v>44652</v>
      </c>
      <c r="B132" s="376" t="n">
        <v>123.1789118170271</v>
      </c>
      <c r="C132" s="376" t="n">
        <v>123.9393337186714</v>
      </c>
      <c r="D132" s="376" t="n">
        <v>121.6214274069876</v>
      </c>
      <c r="E132" s="376" t="n">
        <v>122.3268814086914</v>
      </c>
      <c r="F132" s="93" t="n">
        <v>5807500</v>
      </c>
      <c r="G132" s="94" t="n">
        <v>-0.007728804286780022</v>
      </c>
      <c r="H132" s="95" t="n">
        <v>90.56012797322151</v>
      </c>
      <c r="I132" s="376" t="n">
        <v>125.3298899841309</v>
      </c>
      <c r="J132" s="376" t="n"/>
      <c r="K132" s="94" t="n">
        <v>0.4397902166650882</v>
      </c>
      <c r="L132" s="94" t="n">
        <v>-0.1689974562461912</v>
      </c>
      <c r="M132" s="94" t="n">
        <v>-0.2514505391250328</v>
      </c>
      <c r="N132" t="n">
        <v>49.95079329290006</v>
      </c>
      <c r="O132" t="n">
        <v>1.295607443235173</v>
      </c>
      <c r="P132" s="143">
        <f>MAX($E$2:E132)</f>
        <v/>
      </c>
      <c r="Q132" s="144">
        <f>E132/P132-1</f>
        <v/>
      </c>
      <c r="R132" s="94" t="n">
        <v>0.002834075972383943</v>
      </c>
    </row>
    <row r="133">
      <c r="A133" s="375" t="n">
        <v>44655</v>
      </c>
      <c r="B133" s="376" t="n">
        <v>121.8962732860809</v>
      </c>
      <c r="C133" s="376" t="n">
        <v>123.875201438326</v>
      </c>
      <c r="D133" s="376" t="n">
        <v>121.7221989607037</v>
      </c>
      <c r="E133" s="376" t="n">
        <v>123.078125</v>
      </c>
      <c r="F133" s="93" t="n">
        <v>5307300</v>
      </c>
      <c r="G133" s="94" t="n">
        <v>0.006141279681599165</v>
      </c>
      <c r="H133" s="95" t="n">
        <v>91.11628304710648</v>
      </c>
      <c r="I133" s="376" t="n">
        <v>125.1780885314941</v>
      </c>
      <c r="J133" s="376" t="n"/>
      <c r="K133" s="94" t="n">
        <v>0.3934495368731458</v>
      </c>
      <c r="L133" s="94" t="n">
        <v>-0.1422149397065561</v>
      </c>
      <c r="M133" s="94" t="n">
        <v>-0.2468534875302894</v>
      </c>
      <c r="N133" t="n">
        <v>51.23362862517931</v>
      </c>
      <c r="O133" t="n">
        <v>1.090800945419292</v>
      </c>
      <c r="P133" s="143">
        <f>MAX($E$2:E133)</f>
        <v/>
      </c>
      <c r="Q133" s="144">
        <f>E133/P133-1</f>
        <v/>
      </c>
      <c r="R133" s="94" t="n">
        <v>0.008566512401551263</v>
      </c>
    </row>
    <row r="134">
      <c r="A134" s="375" t="n">
        <v>44656</v>
      </c>
      <c r="B134" s="376" t="n">
        <v>122.8032694830081</v>
      </c>
      <c r="C134" s="376" t="n">
        <v>123.3896170020518</v>
      </c>
      <c r="D134" s="376" t="n">
        <v>120.9526184264303</v>
      </c>
      <c r="E134" s="376" t="n">
        <v>121.2091445922852</v>
      </c>
      <c r="F134" s="93" t="n">
        <v>5707800</v>
      </c>
      <c r="G134" s="94" t="n">
        <v>-0.01518531751856667</v>
      </c>
      <c r="H134" s="95" t="n">
        <v>89.73265335792458</v>
      </c>
      <c r="I134" s="376" t="n">
        <v>124.9331488037109</v>
      </c>
      <c r="J134" s="376" t="n"/>
      <c r="K134" s="94" t="n">
        <v>0.3842778090972659</v>
      </c>
      <c r="L134" s="94" t="n">
        <v>-0.1288226328201912</v>
      </c>
      <c r="M134" s="94" t="n">
        <v>-0.258290256460143</v>
      </c>
      <c r="N134" t="n">
        <v>47.9413780648217</v>
      </c>
      <c r="O134" t="n">
        <v>0.7953718278106656</v>
      </c>
      <c r="P134" s="143">
        <f>MAX($E$2:E134)</f>
        <v/>
      </c>
      <c r="Q134" s="144">
        <f>E134/P134-1</f>
        <v/>
      </c>
      <c r="R134" s="94" t="n">
        <v>-0.01263117306727279</v>
      </c>
    </row>
    <row r="135">
      <c r="A135" s="375" t="n">
        <v>44657</v>
      </c>
      <c r="B135" s="376" t="n">
        <v>119.1477769486119</v>
      </c>
      <c r="C135" s="376" t="n">
        <v>119.376819190351</v>
      </c>
      <c r="D135" s="376" t="n">
        <v>115.7396272731636</v>
      </c>
      <c r="E135" s="376" t="n">
        <v>117.5994491577148</v>
      </c>
      <c r="F135" s="93" t="n">
        <v>6961000</v>
      </c>
      <c r="G135" s="94" t="n">
        <v>-0.0297807186636978</v>
      </c>
      <c r="H135" s="95" t="n">
        <v>87.06035045332511</v>
      </c>
      <c r="I135" s="376" t="n">
        <v>124.6255216979981</v>
      </c>
      <c r="J135" s="376" t="n"/>
      <c r="K135" s="94" t="n">
        <v>0.3678118250114004</v>
      </c>
      <c r="L135" s="94" t="n">
        <v>-0.1547669208983541</v>
      </c>
      <c r="M135" s="94" t="n">
        <v>-0.280378905662627</v>
      </c>
      <c r="N135" t="n">
        <v>42.28917826363051</v>
      </c>
      <c r="O135" t="n">
        <v>0.3457279106173901</v>
      </c>
      <c r="P135" s="143">
        <f>MAX($E$2:E135)</f>
        <v/>
      </c>
      <c r="Q135" s="144">
        <f>E135/P135-1</f>
        <v/>
      </c>
      <c r="R135" s="94" t="n">
        <v>-0.009999408544399069</v>
      </c>
    </row>
    <row r="136">
      <c r="A136" s="375" t="n">
        <v>44658</v>
      </c>
      <c r="B136" s="376" t="n">
        <v>116.7473869873927</v>
      </c>
      <c r="C136" s="376" t="n">
        <v>119.0836131639427</v>
      </c>
      <c r="D136" s="376" t="n">
        <v>116.4358859699649</v>
      </c>
      <c r="E136" s="376" t="n">
        <v>118.5339202880859</v>
      </c>
      <c r="F136" s="93" t="n">
        <v>5320500</v>
      </c>
      <c r="G136" s="94" t="n">
        <v>0.007946220301745299</v>
      </c>
      <c r="H136" s="95" t="n">
        <v>87.75215117757438</v>
      </c>
      <c r="I136" s="376" t="n">
        <v>124.3638230895996</v>
      </c>
      <c r="J136" s="376" t="n"/>
      <c r="K136" s="94" t="n">
        <v>0.3673529792071187</v>
      </c>
      <c r="L136" s="94" t="n">
        <v>-0.14805051264549</v>
      </c>
      <c r="M136" s="94" t="n">
        <v>-0.2746606379132391</v>
      </c>
      <c r="N136" t="n">
        <v>44.12571239017776</v>
      </c>
      <c r="O136" t="n">
        <v>0.1122063321532483</v>
      </c>
      <c r="P136" s="143">
        <f>MAX($E$2:E136)</f>
        <v/>
      </c>
      <c r="Q136" s="144">
        <f>E136/P136-1</f>
        <v/>
      </c>
      <c r="R136" s="94" t="n">
        <v>0.00503887901601674</v>
      </c>
    </row>
    <row r="137">
      <c r="A137" s="375" t="n">
        <v>44659</v>
      </c>
      <c r="B137" s="376" t="n">
        <v>118.5889092120615</v>
      </c>
      <c r="C137" s="376" t="n">
        <v>119.0378230433587</v>
      </c>
      <c r="D137" s="376" t="n">
        <v>117.1596809200392</v>
      </c>
      <c r="E137" s="376" t="n">
        <v>117.4070434570312</v>
      </c>
      <c r="F137" s="93" t="n">
        <v>4877400</v>
      </c>
      <c r="G137" s="94" t="n">
        <v>-0.009506787831836783</v>
      </c>
      <c r="H137" s="95" t="n">
        <v>86.91791009454192</v>
      </c>
      <c r="I137" s="376" t="n">
        <v>124.0677040100098</v>
      </c>
      <c r="J137" s="376" t="n"/>
      <c r="K137" s="94" t="n">
        <v>0.3543523996537621</v>
      </c>
      <c r="L137" s="94" t="n">
        <v>-0.1413705507851369</v>
      </c>
      <c r="M137" s="94" t="n">
        <v>-0.2815562853346779</v>
      </c>
      <c r="N137" t="n">
        <v>42.37448933406386</v>
      </c>
      <c r="O137" t="n">
        <v>-0.1054185165032331</v>
      </c>
      <c r="P137" s="143">
        <f>MAX($E$2:E137)</f>
        <v/>
      </c>
      <c r="Q137" s="144">
        <f>E137/P137-1</f>
        <v/>
      </c>
      <c r="R137" s="94" t="n">
        <v>-0.002673942985014888</v>
      </c>
    </row>
    <row r="138">
      <c r="A138" s="375" t="n">
        <v>44662</v>
      </c>
      <c r="B138" s="376" t="n">
        <v>114.6127357897916</v>
      </c>
      <c r="C138" s="376" t="n">
        <v>116.2343587674156</v>
      </c>
      <c r="D138" s="376" t="n">
        <v>113.8981251175428</v>
      </c>
      <c r="E138" s="376" t="n">
        <v>114.502799987793</v>
      </c>
      <c r="F138" s="93" t="n">
        <v>6365400</v>
      </c>
      <c r="G138" s="94" t="n">
        <v>-0.02473653525140662</v>
      </c>
      <c r="H138" s="95" t="n">
        <v>84.76786214750969</v>
      </c>
      <c r="I138" s="376" t="n">
        <v>123.6902819824219</v>
      </c>
      <c r="J138" s="376" t="n"/>
      <c r="K138" s="94" t="n">
        <v>0.3314343735779132</v>
      </c>
      <c r="L138" s="94" t="n">
        <v>-0.1576546445506253</v>
      </c>
      <c r="M138" s="94" t="n">
        <v>-0.2993280936086481</v>
      </c>
      <c r="N138" t="n">
        <v>38.17000090383266</v>
      </c>
      <c r="O138" t="n">
        <v>-0.4148584651857602</v>
      </c>
      <c r="P138" s="143">
        <f>MAX($E$2:E138)</f>
        <v/>
      </c>
      <c r="Q138" s="144">
        <f>E138/P138-1</f>
        <v/>
      </c>
      <c r="R138" s="94" t="n">
        <v>-0.0170921712771569</v>
      </c>
    </row>
    <row r="139">
      <c r="A139" s="375" t="n">
        <v>44663</v>
      </c>
      <c r="B139" s="376" t="n">
        <v>114.7043455379175</v>
      </c>
      <c r="C139" s="376" t="n">
        <v>117.3612437832675</v>
      </c>
      <c r="D139" s="376" t="n">
        <v>113.9164397106245</v>
      </c>
      <c r="E139" s="376" t="n">
        <v>114.5577621459961</v>
      </c>
      <c r="F139" s="93" t="n">
        <v>5146800</v>
      </c>
      <c r="G139" s="94" t="n">
        <v>0.0004800071108215231</v>
      </c>
      <c r="H139" s="95" t="n">
        <v>84.80855132410963</v>
      </c>
      <c r="I139" s="376" t="n">
        <v>123.274471282959</v>
      </c>
      <c r="J139" s="376" t="n"/>
      <c r="K139" s="94" t="n">
        <v>0.3283208620520675</v>
      </c>
      <c r="L139" s="94" t="n">
        <v>-0.157250312790242</v>
      </c>
      <c r="M139" s="94" t="n">
        <v>-0.2989917661112274</v>
      </c>
      <c r="N139" t="n">
        <v>38.29478120246764</v>
      </c>
      <c r="O139" t="n">
        <v>-0.575829850116555</v>
      </c>
      <c r="P139" s="143">
        <f>MAX($E$2:E139)</f>
        <v/>
      </c>
      <c r="Q139" s="144">
        <f>E139/P139-1</f>
        <v/>
      </c>
      <c r="R139" s="94" t="n">
        <v>-0.003705331229600595</v>
      </c>
    </row>
    <row r="140">
      <c r="A140" s="375" t="n">
        <v>44664</v>
      </c>
      <c r="B140" s="376" t="n">
        <v>114.5577721770409</v>
      </c>
      <c r="C140" s="376" t="n">
        <v>117.1413684679369</v>
      </c>
      <c r="D140" s="376" t="n">
        <v>114.5577721770409</v>
      </c>
      <c r="E140" s="376" t="n">
        <v>116.8023834228516</v>
      </c>
      <c r="F140" s="93" t="n">
        <v>5119300</v>
      </c>
      <c r="G140" s="94" t="n">
        <v>0.01959379473557488</v>
      </c>
      <c r="H140" s="95" t="n">
        <v>86.4702726705757</v>
      </c>
      <c r="I140" s="376" t="n">
        <v>122.9008113098145</v>
      </c>
      <c r="J140" s="376" t="n"/>
      <c r="K140" s="94" t="n">
        <v>0.2882184495368948</v>
      </c>
      <c r="L140" s="94" t="n">
        <v>-0.1407376484055842</v>
      </c>
      <c r="M140" s="94" t="n">
        <v>-0.2852563546684628</v>
      </c>
      <c r="N140" t="n">
        <v>43.32516398471412</v>
      </c>
      <c r="O140" t="n">
        <v>-0.4942542673948589</v>
      </c>
      <c r="P140" s="143">
        <f>MAX($E$2:E140)</f>
        <v/>
      </c>
      <c r="Q140" s="144">
        <f>E140/P140-1</f>
        <v/>
      </c>
      <c r="R140" s="94" t="n">
        <v>0.0114534502380863</v>
      </c>
    </row>
    <row r="141">
      <c r="A141" s="375" t="n">
        <v>44665</v>
      </c>
      <c r="B141" s="376" t="n">
        <v>118.2591019898543</v>
      </c>
      <c r="C141" s="376" t="n">
        <v>123.114800723611</v>
      </c>
      <c r="D141" s="376" t="n">
        <v>118.0850276345875</v>
      </c>
      <c r="E141" s="376" t="n">
        <v>122.2719268798828</v>
      </c>
      <c r="F141" s="93" t="n">
        <v>12811300</v>
      </c>
      <c r="G141" s="94" t="n">
        <v>0.04682732746326113</v>
      </c>
      <c r="H141" s="95" t="n">
        <v>90.51944444475822</v>
      </c>
      <c r="I141" s="376" t="n">
        <v>122.6275834655762</v>
      </c>
      <c r="J141" s="376" t="n"/>
      <c r="K141" s="94" t="n">
        <v>0.3264927723065476</v>
      </c>
      <c r="L141" s="94" t="n">
        <v>-0.1005006888906207</v>
      </c>
      <c r="M141" s="94" t="n">
        <v>-0.251786819936238</v>
      </c>
      <c r="N141" t="n">
        <v>53.31293155316251</v>
      </c>
      <c r="O141" t="n">
        <v>-0.05799776612241847</v>
      </c>
      <c r="P141" s="143">
        <f>MAX($E$2:E141)</f>
        <v/>
      </c>
      <c r="Q141" s="144">
        <f>E141/P141-1</f>
        <v/>
      </c>
      <c r="R141" s="94" t="n">
        <v>-0.01245151589775506</v>
      </c>
    </row>
    <row r="142">
      <c r="A142" s="375" t="n">
        <v>44669</v>
      </c>
      <c r="B142" s="376" t="n">
        <v>120.9343073393347</v>
      </c>
      <c r="C142" s="376" t="n">
        <v>122.2077816831925</v>
      </c>
      <c r="D142" s="376" t="n">
        <v>119.3859795010525</v>
      </c>
      <c r="E142" s="376" t="n">
        <v>120.595329284668</v>
      </c>
      <c r="F142" s="93" t="n">
        <v>5298200</v>
      </c>
      <c r="G142" s="94" t="n">
        <v>-0.01371204035135465</v>
      </c>
      <c r="H142" s="95" t="n">
        <v>89.2782381699495</v>
      </c>
      <c r="I142" s="376" t="n">
        <v>122.3829818725586</v>
      </c>
      <c r="J142" s="376" t="n"/>
      <c r="K142" s="94" t="n">
        <v>0.3142674917394962</v>
      </c>
      <c r="L142" s="94" t="n">
        <v>-0.1128346597405681</v>
      </c>
      <c r="M142" s="94" t="n">
        <v>-0.2620463492526877</v>
      </c>
      <c r="N142" t="n">
        <v>50.38193413631102</v>
      </c>
      <c r="O142" t="n">
        <v>0.1217787382848945</v>
      </c>
      <c r="P142" s="143">
        <f>MAX($E$2:E142)</f>
        <v/>
      </c>
      <c r="Q142" s="144">
        <f>E142/P142-1</f>
        <v/>
      </c>
      <c r="R142" s="94" t="n">
        <v>0.0004109917754999692</v>
      </c>
    </row>
    <row r="143">
      <c r="A143" s="375" t="n">
        <v>44670</v>
      </c>
      <c r="B143" s="376" t="n">
        <v>121.9329310357715</v>
      </c>
      <c r="C143" s="376" t="n">
        <v>125.9549124585231</v>
      </c>
      <c r="D143" s="376" t="n">
        <v>121.6489208774324</v>
      </c>
      <c r="E143" s="376" t="n">
        <v>125.5609664916992</v>
      </c>
      <c r="F143" s="93" t="n">
        <v>7346100</v>
      </c>
      <c r="G143" s="94" t="n">
        <v>0.04117603257510716</v>
      </c>
      <c r="H143" s="95" t="n">
        <v>92.95436181308351</v>
      </c>
      <c r="I143" s="376" t="n">
        <v>122.2362300109863</v>
      </c>
      <c r="J143" s="376" t="n"/>
      <c r="K143" s="94" t="n">
        <v>0.3440404969376433</v>
      </c>
      <c r="L143" s="94" t="n">
        <v>-0.0763047107905398</v>
      </c>
      <c r="M143" s="94" t="n">
        <v>-0.2316603456905971</v>
      </c>
      <c r="N143" t="n">
        <v>57.78454872557365</v>
      </c>
      <c r="O143" t="n">
        <v>0.5549887173026428</v>
      </c>
      <c r="P143" s="143">
        <f>MAX($E$2:E143)</f>
        <v/>
      </c>
      <c r="Q143" s="144">
        <f>E143/P143-1</f>
        <v/>
      </c>
      <c r="R143" s="94" t="n">
        <v>0.01614265465474007</v>
      </c>
    </row>
    <row r="144">
      <c r="A144" s="375" t="n">
        <v>44671</v>
      </c>
      <c r="B144" s="376" t="n">
        <v>126.394661938258</v>
      </c>
      <c r="C144" s="376" t="n">
        <v>127.0268067080789</v>
      </c>
      <c r="D144" s="376" t="n">
        <v>124.2874707666395</v>
      </c>
      <c r="E144" s="376" t="n">
        <v>124.4798583984375</v>
      </c>
      <c r="F144" s="93" t="n">
        <v>5309700</v>
      </c>
      <c r="G144" s="94" t="n">
        <v>-0.008610224367245456</v>
      </c>
      <c r="H144" s="95" t="n">
        <v>92.15400390195875</v>
      </c>
      <c r="I144" s="376" t="n">
        <v>122.0724266052246</v>
      </c>
      <c r="J144" s="376" t="n"/>
      <c r="K144" s="94" t="n">
        <v>0.3382619602046772</v>
      </c>
      <c r="L144" s="94" t="n">
        <v>-0.08425793447760099</v>
      </c>
      <c r="M144" s="94" t="n">
        <v>-0.238275922504453</v>
      </c>
      <c r="N144" t="n">
        <v>55.83154197061776</v>
      </c>
      <c r="O144" t="n">
        <v>0.7371822151237047</v>
      </c>
      <c r="P144" s="143">
        <f>MAX($E$2:E144)</f>
        <v/>
      </c>
      <c r="Q144" s="144">
        <f>E144/P144-1</f>
        <v/>
      </c>
      <c r="R144" s="94" t="n">
        <v>-0.0007416594088487383</v>
      </c>
    </row>
    <row r="145">
      <c r="A145" s="375" t="n">
        <v>44672</v>
      </c>
      <c r="B145" s="376" t="n">
        <v>126.9352300646853</v>
      </c>
      <c r="C145" s="376" t="n">
        <v>127.475766472032</v>
      </c>
      <c r="D145" s="376" t="n">
        <v>123.7561222077901</v>
      </c>
      <c r="E145" s="376" t="n">
        <v>124.1042709350586</v>
      </c>
      <c r="F145" s="93" t="n">
        <v>6562400</v>
      </c>
      <c r="G145" s="94" t="n">
        <v>-0.003017254905421929</v>
      </c>
      <c r="H145" s="95" t="n">
        <v>91.87595178163129</v>
      </c>
      <c r="I145" s="376" t="n">
        <v>121.9305447387695</v>
      </c>
      <c r="J145" s="376" t="n"/>
      <c r="K145" s="94" t="n">
        <v>0.3385405086082953</v>
      </c>
      <c r="L145" s="94" t="n">
        <v>-0.08702096171689966</v>
      </c>
      <c r="M145" s="94" t="n">
        <v>-0.2405742382138544</v>
      </c>
      <c r="N145" t="n">
        <v>55.13436814505673</v>
      </c>
      <c r="O145" t="n">
        <v>0.7958370523011655</v>
      </c>
      <c r="P145" s="143">
        <f>MAX($E$2:E145)</f>
        <v/>
      </c>
      <c r="Q145" s="144">
        <f>E145/P145-1</f>
        <v/>
      </c>
      <c r="R145" s="94" t="n">
        <v>-0.01495345535760295</v>
      </c>
    </row>
    <row r="146">
      <c r="A146" s="375" t="n">
        <v>44673</v>
      </c>
      <c r="B146" s="376" t="n">
        <v>123.0689828487287</v>
      </c>
      <c r="C146" s="376" t="n">
        <v>123.6186758582763</v>
      </c>
      <c r="D146" s="376" t="n">
        <v>117.9201175672634</v>
      </c>
      <c r="E146" s="376" t="n">
        <v>118.2499389648438</v>
      </c>
      <c r="F146" s="93" t="n">
        <v>7321700</v>
      </c>
      <c r="G146" s="94" t="n">
        <v>-0.04717268733868396</v>
      </c>
      <c r="H146" s="95" t="n">
        <v>87.54191623429239</v>
      </c>
      <c r="I146" s="376" t="n">
        <v>121.6216674804687</v>
      </c>
      <c r="J146" s="376" t="n"/>
      <c r="K146" s="94" t="n">
        <v>0.3789748822270537</v>
      </c>
      <c r="L146" s="94" t="n">
        <v>-0.1300886364366007</v>
      </c>
      <c r="M146" s="94" t="n">
        <v>-0.2763983922315341</v>
      </c>
      <c r="N146" t="n">
        <v>45.5802774995683</v>
      </c>
      <c r="O146" t="n">
        <v>0.4225309181378284</v>
      </c>
      <c r="P146" s="143">
        <f>MAX($E$2:E146)</f>
        <v/>
      </c>
      <c r="Q146" s="144">
        <f>E146/P146-1</f>
        <v/>
      </c>
      <c r="R146" s="94" t="n">
        <v>-0.02743912545469074</v>
      </c>
    </row>
    <row r="147">
      <c r="A147" s="375" t="n">
        <v>44676</v>
      </c>
      <c r="B147" s="376" t="n">
        <v>117.086382305402</v>
      </c>
      <c r="C147" s="376" t="n">
        <v>118.130814239494</v>
      </c>
      <c r="D147" s="376" t="n">
        <v>114.3836799929461</v>
      </c>
      <c r="E147" s="376" t="n">
        <v>117.2146453857422</v>
      </c>
      <c r="F147" s="93" t="n">
        <v>6512500</v>
      </c>
      <c r="G147" s="94" t="n">
        <v>-0.00875512992365568</v>
      </c>
      <c r="H147" s="95" t="n">
        <v>86.77547538389538</v>
      </c>
      <c r="I147" s="376" t="n">
        <v>121.3184097290039</v>
      </c>
      <c r="J147" s="376" t="n"/>
      <c r="K147" s="94" t="n">
        <v>0.3766412202850785</v>
      </c>
      <c r="L147" s="94" t="n">
        <v>-0.1377048234466627</v>
      </c>
      <c r="M147" s="94" t="n">
        <v>-0.2827336183205131</v>
      </c>
      <c r="N147" t="n">
        <v>44.12410208389318</v>
      </c>
      <c r="O147" t="n">
        <v>0.1046260785615498</v>
      </c>
      <c r="P147" s="143">
        <f>MAX($E$2:E147)</f>
        <v/>
      </c>
      <c r="Q147" s="144">
        <f>E147/P147-1</f>
        <v/>
      </c>
      <c r="R147" s="94" t="n">
        <v>0.00579769289802412</v>
      </c>
    </row>
    <row r="148">
      <c r="A148" s="375" t="n">
        <v>44677</v>
      </c>
      <c r="B148" s="376" t="n">
        <v>116.3076299697549</v>
      </c>
      <c r="C148" s="376" t="n">
        <v>116.8939774607473</v>
      </c>
      <c r="D148" s="376" t="n">
        <v>110.3800235214349</v>
      </c>
      <c r="E148" s="376" t="n">
        <v>110.4166641235352</v>
      </c>
      <c r="F148" s="93" t="n">
        <v>7977900</v>
      </c>
      <c r="G148" s="94" t="n">
        <v>-0.05799600587311871</v>
      </c>
      <c r="H148" s="95" t="n">
        <v>81.74284440388831</v>
      </c>
      <c r="I148" s="376" t="n">
        <v>120.9640202331543</v>
      </c>
      <c r="J148" s="376" t="n"/>
      <c r="K148" s="94" t="n">
        <v>0.4233688421368412</v>
      </c>
      <c r="L148" s="94" t="n">
        <v>-0.1877144995704121</v>
      </c>
      <c r="M148" s="94" t="n">
        <v>-0.3243322036049873</v>
      </c>
      <c r="N148" t="n">
        <v>35.99290090245823</v>
      </c>
      <c r="O148" t="n">
        <v>-0.5298889351089215</v>
      </c>
      <c r="P148" s="143">
        <f>MAX($E$2:E148)</f>
        <v/>
      </c>
      <c r="Q148" s="144">
        <f>E148/P148-1</f>
        <v/>
      </c>
      <c r="R148" s="94" t="n">
        <v>-0.02896085212366395</v>
      </c>
    </row>
    <row r="149">
      <c r="A149" s="375" t="n">
        <v>44678</v>
      </c>
      <c r="B149" s="376" t="n">
        <v>110.9389053387678</v>
      </c>
      <c r="C149" s="376" t="n">
        <v>113.6049605916343</v>
      </c>
      <c r="D149" s="376" t="n">
        <v>110.9389053387678</v>
      </c>
      <c r="E149" s="376" t="n">
        <v>111.0763320922852</v>
      </c>
      <c r="F149" s="93" t="n">
        <v>6007800</v>
      </c>
      <c r="G149" s="94" t="n">
        <v>0.005974351552696433</v>
      </c>
      <c r="H149" s="95" t="n">
        <v>82.23120489327451</v>
      </c>
      <c r="I149" s="376" t="n">
        <v>120.5970462036133</v>
      </c>
      <c r="J149" s="376" t="n"/>
      <c r="K149" s="94" t="n">
        <v>0.402416279869423</v>
      </c>
      <c r="L149" s="94" t="n">
        <v>-0.1828616204296877</v>
      </c>
      <c r="M149" s="94" t="n">
        <v>-0.3202955266564878</v>
      </c>
      <c r="N149" t="n">
        <v>37.20225366471581</v>
      </c>
      <c r="O149" t="n">
        <v>-0.8524492710804054</v>
      </c>
      <c r="P149" s="143">
        <f>MAX($E$2:E149)</f>
        <v/>
      </c>
      <c r="Q149" s="144">
        <f>E149/P149-1</f>
        <v/>
      </c>
      <c r="R149" s="94" t="n">
        <v>0.002811830533927528</v>
      </c>
    </row>
    <row r="150">
      <c r="A150" s="375" t="n">
        <v>44679</v>
      </c>
      <c r="B150" s="376" t="n">
        <v>112.8445438603506</v>
      </c>
      <c r="C150" s="376" t="n">
        <v>117.242158238496</v>
      </c>
      <c r="D150" s="376" t="n">
        <v>112.3223277645546</v>
      </c>
      <c r="E150" s="376" t="n">
        <v>116.399284362793</v>
      </c>
      <c r="F150" s="93" t="n">
        <v>6551600</v>
      </c>
      <c r="G150" s="94" t="n">
        <v>0.04792157042136891</v>
      </c>
      <c r="H150" s="95" t="n">
        <v>86.17185336940159</v>
      </c>
      <c r="I150" s="376" t="n">
        <v>120.2635874938965</v>
      </c>
      <c r="J150" s="376" t="n"/>
      <c r="K150" s="94" t="n">
        <v>0.4465691893025719</v>
      </c>
      <c r="L150" s="94" t="n">
        <v>-0.1437030660291057</v>
      </c>
      <c r="M150" s="94" t="n">
        <v>-0.2877230208714371</v>
      </c>
      <c r="N150" t="n">
        <v>46.05867597167288</v>
      </c>
      <c r="O150" t="n">
        <v>-0.6630304986419353</v>
      </c>
      <c r="P150" s="143">
        <f>MAX($E$2:E150)</f>
        <v/>
      </c>
      <c r="Q150" s="144">
        <f>E150/P150-1</f>
        <v/>
      </c>
      <c r="R150" s="94" t="n">
        <v>0.02525928696521507</v>
      </c>
    </row>
    <row r="151">
      <c r="A151" s="375" t="n">
        <v>44680</v>
      </c>
      <c r="B151" s="376" t="n">
        <v>115.6388345478204</v>
      </c>
      <c r="C151" s="376" t="n">
        <v>117.6818871899158</v>
      </c>
      <c r="D151" s="376" t="n">
        <v>113.833980776495</v>
      </c>
      <c r="E151" s="376" t="n">
        <v>114.2462539672852</v>
      </c>
      <c r="F151" s="93" t="n">
        <v>5867900</v>
      </c>
      <c r="G151" s="94" t="n">
        <v>-0.018496938424443</v>
      </c>
      <c r="H151" s="95" t="n">
        <v>84.57793790370764</v>
      </c>
      <c r="I151" s="376" t="n">
        <v>119.8704318237305</v>
      </c>
      <c r="J151" s="376" t="n"/>
      <c r="K151" s="94" t="n">
        <v>0.4404729761902707</v>
      </c>
      <c r="L151" s="94" t="n">
        <v>-0.146805009609101</v>
      </c>
      <c r="M151" s="94" t="n">
        <v>-0.3008979642955264</v>
      </c>
      <c r="N151" t="n">
        <v>43.39294882003347</v>
      </c>
      <c r="O151" t="n">
        <v>-0.638231352649397</v>
      </c>
      <c r="P151" s="143">
        <f>MAX($E$2:E151)</f>
        <v/>
      </c>
      <c r="Q151" s="144">
        <f>E151/P151-1</f>
        <v/>
      </c>
      <c r="R151" s="94" t="n">
        <v>-0.03695553759890835</v>
      </c>
    </row>
    <row r="152">
      <c r="A152" s="375" t="n">
        <v>44683</v>
      </c>
      <c r="B152" s="376" t="n">
        <v>113.9988867577375</v>
      </c>
      <c r="C152" s="376" t="n">
        <v>115.6021821956283</v>
      </c>
      <c r="D152" s="376" t="n">
        <v>112.5055340947777</v>
      </c>
      <c r="E152" s="376" t="n">
        <v>115.5105667114258</v>
      </c>
      <c r="F152" s="93" t="n">
        <v>5428400</v>
      </c>
      <c r="G152" s="94" t="n">
        <v>0.01106655754772201</v>
      </c>
      <c r="H152" s="95" t="n">
        <v>85.51392452078667</v>
      </c>
      <c r="I152" s="376" t="n">
        <v>119.5700218200684</v>
      </c>
      <c r="J152" s="376" t="n"/>
      <c r="K152" s="94" t="n">
        <v>0.443086076615332</v>
      </c>
      <c r="L152" s="94" t="n">
        <v>-0.137363078148512</v>
      </c>
      <c r="M152" s="94" t="n">
        <v>-0.2931613113856733</v>
      </c>
      <c r="N152" t="n">
        <v>45.39166984408781</v>
      </c>
      <c r="O152" t="n">
        <v>-0.4983710975232825</v>
      </c>
      <c r="P152" s="143">
        <f>MAX($E$2:E152)</f>
        <v/>
      </c>
      <c r="Q152" s="144">
        <f>E152/P152-1</f>
        <v/>
      </c>
      <c r="R152" s="94" t="n">
        <v>0.006019417185475051</v>
      </c>
    </row>
    <row r="153">
      <c r="A153" s="375" t="n">
        <v>44684</v>
      </c>
      <c r="B153" s="376" t="n">
        <v>114.5394376301268</v>
      </c>
      <c r="C153" s="376" t="n">
        <v>115.2174076773682</v>
      </c>
      <c r="D153" s="376" t="n">
        <v>110.1418309186635</v>
      </c>
      <c r="E153" s="376" t="n">
        <v>112.5605163574219</v>
      </c>
      <c r="F153" s="93" t="n">
        <v>8201200</v>
      </c>
      <c r="G153" s="94" t="n">
        <v>-0.02553922500764683</v>
      </c>
      <c r="H153" s="95" t="n">
        <v>83.32996516116337</v>
      </c>
      <c r="I153" s="376" t="n">
        <v>119.2078681945801</v>
      </c>
      <c r="J153" s="376" t="n"/>
      <c r="K153" s="94" t="n">
        <v>0.4491281414842769</v>
      </c>
      <c r="L153" s="94" t="n">
        <v>-0.1593941565955811</v>
      </c>
      <c r="M153" s="94" t="n">
        <v>-0.3112134236983046</v>
      </c>
      <c r="N153" t="n">
        <v>41.69253981361064</v>
      </c>
      <c r="O153" t="n">
        <v>-0.5615393928397849</v>
      </c>
      <c r="P153" s="143">
        <f>MAX($E$2:E153)</f>
        <v/>
      </c>
      <c r="Q153" s="144">
        <f>E153/P153-1</f>
        <v/>
      </c>
      <c r="R153" s="94" t="n">
        <v>0.004584111780443045</v>
      </c>
    </row>
    <row r="154">
      <c r="A154" s="375" t="n">
        <v>44685</v>
      </c>
      <c r="B154" s="376" t="n">
        <v>112.2673519366698</v>
      </c>
      <c r="C154" s="376" t="n">
        <v>115.6205268968599</v>
      </c>
      <c r="D154" s="376" t="n">
        <v>110.0135769985518</v>
      </c>
      <c r="E154" s="376" t="n">
        <v>115.4922637939453</v>
      </c>
      <c r="F154" s="93" t="n">
        <v>6924000</v>
      </c>
      <c r="G154" s="94" t="n">
        <v>0.02604596648450008</v>
      </c>
      <c r="H154" s="95" t="n">
        <v>85.50037464090559</v>
      </c>
      <c r="I154" s="376" t="n">
        <v>118.9913705444336</v>
      </c>
      <c r="J154" s="376" t="n"/>
      <c r="K154" s="94" t="n">
        <v>0.4593322017934647</v>
      </c>
      <c r="L154" s="94" t="n">
        <v>-0.1374997649715947</v>
      </c>
      <c r="M154" s="94" t="n">
        <v>-0.293273311616977</v>
      </c>
      <c r="N154" t="n">
        <v>46.3700291643307</v>
      </c>
      <c r="O154" t="n">
        <v>-0.3720082079325333</v>
      </c>
      <c r="P154" s="143">
        <f>MAX($E$2:E154)</f>
        <v/>
      </c>
      <c r="Q154" s="144">
        <f>E154/P154-1</f>
        <v/>
      </c>
      <c r="R154" s="94" t="n">
        <v>0.0304528443008889</v>
      </c>
    </row>
    <row r="155">
      <c r="A155" s="375" t="n">
        <v>44686</v>
      </c>
      <c r="B155" s="376" t="n">
        <v>113.7057365140856</v>
      </c>
      <c r="C155" s="376" t="n">
        <v>114.2920841219389</v>
      </c>
      <c r="D155" s="376" t="n">
        <v>106.7520100859109</v>
      </c>
      <c r="E155" s="376" t="n">
        <v>108.6851272583008</v>
      </c>
      <c r="F155" s="93" t="n">
        <v>8411600</v>
      </c>
      <c r="G155" s="94" t="n">
        <v>-0.05894019488430358</v>
      </c>
      <c r="H155" s="95" t="n">
        <v>80.46096589688966</v>
      </c>
      <c r="I155" s="376" t="n">
        <v>118.6635934448242</v>
      </c>
      <c r="J155" s="376" t="n"/>
      <c r="K155" s="94" t="n">
        <v>0.4931292525442749</v>
      </c>
      <c r="L155" s="94" t="n">
        <v>-0.1883356969119264</v>
      </c>
      <c r="M155" s="94" t="n">
        <v>-0.3349279203602109</v>
      </c>
      <c r="N155" t="n">
        <v>38.62267182428625</v>
      </c>
      <c r="O155" t="n">
        <v>-0.6546903636614463</v>
      </c>
      <c r="P155" s="143">
        <f>MAX($E$2:E155)</f>
        <v/>
      </c>
      <c r="Q155" s="144">
        <f>E155/P155-1</f>
        <v/>
      </c>
      <c r="R155" s="94" t="n">
        <v>-0.03554281854979446</v>
      </c>
    </row>
    <row r="156">
      <c r="A156" s="375" t="n">
        <v>44687</v>
      </c>
      <c r="B156" s="376" t="n">
        <v>104.2050698410598</v>
      </c>
      <c r="C156" s="376" t="n">
        <v>106.1839984211064</v>
      </c>
      <c r="D156" s="376" t="n">
        <v>101.3832743696156</v>
      </c>
      <c r="E156" s="376" t="n">
        <v>104.8921966552734</v>
      </c>
      <c r="F156" s="93" t="n">
        <v>11237500</v>
      </c>
      <c r="G156" s="94" t="n">
        <v>-0.03489834072709019</v>
      </c>
      <c r="H156" s="95" t="n">
        <v>77.65301169378922</v>
      </c>
      <c r="I156" s="376" t="n">
        <v>118.2537420654297</v>
      </c>
      <c r="J156" s="376" t="n"/>
      <c r="K156" s="94" t="n">
        <v>0.5033171877474582</v>
      </c>
      <c r="L156" s="94" t="n">
        <v>-0.2166614343171102</v>
      </c>
      <c r="M156" s="94" t="n">
        <v>-0.3581378324035547</v>
      </c>
      <c r="N156" t="n">
        <v>35.10334323249432</v>
      </c>
      <c r="O156" t="n">
        <v>-1.024676274641003</v>
      </c>
      <c r="P156" s="143">
        <f>MAX($E$2:E156)</f>
        <v/>
      </c>
      <c r="Q156" s="144">
        <f>E156/P156-1</f>
        <v/>
      </c>
      <c r="R156" s="94" t="n">
        <v>-0.00596880642435671</v>
      </c>
    </row>
    <row r="157">
      <c r="A157" s="375" t="n">
        <v>44690</v>
      </c>
      <c r="B157" s="376" t="n">
        <v>103.4995975219555</v>
      </c>
      <c r="C157" s="376" t="n">
        <v>104.8372032225178</v>
      </c>
      <c r="D157" s="376" t="n">
        <v>101.3191111555781</v>
      </c>
      <c r="E157" s="376" t="n">
        <v>101.8871383666992</v>
      </c>
      <c r="F157" s="93" t="n">
        <v>7506000</v>
      </c>
      <c r="G157" s="94" t="n">
        <v>-0.02864901665135577</v>
      </c>
      <c r="H157" s="95" t="n">
        <v>75.42832926874593</v>
      </c>
      <c r="I157" s="376" t="n">
        <v>117.7539897155762</v>
      </c>
      <c r="J157" s="376" t="n"/>
      <c r="K157" s="94" t="n">
        <v>0.5098248692254786</v>
      </c>
      <c r="L157" s="94" t="n">
        <v>-0.2391033139290084</v>
      </c>
      <c r="M157" s="94" t="n">
        <v>-0.3765265523309006</v>
      </c>
      <c r="N157" t="n">
        <v>32.57106105976753</v>
      </c>
      <c r="O157" t="n">
        <v>-1.377371600234989</v>
      </c>
      <c r="P157" s="143">
        <f>MAX($E$2:E157)</f>
        <v/>
      </c>
      <c r="Q157" s="144">
        <f>E157/P157-1</f>
        <v/>
      </c>
      <c r="R157" s="94" t="n">
        <v>-0.03201727172278623</v>
      </c>
    </row>
    <row r="158">
      <c r="A158" s="375" t="n">
        <v>44691</v>
      </c>
      <c r="B158" s="376" t="n">
        <v>103.5545872577043</v>
      </c>
      <c r="C158" s="376" t="n">
        <v>103.93021992569</v>
      </c>
      <c r="D158" s="376" t="n">
        <v>99.26691579700906</v>
      </c>
      <c r="E158" s="376" t="n">
        <v>100.3113479614258</v>
      </c>
      <c r="F158" s="93" t="n">
        <v>7526900</v>
      </c>
      <c r="G158" s="94" t="n">
        <v>-0.01546603850627404</v>
      </c>
      <c r="H158" s="95" t="n">
        <v>74.26175182381158</v>
      </c>
      <c r="I158" s="376" t="n">
        <v>117.2638552856445</v>
      </c>
      <c r="J158" s="376" t="n"/>
      <c r="K158" s="94" t="n">
        <v>0.5064951763357364</v>
      </c>
      <c r="L158" s="94" t="n">
        <v>-0.2508713713750788</v>
      </c>
      <c r="M158" s="94" t="n">
        <v>-0.3861692166801903</v>
      </c>
      <c r="N158" t="n">
        <v>31.29613624088641</v>
      </c>
      <c r="O158" t="n">
        <v>-1.606388804342141</v>
      </c>
      <c r="P158" s="143">
        <f>MAX($E$2:E158)</f>
        <v/>
      </c>
      <c r="Q158" s="144">
        <f>E158/P158-1</f>
        <v/>
      </c>
      <c r="R158" s="94" t="n">
        <v>0.002310561324021743</v>
      </c>
    </row>
    <row r="159">
      <c r="A159" s="375" t="n">
        <v>44692</v>
      </c>
      <c r="B159" s="376" t="n">
        <v>101.4199118116924</v>
      </c>
      <c r="C159" s="376" t="n">
        <v>101.8321920812223</v>
      </c>
      <c r="D159" s="376" t="n">
        <v>98.57062548530131</v>
      </c>
      <c r="E159" s="376" t="n">
        <v>98.87296295166016</v>
      </c>
      <c r="F159" s="93" t="n">
        <v>6611800</v>
      </c>
      <c r="G159" s="94" t="n">
        <v>-0.01433920527434995</v>
      </c>
      <c r="H159" s="95" t="n">
        <v>73.19689732037712</v>
      </c>
      <c r="I159" s="376" t="n">
        <v>116.8241128540039</v>
      </c>
      <c r="J159" s="376" t="n"/>
      <c r="K159" s="94" t="n">
        <v>0.5066700611253194</v>
      </c>
      <c r="L159" s="94" t="n">
        <v>-0.2616132805578237</v>
      </c>
      <c r="M159" s="94" t="n">
        <v>-0.394971062285928</v>
      </c>
      <c r="N159" t="n">
        <v>30.13653835661752</v>
      </c>
      <c r="O159" t="n">
        <v>-1.733451321311039</v>
      </c>
      <c r="P159" s="143">
        <f>MAX($E$2:E159)</f>
        <v/>
      </c>
      <c r="Q159" s="144">
        <f>E159/P159-1</f>
        <v/>
      </c>
      <c r="R159" s="94" t="n">
        <v>-0.01588624681226125</v>
      </c>
    </row>
    <row r="160">
      <c r="A160" s="375" t="n">
        <v>44693</v>
      </c>
      <c r="B160" s="376" t="n">
        <v>96.36264145715246</v>
      </c>
      <c r="C160" s="376" t="n">
        <v>100.6686323247992</v>
      </c>
      <c r="D160" s="376" t="n">
        <v>96.19773078193374</v>
      </c>
      <c r="E160" s="376" t="n">
        <v>98.85462188720703</v>
      </c>
      <c r="F160" s="93" t="n">
        <v>10245400</v>
      </c>
      <c r="G160" s="94" t="n">
        <v>-0.0001855013130545036</v>
      </c>
      <c r="H160" s="95" t="n">
        <v>73.18331919981267</v>
      </c>
      <c r="I160" s="376" t="n">
        <v>116.3207498168945</v>
      </c>
      <c r="J160" s="376" t="n"/>
      <c r="K160" s="94" t="n">
        <v>0.497764968514708</v>
      </c>
      <c r="L160" s="94" t="n">
        <v>-0.2617502522638223</v>
      </c>
      <c r="M160" s="94" t="n">
        <v>-0.39508329594831</v>
      </c>
      <c r="N160" t="n">
        <v>30.12121255451372</v>
      </c>
      <c r="O160" t="n">
        <v>-1.695375015161143</v>
      </c>
      <c r="P160" s="143">
        <f>MAX($E$2:E160)</f>
        <v/>
      </c>
      <c r="Q160" s="144">
        <f>E160/P160-1</f>
        <v/>
      </c>
      <c r="R160" s="94" t="n">
        <v>-0.001043921367772205</v>
      </c>
    </row>
    <row r="161">
      <c r="A161" s="375" t="n">
        <v>44694</v>
      </c>
      <c r="B161" s="376" t="n">
        <v>101.0167828293427</v>
      </c>
      <c r="C161" s="376" t="n">
        <v>103.6278627436034</v>
      </c>
      <c r="D161" s="376" t="n">
        <v>99.56007067308329</v>
      </c>
      <c r="E161" s="376" t="n">
        <v>103.536247253418</v>
      </c>
      <c r="F161" s="93" t="n">
        <v>9618800</v>
      </c>
      <c r="G161" s="94" t="n">
        <v>0.04735868972876811</v>
      </c>
      <c r="H161" s="95" t="n">
        <v>76.64918530711799</v>
      </c>
      <c r="I161" s="376" t="n">
        <v>115.9422804260254</v>
      </c>
      <c r="J161" s="376" t="n"/>
      <c r="K161" s="94" t="n">
        <v>0.4985419119860297</v>
      </c>
      <c r="L161" s="94" t="n">
        <v>-0.2076400445566994</v>
      </c>
      <c r="M161" s="94" t="n">
        <v>-0.3664352334493769</v>
      </c>
      <c r="N161" t="n">
        <v>38.69170697065616</v>
      </c>
      <c r="O161" t="n">
        <v>-1.251983936612449</v>
      </c>
      <c r="P161" s="143">
        <f>MAX($E$2:E161)</f>
        <v/>
      </c>
      <c r="Q161" s="144">
        <f>E161/P161-1</f>
        <v/>
      </c>
      <c r="R161" s="94" t="n">
        <v>0.02390788822755541</v>
      </c>
    </row>
    <row r="162">
      <c r="A162" s="375" t="n">
        <v>44697</v>
      </c>
      <c r="B162" s="376" t="n">
        <v>103.5087626599451</v>
      </c>
      <c r="C162" s="376" t="n">
        <v>103.9301995040214</v>
      </c>
      <c r="D162" s="376" t="n">
        <v>102.207797544094</v>
      </c>
      <c r="E162" s="376" t="n">
        <v>103.1606140136719</v>
      </c>
      <c r="F162" s="93" t="n">
        <v>5722500</v>
      </c>
      <c r="G162" s="94" t="n">
        <v>-0.003628036071528506</v>
      </c>
      <c r="H162" s="95" t="n">
        <v>76.3710992979705</v>
      </c>
      <c r="I162" s="376" t="n">
        <v>115.6018319702148</v>
      </c>
      <c r="J162" s="376" t="n"/>
      <c r="K162" s="94" t="n">
        <v>0.4982439299292163</v>
      </c>
      <c r="L162" s="94" t="n">
        <v>-0.2105147550566823</v>
      </c>
      <c r="M162" s="94" t="n">
        <v>-0.3687338292760721</v>
      </c>
      <c r="N162" t="n">
        <v>38.28596294634362</v>
      </c>
      <c r="O162" t="n">
        <v>-0.8976816088948469</v>
      </c>
      <c r="P162" s="143">
        <f>MAX($E$2:E162)</f>
        <v/>
      </c>
      <c r="Q162" s="144">
        <f>E162/P162-1</f>
        <v/>
      </c>
      <c r="R162" s="94" t="n">
        <v>-0.004057514114802818</v>
      </c>
    </row>
    <row r="163">
      <c r="A163" s="375" t="n">
        <v>44698</v>
      </c>
      <c r="B163" s="376" t="n">
        <v>105.8175062675903</v>
      </c>
      <c r="C163" s="376" t="n">
        <v>107.2833750863214</v>
      </c>
      <c r="D163" s="376" t="n">
        <v>103.5912155963939</v>
      </c>
      <c r="E163" s="376" t="n">
        <v>106.1839752197266</v>
      </c>
      <c r="F163" s="93" t="n">
        <v>6026100</v>
      </c>
      <c r="G163" s="94" t="n">
        <v>0.02930732077315867</v>
      </c>
      <c r="H163" s="95" t="n">
        <v>78.60933160289487</v>
      </c>
      <c r="I163" s="376" t="n">
        <v>115.4453500366211</v>
      </c>
      <c r="J163" s="376" t="n"/>
      <c r="K163" s="94" t="n">
        <v>0.484518001557466</v>
      </c>
      <c r="L163" s="94" t="n">
        <v>-0.1670260545814374</v>
      </c>
      <c r="M163" s="94" t="n">
        <v>-0.3502331091174224</v>
      </c>
      <c r="N163" t="n">
        <v>43.42812239352861</v>
      </c>
      <c r="O163" t="n">
        <v>-0.3988296149088377</v>
      </c>
      <c r="P163" s="143">
        <f>MAX($E$2:E163)</f>
        <v/>
      </c>
      <c r="Q163" s="144">
        <f>E163/P163-1</f>
        <v/>
      </c>
      <c r="R163" s="94" t="n">
        <v>0.02057041323436226</v>
      </c>
    </row>
    <row r="164">
      <c r="A164" s="375" t="n">
        <v>44699</v>
      </c>
      <c r="B164" s="376" t="n">
        <v>103.0689992113898</v>
      </c>
      <c r="C164" s="376" t="n">
        <v>103.8569050089908</v>
      </c>
      <c r="D164" s="376" t="n">
        <v>99.66084985242958</v>
      </c>
      <c r="E164" s="376" t="n">
        <v>100.2013931274414</v>
      </c>
      <c r="F164" s="93" t="n">
        <v>8188300</v>
      </c>
      <c r="G164" s="94" t="n">
        <v>-0.05634166624394499</v>
      </c>
      <c r="H164" s="95" t="n">
        <v>74.18035087806497</v>
      </c>
      <c r="I164" s="376" t="n">
        <v>115.2284014892578</v>
      </c>
      <c r="J164" s="376" t="n"/>
      <c r="K164" s="94" t="n">
        <v>0.5141616216083625</v>
      </c>
      <c r="L164" s="94" t="n">
        <v>-0.2139571946041121</v>
      </c>
      <c r="M164" s="94" t="n">
        <v>-0.3868420584198944</v>
      </c>
      <c r="N164" t="n">
        <v>36.87975646074476</v>
      </c>
      <c r="O164" t="n">
        <v>-0.4093565847438443</v>
      </c>
      <c r="P164" s="143">
        <f>MAX($E$2:E164)</f>
        <v/>
      </c>
      <c r="Q164" s="144">
        <f>E164/P164-1</f>
        <v/>
      </c>
      <c r="R164" s="94" t="n">
        <v>-0.04031160019458346</v>
      </c>
    </row>
    <row r="165">
      <c r="A165" s="375" t="n">
        <v>44700</v>
      </c>
      <c r="B165" s="376" t="n">
        <v>99.81660011445464</v>
      </c>
      <c r="C165" s="376" t="n">
        <v>99.96319049540901</v>
      </c>
      <c r="D165" s="376" t="n">
        <v>97.37043079824485</v>
      </c>
      <c r="E165" s="376" t="n">
        <v>97.51702117919922</v>
      </c>
      <c r="F165" s="93" t="n">
        <v>7702000</v>
      </c>
      <c r="G165" s="94" t="n">
        <v>-0.02678976673336331</v>
      </c>
      <c r="H165" s="95" t="n">
        <v>72.19307658184256</v>
      </c>
      <c r="I165" s="376" t="n">
        <v>114.8525891113281</v>
      </c>
      <c r="J165" s="376" t="n"/>
      <c r="K165" s="94" t="n">
        <v>0.5166219311362186</v>
      </c>
      <c r="L165" s="94" t="n">
        <v>-0.2350150980031065</v>
      </c>
      <c r="M165" s="94" t="n">
        <v>-0.4032684166455347</v>
      </c>
      <c r="N165" t="n">
        <v>34.37511935337869</v>
      </c>
      <c r="O165" t="n">
        <v>-0.5271835070041995</v>
      </c>
      <c r="P165" s="143">
        <f>MAX($E$2:E165)</f>
        <v/>
      </c>
      <c r="Q165" s="144">
        <f>E165/P165-1</f>
        <v/>
      </c>
      <c r="R165" s="94" t="n">
        <v>-0.006124561142876406</v>
      </c>
    </row>
    <row r="166">
      <c r="A166" s="375" t="n">
        <v>44701</v>
      </c>
      <c r="B166" s="376" t="n">
        <v>99.56008246124408</v>
      </c>
      <c r="C166" s="376" t="n">
        <v>100.4945787452981</v>
      </c>
      <c r="D166" s="376" t="n">
        <v>96.26187549535609</v>
      </c>
      <c r="E166" s="376" t="n">
        <v>98.94625091552734</v>
      </c>
      <c r="F166" s="93" t="n">
        <v>7621900</v>
      </c>
      <c r="G166" s="94" t="n">
        <v>0.01465620790140565</v>
      </c>
      <c r="H166" s="95" t="n">
        <v>73.25115332126815</v>
      </c>
      <c r="I166" s="376" t="n">
        <v>114.5222184753418</v>
      </c>
      <c r="J166" s="376" t="n"/>
      <c r="K166" s="94" t="n">
        <v>0.5064780794641353</v>
      </c>
      <c r="L166" s="94" t="n">
        <v>-0.2238033202380035</v>
      </c>
      <c r="M166" s="94" t="n">
        <v>-0.3945225944985566</v>
      </c>
      <c r="N166" t="n">
        <v>36.83479974237487</v>
      </c>
      <c r="O166" t="n">
        <v>-0.4423652714982182</v>
      </c>
      <c r="P166" s="143">
        <f>MAX($E$2:E166)</f>
        <v/>
      </c>
      <c r="Q166" s="144">
        <f>E166/P166-1</f>
        <v/>
      </c>
      <c r="R166" s="94" t="n">
        <v>0.0004364430259584662</v>
      </c>
    </row>
    <row r="167">
      <c r="A167" s="375" t="n">
        <v>44704</v>
      </c>
      <c r="B167" s="376" t="n">
        <v>98.46066243441719</v>
      </c>
      <c r="C167" s="376" t="n">
        <v>99.63335738457353</v>
      </c>
      <c r="D167" s="376" t="n">
        <v>96.94898251061962</v>
      </c>
      <c r="E167" s="376" t="n">
        <v>99.52341461181641</v>
      </c>
      <c r="F167" s="93" t="n">
        <v>7136400</v>
      </c>
      <c r="G167" s="94" t="n">
        <v>0.005833103234824</v>
      </c>
      <c r="H167" s="95" t="n">
        <v>73.67843486066103</v>
      </c>
      <c r="I167" s="376" t="n">
        <v>114.265690612793</v>
      </c>
      <c r="J167" s="376" t="n"/>
      <c r="K167" s="94" t="n">
        <v>0.5089775979266338</v>
      </c>
      <c r="L167" s="94" t="n">
        <v>-0.2192756848744242</v>
      </c>
      <c r="M167" s="94" t="n">
        <v>-0.3909907822859133</v>
      </c>
      <c r="N167" t="n">
        <v>37.84788893500961</v>
      </c>
      <c r="O167" t="n">
        <v>-0.2883479132127151</v>
      </c>
      <c r="P167" s="143">
        <f>MAX($E$2:E167)</f>
        <v/>
      </c>
      <c r="Q167" s="144">
        <f>E167/P167-1</f>
        <v/>
      </c>
      <c r="R167" s="94" t="n">
        <v>0.01870994674290505</v>
      </c>
    </row>
    <row r="168">
      <c r="A168" s="375" t="n">
        <v>44705</v>
      </c>
      <c r="B168" s="376" t="n">
        <v>98.13085804509738</v>
      </c>
      <c r="C168" s="376" t="n">
        <v>98.93708421504559</v>
      </c>
      <c r="D168" s="376" t="n">
        <v>95.95037843262402</v>
      </c>
      <c r="E168" s="376" t="n">
        <v>98.29576873779297</v>
      </c>
      <c r="F168" s="93" t="n">
        <v>6023400</v>
      </c>
      <c r="G168" s="94" t="n">
        <v>-0.012335246723716</v>
      </c>
      <c r="H168" s="95" t="n">
        <v>72.76959318843753</v>
      </c>
      <c r="I168" s="376" t="n">
        <v>114.0773265075684</v>
      </c>
      <c r="J168" s="376" t="n"/>
      <c r="K168" s="94" t="n">
        <v>0.4736610124061618</v>
      </c>
      <c r="L168" s="94" t="n">
        <v>-0.2289061119247024</v>
      </c>
      <c r="M168" s="94" t="n">
        <v>-0.3985030612434339</v>
      </c>
      <c r="N168" t="n">
        <v>36.50666661922985</v>
      </c>
      <c r="O168" t="n">
        <v>-0.213553256993837</v>
      </c>
      <c r="P168" s="143">
        <f>MAX($E$2:E168)</f>
        <v/>
      </c>
      <c r="Q168" s="144">
        <f>E168/P168-1</f>
        <v/>
      </c>
      <c r="R168" s="94" t="n">
        <v>-0.007633766696593436</v>
      </c>
    </row>
    <row r="169">
      <c r="A169" s="375" t="n">
        <v>44706</v>
      </c>
      <c r="B169" s="376" t="n">
        <v>94.78683955104063</v>
      </c>
      <c r="C169" s="376" t="n">
        <v>99.76163727231804</v>
      </c>
      <c r="D169" s="376" t="n">
        <v>94.78683955104063</v>
      </c>
      <c r="E169" s="376" t="n">
        <v>99.12947845458984</v>
      </c>
      <c r="F169" s="93" t="n">
        <v>7158800</v>
      </c>
      <c r="G169" s="94" t="n">
        <v>0.008481643996506305</v>
      </c>
      <c r="H169" s="95" t="n">
        <v>73.38679897163244</v>
      </c>
      <c r="I169" s="376" t="n">
        <v>113.8721046447754</v>
      </c>
      <c r="J169" s="376" t="n"/>
      <c r="K169" s="94" t="n">
        <v>0.4745404301772665</v>
      </c>
      <c r="L169" s="94" t="n">
        <v>-0.2223659680781659</v>
      </c>
      <c r="M169" s="94" t="n">
        <v>-0.3934013783439123</v>
      </c>
      <c r="N169" t="n">
        <v>38.11065577989213</v>
      </c>
      <c r="O169" t="n">
        <v>-0.06029708592914496</v>
      </c>
      <c r="P169" s="143">
        <f>MAX($E$2:E169)</f>
        <v/>
      </c>
      <c r="Q169" s="144">
        <f>E169/P169-1</f>
        <v/>
      </c>
      <c r="R169" s="94" t="n">
        <v>0.008834936651902714</v>
      </c>
    </row>
    <row r="170">
      <c r="A170" s="375" t="n">
        <v>44707</v>
      </c>
      <c r="B170" s="376" t="n">
        <v>100.7785758445836</v>
      </c>
      <c r="C170" s="376" t="n">
        <v>103.9851668941839</v>
      </c>
      <c r="D170" s="376" t="n">
        <v>100.7785758445836</v>
      </c>
      <c r="E170" s="376" t="n">
        <v>103.4721145629883</v>
      </c>
      <c r="F170" s="93" t="n">
        <v>6520300</v>
      </c>
      <c r="G170" s="94" t="n">
        <v>0.04380771669637862</v>
      </c>
      <c r="H170" s="95" t="n">
        <v>76.60170707023582</v>
      </c>
      <c r="I170" s="376" t="n">
        <v>113.6476431274414</v>
      </c>
      <c r="J170" s="376" t="n"/>
      <c r="K170" s="94" t="n">
        <v>0.4686147984465345</v>
      </c>
      <c r="L170" s="94" t="n">
        <v>-0.1882995967142714</v>
      </c>
      <c r="M170" s="94" t="n">
        <v>-0.3668276777779886</v>
      </c>
      <c r="N170" t="n">
        <v>45.79235193901516</v>
      </c>
      <c r="O170" t="n">
        <v>0.3581722149335569</v>
      </c>
      <c r="P170" s="143">
        <f>MAX($E$2:E170)</f>
        <v/>
      </c>
      <c r="Q170" s="144">
        <f>E170/P170-1</f>
        <v/>
      </c>
      <c r="R170" s="94" t="n">
        <v>0.01998149167023189</v>
      </c>
    </row>
    <row r="171">
      <c r="A171" s="375" t="n">
        <v>44708</v>
      </c>
      <c r="B171" s="376" t="n">
        <v>104.6448177626193</v>
      </c>
      <c r="C171" s="376" t="n">
        <v>106.2847610089719</v>
      </c>
      <c r="D171" s="376" t="n">
        <v>104.4524231234134</v>
      </c>
      <c r="E171" s="376" t="n">
        <v>106.2664337158203</v>
      </c>
      <c r="F171" s="93" t="n">
        <v>5043000</v>
      </c>
      <c r="G171" s="94" t="n">
        <v>0.02700552863574668</v>
      </c>
      <c r="H171" s="95" t="n">
        <v>78.67037666406814</v>
      </c>
      <c r="I171" s="376" t="n">
        <v>113.4383897399902</v>
      </c>
      <c r="J171" s="376" t="n"/>
      <c r="K171" s="94" t="n">
        <v>0.4795238500329322</v>
      </c>
      <c r="L171" s="94" t="n">
        <v>-0.1663791982296916</v>
      </c>
      <c r="M171" s="94" t="n">
        <v>-0.34972852449886</v>
      </c>
      <c r="N171" t="n">
        <v>50.08549412398097</v>
      </c>
      <c r="O171" t="n">
        <v>0.8213087974004427</v>
      </c>
      <c r="P171" s="143">
        <f>MAX($E$2:E171)</f>
        <v/>
      </c>
      <c r="Q171" s="144">
        <f>E171/P171-1</f>
        <v/>
      </c>
      <c r="R171" s="94" t="n">
        <v>0.02454898532945249</v>
      </c>
    </row>
    <row r="172">
      <c r="A172" s="375" t="n">
        <v>44712</v>
      </c>
      <c r="B172" s="376" t="n">
        <v>107.6498538924388</v>
      </c>
      <c r="C172" s="376" t="n">
        <v>109.7478816709075</v>
      </c>
      <c r="D172" s="376" t="n">
        <v>104.8555357401561</v>
      </c>
      <c r="E172" s="376" t="n">
        <v>108.8866806030273</v>
      </c>
      <c r="F172" s="93" t="n">
        <v>13774600</v>
      </c>
      <c r="G172" s="94" t="n">
        <v>0.02465733341738141</v>
      </c>
      <c r="H172" s="95" t="n">
        <v>80.61017837154505</v>
      </c>
      <c r="I172" s="376" t="n">
        <v>113.2113632202148</v>
      </c>
      <c r="J172" s="376" t="n"/>
      <c r="K172" s="94" t="n">
        <v>0.4872428763136705</v>
      </c>
      <c r="L172" s="94" t="n">
        <v>-0.1458243321767764</v>
      </c>
      <c r="M172" s="94" t="n">
        <v>-0.3336945639156159</v>
      </c>
      <c r="N172" t="n">
        <v>53.78188449816368</v>
      </c>
      <c r="O172" t="n">
        <v>1.275182767467318</v>
      </c>
      <c r="P172" s="143">
        <f>MAX($E$2:E172)</f>
        <v/>
      </c>
      <c r="Q172" s="144">
        <f>E172/P172-1</f>
        <v/>
      </c>
      <c r="R172" s="94" t="n">
        <v>-0.005611073934651101</v>
      </c>
    </row>
    <row r="173">
      <c r="A173" s="375" t="n">
        <v>44713</v>
      </c>
      <c r="B173" s="376" t="n">
        <v>109.7845375647347</v>
      </c>
      <c r="C173" s="376" t="n">
        <v>110.6274114026277</v>
      </c>
      <c r="D173" s="376" t="n">
        <v>107.7506411808253</v>
      </c>
      <c r="E173" s="376" t="n">
        <v>108.7309417724609</v>
      </c>
      <c r="F173" s="93" t="n">
        <v>5543100</v>
      </c>
      <c r="G173" s="94" t="n">
        <v>-0.00143028357282915</v>
      </c>
      <c r="H173" s="95" t="n">
        <v>80.49488295761739</v>
      </c>
      <c r="I173" s="376" t="n">
        <v>113.0004609680176</v>
      </c>
      <c r="J173" s="376" t="n"/>
      <c r="K173" s="94" t="n">
        <v>0.4795767517385564</v>
      </c>
      <c r="L173" s="94" t="n">
        <v>-0.1470460456027743</v>
      </c>
      <c r="M173" s="94" t="n">
        <v>-0.3346475696353342</v>
      </c>
      <c r="N173" t="n">
        <v>53.52815398399188</v>
      </c>
      <c r="O173" t="n">
        <v>1.519394965256906</v>
      </c>
      <c r="P173" s="143">
        <f>MAX($E$2:E173)</f>
        <v/>
      </c>
      <c r="Q173" s="144">
        <f>E173/P173-1</f>
        <v/>
      </c>
      <c r="R173" s="94" t="n">
        <v>-0.008088457624494949</v>
      </c>
    </row>
    <row r="174">
      <c r="A174" s="375" t="n">
        <v>44714</v>
      </c>
      <c r="B174" s="376" t="n">
        <v>109.491347239263</v>
      </c>
      <c r="C174" s="376" t="n">
        <v>113.2201543841388</v>
      </c>
      <c r="D174" s="376" t="n">
        <v>109.2623050141728</v>
      </c>
      <c r="E174" s="376" t="n">
        <v>113.0644073486328</v>
      </c>
      <c r="F174" s="93" t="n">
        <v>5838100</v>
      </c>
      <c r="G174" s="94" t="n">
        <v>0.03985494382307864</v>
      </c>
      <c r="H174" s="95" t="n">
        <v>83.70300199593854</v>
      </c>
      <c r="I174" s="376" t="n">
        <v>112.8230903625488</v>
      </c>
      <c r="J174" s="376" t="n"/>
      <c r="K174" s="94" t="n">
        <v>0.4923521498876786</v>
      </c>
      <c r="L174" s="94" t="n">
        <v>-0.1130516136666001</v>
      </c>
      <c r="M174" s="94" t="n">
        <v>-0.3081299859006015</v>
      </c>
      <c r="N174" t="n">
        <v>59.2841828623591</v>
      </c>
      <c r="O174" t="n">
        <v>1.902420748227142</v>
      </c>
      <c r="P174" s="143">
        <f>MAX($E$2:E174)</f>
        <v/>
      </c>
      <c r="Q174" s="144">
        <f>E174/P174-1</f>
        <v/>
      </c>
      <c r="R174" s="94" t="n">
        <v>0.01904355895288079</v>
      </c>
    </row>
    <row r="175">
      <c r="A175" s="375" t="n">
        <v>44715</v>
      </c>
      <c r="B175" s="376" t="n">
        <v>110.4055317829911</v>
      </c>
      <c r="C175" s="376" t="n">
        <v>112.545495955457</v>
      </c>
      <c r="D175" s="376" t="n">
        <v>110.2126604680279</v>
      </c>
      <c r="E175" s="376" t="n">
        <v>111.0851745605469</v>
      </c>
      <c r="F175" s="93" t="n">
        <v>5201500</v>
      </c>
      <c r="G175" s="94" t="n">
        <v>-0.01750535676521958</v>
      </c>
      <c r="H175" s="95" t="n">
        <v>82.23775108367974</v>
      </c>
      <c r="I175" s="376" t="n">
        <v>112.6077848815918</v>
      </c>
      <c r="J175" s="376" t="n"/>
      <c r="K175" s="94" t="n">
        <v>0.4471270934556827</v>
      </c>
      <c r="L175" s="94" t="n">
        <v>-0.1285779616017021</v>
      </c>
      <c r="M175" s="94" t="n">
        <v>-0.3202414173325691</v>
      </c>
      <c r="N175" t="n">
        <v>55.87983179787501</v>
      </c>
      <c r="O175" t="n">
        <v>1.945175688961262</v>
      </c>
      <c r="P175" s="143">
        <f>MAX($E$2:E175)</f>
        <v/>
      </c>
      <c r="Q175" s="144">
        <f>E175/P175-1</f>
        <v/>
      </c>
      <c r="R175" s="94" t="n">
        <v>-0.0164115254601096</v>
      </c>
    </row>
    <row r="176">
      <c r="A176" s="375" t="n">
        <v>44718</v>
      </c>
      <c r="B176" s="376" t="n">
        <v>111.5903109484252</v>
      </c>
      <c r="C176" s="376" t="n">
        <v>112.178111202727</v>
      </c>
      <c r="D176" s="376" t="n">
        <v>109.6891429681076</v>
      </c>
      <c r="E176" s="376" t="n">
        <v>110.4238967895508</v>
      </c>
      <c r="F176" s="93" t="n">
        <v>3963400</v>
      </c>
      <c r="G176" s="94" t="n">
        <v>-0.005952889515744242</v>
      </c>
      <c r="H176" s="95" t="n">
        <v>81.74819883745532</v>
      </c>
      <c r="I176" s="376" t="n">
        <v>112.3961106872559</v>
      </c>
      <c r="J176" s="376" t="n"/>
      <c r="K176" s="94" t="n">
        <v>0.4272650696174981</v>
      </c>
      <c r="L176" s="94" t="n">
        <v>-0.1337654407178718</v>
      </c>
      <c r="M176" s="94" t="n">
        <v>-0.3242879450725671</v>
      </c>
      <c r="N176" t="n">
        <v>54.74862897693259</v>
      </c>
      <c r="O176" t="n">
        <v>1.852089534624706</v>
      </c>
      <c r="P176" s="143">
        <f>MAX($E$2:E176)</f>
        <v/>
      </c>
      <c r="Q176" s="144">
        <f>E176/P176-1</f>
        <v/>
      </c>
      <c r="R176" s="94" t="n">
        <v>0.003044769256326019</v>
      </c>
    </row>
    <row r="177">
      <c r="A177" s="375" t="n">
        <v>44719</v>
      </c>
      <c r="B177" s="376" t="n">
        <v>108.9819490189574</v>
      </c>
      <c r="C177" s="376" t="n">
        <v>112.0219791390536</v>
      </c>
      <c r="D177" s="376" t="n">
        <v>108.7982570586434</v>
      </c>
      <c r="E177" s="376" t="n">
        <v>111.7464447021484</v>
      </c>
      <c r="F177" s="93" t="n">
        <v>5373600</v>
      </c>
      <c r="G177" s="94" t="n">
        <v>0.0119770081571946</v>
      </c>
      <c r="H177" s="95" t="n">
        <v>82.72729768176748</v>
      </c>
      <c r="I177" s="376" t="n">
        <v>112.1812040710449</v>
      </c>
      <c r="J177" s="376" t="n"/>
      <c r="K177" s="94" t="n">
        <v>0.4115021801365926</v>
      </c>
      <c r="L177" s="94" t="n">
        <v>-0.1233905423353059</v>
      </c>
      <c r="M177" s="94" t="n">
        <v>-0.3161949362787866</v>
      </c>
      <c r="N177" t="n">
        <v>56.63920772590203</v>
      </c>
      <c r="O177" t="n">
        <v>1.80112237746492</v>
      </c>
      <c r="P177" s="143">
        <f>MAX($E$2:E177)</f>
        <v/>
      </c>
      <c r="Q177" s="144">
        <f>E177/P177-1</f>
        <v/>
      </c>
      <c r="R177" s="94" t="n">
        <v>0.009592088298219004</v>
      </c>
    </row>
    <row r="178">
      <c r="A178" s="375" t="n">
        <v>44720</v>
      </c>
      <c r="B178" s="376" t="n">
        <v>111.0392576277198</v>
      </c>
      <c r="C178" s="376" t="n">
        <v>113.7210973701666</v>
      </c>
      <c r="D178" s="376" t="n">
        <v>110.6259559436899</v>
      </c>
      <c r="E178" s="376" t="n">
        <v>112.4169158935547</v>
      </c>
      <c r="F178" s="93" t="n">
        <v>4365800</v>
      </c>
      <c r="G178" s="94" t="n">
        <v>0.005999933091324294</v>
      </c>
      <c r="H178" s="95" t="n">
        <v>83.22365593268415</v>
      </c>
      <c r="I178" s="376" t="n">
        <v>111.9593675231934</v>
      </c>
      <c r="J178" s="376" t="n"/>
      <c r="K178" s="94" t="n">
        <v>0.4043708616064911</v>
      </c>
      <c r="L178" s="94" t="n">
        <v>-0.1181309442420957</v>
      </c>
      <c r="M178" s="94" t="n">
        <v>-0.3120921516489505</v>
      </c>
      <c r="N178" t="n">
        <v>57.60619077694985</v>
      </c>
      <c r="O178" t="n">
        <v>1.733507239148366</v>
      </c>
      <c r="P178" s="143">
        <f>MAX($E$2:E178)</f>
        <v/>
      </c>
      <c r="Q178" s="144">
        <f>E178/P178-1</f>
        <v/>
      </c>
      <c r="R178" s="94" t="n">
        <v>-0.01087183301523142</v>
      </c>
    </row>
    <row r="179">
      <c r="A179" s="375" t="n">
        <v>44721</v>
      </c>
      <c r="B179" s="376" t="n">
        <v>111.4525484696297</v>
      </c>
      <c r="C179" s="376" t="n">
        <v>112.0770871422703</v>
      </c>
      <c r="D179" s="376" t="n">
        <v>108.91765538572</v>
      </c>
      <c r="E179" s="376" t="n">
        <v>108.9268417358398</v>
      </c>
      <c r="F179" s="93" t="n">
        <v>3892600</v>
      </c>
      <c r="G179" s="94" t="n">
        <v>-0.03104580952051317</v>
      </c>
      <c r="H179" s="95" t="n">
        <v>80.63991016299732</v>
      </c>
      <c r="I179" s="376" t="n">
        <v>111.5883894348145</v>
      </c>
      <c r="J179" s="376" t="n"/>
      <c r="K179" s="94" t="n">
        <v>0.4195899967352714</v>
      </c>
      <c r="L179" s="94" t="n">
        <v>-0.1455092829691903</v>
      </c>
      <c r="M179" s="94" t="n">
        <v>-0.3334488076765233</v>
      </c>
      <c r="N179" t="n">
        <v>51.20483663367634</v>
      </c>
      <c r="O179" t="n">
        <v>1.38953466800815</v>
      </c>
      <c r="P179" s="143">
        <f>MAX($E$2:E179)</f>
        <v/>
      </c>
      <c r="Q179" s="144">
        <f>E179/P179-1</f>
        <v/>
      </c>
      <c r="R179" s="94" t="n">
        <v>-0.02378305614009446</v>
      </c>
    </row>
    <row r="180">
      <c r="A180" s="375" t="n">
        <v>44722</v>
      </c>
      <c r="B180" s="376" t="n">
        <v>107.5400069053035</v>
      </c>
      <c r="C180" s="376" t="n">
        <v>107.5400069053035</v>
      </c>
      <c r="D180" s="376" t="n">
        <v>104.9408301565891</v>
      </c>
      <c r="E180" s="376" t="n">
        <v>105.3724975585938</v>
      </c>
      <c r="F180" s="93" t="n">
        <v>6292600</v>
      </c>
      <c r="G180" s="94" t="n">
        <v>-0.03263056305135326</v>
      </c>
      <c r="H180" s="95" t="n">
        <v>78.00858448996817</v>
      </c>
      <c r="I180" s="376" t="n">
        <v>111.1573184204101</v>
      </c>
      <c r="J180" s="376" t="n"/>
      <c r="K180" s="94" t="n">
        <v>0.4403893053450963</v>
      </c>
      <c r="L180" s="94" t="n">
        <v>-0.1733917961880602</v>
      </c>
      <c r="M180" s="94" t="n">
        <v>-0.3551987483845892</v>
      </c>
      <c r="N180" t="n">
        <v>45.64222189801657</v>
      </c>
      <c r="O180" t="n">
        <v>0.8831096293917968</v>
      </c>
      <c r="P180" s="143">
        <f>MAX($E$2:E180)</f>
        <v/>
      </c>
      <c r="Q180" s="144">
        <f>E180/P180-1</f>
        <v/>
      </c>
      <c r="R180" s="94" t="n">
        <v>-0.02899560836534132</v>
      </c>
    </row>
    <row r="181">
      <c r="A181" s="375" t="n">
        <v>44725</v>
      </c>
      <c r="B181" s="376" t="n">
        <v>101.3864483086709</v>
      </c>
      <c r="C181" s="376" t="n">
        <v>102.8835008785655</v>
      </c>
      <c r="D181" s="376" t="n">
        <v>100.3302423941581</v>
      </c>
      <c r="E181" s="376" t="n">
        <v>101.432373046875</v>
      </c>
      <c r="F181" s="93" t="n">
        <v>6423100</v>
      </c>
      <c r="G181" s="94" t="n">
        <v>-0.03739234243288003</v>
      </c>
      <c r="H181" s="95" t="n">
        <v>75.09166078601503</v>
      </c>
      <c r="I181" s="376" t="n">
        <v>110.7203721618652</v>
      </c>
      <c r="J181" s="376" t="n"/>
      <c r="K181" s="94" t="n">
        <v>0.4312643497850755</v>
      </c>
      <c r="L181" s="94" t="n">
        <v>-0.2043006132028242</v>
      </c>
      <c r="M181" s="94" t="n">
        <v>-0.3793093775861422</v>
      </c>
      <c r="N181" t="n">
        <v>40.40246636967198</v>
      </c>
      <c r="O181" t="n">
        <v>0.2747777835677201</v>
      </c>
      <c r="P181" s="143">
        <f>MAX($E$2:E181)</f>
        <v/>
      </c>
      <c r="Q181" s="144">
        <f>E181/P181-1</f>
        <v/>
      </c>
      <c r="R181" s="94" t="n">
        <v>-0.0379681122306853</v>
      </c>
    </row>
    <row r="182">
      <c r="A182" s="375" t="n">
        <v>44726</v>
      </c>
      <c r="B182" s="376" t="n">
        <v>101.368084895083</v>
      </c>
      <c r="C182" s="376" t="n">
        <v>102.7641086779977</v>
      </c>
      <c r="D182" s="376" t="n">
        <v>101.0374463925526</v>
      </c>
      <c r="E182" s="376" t="n">
        <v>101.6895370483398</v>
      </c>
      <c r="F182" s="93" t="n">
        <v>4548400</v>
      </c>
      <c r="G182" s="94" t="n">
        <v>0.002535324706895992</v>
      </c>
      <c r="H182" s="95" t="n">
        <v>75.28204252888766</v>
      </c>
      <c r="I182" s="376" t="n">
        <v>110.3076252746582</v>
      </c>
      <c r="J182" s="376" t="n"/>
      <c r="K182" s="94" t="n">
        <v>0.4312592549386809</v>
      </c>
      <c r="L182" s="94" t="n">
        <v>-0.2022832568882154</v>
      </c>
      <c r="M182" s="94" t="n">
        <v>-0.3777357253157977</v>
      </c>
      <c r="N182" t="n">
        <v>40.87951989623228</v>
      </c>
      <c r="O182" t="n">
        <v>-0.09830264104290987</v>
      </c>
      <c r="P182" s="143">
        <f>MAX($E$2:E182)</f>
        <v/>
      </c>
      <c r="Q182" s="144">
        <f>E182/P182-1</f>
        <v/>
      </c>
      <c r="R182" s="94" t="n">
        <v>-0.003013517350587192</v>
      </c>
    </row>
    <row r="183">
      <c r="A183" s="375" t="n">
        <v>44727</v>
      </c>
      <c r="B183" s="376" t="n">
        <v>103.0120978366319</v>
      </c>
      <c r="C183" s="376" t="n">
        <v>105.3632988918837</v>
      </c>
      <c r="D183" s="376" t="n">
        <v>102.1395767836585</v>
      </c>
      <c r="E183" s="376" t="n">
        <v>104.1876983642578</v>
      </c>
      <c r="F183" s="93" t="n">
        <v>4828700</v>
      </c>
      <c r="G183" s="94" t="n">
        <v>0.02456655215895442</v>
      </c>
      <c r="H183" s="95" t="n">
        <v>77.1314627533062</v>
      </c>
      <c r="I183" s="376" t="n">
        <v>109.9298167419434</v>
      </c>
      <c r="J183" s="376" t="n"/>
      <c r="K183" s="94" t="n">
        <v>0.4272425923365707</v>
      </c>
      <c r="L183" s="94" t="n">
        <v>-0.1826861069104886</v>
      </c>
      <c r="M183" s="94" t="n">
        <v>-0.3624488375551143</v>
      </c>
      <c r="N183" t="n">
        <v>45.4477355113515</v>
      </c>
      <c r="O183" t="n">
        <v>-0.1611352752365207</v>
      </c>
      <c r="P183" s="143">
        <f>MAX($E$2:E183)</f>
        <v/>
      </c>
      <c r="Q183" s="144">
        <f>E183/P183-1</f>
        <v/>
      </c>
      <c r="R183" s="94" t="n">
        <v>0.01425629778068815</v>
      </c>
    </row>
    <row r="184">
      <c r="A184" s="375" t="n">
        <v>44728</v>
      </c>
      <c r="B184" s="376" t="n">
        <v>100.5782393489779</v>
      </c>
      <c r="C184" s="376" t="n">
        <v>100.9364299360735</v>
      </c>
      <c r="D184" s="376" t="n">
        <v>97.09735530387897</v>
      </c>
      <c r="E184" s="376" t="n">
        <v>98.38317108154297</v>
      </c>
      <c r="F184" s="93" t="n">
        <v>7384800</v>
      </c>
      <c r="G184" s="94" t="n">
        <v>-0.05571221337879295</v>
      </c>
      <c r="H184" s="95" t="n">
        <v>72.83429824217559</v>
      </c>
      <c r="I184" s="376" t="n">
        <v>109.4732972717285</v>
      </c>
      <c r="J184" s="376" t="n"/>
      <c r="K184" s="94" t="n">
        <v>0.4261578854260472</v>
      </c>
      <c r="L184" s="94" t="n">
        <v>-0.2282204729197432</v>
      </c>
      <c r="M184" s="94" t="n">
        <v>-0.3979682239571412</v>
      </c>
      <c r="N184" t="n">
        <v>38.08422621997368</v>
      </c>
      <c r="O184" t="n">
        <v>-0.5557077442685023</v>
      </c>
      <c r="P184" s="143">
        <f>MAX($E$2:E184)</f>
        <v/>
      </c>
      <c r="Q184" s="144">
        <f>E184/P184-1</f>
        <v/>
      </c>
      <c r="R184" s="94" t="n">
        <v>-0.03309567888201659</v>
      </c>
    </row>
    <row r="185">
      <c r="A185" s="375" t="n">
        <v>44729</v>
      </c>
      <c r="B185" s="376" t="n">
        <v>97.49226780789456</v>
      </c>
      <c r="C185" s="376" t="n">
        <v>99.69652205317875</v>
      </c>
      <c r="D185" s="376" t="n">
        <v>97.21673339955989</v>
      </c>
      <c r="E185" s="376" t="n">
        <v>98.585205078125</v>
      </c>
      <c r="F185" s="93" t="n">
        <v>10256800</v>
      </c>
      <c r="G185" s="94" t="n">
        <v>0.002053542230455063</v>
      </c>
      <c r="H185" s="95" t="n">
        <v>72.98386654944146</v>
      </c>
      <c r="I185" s="376" t="n">
        <v>109.0930123901367</v>
      </c>
      <c r="J185" s="376" t="n"/>
      <c r="K185" s="94" t="n">
        <v>0.4147683168476903</v>
      </c>
      <c r="L185" s="94" t="n">
        <v>-0.2266355910682833</v>
      </c>
      <c r="M185" s="94" t="n">
        <v>-0.3967319262809613</v>
      </c>
      <c r="N185" t="n">
        <v>38.45798087699462</v>
      </c>
      <c r="O185" t="n">
        <v>-0.7529328953021828</v>
      </c>
      <c r="P185" s="143">
        <f>MAX($E$2:E185)</f>
        <v/>
      </c>
      <c r="Q185" s="144">
        <f>E185/P185-1</f>
        <v/>
      </c>
      <c r="R185" s="94" t="n">
        <v>0.002155398189062296</v>
      </c>
    </row>
    <row r="186">
      <c r="A186" s="375" t="n">
        <v>44733</v>
      </c>
      <c r="B186" s="376" t="n">
        <v>99.61386033406961</v>
      </c>
      <c r="C186" s="376" t="n">
        <v>100.8629375237928</v>
      </c>
      <c r="D186" s="376" t="n">
        <v>99.22811776266042</v>
      </c>
      <c r="E186" s="376" t="n">
        <v>99.81591796875</v>
      </c>
      <c r="F186" s="93" t="n">
        <v>6211400</v>
      </c>
      <c r="G186" s="94" t="n">
        <v>0.01248374834387889</v>
      </c>
      <c r="H186" s="95" t="n">
        <v>73.89497877260793</v>
      </c>
      <c r="I186" s="376" t="n">
        <v>108.71865234375</v>
      </c>
      <c r="J186" s="376" t="n"/>
      <c r="K186" s="94" t="n">
        <v>0.4138814205876741</v>
      </c>
      <c r="L186" s="94" t="n">
        <v>-0.216981104409067</v>
      </c>
      <c r="M186" s="94" t="n">
        <v>-0.3892008794647563</v>
      </c>
      <c r="N186" t="n">
        <v>40.8022500967876</v>
      </c>
      <c r="O186" t="n">
        <v>-0.7487617321436932</v>
      </c>
      <c r="P186" s="143">
        <f>MAX($E$2:E186)</f>
        <v/>
      </c>
      <c r="Q186" s="144">
        <f>E186/P186-1</f>
        <v/>
      </c>
      <c r="R186" s="94" t="n">
        <v>0.02517356240924906</v>
      </c>
    </row>
    <row r="187">
      <c r="A187" s="375" t="n">
        <v>44734</v>
      </c>
      <c r="B187" s="376" t="n">
        <v>96.80344829969057</v>
      </c>
      <c r="C187" s="376" t="n">
        <v>98.18110646237935</v>
      </c>
      <c r="D187" s="376" t="n">
        <v>96.07788082648534</v>
      </c>
      <c r="E187" s="376" t="n">
        <v>96.36259460449219</v>
      </c>
      <c r="F187" s="93" t="n">
        <v>9884000</v>
      </c>
      <c r="G187" s="94" t="n">
        <v>-0.03459692035632</v>
      </c>
      <c r="H187" s="95" t="n">
        <v>71.33844007728005</v>
      </c>
      <c r="I187" s="376" t="n">
        <v>108.2977633666992</v>
      </c>
      <c r="J187" s="376" t="n"/>
      <c r="K187" s="94" t="n">
        <v>0.43180516074044</v>
      </c>
      <c r="L187" s="94" t="n">
        <v>-0.2440711467773202</v>
      </c>
      <c r="M187" s="94" t="n">
        <v>-0.4103326479916244</v>
      </c>
      <c r="N187" t="n">
        <v>36.5904419492312</v>
      </c>
      <c r="O187" t="n">
        <v>-0.9157955917871974</v>
      </c>
      <c r="P187" s="143">
        <f>MAX($E$2:E187)</f>
        <v/>
      </c>
      <c r="Q187" s="144">
        <f>E187/P187-1</f>
        <v/>
      </c>
      <c r="R187" s="94" t="n">
        <v>-0.001812698648444133</v>
      </c>
    </row>
    <row r="188">
      <c r="A188" s="375" t="n">
        <v>44735</v>
      </c>
      <c r="B188" s="376" t="n">
        <v>96.44526834301359</v>
      </c>
      <c r="C188" s="376" t="n">
        <v>99.28324110679063</v>
      </c>
      <c r="D188" s="376" t="n">
        <v>95.89420641877007</v>
      </c>
      <c r="E188" s="376" t="n">
        <v>99.19139862060547</v>
      </c>
      <c r="F188" s="93" t="n">
        <v>8898400</v>
      </c>
      <c r="G188" s="94" t="n">
        <v>0.02935583073207759</v>
      </c>
      <c r="H188" s="95" t="n">
        <v>73.43263924887916</v>
      </c>
      <c r="I188" s="376" t="n">
        <v>107.9915353393555</v>
      </c>
      <c r="J188" s="376" t="n"/>
      <c r="K188" s="94" t="n">
        <v>0.4428395926628466</v>
      </c>
      <c r="L188" s="94" t="n">
        <v>-0.2218802273166216</v>
      </c>
      <c r="M188" s="94" t="n">
        <v>-0.3930224730178342</v>
      </c>
      <c r="N188" t="n">
        <v>41.88269084893827</v>
      </c>
      <c r="O188" t="n">
        <v>-0.7783832753772879</v>
      </c>
      <c r="P188" s="143">
        <f>MAX($E$2:E188)</f>
        <v/>
      </c>
      <c r="Q188" s="144">
        <f>E188/P188-1</f>
        <v/>
      </c>
      <c r="R188" s="94" t="n">
        <v>0.009802348753448209</v>
      </c>
    </row>
    <row r="189">
      <c r="A189" s="375" t="n">
        <v>44736</v>
      </c>
      <c r="B189" s="376" t="n">
        <v>100.9639770414111</v>
      </c>
      <c r="C189" s="376" t="n">
        <v>103.7284797770912</v>
      </c>
      <c r="D189" s="376" t="n">
        <v>100.6700769072184</v>
      </c>
      <c r="E189" s="376" t="n">
        <v>103.700927734375</v>
      </c>
      <c r="F189" s="93" t="n">
        <v>10463700</v>
      </c>
      <c r="G189" s="94" t="n">
        <v>0.04546290481312698</v>
      </c>
      <c r="H189" s="95" t="n">
        <v>76.77110033722764</v>
      </c>
      <c r="I189" s="376" t="n">
        <v>107.7743986511231</v>
      </c>
      <c r="J189" s="376" t="n"/>
      <c r="K189" s="94" t="n">
        <v>0.4699459556074331</v>
      </c>
      <c r="L189" s="94" t="n">
        <v>-0.1829815145069102</v>
      </c>
      <c r="M189" s="94" t="n">
        <v>-0.3654275114849367</v>
      </c>
      <c r="N189" t="n">
        <v>49.16635342964233</v>
      </c>
      <c r="O189" t="n">
        <v>-0.3483193324214944</v>
      </c>
      <c r="P189" s="143">
        <f>MAX($E$2:E189)</f>
        <v/>
      </c>
      <c r="Q189" s="144">
        <f>E189/P189-1</f>
        <v/>
      </c>
      <c r="R189" s="94" t="n">
        <v>0.03179386086262137</v>
      </c>
    </row>
    <row r="190">
      <c r="A190" s="375" t="n">
        <v>44739</v>
      </c>
      <c r="B190" s="376" t="n">
        <v>103.0855848482226</v>
      </c>
      <c r="C190" s="376" t="n">
        <v>103.9764717427594</v>
      </c>
      <c r="D190" s="376" t="n">
        <v>100.8813299868483</v>
      </c>
      <c r="E190" s="376" t="n">
        <v>101.4875030517578</v>
      </c>
      <c r="F190" s="93" t="n">
        <v>12644700</v>
      </c>
      <c r="G190" s="94" t="n">
        <v>-0.02134430936130838</v>
      </c>
      <c r="H190" s="95" t="n">
        <v>75.13247422162181</v>
      </c>
      <c r="I190" s="376" t="n">
        <v>107.4681010437012</v>
      </c>
      <c r="J190" s="376" t="n"/>
      <c r="K190" s="94" t="n">
        <v>0.4508277419856359</v>
      </c>
      <c r="L190" s="94" t="n">
        <v>-0.1917272868517853</v>
      </c>
      <c r="M190" s="94" t="n">
        <v>-0.3789720229919775</v>
      </c>
      <c r="N190" t="n">
        <v>46.11162250713216</v>
      </c>
      <c r="O190" t="n">
        <v>-0.1856209971107641</v>
      </c>
      <c r="P190" s="143">
        <f>MAX($E$2:E190)</f>
        <v/>
      </c>
      <c r="Q190" s="144">
        <f>E190/P190-1</f>
        <v/>
      </c>
      <c r="R190" s="94" t="n">
        <v>-0.00381957475594108</v>
      </c>
    </row>
    <row r="191">
      <c r="A191" s="375" t="n">
        <v>44740</v>
      </c>
      <c r="B191" s="376" t="n">
        <v>99.37509327347927</v>
      </c>
      <c r="C191" s="376" t="n">
        <v>104.74796682786</v>
      </c>
      <c r="D191" s="376" t="n">
        <v>94.12162827632309</v>
      </c>
      <c r="E191" s="376" t="n">
        <v>94.39715576171875</v>
      </c>
      <c r="F191" s="93" t="n">
        <v>31296500</v>
      </c>
      <c r="G191" s="94" t="n">
        <v>-0.06986424019539672</v>
      </c>
      <c r="H191" s="95" t="n">
        <v>69.88340099612796</v>
      </c>
      <c r="I191" s="376" t="n">
        <v>106.9106056213379</v>
      </c>
      <c r="J191" s="376" t="n"/>
      <c r="K191" s="94" t="n">
        <v>0.5005894041028254</v>
      </c>
      <c r="L191" s="94" t="n">
        <v>-0.2481966458265573</v>
      </c>
      <c r="M191" s="94" t="n">
        <v>-0.4223596707457273</v>
      </c>
      <c r="N191" t="n">
        <v>37.97274676533782</v>
      </c>
      <c r="O191" t="n">
        <v>-0.5098419001481518</v>
      </c>
      <c r="P191" s="143">
        <f>MAX($E$2:E191)</f>
        <v/>
      </c>
      <c r="Q191" s="144">
        <f>E191/P191-1</f>
        <v/>
      </c>
      <c r="R191" s="94" t="n">
        <v>-0.02043286610362782</v>
      </c>
    </row>
    <row r="192">
      <c r="A192" s="375" t="n">
        <v>44741</v>
      </c>
      <c r="B192" s="376" t="n">
        <v>94.59000797136393</v>
      </c>
      <c r="C192" s="376" t="n">
        <v>96.99632009705213</v>
      </c>
      <c r="D192" s="376" t="n">
        <v>93.24908819368682</v>
      </c>
      <c r="E192" s="376" t="n">
        <v>94.82880401611328</v>
      </c>
      <c r="F192" s="93" t="n">
        <v>10326600</v>
      </c>
      <c r="G192" s="94" t="n">
        <v>0.004572682841039288</v>
      </c>
      <c r="H192" s="95" t="n">
        <v>70.20295562473643</v>
      </c>
      <c r="I192" s="376" t="n">
        <v>106.3952751159668</v>
      </c>
      <c r="J192" s="376" t="n"/>
      <c r="K192" s="94" t="n">
        <v>0.4895352352129897</v>
      </c>
      <c r="L192" s="94" t="n">
        <v>-0.2447588875290925</v>
      </c>
      <c r="M192" s="94" t="n">
        <v>-0.419718304723854</v>
      </c>
      <c r="N192" t="n">
        <v>38.68230331244627</v>
      </c>
      <c r="O192" t="n">
        <v>-0.6410599373885861</v>
      </c>
      <c r="P192" s="143">
        <f>MAX($E$2:E192)</f>
        <v/>
      </c>
      <c r="Q192" s="144">
        <f>E192/P192-1</f>
        <v/>
      </c>
      <c r="R192" s="94" t="n">
        <v>-0.0008142108666245873</v>
      </c>
    </row>
    <row r="193">
      <c r="A193" s="375" t="n">
        <v>44742</v>
      </c>
      <c r="B193" s="376" t="n">
        <v>93.62566709924484</v>
      </c>
      <c r="C193" s="376" t="n">
        <v>94.94821439829499</v>
      </c>
      <c r="D193" s="376" t="n">
        <v>92.56027457323442</v>
      </c>
      <c r="E193" s="376" t="n">
        <v>93.86445617675781</v>
      </c>
      <c r="F193" s="93" t="n">
        <v>9027400</v>
      </c>
      <c r="G193" s="94" t="n">
        <v>-0.01016935570748745</v>
      </c>
      <c r="H193" s="95" t="n">
        <v>69.48903679727152</v>
      </c>
      <c r="I193" s="376" t="n">
        <v>105.761344909668</v>
      </c>
      <c r="J193" s="376" t="n"/>
      <c r="K193" s="94" t="n">
        <v>0.4893341091085426</v>
      </c>
      <c r="L193" s="94" t="n">
        <v>-0.2524392030467277</v>
      </c>
      <c r="M193" s="94" t="n">
        <v>-0.4256193956936609</v>
      </c>
      <c r="N193" t="n">
        <v>37.64617457301112</v>
      </c>
      <c r="O193" t="n">
        <v>-0.7320569552259792</v>
      </c>
      <c r="P193" s="143">
        <f>MAX($E$2:E193)</f>
        <v/>
      </c>
      <c r="Q193" s="144">
        <f>E193/P193-1</f>
        <v/>
      </c>
      <c r="R193" s="94" t="n">
        <v>-0.008124474580850527</v>
      </c>
    </row>
    <row r="194">
      <c r="A194" s="375" t="n">
        <v>44743</v>
      </c>
      <c r="B194" s="376" t="n">
        <v>93.35011618696083</v>
      </c>
      <c r="C194" s="376" t="n">
        <v>94.1399740911252</v>
      </c>
      <c r="D194" s="376" t="n">
        <v>91.41220981827054</v>
      </c>
      <c r="E194" s="376" t="n">
        <v>92.92763519287109</v>
      </c>
      <c r="F194" s="93" t="n">
        <v>7934300</v>
      </c>
      <c r="G194" s="94" t="n">
        <v>-0.009980572221316431</v>
      </c>
      <c r="H194" s="95" t="n">
        <v>68.79549644692665</v>
      </c>
      <c r="I194" s="376" t="n">
        <v>105.1303004455566</v>
      </c>
      <c r="J194" s="376" t="n"/>
      <c r="K194" s="94" t="n">
        <v>0.4571389313749729</v>
      </c>
      <c r="L194" s="94" t="n">
        <v>-0.2599002875705446</v>
      </c>
      <c r="M194" s="94" t="n">
        <v>-0.4313520427974636</v>
      </c>
      <c r="N194" t="n">
        <v>36.61998605690825</v>
      </c>
      <c r="O194" t="n">
        <v>-0.7896487977825877</v>
      </c>
      <c r="P194" s="143">
        <f>MAX($E$2:E194)</f>
        <v/>
      </c>
      <c r="Q194" s="144">
        <f>E194/P194-1</f>
        <v/>
      </c>
      <c r="R194" s="94" t="n">
        <v>0.01057653439439732</v>
      </c>
    </row>
    <row r="195">
      <c r="A195" s="375" t="n">
        <v>44747</v>
      </c>
      <c r="B195" s="376" t="n">
        <v>92.2571852394166</v>
      </c>
      <c r="C195" s="376" t="n">
        <v>95.86665041772203</v>
      </c>
      <c r="D195" s="376" t="n">
        <v>91.9449193750218</v>
      </c>
      <c r="E195" s="376" t="n">
        <v>95.81154632568359</v>
      </c>
      <c r="F195" s="93" t="n">
        <v>9948800</v>
      </c>
      <c r="G195" s="94" t="n">
        <v>0.031033945142658</v>
      </c>
      <c r="H195" s="95" t="n">
        <v>70.93049210972249</v>
      </c>
      <c r="I195" s="376" t="n">
        <v>104.5644459533691</v>
      </c>
      <c r="J195" s="376" t="n"/>
      <c r="K195" s="94" t="n">
        <v>0.4776754810433323</v>
      </c>
      <c r="L195" s="94" t="n">
        <v>-0.236932073694912</v>
      </c>
      <c r="M195" s="94" t="n">
        <v>-0.4137046532881556</v>
      </c>
      <c r="N195" t="n">
        <v>41.87284027310807</v>
      </c>
      <c r="O195" t="n">
        <v>-0.5776538969856215</v>
      </c>
      <c r="P195" s="143">
        <f>MAX($E$2:E195)</f>
        <v/>
      </c>
      <c r="Q195" s="144">
        <f>E195/P195-1</f>
        <v/>
      </c>
      <c r="R195" s="94" t="n">
        <v>0.001888588915340161</v>
      </c>
    </row>
    <row r="196">
      <c r="A196" s="375" t="n">
        <v>44748</v>
      </c>
      <c r="B196" s="376" t="n">
        <v>96.33504781687473</v>
      </c>
      <c r="C196" s="376" t="n">
        <v>97.09735372352</v>
      </c>
      <c r="D196" s="376" t="n">
        <v>95.01249366627401</v>
      </c>
      <c r="E196" s="376" t="n">
        <v>95.7288818359375</v>
      </c>
      <c r="F196" s="93" t="n">
        <v>6432900</v>
      </c>
      <c r="G196" s="94" t="n">
        <v>-0.0008627821271676162</v>
      </c>
      <c r="H196" s="95" t="n">
        <v>70.86929454885903</v>
      </c>
      <c r="I196" s="376" t="n">
        <v>104.114024810791</v>
      </c>
      <c r="J196" s="376" t="n"/>
      <c r="K196" s="94" t="n">
        <v>0.4781553874609417</v>
      </c>
      <c r="L196" s="94" t="n">
        <v>-0.2375904350635428</v>
      </c>
      <c r="M196" s="94" t="n">
        <v>-0.4142104984345402</v>
      </c>
      <c r="N196" t="n">
        <v>41.76598706485697</v>
      </c>
      <c r="O196" t="n">
        <v>-0.3958037069140219</v>
      </c>
      <c r="P196" s="143">
        <f>MAX($E$2:E196)</f>
        <v/>
      </c>
      <c r="Q196" s="144">
        <f>E196/P196-1</f>
        <v/>
      </c>
      <c r="R196" s="94" t="n">
        <v>0.003377403244929855</v>
      </c>
    </row>
    <row r="197">
      <c r="A197" s="375" t="n">
        <v>44749</v>
      </c>
      <c r="B197" s="376" t="n">
        <v>97.03306657584666</v>
      </c>
      <c r="C197" s="376" t="n">
        <v>99.44855824550545</v>
      </c>
      <c r="D197" s="376" t="n">
        <v>96.68405532586519</v>
      </c>
      <c r="E197" s="376" t="n">
        <v>99.310791015625</v>
      </c>
      <c r="F197" s="93" t="n">
        <v>7633900</v>
      </c>
      <c r="G197" s="94" t="n">
        <v>0.03741722572113892</v>
      </c>
      <c r="H197" s="95" t="n">
        <v>73.52102693969157</v>
      </c>
      <c r="I197" s="376" t="n">
        <v>103.7559477233887</v>
      </c>
      <c r="J197" s="376" t="n"/>
      <c r="K197" s="94" t="n">
        <v>0.4993759411832895</v>
      </c>
      <c r="L197" s="94" t="n">
        <v>-0.2090631842803601</v>
      </c>
      <c r="M197" s="94" t="n">
        <v>-0.3922918804293919</v>
      </c>
      <c r="N197" t="n">
        <v>47.96255703144045</v>
      </c>
      <c r="O197" t="n">
        <v>-0.007613877799825808</v>
      </c>
      <c r="P197" s="143">
        <f>MAX($E$2:E197)</f>
        <v/>
      </c>
      <c r="Q197" s="144">
        <f>E197/P197-1</f>
        <v/>
      </c>
      <c r="R197" s="94" t="n">
        <v>0.01497700635538957</v>
      </c>
    </row>
    <row r="198">
      <c r="A198" s="375" t="n">
        <v>44750</v>
      </c>
      <c r="B198" s="376" t="n">
        <v>97.88721466241292</v>
      </c>
      <c r="C198" s="376" t="n">
        <v>99.75164441339432</v>
      </c>
      <c r="D198" s="376" t="n">
        <v>97.82292422296985</v>
      </c>
      <c r="E198" s="376" t="n">
        <v>99.12710571289062</v>
      </c>
      <c r="F198" s="93" t="n">
        <v>5938600</v>
      </c>
      <c r="G198" s="94" t="n">
        <v>-0.001849600641137483</v>
      </c>
      <c r="H198" s="95" t="n">
        <v>73.38504240112684</v>
      </c>
      <c r="I198" s="376" t="n">
        <v>103.5301565551758</v>
      </c>
      <c r="J198" s="376" t="n"/>
      <c r="K198" s="94" t="n">
        <v>0.4977728140319219</v>
      </c>
      <c r="L198" s="94" t="n">
        <v>-0.2105261015218142</v>
      </c>
      <c r="M198" s="94" t="n">
        <v>-0.3934158977569742</v>
      </c>
      <c r="N198" t="n">
        <v>47.68235142205484</v>
      </c>
      <c r="O198" t="n">
        <v>0.2492619981224955</v>
      </c>
      <c r="P198" s="143">
        <f>MAX($E$2:E198)</f>
        <v/>
      </c>
      <c r="Q198" s="144">
        <f>E198/P198-1</f>
        <v/>
      </c>
      <c r="R198" s="94" t="n">
        <v>-0.000822640527578522</v>
      </c>
    </row>
    <row r="199">
      <c r="A199" s="375" t="n">
        <v>44753</v>
      </c>
      <c r="B199" s="376" t="n">
        <v>97.90558131780266</v>
      </c>
      <c r="C199" s="376" t="n">
        <v>98.35561439832361</v>
      </c>
      <c r="D199" s="376" t="n">
        <v>96.31668601004948</v>
      </c>
      <c r="E199" s="376" t="n">
        <v>96.537109375</v>
      </c>
      <c r="F199" s="93" t="n">
        <v>4935200</v>
      </c>
      <c r="G199" s="94" t="n">
        <v>-0.02612803349057957</v>
      </c>
      <c r="H199" s="95" t="n">
        <v>71.46763555556259</v>
      </c>
      <c r="I199" s="376" t="n">
        <v>103.2393721008301</v>
      </c>
      <c r="J199" s="376" t="n"/>
      <c r="K199" s="94" t="n">
        <v>0.4947615140972004</v>
      </c>
      <c r="L199" s="94" t="n">
        <v>-0.2311535019811907</v>
      </c>
      <c r="M199" s="94" t="n">
        <v>-0.4092647474952331</v>
      </c>
      <c r="N199" t="n">
        <v>43.79701660864887</v>
      </c>
      <c r="O199" t="n">
        <v>0.2562337070784819</v>
      </c>
      <c r="P199" s="143">
        <f>MAX($E$2:E199)</f>
        <v/>
      </c>
      <c r="Q199" s="144">
        <f>E199/P199-1</f>
        <v/>
      </c>
      <c r="R199" s="94" t="n">
        <v>-0.01142356592193283</v>
      </c>
    </row>
    <row r="200">
      <c r="A200" s="375" t="n">
        <v>44754</v>
      </c>
      <c r="B200" s="376" t="n">
        <v>96.44525917942534</v>
      </c>
      <c r="C200" s="376" t="n">
        <v>97.22593074852381</v>
      </c>
      <c r="D200" s="376" t="n">
        <v>94.73696247158864</v>
      </c>
      <c r="E200" s="376" t="n">
        <v>95.29721069335938</v>
      </c>
      <c r="F200" s="93" t="n">
        <v>6017400</v>
      </c>
      <c r="G200" s="94" t="n">
        <v>-0.01284375189673659</v>
      </c>
      <c r="H200" s="95" t="n">
        <v>70.54972297584055</v>
      </c>
      <c r="I200" s="376" t="n">
        <v>102.8173306274414</v>
      </c>
      <c r="J200" s="376" t="n"/>
      <c r="K200" s="94" t="n">
        <v>0.4852932765050147</v>
      </c>
      <c r="L200" s="94" t="n">
        <v>-0.2410283756484191</v>
      </c>
      <c r="M200" s="94" t="n">
        <v>-0.4168520045150604</v>
      </c>
      <c r="N200" t="n">
        <v>42.03132209405109</v>
      </c>
      <c r="O200" t="n">
        <v>0.1917809270229691</v>
      </c>
      <c r="P200" s="143">
        <f>MAX($E$2:E200)</f>
        <v/>
      </c>
      <c r="Q200" s="144">
        <f>E200/P200-1</f>
        <v/>
      </c>
      <c r="R200" s="94" t="n">
        <v>-0.008848931631864732</v>
      </c>
    </row>
    <row r="201">
      <c r="A201" s="375" t="n">
        <v>44755</v>
      </c>
      <c r="B201" s="376" t="n">
        <v>93.6256598632788</v>
      </c>
      <c r="C201" s="376" t="n">
        <v>97.24430421581864</v>
      </c>
      <c r="D201" s="376" t="n">
        <v>93.27664861104699</v>
      </c>
      <c r="E201" s="376" t="n">
        <v>96.537109375</v>
      </c>
      <c r="F201" s="93" t="n">
        <v>5299400</v>
      </c>
      <c r="G201" s="94" t="n">
        <v>0.0130108601565504</v>
      </c>
      <c r="H201" s="95" t="n">
        <v>71.46763555556259</v>
      </c>
      <c r="I201" s="376" t="n">
        <v>102.4631477355957</v>
      </c>
      <c r="J201" s="376" t="n">
        <v>128.1672522354126</v>
      </c>
      <c r="K201" s="94" t="n">
        <v>0.4728917478960073</v>
      </c>
      <c r="L201" s="94" t="n">
        <v>-0.2311535019811907</v>
      </c>
      <c r="M201" s="94" t="n">
        <v>-0.4092647474952331</v>
      </c>
      <c r="N201" t="n">
        <v>44.44340027735154</v>
      </c>
      <c r="O201" t="n">
        <v>0.243757149150833</v>
      </c>
      <c r="P201" s="143">
        <f>MAX($E$2:E201)</f>
        <v/>
      </c>
      <c r="Q201" s="144">
        <f>E201/P201-1</f>
        <v/>
      </c>
      <c r="R201" s="94" t="n">
        <v>-0.005251775917221813</v>
      </c>
    </row>
    <row r="202">
      <c r="A202" s="375" t="n">
        <v>44756</v>
      </c>
      <c r="B202" s="376" t="n">
        <v>94.70022544366091</v>
      </c>
      <c r="C202" s="376" t="n">
        <v>95.33395045938251</v>
      </c>
      <c r="D202" s="376" t="n">
        <v>93.54299059103558</v>
      </c>
      <c r="E202" s="376" t="n">
        <v>94.80125427246094</v>
      </c>
      <c r="F202" s="93" t="n">
        <v>6951300</v>
      </c>
      <c r="G202" s="94" t="n">
        <v>-0.01798122104315458</v>
      </c>
      <c r="H202" s="95" t="n">
        <v>70.18256020320641</v>
      </c>
      <c r="I202" s="376" t="n">
        <v>102.0489614868164</v>
      </c>
      <c r="J202" s="376" t="n">
        <v>127.9658681106567</v>
      </c>
      <c r="K202" s="94" t="n">
        <v>0.4758557289782898</v>
      </c>
      <c r="L202" s="94" t="n">
        <v>-0.2449783008103222</v>
      </c>
      <c r="M202" s="94" t="n">
        <v>-0.4198868886485051</v>
      </c>
      <c r="N202" t="n">
        <v>41.8198328332917</v>
      </c>
      <c r="O202" t="n">
        <v>0.1755229083392429</v>
      </c>
      <c r="P202" s="143">
        <f>MAX($E$2:E202)</f>
        <v/>
      </c>
      <c r="Q202" s="144">
        <f>E202/P202-1</f>
        <v/>
      </c>
      <c r="R202" s="94" t="n">
        <v>-0.002428383805958334</v>
      </c>
    </row>
    <row r="203">
      <c r="A203" s="375" t="n">
        <v>44757</v>
      </c>
      <c r="B203" s="376" t="n">
        <v>96.21564117775618</v>
      </c>
      <c r="C203" s="376" t="n">
        <v>97.00549902856679</v>
      </c>
      <c r="D203" s="376" t="n">
        <v>95.45333536709202</v>
      </c>
      <c r="E203" s="376" t="n">
        <v>96.16053009033203</v>
      </c>
      <c r="F203" s="93" t="n">
        <v>7862000</v>
      </c>
      <c r="G203" s="94" t="n">
        <v>0.01433816280494038</v>
      </c>
      <c r="H203" s="95" t="n">
        <v>71.18884917746752</v>
      </c>
      <c r="I203" s="376" t="n">
        <v>101.7209617614746</v>
      </c>
      <c r="J203" s="376" t="n">
        <v>127.7837808990479</v>
      </c>
      <c r="K203" s="94" t="n">
        <v>0.4693174035757029</v>
      </c>
      <c r="L203" s="94" t="n">
        <v>-0.2275012895456582</v>
      </c>
      <c r="M203" s="94" t="n">
        <v>-0.4115691324126668</v>
      </c>
      <c r="N203" t="n">
        <v>44.57875855407084</v>
      </c>
      <c r="O203" t="n">
        <v>0.2326440022135872</v>
      </c>
      <c r="P203" s="143">
        <f>MAX($E$2:E203)</f>
        <v/>
      </c>
      <c r="Q203" s="144">
        <f>E203/P203-1</f>
        <v/>
      </c>
      <c r="R203" s="94" t="n">
        <v>0.01910525474356217</v>
      </c>
    </row>
    <row r="204">
      <c r="A204" s="375" t="n">
        <v>44760</v>
      </c>
      <c r="B204" s="376" t="n">
        <v>97.52903495266862</v>
      </c>
      <c r="C204" s="376" t="n">
        <v>97.97906807898558</v>
      </c>
      <c r="D204" s="376" t="n">
        <v>95.22375121175554</v>
      </c>
      <c r="E204" s="376" t="n">
        <v>95.46254730224609</v>
      </c>
      <c r="F204" s="93" t="n">
        <v>6834800</v>
      </c>
      <c r="G204" s="94" t="n">
        <v>-0.007258516435280304</v>
      </c>
      <c r="H204" s="95" t="n">
        <v>70.67212374570417</v>
      </c>
      <c r="I204" s="376" t="n">
        <v>101.3203674316406</v>
      </c>
      <c r="J204" s="376" t="n">
        <v>127.5949187088013</v>
      </c>
      <c r="K204" s="94" t="n">
        <v>0.4275926110262516</v>
      </c>
      <c r="L204" s="94" t="n">
        <v>-0.2307875741665665</v>
      </c>
      <c r="M204" s="94" t="n">
        <v>-0.4158402675360757</v>
      </c>
      <c r="N204" t="n">
        <v>43.43962941618389</v>
      </c>
      <c r="O204" t="n">
        <v>0.2335213283626199</v>
      </c>
      <c r="P204" s="143">
        <f>MAX($E$2:E204)</f>
        <v/>
      </c>
      <c r="Q204" s="144">
        <f>E204/P204-1</f>
        <v/>
      </c>
      <c r="R204" s="94" t="n">
        <v>-0.008256980987432105</v>
      </c>
    </row>
    <row r="205">
      <c r="A205" s="375" t="n">
        <v>44761</v>
      </c>
      <c r="B205" s="376" t="n">
        <v>96.98712604460552</v>
      </c>
      <c r="C205" s="376" t="n">
        <v>100.642515181107</v>
      </c>
      <c r="D205" s="376" t="n">
        <v>96.83099314614822</v>
      </c>
      <c r="E205" s="376" t="n">
        <v>100.2843246459961</v>
      </c>
      <c r="F205" s="93" t="n">
        <v>8973900</v>
      </c>
      <c r="G205" s="94" t="n">
        <v>0.05050962372168488</v>
      </c>
      <c r="H205" s="95" t="n">
        <v>74.24174612371203</v>
      </c>
      <c r="I205" s="376" t="n">
        <v>101.1523513793945</v>
      </c>
      <c r="J205" s="376" t="n">
        <v>127.4337697601318</v>
      </c>
      <c r="K205" s="94" t="n">
        <v>0.4653466593156307</v>
      </c>
      <c r="L205" s="94" t="n">
        <v>-0.1519291635675932</v>
      </c>
      <c r="M205" s="94" t="n">
        <v>-0.3863345792559627</v>
      </c>
      <c r="N205" t="n">
        <v>52.47444531432188</v>
      </c>
      <c r="O205" t="n">
        <v>0.5508261137416124</v>
      </c>
      <c r="P205" s="143">
        <f>MAX($E$2:E205)</f>
        <v/>
      </c>
      <c r="Q205" s="144">
        <f>E205/P205-1</f>
        <v/>
      </c>
      <c r="R205" s="94" t="n">
        <v>0.02701891745024287</v>
      </c>
    </row>
    <row r="206">
      <c r="A206" s="375" t="n">
        <v>44762</v>
      </c>
      <c r="B206" s="376" t="n">
        <v>100.3118808251389</v>
      </c>
      <c r="C206" s="376" t="n">
        <v>102.5253145563311</v>
      </c>
      <c r="D206" s="376" t="n">
        <v>99.99042866589505</v>
      </c>
      <c r="E206" s="376" t="n">
        <v>102.0477294921875</v>
      </c>
      <c r="F206" s="93" t="n">
        <v>5884600</v>
      </c>
      <c r="G206" s="94" t="n">
        <v>0.0175840526664186</v>
      </c>
      <c r="H206" s="95" t="n">
        <v>75.54721689759828</v>
      </c>
      <c r="I206" s="376" t="n">
        <v>101.0954620361328</v>
      </c>
      <c r="J206" s="376" t="n">
        <v>127.2730889892578</v>
      </c>
      <c r="K206" s="94" t="n">
        <v>0.4673254220532584</v>
      </c>
      <c r="L206" s="94" t="n">
        <v>-0.1293943759642134</v>
      </c>
      <c r="M206" s="94" t="n">
        <v>-0.3755438541780397</v>
      </c>
      <c r="N206" t="n">
        <v>55.28742322207427</v>
      </c>
      <c r="O206" t="n">
        <v>0.853394227164249</v>
      </c>
      <c r="P206" s="143">
        <f>MAX($E$2:E206)</f>
        <v/>
      </c>
      <c r="Q206" s="144">
        <f>E206/P206-1</f>
        <v/>
      </c>
      <c r="R206" s="94" t="n">
        <v>0.006373228720518931</v>
      </c>
    </row>
    <row r="207">
      <c r="A207" s="375" t="n">
        <v>44763</v>
      </c>
      <c r="B207" s="376" t="n">
        <v>101.3680952717243</v>
      </c>
      <c r="C207" s="376" t="n">
        <v>102.562061535633</v>
      </c>
      <c r="D207" s="376" t="n">
        <v>101.0925608223666</v>
      </c>
      <c r="E207" s="376" t="n">
        <v>102.5161437988281</v>
      </c>
      <c r="F207" s="93" t="n">
        <v>4291400</v>
      </c>
      <c r="G207" s="94" t="n">
        <v>0.004590149226950668</v>
      </c>
      <c r="H207" s="95" t="n">
        <v>75.89398989683906</v>
      </c>
      <c r="I207" s="376" t="n">
        <v>101.1080421447754</v>
      </c>
      <c r="J207" s="376" t="n">
        <v>127.1143850708008</v>
      </c>
      <c r="K207" s="94" t="n">
        <v>0.4474354764628313</v>
      </c>
      <c r="L207" s="94" t="n">
        <v>-0.1192717003370389</v>
      </c>
      <c r="M207" s="94" t="n">
        <v>-0.3726775072830305</v>
      </c>
      <c r="N207" t="n">
        <v>56.03188057236598</v>
      </c>
      <c r="O207" t="n">
        <v>1.046276230657978</v>
      </c>
      <c r="P207" s="143">
        <f>MAX($E$2:E207)</f>
        <v/>
      </c>
      <c r="Q207" s="144">
        <f>E207/P207-1</f>
        <v/>
      </c>
      <c r="R207" s="94" t="n">
        <v>0.01018326009355497</v>
      </c>
    </row>
    <row r="208">
      <c r="A208" s="375" t="n">
        <v>44764</v>
      </c>
      <c r="B208" s="376" t="n">
        <v>102.8008500243559</v>
      </c>
      <c r="C208" s="376" t="n">
        <v>102.8008500243559</v>
      </c>
      <c r="D208" s="376" t="n">
        <v>99.88021450609915</v>
      </c>
      <c r="E208" s="376" t="n">
        <v>100.2200393676758</v>
      </c>
      <c r="F208" s="93" t="n">
        <v>6039300</v>
      </c>
      <c r="G208" s="94" t="n">
        <v>-0.02239749122497325</v>
      </c>
      <c r="H208" s="95" t="n">
        <v>74.1941549240964</v>
      </c>
      <c r="I208" s="376" t="n">
        <v>101.1062159729004</v>
      </c>
      <c r="J208" s="376" t="n">
        <v>126.9336163711548</v>
      </c>
      <c r="K208" s="94" t="n">
        <v>0.445446924269948</v>
      </c>
      <c r="L208" s="94" t="n">
        <v>-0.1389978047003257</v>
      </c>
      <c r="M208" s="94" t="n">
        <v>-0.3867279573088872</v>
      </c>
      <c r="N208" t="n">
        <v>51.50493631561049</v>
      </c>
      <c r="O208" t="n">
        <v>0.9814881094800838</v>
      </c>
      <c r="P208" s="143">
        <f>MAX($E$2:E208)</f>
        <v/>
      </c>
      <c r="Q208" s="144">
        <f>E208/P208-1</f>
        <v/>
      </c>
      <c r="R208" s="94" t="n">
        <v>-0.009278020119291353</v>
      </c>
    </row>
    <row r="209">
      <c r="A209" s="375" t="n">
        <v>44767</v>
      </c>
      <c r="B209" s="376" t="n">
        <v>100.670090920864</v>
      </c>
      <c r="C209" s="376" t="n">
        <v>100.670090920864</v>
      </c>
      <c r="D209" s="376" t="n">
        <v>98.89750351900801</v>
      </c>
      <c r="E209" s="376" t="n">
        <v>100.3670043945312</v>
      </c>
      <c r="F209" s="93" t="n">
        <v>5079500</v>
      </c>
      <c r="G209" s="94" t="n">
        <v>0.001466423559427055</v>
      </c>
      <c r="H209" s="95" t="n">
        <v>74.30295498084887</v>
      </c>
      <c r="I209" s="376" t="n">
        <v>101.1360968017578</v>
      </c>
      <c r="J209" s="376" t="n">
        <v>126.7565936660767</v>
      </c>
      <c r="K209" s="94" t="n">
        <v>0.4132741488515609</v>
      </c>
      <c r="L209" s="94" t="n">
        <v>-0.13773521079642</v>
      </c>
      <c r="M209" s="94" t="n">
        <v>-0.385828640737147</v>
      </c>
      <c r="N209" t="n">
        <v>51.7735095021488</v>
      </c>
      <c r="O209" t="n">
        <v>0.9122676218455479</v>
      </c>
      <c r="P209" s="143">
        <f>MAX($E$2:E209)</f>
        <v/>
      </c>
      <c r="Q209" s="144">
        <f>E209/P209-1</f>
        <v/>
      </c>
      <c r="R209" s="94" t="n">
        <v>0.001214786428439751</v>
      </c>
    </row>
    <row r="210">
      <c r="A210" s="375" t="n">
        <v>44768</v>
      </c>
      <c r="B210" s="376" t="n">
        <v>98.7138049483365</v>
      </c>
      <c r="C210" s="376" t="n">
        <v>99.12709960398149</v>
      </c>
      <c r="D210" s="376" t="n">
        <v>96.04114468662766</v>
      </c>
      <c r="E210" s="376" t="n">
        <v>96.61975860595703</v>
      </c>
      <c r="F210" s="93" t="n">
        <v>8459500</v>
      </c>
      <c r="G210" s="94" t="n">
        <v>-0.03733543519784877</v>
      </c>
      <c r="H210" s="95" t="n">
        <v>71.52882182015271</v>
      </c>
      <c r="I210" s="376" t="n">
        <v>101.0913995361328</v>
      </c>
      <c r="J210" s="376" t="n">
        <v>126.5469199371338</v>
      </c>
      <c r="K210" s="94" t="n">
        <v>0.4272197666143138</v>
      </c>
      <c r="L210" s="94" t="n">
        <v>-0.1635418182360987</v>
      </c>
      <c r="M210" s="94" t="n">
        <v>-0.4087589957212798</v>
      </c>
      <c r="N210" t="n">
        <v>44.93949124488668</v>
      </c>
      <c r="O210" t="n">
        <v>0.5932989860312579</v>
      </c>
      <c r="P210" s="143">
        <f>MAX($E$2:E210)</f>
        <v/>
      </c>
      <c r="Q210" s="144">
        <f>E210/P210-1</f>
        <v/>
      </c>
      <c r="R210" s="94" t="n">
        <v>-0.0118310004406631</v>
      </c>
    </row>
    <row r="211">
      <c r="A211" s="375" t="n">
        <v>44769</v>
      </c>
      <c r="B211" s="376" t="n">
        <v>97.6300429530186</v>
      </c>
      <c r="C211" s="376" t="n">
        <v>99.54039024765824</v>
      </c>
      <c r="D211" s="376" t="n">
        <v>97.12489883236169</v>
      </c>
      <c r="E211" s="376" t="n">
        <v>99.06280517578125</v>
      </c>
      <c r="F211" s="93" t="n">
        <v>7437000</v>
      </c>
      <c r="G211" s="94" t="n">
        <v>0.02528516532304392</v>
      </c>
      <c r="H211" s="95" t="n">
        <v>73.33743990523783</v>
      </c>
      <c r="I211" s="376" t="n">
        <v>101.0019306945801</v>
      </c>
      <c r="J211" s="376" t="n">
        <v>126.3465872192383</v>
      </c>
      <c r="K211" s="94" t="n">
        <v>0.3543640804146599</v>
      </c>
      <c r="L211" s="94" t="n">
        <v>-0.1423918348243858</v>
      </c>
      <c r="M211" s="94" t="n">
        <v>-0.3938093691823299</v>
      </c>
      <c r="N211" t="n">
        <v>49.6095369190775</v>
      </c>
      <c r="O211" t="n">
        <v>0.5282116605837477</v>
      </c>
      <c r="P211" s="143">
        <f>MAX($E$2:E211)</f>
        <v/>
      </c>
      <c r="Q211" s="144">
        <f>E211/P211-1</f>
        <v/>
      </c>
      <c r="R211" s="94" t="n">
        <v>0.02596634840773926</v>
      </c>
    </row>
    <row r="212">
      <c r="A212" s="375" t="n">
        <v>44770</v>
      </c>
      <c r="B212" s="376" t="n">
        <v>100.5047615967613</v>
      </c>
      <c r="C212" s="376" t="n">
        <v>103.232526047062</v>
      </c>
      <c r="D212" s="376" t="n">
        <v>99.21894583142125</v>
      </c>
      <c r="E212" s="376" t="n">
        <v>103.0763931274414</v>
      </c>
      <c r="F212" s="93" t="n">
        <v>6773500</v>
      </c>
      <c r="G212" s="94" t="n">
        <v>0.04051558952462808</v>
      </c>
      <c r="H212" s="95" t="n">
        <v>76.30874951722552</v>
      </c>
      <c r="I212" s="376" t="n">
        <v>101.0002462768555</v>
      </c>
      <c r="J212" s="376" t="n">
        <v>126.1763594436646</v>
      </c>
      <c r="K212" s="94" t="n">
        <v>0.3790578103308985</v>
      </c>
      <c r="L212" s="94" t="n">
        <v>-0.1075039163545671</v>
      </c>
      <c r="M212" s="94" t="n">
        <v>-0.3692491984104458</v>
      </c>
      <c r="N212" t="n">
        <v>56.18451426509549</v>
      </c>
      <c r="O212" t="n">
        <v>0.7246885878245034</v>
      </c>
      <c r="P212" s="143">
        <f>MAX($E$2:E212)</f>
        <v/>
      </c>
      <c r="Q212" s="144">
        <f>E212/P212-1</f>
        <v/>
      </c>
      <c r="R212" s="94" t="n">
        <v>0.01254279932406321</v>
      </c>
    </row>
    <row r="213">
      <c r="A213" s="375" t="n">
        <v>44771</v>
      </c>
      <c r="B213" s="376" t="n">
        <v>103.5631577111892</v>
      </c>
      <c r="C213" s="376" t="n">
        <v>105.8133298957924</v>
      </c>
      <c r="D213" s="376" t="n">
        <v>102.4059228985008</v>
      </c>
      <c r="E213" s="376" t="n">
        <v>105.5469818115234</v>
      </c>
      <c r="F213" s="93" t="n">
        <v>7560000</v>
      </c>
      <c r="G213" s="94" t="n">
        <v>0.02396852091077206</v>
      </c>
      <c r="H213" s="95" t="n">
        <v>78.137757375704</v>
      </c>
      <c r="I213" s="376" t="n">
        <v>100.9875064086914</v>
      </c>
      <c r="J213" s="376" t="n">
        <v>126.0044785690308</v>
      </c>
      <c r="K213" s="94" t="n">
        <v>0.3809628896740623</v>
      </c>
      <c r="L213" s="94" t="n">
        <v>-0.0861121053109295</v>
      </c>
      <c r="M213" s="94" t="n">
        <v>-0.3541310346330604</v>
      </c>
      <c r="N213" t="n">
        <v>59.67268375616355</v>
      </c>
      <c r="O213" t="n">
        <v>0.9746869557096497</v>
      </c>
      <c r="P213" s="143">
        <f>MAX($E$2:E213)</f>
        <v/>
      </c>
      <c r="Q213" s="144">
        <f>E213/P213-1</f>
        <v/>
      </c>
      <c r="R213" s="94" t="n">
        <v>0.01457843590988972</v>
      </c>
    </row>
    <row r="214">
      <c r="A214" s="375" t="n">
        <v>44774</v>
      </c>
      <c r="B214" s="376" t="n">
        <v>104.7020122777847</v>
      </c>
      <c r="C214" s="376" t="n">
        <v>106.1255950721334</v>
      </c>
      <c r="D214" s="376" t="n">
        <v>104.0131832496414</v>
      </c>
      <c r="E214" s="376" t="n">
        <v>104.9775466918945</v>
      </c>
      <c r="F214" s="93" t="n">
        <v>4802900</v>
      </c>
      <c r="G214" s="94" t="n">
        <v>-0.005395086717361108</v>
      </c>
      <c r="H214" s="95" t="n">
        <v>77.71619739876195</v>
      </c>
      <c r="I214" s="376" t="n">
        <v>101.0830294799805</v>
      </c>
      <c r="J214" s="376" t="n">
        <v>125.8162920379639</v>
      </c>
      <c r="K214" s="94" t="n">
        <v>0.3787282666380053</v>
      </c>
      <c r="L214" s="94" t="n">
        <v>-0.07152437134174805</v>
      </c>
      <c r="M214" s="94" t="n">
        <v>-0.3576155537092673</v>
      </c>
      <c r="N214" t="n">
        <v>58.51636969281715</v>
      </c>
      <c r="O214" t="n">
        <v>1.048897472326956</v>
      </c>
      <c r="P214" s="143">
        <f>MAX($E$2:E214)</f>
        <v/>
      </c>
      <c r="Q214" s="144">
        <f>E214/P214-1</f>
        <v/>
      </c>
      <c r="R214" s="94" t="n">
        <v>-0.002961231996597036</v>
      </c>
    </row>
    <row r="215">
      <c r="A215" s="375" t="n">
        <v>44775</v>
      </c>
      <c r="B215" s="376" t="n">
        <v>104.3071005183063</v>
      </c>
      <c r="C215" s="376" t="n">
        <v>104.4999718370674</v>
      </c>
      <c r="D215" s="376" t="n">
        <v>102.5620652917735</v>
      </c>
      <c r="E215" s="376" t="n">
        <v>102.6539077758789</v>
      </c>
      <c r="F215" s="93" t="n">
        <v>6334400</v>
      </c>
      <c r="G215" s="94" t="n">
        <v>-0.02213462772982711</v>
      </c>
      <c r="H215" s="95" t="n">
        <v>75.9959783007626</v>
      </c>
      <c r="I215" s="376" t="n">
        <v>101.1857672119141</v>
      </c>
      <c r="J215" s="376" t="n">
        <v>125.6126550674439</v>
      </c>
      <c r="K215" s="94" t="n">
        <v>0.3798521953957391</v>
      </c>
      <c r="L215" s="94" t="n">
        <v>-0.09207583373831563</v>
      </c>
      <c r="M215" s="94" t="n">
        <v>-0.3718344942873438</v>
      </c>
      <c r="N215" t="n">
        <v>53.92444265893409</v>
      </c>
      <c r="O215" t="n">
        <v>0.8946974937829619</v>
      </c>
      <c r="P215" s="143">
        <f>MAX($E$2:E215)</f>
        <v/>
      </c>
      <c r="Q215" s="144">
        <f>E215/P215-1</f>
        <v/>
      </c>
      <c r="R215" s="94" t="n">
        <v>-0.006597292444215697</v>
      </c>
    </row>
    <row r="216">
      <c r="A216" s="375" t="n">
        <v>44776</v>
      </c>
      <c r="B216" s="376" t="n">
        <v>104.1693323992506</v>
      </c>
      <c r="C216" s="376" t="n">
        <v>105.7123099432991</v>
      </c>
      <c r="D216" s="376" t="n">
        <v>103.3978471307926</v>
      </c>
      <c r="E216" s="376" t="n">
        <v>104.9591903686523</v>
      </c>
      <c r="F216" s="93" t="n">
        <v>5986500</v>
      </c>
      <c r="G216" s="94" t="n">
        <v>0.02245684205034348</v>
      </c>
      <c r="H216" s="95" t="n">
        <v>77.70260798192416</v>
      </c>
      <c r="I216" s="376" t="n">
        <v>101.3060260009766</v>
      </c>
      <c r="J216" s="376" t="n">
        <v>125.4165752410889</v>
      </c>
      <c r="K216" s="94" t="n">
        <v>0.3850996342821702</v>
      </c>
      <c r="L216" s="94" t="n">
        <v>-0.07168672414288713</v>
      </c>
      <c r="M216" s="94" t="n">
        <v>-0.3577278807440806</v>
      </c>
      <c r="N216" t="n">
        <v>57.48864812775848</v>
      </c>
      <c r="O216" t="n">
        <v>0.8987854197164026</v>
      </c>
      <c r="P216" s="143">
        <f>MAX($E$2:E216)</f>
        <v/>
      </c>
      <c r="Q216" s="144">
        <f>E216/P216-1</f>
        <v/>
      </c>
      <c r="R216" s="94" t="n">
        <v>0.0156593963061098</v>
      </c>
    </row>
    <row r="217">
      <c r="A217" s="375" t="n">
        <v>44777</v>
      </c>
      <c r="B217" s="376" t="n">
        <v>105.2898145938937</v>
      </c>
      <c r="C217" s="376" t="n">
        <v>105.9419052460567</v>
      </c>
      <c r="D217" s="376" t="n">
        <v>104.5458814709009</v>
      </c>
      <c r="E217" s="376" t="n">
        <v>105.1428680419922</v>
      </c>
      <c r="F217" s="93" t="n">
        <v>4332000</v>
      </c>
      <c r="G217" s="94" t="n">
        <v>0.001749991331818634</v>
      </c>
      <c r="H217" s="95" t="n">
        <v>77.83858687235222</v>
      </c>
      <c r="I217" s="376" t="n">
        <v>101.4184150695801</v>
      </c>
      <c r="J217" s="376" t="n">
        <v>125.2149355316162</v>
      </c>
      <c r="K217" s="94" t="n">
        <v>0.3654545950996304</v>
      </c>
      <c r="L217" s="94" t="n">
        <v>-0.07006218395692509</v>
      </c>
      <c r="M217" s="94" t="n">
        <v>-0.3566039101027139</v>
      </c>
      <c r="N217" t="n">
        <v>57.76895955213035</v>
      </c>
      <c r="O217" t="n">
        <v>0.864426458518152</v>
      </c>
      <c r="P217" s="143">
        <f>MAX($E$2:E217)</f>
        <v/>
      </c>
      <c r="Q217" s="144">
        <f>E217/P217-1</f>
        <v/>
      </c>
      <c r="R217" s="94" t="n">
        <v>-0.0006755432399458972</v>
      </c>
    </row>
    <row r="218">
      <c r="A218" s="375" t="n">
        <v>44778</v>
      </c>
      <c r="B218" s="376" t="n">
        <v>103.5907032221822</v>
      </c>
      <c r="C218" s="376" t="n">
        <v>104.9775476400333</v>
      </c>
      <c r="D218" s="376" t="n">
        <v>103.3886455842942</v>
      </c>
      <c r="E218" s="376" t="n">
        <v>104.5826187133789</v>
      </c>
      <c r="F218" s="93" t="n">
        <v>4162200</v>
      </c>
      <c r="G218" s="94" t="n">
        <v>-0.005328457736092251</v>
      </c>
      <c r="H218" s="95" t="n">
        <v>77.42382725196575</v>
      </c>
      <c r="I218" s="376" t="n">
        <v>101.5441520690918</v>
      </c>
      <c r="J218" s="376" t="n">
        <v>125.0178398513794</v>
      </c>
      <c r="K218" s="94" t="n">
        <v>0.3662881473248017</v>
      </c>
      <c r="L218" s="94" t="n">
        <v>-0.0750173183069045</v>
      </c>
      <c r="M218" s="94" t="n">
        <v>-0.3600322189752986</v>
      </c>
      <c r="N218" t="n">
        <v>56.54424756044028</v>
      </c>
      <c r="O218" t="n">
        <v>0.7583250007572464</v>
      </c>
      <c r="P218" s="143">
        <f>MAX($E$2:E218)</f>
        <v/>
      </c>
      <c r="Q218" s="144">
        <f>E218/P218-1</f>
        <v/>
      </c>
      <c r="R218" s="94" t="n">
        <v>-0.001690038730314036</v>
      </c>
    </row>
    <row r="219">
      <c r="A219" s="375" t="n">
        <v>44781</v>
      </c>
      <c r="B219" s="376" t="n">
        <v>104.7020263671875</v>
      </c>
      <c r="C219" s="376" t="n">
        <v>106.1531613967953</v>
      </c>
      <c r="D219" s="376" t="n">
        <v>104.0683013337354</v>
      </c>
      <c r="E219" s="376" t="n">
        <v>104.7020263671875</v>
      </c>
      <c r="F219" s="93" t="n">
        <v>6071600</v>
      </c>
      <c r="G219" s="94" t="n">
        <v>0.001141754292229402</v>
      </c>
      <c r="H219" s="95" t="n">
        <v>77.5122262390515</v>
      </c>
      <c r="I219" s="376" t="n">
        <v>101.6556030273437</v>
      </c>
      <c r="J219" s="376" t="n">
        <v>124.818466835022</v>
      </c>
      <c r="K219" s="94" t="n">
        <v>0.3500209042265566</v>
      </c>
      <c r="L219" s="94" t="n">
        <v>-0.07396121535984368</v>
      </c>
      <c r="M219" s="94" t="n">
        <v>-0.3593015330144251</v>
      </c>
      <c r="N219" t="n">
        <v>56.75468065255177</v>
      </c>
      <c r="O219" t="n">
        <v>0.6544644945195788</v>
      </c>
      <c r="P219" s="143">
        <f>MAX($E$2:E219)</f>
        <v/>
      </c>
      <c r="Q219" s="144">
        <f>E219/P219-1</f>
        <v/>
      </c>
      <c r="R219" s="94" t="n">
        <v>-0.00116101953032488</v>
      </c>
    </row>
    <row r="220">
      <c r="A220" s="375" t="n">
        <v>44782</v>
      </c>
      <c r="B220" s="376" t="n">
        <v>102.2406054400076</v>
      </c>
      <c r="C220" s="376" t="n">
        <v>102.6355343985153</v>
      </c>
      <c r="D220" s="376" t="n">
        <v>99.94450847359785</v>
      </c>
      <c r="E220" s="376" t="n">
        <v>101.1292953491211</v>
      </c>
      <c r="F220" s="93" t="n">
        <v>7377600</v>
      </c>
      <c r="G220" s="94" t="n">
        <v>-0.03412284501101182</v>
      </c>
      <c r="H220" s="95" t="n">
        <v>74.86728855663787</v>
      </c>
      <c r="I220" s="376" t="n">
        <v>101.6087466430664</v>
      </c>
      <c r="J220" s="376" t="n">
        <v>124.5842129516602</v>
      </c>
      <c r="K220" s="94" t="n">
        <v>0.3713424054831845</v>
      </c>
      <c r="L220" s="94" t="n">
        <v>-0.1055602932823053</v>
      </c>
      <c r="M220" s="94" t="n">
        <v>-0.3811639875021667</v>
      </c>
      <c r="N220" t="n">
        <v>49.09429507617543</v>
      </c>
      <c r="O220" t="n">
        <v>0.3203377911430996</v>
      </c>
      <c r="P220" s="143">
        <f>MAX($E$2:E220)</f>
        <v/>
      </c>
      <c r="Q220" s="144">
        <f>E220/P220-1</f>
        <v/>
      </c>
      <c r="R220" s="94" t="n">
        <v>-0.003970997821241773</v>
      </c>
    </row>
    <row r="221">
      <c r="A221" s="375" t="n">
        <v>44783</v>
      </c>
      <c r="B221" s="376" t="n">
        <v>104.0039899848584</v>
      </c>
      <c r="C221" s="376" t="n">
        <v>104.545872428007</v>
      </c>
      <c r="D221" s="376" t="n">
        <v>102.7365471799206</v>
      </c>
      <c r="E221" s="376" t="n">
        <v>103.9121475219727</v>
      </c>
      <c r="F221" s="93" t="n">
        <v>6951800</v>
      </c>
      <c r="G221" s="94" t="n">
        <v>0.02751776488943714</v>
      </c>
      <c r="H221" s="95" t="n">
        <v>76.92746900104908</v>
      </c>
      <c r="I221" s="376" t="n">
        <v>101.5616609191894</v>
      </c>
      <c r="J221" s="376" t="n">
        <v>124.3579426956177</v>
      </c>
      <c r="K221" s="94" t="n">
        <v>0.3798808417241235</v>
      </c>
      <c r="L221" s="94" t="n">
        <v>-0.08094731172507075</v>
      </c>
      <c r="M221" s="94" t="n">
        <v>-0.3641350036051346</v>
      </c>
      <c r="N221" t="n">
        <v>54.27166111855321</v>
      </c>
      <c r="O221" t="n">
        <v>0.2642685271262705</v>
      </c>
      <c r="P221" s="143">
        <f>MAX($E$2:E221)</f>
        <v/>
      </c>
      <c r="Q221" s="144">
        <f>E221/P221-1</f>
        <v/>
      </c>
      <c r="R221" s="94" t="n">
        <v>0.02100393975394854</v>
      </c>
    </row>
    <row r="222">
      <c r="A222" s="375" t="n">
        <v>44784</v>
      </c>
      <c r="B222" s="376" t="n">
        <v>105.5102348211464</v>
      </c>
      <c r="C222" s="376" t="n">
        <v>107.2277177043747</v>
      </c>
      <c r="D222" s="376" t="n">
        <v>104.4540359269795</v>
      </c>
      <c r="E222" s="376" t="n">
        <v>104.7938537597656</v>
      </c>
      <c r="F222" s="93" t="n">
        <v>5582100</v>
      </c>
      <c r="G222" s="94" t="n">
        <v>0.008485112268577844</v>
      </c>
      <c r="H222" s="95" t="n">
        <v>77.58020721206051</v>
      </c>
      <c r="I222" s="376" t="n">
        <v>101.4798043823242</v>
      </c>
      <c r="J222" s="376" t="n">
        <v>124.1327048110962</v>
      </c>
      <c r="K222" s="94" t="n">
        <v>0.3711232236520885</v>
      </c>
      <c r="L222" s="94" t="n">
        <v>-0.07314904648431975</v>
      </c>
      <c r="M222" s="94" t="n">
        <v>-0.3587396177230653</v>
      </c>
      <c r="N222" t="n">
        <v>55.80532714869931</v>
      </c>
      <c r="O222" t="n">
        <v>0.2634905091208746</v>
      </c>
      <c r="P222" s="143">
        <f>MAX($E$2:E222)</f>
        <v/>
      </c>
      <c r="Q222" s="144">
        <f>E222/P222-1</f>
        <v/>
      </c>
      <c r="R222" s="94" t="n">
        <v>0</v>
      </c>
    </row>
    <row r="223">
      <c r="A223" s="375" t="n">
        <v>44785</v>
      </c>
      <c r="B223" s="376" t="n">
        <v>105.0602176689038</v>
      </c>
      <c r="C223" s="376" t="n">
        <v>106.6582992781917</v>
      </c>
      <c r="D223" s="376" t="n">
        <v>104.4907830692116</v>
      </c>
      <c r="E223" s="376" t="n">
        <v>106.6031951904297</v>
      </c>
      <c r="F223" s="93" t="n">
        <v>4407900</v>
      </c>
      <c r="G223" s="94" t="n">
        <v>0.01726572089630252</v>
      </c>
      <c r="H223" s="95" t="n">
        <v>78.91968541686126</v>
      </c>
      <c r="I223" s="376" t="n">
        <v>101.4372494506836</v>
      </c>
      <c r="J223" s="376" t="n">
        <v>123.9184753799438</v>
      </c>
      <c r="K223" s="94" t="n">
        <v>0.3722146248041693</v>
      </c>
      <c r="L223" s="94" t="n">
        <v>-0.05714629660844639</v>
      </c>
      <c r="M223" s="94" t="n">
        <v>-0.3476677949408153</v>
      </c>
      <c r="N223" t="n">
        <v>58.85493778724904</v>
      </c>
      <c r="O223" t="n">
        <v>0.3560077206506236</v>
      </c>
      <c r="P223" s="143">
        <f>MAX($E$2:E223)</f>
        <v/>
      </c>
      <c r="Q223" s="144">
        <f>E223/P223-1</f>
        <v/>
      </c>
      <c r="R223" s="94" t="n">
        <v>0.01692900216250126</v>
      </c>
    </row>
    <row r="224">
      <c r="A224" s="375" t="n">
        <v>44788</v>
      </c>
      <c r="B224" s="376" t="n">
        <v>106.0337575336749</v>
      </c>
      <c r="C224" s="376" t="n">
        <v>107.0715978708186</v>
      </c>
      <c r="D224" s="376" t="n">
        <v>105.4826956505459</v>
      </c>
      <c r="E224" s="376" t="n">
        <v>106.8328018188477</v>
      </c>
      <c r="F224" s="93" t="n">
        <v>4279000</v>
      </c>
      <c r="G224" s="94" t="n">
        <v>0.002153843775581255</v>
      </c>
      <c r="H224" s="95" t="n">
        <v>79.0896660900672</v>
      </c>
      <c r="I224" s="376" t="n">
        <v>101.3126173400879</v>
      </c>
      <c r="J224" s="376" t="n">
        <v>123.7119637298584</v>
      </c>
      <c r="K224" s="94" t="n">
        <v>0.3694488200544812</v>
      </c>
      <c r="L224" s="94" t="n">
        <v>-0.05511553702811267</v>
      </c>
      <c r="M224" s="94" t="n">
        <v>-0.3462627732813376</v>
      </c>
      <c r="N224" t="n">
        <v>59.23932103950424</v>
      </c>
      <c r="O224" t="n">
        <v>0.4005242713790835</v>
      </c>
      <c r="P224" s="143">
        <f>MAX($E$2:E224)</f>
        <v/>
      </c>
      <c r="Q224" s="144">
        <f>E224/P224-1</f>
        <v/>
      </c>
      <c r="R224" s="94" t="n">
        <v>0.004120763176947317</v>
      </c>
    </row>
    <row r="225">
      <c r="A225" s="375" t="n">
        <v>44789</v>
      </c>
      <c r="B225" s="376" t="n">
        <v>106.4838144774897</v>
      </c>
      <c r="C225" s="376" t="n">
        <v>108.8074639079706</v>
      </c>
      <c r="D225" s="376" t="n">
        <v>106.3644129290072</v>
      </c>
      <c r="E225" s="376" t="n">
        <v>108.4309005737305</v>
      </c>
      <c r="F225" s="93" t="n">
        <v>6189800</v>
      </c>
      <c r="G225" s="94" t="n">
        <v>0.01495887712083643</v>
      </c>
      <c r="H225" s="95" t="n">
        <v>80.27275868663651</v>
      </c>
      <c r="I225" s="376" t="n">
        <v>101.2595318603516</v>
      </c>
      <c r="J225" s="376" t="n">
        <v>123.5038162612915</v>
      </c>
      <c r="K225" s="94" t="n">
        <v>0.3321862127516124</v>
      </c>
      <c r="L225" s="94" t="n">
        <v>-0.04098112645312857</v>
      </c>
      <c r="M225" s="94" t="n">
        <v>-0.3364835984375367</v>
      </c>
      <c r="N225" t="n">
        <v>61.90678314151076</v>
      </c>
      <c r="O225" t="n">
        <v>0.4990424013269943</v>
      </c>
      <c r="P225" s="143">
        <f>MAX($E$2:E225)</f>
        <v/>
      </c>
      <c r="Q225" s="144">
        <f>E225/P225-1</f>
        <v/>
      </c>
      <c r="R225" s="94" t="n">
        <v>0.001958834596891723</v>
      </c>
    </row>
    <row r="226">
      <c r="A226" s="375" t="n">
        <v>44790</v>
      </c>
      <c r="B226" s="376" t="n">
        <v>107.2460971861657</v>
      </c>
      <c r="C226" s="376" t="n">
        <v>108.3574143169521</v>
      </c>
      <c r="D226" s="376" t="n">
        <v>106.9154656598151</v>
      </c>
      <c r="E226" s="376" t="n">
        <v>107.4940795898438</v>
      </c>
      <c r="F226" s="93" t="n">
        <v>5108400</v>
      </c>
      <c r="G226" s="94" t="n">
        <v>-0.008639797132826588</v>
      </c>
      <c r="H226" s="95" t="n">
        <v>79.57921833629162</v>
      </c>
      <c r="I226" s="376" t="n">
        <v>101.2009355163574</v>
      </c>
      <c r="J226" s="376" t="n">
        <v>123.2780736923218</v>
      </c>
      <c r="K226" s="94" t="n">
        <v>0.3311307663355472</v>
      </c>
      <c r="L226" s="94" t="n">
        <v>-0.04926685496712546</v>
      </c>
      <c r="M226" s="94" t="n">
        <v>-0.3422162455413394</v>
      </c>
      <c r="N226" t="n">
        <v>59.45065417861655</v>
      </c>
      <c r="O226" t="n">
        <v>0.4633331175077546</v>
      </c>
      <c r="P226" s="143">
        <f>MAX($E$2:E226)</f>
        <v/>
      </c>
      <c r="Q226" s="144">
        <f>E226/P226-1</f>
        <v/>
      </c>
      <c r="R226" s="94" t="n">
        <v>-0.007098150282348725</v>
      </c>
    </row>
    <row r="227">
      <c r="A227" s="375" t="n">
        <v>44791</v>
      </c>
      <c r="B227" s="376" t="n">
        <v>106.5389093523906</v>
      </c>
      <c r="C227" s="376" t="n">
        <v>107.1634480668106</v>
      </c>
      <c r="D227" s="376" t="n">
        <v>105.8960049436344</v>
      </c>
      <c r="E227" s="376" t="n">
        <v>106.548095703125</v>
      </c>
      <c r="F227" s="93" t="n">
        <v>4750200</v>
      </c>
      <c r="G227" s="94" t="n">
        <v>-0.008800334774977991</v>
      </c>
      <c r="H227" s="95" t="n">
        <v>78.87889457380119</v>
      </c>
      <c r="I227" s="376" t="n">
        <v>101.0969685363769</v>
      </c>
      <c r="J227" s="376" t="n">
        <v>123.0519808578491</v>
      </c>
      <c r="K227" s="94" t="n">
        <v>0.333578408465784</v>
      </c>
      <c r="L227" s="94" t="n">
        <v>-0.05763362492508239</v>
      </c>
      <c r="M227" s="94" t="n">
        <v>-0.3480049627901176</v>
      </c>
      <c r="N227" t="n">
        <v>56.99177643736592</v>
      </c>
      <c r="O227" t="n">
        <v>0.3437238458710306</v>
      </c>
      <c r="P227" s="143">
        <f>MAX($E$2:E227)</f>
        <v/>
      </c>
      <c r="Q227" s="144">
        <f>E227/P227-1</f>
        <v/>
      </c>
      <c r="R227" s="94" t="n">
        <v>0.00290653364526583</v>
      </c>
    </row>
    <row r="228">
      <c r="A228" s="375" t="n">
        <v>44792</v>
      </c>
      <c r="B228" s="376" t="n">
        <v>106.0796932910683</v>
      </c>
      <c r="C228" s="376" t="n">
        <v>106.2174605279378</v>
      </c>
      <c r="D228" s="376" t="n">
        <v>103.8111480796332</v>
      </c>
      <c r="E228" s="376" t="n">
        <v>103.930549621582</v>
      </c>
      <c r="F228" s="93" t="n">
        <v>5967600</v>
      </c>
      <c r="G228" s="94" t="n">
        <v>-0.02456680304110026</v>
      </c>
      <c r="H228" s="95" t="n">
        <v>76.94109230670691</v>
      </c>
      <c r="I228" s="376" t="n">
        <v>100.9272412109375</v>
      </c>
      <c r="J228" s="376" t="n">
        <v>122.8059569549561</v>
      </c>
      <c r="K228" s="94" t="n">
        <v>0.3357765090122081</v>
      </c>
      <c r="L228" s="94" t="n">
        <v>-0.08078455405410345</v>
      </c>
      <c r="M228" s="94" t="n">
        <v>-0.3640223964530276</v>
      </c>
      <c r="N228" t="n">
        <v>50.73842854437738</v>
      </c>
      <c r="O228" t="n">
        <v>0.07033919257477628</v>
      </c>
      <c r="P228" s="143">
        <f>MAX($E$2:E228)</f>
        <v/>
      </c>
      <c r="Q228" s="144">
        <f>E228/P228-1</f>
        <v/>
      </c>
      <c r="R228" s="94" t="n">
        <v>-0.01343805037732082</v>
      </c>
    </row>
    <row r="229">
      <c r="A229" s="375" t="n">
        <v>44795</v>
      </c>
      <c r="B229" s="376" t="n">
        <v>101.9650690386359</v>
      </c>
      <c r="C229" s="376" t="n">
        <v>102.5712419895242</v>
      </c>
      <c r="D229" s="376" t="n">
        <v>100.8813110110646</v>
      </c>
      <c r="E229" s="376" t="n">
        <v>101.3405303955078</v>
      </c>
      <c r="F229" s="93" t="n">
        <v>5802900</v>
      </c>
      <c r="G229" s="94" t="n">
        <v>-0.0249206728484036</v>
      </c>
      <c r="H229" s="95" t="n">
        <v>75.02366851673263</v>
      </c>
      <c r="I229" s="376" t="n">
        <v>100.7755149841309</v>
      </c>
      <c r="J229" s="376" t="n">
        <v>122.5256774902344</v>
      </c>
      <c r="K229" s="94" t="n">
        <v>0.3491631880121003</v>
      </c>
      <c r="L229" s="94" t="n">
        <v>-0.1036920214597208</v>
      </c>
      <c r="M229" s="94" t="n">
        <v>-0.3798713862499333</v>
      </c>
      <c r="N229" t="n">
        <v>45.4270389236553</v>
      </c>
      <c r="O229" t="n">
        <v>-0.2835012331887143</v>
      </c>
      <c r="P229" s="143">
        <f>MAX($E$2:E229)</f>
        <v/>
      </c>
      <c r="Q229" s="144">
        <f>E229/P229-1</f>
        <v/>
      </c>
      <c r="R229" s="94" t="n">
        <v>-0.02082250715206491</v>
      </c>
    </row>
    <row r="230">
      <c r="A230" s="375" t="n">
        <v>44796</v>
      </c>
      <c r="B230" s="376" t="n">
        <v>101.7997557109411</v>
      </c>
      <c r="C230" s="376" t="n">
        <v>103.6274540126441</v>
      </c>
      <c r="D230" s="376" t="n">
        <v>101.5517803120323</v>
      </c>
      <c r="E230" s="376" t="n">
        <v>101.6528091430664</v>
      </c>
      <c r="F230" s="93" t="n">
        <v>4806700</v>
      </c>
      <c r="G230" s="94" t="n">
        <v>0.003081479308819857</v>
      </c>
      <c r="H230" s="95" t="n">
        <v>75.25485239893871</v>
      </c>
      <c r="I230" s="376" t="n">
        <v>100.7011212158203</v>
      </c>
      <c r="J230" s="376" t="n">
        <v>122.2335461807251</v>
      </c>
      <c r="K230" s="94" t="n">
        <v>0.3189129277633254</v>
      </c>
      <c r="L230" s="94" t="n">
        <v>-0.1009300669695186</v>
      </c>
      <c r="M230" s="94" t="n">
        <v>-0.3779604727578554</v>
      </c>
      <c r="N230" t="n">
        <v>46.15886765827962</v>
      </c>
      <c r="O230" t="n">
        <v>-0.4833568455984154</v>
      </c>
      <c r="P230" s="143">
        <f>MAX($E$2:E230)</f>
        <v/>
      </c>
      <c r="Q230" s="144">
        <f>E230/P230-1</f>
        <v/>
      </c>
      <c r="R230" s="94" t="n">
        <v>-0.002419375932807832</v>
      </c>
    </row>
    <row r="231">
      <c r="A231" s="375" t="n">
        <v>44797</v>
      </c>
      <c r="B231" s="376" t="n">
        <v>101.6528092806833</v>
      </c>
      <c r="C231" s="376" t="n">
        <v>103.2600772220521</v>
      </c>
      <c r="D231" s="376" t="n">
        <v>101.0466362936579</v>
      </c>
      <c r="E231" s="376" t="n">
        <v>102.3232727050781</v>
      </c>
      <c r="F231" s="93" t="n">
        <v>4769000</v>
      </c>
      <c r="G231" s="94" t="n">
        <v>0.006595622567282966</v>
      </c>
      <c r="H231" s="95" t="n">
        <v>75.7512050017187</v>
      </c>
      <c r="I231" s="376" t="n">
        <v>100.7189392089844</v>
      </c>
      <c r="J231" s="376" t="n">
        <v>121.935323677063</v>
      </c>
      <c r="K231" s="94" t="n">
        <v>0.3081012067455587</v>
      </c>
      <c r="L231" s="94" t="n">
        <v>-0.09500014102965715</v>
      </c>
      <c r="M231" s="94" t="n">
        <v>-0.373857734814235</v>
      </c>
      <c r="N231" t="n">
        <v>47.7780742252501</v>
      </c>
      <c r="O231" t="n">
        <v>-0.5522608126337507</v>
      </c>
      <c r="P231" s="143">
        <f>MAX($E$2:E231)</f>
        <v/>
      </c>
      <c r="Q231" s="144">
        <f>E231/P231-1</f>
        <v/>
      </c>
      <c r="R231" s="94" t="n">
        <v>0.003201202462437047</v>
      </c>
    </row>
    <row r="232">
      <c r="A232" s="375" t="n">
        <v>44798</v>
      </c>
      <c r="B232" s="376" t="n">
        <v>102.7733025505121</v>
      </c>
      <c r="C232" s="376" t="n">
        <v>104.0958496503155</v>
      </c>
      <c r="D232" s="376" t="n">
        <v>102.3048968031172</v>
      </c>
      <c r="E232" s="376" t="n">
        <v>103.9856414794922</v>
      </c>
      <c r="F232" s="93" t="n">
        <v>5433700</v>
      </c>
      <c r="G232" s="94" t="n">
        <v>0.0162462432100412</v>
      </c>
      <c r="H232" s="95" t="n">
        <v>76.98187750163031</v>
      </c>
      <c r="I232" s="376" t="n">
        <v>100.7648612976074</v>
      </c>
      <c r="J232" s="376" t="n">
        <v>121.6712350082397</v>
      </c>
      <c r="K232" s="94" t="n">
        <v>0.2782499310948996</v>
      </c>
      <c r="L232" s="94" t="n">
        <v>-0.08029729321577206</v>
      </c>
      <c r="M232" s="94" t="n">
        <v>-0.363685275289941</v>
      </c>
      <c r="N232" t="n">
        <v>51.65987064915503</v>
      </c>
      <c r="O232" t="n">
        <v>-0.4709149780060355</v>
      </c>
      <c r="P232" s="143">
        <f>MAX($E$2:E232)</f>
        <v/>
      </c>
      <c r="Q232" s="144">
        <f>E232/P232-1</f>
        <v/>
      </c>
      <c r="R232" s="94" t="n">
        <v>0.0141175058898686</v>
      </c>
    </row>
    <row r="233">
      <c r="A233" s="375" t="n">
        <v>44799</v>
      </c>
      <c r="B233" s="376" t="n">
        <v>104.0682931841114</v>
      </c>
      <c r="C233" s="376" t="n">
        <v>104.4540427869923</v>
      </c>
      <c r="D233" s="376" t="n">
        <v>99.40262962976726</v>
      </c>
      <c r="E233" s="376" t="n">
        <v>99.44854736328125</v>
      </c>
      <c r="F233" s="93" t="n">
        <v>6203600</v>
      </c>
      <c r="G233" s="94" t="n">
        <v>-0.04363192890535506</v>
      </c>
      <c r="H233" s="95" t="n">
        <v>73.62300969547843</v>
      </c>
      <c r="I233" s="376" t="n">
        <v>100.6700782775879</v>
      </c>
      <c r="J233" s="376" t="n">
        <v>121.3754732894897</v>
      </c>
      <c r="K233" s="94" t="n">
        <v>0.3050783978165187</v>
      </c>
      <c r="L233" s="94" t="n">
        <v>-0.120425696332244</v>
      </c>
      <c r="M233" s="94" t="n">
        <v>-0.3914489141199209</v>
      </c>
      <c r="N233" t="n">
        <v>42.39692124496995</v>
      </c>
      <c r="O233" t="n">
        <v>-0.6942216896999069</v>
      </c>
      <c r="P233" s="143">
        <f>MAX($E$2:E233)</f>
        <v/>
      </c>
      <c r="Q233" s="144">
        <f>E233/P233-1</f>
        <v/>
      </c>
      <c r="R233" s="94" t="n">
        <v>-0.03384889313970185</v>
      </c>
    </row>
    <row r="234">
      <c r="A234" s="375" t="n">
        <v>44802</v>
      </c>
      <c r="B234" s="376" t="n">
        <v>98.09844750685932</v>
      </c>
      <c r="C234" s="376" t="n">
        <v>99.68734973863533</v>
      </c>
      <c r="D234" s="376" t="n">
        <v>97.75862963015446</v>
      </c>
      <c r="E234" s="376" t="n">
        <v>99.0811767578125</v>
      </c>
      <c r="F234" s="93" t="n">
        <v>4132400</v>
      </c>
      <c r="G234" s="94" t="n">
        <v>-0.003694077140481089</v>
      </c>
      <c r="H234" s="95" t="n">
        <v>73.35104061834895</v>
      </c>
      <c r="I234" s="376" t="n">
        <v>100.6840383911133</v>
      </c>
      <c r="J234" s="376" t="n">
        <v>121.1032406997681</v>
      </c>
      <c r="K234" s="94" t="n">
        <v>0.304945794482636</v>
      </c>
      <c r="L234" s="94" t="n">
        <v>-0.1186275128590928</v>
      </c>
      <c r="M234" s="94" t="n">
        <v>-0.3936969487750854</v>
      </c>
      <c r="N234" t="n">
        <v>41.74423600179312</v>
      </c>
      <c r="O234" t="n">
        <v>-0.8290883236251079</v>
      </c>
      <c r="P234" s="143">
        <f>MAX($E$2:E234)</f>
        <v/>
      </c>
      <c r="Q234" s="144">
        <f>E234/P234-1</f>
        <v/>
      </c>
      <c r="R234" s="94" t="n">
        <v>-0.006612269794048831</v>
      </c>
    </row>
    <row r="235">
      <c r="A235" s="375" t="n">
        <v>44803</v>
      </c>
      <c r="B235" s="376" t="n">
        <v>100.0822727595567</v>
      </c>
      <c r="C235" s="376" t="n">
        <v>101.1017403433322</v>
      </c>
      <c r="D235" s="376" t="n">
        <v>98.39234179810315</v>
      </c>
      <c r="E235" s="376" t="n">
        <v>99.06280517578125</v>
      </c>
      <c r="F235" s="93" t="n">
        <v>5129500</v>
      </c>
      <c r="G235" s="94" t="n">
        <v>-0.000185419497753414</v>
      </c>
      <c r="H235" s="95" t="n">
        <v>73.3374399052378</v>
      </c>
      <c r="I235" s="376" t="n">
        <v>100.6935903930664</v>
      </c>
      <c r="J235" s="376" t="n">
        <v>120.8368015670776</v>
      </c>
      <c r="K235" s="94" t="n">
        <v>0.2962299435141956</v>
      </c>
      <c r="L235" s="94" t="n">
        <v>-0.1187909365029922</v>
      </c>
      <c r="M235" s="94" t="n">
        <v>-0.3938093691823299</v>
      </c>
      <c r="N235" t="n">
        <v>41.70965537105464</v>
      </c>
      <c r="O235" t="n">
        <v>-0.8772905360197401</v>
      </c>
      <c r="P235" s="143">
        <f>MAX($E$2:E235)</f>
        <v/>
      </c>
      <c r="Q235" s="144">
        <f>E235/P235-1</f>
        <v/>
      </c>
      <c r="R235" s="94" t="n">
        <v>-0.0109779491139318</v>
      </c>
    </row>
    <row r="236">
      <c r="A236" s="375" t="n">
        <v>44804</v>
      </c>
      <c r="B236" s="376" t="n">
        <v>99.15463607520891</v>
      </c>
      <c r="C236" s="376" t="n">
        <v>99.20056081068262</v>
      </c>
      <c r="D236" s="376" t="n">
        <v>97.17999157106379</v>
      </c>
      <c r="E236" s="376" t="n">
        <v>97.76779174804688</v>
      </c>
      <c r="F236" s="93" t="n">
        <v>8884800</v>
      </c>
      <c r="G236" s="94" t="n">
        <v>-0.01307265048104023</v>
      </c>
      <c r="H236" s="95" t="n">
        <v>72.37872518618234</v>
      </c>
      <c r="I236" s="376" t="n">
        <v>100.6526278686523</v>
      </c>
      <c r="J236" s="376" t="n">
        <v>120.5542154312134</v>
      </c>
      <c r="K236" s="94" t="n">
        <v>0.2845589280766056</v>
      </c>
      <c r="L236" s="94" t="n">
        <v>-0.1303106745908134</v>
      </c>
      <c r="M236" s="94" t="n">
        <v>-0.4017338874238906</v>
      </c>
      <c r="N236" t="n">
        <v>39.24191757304194</v>
      </c>
      <c r="O236" t="n">
        <v>-0.9481191058791616</v>
      </c>
      <c r="P236" s="143">
        <f>MAX($E$2:E236)</f>
        <v/>
      </c>
      <c r="Q236" s="144">
        <f>E236/P236-1</f>
        <v/>
      </c>
      <c r="R236" s="94" t="n">
        <v>-0.007609053674047295</v>
      </c>
    </row>
    <row r="237">
      <c r="A237" s="375" t="n">
        <v>44805</v>
      </c>
      <c r="B237" s="376" t="n">
        <v>97.17082455579083</v>
      </c>
      <c r="C237" s="376" t="n">
        <v>97.85965363248935</v>
      </c>
      <c r="D237" s="376" t="n">
        <v>95.33394701792811</v>
      </c>
      <c r="E237" s="376" t="n">
        <v>97.80454254150391</v>
      </c>
      <c r="F237" s="93" t="n">
        <v>5590800</v>
      </c>
      <c r="G237" s="94" t="n">
        <v>0.0003758987781143919</v>
      </c>
      <c r="H237" s="95" t="n">
        <v>72.40593226054129</v>
      </c>
      <c r="I237" s="376" t="n">
        <v>100.6814668273926</v>
      </c>
      <c r="J237" s="376" t="n">
        <v>120.2729078674316</v>
      </c>
      <c r="K237" s="94" t="n">
        <v>0.2842714973551169</v>
      </c>
      <c r="L237" s="94" t="n">
        <v>-0.129983759436053</v>
      </c>
      <c r="M237" s="94" t="n">
        <v>-0.401508999923186</v>
      </c>
      <c r="N237" t="n">
        <v>39.35158029783554</v>
      </c>
      <c r="O237" t="n">
        <v>-0.9422654510019953</v>
      </c>
      <c r="P237" s="143">
        <f>MAX($E$2:E237)</f>
        <v/>
      </c>
      <c r="Q237" s="144">
        <f>E237/P237-1</f>
        <v/>
      </c>
      <c r="R237" s="94" t="n">
        <v>0.003137912743288895</v>
      </c>
    </row>
    <row r="238">
      <c r="A238" s="375" t="n">
        <v>44806</v>
      </c>
      <c r="B238" s="376" t="n">
        <v>98.97892195748591</v>
      </c>
      <c r="C238" s="376" t="n">
        <v>99.6144672616017</v>
      </c>
      <c r="D238" s="376" t="n">
        <v>96.75913030224477</v>
      </c>
      <c r="E238" s="376" t="n">
        <v>97.39466857910156</v>
      </c>
      <c r="F238" s="93" t="n">
        <v>7763800</v>
      </c>
      <c r="G238" s="94" t="n">
        <v>-0.004190745662231543</v>
      </c>
      <c r="H238" s="95" t="n">
        <v>72.1024974140006</v>
      </c>
      <c r="I238" s="376" t="n">
        <v>100.6455322265625</v>
      </c>
      <c r="J238" s="376" t="n">
        <v>119.975955581665</v>
      </c>
      <c r="K238" s="94" t="n">
        <v>0.2842008360551209</v>
      </c>
      <c r="L238" s="94" t="n">
        <v>-0.1058708117573552</v>
      </c>
      <c r="M238" s="94" t="n">
        <v>-0.4040171234856426</v>
      </c>
      <c r="N238" t="n">
        <v>38.51660944126728</v>
      </c>
      <c r="O238" t="n">
        <v>-0.9150106564613861</v>
      </c>
      <c r="P238" s="143">
        <f>MAX($E$2:E238)</f>
        <v/>
      </c>
      <c r="Q238" s="144">
        <f>E238/P238-1</f>
        <v/>
      </c>
      <c r="R238" s="94" t="n">
        <v>-0.01054444373614072</v>
      </c>
    </row>
    <row r="239">
      <c r="A239" s="375" t="n">
        <v>44810</v>
      </c>
      <c r="B239" s="376" t="n">
        <v>97.11834757202014</v>
      </c>
      <c r="C239" s="376" t="n">
        <v>98.01179326166606</v>
      </c>
      <c r="D239" s="376" t="n">
        <v>95.49725031067557</v>
      </c>
      <c r="E239" s="376" t="n">
        <v>96.85123443603516</v>
      </c>
      <c r="F239" s="93" t="n">
        <v>9158900</v>
      </c>
      <c r="G239" s="94" t="n">
        <v>-0.005579711405096499</v>
      </c>
      <c r="H239" s="95" t="n">
        <v>71.70018628684376</v>
      </c>
      <c r="I239" s="376" t="n">
        <v>100.5085383605957</v>
      </c>
      <c r="J239" s="376" t="n">
        <v>119.6766968154907</v>
      </c>
      <c r="K239" s="94" t="n">
        <v>0.2837773027656553</v>
      </c>
      <c r="L239" s="94" t="n">
        <v>-0.1067930458607731</v>
      </c>
      <c r="M239" s="94" t="n">
        <v>-0.4073425359389719</v>
      </c>
      <c r="N239" t="n">
        <v>37.38401011415709</v>
      </c>
      <c r="O239" t="n">
        <v>-0.8822087878902911</v>
      </c>
      <c r="P239" s="143">
        <f>MAX($E$2:E239)</f>
        <v/>
      </c>
      <c r="Q239" s="144">
        <f>E239/P239-1</f>
        <v/>
      </c>
      <c r="R239" s="94" t="n">
        <v>-0.00377311574396233</v>
      </c>
    </row>
    <row r="240">
      <c r="A240" s="375" t="n">
        <v>44811</v>
      </c>
      <c r="B240" s="376" t="n">
        <v>96.78676360717188</v>
      </c>
      <c r="C240" s="376" t="n">
        <v>99.99210732592076</v>
      </c>
      <c r="D240" s="376" t="n">
        <v>96.71307576766385</v>
      </c>
      <c r="E240" s="376" t="n">
        <v>99.91842651367188</v>
      </c>
      <c r="F240" s="93" t="n">
        <v>7238300</v>
      </c>
      <c r="G240" s="94" t="n">
        <v>0.03166910670263512</v>
      </c>
      <c r="H240" s="95" t="n">
        <v>73.97086713696062</v>
      </c>
      <c r="I240" s="376" t="n">
        <v>100.477156829834</v>
      </c>
      <c r="J240" s="376" t="n">
        <v>119.3945531082153</v>
      </c>
      <c r="K240" s="94" t="n">
        <v>0.28642344781787</v>
      </c>
      <c r="L240" s="94" t="n">
        <v>-0.07850597952260241</v>
      </c>
      <c r="M240" s="94" t="n">
        <v>-0.3885736034715102</v>
      </c>
      <c r="N240" t="n">
        <v>46.87860533254976</v>
      </c>
      <c r="O240" t="n">
        <v>-0.6152171863304254</v>
      </c>
      <c r="P240" s="143">
        <f>MAX($E$2:E240)</f>
        <v/>
      </c>
      <c r="Q240" s="144">
        <f>E240/P240-1</f>
        <v/>
      </c>
      <c r="R240" s="94" t="n">
        <v>0.01796490520954164</v>
      </c>
    </row>
    <row r="241">
      <c r="A241" s="375" t="n">
        <v>44812</v>
      </c>
      <c r="B241" s="376" t="n">
        <v>98.55523073111321</v>
      </c>
      <c r="C241" s="376" t="n">
        <v>100.2039592660543</v>
      </c>
      <c r="D241" s="376" t="n">
        <v>97.70784164875239</v>
      </c>
      <c r="E241" s="376" t="n">
        <v>100.1486968994141</v>
      </c>
      <c r="F241" s="93" t="n">
        <v>5628300</v>
      </c>
      <c r="G241" s="94" t="n">
        <v>0.002304583786762127</v>
      </c>
      <c r="H241" s="95" t="n">
        <v>74.1413391980572</v>
      </c>
      <c r="I241" s="376" t="n">
        <v>100.5921876525879</v>
      </c>
      <c r="J241" s="376" t="n">
        <v>119.0974560928345</v>
      </c>
      <c r="K241" s="94" t="n">
        <v>0.2671054606706478</v>
      </c>
      <c r="L241" s="94" t="n">
        <v>-0.07638231934341189</v>
      </c>
      <c r="M241" s="94" t="n">
        <v>-0.3871645201112722</v>
      </c>
      <c r="N241" t="n">
        <v>47.52196022221083</v>
      </c>
      <c r="O241" t="n">
        <v>-0.395079648475791</v>
      </c>
      <c r="P241" s="143">
        <f>MAX($E$2:E241)</f>
        <v/>
      </c>
      <c r="Q241" s="144">
        <f>E241/P241-1</f>
        <v/>
      </c>
      <c r="R241" s="94" t="n">
        <v>0.006536305664784692</v>
      </c>
    </row>
    <row r="242">
      <c r="A242" s="375" t="n">
        <v>44813</v>
      </c>
      <c r="B242" s="376" t="n">
        <v>100.7473904833472</v>
      </c>
      <c r="C242" s="376" t="n">
        <v>102.8750829365991</v>
      </c>
      <c r="D242" s="376" t="n">
        <v>100.6737096708273</v>
      </c>
      <c r="E242" s="376" t="n">
        <v>102.2119064331055</v>
      </c>
      <c r="F242" s="93" t="n">
        <v>5171500</v>
      </c>
      <c r="G242" s="94" t="n">
        <v>0.0206014616022776</v>
      </c>
      <c r="H242" s="95" t="n">
        <v>75.66875915068742</v>
      </c>
      <c r="I242" s="376" t="n">
        <v>100.7398497009277</v>
      </c>
      <c r="J242" s="376" t="n">
        <v>118.8135950469971</v>
      </c>
      <c r="K242" s="94" t="n">
        <v>0.2765337934817147</v>
      </c>
      <c r="L242" s="94" t="n">
        <v>-0.0573544451601804</v>
      </c>
      <c r="M242" s="94" t="n">
        <v>-0.3745392135038312</v>
      </c>
      <c r="N242" t="n">
        <v>53.01293429263938</v>
      </c>
      <c r="O242" t="n">
        <v>-0.09797494275460794</v>
      </c>
      <c r="P242" s="143">
        <f>MAX($E$2:E242)</f>
        <v/>
      </c>
      <c r="Q242" s="144">
        <f>E242/P242-1</f>
        <v/>
      </c>
      <c r="R242" s="94" t="n">
        <v>0.0155353665874951</v>
      </c>
    </row>
    <row r="243">
      <c r="A243" s="375" t="n">
        <v>44816</v>
      </c>
      <c r="B243" s="376" t="n">
        <v>102.5895356501207</v>
      </c>
      <c r="C243" s="376" t="n">
        <v>104.4132708807055</v>
      </c>
      <c r="D243" s="376" t="n">
        <v>102.5895356501207</v>
      </c>
      <c r="E243" s="376" t="n">
        <v>103.510612487793</v>
      </c>
      <c r="F243" s="93" t="n">
        <v>4836900</v>
      </c>
      <c r="G243" s="94" t="n">
        <v>0.01270601537539529</v>
      </c>
      <c r="H243" s="95" t="n">
        <v>76.63020756789312</v>
      </c>
      <c r="I243" s="376" t="n">
        <v>100.9327728271484</v>
      </c>
      <c r="J243" s="376" t="n">
        <v>118.5457626724243</v>
      </c>
      <c r="K243" s="94" t="n">
        <v>0.2729676777725867</v>
      </c>
      <c r="L243" s="94" t="n">
        <v>-0.04537717624683779</v>
      </c>
      <c r="M243" s="94" t="n">
        <v>-0.3665920991339041</v>
      </c>
      <c r="N243" t="n">
        <v>56.1249489645323</v>
      </c>
      <c r="O243" t="n">
        <v>0.1832310517696751</v>
      </c>
      <c r="P243" s="143">
        <f>MAX($E$2:E243)</f>
        <v/>
      </c>
      <c r="Q243" s="144">
        <f>E243/P243-1</f>
        <v/>
      </c>
      <c r="R243" s="94" t="n">
        <v>0.01074756970985735</v>
      </c>
    </row>
    <row r="244">
      <c r="A244" s="375" t="n">
        <v>44817</v>
      </c>
      <c r="B244" s="376" t="n">
        <v>100.2500223671006</v>
      </c>
      <c r="C244" s="376" t="n">
        <v>100.3145045065248</v>
      </c>
      <c r="D244" s="376" t="n">
        <v>97.11836603083607</v>
      </c>
      <c r="E244" s="376" t="n">
        <v>97.37626647949219</v>
      </c>
      <c r="F244" s="93" t="n">
        <v>5955600</v>
      </c>
      <c r="G244" s="94" t="n">
        <v>-0.05926296696412847</v>
      </c>
      <c r="H244" s="95" t="n">
        <v>72.08887410834276</v>
      </c>
      <c r="I244" s="376" t="n">
        <v>101.0217454528809</v>
      </c>
      <c r="J244" s="376" t="n">
        <v>118.2478059005737</v>
      </c>
      <c r="K244" s="94" t="n">
        <v>0.3411216997183619</v>
      </c>
      <c r="L244" s="94" t="n">
        <v>-0.1019509571141245</v>
      </c>
      <c r="M244" s="94" t="n">
        <v>-0.4041297306377495</v>
      </c>
      <c r="N244" t="n">
        <v>41.98130457851949</v>
      </c>
      <c r="O244" t="n">
        <v>-0.03504687910465709</v>
      </c>
      <c r="P244" s="143">
        <f>MAX($E$2:E244)</f>
        <v/>
      </c>
      <c r="Q244" s="144">
        <f>E244/P244-1</f>
        <v/>
      </c>
      <c r="R244" s="94" t="n">
        <v>-0.04348252207470715</v>
      </c>
    </row>
    <row r="245">
      <c r="A245" s="375" t="n">
        <v>44818</v>
      </c>
      <c r="B245" s="376" t="n">
        <v>97.75388974698627</v>
      </c>
      <c r="C245" s="376" t="n">
        <v>98.88681743617678</v>
      </c>
      <c r="D245" s="376" t="n">
        <v>96.85123831212736</v>
      </c>
      <c r="E245" s="376" t="n">
        <v>98.55522918701172</v>
      </c>
      <c r="F245" s="93" t="n">
        <v>4888700</v>
      </c>
      <c r="G245" s="94" t="n">
        <v>0.01210729010408129</v>
      </c>
      <c r="H245" s="95" t="n">
        <v>72.96167502044906</v>
      </c>
      <c r="I245" s="376" t="n">
        <v>101.0766191101074</v>
      </c>
      <c r="J245" s="376" t="n">
        <v>117.9740383911133</v>
      </c>
      <c r="K245" s="94" t="n">
        <v>0.3391196005036461</v>
      </c>
      <c r="L245" s="94" t="n">
        <v>-0.09107801682421268</v>
      </c>
      <c r="M245" s="94" t="n">
        <v>-0.3969153564221838</v>
      </c>
      <c r="N245" t="n">
        <v>44.85743650919628</v>
      </c>
      <c r="O245" t="n">
        <v>-0.08815101203583853</v>
      </c>
      <c r="P245" s="143">
        <f>MAX($E$2:E245)</f>
        <v/>
      </c>
      <c r="Q245" s="144">
        <f>E245/P245-1</f>
        <v/>
      </c>
      <c r="R245" s="94" t="n">
        <v>0.003816010478819409</v>
      </c>
    </row>
    <row r="246">
      <c r="A246" s="375" t="n">
        <v>44819</v>
      </c>
      <c r="B246" s="376" t="n">
        <v>97.77232357836715</v>
      </c>
      <c r="C246" s="376" t="n">
        <v>99.60526481491814</v>
      </c>
      <c r="D246" s="376" t="n">
        <v>96.55650223658191</v>
      </c>
      <c r="E246" s="376" t="n">
        <v>97.17362213134766</v>
      </c>
      <c r="F246" s="93" t="n">
        <v>6598900</v>
      </c>
      <c r="G246" s="94" t="n">
        <v>-0.01401860730334681</v>
      </c>
      <c r="H246" s="95" t="n">
        <v>71.93885395014298</v>
      </c>
      <c r="I246" s="376" t="n">
        <v>101.1055139160156</v>
      </c>
      <c r="J246" s="376" t="n">
        <v>117.6849231338501</v>
      </c>
      <c r="K246" s="94" t="n">
        <v>0.3405160659632328</v>
      </c>
      <c r="L246" s="94" t="n">
        <v>-0.1038198371757332</v>
      </c>
      <c r="M246" s="94" t="n">
        <v>-0.40536976321118</v>
      </c>
      <c r="N246" t="n">
        <v>42.21630388578803</v>
      </c>
      <c r="O246" t="n">
        <v>-0.1981522683067749</v>
      </c>
      <c r="P246" s="143">
        <f>MAX($E$2:E246)</f>
        <v/>
      </c>
      <c r="Q246" s="144">
        <f>E246/P246-1</f>
        <v/>
      </c>
      <c r="R246" s="94" t="n">
        <v>-0.01135347492168026</v>
      </c>
    </row>
    <row r="247">
      <c r="A247" s="375" t="n">
        <v>44820</v>
      </c>
      <c r="B247" s="376" t="n">
        <v>95.8564625750363</v>
      </c>
      <c r="C247" s="376" t="n">
        <v>96.98017739868153</v>
      </c>
      <c r="D247" s="376" t="n">
        <v>95.10117987791944</v>
      </c>
      <c r="E247" s="376" t="n">
        <v>95.90251922607422</v>
      </c>
      <c r="F247" s="93" t="n">
        <v>8000800</v>
      </c>
      <c r="G247" s="94" t="n">
        <v>-0.01308074019876826</v>
      </c>
      <c r="H247" s="95" t="n">
        <v>70.99784049142403</v>
      </c>
      <c r="I247" s="376" t="n">
        <v>101.0373484802246</v>
      </c>
      <c r="J247" s="376" t="n">
        <v>117.3923262786865</v>
      </c>
      <c r="K247" s="94" t="n">
        <v>0.3415185460006092</v>
      </c>
      <c r="L247" s="94" t="n">
        <v>-0.1155425370569273</v>
      </c>
      <c r="M247" s="94" t="n">
        <v>-0.4131479668529466</v>
      </c>
      <c r="N247" t="n">
        <v>39.88932066878107</v>
      </c>
      <c r="O247" t="n">
        <v>-0.3305453457627923</v>
      </c>
      <c r="P247" s="143">
        <f>MAX($E$2:E247)</f>
        <v/>
      </c>
      <c r="Q247" s="144">
        <f>E247/P247-1</f>
        <v/>
      </c>
      <c r="R247" s="94" t="n">
        <v>-0.007628934755300909</v>
      </c>
    </row>
    <row r="248">
      <c r="A248" s="375" t="n">
        <v>44823</v>
      </c>
      <c r="B248" s="376" t="n">
        <v>95.50645475387324</v>
      </c>
      <c r="C248" s="376" t="n">
        <v>98.89601762748892</v>
      </c>
      <c r="D248" s="376" t="n">
        <v>95.17486654677163</v>
      </c>
      <c r="E248" s="376" t="n">
        <v>98.74864196777344</v>
      </c>
      <c r="F248" s="93" t="n">
        <v>5162300</v>
      </c>
      <c r="G248" s="94" t="n">
        <v>0.02967724690307616</v>
      </c>
      <c r="H248" s="95" t="n">
        <v>73.10486093327324</v>
      </c>
      <c r="I248" s="376" t="n">
        <v>101.0297792053223</v>
      </c>
      <c r="J248" s="376" t="n">
        <v>117.1255480194092</v>
      </c>
      <c r="K248" s="94" t="n">
        <v>0.3543895709582314</v>
      </c>
      <c r="L248" s="94" t="n">
        <v>-0.08929427455389727</v>
      </c>
      <c r="M248" s="94" t="n">
        <v>-0.3957318141696693</v>
      </c>
      <c r="N248" t="n">
        <v>46.94153241693387</v>
      </c>
      <c r="O248" t="n">
        <v>-0.2065278171411298</v>
      </c>
      <c r="P248" s="143">
        <f>MAX($E$2:E248)</f>
        <v/>
      </c>
      <c r="Q248" s="144">
        <f>E248/P248-1</f>
        <v/>
      </c>
      <c r="R248" s="94" t="n">
        <v>0.007755025072844202</v>
      </c>
    </row>
    <row r="249">
      <c r="A249" s="375" t="n">
        <v>44824</v>
      </c>
      <c r="B249" s="376" t="n">
        <v>95.62620185362053</v>
      </c>
      <c r="C249" s="376" t="n">
        <v>96.19727205173967</v>
      </c>
      <c r="D249" s="376" t="n">
        <v>93.68272906543095</v>
      </c>
      <c r="E249" s="376" t="n">
        <v>94.33669281005859</v>
      </c>
      <c r="F249" s="93" t="n">
        <v>10006600</v>
      </c>
      <c r="G249" s="94" t="n">
        <v>-0.04467858058397078</v>
      </c>
      <c r="H249" s="95" t="n">
        <v>69.83863951298601</v>
      </c>
      <c r="I249" s="376" t="n">
        <v>100.9857708740234</v>
      </c>
      <c r="J249" s="376" t="n">
        <v>116.8216547775269</v>
      </c>
      <c r="K249" s="94" t="n">
        <v>0.3773051094152373</v>
      </c>
      <c r="L249" s="94" t="n">
        <v>-0.1299833136965247</v>
      </c>
      <c r="M249" s="94" t="n">
        <v>-0.4227296590046196</v>
      </c>
      <c r="N249" t="n">
        <v>39.25352301781153</v>
      </c>
      <c r="O249" t="n">
        <v>-0.3910207656781783</v>
      </c>
      <c r="P249" s="143">
        <f>MAX($E$2:E249)</f>
        <v/>
      </c>
      <c r="Q249" s="144">
        <f>E249/P249-1</f>
        <v/>
      </c>
      <c r="R249" s="94" t="n">
        <v>-0.0114785382736099</v>
      </c>
    </row>
    <row r="250">
      <c r="A250" s="375" t="n">
        <v>44825</v>
      </c>
      <c r="B250" s="376" t="n">
        <v>94.56695969590814</v>
      </c>
      <c r="C250" s="376" t="n">
        <v>95.45119263979159</v>
      </c>
      <c r="D250" s="376" t="n">
        <v>91.89583539176051</v>
      </c>
      <c r="E250" s="376" t="n">
        <v>91.91426086425781</v>
      </c>
      <c r="F250" s="93" t="n">
        <v>6279300</v>
      </c>
      <c r="G250" s="94" t="n">
        <v>-0.02567857610482704</v>
      </c>
      <c r="H250" s="95" t="n">
        <v>68.04528269319422</v>
      </c>
      <c r="I250" s="376" t="n">
        <v>100.9181118774414</v>
      </c>
      <c r="J250" s="376" t="n">
        <v>116.503158531189</v>
      </c>
      <c r="K250" s="94" t="n">
        <v>0.3845926898285678</v>
      </c>
      <c r="L250" s="94" t="n">
        <v>-0.1523241033882378</v>
      </c>
      <c r="M250" s="94" t="n">
        <v>-0.4375531393889289</v>
      </c>
      <c r="N250" t="n">
        <v>35.78777407892166</v>
      </c>
      <c r="O250" t="n">
        <v>-0.6313531232249718</v>
      </c>
      <c r="P250" s="143">
        <f>MAX($E$2:E250)</f>
        <v/>
      </c>
      <c r="Q250" s="144">
        <f>E250/P250-1</f>
        <v/>
      </c>
      <c r="R250" s="94" t="n">
        <v>-0.01744384698714574</v>
      </c>
    </row>
    <row r="251">
      <c r="A251" s="375" t="n">
        <v>44826</v>
      </c>
      <c r="B251" s="376" t="n">
        <v>91.91425855623642</v>
      </c>
      <c r="C251" s="376" t="n">
        <v>92.30110914186037</v>
      </c>
      <c r="D251" s="376" t="n">
        <v>90.1089487960661</v>
      </c>
      <c r="E251" s="376" t="n">
        <v>90.77212524414062</v>
      </c>
      <c r="F251" s="93" t="n">
        <v>9638800</v>
      </c>
      <c r="G251" s="94" t="n">
        <v>-0.0124260980763794</v>
      </c>
      <c r="H251" s="95" t="n">
        <v>67.19974533681363</v>
      </c>
      <c r="I251" s="376" t="n">
        <v>100.8028121948242</v>
      </c>
      <c r="J251" s="376" t="n">
        <v>116.1850301742554</v>
      </c>
      <c r="K251" s="94" t="n">
        <v>0.3830810575311183</v>
      </c>
      <c r="L251" s="94" t="n">
        <v>-0.1628574072165183</v>
      </c>
      <c r="M251" s="94" t="n">
        <v>-0.4445421592416338</v>
      </c>
      <c r="N251" t="n">
        <v>34.25224422498454</v>
      </c>
      <c r="O251" t="n">
        <v>-0.8109414192600322</v>
      </c>
      <c r="P251" s="143">
        <f>MAX($E$2:E251)</f>
        <v/>
      </c>
      <c r="Q251" s="144">
        <f>E251/P251-1</f>
        <v/>
      </c>
      <c r="R251" s="94" t="n">
        <v>-0.008399860798656622</v>
      </c>
    </row>
    <row r="252">
      <c r="A252" s="375" t="n">
        <v>44827</v>
      </c>
      <c r="B252" s="376" t="n">
        <v>89.27077060842178</v>
      </c>
      <c r="C252" s="376" t="n">
        <v>89.84184081077812</v>
      </c>
      <c r="D252" s="376" t="n">
        <v>87.81546743378591</v>
      </c>
      <c r="E252" s="376" t="n">
        <v>89.36287689208984</v>
      </c>
      <c r="F252" s="93" t="n">
        <v>9026500</v>
      </c>
      <c r="G252" s="94" t="n">
        <v>-0.01552512236835335</v>
      </c>
      <c r="H252" s="95" t="n">
        <v>66.15646106733742</v>
      </c>
      <c r="I252" s="376" t="n">
        <v>100.6940446472168</v>
      </c>
      <c r="J252" s="376" t="n">
        <v>115.8489783477783</v>
      </c>
      <c r="K252" s="94" t="n">
        <v>0.3754755660961449</v>
      </c>
      <c r="L252" s="94" t="n">
        <v>-0.1758541484092425</v>
      </c>
      <c r="M252" s="94" t="n">
        <v>-0.4531657101898687</v>
      </c>
      <c r="N252" t="n">
        <v>32.40473508523827</v>
      </c>
      <c r="O252" t="n">
        <v>-0.9582404101107382</v>
      </c>
      <c r="P252" s="143">
        <f>MAX($E$2:E252)</f>
        <v/>
      </c>
      <c r="Q252" s="144">
        <f>E252/P252-1</f>
        <v/>
      </c>
      <c r="R252" s="94" t="n">
        <v>-0.01675478957051069</v>
      </c>
    </row>
    <row r="253">
      <c r="A253" s="375" t="n">
        <v>44830</v>
      </c>
      <c r="B253" s="376" t="n">
        <v>88.50627650752028</v>
      </c>
      <c r="C253" s="376" t="n">
        <v>90.01684909814963</v>
      </c>
      <c r="D253" s="376" t="n">
        <v>88.15626981312055</v>
      </c>
      <c r="E253" s="376" t="n">
        <v>88.47864532470703</v>
      </c>
      <c r="F253" s="93" t="n">
        <v>8521600</v>
      </c>
      <c r="G253" s="94" t="n">
        <v>-0.009894842222353373</v>
      </c>
      <c r="H253" s="95" t="n">
        <v>65.50185332308685</v>
      </c>
      <c r="I253" s="376" t="n">
        <v>100.5404069519043</v>
      </c>
      <c r="J253" s="376" t="n">
        <v>115.5132582473755</v>
      </c>
      <c r="K253" s="94" t="n">
        <v>0.3504144462005412</v>
      </c>
      <c r="L253" s="94" t="n">
        <v>-0.1840089415789402</v>
      </c>
      <c r="M253" s="94" t="n">
        <v>-0.4585765492093126</v>
      </c>
      <c r="N253" t="n">
        <v>31.26521459069362</v>
      </c>
      <c r="O253" t="n">
        <v>-1.041890065129898</v>
      </c>
      <c r="P253" s="143">
        <f>MAX($E$2:E253)</f>
        <v/>
      </c>
      <c r="Q253" s="144">
        <f>E253/P253-1</f>
        <v/>
      </c>
      <c r="R253" s="94" t="n">
        <v>-0.009892578958453302</v>
      </c>
    </row>
    <row r="254">
      <c r="A254" s="375" t="n">
        <v>44831</v>
      </c>
      <c r="B254" s="376" t="n">
        <v>89.40894492363037</v>
      </c>
      <c r="C254" s="376" t="n">
        <v>90.02606483271138</v>
      </c>
      <c r="D254" s="376" t="n">
        <v>87.50231579734699</v>
      </c>
      <c r="E254" s="376" t="n">
        <v>88.69050598144531</v>
      </c>
      <c r="F254" s="93" t="n">
        <v>9890300</v>
      </c>
      <c r="G254" s="94" t="n">
        <v>0.002394483504587708</v>
      </c>
      <c r="H254" s="95" t="n">
        <v>65.6586964303889</v>
      </c>
      <c r="I254" s="376" t="n">
        <v>100.4049661254883</v>
      </c>
      <c r="J254" s="376" t="n">
        <v>115.1884238815308</v>
      </c>
      <c r="K254" s="94" t="n">
        <v>0.3515166483273558</v>
      </c>
      <c r="L254" s="94" t="n">
        <v>-0.1820550644496599</v>
      </c>
      <c r="M254" s="94" t="n">
        <v>-0.4572801196873973</v>
      </c>
      <c r="N254" t="n">
        <v>31.88328273075557</v>
      </c>
      <c r="O254" t="n">
        <v>-1.008935773118566</v>
      </c>
      <c r="P254" s="143">
        <f>MAX($E$2:E254)</f>
        <v/>
      </c>
      <c r="Q254" s="144">
        <f>E254/P254-1</f>
        <v/>
      </c>
      <c r="R254" s="94" t="n">
        <v>-0.002552776632044673</v>
      </c>
    </row>
    <row r="255">
      <c r="A255" s="375" t="n">
        <v>44832</v>
      </c>
      <c r="B255" s="376" t="n">
        <v>89.44578457873014</v>
      </c>
      <c r="C255" s="376" t="n">
        <v>91.58268285513532</v>
      </c>
      <c r="D255" s="376" t="n">
        <v>89.12340904662884</v>
      </c>
      <c r="E255" s="376" t="n">
        <v>90.91029357910156</v>
      </c>
      <c r="F255" s="93" t="n">
        <v>9423300</v>
      </c>
      <c r="G255" s="94" t="n">
        <v>0.02502846920414048</v>
      </c>
      <c r="H255" s="95" t="n">
        <v>67.30203309198089</v>
      </c>
      <c r="I255" s="376" t="n">
        <v>100.2174855041504</v>
      </c>
      <c r="J255" s="376" t="n">
        <v>114.8703007888794</v>
      </c>
      <c r="K255" s="94" t="n">
        <v>0.3674057424195169</v>
      </c>
      <c r="L255" s="94" t="n">
        <v>-0.1615831548195557</v>
      </c>
      <c r="M255" s="94" t="n">
        <v>-0.4436966718765185</v>
      </c>
      <c r="N255" t="n">
        <v>38.15793350339266</v>
      </c>
      <c r="O255" t="n">
        <v>-0.7741831293443737</v>
      </c>
      <c r="P255" s="143">
        <f>MAX($E$2:E255)</f>
        <v/>
      </c>
      <c r="Q255" s="144">
        <f>E255/P255-1</f>
        <v/>
      </c>
      <c r="R255" s="94" t="n">
        <v>0.01967636501913117</v>
      </c>
    </row>
    <row r="256">
      <c r="A256" s="375" t="n">
        <v>44833</v>
      </c>
      <c r="B256" s="376" t="n">
        <v>90.36685956540234</v>
      </c>
      <c r="C256" s="376" t="n">
        <v>90.36685956540234</v>
      </c>
      <c r="D256" s="376" t="n">
        <v>87.02335278748262</v>
      </c>
      <c r="E256" s="376" t="n">
        <v>87.80626678466797</v>
      </c>
      <c r="F256" s="93" t="n">
        <v>19339200</v>
      </c>
      <c r="G256" s="94" t="n">
        <v>-0.03414384303723272</v>
      </c>
      <c r="H256" s="95" t="n">
        <v>65.00408303800165</v>
      </c>
      <c r="I256" s="376" t="n">
        <v>99.93265624999999</v>
      </c>
      <c r="J256" s="376" t="n">
        <v>114.5468039703369</v>
      </c>
      <c r="K256" s="94" t="n">
        <v>0.3816244099251259</v>
      </c>
      <c r="L256" s="94" t="n">
        <v>-0.1902099279811685</v>
      </c>
      <c r="M256" s="94" t="n">
        <v>-0.4626910053930569</v>
      </c>
      <c r="N256" t="n">
        <v>33.50953854995873</v>
      </c>
      <c r="O256" t="n">
        <v>-0.7632421868150754</v>
      </c>
      <c r="P256" s="143">
        <f>MAX($E$2:E256)</f>
        <v/>
      </c>
      <c r="Q256" s="144">
        <f>E256/P256-1</f>
        <v/>
      </c>
      <c r="R256" s="94" t="n">
        <v>-0.02088899568349323</v>
      </c>
    </row>
    <row r="257">
      <c r="A257" s="375" t="n">
        <v>44834</v>
      </c>
      <c r="B257" s="376" t="n">
        <v>76.72571540247932</v>
      </c>
      <c r="C257" s="376" t="n">
        <v>79.3968330281574</v>
      </c>
      <c r="D257" s="376" t="n">
        <v>75.98885100606212</v>
      </c>
      <c r="E257" s="376" t="n">
        <v>76.55992126464844</v>
      </c>
      <c r="F257" s="93" t="n">
        <v>48176100</v>
      </c>
      <c r="G257" s="94" t="n">
        <v>-0.1280813537785356</v>
      </c>
      <c r="H257" s="95" t="n">
        <v>56.67827208136207</v>
      </c>
      <c r="I257" s="376" t="n">
        <v>99.4135317993164</v>
      </c>
      <c r="J257" s="376" t="n">
        <v>114.1736569213867</v>
      </c>
      <c r="K257" s="94" t="n">
        <v>0.5787569207147035</v>
      </c>
      <c r="L257" s="94" t="n">
        <v>-0.2939289366817582</v>
      </c>
      <c r="M257" s="94" t="n">
        <v>-0.531510268819698</v>
      </c>
      <c r="N257" t="n">
        <v>22.71335757050896</v>
      </c>
      <c r="O257" t="n">
        <v>-1.411039800753279</v>
      </c>
      <c r="P257" s="143">
        <f>MAX($E$2:E257)</f>
        <v/>
      </c>
      <c r="Q257" s="144">
        <f>E257/P257-1</f>
        <v/>
      </c>
      <c r="R257" s="94" t="n">
        <v>-0.01546349417716875</v>
      </c>
    </row>
    <row r="258">
      <c r="A258" s="375" t="n">
        <v>44837</v>
      </c>
      <c r="B258" s="376" t="n">
        <v>76.56912452720846</v>
      </c>
      <c r="C258" s="376" t="n">
        <v>79.64552520256049</v>
      </c>
      <c r="D258" s="376" t="n">
        <v>75.73094815465548</v>
      </c>
      <c r="E258" s="376" t="n">
        <v>78.65997314453125</v>
      </c>
      <c r="F258" s="93" t="n">
        <v>19108200</v>
      </c>
      <c r="G258" s="94" t="n">
        <v>0.02743017293112748</v>
      </c>
      <c r="H258" s="95" t="n">
        <v>58.23296688599132</v>
      </c>
      <c r="I258" s="376" t="n">
        <v>98.98233047485351</v>
      </c>
      <c r="J258" s="376" t="n">
        <v>113.8178656005859</v>
      </c>
      <c r="K258" s="94" t="n">
        <v>0.5947201343692504</v>
      </c>
      <c r="L258" s="94" t="n">
        <v>-0.2745612853132738</v>
      </c>
      <c r="M258" s="94" t="n">
        <v>-0.5186595144769648</v>
      </c>
      <c r="N258" t="n">
        <v>27.41604000311678</v>
      </c>
      <c r="O258" t="n">
        <v>-1.582811411067456</v>
      </c>
      <c r="P258" s="143">
        <f>MAX($E$2:E258)</f>
        <v/>
      </c>
      <c r="Q258" s="144">
        <f>E258/P258-1</f>
        <v/>
      </c>
      <c r="R258" s="94" t="n">
        <v>0.02640117460538582</v>
      </c>
    </row>
    <row r="259">
      <c r="A259" s="375" t="n">
        <v>44838</v>
      </c>
      <c r="B259" s="376" t="n">
        <v>80.77844959773486</v>
      </c>
      <c r="C259" s="376" t="n">
        <v>82.04032760987262</v>
      </c>
      <c r="D259" s="376" t="n">
        <v>80.23501754412518</v>
      </c>
      <c r="E259" s="376" t="n">
        <v>81.64426422119141</v>
      </c>
      <c r="F259" s="93" t="n">
        <v>15114800</v>
      </c>
      <c r="G259" s="94" t="n">
        <v>0.03793913164929208</v>
      </c>
      <c r="H259" s="95" t="n">
        <v>60.44227508300781</v>
      </c>
      <c r="I259" s="376" t="n">
        <v>98.60787567138672</v>
      </c>
      <c r="J259" s="376" t="n">
        <v>113.4823888015747</v>
      </c>
      <c r="K259" s="94" t="n">
        <v>0.6185211662366485</v>
      </c>
      <c r="L259" s="94" t="n">
        <v>-0.2470387704132808</v>
      </c>
      <c r="M259" s="94" t="n">
        <v>-0.5003978744285722</v>
      </c>
      <c r="N259" t="n">
        <v>33.5991984226732</v>
      </c>
      <c r="O259" t="n">
        <v>-1.387176965644485</v>
      </c>
      <c r="P259" s="143">
        <f>MAX($E$2:E259)</f>
        <v/>
      </c>
      <c r="Q259" s="144">
        <f>E259/P259-1</f>
        <v/>
      </c>
      <c r="R259" s="94" t="n">
        <v>0.0309864709267087</v>
      </c>
    </row>
    <row r="260">
      <c r="A260" s="375" t="n">
        <v>44839</v>
      </c>
      <c r="B260" s="376" t="n">
        <v>80.58502205323585</v>
      </c>
      <c r="C260" s="376" t="n">
        <v>84.46275524960187</v>
      </c>
      <c r="D260" s="376" t="n">
        <v>80.27185925684856</v>
      </c>
      <c r="E260" s="376" t="n">
        <v>83.91011047363281</v>
      </c>
      <c r="F260" s="93" t="n">
        <v>12732700</v>
      </c>
      <c r="G260" s="94" t="n">
        <v>0.02775266914406571</v>
      </c>
      <c r="H260" s="95" t="n">
        <v>62.11970954570114</v>
      </c>
      <c r="I260" s="376" t="n">
        <v>98.35368270874024</v>
      </c>
      <c r="J260" s="376" t="n">
        <v>113.1644571304321</v>
      </c>
      <c r="K260" s="94" t="n">
        <v>0.6153591220141471</v>
      </c>
      <c r="L260" s="94" t="n">
        <v>-0.2261420865302517</v>
      </c>
      <c r="M260" s="94" t="n">
        <v>-0.4865325819339164</v>
      </c>
      <c r="N260" t="n">
        <v>37.92308024155437</v>
      </c>
      <c r="O260" t="n">
        <v>-1.014202816585042</v>
      </c>
      <c r="P260" s="143">
        <f>MAX($E$2:E260)</f>
        <v/>
      </c>
      <c r="Q260" s="144">
        <f>E260/P260-1</f>
        <v/>
      </c>
      <c r="R260" s="94" t="n">
        <v>-0.002328112986911046</v>
      </c>
    </row>
    <row r="261">
      <c r="A261" s="375" t="n">
        <v>44840</v>
      </c>
      <c r="B261" s="376" t="n">
        <v>83.34823396689288</v>
      </c>
      <c r="C261" s="376" t="n">
        <v>85.32855040449421</v>
      </c>
      <c r="D261" s="376" t="n">
        <v>82.72190148958776</v>
      </c>
      <c r="E261" s="376" t="n">
        <v>83.05348968505859</v>
      </c>
      <c r="F261" s="93" t="n">
        <v>9951900</v>
      </c>
      <c r="G261" s="94" t="n">
        <v>-0.01020879109488715</v>
      </c>
      <c r="H261" s="95" t="n">
        <v>61.48554240807401</v>
      </c>
      <c r="I261" s="376" t="n">
        <v>98.03349639892578</v>
      </c>
      <c r="J261" s="376" t="n">
        <v>112.8622606658936</v>
      </c>
      <c r="K261" s="94" t="n">
        <v>0.6141974232910787</v>
      </c>
      <c r="L261" s="94" t="n">
        <v>-0.2340422403059896</v>
      </c>
      <c r="M261" s="94" t="n">
        <v>-0.4917744635389841</v>
      </c>
      <c r="N261" t="n">
        <v>36.94362882069476</v>
      </c>
      <c r="O261" t="n">
        <v>-0.7465844766656584</v>
      </c>
      <c r="P261" s="143">
        <f>MAX($E$2:E261)</f>
        <v/>
      </c>
      <c r="Q261" s="144">
        <f>E261/P261-1</f>
        <v/>
      </c>
      <c r="R261" s="94" t="n">
        <v>-0.01031586272405938</v>
      </c>
    </row>
    <row r="262">
      <c r="A262" s="375" t="n">
        <v>44841</v>
      </c>
      <c r="B262" s="376" t="n">
        <v>81.55214275105374</v>
      </c>
      <c r="C262" s="376" t="n">
        <v>81.75478077647351</v>
      </c>
      <c r="D262" s="376" t="n">
        <v>79.84815203396874</v>
      </c>
      <c r="E262" s="376" t="n">
        <v>80.28105926513672</v>
      </c>
      <c r="F262" s="93" t="n">
        <v>8554700</v>
      </c>
      <c r="G262" s="94" t="n">
        <v>-0.03338126345364922</v>
      </c>
      <c r="H262" s="95" t="n">
        <v>59.43307731835957</v>
      </c>
      <c r="I262" s="376" t="n">
        <v>97.57758972167969</v>
      </c>
      <c r="J262" s="376" t="n">
        <v>112.5020976638794</v>
      </c>
      <c r="K262" s="94" t="n">
        <v>0.6100711447982915</v>
      </c>
      <c r="L262" s="94" t="n">
        <v>-0.2596108780767022</v>
      </c>
      <c r="M262" s="94" t="n">
        <v>-0.5087396740654615</v>
      </c>
      <c r="N262" t="n">
        <v>33.89263479863931</v>
      </c>
      <c r="O262" t="n">
        <v>-0.6795909903821196</v>
      </c>
      <c r="P262" s="143">
        <f>MAX($E$2:E262)</f>
        <v/>
      </c>
      <c r="Q262" s="144">
        <f>E262/P262-1</f>
        <v/>
      </c>
      <c r="R262" s="94" t="n">
        <v>-0.02789377263981185</v>
      </c>
    </row>
    <row r="263">
      <c r="A263" s="375" t="n">
        <v>44844</v>
      </c>
      <c r="B263" s="376" t="n">
        <v>80.83370408172003</v>
      </c>
      <c r="C263" s="376" t="n">
        <v>80.85212252621538</v>
      </c>
      <c r="D263" s="376" t="n">
        <v>78.35600517521591</v>
      </c>
      <c r="E263" s="376" t="n">
        <v>79.84815216064453</v>
      </c>
      <c r="F263" s="93" t="n">
        <v>7991200</v>
      </c>
      <c r="G263" s="94" t="n">
        <v>-0.00539239402736913</v>
      </c>
      <c r="H263" s="95" t="n">
        <v>59.11259074719987</v>
      </c>
      <c r="I263" s="376" t="n">
        <v>97.06361312866211</v>
      </c>
      <c r="J263" s="376" t="n">
        <v>112.1452087402344</v>
      </c>
      <c r="K263" s="94" t="n">
        <v>0.60399070423664</v>
      </c>
      <c r="L263" s="94" t="n">
        <v>-0.2636033479556906</v>
      </c>
      <c r="M263" s="94" t="n">
        <v>-0.5113887433129143</v>
      </c>
      <c r="N263" t="n">
        <v>33.42840164026774</v>
      </c>
      <c r="O263" t="n">
        <v>-0.591005347088795</v>
      </c>
      <c r="P263" s="143">
        <f>MAX($E$2:E263)</f>
        <v/>
      </c>
      <c r="Q263" s="144">
        <f>E263/P263-1</f>
        <v/>
      </c>
      <c r="R263" s="94" t="n">
        <v>-0.007635220409965893</v>
      </c>
    </row>
    <row r="264">
      <c r="A264" s="375" t="n">
        <v>44845</v>
      </c>
      <c r="B264" s="376" t="n">
        <v>79.24946541652928</v>
      </c>
      <c r="C264" s="376" t="n">
        <v>81.28504473024206</v>
      </c>
      <c r="D264" s="376" t="n">
        <v>78.98235224496608</v>
      </c>
      <c r="E264" s="376" t="n">
        <v>81.04556274414062</v>
      </c>
      <c r="F264" s="93" t="n">
        <v>11903200</v>
      </c>
      <c r="G264" s="94" t="n">
        <v>0.01499609635407784</v>
      </c>
      <c r="H264" s="95" t="n">
        <v>59.99904885378405</v>
      </c>
      <c r="I264" s="376" t="n">
        <v>96.58497344970704</v>
      </c>
      <c r="J264" s="376" t="n">
        <v>111.7932558441162</v>
      </c>
      <c r="K264" s="94" t="n">
        <v>0.5844022459724633</v>
      </c>
      <c r="L264" s="94" t="n">
        <v>-0.2525602728068138</v>
      </c>
      <c r="M264" s="94" t="n">
        <v>-0.5040614818279476</v>
      </c>
      <c r="N264" t="n">
        <v>36.03807073602879</v>
      </c>
      <c r="O264" t="n">
        <v>-0.3881398770314712</v>
      </c>
      <c r="P264" s="143">
        <f>MAX($E$2:E264)</f>
        <v/>
      </c>
      <c r="Q264" s="144">
        <f>E264/P264-1</f>
        <v/>
      </c>
      <c r="R264" s="94" t="n">
        <v>-0.006333087399748694</v>
      </c>
    </row>
    <row r="265">
      <c r="A265" s="375" t="n">
        <v>44846</v>
      </c>
      <c r="B265" s="376" t="n">
        <v>81.05476967305835</v>
      </c>
      <c r="C265" s="376" t="n">
        <v>81.86531483997558</v>
      </c>
      <c r="D265" s="376" t="n">
        <v>80.41922434394435</v>
      </c>
      <c r="E265" s="376" t="n">
        <v>81.52452087402344</v>
      </c>
      <c r="F265" s="93" t="n">
        <v>8772900</v>
      </c>
      <c r="G265" s="94" t="n">
        <v>0.00590973908583825</v>
      </c>
      <c r="H265" s="95" t="n">
        <v>60.35362757790838</v>
      </c>
      <c r="I265" s="376" t="n">
        <v>96.16238571166993</v>
      </c>
      <c r="J265" s="376" t="n">
        <v>111.4349681091309</v>
      </c>
      <c r="K265" s="94" t="n">
        <v>0.5819182479710778</v>
      </c>
      <c r="L265" s="94" t="n">
        <v>-0.2481430990367121</v>
      </c>
      <c r="M265" s="94" t="n">
        <v>-0.5011306145829335</v>
      </c>
      <c r="N265" t="n">
        <v>37.10021801003475</v>
      </c>
      <c r="O265" t="n">
        <v>-0.1692458765476381</v>
      </c>
      <c r="P265" s="143">
        <f>MAX($E$2:E265)</f>
        <v/>
      </c>
      <c r="Q265" s="144">
        <f>E265/P265-1</f>
        <v/>
      </c>
      <c r="R265" s="94" t="n">
        <v>-0.00329858615335954</v>
      </c>
    </row>
    <row r="266">
      <c r="A266" s="375" t="n">
        <v>44847</v>
      </c>
      <c r="B266" s="376" t="n">
        <v>79.57184105410597</v>
      </c>
      <c r="C266" s="376" t="n">
        <v>82.72192269118558</v>
      </c>
      <c r="D266" s="376" t="n">
        <v>79.25867824881891</v>
      </c>
      <c r="E266" s="376" t="n">
        <v>82.49165344238281</v>
      </c>
      <c r="F266" s="93" t="n">
        <v>9335000</v>
      </c>
      <c r="G266" s="94" t="n">
        <v>0.0118630880376942</v>
      </c>
      <c r="H266" s="95" t="n">
        <v>61.06960797525931</v>
      </c>
      <c r="I266" s="376" t="n">
        <v>95.71303497314453</v>
      </c>
      <c r="J266" s="376" t="n">
        <v>111.086817855835</v>
      </c>
      <c r="K266" s="94" t="n">
        <v>0.5860589467600017</v>
      </c>
      <c r="L266" s="94" t="n">
        <v>-0.2392237544288367</v>
      </c>
      <c r="M266" s="94" t="n">
        <v>-0.4952124831444206</v>
      </c>
      <c r="N266" t="n">
        <v>39.29241356775206</v>
      </c>
      <c r="O266" t="n">
        <v>0.07975960885940836</v>
      </c>
      <c r="P266" s="143">
        <f>MAX($E$2:E266)</f>
        <v/>
      </c>
      <c r="Q266" s="144">
        <f>E266/P266-1</f>
        <v/>
      </c>
      <c r="R266" s="94" t="n">
        <v>0.0263911058362114</v>
      </c>
    </row>
    <row r="267">
      <c r="A267" s="375" t="n">
        <v>44848</v>
      </c>
      <c r="B267" s="376" t="n">
        <v>83.36667621925049</v>
      </c>
      <c r="C267" s="376" t="n">
        <v>83.7074701912896</v>
      </c>
      <c r="D267" s="376" t="n">
        <v>80.58501991143098</v>
      </c>
      <c r="E267" s="376" t="n">
        <v>80.64028930664062</v>
      </c>
      <c r="F267" s="93" t="n">
        <v>7811700</v>
      </c>
      <c r="G267" s="94" t="n">
        <v>-0.02244304797497232</v>
      </c>
      <c r="H267" s="95" t="n">
        <v>59.69901983365781</v>
      </c>
      <c r="I267" s="376" t="n">
        <v>95.22298339843751</v>
      </c>
      <c r="J267" s="376" t="n">
        <v>110.718624420166</v>
      </c>
      <c r="K267" s="94" t="n">
        <v>0.5881850728141347</v>
      </c>
      <c r="L267" s="94" t="n">
        <v>-0.2562978922064096</v>
      </c>
      <c r="M267" s="94" t="n">
        <v>-0.5065414536023775</v>
      </c>
      <c r="N267" t="n">
        <v>36.65853482365542</v>
      </c>
      <c r="O267" t="n">
        <v>0.1545334472369664</v>
      </c>
      <c r="P267" s="143">
        <f>MAX($E$2:E267)</f>
        <v/>
      </c>
      <c r="Q267" s="144">
        <f>E267/P267-1</f>
        <v/>
      </c>
      <c r="R267" s="94" t="n">
        <v>-0.02278857425310044</v>
      </c>
    </row>
    <row r="268">
      <c r="A268" s="375" t="n">
        <v>44851</v>
      </c>
      <c r="B268" s="376" t="n">
        <v>82.46402470364437</v>
      </c>
      <c r="C268" s="376" t="n">
        <v>83.53247742287556</v>
      </c>
      <c r="D268" s="376" t="n">
        <v>81.69952908839376</v>
      </c>
      <c r="E268" s="376" t="n">
        <v>82.86930084228516</v>
      </c>
      <c r="F268" s="93" t="n">
        <v>8451900</v>
      </c>
      <c r="G268" s="94" t="n">
        <v>0.02764141293155031</v>
      </c>
      <c r="H268" s="95" t="n">
        <v>61.34918509248877</v>
      </c>
      <c r="I268" s="376" t="n">
        <v>94.78871704101563</v>
      </c>
      <c r="J268" s="376" t="n">
        <v>110.367472038269</v>
      </c>
      <c r="K268" s="94" t="n">
        <v>0.5865000270409582</v>
      </c>
      <c r="L268" s="94" t="n">
        <v>-0.2357409151468226</v>
      </c>
      <c r="M268" s="94" t="n">
        <v>-0.4929015621567981</v>
      </c>
      <c r="N268" t="n">
        <v>41.72359894186514</v>
      </c>
      <c r="O268" t="n">
        <v>0.3762303263799103</v>
      </c>
      <c r="P268" s="143">
        <f>MAX($E$2:E268)</f>
        <v/>
      </c>
      <c r="Q268" s="144">
        <f>E268/P268-1</f>
        <v/>
      </c>
      <c r="R268" s="94" t="n">
        <v>0.02569685217245787</v>
      </c>
    </row>
    <row r="269">
      <c r="A269" s="375" t="n">
        <v>44852</v>
      </c>
      <c r="B269" s="376" t="n">
        <v>85.29172346639973</v>
      </c>
      <c r="C269" s="376" t="n">
        <v>85.57726209709891</v>
      </c>
      <c r="D269" s="376" t="n">
        <v>82.11401082581442</v>
      </c>
      <c r="E269" s="376" t="n">
        <v>82.60218048095703</v>
      </c>
      <c r="F269" s="93" t="n">
        <v>7364700</v>
      </c>
      <c r="G269" s="94" t="n">
        <v>-0.003223393447429945</v>
      </c>
      <c r="H269" s="95" t="n">
        <v>61.15143253125647</v>
      </c>
      <c r="I269" s="376" t="n">
        <v>94.34672012329102</v>
      </c>
      <c r="J269" s="376" t="n">
        <v>110.018731842041</v>
      </c>
      <c r="K269" s="94" t="n">
        <v>0.5703958946198144</v>
      </c>
      <c r="L269" s="94" t="n">
        <v>-0.2382044228730772</v>
      </c>
      <c r="M269" s="94" t="n">
        <v>-0.494536139938544</v>
      </c>
      <c r="N269" t="n">
        <v>41.29741306781527</v>
      </c>
      <c r="O269" t="n">
        <v>0.5182391930979398</v>
      </c>
      <c r="P269" s="143">
        <f>MAX($E$2:E269)</f>
        <v/>
      </c>
      <c r="Q269" s="144">
        <f>E269/P269-1</f>
        <v/>
      </c>
      <c r="R269" s="94" t="n">
        <v>0.01174966034796321</v>
      </c>
    </row>
    <row r="270">
      <c r="A270" s="375" t="n">
        <v>44853</v>
      </c>
      <c r="B270" s="376" t="n">
        <v>81.29424138625129</v>
      </c>
      <c r="C270" s="376" t="n">
        <v>82.65743113260405</v>
      </c>
      <c r="D270" s="376" t="n">
        <v>80.83370298029945</v>
      </c>
      <c r="E270" s="376" t="n">
        <v>81.57977294921875</v>
      </c>
      <c r="F270" s="93" t="n">
        <v>5102000</v>
      </c>
      <c r="G270" s="94" t="n">
        <v>-0.01237748841235475</v>
      </c>
      <c r="H270" s="95" t="n">
        <v>60.39453138370195</v>
      </c>
      <c r="I270" s="376" t="n">
        <v>93.95572967529297</v>
      </c>
      <c r="J270" s="376" t="n">
        <v>109.6740203094482</v>
      </c>
      <c r="K270" s="94" t="n">
        <v>0.5662399382060482</v>
      </c>
      <c r="L270" s="94" t="n">
        <v>-0.2476335388015488</v>
      </c>
      <c r="M270" s="94" t="n">
        <v>-0.5007925130093187</v>
      </c>
      <c r="N270" t="n">
        <v>39.62889475068501</v>
      </c>
      <c r="O270" t="n">
        <v>0.5534749833123778</v>
      </c>
      <c r="P270" s="143">
        <f>MAX($E$2:E270)</f>
        <v/>
      </c>
      <c r="Q270" s="144">
        <f>E270/P270-1</f>
        <v/>
      </c>
      <c r="R270" s="94" t="n">
        <v>-0.007086385519014526</v>
      </c>
    </row>
    <row r="271">
      <c r="A271" s="375" t="n">
        <v>44854</v>
      </c>
      <c r="B271" s="376" t="n">
        <v>82.40875435848487</v>
      </c>
      <c r="C271" s="376" t="n">
        <v>83.43115031677468</v>
      </c>
      <c r="D271" s="376" t="n">
        <v>79.77447376668981</v>
      </c>
      <c r="E271" s="376" t="n">
        <v>79.97711181640625</v>
      </c>
      <c r="F271" s="93" t="n">
        <v>13500000</v>
      </c>
      <c r="G271" s="94" t="n">
        <v>-0.01964532475237601</v>
      </c>
      <c r="H271" s="95" t="n">
        <v>59.20806120140155</v>
      </c>
      <c r="I271" s="376" t="n">
        <v>93.47702896118165</v>
      </c>
      <c r="J271" s="376" t="n">
        <v>109.3134345245361</v>
      </c>
      <c r="K271" s="94" t="n">
        <v>0.5680207968471125</v>
      </c>
      <c r="L271" s="94" t="n">
        <v>-0.2624140222645883</v>
      </c>
      <c r="M271" s="94" t="n">
        <v>-0.5105996062100682</v>
      </c>
      <c r="N271" t="n">
        <v>37.0986169879257</v>
      </c>
      <c r="O271" t="n">
        <v>0.4816484486793975</v>
      </c>
      <c r="P271" s="143">
        <f>MAX($E$2:E271)</f>
        <v/>
      </c>
      <c r="Q271" s="144">
        <f>E271/P271-1</f>
        <v/>
      </c>
      <c r="R271" s="94" t="n">
        <v>-0.008385577831887869</v>
      </c>
    </row>
    <row r="272">
      <c r="A272" s="375" t="n">
        <v>44855</v>
      </c>
      <c r="B272" s="376" t="n">
        <v>80.15210767957319</v>
      </c>
      <c r="C272" s="376" t="n">
        <v>81.77320496963684</v>
      </c>
      <c r="D272" s="376" t="n">
        <v>79.86657609309512</v>
      </c>
      <c r="E272" s="376" t="n">
        <v>81.51530456542969</v>
      </c>
      <c r="F272" s="93" t="n">
        <v>7976300</v>
      </c>
      <c r="G272" s="94" t="n">
        <v>0.01923291194303789</v>
      </c>
      <c r="H272" s="95" t="n">
        <v>60.3468046288061</v>
      </c>
      <c r="I272" s="376" t="n">
        <v>93.01145797729492</v>
      </c>
      <c r="J272" s="376" t="n">
        <v>108.9794610595703</v>
      </c>
      <c r="K272" s="94" t="n">
        <v>0.5733949171852473</v>
      </c>
      <c r="L272" s="94" t="n">
        <v>-0.2482280961043837</v>
      </c>
      <c r="M272" s="94" t="n">
        <v>-0.5011870115314183</v>
      </c>
      <c r="N272" t="n">
        <v>40.99278844522296</v>
      </c>
      <c r="O272" t="n">
        <v>0.545826771496539</v>
      </c>
      <c r="P272" s="143">
        <f>MAX($E$2:E272)</f>
        <v/>
      </c>
      <c r="Q272" s="144">
        <f>E272/P272-1</f>
        <v/>
      </c>
      <c r="R272" s="94" t="n">
        <v>0.02430161253690666</v>
      </c>
    </row>
    <row r="273">
      <c r="A273" s="375" t="n">
        <v>44858</v>
      </c>
      <c r="B273" s="376" t="n">
        <v>80.86131922879356</v>
      </c>
      <c r="C273" s="376" t="n">
        <v>81.82844548635204</v>
      </c>
      <c r="D273" s="376" t="n">
        <v>79.43364762306717</v>
      </c>
      <c r="E273" s="376" t="n">
        <v>81.06395721435547</v>
      </c>
      <c r="F273" s="93" t="n">
        <v>8847100</v>
      </c>
      <c r="G273" s="94" t="n">
        <v>-0.005536964542798617</v>
      </c>
      <c r="H273" s="95" t="n">
        <v>60.01266651130521</v>
      </c>
      <c r="I273" s="376" t="n">
        <v>92.50067321777344</v>
      </c>
      <c r="J273" s="376" t="n">
        <v>108.6487609481811</v>
      </c>
      <c r="K273" s="94" t="n">
        <v>0.5730021928873016</v>
      </c>
      <c r="L273" s="94" t="n">
        <v>-0.2523906304805258</v>
      </c>
      <c r="M273" s="94" t="n">
        <v>-0.5039489213620563</v>
      </c>
      <c r="N273" t="n">
        <v>40.20622635715138</v>
      </c>
      <c r="O273" t="n">
        <v>0.5636741194983328</v>
      </c>
      <c r="P273" s="143">
        <f>MAX($E$2:E273)</f>
        <v/>
      </c>
      <c r="Q273" s="144">
        <f>E273/P273-1</f>
        <v/>
      </c>
      <c r="R273" s="94" t="n">
        <v>0.01223642787093326</v>
      </c>
    </row>
    <row r="274">
      <c r="A274" s="375" t="n">
        <v>44859</v>
      </c>
      <c r="B274" s="376" t="n">
        <v>81.08240211741577</v>
      </c>
      <c r="C274" s="376" t="n">
        <v>84.67460359832978</v>
      </c>
      <c r="D274" s="376" t="n">
        <v>80.95345190765686</v>
      </c>
      <c r="E274" s="376" t="n">
        <v>84.48117828369141</v>
      </c>
      <c r="F274" s="93" t="n">
        <v>8639900</v>
      </c>
      <c r="G274" s="94" t="n">
        <v>0.04215462934161796</v>
      </c>
      <c r="H274" s="95" t="n">
        <v>62.54247822389141</v>
      </c>
      <c r="I274" s="376" t="n">
        <v>92.05364074707032</v>
      </c>
      <c r="J274" s="376" t="n">
        <v>108.353748626709</v>
      </c>
      <c r="K274" s="94" t="n">
        <v>0.5955595798860138</v>
      </c>
      <c r="L274" s="94" t="n">
        <v>-0.2208754346161117</v>
      </c>
      <c r="M274" s="94" t="n">
        <v>-0.483038072007564</v>
      </c>
      <c r="N274" t="n">
        <v>48.29535866974716</v>
      </c>
      <c r="O274" t="n">
        <v>0.7971447941638665</v>
      </c>
      <c r="P274" s="143">
        <f>MAX($E$2:E274)</f>
        <v/>
      </c>
      <c r="Q274" s="144">
        <f>E274/P274-1</f>
        <v/>
      </c>
      <c r="R274" s="94" t="n">
        <v>0.01596869718632177</v>
      </c>
    </row>
    <row r="275">
      <c r="A275" s="375" t="n">
        <v>44860</v>
      </c>
      <c r="B275" s="376" t="n">
        <v>83.6153552011491</v>
      </c>
      <c r="C275" s="376" t="n">
        <v>86.90359926993838</v>
      </c>
      <c r="D275" s="376" t="n">
        <v>83.54166736671056</v>
      </c>
      <c r="E275" s="376" t="n">
        <v>85.09828948974609</v>
      </c>
      <c r="F275" s="93" t="n">
        <v>8648200</v>
      </c>
      <c r="G275" s="94" t="n">
        <v>0.007304718264965482</v>
      </c>
      <c r="H275" s="95" t="n">
        <v>62.99933340690968</v>
      </c>
      <c r="I275" s="376" t="n">
        <v>91.58698852539062</v>
      </c>
      <c r="J275" s="376" t="n">
        <v>108.0916668319702</v>
      </c>
      <c r="K275" s="94" t="n">
        <v>0.5882784854367732</v>
      </c>
      <c r="L275" s="94" t="n">
        <v>-0.2151841491726686</v>
      </c>
      <c r="M275" s="94" t="n">
        <v>-0.4792618107698658</v>
      </c>
      <c r="N275" t="n">
        <v>49.62083501568089</v>
      </c>
      <c r="O275" t="n">
        <v>0.9730117499671422</v>
      </c>
      <c r="P275" s="143">
        <f>MAX($E$2:E275)</f>
        <v/>
      </c>
      <c r="Q275" s="144">
        <f>E275/P275-1</f>
        <v/>
      </c>
      <c r="R275" s="94" t="n">
        <v>-0.00753419115415177</v>
      </c>
    </row>
    <row r="276">
      <c r="A276" s="375" t="n">
        <v>44861</v>
      </c>
      <c r="B276" s="376" t="n">
        <v>85.54961891520621</v>
      </c>
      <c r="C276" s="376" t="n">
        <v>86.10227067037916</v>
      </c>
      <c r="D276" s="376" t="n">
        <v>83.09955804479269</v>
      </c>
      <c r="E276" s="376" t="n">
        <v>83.39430236816406</v>
      </c>
      <c r="F276" s="93" t="n">
        <v>8617900</v>
      </c>
      <c r="G276" s="94" t="n">
        <v>-0.02002375290736425</v>
      </c>
      <c r="H276" s="95" t="n">
        <v>61.73785032144107</v>
      </c>
      <c r="I276" s="376" t="n">
        <v>91.10499298095704</v>
      </c>
      <c r="J276" s="376" t="n">
        <v>107.821704826355</v>
      </c>
      <c r="K276" s="94" t="n">
        <v>0.5803212678489211</v>
      </c>
      <c r="L276" s="94" t="n">
        <v>-0.230899107847418</v>
      </c>
      <c r="M276" s="94" t="n">
        <v>-0.4896889436004384</v>
      </c>
      <c r="N276" t="n">
        <v>46.1061315035552</v>
      </c>
      <c r="O276" t="n">
        <v>0.9532098109683944</v>
      </c>
      <c r="P276" s="143">
        <f>MAX($E$2:E276)</f>
        <v/>
      </c>
      <c r="Q276" s="144">
        <f>E276/P276-1</f>
        <v/>
      </c>
      <c r="R276" s="94" t="n">
        <v>-0.005340036059630959</v>
      </c>
    </row>
    <row r="277">
      <c r="A277" s="375" t="n">
        <v>44862</v>
      </c>
      <c r="B277" s="376" t="n">
        <v>84.00221521820971</v>
      </c>
      <c r="C277" s="376" t="n">
        <v>86.47070173085737</v>
      </c>
      <c r="D277" s="376" t="n">
        <v>83.32062024130789</v>
      </c>
      <c r="E277" s="376" t="n">
        <v>86.42465209960938</v>
      </c>
      <c r="F277" s="93" t="n">
        <v>6022400</v>
      </c>
      <c r="G277" s="94" t="n">
        <v>0.03633761114838641</v>
      </c>
      <c r="H277" s="95" t="n">
        <v>63.98125631955887</v>
      </c>
      <c r="I277" s="376" t="n">
        <v>90.70252410888672</v>
      </c>
      <c r="J277" s="376" t="n">
        <v>107.5581652450562</v>
      </c>
      <c r="K277" s="94" t="n">
        <v>0.3564890918455364</v>
      </c>
      <c r="L277" s="94" t="n">
        <v>-0.2029518186945004</v>
      </c>
      <c r="M277" s="94" t="n">
        <v>-0.4711454588682688</v>
      </c>
      <c r="N277" t="n">
        <v>52.54380138252029</v>
      </c>
      <c r="O277" t="n">
        <v>1.111766209519981</v>
      </c>
      <c r="P277" s="143">
        <f>MAX($E$2:E277)</f>
        <v/>
      </c>
      <c r="Q277" s="144">
        <f>E277/P277-1</f>
        <v/>
      </c>
      <c r="R277" s="94" t="n">
        <v>0.02379078730942585</v>
      </c>
    </row>
    <row r="278">
      <c r="A278" s="375" t="n">
        <v>44865</v>
      </c>
      <c r="B278" s="376" t="n">
        <v>85.66014653080286</v>
      </c>
      <c r="C278" s="376" t="n">
        <v>86.47990436015351</v>
      </c>
      <c r="D278" s="376" t="n">
        <v>85.36540222167969</v>
      </c>
      <c r="E278" s="376" t="n">
        <v>85.36540222167969</v>
      </c>
      <c r="F278" s="93" t="n">
        <v>6426400</v>
      </c>
      <c r="G278" s="94" t="n">
        <v>-0.01225633950726046</v>
      </c>
      <c r="H278" s="95" t="n">
        <v>63.19708032000531</v>
      </c>
      <c r="I278" s="376" t="n">
        <v>90.33122116088867</v>
      </c>
      <c r="J278" s="376" t="n">
        <v>107.3013035964966</v>
      </c>
      <c r="K278" s="94" t="n">
        <v>0.3531324948109057</v>
      </c>
      <c r="L278" s="94" t="n">
        <v>-0.212720711808225</v>
      </c>
      <c r="M278" s="94" t="n">
        <v>-0.4776272796743357</v>
      </c>
      <c r="N278" t="n">
        <v>50.28280835752502</v>
      </c>
      <c r="O278" t="n">
        <v>1.11027973716019</v>
      </c>
      <c r="P278" s="143">
        <f>MAX($E$2:E278)</f>
        <v/>
      </c>
      <c r="Q278" s="144">
        <f>E278/P278-1</f>
        <v/>
      </c>
      <c r="R278" s="94" t="n">
        <v>-0.007223275763490578</v>
      </c>
    </row>
    <row r="279">
      <c r="A279" s="375" t="n">
        <v>44866</v>
      </c>
      <c r="B279" s="376" t="n">
        <v>88.13784232531441</v>
      </c>
      <c r="C279" s="376" t="n">
        <v>88.84706837804823</v>
      </c>
      <c r="D279" s="376" t="n">
        <v>85.63251227412341</v>
      </c>
      <c r="E279" s="376" t="n">
        <v>86.36936950683594</v>
      </c>
      <c r="F279" s="93" t="n">
        <v>7250700</v>
      </c>
      <c r="G279" s="94" t="n">
        <v>0.0117608218204035</v>
      </c>
      <c r="H279" s="95" t="n">
        <v>63.94032992121862</v>
      </c>
      <c r="I279" s="376" t="n">
        <v>90.03179794311524</v>
      </c>
      <c r="J279" s="376" t="n">
        <v>107.0559061813354</v>
      </c>
      <c r="K279" s="94" t="n">
        <v>0.3316628323149605</v>
      </c>
      <c r="L279" s="94" t="n">
        <v>-0.2034616603769075</v>
      </c>
      <c r="M279" s="94" t="n">
        <v>-0.4714837471867461</v>
      </c>
      <c r="N279" t="n">
        <v>52.37461738504376</v>
      </c>
      <c r="O279" t="n">
        <v>1.137698564385351</v>
      </c>
      <c r="P279" s="143">
        <f>MAX($E$2:E279)</f>
        <v/>
      </c>
      <c r="Q279" s="144">
        <f>E279/P279-1</f>
        <v/>
      </c>
      <c r="R279" s="94" t="n">
        <v>-0.004375951673780687</v>
      </c>
    </row>
    <row r="280">
      <c r="A280" s="375" t="n">
        <v>44867</v>
      </c>
      <c r="B280" s="376" t="n">
        <v>85.77989848999061</v>
      </c>
      <c r="C280" s="376" t="n">
        <v>86.9865141386652</v>
      </c>
      <c r="D280" s="376" t="n">
        <v>83.07193688821779</v>
      </c>
      <c r="E280" s="376" t="n">
        <v>83.17325592041016</v>
      </c>
      <c r="F280" s="93" t="n">
        <v>7176600</v>
      </c>
      <c r="G280" s="94" t="n">
        <v>-0.03700517445797513</v>
      </c>
      <c r="H280" s="95" t="n">
        <v>61.57420685758343</v>
      </c>
      <c r="I280" s="376" t="n">
        <v>89.6622068786621</v>
      </c>
      <c r="J280" s="376" t="n">
        <v>106.8001498413086</v>
      </c>
      <c r="K280" s="94" t="n">
        <v>0.3469285816114331</v>
      </c>
      <c r="L280" s="94" t="n">
        <v>-0.2329377005971259</v>
      </c>
      <c r="M280" s="94" t="n">
        <v>-0.4910415833259759</v>
      </c>
      <c r="N280" t="n">
        <v>45.77217897206951</v>
      </c>
      <c r="O280" t="n">
        <v>0.9111649389404233</v>
      </c>
      <c r="P280" s="143">
        <f>MAX($E$2:E280)</f>
        <v/>
      </c>
      <c r="Q280" s="144">
        <f>E280/P280-1</f>
        <v/>
      </c>
      <c r="R280" s="94" t="n">
        <v>-0.02509602032651759</v>
      </c>
    </row>
    <row r="281">
      <c r="A281" s="375" t="n">
        <v>44868</v>
      </c>
      <c r="B281" s="376" t="n">
        <v>82.86929460024186</v>
      </c>
      <c r="C281" s="376" t="n">
        <v>84.37986024124487</v>
      </c>
      <c r="D281" s="376" t="n">
        <v>81.71794840879082</v>
      </c>
      <c r="E281" s="376" t="n">
        <v>83.26535797119141</v>
      </c>
      <c r="F281" s="93" t="n">
        <v>6550300</v>
      </c>
      <c r="G281" s="94" t="n">
        <v>0.001107351753421693</v>
      </c>
      <c r="H281" s="95" t="n">
        <v>61.64239116351273</v>
      </c>
      <c r="I281" s="376" t="n">
        <v>89.28104858398437</v>
      </c>
      <c r="J281" s="376" t="n">
        <v>106.5532634353638</v>
      </c>
      <c r="K281" s="94" t="n">
        <v>0.344924537191682</v>
      </c>
      <c r="L281" s="94" t="n">
        <v>-0.2320882928148984</v>
      </c>
      <c r="M281" s="94" t="n">
        <v>-0.4904779873308532</v>
      </c>
      <c r="N281" t="n">
        <v>45.98349951540022</v>
      </c>
      <c r="O281" t="n">
        <v>0.7451036139030465</v>
      </c>
      <c r="P281" s="143">
        <f>MAX($E$2:E281)</f>
        <v/>
      </c>
      <c r="Q281" s="144">
        <f>E281/P281-1</f>
        <v/>
      </c>
      <c r="R281" s="94" t="n">
        <v>-0.01029695445356227</v>
      </c>
    </row>
    <row r="282">
      <c r="A282" s="375" t="n">
        <v>44869</v>
      </c>
      <c r="B282" s="376" t="n">
        <v>86.9957033509218</v>
      </c>
      <c r="C282" s="376" t="n">
        <v>90.4773796539428</v>
      </c>
      <c r="D282" s="376" t="n">
        <v>86.535164938207</v>
      </c>
      <c r="E282" s="376" t="n">
        <v>88.22994995117188</v>
      </c>
      <c r="F282" s="93" t="n">
        <v>12543300</v>
      </c>
      <c r="G282" s="94" t="n">
        <v>0.0596237391028589</v>
      </c>
      <c r="H282" s="95" t="n">
        <v>65.31774101192239</v>
      </c>
      <c r="I282" s="376" t="n">
        <v>88.96593475341797</v>
      </c>
      <c r="J282" s="376" t="n">
        <v>106.3420778274536</v>
      </c>
      <c r="K282" s="94" t="n">
        <v>0.3804490327673505</v>
      </c>
      <c r="L282" s="94" t="n">
        <v>-0.1863025255316629</v>
      </c>
      <c r="M282" s="94" t="n">
        <v>-0.4600983797803044</v>
      </c>
      <c r="N282" t="n">
        <v>55.94853528919019</v>
      </c>
      <c r="O282" t="n">
        <v>0.9349030466813066</v>
      </c>
      <c r="P282" s="143">
        <f>MAX($E$2:E282)</f>
        <v/>
      </c>
      <c r="Q282" s="144">
        <f>E282/P282-1</f>
        <v/>
      </c>
      <c r="R282" s="94" t="n">
        <v>0.01439298733562655</v>
      </c>
    </row>
    <row r="283">
      <c r="A283" s="375" t="n">
        <v>44872</v>
      </c>
      <c r="B283" s="376" t="n">
        <v>88.7089159514977</v>
      </c>
      <c r="C283" s="376" t="n">
        <v>89.22472380543759</v>
      </c>
      <c r="D283" s="376" t="n">
        <v>85.35619652355484</v>
      </c>
      <c r="E283" s="376" t="n">
        <v>86.0654296875</v>
      </c>
      <c r="F283" s="93" t="n">
        <v>9094500</v>
      </c>
      <c r="G283" s="94" t="n">
        <v>-0.02453271553332814</v>
      </c>
      <c r="H283" s="95" t="n">
        <v>63.7153194523973</v>
      </c>
      <c r="I283" s="376" t="n">
        <v>88.69827239990235</v>
      </c>
      <c r="J283" s="376" t="n">
        <v>106.1190639877319</v>
      </c>
      <c r="K283" s="94" t="n">
        <v>0.3932361462954913</v>
      </c>
      <c r="L283" s="94" t="n">
        <v>-0.2062647342029821</v>
      </c>
      <c r="M283" s="94" t="n">
        <v>-0.4693437633616583</v>
      </c>
      <c r="N283" t="n">
        <v>51.48862153447146</v>
      </c>
      <c r="O283" t="n">
        <v>0.8807053867563415</v>
      </c>
      <c r="P283" s="143">
        <f>MAX($E$2:E283)</f>
        <v/>
      </c>
      <c r="Q283" s="144">
        <f>E283/P283-1</f>
        <v/>
      </c>
      <c r="R283" s="94" t="n">
        <v>0.009565622211258118</v>
      </c>
    </row>
    <row r="284">
      <c r="A284" s="375" t="n">
        <v>44873</v>
      </c>
      <c r="B284" s="376" t="n">
        <v>86.98650509051978</v>
      </c>
      <c r="C284" s="376" t="n">
        <v>88.45101399526746</v>
      </c>
      <c r="D284" s="376" t="n">
        <v>85.60488973407448</v>
      </c>
      <c r="E284" s="376" t="n">
        <v>86.35095977783203</v>
      </c>
      <c r="F284" s="93" t="n">
        <v>7017800</v>
      </c>
      <c r="G284" s="94" t="n">
        <v>0.003317593270245389</v>
      </c>
      <c r="H284" s="95" t="n">
        <v>63.92670096742411</v>
      </c>
      <c r="I284" s="376" t="n">
        <v>88.44366806030274</v>
      </c>
      <c r="J284" s="376" t="n">
        <v>105.8835381317139</v>
      </c>
      <c r="K284" s="94" t="n">
        <v>0.3911015811322965</v>
      </c>
      <c r="L284" s="94" t="n">
        <v>-0.2036314434268175</v>
      </c>
      <c r="M284" s="94" t="n">
        <v>-0.4675832618021731</v>
      </c>
      <c r="N284" t="n">
        <v>52.03182909727379</v>
      </c>
      <c r="O284" t="n">
        <v>0.8307653911282118</v>
      </c>
      <c r="P284" s="143">
        <f>MAX($E$2:E284)</f>
        <v/>
      </c>
      <c r="Q284" s="144">
        <f>E284/P284-1</f>
        <v/>
      </c>
      <c r="R284" s="94" t="n">
        <v>0.005395438186156953</v>
      </c>
    </row>
    <row r="285">
      <c r="A285" s="375" t="n">
        <v>44874</v>
      </c>
      <c r="B285" s="376" t="n">
        <v>85.35620563616882</v>
      </c>
      <c r="C285" s="376" t="n">
        <v>86.48913346116132</v>
      </c>
      <c r="D285" s="376" t="n">
        <v>84.70224179616469</v>
      </c>
      <c r="E285" s="376" t="n">
        <v>84.83119201660156</v>
      </c>
      <c r="F285" s="93" t="n">
        <v>6550900</v>
      </c>
      <c r="G285" s="94" t="n">
        <v>-0.01759989425873898</v>
      </c>
      <c r="H285" s="95" t="n">
        <v>62.80159779008741</v>
      </c>
      <c r="I285" s="376" t="n">
        <v>88.15903579711915</v>
      </c>
      <c r="J285" s="376" t="n">
        <v>105.6427900695801</v>
      </c>
      <c r="K285" s="94" t="n">
        <v>0.3979913069289129</v>
      </c>
      <c r="L285" s="94" t="n">
        <v>-0.2108291699386154</v>
      </c>
      <c r="M285" s="94" t="n">
        <v>-0.4769537400960376</v>
      </c>
      <c r="N285" t="n">
        <v>48.89360277702979</v>
      </c>
      <c r="O285" t="n">
        <v>0.6690085803347087</v>
      </c>
      <c r="P285" s="143">
        <f>MAX($E$2:E285)</f>
        <v/>
      </c>
      <c r="Q285" s="144">
        <f>E285/P285-1</f>
        <v/>
      </c>
      <c r="R285" s="94" t="n">
        <v>-0.02060205015006278</v>
      </c>
    </row>
    <row r="286">
      <c r="A286" s="375" t="n">
        <v>44875</v>
      </c>
      <c r="B286" s="376" t="n">
        <v>88.72734747004988</v>
      </c>
      <c r="C286" s="376" t="n">
        <v>91.81295395803457</v>
      </c>
      <c r="D286" s="376" t="n">
        <v>88.63524117719028</v>
      </c>
      <c r="E286" s="376" t="n">
        <v>91.63794708251953</v>
      </c>
      <c r="F286" s="93" t="n">
        <v>9361000</v>
      </c>
      <c r="G286" s="94" t="n">
        <v>0.0802388237640923</v>
      </c>
      <c r="H286" s="95" t="n">
        <v>67.84072412726965</v>
      </c>
      <c r="I286" s="376" t="n">
        <v>88.03643890380859</v>
      </c>
      <c r="J286" s="376" t="n">
        <v>105.4428855514526</v>
      </c>
      <c r="K286" s="94" t="n">
        <v>0.4844351946652942</v>
      </c>
      <c r="L286" s="94" t="n">
        <v>-0.1399381990096721</v>
      </c>
      <c r="M286" s="94" t="n">
        <v>-0.434985123427136</v>
      </c>
      <c r="N286" t="n">
        <v>60.41064938723159</v>
      </c>
      <c r="O286" t="n">
        <v>0.9755011440314695</v>
      </c>
      <c r="P286" s="143">
        <f>MAX($E$2:E286)</f>
        <v/>
      </c>
      <c r="Q286" s="144">
        <f>E286/P286-1</f>
        <v/>
      </c>
      <c r="R286" s="94" t="n">
        <v>0.05495426827958672</v>
      </c>
    </row>
    <row r="287">
      <c r="A287" s="375" t="n">
        <v>44876</v>
      </c>
      <c r="B287" s="376" t="n">
        <v>92.39321787222565</v>
      </c>
      <c r="C287" s="376" t="n">
        <v>98.74864963192468</v>
      </c>
      <c r="D287" s="376" t="n">
        <v>92.23663649206891</v>
      </c>
      <c r="E287" s="376" t="n">
        <v>97.717041015625</v>
      </c>
      <c r="F287" s="93" t="n">
        <v>12597500</v>
      </c>
      <c r="G287" s="94" t="n">
        <v>0.06633817241269346</v>
      </c>
      <c r="H287" s="95" t="n">
        <v>72.34115378102643</v>
      </c>
      <c r="I287" s="376" t="n">
        <v>88.03468887329102</v>
      </c>
      <c r="J287" s="376" t="n">
        <v>105.2704057693481</v>
      </c>
      <c r="K287" s="94" t="n">
        <v>0.5174022834191614</v>
      </c>
      <c r="L287" s="94" t="n">
        <v>-0.06028332733902975</v>
      </c>
      <c r="M287" s="94" t="n">
        <v>-0.3975030691293086</v>
      </c>
      <c r="N287" t="n">
        <v>67.46290503579085</v>
      </c>
      <c r="O287" t="n">
        <v>1.510755499539085</v>
      </c>
      <c r="P287" s="143">
        <f>MAX($E$2:E287)</f>
        <v/>
      </c>
      <c r="Q287" s="144">
        <f>E287/P287-1</f>
        <v/>
      </c>
      <c r="R287" s="94" t="n">
        <v>0.009678243440022438</v>
      </c>
    </row>
    <row r="288">
      <c r="A288" s="375" t="n">
        <v>44879</v>
      </c>
      <c r="B288" s="376" t="n">
        <v>96.8972846210374</v>
      </c>
      <c r="C288" s="376" t="n">
        <v>98.03942500780835</v>
      </c>
      <c r="D288" s="376" t="n">
        <v>96.08673949932866</v>
      </c>
      <c r="E288" s="376" t="n">
        <v>96.15121459960938</v>
      </c>
      <c r="F288" s="93" t="n">
        <v>7134900</v>
      </c>
      <c r="G288" s="94" t="n">
        <v>-0.01602408750552786</v>
      </c>
      <c r="H288" s="95" t="n">
        <v>71.18195280258843</v>
      </c>
      <c r="I288" s="376" t="n">
        <v>88.00981979370117</v>
      </c>
      <c r="J288" s="376" t="n">
        <v>105.0842923355103</v>
      </c>
      <c r="K288" s="94" t="n">
        <v>0.5210191013801377</v>
      </c>
      <c r="L288" s="94" t="n">
        <v>-0.07534142953215262</v>
      </c>
      <c r="M288" s="94" t="n">
        <v>-0.4071575326713924</v>
      </c>
      <c r="N288" t="n">
        <v>64.28633955661692</v>
      </c>
      <c r="O288" t="n">
        <v>1.670010122388872</v>
      </c>
      <c r="P288" s="143">
        <f>MAX($E$2:E288)</f>
        <v/>
      </c>
      <c r="Q288" s="144">
        <f>E288/P288-1</f>
        <v/>
      </c>
      <c r="R288" s="94" t="n">
        <v>-0.008506377262449183</v>
      </c>
    </row>
    <row r="289">
      <c r="A289" s="375" t="n">
        <v>44880</v>
      </c>
      <c r="B289" s="376" t="n">
        <v>99.46709377830251</v>
      </c>
      <c r="C289" s="376" t="n">
        <v>100.6829150212851</v>
      </c>
      <c r="D289" s="376" t="n">
        <v>97.20124541761955</v>
      </c>
      <c r="E289" s="376" t="n">
        <v>98.28811645507812</v>
      </c>
      <c r="F289" s="93" t="n">
        <v>7242900</v>
      </c>
      <c r="G289" s="94" t="n">
        <v>0.0222243875375594</v>
      </c>
      <c r="H289" s="95" t="n">
        <v>72.76392810735341</v>
      </c>
      <c r="I289" s="376" t="n">
        <v>88.03855743408204</v>
      </c>
      <c r="J289" s="376" t="n">
        <v>104.8989914321899</v>
      </c>
      <c r="K289" s="94" t="n">
        <v>0.5216048661543687</v>
      </c>
      <c r="L289" s="94" t="n">
        <v>-0.05479145912214956</v>
      </c>
      <c r="M289" s="94" t="n">
        <v>-0.3939819719287586</v>
      </c>
      <c r="N289" t="n">
        <v>66.59783496449174</v>
      </c>
      <c r="O289" t="n">
        <v>1.817740183808972</v>
      </c>
      <c r="P289" s="143">
        <f>MAX($E$2:E289)</f>
        <v/>
      </c>
      <c r="Q289" s="144">
        <f>E289/P289-1</f>
        <v/>
      </c>
      <c r="R289" s="94" t="n">
        <v>0.008528839458288084</v>
      </c>
    </row>
    <row r="290">
      <c r="A290" s="375" t="n">
        <v>44881</v>
      </c>
      <c r="B290" s="376" t="n">
        <v>96.94335283494385</v>
      </c>
      <c r="C290" s="376" t="n">
        <v>98.18680536134154</v>
      </c>
      <c r="D290" s="376" t="n">
        <v>96.50123278940303</v>
      </c>
      <c r="E290" s="376" t="n">
        <v>96.92493438720703</v>
      </c>
      <c r="F290" s="93" t="n">
        <v>5998700</v>
      </c>
      <c r="G290" s="94" t="n">
        <v>-0.01386924601911699</v>
      </c>
      <c r="H290" s="95" t="n">
        <v>71.75474728711518</v>
      </c>
      <c r="I290" s="376" t="n">
        <v>87.97868759155273</v>
      </c>
      <c r="J290" s="376" t="n">
        <v>104.7061891937256</v>
      </c>
      <c r="K290" s="94" t="n">
        <v>0.5224507433360662</v>
      </c>
      <c r="L290" s="94" t="n">
        <v>-0.0679007889149551</v>
      </c>
      <c r="M290" s="94" t="n">
        <v>-0.4023869850520988</v>
      </c>
      <c r="N290" t="n">
        <v>63.76266498405051</v>
      </c>
      <c r="O290" t="n">
        <v>1.722992442737569</v>
      </c>
      <c r="P290" s="143">
        <f>MAX($E$2:E290)</f>
        <v/>
      </c>
      <c r="Q290" s="144">
        <f>E290/P290-1</f>
        <v/>
      </c>
      <c r="R290" s="94" t="n">
        <v>-0.007628819612374049</v>
      </c>
    </row>
    <row r="291">
      <c r="A291" s="375" t="n">
        <v>44882</v>
      </c>
      <c r="B291" s="376" t="n">
        <v>95.89331635379629</v>
      </c>
      <c r="C291" s="376" t="n">
        <v>97.0815063947543</v>
      </c>
      <c r="D291" s="376" t="n">
        <v>94.79723259712966</v>
      </c>
      <c r="E291" s="376" t="n">
        <v>97.04466247558594</v>
      </c>
      <c r="F291" s="93" t="n">
        <v>5252900</v>
      </c>
      <c r="G291" s="94" t="n">
        <v>0.001235266127708634</v>
      </c>
      <c r="H291" s="95" t="n">
        <v>71.84338349594124</v>
      </c>
      <c r="I291" s="376" t="n">
        <v>87.91660690307617</v>
      </c>
      <c r="J291" s="376" t="n">
        <v>104.5117459106445</v>
      </c>
      <c r="K291" s="94" t="n">
        <v>0.5123426456813522</v>
      </c>
      <c r="L291" s="94" t="n">
        <v>-0.06674939833183791</v>
      </c>
      <c r="M291" s="94" t="n">
        <v>-0.4016487739372558</v>
      </c>
      <c r="N291" t="n">
        <v>63.90799551524313</v>
      </c>
      <c r="O291" t="n">
        <v>1.571939959311173</v>
      </c>
      <c r="P291" s="143">
        <f>MAX($E$2:E291)</f>
        <v/>
      </c>
      <c r="Q291" s="144">
        <f>E291/P291-1</f>
        <v/>
      </c>
      <c r="R291" s="94" t="n">
        <v>-0.003059786994283775</v>
      </c>
    </row>
    <row r="292">
      <c r="A292" s="375" t="n">
        <v>44883</v>
      </c>
      <c r="B292" s="376" t="n">
        <v>99.1355090137893</v>
      </c>
      <c r="C292" s="376" t="n">
        <v>99.21840959297511</v>
      </c>
      <c r="D292" s="376" t="n">
        <v>95.94858362886323</v>
      </c>
      <c r="E292" s="376" t="n">
        <v>97.09992980957031</v>
      </c>
      <c r="F292" s="93" t="n">
        <v>5498900</v>
      </c>
      <c r="G292" s="94" t="n">
        <v>0.0005695041084643471</v>
      </c>
      <c r="H292" s="95" t="n">
        <v>71.88429859800816</v>
      </c>
      <c r="I292" s="376" t="n">
        <v>87.81436737060547</v>
      </c>
      <c r="J292" s="376" t="n">
        <v>104.3331185150146</v>
      </c>
      <c r="K292" s="94" t="n">
        <v>0.5122622437586906</v>
      </c>
      <c r="L292" s="94" t="n">
        <v>-0.06193261274517847</v>
      </c>
      <c r="M292" s="94" t="n">
        <v>-0.4013080104557084</v>
      </c>
      <c r="N292" t="n">
        <v>63.97980863199999</v>
      </c>
      <c r="O292" t="n">
        <v>1.385818671072963</v>
      </c>
      <c r="P292" s="143">
        <f>MAX($E$2:E292)</f>
        <v/>
      </c>
      <c r="Q292" s="144">
        <f>E292/P292-1</f>
        <v/>
      </c>
      <c r="R292" s="94" t="n">
        <v>0.004540377851728561</v>
      </c>
    </row>
    <row r="293">
      <c r="A293" s="375" t="n">
        <v>44886</v>
      </c>
      <c r="B293" s="376" t="n">
        <v>96.35386833889018</v>
      </c>
      <c r="C293" s="376" t="n">
        <v>97.15520788204608</v>
      </c>
      <c r="D293" s="376" t="n">
        <v>95.42357857415885</v>
      </c>
      <c r="E293" s="376" t="n">
        <v>95.63542938232422</v>
      </c>
      <c r="F293" s="93" t="n">
        <v>4774800</v>
      </c>
      <c r="G293" s="94" t="n">
        <v>-0.01508240459203458</v>
      </c>
      <c r="H293" s="95" t="n">
        <v>70.80011052273836</v>
      </c>
      <c r="I293" s="376" t="n">
        <v>87.65686370849609</v>
      </c>
      <c r="J293" s="376" t="n">
        <v>104.1468028640747</v>
      </c>
      <c r="K293" s="94" t="n">
        <v>0.5170197417313948</v>
      </c>
      <c r="L293" s="94" t="n">
        <v>-0.07608092461434857</v>
      </c>
      <c r="M293" s="94" t="n">
        <v>-0.4103377252680256</v>
      </c>
      <c r="N293" t="n">
        <v>60.54219841799441</v>
      </c>
      <c r="O293" t="n">
        <v>1.087327131713852</v>
      </c>
      <c r="P293" s="143">
        <f>MAX($E$2:E293)</f>
        <v/>
      </c>
      <c r="Q293" s="144">
        <f>E293/P293-1</f>
        <v/>
      </c>
      <c r="R293" s="94" t="n">
        <v>-0.003636012725719895</v>
      </c>
    </row>
    <row r="294">
      <c r="A294" s="375" t="n">
        <v>44887</v>
      </c>
      <c r="B294" s="376" t="n">
        <v>96.36306917920098</v>
      </c>
      <c r="C294" s="376" t="n">
        <v>97.78152846865882</v>
      </c>
      <c r="D294" s="376" t="n">
        <v>95.64462328407882</v>
      </c>
      <c r="E294" s="376" t="n">
        <v>97.60652160644531</v>
      </c>
      <c r="F294" s="93" t="n">
        <v>5313200</v>
      </c>
      <c r="G294" s="94" t="n">
        <v>0.02061048125001053</v>
      </c>
      <c r="H294" s="95" t="n">
        <v>72.25933487316594</v>
      </c>
      <c r="I294" s="376" t="n">
        <v>87.66146881103515</v>
      </c>
      <c r="J294" s="376" t="n">
        <v>103.9714853286743</v>
      </c>
      <c r="K294" s="94" t="n">
        <v>0.5040742034424642</v>
      </c>
      <c r="L294" s="94" t="n">
        <v>-0.05703850783458542</v>
      </c>
      <c r="M294" s="94" t="n">
        <v>-0.3840160129290974</v>
      </c>
      <c r="N294" t="n">
        <v>63.39307897408342</v>
      </c>
      <c r="O294" t="n">
        <v>0.9508247740153282</v>
      </c>
      <c r="P294" s="143">
        <f>MAX($E$2:E294)</f>
        <v/>
      </c>
      <c r="Q294" s="144">
        <f>E294/P294-1</f>
        <v/>
      </c>
      <c r="R294" s="94" t="n">
        <v>0.01345688866652894</v>
      </c>
    </row>
    <row r="295">
      <c r="A295" s="375" t="n">
        <v>44888</v>
      </c>
      <c r="B295" s="376" t="n">
        <v>97.6341401701101</v>
      </c>
      <c r="C295" s="376" t="n">
        <v>98.53679852028021</v>
      </c>
      <c r="D295" s="376" t="n">
        <v>96.92491413067934</v>
      </c>
      <c r="E295" s="376" t="n">
        <v>98.23284149169922</v>
      </c>
      <c r="F295" s="93" t="n">
        <v>3873100</v>
      </c>
      <c r="G295" s="94" t="n">
        <v>0.006416783171305562</v>
      </c>
      <c r="H295" s="95" t="n">
        <v>72.72300735714981</v>
      </c>
      <c r="I295" s="376" t="n">
        <v>87.65502105712891</v>
      </c>
      <c r="J295" s="376" t="n">
        <v>103.8066577148438</v>
      </c>
      <c r="K295" s="94" t="n">
        <v>0.5040936131288393</v>
      </c>
      <c r="L295" s="94" t="n">
        <v>-0.05098772840046917</v>
      </c>
      <c r="M295" s="94" t="n">
        <v>-0.3800633772470671</v>
      </c>
      <c r="N295" t="n">
        <v>64.27631411252736</v>
      </c>
      <c r="O295" t="n">
        <v>0.8350224252545306</v>
      </c>
      <c r="P295" s="143">
        <f>MAX($E$2:E295)</f>
        <v/>
      </c>
      <c r="Q295" s="144">
        <f>E295/P295-1</f>
        <v/>
      </c>
      <c r="R295" s="94" t="n">
        <v>0.006301686014272612</v>
      </c>
    </row>
    <row r="296">
      <c r="A296" s="375" t="n">
        <v>44890</v>
      </c>
      <c r="B296" s="376" t="n">
        <v>98.0486310011246</v>
      </c>
      <c r="C296" s="376" t="n">
        <v>98.72102021507982</v>
      </c>
      <c r="D296" s="376" t="n">
        <v>97.22887314064016</v>
      </c>
      <c r="E296" s="376" t="n">
        <v>97.59730529785156</v>
      </c>
      <c r="F296" s="93" t="n">
        <v>3426100</v>
      </c>
      <c r="G296" s="94" t="n">
        <v>-0.006469691644839126</v>
      </c>
      <c r="H296" s="95" t="n">
        <v>72.25251192406368</v>
      </c>
      <c r="I296" s="376" t="n">
        <v>87.66349472045898</v>
      </c>
      <c r="J296" s="376" t="n">
        <v>103.6261752319336</v>
      </c>
      <c r="K296" s="94" t="n">
        <v>0.4964558304607952</v>
      </c>
      <c r="L296" s="94" t="n">
        <v>-0.0571275451648865</v>
      </c>
      <c r="M296" s="94" t="n">
        <v>-0.3840741760356216</v>
      </c>
      <c r="N296" t="n">
        <v>62.62514834724482</v>
      </c>
      <c r="O296" t="n">
        <v>0.6558330994892412</v>
      </c>
      <c r="P296" s="143">
        <f>MAX($E$2:E296)</f>
        <v/>
      </c>
      <c r="Q296" s="144">
        <f>E296/P296-1</f>
        <v/>
      </c>
      <c r="R296" s="94" t="n">
        <v>-0.0002237221519435506</v>
      </c>
    </row>
    <row r="297">
      <c r="A297" s="375" t="n">
        <v>44893</v>
      </c>
      <c r="B297" s="376" t="n">
        <v>96.94333688029432</v>
      </c>
      <c r="C297" s="376" t="n">
        <v>97.91047036791328</v>
      </c>
      <c r="D297" s="376" t="n">
        <v>96.39069218476574</v>
      </c>
      <c r="E297" s="376" t="n">
        <v>96.67622375488281</v>
      </c>
      <c r="F297" s="93" t="n">
        <v>6967400</v>
      </c>
      <c r="G297" s="94" t="n">
        <v>-0.00943757145914792</v>
      </c>
      <c r="H297" s="95" t="n">
        <v>71.5706236796774</v>
      </c>
      <c r="I297" s="376" t="n">
        <v>87.67896881103516</v>
      </c>
      <c r="J297" s="376" t="n">
        <v>103.4476686859131</v>
      </c>
      <c r="K297" s="94" t="n">
        <v>0.4887561411801506</v>
      </c>
      <c r="L297" s="94" t="n">
        <v>-0.06602597133425503</v>
      </c>
      <c r="M297" s="94" t="n">
        <v>-0.3898870200128199</v>
      </c>
      <c r="N297" t="n">
        <v>60.21103168137261</v>
      </c>
      <c r="O297" t="n">
        <v>0.4265898317102468</v>
      </c>
      <c r="P297" s="143">
        <f>MAX($E$2:E297)</f>
        <v/>
      </c>
      <c r="Q297" s="144">
        <f>E297/P297-1</f>
        <v/>
      </c>
      <c r="R297" s="94" t="n">
        <v>-0.01595701208729461</v>
      </c>
    </row>
    <row r="298">
      <c r="A298" s="375" t="n">
        <v>44894</v>
      </c>
      <c r="B298" s="376" t="n">
        <v>97.05386534288745</v>
      </c>
      <c r="C298" s="376" t="n">
        <v>98.38942389744827</v>
      </c>
      <c r="D298" s="376" t="n">
        <v>96.82359614194534</v>
      </c>
      <c r="E298" s="376" t="n">
        <v>97.86441040039062</v>
      </c>
      <c r="F298" s="93" t="n">
        <v>8494400</v>
      </c>
      <c r="G298" s="94" t="n">
        <v>0.0122903708829214</v>
      </c>
      <c r="H298" s="95" t="n">
        <v>72.45025318902263</v>
      </c>
      <c r="I298" s="376" t="n">
        <v>87.6612841796875</v>
      </c>
      <c r="J298" s="376" t="n">
        <v>103.296310043335</v>
      </c>
      <c r="K298" s="94" t="n">
        <v>0.4843029092416393</v>
      </c>
      <c r="L298" s="94" t="n">
        <v>-0.05454708412693676</v>
      </c>
      <c r="M298" s="94" t="n">
        <v>-0.382388505208293</v>
      </c>
      <c r="N298" t="n">
        <v>62.23352549728424</v>
      </c>
      <c r="O298" t="n">
        <v>0.3116273173233375</v>
      </c>
      <c r="P298" s="143">
        <f>MAX($E$2:E298)</f>
        <v/>
      </c>
      <c r="Q298" s="144">
        <f>E298/P298-1</f>
        <v/>
      </c>
      <c r="R298" s="94" t="n">
        <v>-0.001717724828893208</v>
      </c>
    </row>
    <row r="299">
      <c r="A299" s="375" t="n">
        <v>44895</v>
      </c>
      <c r="B299" s="376" t="n">
        <v>98.62892461832195</v>
      </c>
      <c r="C299" s="376" t="n">
        <v>101.0329360961914</v>
      </c>
      <c r="D299" s="376" t="n">
        <v>97.12756464479432</v>
      </c>
      <c r="E299" s="376" t="n">
        <v>101.0329360961914</v>
      </c>
      <c r="F299" s="93" t="n">
        <v>16251000</v>
      </c>
      <c r="G299" s="94" t="n">
        <v>0.03237669018632472</v>
      </c>
      <c r="H299" s="95" t="n">
        <v>74.7959525904444</v>
      </c>
      <c r="I299" s="376" t="n">
        <v>87.79520904541016</v>
      </c>
      <c r="J299" s="376" t="n">
        <v>103.1543495559692</v>
      </c>
      <c r="K299" s="94" t="n">
        <v>0.4922923969615098</v>
      </c>
      <c r="L299" s="94" t="n">
        <v>-0.02393644798395722</v>
      </c>
      <c r="M299" s="94" t="n">
        <v>-0.362392289185909</v>
      </c>
      <c r="N299" t="n">
        <v>67.04427403708218</v>
      </c>
      <c r="O299" t="n">
        <v>0.3999906402118727</v>
      </c>
      <c r="P299" s="143">
        <f>MAX($E$2:E299)</f>
        <v/>
      </c>
      <c r="Q299" s="144">
        <f>E299/P299-1</f>
        <v/>
      </c>
      <c r="R299" s="94" t="n">
        <v>0.03150070045472231</v>
      </c>
    </row>
    <row r="300">
      <c r="A300" s="375" t="n">
        <v>44896</v>
      </c>
      <c r="B300" s="376" t="n">
        <v>101.4013409350142</v>
      </c>
      <c r="C300" s="376" t="n">
        <v>103.0316507965695</v>
      </c>
      <c r="D300" s="376" t="n">
        <v>100.9039656499637</v>
      </c>
      <c r="E300" s="376" t="n">
        <v>102.3408432006836</v>
      </c>
      <c r="F300" s="93" t="n">
        <v>7822900</v>
      </c>
      <c r="G300" s="94" t="n">
        <v>0.01294535381261164</v>
      </c>
      <c r="H300" s="95" t="n">
        <v>75.76421266047903</v>
      </c>
      <c r="I300" s="376" t="n">
        <v>88.00374069213868</v>
      </c>
      <c r="J300" s="376" t="n">
        <v>103.0006926727295</v>
      </c>
      <c r="K300" s="94" t="n">
        <v>0.4623183225158195</v>
      </c>
      <c r="L300" s="94" t="n">
        <v>-0.01130095995951508</v>
      </c>
      <c r="M300" s="94" t="n">
        <v>-0.3541382317757712</v>
      </c>
      <c r="N300" t="n">
        <v>68.81039495906529</v>
      </c>
      <c r="O300" t="n">
        <v>0.4915105160974838</v>
      </c>
      <c r="P300" s="143">
        <f>MAX($E$2:E300)</f>
        <v/>
      </c>
      <c r="Q300" s="144">
        <f>E300/P300-1</f>
        <v/>
      </c>
      <c r="R300" s="94" t="n">
        <v>-0.0007358297775716949</v>
      </c>
    </row>
    <row r="301">
      <c r="A301" s="375" t="n">
        <v>44897</v>
      </c>
      <c r="B301" s="376" t="n">
        <v>100.3821852736911</v>
      </c>
      <c r="C301" s="376" t="n">
        <v>104.1332337910758</v>
      </c>
      <c r="D301" s="376" t="n">
        <v>100.0957701997895</v>
      </c>
      <c r="E301" s="376" t="n">
        <v>103.6620407104492</v>
      </c>
      <c r="F301" s="93" t="n">
        <v>5892000</v>
      </c>
      <c r="G301" s="94" t="n">
        <v>0.01290977744999466</v>
      </c>
      <c r="H301" s="95" t="n">
        <v>76.74231178459989</v>
      </c>
      <c r="I301" s="376" t="n">
        <v>88.26153900146484</v>
      </c>
      <c r="J301" s="376" t="n">
        <v>102.8494826889038</v>
      </c>
      <c r="K301" s="94" t="n">
        <v>0.4609278535561252</v>
      </c>
      <c r="L301" s="94" t="n">
        <v>0</v>
      </c>
      <c r="M301" s="94" t="n">
        <v>-0.3458003000845364</v>
      </c>
      <c r="N301" t="n">
        <v>70.52856583720022</v>
      </c>
      <c r="O301" t="n">
        <v>0.5799391458528866</v>
      </c>
      <c r="P301" s="143">
        <f>MAX($E$2:E301)</f>
        <v/>
      </c>
      <c r="Q301" s="144">
        <f>E301/P301-1</f>
        <v/>
      </c>
      <c r="R301" s="94" t="n">
        <v>-0.001153751443767281</v>
      </c>
    </row>
    <row r="302">
      <c r="A302" s="375" t="n">
        <v>44900</v>
      </c>
      <c r="B302" s="376" t="n">
        <v>102.5718261401145</v>
      </c>
      <c r="C302" s="376" t="n">
        <v>102.6734561511166</v>
      </c>
      <c r="D302" s="376" t="n">
        <v>100.8810870591759</v>
      </c>
      <c r="E302" s="376" t="n">
        <v>101.2783660888672</v>
      </c>
      <c r="F302" s="93" t="n">
        <v>6220100</v>
      </c>
      <c r="G302" s="94" t="n">
        <v>-0.02299467196714911</v>
      </c>
      <c r="H302" s="95" t="n">
        <v>74.97764749911234</v>
      </c>
      <c r="I302" s="376" t="n">
        <v>88.49984878540039</v>
      </c>
      <c r="J302" s="376" t="n">
        <v>102.7032191848755</v>
      </c>
      <c r="K302" s="94" t="n">
        <v>0.4390708195379429</v>
      </c>
      <c r="L302" s="94" t="n">
        <v>-0.02299467196714911</v>
      </c>
      <c r="M302" s="94" t="n">
        <v>-0.3608434075850998</v>
      </c>
      <c r="N302" t="n">
        <v>63.70950423687655</v>
      </c>
      <c r="O302" t="n">
        <v>0.4240365847393348</v>
      </c>
      <c r="P302" s="143">
        <f>MAX($E$2:E302)</f>
        <v/>
      </c>
      <c r="Q302" s="144">
        <f>E302/P302-1</f>
        <v/>
      </c>
      <c r="R302" s="94" t="n">
        <v>-0.01798923259063967</v>
      </c>
    </row>
    <row r="303">
      <c r="A303" s="375" t="n">
        <v>44901</v>
      </c>
      <c r="B303" s="376" t="n">
        <v>101.3060730696647</v>
      </c>
      <c r="C303" s="376" t="n">
        <v>102.1191060365162</v>
      </c>
      <c r="D303" s="376" t="n">
        <v>98.62675011121046</v>
      </c>
      <c r="E303" s="376" t="n">
        <v>99.71695709228516</v>
      </c>
      <c r="F303" s="93" t="n">
        <v>7086100</v>
      </c>
      <c r="G303" s="94" t="n">
        <v>-0.01541700421205416</v>
      </c>
      <c r="H303" s="95" t="n">
        <v>73.8217167918086</v>
      </c>
      <c r="I303" s="376" t="n">
        <v>88.72461502075195</v>
      </c>
      <c r="J303" s="376" t="n">
        <v>102.5484629821777</v>
      </c>
      <c r="K303" s="94" t="n">
        <v>0.4314386872909557</v>
      </c>
      <c r="L303" s="94" t="n">
        <v>-0.03805716722463104</v>
      </c>
      <c r="M303" s="94" t="n">
        <v>-0.3706972874625225</v>
      </c>
      <c r="N303" t="n">
        <v>59.64166564045175</v>
      </c>
      <c r="O303" t="n">
        <v>0.1746732426158766</v>
      </c>
      <c r="P303" s="143">
        <f>MAX($E$2:E303)</f>
        <v/>
      </c>
      <c r="Q303" s="144">
        <f>E303/P303-1</f>
        <v/>
      </c>
      <c r="R303" s="94" t="n">
        <v>-0.0144148792152089</v>
      </c>
    </row>
    <row r="304">
      <c r="A304" s="375" t="n">
        <v>44902</v>
      </c>
      <c r="B304" s="376" t="n">
        <v>99.15338748045033</v>
      </c>
      <c r="C304" s="376" t="n">
        <v>100.8164176757956</v>
      </c>
      <c r="D304" s="376" t="n">
        <v>98.91317044138293</v>
      </c>
      <c r="E304" s="376" t="n">
        <v>100.0865325927734</v>
      </c>
      <c r="F304" s="93" t="n">
        <v>5751500</v>
      </c>
      <c r="G304" s="94" t="n">
        <v>0.00370624526926</v>
      </c>
      <c r="H304" s="95" t="n">
        <v>74.09531818043689</v>
      </c>
      <c r="I304" s="376" t="n">
        <v>88.95253555297852</v>
      </c>
      <c r="J304" s="376" t="n">
        <v>102.4173099136353</v>
      </c>
      <c r="K304" s="94" t="n">
        <v>0.4313881841317076</v>
      </c>
      <c r="L304" s="94" t="n">
        <v>-0.03449197115135882</v>
      </c>
      <c r="M304" s="94" t="n">
        <v>-0.3626293627388345</v>
      </c>
      <c r="N304" t="n">
        <v>60.28799294556732</v>
      </c>
      <c r="O304" t="n">
        <v>0.002635335857583243</v>
      </c>
      <c r="P304" s="143">
        <f>MAX($E$2:E304)</f>
        <v/>
      </c>
      <c r="Q304" s="144">
        <f>E304/P304-1</f>
        <v/>
      </c>
      <c r="R304" s="94" t="n">
        <v>-0.001700925531683106</v>
      </c>
    </row>
    <row r="305">
      <c r="A305" s="375" t="n">
        <v>44903</v>
      </c>
      <c r="B305" s="376" t="n">
        <v>100.3359860932641</v>
      </c>
      <c r="C305" s="376" t="n">
        <v>103.006068438048</v>
      </c>
      <c r="D305" s="376" t="n">
        <v>100.2066400802789</v>
      </c>
      <c r="E305" s="376" t="n">
        <v>102.8859634399414</v>
      </c>
      <c r="F305" s="93" t="n">
        <v>6192800</v>
      </c>
      <c r="G305" s="94" t="n">
        <v>0.0279701052144361</v>
      </c>
      <c r="H305" s="95" t="n">
        <v>76.16777202584085</v>
      </c>
      <c r="I305" s="376" t="n">
        <v>89.19204895019531</v>
      </c>
      <c r="J305" s="376" t="n">
        <v>102.3063698196411</v>
      </c>
      <c r="K305" s="94" t="n">
        <v>0.4261691651495549</v>
      </c>
      <c r="L305" s="94" t="n">
        <v>-0.007486609999079241</v>
      </c>
      <c r="M305" s="94" t="n">
        <v>-0.3425055601549005</v>
      </c>
      <c r="N305" t="n">
        <v>64.87647108408913</v>
      </c>
      <c r="O305" t="n">
        <v>0.04314371047144583</v>
      </c>
      <c r="P305" s="143">
        <f>MAX($E$2:E305)</f>
        <v/>
      </c>
      <c r="Q305" s="144">
        <f>E305/P305-1</f>
        <v/>
      </c>
      <c r="R305" s="94" t="n">
        <v>0.007833860643072565</v>
      </c>
    </row>
    <row r="306">
      <c r="A306" s="375" t="n">
        <v>44904</v>
      </c>
      <c r="B306" s="376" t="n">
        <v>101.832715917724</v>
      </c>
      <c r="C306" s="376" t="n">
        <v>102.9044410597752</v>
      </c>
      <c r="D306" s="376" t="n">
        <v>100.9457687850105</v>
      </c>
      <c r="E306" s="376" t="n">
        <v>101.0935897827148</v>
      </c>
      <c r="F306" s="93" t="n">
        <v>5677700</v>
      </c>
      <c r="G306" s="94" t="n">
        <v>-0.01742097364207351</v>
      </c>
      <c r="H306" s="95" t="n">
        <v>74.8408552770032</v>
      </c>
      <c r="I306" s="376" t="n">
        <v>89.45779541015625</v>
      </c>
      <c r="J306" s="376" t="n">
        <v>102.1849139404297</v>
      </c>
      <c r="K306" s="94" t="n">
        <v>0.3462714753236911</v>
      </c>
      <c r="L306" s="94" t="n">
        <v>-0.02477715960569049</v>
      </c>
      <c r="M306" s="94" t="n">
        <v>-0.3539597534612519</v>
      </c>
      <c r="N306" t="n">
        <v>60.08921303395631</v>
      </c>
      <c r="O306" t="n">
        <v>-0.07838810881164182</v>
      </c>
      <c r="P306" s="143">
        <f>MAX($E$2:E306)</f>
        <v/>
      </c>
      <c r="Q306" s="144">
        <f>E306/P306-1</f>
        <v/>
      </c>
      <c r="R306" s="94" t="n">
        <v>-0.007470235987619089</v>
      </c>
    </row>
    <row r="307">
      <c r="A307" s="375" t="n">
        <v>44907</v>
      </c>
      <c r="B307" s="376" t="n">
        <v>101.7218314707532</v>
      </c>
      <c r="C307" s="376" t="n">
        <v>103.6343125154365</v>
      </c>
      <c r="D307" s="376" t="n">
        <v>101.3615094658729</v>
      </c>
      <c r="E307" s="376" t="n">
        <v>103.5419235229492</v>
      </c>
      <c r="F307" s="93" t="n">
        <v>6426000</v>
      </c>
      <c r="G307" s="94" t="n">
        <v>0.02421848650836012</v>
      </c>
      <c r="H307" s="95" t="n">
        <v>76.65338752080343</v>
      </c>
      <c r="I307" s="376" t="n">
        <v>89.99743545532226</v>
      </c>
      <c r="J307" s="376" t="n">
        <v>102.0682497787476</v>
      </c>
      <c r="K307" s="94" t="n">
        <v>0.2718198297395953</v>
      </c>
      <c r="L307" s="94" t="n">
        <v>-0.001158738402956216</v>
      </c>
      <c r="M307" s="94" t="n">
        <v>-0.3383136364665955</v>
      </c>
      <c r="N307" t="n">
        <v>63.99727743494679</v>
      </c>
      <c r="O307" t="n">
        <v>-0.02430198220397806</v>
      </c>
      <c r="P307" s="143">
        <f>MAX($E$2:E307)</f>
        <v/>
      </c>
      <c r="Q307" s="144">
        <f>E307/P307-1</f>
        <v/>
      </c>
      <c r="R307" s="94" t="n">
        <v>0.01441723647785409</v>
      </c>
    </row>
    <row r="308">
      <c r="A308" s="375" t="n">
        <v>44908</v>
      </c>
      <c r="B308" s="376" t="n">
        <v>106.8125504576796</v>
      </c>
      <c r="C308" s="376" t="n">
        <v>107.5886264956653</v>
      </c>
      <c r="D308" s="376" t="n">
        <v>102.7843281349561</v>
      </c>
      <c r="E308" s="376" t="n">
        <v>104.2625732421875</v>
      </c>
      <c r="F308" s="93" t="n">
        <v>8655300</v>
      </c>
      <c r="G308" s="94" t="n">
        <v>0.00695998002276399</v>
      </c>
      <c r="H308" s="95" t="n">
        <v>77.18689356662541</v>
      </c>
      <c r="I308" s="376" t="n">
        <v>90.50948745727538</v>
      </c>
      <c r="J308" s="376" t="n">
        <v>101.9654722976685</v>
      </c>
      <c r="K308" s="94" t="n">
        <v>0.2625270117909955</v>
      </c>
      <c r="L308" s="94" t="n">
        <v>0</v>
      </c>
      <c r="M308" s="94" t="n">
        <v>-0.3337083125950677</v>
      </c>
      <c r="N308" t="n">
        <v>65.08112922418064</v>
      </c>
      <c r="O308" t="n">
        <v>0.02682141757128509</v>
      </c>
      <c r="P308" s="143">
        <f>MAX($E$2:E308)</f>
        <v/>
      </c>
      <c r="Q308" s="144">
        <f>E308/P308-1</f>
        <v/>
      </c>
      <c r="R308" s="94" t="n">
        <v>0.007569910367646315</v>
      </c>
    </row>
    <row r="309">
      <c r="A309" s="375" t="n">
        <v>44909</v>
      </c>
      <c r="B309" s="376" t="n">
        <v>105.047900578982</v>
      </c>
      <c r="C309" s="376" t="n">
        <v>105.4359456847939</v>
      </c>
      <c r="D309" s="376" t="n">
        <v>101.8419590523923</v>
      </c>
      <c r="E309" s="376" t="n">
        <v>102.9691162109375</v>
      </c>
      <c r="F309" s="93" t="n">
        <v>7528500</v>
      </c>
      <c r="G309" s="94" t="n">
        <v>-0.01240576547296102</v>
      </c>
      <c r="H309" s="95" t="n">
        <v>76.22933106745145</v>
      </c>
      <c r="I309" s="376" t="n">
        <v>90.93598449707031</v>
      </c>
      <c r="J309" s="376" t="n">
        <v>101.8760174560547</v>
      </c>
      <c r="K309" s="94" t="n">
        <v>0.2597339116570572</v>
      </c>
      <c r="L309" s="94" t="n">
        <v>-0.01240576547296102</v>
      </c>
      <c r="M309" s="94" t="n">
        <v>-0.3419741710055968</v>
      </c>
      <c r="N309" t="n">
        <v>61.50232020859863</v>
      </c>
      <c r="O309" t="n">
        <v>-0.05518885445966326</v>
      </c>
      <c r="P309" s="143">
        <f>MAX($E$2:E309)</f>
        <v/>
      </c>
      <c r="Q309" s="144">
        <f>E309/P309-1</f>
        <v/>
      </c>
      <c r="R309" s="94" t="n">
        <v>-0.006393574153321979</v>
      </c>
    </row>
    <row r="310">
      <c r="A310" s="375" t="n">
        <v>44910</v>
      </c>
      <c r="B310" s="376" t="n">
        <v>100.8811008961505</v>
      </c>
      <c r="C310" s="376" t="n">
        <v>101.2783799803331</v>
      </c>
      <c r="D310" s="376" t="n">
        <v>99.53220162281262</v>
      </c>
      <c r="E310" s="376" t="n">
        <v>100.2528457641602</v>
      </c>
      <c r="F310" s="93" t="n">
        <v>7500700</v>
      </c>
      <c r="G310" s="94" t="n">
        <v>-0.02637946742412478</v>
      </c>
      <c r="H310" s="95" t="n">
        <v>74.2184419117948</v>
      </c>
      <c r="I310" s="376" t="n">
        <v>91.26283920288085</v>
      </c>
      <c r="J310" s="376" t="n">
        <v>101.7571678161621</v>
      </c>
      <c r="K310" s="94" t="n">
        <v>0.2735892408532888</v>
      </c>
      <c r="L310" s="94" t="n">
        <v>-0.03845797541092044</v>
      </c>
      <c r="M310" s="94" t="n">
        <v>-0.3593325419257873</v>
      </c>
      <c r="N310" t="n">
        <v>54.69972997445203</v>
      </c>
      <c r="O310" t="n">
        <v>-0.3070204604400306</v>
      </c>
      <c r="P310" s="143">
        <f>MAX($E$2:E310)</f>
        <v/>
      </c>
      <c r="Q310" s="144">
        <f>E310/P310-1</f>
        <v/>
      </c>
      <c r="R310" s="94" t="n">
        <v>-0.02446178330724291</v>
      </c>
    </row>
    <row r="311">
      <c r="A311" s="375" t="n">
        <v>44911</v>
      </c>
      <c r="B311" s="376" t="n">
        <v>98.73763138649818</v>
      </c>
      <c r="C311" s="376" t="n">
        <v>99.42131843077505</v>
      </c>
      <c r="D311" s="376" t="n">
        <v>97.12079924945682</v>
      </c>
      <c r="E311" s="376" t="n">
        <v>97.88763427734375</v>
      </c>
      <c r="F311" s="93" t="n">
        <v>14083600</v>
      </c>
      <c r="G311" s="94" t="n">
        <v>-0.02359246232651036</v>
      </c>
      <c r="H311" s="95" t="n">
        <v>72.46744611705847</v>
      </c>
      <c r="I311" s="376" t="n">
        <v>91.55952209472656</v>
      </c>
      <c r="J311" s="376" t="n">
        <v>101.6343074035644</v>
      </c>
      <c r="K311" s="94" t="n">
        <v>0.2881139521890301</v>
      </c>
      <c r="L311" s="94" t="n">
        <v>-0.06114311940139494</v>
      </c>
      <c r="M311" s="94" t="n">
        <v>-0.3744474647942244</v>
      </c>
      <c r="N311" t="n">
        <v>49.55940528920759</v>
      </c>
      <c r="O311" t="n">
        <v>-0.6289878352162774</v>
      </c>
      <c r="P311" s="143">
        <f>MAX($E$2:E311)</f>
        <v/>
      </c>
      <c r="Q311" s="144">
        <f>E311/P311-1</f>
        <v/>
      </c>
      <c r="R311" s="94" t="n">
        <v>-0.01180598400950073</v>
      </c>
    </row>
    <row r="312">
      <c r="A312" s="375" t="n">
        <v>44914</v>
      </c>
      <c r="B312" s="376" t="n">
        <v>97.00068978399081</v>
      </c>
      <c r="C312" s="376" t="n">
        <v>97.48112386481422</v>
      </c>
      <c r="D312" s="376" t="n">
        <v>94.65397251690585</v>
      </c>
      <c r="E312" s="376" t="n">
        <v>95.20832061767578</v>
      </c>
      <c r="F312" s="93" t="n">
        <v>10620300</v>
      </c>
      <c r="G312" s="94" t="n">
        <v>-0.02737131895614831</v>
      </c>
      <c r="H312" s="95" t="n">
        <v>70.48391653545097</v>
      </c>
      <c r="I312" s="376" t="n">
        <v>91.85806732177734</v>
      </c>
      <c r="J312" s="376" t="n">
        <v>101.5094338226318</v>
      </c>
      <c r="K312" s="94" t="n">
        <v>0.3047303020441696</v>
      </c>
      <c r="L312" s="94" t="n">
        <v>-0.08684087053443379</v>
      </c>
      <c r="M312" s="94" t="n">
        <v>-0.3915696627591688</v>
      </c>
      <c r="N312" t="n">
        <v>44.46217415801427</v>
      </c>
      <c r="O312" t="n">
        <v>-0.9966485656703403</v>
      </c>
      <c r="P312" s="143">
        <f>MAX($E$2:E312)</f>
        <v/>
      </c>
      <c r="Q312" s="144">
        <f>E312/P312-1</f>
        <v/>
      </c>
      <c r="R312" s="94" t="n">
        <v>-0.008479534116484277</v>
      </c>
    </row>
    <row r="313">
      <c r="A313" s="375" t="n">
        <v>44915</v>
      </c>
      <c r="B313" s="376" t="n">
        <v>95.16211351010475</v>
      </c>
      <c r="C313" s="376" t="n">
        <v>95.53167652573488</v>
      </c>
      <c r="D313" s="376" t="n">
        <v>93.94256049270508</v>
      </c>
      <c r="E313" s="376" t="n">
        <v>95.35613250732422</v>
      </c>
      <c r="F313" s="93" t="n">
        <v>17147900</v>
      </c>
      <c r="G313" s="94" t="n">
        <v>0.001552510208031155</v>
      </c>
      <c r="H313" s="95" t="n">
        <v>70.59334353537427</v>
      </c>
      <c r="I313" s="376" t="n">
        <v>92.16822692871094</v>
      </c>
      <c r="J313" s="376" t="n">
        <v>101.4161741256714</v>
      </c>
      <c r="K313" s="94" t="n">
        <v>0.3000810273662633</v>
      </c>
      <c r="L313" s="94" t="n">
        <v>-0.08542318166438179</v>
      </c>
      <c r="M313" s="94" t="n">
        <v>-0.3906250684497267</v>
      </c>
      <c r="N313" t="n">
        <v>44.79947848757381</v>
      </c>
      <c r="O313" t="n">
        <v>-1.190983511655872</v>
      </c>
      <c r="P313" s="143">
        <f>MAX($E$2:E313)</f>
        <v/>
      </c>
      <c r="Q313" s="144">
        <f>E313/P313-1</f>
        <v/>
      </c>
      <c r="R313" s="94" t="n">
        <v>0.001368146386443447</v>
      </c>
    </row>
    <row r="314">
      <c r="A314" s="375" t="n">
        <v>44916</v>
      </c>
      <c r="B314" s="376" t="n">
        <v>107.875033517904</v>
      </c>
      <c r="C314" s="376" t="n">
        <v>110.1108795166361</v>
      </c>
      <c r="D314" s="376" t="n">
        <v>106.5630844746623</v>
      </c>
      <c r="E314" s="376" t="n">
        <v>106.9696044921875</v>
      </c>
      <c r="F314" s="93" t="n">
        <v>32777300</v>
      </c>
      <c r="G314" s="94" t="n">
        <v>0.1217905097395939</v>
      </c>
      <c r="H314" s="95" t="n">
        <v>79.19094282876978</v>
      </c>
      <c r="I314" s="376" t="n">
        <v>92.68670776367188</v>
      </c>
      <c r="J314" s="376" t="n">
        <v>101.3957780456543</v>
      </c>
      <c r="K314" s="94" t="n">
        <v>0.523731051005731</v>
      </c>
      <c r="L314" s="94" t="n">
        <v>0</v>
      </c>
      <c r="M314" s="94" t="n">
        <v>-0.3121094131950156</v>
      </c>
      <c r="N314" t="n">
        <v>63.53730452722544</v>
      </c>
      <c r="O314" t="n">
        <v>-0.5320677210848426</v>
      </c>
      <c r="P314" s="143">
        <f>MAX($E$2:E314)</f>
        <v/>
      </c>
      <c r="Q314" s="144">
        <f>E314/P314-1</f>
        <v/>
      </c>
      <c r="R314" s="94" t="n">
        <v>0.01495236863686911</v>
      </c>
    </row>
    <row r="315">
      <c r="A315" s="375" t="n">
        <v>44917</v>
      </c>
      <c r="B315" s="376" t="n">
        <v>105.5930109685515</v>
      </c>
      <c r="C315" s="376" t="n">
        <v>107.9304874469197</v>
      </c>
      <c r="D315" s="376" t="n">
        <v>105.3805099028683</v>
      </c>
      <c r="E315" s="376" t="n">
        <v>107.828857421875</v>
      </c>
      <c r="F315" s="93" t="n">
        <v>17147600</v>
      </c>
      <c r="G315" s="94" t="n">
        <v>0.00803268305764604</v>
      </c>
      <c r="H315" s="95" t="n">
        <v>79.82705857354945</v>
      </c>
      <c r="I315" s="376" t="n">
        <v>93.21279449462891</v>
      </c>
      <c r="J315" s="376" t="n">
        <v>101.3533841323853</v>
      </c>
      <c r="K315" s="94" t="n">
        <v>0.5238170588380239</v>
      </c>
      <c r="L315" s="94" t="n">
        <v>0</v>
      </c>
      <c r="M315" s="94" t="n">
        <v>-0.3065838061328729</v>
      </c>
      <c r="N315" t="n">
        <v>64.49754075664123</v>
      </c>
      <c r="O315" t="n">
        <v>-0.05798879992444173</v>
      </c>
      <c r="P315" s="143">
        <f>MAX($E$2:E315)</f>
        <v/>
      </c>
      <c r="Q315" s="144">
        <f>E315/P315-1</f>
        <v/>
      </c>
      <c r="R315" s="94" t="n">
        <v>-0.01426603151628902</v>
      </c>
    </row>
    <row r="316">
      <c r="A316" s="375" t="n">
        <v>44918</v>
      </c>
      <c r="B316" s="376" t="n">
        <v>107.2745159769241</v>
      </c>
      <c r="C316" s="376" t="n">
        <v>108.2538521618963</v>
      </c>
      <c r="D316" s="376" t="n">
        <v>106.9696259027547</v>
      </c>
      <c r="E316" s="376" t="n">
        <v>107.4038619995117</v>
      </c>
      <c r="F316" s="93" t="n">
        <v>6603700</v>
      </c>
      <c r="G316" s="94" t="n">
        <v>-0.003941388534801082</v>
      </c>
      <c r="H316" s="95" t="n">
        <v>79.51242912012077</v>
      </c>
      <c r="I316" s="376" t="n">
        <v>93.71103866577148</v>
      </c>
      <c r="J316" s="376" t="n">
        <v>101.3130795288086</v>
      </c>
      <c r="K316" s="94" t="n">
        <v>0.5231488095520335</v>
      </c>
      <c r="L316" s="94" t="n">
        <v>-0.003941388534801082</v>
      </c>
      <c r="M316" s="94" t="n">
        <v>-0.3093168287692263</v>
      </c>
      <c r="N316" t="n">
        <v>63.60532334101956</v>
      </c>
      <c r="O316" t="n">
        <v>0.1935603905644734</v>
      </c>
      <c r="P316" s="143">
        <f>MAX($E$2:E316)</f>
        <v/>
      </c>
      <c r="Q316" s="144">
        <f>E316/P316-1</f>
        <v/>
      </c>
      <c r="R316" s="94" t="n">
        <v>0.005752290478567623</v>
      </c>
    </row>
    <row r="317">
      <c r="A317" s="375" t="n">
        <v>44922</v>
      </c>
      <c r="B317" s="376" t="n">
        <v>107.607106592188</v>
      </c>
      <c r="C317" s="376" t="n">
        <v>109.2054566626458</v>
      </c>
      <c r="D317" s="376" t="n">
        <v>107.006567545676</v>
      </c>
      <c r="E317" s="376" t="n">
        <v>108.6141586303711</v>
      </c>
      <c r="F317" s="93" t="n">
        <v>6661100</v>
      </c>
      <c r="G317" s="94" t="n">
        <v>0.01126865094352825</v>
      </c>
      <c r="H317" s="95" t="n">
        <v>80.40842692954743</v>
      </c>
      <c r="I317" s="376" t="n">
        <v>94.27051605224609</v>
      </c>
      <c r="J317" s="376" t="n">
        <v>101.2944012832642</v>
      </c>
      <c r="K317" s="94" t="n">
        <v>0.5205745399896691</v>
      </c>
      <c r="L317" s="94" t="n">
        <v>0</v>
      </c>
      <c r="M317" s="94" t="n">
        <v>-0.3015337612000575</v>
      </c>
      <c r="N317" t="n">
        <v>65.0865206919042</v>
      </c>
      <c r="O317" t="n">
        <v>0.3963649879679583</v>
      </c>
      <c r="P317" s="143">
        <f>MAX($E$2:E317)</f>
        <v/>
      </c>
      <c r="Q317" s="144">
        <f>E317/P317-1</f>
        <v/>
      </c>
      <c r="R317" s="94" t="n">
        <v>-0.003943528702404886</v>
      </c>
    </row>
    <row r="318">
      <c r="A318" s="375" t="n">
        <v>44923</v>
      </c>
      <c r="B318" s="376" t="n">
        <v>108.6326485799539</v>
      </c>
      <c r="C318" s="376" t="n">
        <v>109.2424216363372</v>
      </c>
      <c r="D318" s="376" t="n">
        <v>106.2120172377558</v>
      </c>
      <c r="E318" s="376" t="n">
        <v>106.2304992675781</v>
      </c>
      <c r="F318" s="93" t="n">
        <v>5437800</v>
      </c>
      <c r="G318" s="94" t="n">
        <v>-0.02194612003491081</v>
      </c>
      <c r="H318" s="95" t="n">
        <v>78.64377394033323</v>
      </c>
      <c r="I318" s="376" t="n">
        <v>94.73774002075196</v>
      </c>
      <c r="J318" s="376" t="n">
        <v>101.2869839096069</v>
      </c>
      <c r="K318" s="94" t="n">
        <v>0.5294800717002159</v>
      </c>
      <c r="L318" s="94" t="n">
        <v>-0.02194612003491081</v>
      </c>
      <c r="M318" s="94" t="n">
        <v>-0.3168623851170937</v>
      </c>
      <c r="N318" t="n">
        <v>59.91467760793876</v>
      </c>
      <c r="O318" t="n">
        <v>0.3277247952882263</v>
      </c>
      <c r="P318" s="143">
        <f>MAX($E$2:E318)</f>
        <v/>
      </c>
      <c r="Q318" s="144">
        <f>E318/P318-1</f>
        <v/>
      </c>
      <c r="R318" s="94" t="n">
        <v>-0.01242790473866351</v>
      </c>
    </row>
    <row r="319">
      <c r="A319" s="375" t="n">
        <v>44924</v>
      </c>
      <c r="B319" s="376" t="n">
        <v>107.2467880392179</v>
      </c>
      <c r="C319" s="376" t="n">
        <v>109.0853551974508</v>
      </c>
      <c r="D319" s="376" t="n">
        <v>106.9880960228429</v>
      </c>
      <c r="E319" s="376" t="n">
        <v>108.4201431274414</v>
      </c>
      <c r="F319" s="93" t="n">
        <v>4588600</v>
      </c>
      <c r="G319" s="94" t="n">
        <v>0.02061219588498697</v>
      </c>
      <c r="H319" s="95" t="n">
        <v>80.26479481392602</v>
      </c>
      <c r="I319" s="376" t="n">
        <v>95.25409927368165</v>
      </c>
      <c r="J319" s="376" t="n">
        <v>101.2821317672729</v>
      </c>
      <c r="K319" s="94" t="n">
        <v>0.5229042724830347</v>
      </c>
      <c r="L319" s="94" t="n">
        <v>-0.001786281874998741</v>
      </c>
      <c r="M319" s="94" t="n">
        <v>-0.3027814187827245</v>
      </c>
      <c r="N319" t="n">
        <v>62.83606998378852</v>
      </c>
      <c r="O319" t="n">
        <v>0.3836570757659672</v>
      </c>
      <c r="P319" s="143">
        <f>MAX($E$2:E319)</f>
        <v/>
      </c>
      <c r="Q319" s="144">
        <f>E319/P319-1</f>
        <v/>
      </c>
      <c r="R319" s="94" t="n">
        <v>0.01800054466536283</v>
      </c>
    </row>
    <row r="320">
      <c r="A320" s="375" t="n">
        <v>44925</v>
      </c>
      <c r="B320" s="376" t="n">
        <v>107.6902646023467</v>
      </c>
      <c r="C320" s="376" t="n">
        <v>108.3277607163454</v>
      </c>
      <c r="D320" s="376" t="n">
        <v>106.9603794838568</v>
      </c>
      <c r="E320" s="376" t="n">
        <v>108.1060256958008</v>
      </c>
      <c r="F320" s="93" t="n">
        <v>4355500</v>
      </c>
      <c r="G320" s="94" t="n">
        <v>-0.002897223915959923</v>
      </c>
      <c r="H320" s="95" t="n">
        <v>80.0322497307815</v>
      </c>
      <c r="I320" s="376" t="n">
        <v>95.78462432861328</v>
      </c>
      <c r="J320" s="376" t="n">
        <v>101.2491859436035</v>
      </c>
      <c r="K320" s="94" t="n">
        <v>0.5223433023662184</v>
      </c>
      <c r="L320" s="94" t="n">
        <v>-0.004678330532389752</v>
      </c>
      <c r="M320" s="94" t="n">
        <v>-0.2956514875097128</v>
      </c>
      <c r="N320" t="n">
        <v>62.1364627764933</v>
      </c>
      <c r="O320" t="n">
        <v>0.3540782780202103</v>
      </c>
      <c r="P320" s="143">
        <f>MAX($E$2:E320)</f>
        <v/>
      </c>
      <c r="Q320" s="144">
        <f>E320/P320-1</f>
        <v/>
      </c>
      <c r="R320" s="94" t="n">
        <v>-0.002634201902075861</v>
      </c>
    </row>
    <row r="321">
      <c r="A321" s="375" t="n">
        <v>44929</v>
      </c>
      <c r="B321" s="376" t="n">
        <v>109.5288297945006</v>
      </c>
      <c r="C321" s="376" t="n">
        <v>110.397294822946</v>
      </c>
      <c r="D321" s="376" t="n">
        <v>108.5032957177962</v>
      </c>
      <c r="E321" s="376" t="n">
        <v>109.7136077880859</v>
      </c>
      <c r="F321" s="93" t="n">
        <v>8124800</v>
      </c>
      <c r="G321" s="94" t="n">
        <v>0.01487042079235001</v>
      </c>
      <c r="H321" s="95" t="n">
        <v>81.22236296123666</v>
      </c>
      <c r="I321" s="376" t="n">
        <v>96.37935424804688</v>
      </c>
      <c r="J321" s="376" t="n">
        <v>101.2141084671021</v>
      </c>
      <c r="K321" s="94" t="n">
        <v>0.5228711611896411</v>
      </c>
      <c r="L321" s="94" t="n">
        <v>0</v>
      </c>
      <c r="M321" s="94" t="n">
        <v>-0.2851775287445165</v>
      </c>
      <c r="N321" t="n">
        <v>64.32557510136704</v>
      </c>
      <c r="O321" t="n">
        <v>0.3942847206815028</v>
      </c>
      <c r="P321" s="143">
        <f>MAX($E$2:E321)</f>
        <v/>
      </c>
      <c r="Q321" s="144">
        <f>E321/P321-1</f>
        <v/>
      </c>
      <c r="R321" s="94" t="n">
        <v>-0.004210009013858484</v>
      </c>
    </row>
    <row r="322">
      <c r="A322" s="375" t="n">
        <v>44930</v>
      </c>
      <c r="B322" s="376" t="n">
        <v>110.8315244042518</v>
      </c>
      <c r="C322" s="376" t="n">
        <v>112.9287904582791</v>
      </c>
      <c r="D322" s="376" t="n">
        <v>110.434245397244</v>
      </c>
      <c r="E322" s="376" t="n">
        <v>111.9864044189453</v>
      </c>
      <c r="F322" s="93" t="n">
        <v>8550700</v>
      </c>
      <c r="G322" s="94" t="n">
        <v>0.02071572229444252</v>
      </c>
      <c r="H322" s="95" t="n">
        <v>82.90494287644006</v>
      </c>
      <c r="I322" s="376" t="n">
        <v>96.98877624511719</v>
      </c>
      <c r="J322" s="376" t="n">
        <v>101.1728504562378</v>
      </c>
      <c r="K322" s="94" t="n">
        <v>0.5166663167236827</v>
      </c>
      <c r="L322" s="94" t="n">
        <v>0</v>
      </c>
      <c r="M322" s="94" t="n">
        <v>-0.2671832797631195</v>
      </c>
      <c r="N322" t="n">
        <v>67.21183890789891</v>
      </c>
      <c r="O322" t="n">
        <v>0.517677295058165</v>
      </c>
      <c r="P322" s="143">
        <f>MAX($E$2:E322)</f>
        <v/>
      </c>
      <c r="Q322" s="144">
        <f>E322/P322-1</f>
        <v/>
      </c>
      <c r="R322" s="94" t="n">
        <v>0.007720133401835083</v>
      </c>
    </row>
    <row r="323">
      <c r="A323" s="375" t="n">
        <v>44931</v>
      </c>
      <c r="B323" s="376" t="n">
        <v>111.1271760310635</v>
      </c>
      <c r="C323" s="376" t="n">
        <v>113.030416084611</v>
      </c>
      <c r="D323" s="376" t="n">
        <v>110.9423980438791</v>
      </c>
      <c r="E323" s="376" t="n">
        <v>111.4413070678711</v>
      </c>
      <c r="F323" s="93" t="n">
        <v>6046700</v>
      </c>
      <c r="G323" s="94" t="n">
        <v>-0.004867531499939792</v>
      </c>
      <c r="H323" s="95" t="n">
        <v>82.50140045548827</v>
      </c>
      <c r="I323" s="376" t="n">
        <v>97.59632324218749</v>
      </c>
      <c r="J323" s="376" t="n">
        <v>101.1336767196655</v>
      </c>
      <c r="K323" s="94" t="n">
        <v>0.5123362271798214</v>
      </c>
      <c r="L323" s="94" t="n">
        <v>-0.004867531499939903</v>
      </c>
      <c r="M323" s="94" t="n">
        <v>-0.2700081471521512</v>
      </c>
      <c r="N323" t="n">
        <v>65.8360835636703</v>
      </c>
      <c r="O323" t="n">
        <v>0.5057295804818303</v>
      </c>
      <c r="P323" s="143">
        <f>MAX($E$2:E323)</f>
        <v/>
      </c>
      <c r="Q323" s="144">
        <f>E323/P323-1</f>
        <v/>
      </c>
      <c r="R323" s="94" t="n">
        <v>-0.01141336369448986</v>
      </c>
    </row>
    <row r="324">
      <c r="A324" s="375" t="n">
        <v>44932</v>
      </c>
      <c r="B324" s="376" t="n">
        <v>112.7162958183345</v>
      </c>
      <c r="C324" s="376" t="n">
        <v>115.8206140375654</v>
      </c>
      <c r="D324" s="376" t="n">
        <v>112.5037947821104</v>
      </c>
      <c r="E324" s="376" t="n">
        <v>115.0537719726562</v>
      </c>
      <c r="F324" s="93" t="n">
        <v>10080700</v>
      </c>
      <c r="G324" s="94" t="n">
        <v>0.03241585189399343</v>
      </c>
      <c r="H324" s="95" t="n">
        <v>85.17575363370042</v>
      </c>
      <c r="I324" s="376" t="n">
        <v>98.2077751159668</v>
      </c>
      <c r="J324" s="376" t="n">
        <v>101.0992808914185</v>
      </c>
      <c r="K324" s="94" t="n">
        <v>0.5206665848633634</v>
      </c>
      <c r="L324" s="94" t="n">
        <v>0</v>
      </c>
      <c r="M324" s="94" t="n">
        <v>-0.2287032429176539</v>
      </c>
      <c r="N324" t="n">
        <v>70.19080104521089</v>
      </c>
      <c r="O324" t="n">
        <v>0.6737527640405601</v>
      </c>
      <c r="P324" s="143">
        <f>MAX($E$2:E324)</f>
        <v/>
      </c>
      <c r="Q324" s="144">
        <f>E324/P324-1</f>
        <v/>
      </c>
      <c r="R324" s="94" t="n">
        <v>0.02293213558680507</v>
      </c>
    </row>
    <row r="325">
      <c r="A325" s="375" t="n">
        <v>44935</v>
      </c>
      <c r="B325" s="376" t="n">
        <v>115.4880209338122</v>
      </c>
      <c r="C325" s="376" t="n">
        <v>116.9755072073461</v>
      </c>
      <c r="D325" s="376" t="n">
        <v>115.0722668779823</v>
      </c>
      <c r="E325" s="376" t="n">
        <v>115.3494338989258</v>
      </c>
      <c r="F325" s="93" t="n">
        <v>9397900</v>
      </c>
      <c r="G325" s="94" t="n">
        <v>0.002569771691968592</v>
      </c>
      <c r="H325" s="95" t="n">
        <v>85.3946358742304</v>
      </c>
      <c r="I325" s="376" t="n">
        <v>98.81279800415039</v>
      </c>
      <c r="J325" s="376" t="n">
        <v>101.0667758178711</v>
      </c>
      <c r="K325" s="94" t="n">
        <v>0.5151860295761737</v>
      </c>
      <c r="L325" s="94" t="n">
        <v>0</v>
      </c>
      <c r="M325" s="94" t="n">
        <v>-0.2168834936802879</v>
      </c>
      <c r="N325" t="n">
        <v>70.52198328839695</v>
      </c>
      <c r="O325" t="n">
        <v>0.7325639307396177</v>
      </c>
      <c r="P325" s="143">
        <f>MAX($E$2:E325)</f>
        <v/>
      </c>
      <c r="Q325" s="144">
        <f>E325/P325-1</f>
        <v/>
      </c>
      <c r="R325" s="94" t="n">
        <v>-0.0005669745136834825</v>
      </c>
    </row>
    <row r="326">
      <c r="A326" s="375" t="n">
        <v>44936</v>
      </c>
      <c r="B326" s="376" t="n">
        <v>115.6820192492049</v>
      </c>
      <c r="C326" s="376" t="n">
        <v>116.7167942690646</v>
      </c>
      <c r="D326" s="376" t="n">
        <v>114.9059432709313</v>
      </c>
      <c r="E326" s="376" t="n">
        <v>116.2640762329102</v>
      </c>
      <c r="F326" s="93" t="n">
        <v>5899900</v>
      </c>
      <c r="G326" s="94" t="n">
        <v>0.007929317926135937</v>
      </c>
      <c r="H326" s="95" t="n">
        <v>86.07175709126378</v>
      </c>
      <c r="I326" s="376" t="n">
        <v>99.47019348144531</v>
      </c>
      <c r="J326" s="376" t="n">
        <v>101.0430581665039</v>
      </c>
      <c r="K326" s="94" t="n">
        <v>0.5075664985960316</v>
      </c>
      <c r="L326" s="94" t="n">
        <v>0</v>
      </c>
      <c r="M326" s="94" t="n">
        <v>-0.1719272525137526</v>
      </c>
      <c r="N326" t="n">
        <v>71.57411780792302</v>
      </c>
      <c r="O326" t="n">
        <v>0.7576723647088341</v>
      </c>
      <c r="P326" s="143">
        <f>MAX($E$2:E326)</f>
        <v/>
      </c>
      <c r="Q326" s="144">
        <f>E326/P326-1</f>
        <v/>
      </c>
      <c r="R326" s="94" t="n">
        <v>0.007012793489350688</v>
      </c>
    </row>
    <row r="327">
      <c r="A327" s="375" t="n">
        <v>44937</v>
      </c>
      <c r="B327" s="376" t="n">
        <v>116.7075726570608</v>
      </c>
      <c r="C327" s="376" t="n">
        <v>118.4999419257765</v>
      </c>
      <c r="D327" s="376" t="n">
        <v>116.4211646244413</v>
      </c>
      <c r="E327" s="376" t="n">
        <v>118.2042999267578</v>
      </c>
      <c r="F327" s="93" t="n">
        <v>6989200</v>
      </c>
      <c r="G327" s="94" t="n">
        <v>0.01668807560093488</v>
      </c>
      <c r="H327" s="95" t="n">
        <v>87.5081290807081</v>
      </c>
      <c r="I327" s="376" t="n">
        <v>100.1057864379883</v>
      </c>
      <c r="J327" s="376" t="n">
        <v>101.0216207885742</v>
      </c>
      <c r="K327" s="94" t="n">
        <v>0.5049693339600615</v>
      </c>
      <c r="L327" s="94" t="n">
        <v>0</v>
      </c>
      <c r="M327" s="94" t="n">
        <v>-0.1581083119006284</v>
      </c>
      <c r="N327" t="n">
        <v>73.71715893761557</v>
      </c>
      <c r="O327" t="n">
        <v>0.8240636709959253</v>
      </c>
      <c r="P327" s="143">
        <f>MAX($E$2:E327)</f>
        <v/>
      </c>
      <c r="Q327" s="144">
        <f>E327/P327-1</f>
        <v/>
      </c>
      <c r="R327" s="94" t="n">
        <v>0.0126480369165396</v>
      </c>
    </row>
    <row r="328">
      <c r="A328" s="375" t="n">
        <v>44938</v>
      </c>
      <c r="B328" s="376" t="n">
        <v>118.5830984079434</v>
      </c>
      <c r="C328" s="376" t="n">
        <v>118.6847284241643</v>
      </c>
      <c r="D328" s="376" t="n">
        <v>116.8369131514338</v>
      </c>
      <c r="E328" s="376" t="n">
        <v>118.1580963134766</v>
      </c>
      <c r="F328" s="93" t="n">
        <v>8366400</v>
      </c>
      <c r="G328" s="94" t="n">
        <v>-0.000390879293814872</v>
      </c>
      <c r="H328" s="95" t="n">
        <v>87.47392396500997</v>
      </c>
      <c r="I328" s="376" t="n">
        <v>100.7616403198242</v>
      </c>
      <c r="J328" s="376" t="n">
        <v>100.9948675537109</v>
      </c>
      <c r="K328" s="94" t="n">
        <v>0.5056700669325325</v>
      </c>
      <c r="L328" s="94" t="n">
        <v>-0.000390879293814872</v>
      </c>
      <c r="M328" s="94" t="n">
        <v>-0.1584373899291412</v>
      </c>
      <c r="N328" t="n">
        <v>73.57490801170816</v>
      </c>
      <c r="O328" t="n">
        <v>0.7842025820059799</v>
      </c>
      <c r="P328" s="143">
        <f>MAX($E$2:E328)</f>
        <v/>
      </c>
      <c r="Q328" s="144">
        <f>E328/P328-1</f>
        <v/>
      </c>
      <c r="R328" s="94" t="n">
        <v>0.003640885474219591</v>
      </c>
    </row>
    <row r="329">
      <c r="A329" s="375" t="n">
        <v>44939</v>
      </c>
      <c r="B329" s="376" t="n">
        <v>117.0216917953087</v>
      </c>
      <c r="C329" s="376" t="n">
        <v>119.3961179022225</v>
      </c>
      <c r="D329" s="376" t="n">
        <v>117.0216917953087</v>
      </c>
      <c r="E329" s="376" t="n">
        <v>119.0450439453125</v>
      </c>
      <c r="F329" s="93" t="n">
        <v>4856500</v>
      </c>
      <c r="G329" s="94" t="n">
        <v>0.007506448220719886</v>
      </c>
      <c r="H329" s="95" t="n">
        <v>88.1305424459165</v>
      </c>
      <c r="I329" s="376" t="n">
        <v>101.4151538085937</v>
      </c>
      <c r="J329" s="376" t="n">
        <v>100.9527140426636</v>
      </c>
      <c r="K329" s="94" t="n">
        <v>0.5005888416346398</v>
      </c>
      <c r="L329" s="94" t="n">
        <v>0</v>
      </c>
      <c r="M329" s="94" t="n">
        <v>-0.1521202437721505</v>
      </c>
      <c r="N329" t="n">
        <v>74.5886354935689</v>
      </c>
      <c r="O329" t="n">
        <v>0.7375983103992141</v>
      </c>
      <c r="P329" s="143">
        <f>MAX($E$2:E329)</f>
        <v/>
      </c>
      <c r="Q329" s="144">
        <f>E329/P329-1</f>
        <v/>
      </c>
      <c r="R329" s="94" t="n">
        <v>0.003879393585923152</v>
      </c>
    </row>
    <row r="330">
      <c r="A330" s="375" t="n">
        <v>44943</v>
      </c>
      <c r="B330" s="376" t="n">
        <v>118.2597225958327</v>
      </c>
      <c r="C330" s="376" t="n">
        <v>119.2298247022832</v>
      </c>
      <c r="D330" s="376" t="n">
        <v>118.102660593479</v>
      </c>
      <c r="E330" s="376" t="n">
        <v>118.3890686035156</v>
      </c>
      <c r="F330" s="93" t="n">
        <v>6172200</v>
      </c>
      <c r="G330" s="94" t="n">
        <v>-0.005510312063879086</v>
      </c>
      <c r="H330" s="95" t="n">
        <v>87.64491565468056</v>
      </c>
      <c r="I330" s="376" t="n">
        <v>102.1194700622559</v>
      </c>
      <c r="J330" s="376" t="n">
        <v>100.9100291442871</v>
      </c>
      <c r="K330" s="94" t="n">
        <v>0.48702703015779</v>
      </c>
      <c r="L330" s="94" t="n">
        <v>-0.005510312063879086</v>
      </c>
      <c r="M330" s="94" t="n">
        <v>-0.1347089280098297</v>
      </c>
      <c r="N330" t="n">
        <v>72.37716820920618</v>
      </c>
      <c r="O330" t="n">
        <v>0.5890637401148577</v>
      </c>
      <c r="P330" s="143">
        <f>MAX($E$2:E330)</f>
        <v/>
      </c>
      <c r="Q330" s="144">
        <f>E330/P330-1</f>
        <v/>
      </c>
      <c r="R330" s="94" t="n">
        <v>-0.001831719024225409</v>
      </c>
    </row>
    <row r="331">
      <c r="A331" s="375" t="n">
        <v>44944</v>
      </c>
      <c r="B331" s="376" t="n">
        <v>118.074939923643</v>
      </c>
      <c r="C331" s="376" t="n">
        <v>118.8048179171704</v>
      </c>
      <c r="D331" s="376" t="n">
        <v>116.4119098209551</v>
      </c>
      <c r="E331" s="376" t="n">
        <v>116.8091888427734</v>
      </c>
      <c r="F331" s="93" t="n">
        <v>6828800</v>
      </c>
      <c r="G331" s="94" t="n">
        <v>-0.01334481113313934</v>
      </c>
      <c r="H331" s="95" t="n">
        <v>86.47531080848893</v>
      </c>
      <c r="I331" s="376" t="n">
        <v>102.7903466796875</v>
      </c>
      <c r="J331" s="376" t="n">
        <v>100.8776766586304</v>
      </c>
      <c r="K331" s="94" t="n">
        <v>0.4792920482408792</v>
      </c>
      <c r="L331" s="94" t="n">
        <v>-0.01878158912324124</v>
      </c>
      <c r="M331" s="94" t="n">
        <v>-0.1462560739407301</v>
      </c>
      <c r="N331" t="n">
        <v>67.20878059697961</v>
      </c>
      <c r="O331" t="n">
        <v>0.324123643926491</v>
      </c>
      <c r="P331" s="143">
        <f>MAX($E$2:E331)</f>
        <v/>
      </c>
      <c r="Q331" s="144">
        <f>E331/P331-1</f>
        <v/>
      </c>
      <c r="R331" s="94" t="n">
        <v>-0.01578809398500802</v>
      </c>
    </row>
    <row r="332">
      <c r="A332" s="375" t="n">
        <v>44945</v>
      </c>
      <c r="B332" s="376" t="n">
        <v>115.2939890029903</v>
      </c>
      <c r="C332" s="376" t="n">
        <v>115.8945280544111</v>
      </c>
      <c r="D332" s="376" t="n">
        <v>114.2037819254172</v>
      </c>
      <c r="E332" s="376" t="n">
        <v>115.0537719726562</v>
      </c>
      <c r="F332" s="93" t="n">
        <v>5273500</v>
      </c>
      <c r="G332" s="94" t="n">
        <v>-0.01502807174254073</v>
      </c>
      <c r="H332" s="95" t="n">
        <v>85.17575363370045</v>
      </c>
      <c r="I332" s="376" t="n">
        <v>103.3268231201172</v>
      </c>
      <c r="J332" s="376" t="n">
        <v>100.8413111114502</v>
      </c>
      <c r="K332" s="94" t="n">
        <v>0.4686563680460573</v>
      </c>
      <c r="L332" s="94" t="n">
        <v>-0.03352740979699897</v>
      </c>
      <c r="M332" s="94" t="n">
        <v>-0.1590861989113073</v>
      </c>
      <c r="N332" t="n">
        <v>61.91809457920922</v>
      </c>
      <c r="O332" t="n">
        <v>-0.01182969469537642</v>
      </c>
      <c r="P332" s="143">
        <f>MAX($E$2:E332)</f>
        <v/>
      </c>
      <c r="Q332" s="144">
        <f>E332/P332-1</f>
        <v/>
      </c>
      <c r="R332" s="94" t="n">
        <v>-0.007279905569467782</v>
      </c>
    </row>
    <row r="333">
      <c r="A333" s="375" t="n">
        <v>44946</v>
      </c>
      <c r="B333" s="376" t="n">
        <v>115.1923499528474</v>
      </c>
      <c r="C333" s="376" t="n">
        <v>117.0032009304958</v>
      </c>
      <c r="D333" s="376" t="n">
        <v>114.6010519621388</v>
      </c>
      <c r="E333" s="376" t="n">
        <v>116.9847259521484</v>
      </c>
      <c r="F333" s="93" t="n">
        <v>5673200</v>
      </c>
      <c r="G333" s="94" t="n">
        <v>0.01678305670805047</v>
      </c>
      <c r="H333" s="95" t="n">
        <v>86.60526313708577</v>
      </c>
      <c r="I333" s="376" t="n">
        <v>103.9452090454102</v>
      </c>
      <c r="J333" s="376" t="n">
        <v>100.8108441162109</v>
      </c>
      <c r="K333" s="94" t="n">
        <v>0.4681758369259293</v>
      </c>
      <c r="L333" s="94" t="n">
        <v>-0.01730704550884565</v>
      </c>
      <c r="M333" s="94" t="n">
        <v>-0.1449730949010536</v>
      </c>
      <c r="N333" t="n">
        <v>65.16642610224321</v>
      </c>
      <c r="O333" t="n">
        <v>-0.139398990917571</v>
      </c>
      <c r="P333" s="143">
        <f>MAX($E$2:E333)</f>
        <v/>
      </c>
      <c r="Q333" s="144">
        <f>E333/P333-1</f>
        <v/>
      </c>
      <c r="R333" s="94" t="n">
        <v>0.01862910856252897</v>
      </c>
    </row>
    <row r="334">
      <c r="A334" s="375" t="n">
        <v>44949</v>
      </c>
      <c r="B334" s="376" t="n">
        <v>117.2434298596718</v>
      </c>
      <c r="C334" s="376" t="n">
        <v>118.9526510080804</v>
      </c>
      <c r="D334" s="376" t="n">
        <v>116.9108238249856</v>
      </c>
      <c r="E334" s="376" t="n">
        <v>118.5276489257812</v>
      </c>
      <c r="F334" s="93" t="n">
        <v>5581600</v>
      </c>
      <c r="G334" s="94" t="n">
        <v>0.01318909764565279</v>
      </c>
      <c r="H334" s="95" t="n">
        <v>87.74750840922826</v>
      </c>
      <c r="I334" s="376" t="n">
        <v>104.5887428283691</v>
      </c>
      <c r="J334" s="376" t="n">
        <v>100.7974366378784</v>
      </c>
      <c r="K334" s="94" t="n">
        <v>0.2183122485538169</v>
      </c>
      <c r="L334" s="94" t="n">
        <v>-0.004346212176366659</v>
      </c>
      <c r="M334" s="94" t="n">
        <v>-0.1336960615600433</v>
      </c>
      <c r="N334" t="n">
        <v>67.54838875043572</v>
      </c>
      <c r="O334" t="n">
        <v>-0.154115326912132</v>
      </c>
      <c r="P334" s="143">
        <f>MAX($E$2:E334)</f>
        <v/>
      </c>
      <c r="Q334" s="144">
        <f>E334/P334-1</f>
        <v/>
      </c>
      <c r="R334" s="94" t="n">
        <v>0.01199846667131665</v>
      </c>
    </row>
    <row r="335">
      <c r="A335" s="375" t="n">
        <v>44950</v>
      </c>
      <c r="B335" s="376" t="n">
        <v>117.1602746848354</v>
      </c>
      <c r="C335" s="376" t="n">
        <v>118.2689567665621</v>
      </c>
      <c r="D335" s="376" t="n">
        <v>111.2842441442607</v>
      </c>
      <c r="E335" s="376" t="n">
        <v>117.1787567138672</v>
      </c>
      <c r="F335" s="93" t="n">
        <v>5486200</v>
      </c>
      <c r="G335" s="94" t="n">
        <v>-0.01138040131681595</v>
      </c>
      <c r="H335" s="95" t="n">
        <v>86.74890654898057</v>
      </c>
      <c r="I335" s="376" t="n">
        <v>105.2356941223145</v>
      </c>
      <c r="J335" s="376" t="n">
        <v>100.7953331756592</v>
      </c>
      <c r="K335" s="94" t="n">
        <v>0.2257585540257507</v>
      </c>
      <c r="L335" s="94" t="n">
        <v>-0.01567715185440743</v>
      </c>
      <c r="M335" s="94" t="n">
        <v>-0.1435549480418282</v>
      </c>
      <c r="N335" t="n">
        <v>63.4626304996518</v>
      </c>
      <c r="O335" t="n">
        <v>-0.2815237884404365</v>
      </c>
      <c r="P335" s="143">
        <f>MAX($E$2:E335)</f>
        <v/>
      </c>
      <c r="Q335" s="144">
        <f>E335/P335-1</f>
        <v/>
      </c>
      <c r="R335" s="94" t="n">
        <v>-0.001073190763531517</v>
      </c>
    </row>
    <row r="336">
      <c r="A336" s="375" t="n">
        <v>44951</v>
      </c>
      <c r="B336" s="376" t="n">
        <v>116.2825704281829</v>
      </c>
      <c r="C336" s="376" t="n">
        <v>117.3450615514709</v>
      </c>
      <c r="D336" s="376" t="n">
        <v>115.330950334319</v>
      </c>
      <c r="E336" s="376" t="n">
        <v>117.1695175170898</v>
      </c>
      <c r="F336" s="93" t="n">
        <v>5933700</v>
      </c>
      <c r="G336" s="94" t="n">
        <v>-7.884702856086889e-05</v>
      </c>
      <c r="H336" s="95" t="n">
        <v>86.74206665546828</v>
      </c>
      <c r="I336" s="376" t="n">
        <v>105.7463255310059</v>
      </c>
      <c r="J336" s="376" t="n">
        <v>100.7885111618042</v>
      </c>
      <c r="K336" s="94" t="n">
        <v>0.2243086856172599</v>
      </c>
      <c r="L336" s="94" t="n">
        <v>-0.01575476278612831</v>
      </c>
      <c r="M336" s="94" t="n">
        <v>-0.1436224761893008</v>
      </c>
      <c r="N336" t="n">
        <v>63.43432807328014</v>
      </c>
      <c r="O336" t="n">
        <v>-0.3867513535456268</v>
      </c>
      <c r="P336" s="143">
        <f>MAX($E$2:E336)</f>
        <v/>
      </c>
      <c r="Q336" s="144">
        <f>E336/P336-1</f>
        <v/>
      </c>
      <c r="R336" s="94" t="n">
        <v>0.0003748770496816434</v>
      </c>
    </row>
    <row r="337">
      <c r="A337" s="375" t="n">
        <v>44952</v>
      </c>
      <c r="B337" s="376" t="n">
        <v>118.6847233476362</v>
      </c>
      <c r="C337" s="376" t="n">
        <v>119.1743913782127</v>
      </c>
      <c r="D337" s="376" t="n">
        <v>116.4211541408796</v>
      </c>
      <c r="E337" s="376" t="n">
        <v>117.8254852294922</v>
      </c>
      <c r="F337" s="93" t="n">
        <v>5838800</v>
      </c>
      <c r="G337" s="94" t="n">
        <v>0.005598450230937191</v>
      </c>
      <c r="H337" s="95" t="n">
        <v>87.22768779856756</v>
      </c>
      <c r="I337" s="376" t="n">
        <v>106.1484944152832</v>
      </c>
      <c r="J337" s="376" t="n">
        <v>100.7906033706665</v>
      </c>
      <c r="K337" s="94" t="n">
        <v>0.2229230503371799</v>
      </c>
      <c r="L337" s="94" t="n">
        <v>-0.01024451481054944</v>
      </c>
      <c r="M337" s="94" t="n">
        <v>-0.1388280892433534</v>
      </c>
      <c r="N337" t="n">
        <v>64.64005808920788</v>
      </c>
      <c r="O337" t="n">
        <v>-0.4292267241793581</v>
      </c>
      <c r="P337" s="143">
        <f>MAX($E$2:E337)</f>
        <v/>
      </c>
      <c r="Q337" s="144">
        <f>E337/P337-1</f>
        <v/>
      </c>
      <c r="R337" s="94" t="n">
        <v>0.01099019483264718</v>
      </c>
    </row>
    <row r="338">
      <c r="A338" s="375" t="n">
        <v>44953</v>
      </c>
      <c r="B338" s="376" t="n">
        <v>117.4004902020327</v>
      </c>
      <c r="C338" s="376" t="n">
        <v>118.7955873250777</v>
      </c>
      <c r="D338" s="376" t="n">
        <v>117.0586431576544</v>
      </c>
      <c r="E338" s="376" t="n">
        <v>117.8254852294922</v>
      </c>
      <c r="F338" s="93" t="n">
        <v>5730000</v>
      </c>
      <c r="G338" s="94" t="n">
        <v>0</v>
      </c>
      <c r="H338" s="95" t="n">
        <v>87.22768779856756</v>
      </c>
      <c r="I338" s="376" t="n">
        <v>106.5819798278809</v>
      </c>
      <c r="J338" s="376" t="n">
        <v>100.807216796875</v>
      </c>
      <c r="K338" s="94" t="n">
        <v>0.2013920663536858</v>
      </c>
      <c r="L338" s="94" t="n">
        <v>-0.01024451481054944</v>
      </c>
      <c r="M338" s="94" t="n">
        <v>-0.1388280892433534</v>
      </c>
      <c r="N338" t="n">
        <v>64.64005808920788</v>
      </c>
      <c r="O338" t="n">
        <v>-0.4710276383318615</v>
      </c>
      <c r="P338" s="143">
        <f>MAX($E$2:E338)</f>
        <v/>
      </c>
      <c r="Q338" s="144">
        <f>E338/P338-1</f>
        <v/>
      </c>
      <c r="R338" s="94" t="n">
        <v>0.002297809665978034</v>
      </c>
    </row>
    <row r="339">
      <c r="A339" s="375" t="n">
        <v>44956</v>
      </c>
      <c r="B339" s="376" t="n">
        <v>116.8738739217375</v>
      </c>
      <c r="C339" s="376" t="n">
        <v>117.8532100562864</v>
      </c>
      <c r="D339" s="376" t="n">
        <v>116.6059408747926</v>
      </c>
      <c r="E339" s="376" t="n">
        <v>116.7537689208984</v>
      </c>
      <c r="F339" s="93" t="n">
        <v>6494600</v>
      </c>
      <c r="G339" s="94" t="n">
        <v>-0.009095793719892886</v>
      </c>
      <c r="H339" s="95" t="n">
        <v>86.43428274368856</v>
      </c>
      <c r="I339" s="376" t="n">
        <v>106.9512928771973</v>
      </c>
      <c r="J339" s="376" t="n">
        <v>100.8181968307495</v>
      </c>
      <c r="K339" s="94" t="n">
        <v>0.1989672987587371</v>
      </c>
      <c r="L339" s="94" t="n">
        <v>-0.01924712653696536</v>
      </c>
      <c r="M339" s="94" t="n">
        <v>-0.1466611313009619</v>
      </c>
      <c r="N339" t="n">
        <v>60.83882851098472</v>
      </c>
      <c r="O339" t="n">
        <v>-0.5775354070585879</v>
      </c>
      <c r="P339" s="143">
        <f>MAX($E$2:E339)</f>
        <v/>
      </c>
      <c r="Q339" s="144">
        <f>E339/P339-1</f>
        <v/>
      </c>
      <c r="R339" s="94" t="n">
        <v>-0.01254691082589554</v>
      </c>
    </row>
    <row r="340">
      <c r="A340" s="375" t="n">
        <v>44957</v>
      </c>
      <c r="B340" s="376" t="n">
        <v>116.7999452470503</v>
      </c>
      <c r="C340" s="376" t="n">
        <v>118.1211282858651</v>
      </c>
      <c r="D340" s="376" t="n">
        <v>116.4211482618724</v>
      </c>
      <c r="E340" s="376" t="n">
        <v>117.6407012939453</v>
      </c>
      <c r="F340" s="93" t="n">
        <v>7686900</v>
      </c>
      <c r="G340" s="94" t="n">
        <v>0.007596605927537858</v>
      </c>
      <c r="H340" s="95" t="n">
        <v>87.09088992832174</v>
      </c>
      <c r="I340" s="376" t="n">
        <v>107.365608215332</v>
      </c>
      <c r="J340" s="376" t="n">
        <v>100.822388420105</v>
      </c>
      <c r="K340" s="94" t="n">
        <v>0.1977771656950213</v>
      </c>
      <c r="L340" s="94" t="n">
        <v>-0.01179673344496623</v>
      </c>
      <c r="M340" s="94" t="n">
        <v>-0.1401786521928043</v>
      </c>
      <c r="N340" t="n">
        <v>62.78906934169232</v>
      </c>
      <c r="O340" t="n">
        <v>-0.5927041623020251</v>
      </c>
      <c r="P340" s="143">
        <f>MAX($E$2:E340)</f>
        <v/>
      </c>
      <c r="Q340" s="144">
        <f>E340/P340-1</f>
        <v/>
      </c>
      <c r="R340" s="94" t="n">
        <v>0.01470357433442637</v>
      </c>
    </row>
    <row r="341">
      <c r="A341" s="375" t="n">
        <v>44958</v>
      </c>
      <c r="B341" s="376" t="n">
        <v>118.1673313820807</v>
      </c>
      <c r="C341" s="376" t="n">
        <v>120.3107885319945</v>
      </c>
      <c r="D341" s="376" t="n">
        <v>116.615172270155</v>
      </c>
      <c r="E341" s="376" t="n">
        <v>119.6455764770508</v>
      </c>
      <c r="F341" s="93" t="n">
        <v>6387900</v>
      </c>
      <c r="G341" s="94" t="n">
        <v>0.01704236000851389</v>
      </c>
      <c r="H341" s="95" t="n">
        <v>88.57512422794206</v>
      </c>
      <c r="I341" s="376" t="n">
        <v>107.8176264953613</v>
      </c>
      <c r="J341" s="376" t="n">
        <v>100.8092566680908</v>
      </c>
      <c r="K341" s="94" t="n">
        <v>0.1994586830297148</v>
      </c>
      <c r="L341" s="94" t="n">
        <v>0</v>
      </c>
      <c r="M341" s="94" t="n">
        <v>-0.1255252672404685</v>
      </c>
      <c r="N341" t="n">
        <v>66.81243475624811</v>
      </c>
      <c r="O341" t="n">
        <v>-0.4771328311125429</v>
      </c>
      <c r="P341" s="143">
        <f>MAX($E$2:E341)</f>
        <v/>
      </c>
      <c r="Q341" s="144">
        <f>E341/P341-1</f>
        <v/>
      </c>
      <c r="R341" s="94" t="n">
        <v>0.0106275929045585</v>
      </c>
    </row>
    <row r="342">
      <c r="A342" s="375" t="n">
        <v>44959</v>
      </c>
      <c r="B342" s="376" t="n">
        <v>120.5232855678039</v>
      </c>
      <c r="C342" s="376" t="n">
        <v>121.3178436481004</v>
      </c>
      <c r="D342" s="376" t="n">
        <v>118.1303773611827</v>
      </c>
      <c r="E342" s="376" t="n">
        <v>119.2390594482422</v>
      </c>
      <c r="F342" s="93" t="n">
        <v>5214500</v>
      </c>
      <c r="G342" s="94" t="n">
        <v>-0.003397677045641312</v>
      </c>
      <c r="H342" s="95" t="n">
        <v>88.27417456153796</v>
      </c>
      <c r="I342" s="376" t="n">
        <v>108.2604090881348</v>
      </c>
      <c r="J342" s="376" t="n">
        <v>100.8024753189087</v>
      </c>
      <c r="K342" s="94" t="n">
        <v>0.1915326154931536</v>
      </c>
      <c r="L342" s="94" t="n">
        <v>-0.003397677045641201</v>
      </c>
      <c r="M342" s="94" t="n">
        <v>-0.1272139096369552</v>
      </c>
      <c r="N342" t="n">
        <v>65.27138084236742</v>
      </c>
      <c r="O342" t="n">
        <v>-0.438476522033092</v>
      </c>
      <c r="P342" s="143">
        <f>MAX($E$2:E342)</f>
        <v/>
      </c>
      <c r="Q342" s="144">
        <f>E342/P342-1</f>
        <v/>
      </c>
      <c r="R342" s="94" t="n">
        <v>0.01455698977810416</v>
      </c>
    </row>
    <row r="343">
      <c r="A343" s="375" t="n">
        <v>44960</v>
      </c>
      <c r="B343" s="376" t="n">
        <v>117.1417901687487</v>
      </c>
      <c r="C343" s="376" t="n">
        <v>119.5716551752923</v>
      </c>
      <c r="D343" s="376" t="n">
        <v>116.8184251753042</v>
      </c>
      <c r="E343" s="376" t="n">
        <v>117.8993911743164</v>
      </c>
      <c r="F343" s="93" t="n">
        <v>4930200</v>
      </c>
      <c r="G343" s="94" t="n">
        <v>-0.01123514626939248</v>
      </c>
      <c r="H343" s="95" t="n">
        <v>87.28240129852919</v>
      </c>
      <c r="I343" s="376" t="n">
        <v>108.7056883239746</v>
      </c>
      <c r="J343" s="376" t="n">
        <v>100.7641674423218</v>
      </c>
      <c r="K343" s="94" t="n">
        <v>0.1963675337123823</v>
      </c>
      <c r="L343" s="94" t="n">
        <v>-0.01459464991644976</v>
      </c>
      <c r="M343" s="94" t="n">
        <v>-0.1312067853463517</v>
      </c>
      <c r="N343" t="n">
        <v>60.3326416874452</v>
      </c>
      <c r="O343" t="n">
        <v>-0.5086076420826262</v>
      </c>
      <c r="P343" s="143">
        <f>MAX($E$2:E343)</f>
        <v/>
      </c>
      <c r="Q343" s="144">
        <f>E343/P343-1</f>
        <v/>
      </c>
      <c r="R343" s="94" t="n">
        <v>-0.01062911024172475</v>
      </c>
    </row>
    <row r="344">
      <c r="A344" s="375" t="n">
        <v>44963</v>
      </c>
      <c r="B344" s="376" t="n">
        <v>115.9684418886282</v>
      </c>
      <c r="C344" s="376" t="n">
        <v>116.5043079692435</v>
      </c>
      <c r="D344" s="376" t="n">
        <v>114.8597597656157</v>
      </c>
      <c r="E344" s="376" t="n">
        <v>116.162467956543</v>
      </c>
      <c r="F344" s="93" t="n">
        <v>4666400</v>
      </c>
      <c r="G344" s="94" t="n">
        <v>-0.01473224925483596</v>
      </c>
      <c r="H344" s="95" t="n">
        <v>85.99653520703863</v>
      </c>
      <c r="I344" s="376" t="n">
        <v>109.0768072509766</v>
      </c>
      <c r="J344" s="376" t="n">
        <v>100.7225804901123</v>
      </c>
      <c r="K344" s="94" t="n">
        <v>0.1721798598010433</v>
      </c>
      <c r="L344" s="94" t="n">
        <v>-0.02911188715092961</v>
      </c>
      <c r="M344" s="94" t="n">
        <v>-0.1386684548757131</v>
      </c>
      <c r="N344" t="n">
        <v>54.56767538748187</v>
      </c>
      <c r="O344" t="n">
        <v>-0.6674408887076226</v>
      </c>
      <c r="P344" s="143">
        <f>MAX($E$2:E344)</f>
        <v/>
      </c>
      <c r="Q344" s="144">
        <f>E344/P344-1</f>
        <v/>
      </c>
      <c r="R344" s="94" t="n">
        <v>-0.006111417860116819</v>
      </c>
    </row>
    <row r="345">
      <c r="A345" s="375" t="n">
        <v>44964</v>
      </c>
      <c r="B345" s="376" t="n">
        <v>114.5271414117571</v>
      </c>
      <c r="C345" s="376" t="n">
        <v>116.347233457991</v>
      </c>
      <c r="D345" s="376" t="n">
        <v>113.8711704037693</v>
      </c>
      <c r="E345" s="376" t="n">
        <v>115.7928924560547</v>
      </c>
      <c r="F345" s="93" t="n">
        <v>5288900</v>
      </c>
      <c r="G345" s="94" t="n">
        <v>-0.003181539674471656</v>
      </c>
      <c r="H345" s="95" t="n">
        <v>85.72293381841034</v>
      </c>
      <c r="I345" s="376" t="n">
        <v>109.4280082702637</v>
      </c>
      <c r="J345" s="376" t="n">
        <v>100.6810235977173</v>
      </c>
      <c r="K345" s="94" t="n">
        <v>0.1724886177815254</v>
      </c>
      <c r="L345" s="94" t="n">
        <v>-0.03220080620143184</v>
      </c>
      <c r="M345" s="94" t="n">
        <v>-0.1414088153594</v>
      </c>
      <c r="N345" t="n">
        <v>53.39849720432117</v>
      </c>
      <c r="O345" t="n">
        <v>-0.7847624388384409</v>
      </c>
      <c r="P345" s="143">
        <f>MAX($E$2:E345)</f>
        <v/>
      </c>
      <c r="Q345" s="144">
        <f>E345/P345-1</f>
        <v/>
      </c>
      <c r="R345" s="94" t="n">
        <v>0.01307876810209874</v>
      </c>
    </row>
    <row r="346">
      <c r="A346" s="375" t="n">
        <v>44965</v>
      </c>
      <c r="B346" s="376" t="n">
        <v>113.9912969212688</v>
      </c>
      <c r="C346" s="376" t="n">
        <v>114.6565090687798</v>
      </c>
      <c r="D346" s="376" t="n">
        <v>112.5315336518192</v>
      </c>
      <c r="E346" s="376" t="n">
        <v>113.5570678710938</v>
      </c>
      <c r="F346" s="93" t="n">
        <v>5877800</v>
      </c>
      <c r="G346" s="94" t="n">
        <v>-0.01930882403520118</v>
      </c>
      <c r="H346" s="95" t="n">
        <v>84.06772477352946</v>
      </c>
      <c r="I346" s="376" t="n">
        <v>109.7472035217285</v>
      </c>
      <c r="J346" s="376" t="n">
        <v>100.6575592422485</v>
      </c>
      <c r="K346" s="94" t="n">
        <v>0.1831677430127348</v>
      </c>
      <c r="L346" s="94" t="n">
        <v>-0.05088787053589794</v>
      </c>
      <c r="M346" s="94" t="n">
        <v>-0.1579872014618002</v>
      </c>
      <c r="N346" t="n">
        <v>46.85750479539539</v>
      </c>
      <c r="O346" t="n">
        <v>-0.9872260966330706</v>
      </c>
      <c r="P346" s="143">
        <f>MAX($E$2:E346)</f>
        <v/>
      </c>
      <c r="Q346" s="144">
        <f>E346/P346-1</f>
        <v/>
      </c>
      <c r="R346" s="94" t="n">
        <v>-0.01093482981068705</v>
      </c>
    </row>
    <row r="347">
      <c r="A347" s="375" t="n">
        <v>44966</v>
      </c>
      <c r="B347" s="376" t="n">
        <v>115.2200906069644</v>
      </c>
      <c r="C347" s="376" t="n">
        <v>115.5064986500349</v>
      </c>
      <c r="D347" s="376" t="n">
        <v>112.2543590050365</v>
      </c>
      <c r="E347" s="376" t="n">
        <v>112.8826141357422</v>
      </c>
      <c r="F347" s="93" t="n">
        <v>5929000</v>
      </c>
      <c r="G347" s="94" t="n">
        <v>-0.005939337356941854</v>
      </c>
      <c r="H347" s="95" t="n">
        <v>83.56841819526893</v>
      </c>
      <c r="I347" s="376" t="n">
        <v>110.0713313293457</v>
      </c>
      <c r="J347" s="376" t="n">
        <v>100.6358990859985</v>
      </c>
      <c r="K347" s="94" t="n">
        <v>0.1712203561336925</v>
      </c>
      <c r="L347" s="94" t="n">
        <v>-0.05652496766235071</v>
      </c>
      <c r="M347" s="94" t="n">
        <v>-0.1629881995311813</v>
      </c>
      <c r="N347" t="n">
        <v>45.06423460282531</v>
      </c>
      <c r="O347" t="n">
        <v>-1.130548570593093</v>
      </c>
      <c r="P347" s="143">
        <f>MAX($E$2:E347)</f>
        <v/>
      </c>
      <c r="Q347" s="144">
        <f>E347/P347-1</f>
        <v/>
      </c>
      <c r="R347" s="94" t="n">
        <v>-0.008669147283487777</v>
      </c>
    </row>
    <row r="348">
      <c r="A348" s="375" t="n">
        <v>44967</v>
      </c>
      <c r="B348" s="376" t="n">
        <v>112.2635828186304</v>
      </c>
      <c r="C348" s="376" t="n">
        <v>113.3075918550362</v>
      </c>
      <c r="D348" s="376" t="n">
        <v>111.3673947644775</v>
      </c>
      <c r="E348" s="376" t="n">
        <v>112.9287948608398</v>
      </c>
      <c r="F348" s="93" t="n">
        <v>5195500</v>
      </c>
      <c r="G348" s="94" t="n">
        <v>0.0004091039656657358</v>
      </c>
      <c r="H348" s="95" t="n">
        <v>83.60260636655703</v>
      </c>
      <c r="I348" s="376" t="n">
        <v>110.3726190185547</v>
      </c>
      <c r="J348" s="376" t="n">
        <v>100.6484597396851</v>
      </c>
      <c r="K348" s="94" t="n">
        <v>0.1713587696570608</v>
      </c>
      <c r="L348" s="94" t="n">
        <v>-0.05613898828511477</v>
      </c>
      <c r="M348" s="94" t="n">
        <v>-0.1626457746843004</v>
      </c>
      <c r="N348" t="n">
        <v>45.21882807693096</v>
      </c>
      <c r="O348" t="n">
        <v>-1.180723338755366</v>
      </c>
      <c r="P348" s="143">
        <f>MAX($E$2:E348)</f>
        <v/>
      </c>
      <c r="Q348" s="144">
        <f>E348/P348-1</f>
        <v/>
      </c>
      <c r="R348" s="94" t="n">
        <v>0.002333723295852685</v>
      </c>
    </row>
    <row r="349">
      <c r="A349" s="375" t="n">
        <v>44970</v>
      </c>
      <c r="B349" s="376" t="n">
        <v>113.4739038788314</v>
      </c>
      <c r="C349" s="376" t="n">
        <v>116.1532272399592</v>
      </c>
      <c r="D349" s="376" t="n">
        <v>113.1412978313078</v>
      </c>
      <c r="E349" s="376" t="n">
        <v>115.6266021728516</v>
      </c>
      <c r="F349" s="93" t="n">
        <v>5689800</v>
      </c>
      <c r="G349" s="94" t="n">
        <v>0.02388945454820601</v>
      </c>
      <c r="H349" s="95" t="n">
        <v>85.59982703146245</v>
      </c>
      <c r="I349" s="376" t="n">
        <v>110.6644923400879</v>
      </c>
      <c r="J349" s="376" t="n">
        <v>100.6712110900879</v>
      </c>
      <c r="K349" s="94" t="n">
        <v>0.1922661820514905</v>
      </c>
      <c r="L349" s="94" t="n">
        <v>-0.03359066354592832</v>
      </c>
      <c r="M349" s="94" t="n">
        <v>-0.1391995102697626</v>
      </c>
      <c r="N349" t="n">
        <v>53.45852090224589</v>
      </c>
      <c r="O349" t="n">
        <v>-0.9979729638191506</v>
      </c>
      <c r="P349" s="143">
        <f>MAX($E$2:E349)</f>
        <v/>
      </c>
      <c r="Q349" s="144">
        <f>E349/P349-1</f>
        <v/>
      </c>
      <c r="R349" s="94" t="n">
        <v>0.01173875794333923</v>
      </c>
    </row>
    <row r="350">
      <c r="A350" s="375" t="n">
        <v>44971</v>
      </c>
      <c r="B350" s="376" t="n">
        <v>114.5179107151235</v>
      </c>
      <c r="C350" s="376" t="n">
        <v>116.7445229861654</v>
      </c>
      <c r="D350" s="376" t="n">
        <v>114.3238916994075</v>
      </c>
      <c r="E350" s="376" t="n">
        <v>116.5966949462891</v>
      </c>
      <c r="F350" s="93" t="n">
        <v>4845900</v>
      </c>
      <c r="G350" s="94" t="n">
        <v>0.008389875298655758</v>
      </c>
      <c r="H350" s="95" t="n">
        <v>86.31799890584291</v>
      </c>
      <c r="I350" s="376" t="n">
        <v>110.949609375</v>
      </c>
      <c r="J350" s="376" t="n">
        <v>100.6721981430054</v>
      </c>
      <c r="K350" s="94" t="n">
        <v>0.194628278806754</v>
      </c>
      <c r="L350" s="94" t="n">
        <v>-0.02548260972562211</v>
      </c>
      <c r="M350" s="94" t="n">
        <v>-0.1319775015039041</v>
      </c>
      <c r="N350" t="n">
        <v>56.0201735440748</v>
      </c>
      <c r="O350" t="n">
        <v>-0.7867938216754276</v>
      </c>
      <c r="P350" s="143">
        <f>MAX($E$2:E350)</f>
        <v/>
      </c>
      <c r="Q350" s="144">
        <f>E350/P350-1</f>
        <v/>
      </c>
      <c r="R350" s="94" t="n">
        <v>-0.0004599761106931499</v>
      </c>
    </row>
    <row r="351">
      <c r="A351" s="375" t="n">
        <v>44972</v>
      </c>
      <c r="B351" s="376" t="n">
        <v>115.3956226233841</v>
      </c>
      <c r="C351" s="376" t="n">
        <v>117.797771855375</v>
      </c>
      <c r="D351" s="376" t="n">
        <v>115.3956226233841</v>
      </c>
      <c r="E351" s="376" t="n">
        <v>117.779296875</v>
      </c>
      <c r="F351" s="93" t="n">
        <v>5687900</v>
      </c>
      <c r="G351" s="94" t="n">
        <v>0.01014267110449141</v>
      </c>
      <c r="H351" s="95" t="n">
        <v>87.19349397914273</v>
      </c>
      <c r="I351" s="376" t="n">
        <v>111.231954498291</v>
      </c>
      <c r="J351" s="376" t="n">
        <v>100.6898633575439</v>
      </c>
      <c r="K351" s="94" t="n">
        <v>0.1922172404705389</v>
      </c>
      <c r="L351" s="94" t="n">
        <v>-0.01559840035046178</v>
      </c>
      <c r="M351" s="94" t="n">
        <v>-0.1231734347903592</v>
      </c>
      <c r="N351" t="n">
        <v>58.98394010553325</v>
      </c>
      <c r="O351" t="n">
        <v>-0.5535113384898949</v>
      </c>
      <c r="P351" s="143">
        <f>MAX($E$2:E351)</f>
        <v/>
      </c>
      <c r="Q351" s="144">
        <f>E351/P351-1</f>
        <v/>
      </c>
      <c r="R351" s="94" t="n">
        <v>0.003247367256759004</v>
      </c>
    </row>
    <row r="352">
      <c r="A352" s="375" t="n">
        <v>44973</v>
      </c>
      <c r="B352" s="376" t="n">
        <v>115.8852860999463</v>
      </c>
      <c r="C352" s="376" t="n">
        <v>117.5298341928626</v>
      </c>
      <c r="D352" s="376" t="n">
        <v>114.6657330272016</v>
      </c>
      <c r="E352" s="376" t="n">
        <v>114.9151840209961</v>
      </c>
      <c r="F352" s="93" t="n">
        <v>4722200</v>
      </c>
      <c r="G352" s="94" t="n">
        <v>-0.02431762567782703</v>
      </c>
      <c r="H352" s="95" t="n">
        <v>85.07315523101607</v>
      </c>
      <c r="I352" s="376" t="n">
        <v>111.5046908569336</v>
      </c>
      <c r="J352" s="376" t="n">
        <v>100.6868864440918</v>
      </c>
      <c r="K352" s="94" t="n">
        <v>0.204589908919267</v>
      </c>
      <c r="L352" s="94" t="n">
        <v>-0.03953670996739334</v>
      </c>
      <c r="M352" s="94" t="n">
        <v>-0.144495774987502</v>
      </c>
      <c r="N352" t="n">
        <v>50.16653465002887</v>
      </c>
      <c r="O352" t="n">
        <v>-0.5755942818668678</v>
      </c>
      <c r="P352" s="143">
        <f>MAX($E$2:E352)</f>
        <v/>
      </c>
      <c r="Q352" s="144">
        <f>E352/P352-1</f>
        <v/>
      </c>
      <c r="R352" s="94" t="n">
        <v>-0.0137688300065153</v>
      </c>
    </row>
    <row r="353">
      <c r="A353" s="375" t="n">
        <v>44974</v>
      </c>
      <c r="B353" s="376" t="n">
        <v>114.2961779536879</v>
      </c>
      <c r="C353" s="376" t="n">
        <v>115.3863850983317</v>
      </c>
      <c r="D353" s="376" t="n">
        <v>114.0467269425231</v>
      </c>
      <c r="E353" s="376" t="n">
        <v>115.3401870727539</v>
      </c>
      <c r="F353" s="93" t="n">
        <v>5161500</v>
      </c>
      <c r="G353" s="94" t="n">
        <v>0.00369840639754071</v>
      </c>
      <c r="H353" s="95" t="n">
        <v>85.38779033258143</v>
      </c>
      <c r="I353" s="376" t="n">
        <v>111.817155456543</v>
      </c>
      <c r="J353" s="376" t="n">
        <v>100.7007847976685</v>
      </c>
      <c r="K353" s="94" t="n">
        <v>0.1954367915742114</v>
      </c>
      <c r="L353" s="94" t="n">
        <v>-0.03598452639093386</v>
      </c>
      <c r="M353" s="94" t="n">
        <v>-0.1410980061804245</v>
      </c>
      <c r="N353" t="n">
        <v>51.32921932875433</v>
      </c>
      <c r="O353" t="n">
        <v>-0.5453621140502702</v>
      </c>
      <c r="P353" s="143">
        <f>MAX($E$2:E353)</f>
        <v/>
      </c>
      <c r="Q353" s="144">
        <f>E353/P353-1</f>
        <v/>
      </c>
      <c r="R353" s="94" t="n">
        <v>-0.002498229320508916</v>
      </c>
    </row>
    <row r="354">
      <c r="A354" s="375" t="n">
        <v>44978</v>
      </c>
      <c r="B354" s="376" t="n">
        <v>113.8988920278392</v>
      </c>
      <c r="C354" s="376" t="n">
        <v>114.5641040825829</v>
      </c>
      <c r="D354" s="376" t="n">
        <v>111.7739169072175</v>
      </c>
      <c r="E354" s="376" t="n">
        <v>111.8847808837891</v>
      </c>
      <c r="F354" s="93" t="n">
        <v>5110300</v>
      </c>
      <c r="G354" s="94" t="n">
        <v>-0.02995838897664749</v>
      </c>
      <c r="H354" s="95" t="n">
        <v>82.82970969594155</v>
      </c>
      <c r="I354" s="376" t="n">
        <v>112.0531204223633</v>
      </c>
      <c r="J354" s="376" t="n">
        <v>100.6827473831177</v>
      </c>
      <c r="K354" s="94" t="n">
        <v>0.2140796364516014</v>
      </c>
      <c r="L354" s="94" t="n">
        <v>-0.06486487692882115</v>
      </c>
      <c r="M354" s="94" t="n">
        <v>-0.1496381664755499</v>
      </c>
      <c r="N354" t="n">
        <v>42.62221736662317</v>
      </c>
      <c r="O354" t="n">
        <v>-0.7303203300689631</v>
      </c>
      <c r="P354" s="143">
        <f>MAX($E$2:E354)</f>
        <v/>
      </c>
      <c r="Q354" s="144">
        <f>E354/P354-1</f>
        <v/>
      </c>
      <c r="R354" s="94" t="n">
        <v>-0.02006110729254906</v>
      </c>
    </row>
    <row r="355">
      <c r="A355" s="375" t="n">
        <v>44979</v>
      </c>
      <c r="B355" s="376" t="n">
        <v>111.8847745249736</v>
      </c>
      <c r="C355" s="376" t="n">
        <v>112.1619485483069</v>
      </c>
      <c r="D355" s="376" t="n">
        <v>110.5358755123299</v>
      </c>
      <c r="E355" s="376" t="n">
        <v>110.7760925292969</v>
      </c>
      <c r="F355" s="93" t="n">
        <v>5022000</v>
      </c>
      <c r="G355" s="94" t="n">
        <v>-0.0099091971735078</v>
      </c>
      <c r="H355" s="95" t="n">
        <v>82.00893377074004</v>
      </c>
      <c r="I355" s="376" t="n">
        <v>112.2109230041504</v>
      </c>
      <c r="J355" s="376" t="n">
        <v>100.6932022094727</v>
      </c>
      <c r="K355" s="94" t="n">
        <v>0.2133593959906876</v>
      </c>
      <c r="L355" s="94" t="n">
        <v>-0.07413131524720606</v>
      </c>
      <c r="M355" s="94" t="n">
        <v>-0.1443927724654949</v>
      </c>
      <c r="N355" t="n">
        <v>40.26229574020648</v>
      </c>
      <c r="O355" t="n">
        <v>-0.8890332968363169</v>
      </c>
      <c r="P355" s="143">
        <f>MAX($E$2:E355)</f>
        <v/>
      </c>
      <c r="Q355" s="144">
        <f>E355/P355-1</f>
        <v/>
      </c>
      <c r="R355" s="94" t="n">
        <v>-0.001377971662270938</v>
      </c>
    </row>
    <row r="356">
      <c r="A356" s="375" t="n">
        <v>44980</v>
      </c>
      <c r="B356" s="376" t="n">
        <v>111.5706614412159</v>
      </c>
      <c r="C356" s="376" t="n">
        <v>111.5706614412159</v>
      </c>
      <c r="D356" s="376" t="n">
        <v>109.5288342196419</v>
      </c>
      <c r="E356" s="376" t="n">
        <v>110.8315353393555</v>
      </c>
      <c r="F356" s="93" t="n">
        <v>4101900</v>
      </c>
      <c r="G356" s="94" t="n">
        <v>0.000500494364737758</v>
      </c>
      <c r="H356" s="95" t="n">
        <v>82.04997877995045</v>
      </c>
      <c r="I356" s="376" t="n">
        <v>112.4056819152832</v>
      </c>
      <c r="J356" s="376" t="n">
        <v>100.7228989028931</v>
      </c>
      <c r="K356" s="94" t="n">
        <v>0.2134643766910438</v>
      </c>
      <c r="L356" s="94" t="n">
        <v>-0.07366792318800008</v>
      </c>
      <c r="M356" s="94" t="n">
        <v>-0.1398959330791303</v>
      </c>
      <c r="N356" t="n">
        <v>40.43989348141753</v>
      </c>
      <c r="O356" t="n">
        <v>-0.9466578358338099</v>
      </c>
      <c r="P356" s="143">
        <f>MAX($E$2:E356)</f>
        <v/>
      </c>
      <c r="Q356" s="144">
        <f>E356/P356-1</f>
        <v/>
      </c>
      <c r="R356" s="94" t="n">
        <v>0.005319431628444615</v>
      </c>
    </row>
    <row r="357">
      <c r="A357" s="375" t="n">
        <v>44981</v>
      </c>
      <c r="B357" s="376" t="n">
        <v>108.9929670710721</v>
      </c>
      <c r="C357" s="376" t="n">
        <v>109.7043701217983</v>
      </c>
      <c r="D357" s="376" t="n">
        <v>108.4109029807401</v>
      </c>
      <c r="E357" s="376" t="n">
        <v>109.0576400756836</v>
      </c>
      <c r="F357" s="93" t="n">
        <v>4693000</v>
      </c>
      <c r="G357" s="94" t="n">
        <v>-0.01600532969466117</v>
      </c>
      <c r="H357" s="95" t="n">
        <v>80.73674181813739</v>
      </c>
      <c r="I357" s="376" t="n">
        <v>112.5159962463379</v>
      </c>
      <c r="J357" s="376" t="n">
        <v>100.758751411438</v>
      </c>
      <c r="K357" s="94" t="n">
        <v>0.2160964206432125</v>
      </c>
      <c r="L357" s="94" t="n">
        <v>-0.08849417348411637</v>
      </c>
      <c r="M357" s="94" t="n">
        <v>-0.1488874915935103</v>
      </c>
      <c r="N357" t="n">
        <v>36.68227568954953</v>
      </c>
      <c r="O357" t="n">
        <v>-1.052487790660273</v>
      </c>
      <c r="P357" s="143">
        <f>MAX($E$2:E357)</f>
        <v/>
      </c>
      <c r="Q357" s="144">
        <f>E357/P357-1</f>
        <v/>
      </c>
      <c r="R357" s="94" t="n">
        <v>-0.01068231064171166</v>
      </c>
    </row>
    <row r="358">
      <c r="A358" s="375" t="n">
        <v>44984</v>
      </c>
      <c r="B358" s="376" t="n">
        <v>110.1848138669027</v>
      </c>
      <c r="C358" s="376" t="n">
        <v>110.7021979491962</v>
      </c>
      <c r="D358" s="376" t="n">
        <v>109.3163416869134</v>
      </c>
      <c r="E358" s="376" t="n">
        <v>109.5103607177734</v>
      </c>
      <c r="F358" s="93" t="n">
        <v>4239800</v>
      </c>
      <c r="G358" s="94" t="n">
        <v>0.00415120519548795</v>
      </c>
      <c r="H358" s="95" t="n">
        <v>81.07189660023961</v>
      </c>
      <c r="I358" s="376" t="n">
        <v>112.6209519958496</v>
      </c>
      <c r="J358" s="376" t="n">
        <v>100.8047464752197</v>
      </c>
      <c r="K358" s="94" t="n">
        <v>0.2175545848659982</v>
      </c>
      <c r="L358" s="94" t="n">
        <v>-0.08471032576136617</v>
      </c>
      <c r="M358" s="94" t="n">
        <v>-0.1453543489266684</v>
      </c>
      <c r="N358" t="n">
        <v>38.25902655901539</v>
      </c>
      <c r="O358" t="n">
        <v>-1.038487927230273</v>
      </c>
      <c r="P358" s="143">
        <f>MAX($E$2:E358)</f>
        <v/>
      </c>
      <c r="Q358" s="144">
        <f>E358/P358-1</f>
        <v/>
      </c>
      <c r="R358" s="94" t="n">
        <v>0.003405762456766048</v>
      </c>
    </row>
    <row r="359">
      <c r="A359" s="375" t="n">
        <v>44985</v>
      </c>
      <c r="B359" s="376" t="n">
        <v>109.7043665524779</v>
      </c>
      <c r="C359" s="376" t="n">
        <v>111.2380506816913</v>
      </c>
      <c r="D359" s="376" t="n">
        <v>108.8820924996731</v>
      </c>
      <c r="E359" s="376" t="n">
        <v>109.7505645751953</v>
      </c>
      <c r="F359" s="93" t="n">
        <v>8414100</v>
      </c>
      <c r="G359" s="94" t="n">
        <v>0.002193434994163912</v>
      </c>
      <c r="H359" s="95" t="n">
        <v>81.24972253528581</v>
      </c>
      <c r="I359" s="376" t="n">
        <v>112.7565809631348</v>
      </c>
      <c r="J359" s="376" t="n">
        <v>100.8591344833374</v>
      </c>
      <c r="K359" s="94" t="n">
        <v>0.2174373014662002</v>
      </c>
      <c r="L359" s="94" t="n">
        <v>-0.08270269736009428</v>
      </c>
      <c r="M359" s="94" t="n">
        <v>-0.1434797392479942</v>
      </c>
      <c r="N359" t="n">
        <v>39.12520949767718</v>
      </c>
      <c r="O359" t="n">
        <v>-0.9613103518500296</v>
      </c>
      <c r="P359" s="143">
        <f>MAX($E$2:E359)</f>
        <v/>
      </c>
      <c r="Q359" s="144">
        <f>E359/P359-1</f>
        <v/>
      </c>
      <c r="R359" s="94" t="n">
        <v>-0.003696191957751727</v>
      </c>
    </row>
    <row r="360">
      <c r="A360" s="375" t="n">
        <v>44986</v>
      </c>
      <c r="B360" s="376" t="n">
        <v>108.9744773933917</v>
      </c>
      <c r="C360" s="376" t="n">
        <v>110.6744644720235</v>
      </c>
      <c r="D360" s="376" t="n">
        <v>108.8636134211696</v>
      </c>
      <c r="E360" s="376" t="n">
        <v>109.5565414428711</v>
      </c>
      <c r="F360" s="93" t="n">
        <v>4120500</v>
      </c>
      <c r="G360" s="94" t="n">
        <v>-0.00176785543723823</v>
      </c>
      <c r="H360" s="95" t="n">
        <v>81.10608477152772</v>
      </c>
      <c r="I360" s="376" t="n">
        <v>112.942654876709</v>
      </c>
      <c r="J360" s="376" t="n">
        <v>100.9126440811157</v>
      </c>
      <c r="K360" s="94" t="n">
        <v>0.2138972153999464</v>
      </c>
      <c r="L360" s="94" t="n">
        <v>-0.08432434638413</v>
      </c>
      <c r="M360" s="94" t="n">
        <v>-0.1449939432480694</v>
      </c>
      <c r="N360" t="n">
        <v>38.65349079951838</v>
      </c>
      <c r="O360" t="n">
        <v>-0.8741003179135862</v>
      </c>
      <c r="P360" s="143">
        <f>MAX($E$2:E360)</f>
        <v/>
      </c>
      <c r="Q360" s="144">
        <f>E360/P360-1</f>
        <v/>
      </c>
      <c r="R360" s="94" t="n">
        <v>-0.00383570226940666</v>
      </c>
    </row>
    <row r="361">
      <c r="A361" s="375" t="n">
        <v>44987</v>
      </c>
      <c r="B361" s="376" t="n">
        <v>108.6049293041468</v>
      </c>
      <c r="C361" s="376" t="n">
        <v>110.831534510112</v>
      </c>
      <c r="D361" s="376" t="n">
        <v>108.6049293041468</v>
      </c>
      <c r="E361" s="376" t="n">
        <v>110.4804534912109</v>
      </c>
      <c r="F361" s="93" t="n">
        <v>4443200</v>
      </c>
      <c r="G361" s="94" t="n">
        <v>0.008433198384795837</v>
      </c>
      <c r="H361" s="95" t="n">
        <v>81.79006847462009</v>
      </c>
      <c r="I361" s="376" t="n">
        <v>113.1945112609863</v>
      </c>
      <c r="J361" s="376" t="n">
        <v>100.9473651123047</v>
      </c>
      <c r="K361" s="94" t="n">
        <v>0.2049444707875024</v>
      </c>
      <c r="L361" s="94" t="n">
        <v>-0.07660227194105973</v>
      </c>
      <c r="M361" s="94" t="n">
        <v>-0.1377835075512782</v>
      </c>
      <c r="N361" t="n">
        <v>42.22559174780673</v>
      </c>
      <c r="O361" t="n">
        <v>-0.7118375644354491</v>
      </c>
      <c r="P361" s="143">
        <f>MAX($E$2:E361)</f>
        <v/>
      </c>
      <c r="Q361" s="144">
        <f>E361/P361-1</f>
        <v/>
      </c>
      <c r="R361" s="94" t="n">
        <v>0.007777214902593421</v>
      </c>
    </row>
    <row r="362">
      <c r="A362" s="375" t="n">
        <v>44988</v>
      </c>
      <c r="B362" s="376" t="n">
        <v>111.3050714907179</v>
      </c>
      <c r="C362" s="376" t="n">
        <v>112.1482249493352</v>
      </c>
      <c r="D362" s="376" t="n">
        <v>110.2766131529616</v>
      </c>
      <c r="E362" s="376" t="n">
        <v>112.0555725097656</v>
      </c>
      <c r="F362" s="93" t="n">
        <v>3871800</v>
      </c>
      <c r="G362" s="94" t="n">
        <v>0.01425699269672154</v>
      </c>
      <c r="H362" s="95" t="n">
        <v>82.95614888352709</v>
      </c>
      <c r="I362" s="376" t="n">
        <v>113.5314562988281</v>
      </c>
      <c r="J362" s="376" t="n">
        <v>100.9918399047852</v>
      </c>
      <c r="K362" s="94" t="n">
        <v>0.2148568388761906</v>
      </c>
      <c r="L362" s="94" t="n">
        <v>-0.06343739727595432</v>
      </c>
      <c r="M362" s="94" t="n">
        <v>-0.1254908933154438</v>
      </c>
      <c r="N362" t="n">
        <v>47.80548816244509</v>
      </c>
      <c r="O362" t="n">
        <v>-0.467858372724999</v>
      </c>
      <c r="P362" s="143">
        <f>MAX($E$2:E362)</f>
        <v/>
      </c>
      <c r="Q362" s="144">
        <f>E362/P362-1</f>
        <v/>
      </c>
      <c r="R362" s="94" t="n">
        <v>0.0160379288016208</v>
      </c>
    </row>
    <row r="363">
      <c r="A363" s="375" t="n">
        <v>44991</v>
      </c>
      <c r="B363" s="376" t="n">
        <v>112.2316010114732</v>
      </c>
      <c r="C363" s="376" t="n">
        <v>113.0284246518524</v>
      </c>
      <c r="D363" s="376" t="n">
        <v>111.1475527108156</v>
      </c>
      <c r="E363" s="376" t="n">
        <v>111.3421249389648</v>
      </c>
      <c r="F363" s="93" t="n">
        <v>5183800</v>
      </c>
      <c r="G363" s="94" t="n">
        <v>-0.006366908443920627</v>
      </c>
      <c r="H363" s="95" t="n">
        <v>82.42797467872542</v>
      </c>
      <c r="I363" s="376" t="n">
        <v>113.8511761474609</v>
      </c>
      <c r="J363" s="376" t="n">
        <v>101.0176306533813</v>
      </c>
      <c r="K363" s="94" t="n">
        <v>0.2130739247075909</v>
      </c>
      <c r="L363" s="94" t="n">
        <v>-0.06940040561949834</v>
      </c>
      <c r="M363" s="94" t="n">
        <v>-0.1310588127310792</v>
      </c>
      <c r="N363" t="n">
        <v>45.65464391520533</v>
      </c>
      <c r="O363" t="n">
        <v>-0.3304353223813749</v>
      </c>
      <c r="P363" s="143">
        <f>MAX($E$2:E363)</f>
        <v/>
      </c>
      <c r="Q363" s="144">
        <f>E363/P363-1</f>
        <v/>
      </c>
      <c r="R363" s="94" t="n">
        <v>0.0006927201531694571</v>
      </c>
    </row>
    <row r="364">
      <c r="A364" s="375" t="n">
        <v>44992</v>
      </c>
      <c r="B364" s="376" t="n">
        <v>111.3699299822075</v>
      </c>
      <c r="C364" s="376" t="n">
        <v>112.1296913043091</v>
      </c>
      <c r="D364" s="376" t="n">
        <v>110.4711935338717</v>
      </c>
      <c r="E364" s="376" t="n">
        <v>110.8047409057617</v>
      </c>
      <c r="F364" s="93" t="n">
        <v>5345700</v>
      </c>
      <c r="G364" s="94" t="n">
        <v>-0.004826421567737382</v>
      </c>
      <c r="H364" s="95" t="n">
        <v>82.03014252395111</v>
      </c>
      <c r="I364" s="376" t="n">
        <v>113.9278788757324</v>
      </c>
      <c r="J364" s="376" t="n">
        <v>101.0706473922729</v>
      </c>
      <c r="K364" s="94" t="n">
        <v>0.2085519371077936</v>
      </c>
      <c r="L364" s="94" t="n">
        <v>-0.07389187157274402</v>
      </c>
      <c r="M364" s="94" t="n">
        <v>-0.1352526892184092</v>
      </c>
      <c r="N364" t="n">
        <v>44.04712479222302</v>
      </c>
      <c r="O364" t="n">
        <v>-0.2550144478979394</v>
      </c>
      <c r="P364" s="143">
        <f>MAX($E$2:E364)</f>
        <v/>
      </c>
      <c r="Q364" s="144">
        <f>E364/P364-1</f>
        <v/>
      </c>
      <c r="R364" s="94" t="n">
        <v>-0.01532880678156912</v>
      </c>
    </row>
    <row r="365">
      <c r="A365" s="375" t="n">
        <v>44993</v>
      </c>
      <c r="B365" s="376" t="n">
        <v>110.5082397521525</v>
      </c>
      <c r="C365" s="376" t="n">
        <v>111.2216783297182</v>
      </c>
      <c r="D365" s="376" t="n">
        <v>110.0079152010661</v>
      </c>
      <c r="E365" s="376" t="n">
        <v>111.0549011230469</v>
      </c>
      <c r="F365" s="93" t="n">
        <v>4175200</v>
      </c>
      <c r="G365" s="94" t="n">
        <v>0.002257667092944393</v>
      </c>
      <c r="H365" s="95" t="n">
        <v>82.21533927735697</v>
      </c>
      <c r="I365" s="376" t="n">
        <v>113.9923997497559</v>
      </c>
      <c r="J365" s="376" t="n">
        <v>101.1383367919922</v>
      </c>
      <c r="K365" s="94" t="n">
        <v>0.2091315455012488</v>
      </c>
      <c r="L365" s="94" t="n">
        <v>-0.07180102772668551</v>
      </c>
      <c r="M365" s="94" t="n">
        <v>-0.1333003776711456</v>
      </c>
      <c r="N365" t="n">
        <v>45.01766281699955</v>
      </c>
      <c r="O365" t="n">
        <v>-0.1715685591993328</v>
      </c>
      <c r="P365" s="143">
        <f>MAX($E$2:E365)</f>
        <v/>
      </c>
      <c r="Q365" s="144">
        <f>E365/P365-1</f>
        <v/>
      </c>
      <c r="R365" s="94" t="n">
        <v>0.001631937844649878</v>
      </c>
    </row>
    <row r="366">
      <c r="A366" s="375" t="n">
        <v>44994</v>
      </c>
      <c r="B366" s="376" t="n">
        <v>111.2587547672818</v>
      </c>
      <c r="C366" s="376" t="n">
        <v>112.9079923143505</v>
      </c>
      <c r="D366" s="376" t="n">
        <v>108.9146132828126</v>
      </c>
      <c r="E366" s="376" t="n">
        <v>109.2111053466797</v>
      </c>
      <c r="F366" s="93" t="n">
        <v>5635900</v>
      </c>
      <c r="G366" s="94" t="n">
        <v>-0.01660256105513336</v>
      </c>
      <c r="H366" s="95" t="n">
        <v>80.85035408733616</v>
      </c>
      <c r="I366" s="376" t="n">
        <v>114.0285446166992</v>
      </c>
      <c r="J366" s="376" t="n">
        <v>101.189661064148</v>
      </c>
      <c r="K366" s="94" t="n">
        <v>0.2063637805758741</v>
      </c>
      <c r="L366" s="94" t="n">
        <v>-0.08721150783516518</v>
      </c>
      <c r="M366" s="94" t="n">
        <v>-0.1476898110673214</v>
      </c>
      <c r="N366" t="n">
        <v>39.56972179159917</v>
      </c>
      <c r="O366" t="n">
        <v>-0.2207074586351296</v>
      </c>
      <c r="P366" s="143">
        <f>MAX($E$2:E366)</f>
        <v/>
      </c>
      <c r="Q366" s="144">
        <f>E366/P366-1</f>
        <v/>
      </c>
      <c r="R366" s="94" t="n">
        <v>-0.01844965532817688</v>
      </c>
    </row>
    <row r="367">
      <c r="A367" s="375" t="n">
        <v>44995</v>
      </c>
      <c r="B367" s="376" t="n">
        <v>110.1005586494964</v>
      </c>
      <c r="C367" s="376" t="n">
        <v>110.2488011161476</v>
      </c>
      <c r="D367" s="376" t="n">
        <v>108.0714373120634</v>
      </c>
      <c r="E367" s="376" t="n">
        <v>108.8589935302734</v>
      </c>
      <c r="F367" s="93" t="n">
        <v>5979600</v>
      </c>
      <c r="G367" s="94" t="n">
        <v>-0.003224139296901241</v>
      </c>
      <c r="H367" s="95" t="n">
        <v>80.5896812835548</v>
      </c>
      <c r="I367" s="376" t="n">
        <v>114.0334413146973</v>
      </c>
      <c r="J367" s="376" t="n">
        <v>101.2363389587402</v>
      </c>
      <c r="K367" s="94" t="n">
        <v>0.2058778913564591</v>
      </c>
      <c r="L367" s="94" t="n">
        <v>-0.09015446508251301</v>
      </c>
      <c r="M367" s="94" t="n">
        <v>-0.1504377778406085</v>
      </c>
      <c r="N367" t="n">
        <v>38.60879960687488</v>
      </c>
      <c r="O367" t="n">
        <v>-0.2546731699510336</v>
      </c>
      <c r="P367" s="143">
        <f>MAX($E$2:E367)</f>
        <v/>
      </c>
      <c r="Q367" s="144">
        <f>E367/P367-1</f>
        <v/>
      </c>
      <c r="R367" s="94" t="n">
        <v>-0.01442957462212147</v>
      </c>
    </row>
    <row r="368">
      <c r="A368" s="375" t="n">
        <v>44998</v>
      </c>
      <c r="B368" s="376" t="n">
        <v>107.3116981003675</v>
      </c>
      <c r="C368" s="376" t="n">
        <v>109.6002495250095</v>
      </c>
      <c r="D368" s="376" t="n">
        <v>107.2839030739837</v>
      </c>
      <c r="E368" s="376" t="n">
        <v>108.2752990722656</v>
      </c>
      <c r="F368" s="93" t="n">
        <v>6038200</v>
      </c>
      <c r="G368" s="94" t="n">
        <v>-0.005361931422280586</v>
      </c>
      <c r="H368" s="95" t="n">
        <v>80.15756493916892</v>
      </c>
      <c r="I368" s="376" t="n">
        <v>114.074337310791</v>
      </c>
      <c r="J368" s="376" t="n">
        <v>101.2862366104126</v>
      </c>
      <c r="K368" s="94" t="n">
        <v>0.2061005966879755</v>
      </c>
      <c r="L368" s="94" t="n">
        <v>-0.09503299444560886</v>
      </c>
      <c r="M368" s="94" t="n">
        <v>-0.1549930722147875</v>
      </c>
      <c r="N368" t="n">
        <v>37.00455685966227</v>
      </c>
      <c r="O368" t="n">
        <v>-0.2915466936923512</v>
      </c>
      <c r="P368" s="143">
        <f>MAX($E$2:E368)</f>
        <v/>
      </c>
      <c r="Q368" s="144">
        <f>E368/P368-1</f>
        <v/>
      </c>
      <c r="R368" s="94" t="n">
        <v>-0.001425282324625465</v>
      </c>
    </row>
    <row r="369">
      <c r="A369" s="375" t="n">
        <v>44999</v>
      </c>
      <c r="B369" s="376" t="n">
        <v>110.2580718994141</v>
      </c>
      <c r="C369" s="376" t="n">
        <v>110.7120737455826</v>
      </c>
      <c r="D369" s="376" t="n">
        <v>108.6181020075406</v>
      </c>
      <c r="E369" s="376" t="n">
        <v>110.2580718994141</v>
      </c>
      <c r="F369" s="93" t="n">
        <v>6050800</v>
      </c>
      <c r="G369" s="94" t="n">
        <v>0.01831232833469332</v>
      </c>
      <c r="H369" s="95" t="n">
        <v>81.62543658684449</v>
      </c>
      <c r="I369" s="376" t="n">
        <v>114.1110958862305</v>
      </c>
      <c r="J369" s="376" t="n">
        <v>101.3418795776367</v>
      </c>
      <c r="K369" s="94" t="n">
        <v>0.1975755821063119</v>
      </c>
      <c r="L369" s="94" t="n">
        <v>-0.07846094150783256</v>
      </c>
      <c r="M369" s="94" t="n">
        <v>-0.1395190279080942</v>
      </c>
      <c r="N369" t="n">
        <v>45.31665944983542</v>
      </c>
      <c r="O369" t="n">
        <v>-0.1638593665912234</v>
      </c>
      <c r="P369" s="143">
        <f>MAX($E$2:E369)</f>
        <v/>
      </c>
      <c r="Q369" s="144">
        <f>E369/P369-1</f>
        <v/>
      </c>
      <c r="R369" s="94" t="n">
        <v>0.01653033776451052</v>
      </c>
    </row>
    <row r="370">
      <c r="A370" s="375" t="n">
        <v>45000</v>
      </c>
      <c r="B370" s="376" t="n">
        <v>107.7749570237522</v>
      </c>
      <c r="C370" s="376" t="n">
        <v>109.9152586765684</v>
      </c>
      <c r="D370" s="376" t="n">
        <v>107.302420413896</v>
      </c>
      <c r="E370" s="376" t="n">
        <v>109.4890518188477</v>
      </c>
      <c r="F370" s="93" t="n">
        <v>6599200</v>
      </c>
      <c r="G370" s="94" t="n">
        <v>-0.006974728174713229</v>
      </c>
      <c r="H370" s="95" t="n">
        <v>81.05612135450896</v>
      </c>
      <c r="I370" s="376" t="n">
        <v>114.1387564086914</v>
      </c>
      <c r="J370" s="376" t="n">
        <v>101.371964263916</v>
      </c>
      <c r="K370" s="94" t="n">
        <v>0.1940455856953732</v>
      </c>
      <c r="L370" s="94" t="n">
        <v>-0.08488842594319657</v>
      </c>
      <c r="M370" s="94" t="n">
        <v>-0.1455206487879483</v>
      </c>
      <c r="N370" t="n">
        <v>42.94959420189623</v>
      </c>
      <c r="O370" t="n">
        <v>-0.1149615929740417</v>
      </c>
      <c r="P370" s="143">
        <f>MAX($E$2:E370)</f>
        <v/>
      </c>
      <c r="Q370" s="144">
        <f>E370/P370-1</f>
        <v/>
      </c>
      <c r="R370" s="94" t="n">
        <v>-0.006254484568184782</v>
      </c>
    </row>
    <row r="371">
      <c r="A371" s="375" t="n">
        <v>45001</v>
      </c>
      <c r="B371" s="376" t="n">
        <v>108.2752910557349</v>
      </c>
      <c r="C371" s="376" t="n">
        <v>111.9351153498168</v>
      </c>
      <c r="D371" s="376" t="n">
        <v>108.0436564277822</v>
      </c>
      <c r="E371" s="376" t="n">
        <v>111.7868728637695</v>
      </c>
      <c r="F371" s="93" t="n">
        <v>5658700</v>
      </c>
      <c r="G371" s="94" t="n">
        <v>0.02098676540485234</v>
      </c>
      <c r="H371" s="95" t="n">
        <v>82.75722715800327</v>
      </c>
      <c r="I371" s="376" t="n">
        <v>114.1802217102051</v>
      </c>
      <c r="J371" s="376" t="n">
        <v>101.3995664596558</v>
      </c>
      <c r="K371" s="94" t="n">
        <v>0.2072090831975025</v>
      </c>
      <c r="L371" s="94" t="n">
        <v>-0.06568319401920131</v>
      </c>
      <c r="M371" s="94" t="n">
        <v>-0.1275878911007706</v>
      </c>
      <c r="N371" t="n">
        <v>51.1588118089767</v>
      </c>
      <c r="O371" t="n">
        <v>0.0779697694872985</v>
      </c>
      <c r="P371" s="143">
        <f>MAX($E$2:E371)</f>
        <v/>
      </c>
      <c r="Q371" s="144">
        <f>E371/P371-1</f>
        <v/>
      </c>
      <c r="R371" s="94" t="n">
        <v>0.01754537080788454</v>
      </c>
    </row>
    <row r="372">
      <c r="A372" s="375" t="n">
        <v>45002</v>
      </c>
      <c r="B372" s="376" t="n">
        <v>112.2686659858135</v>
      </c>
      <c r="C372" s="376" t="n">
        <v>112.787532341765</v>
      </c>
      <c r="D372" s="376" t="n">
        <v>109.9523197845599</v>
      </c>
      <c r="E372" s="376" t="n">
        <v>111.5459671020508</v>
      </c>
      <c r="F372" s="93" t="n">
        <v>12868900</v>
      </c>
      <c r="G372" s="94" t="n">
        <v>-0.00215504518148868</v>
      </c>
      <c r="H372" s="95" t="n">
        <v>82.57888159438306</v>
      </c>
      <c r="I372" s="376" t="n">
        <v>114.1714129638672</v>
      </c>
      <c r="J372" s="376" t="n">
        <v>101.4128628921509</v>
      </c>
      <c r="K372" s="94" t="n">
        <v>0.1905609954686381</v>
      </c>
      <c r="L372" s="94" t="n">
        <v>-0.0676966889499141</v>
      </c>
      <c r="M372" s="94" t="n">
        <v>-0.1294679786123263</v>
      </c>
      <c r="N372" t="n">
        <v>50.34094967369876</v>
      </c>
      <c r="O372" t="n">
        <v>0.1888714914702421</v>
      </c>
      <c r="P372" s="143">
        <f>MAX($E$2:E372)</f>
        <v/>
      </c>
      <c r="Q372" s="144">
        <f>E372/P372-1</f>
        <v/>
      </c>
      <c r="R372" s="94" t="n">
        <v>-0.01169295984659457</v>
      </c>
    </row>
    <row r="373">
      <c r="A373" s="375" t="n">
        <v>45005</v>
      </c>
      <c r="B373" s="376" t="n">
        <v>112.1018983927653</v>
      </c>
      <c r="C373" s="376" t="n">
        <v>113.6677508211897</v>
      </c>
      <c r="D373" s="376" t="n">
        <v>111.0085826092309</v>
      </c>
      <c r="E373" s="376" t="n">
        <v>112.2964706420898</v>
      </c>
      <c r="F373" s="93" t="n">
        <v>7594100</v>
      </c>
      <c r="G373" s="94" t="n">
        <v>0.006728199678904145</v>
      </c>
      <c r="H373" s="95" t="n">
        <v>83.13448879901065</v>
      </c>
      <c r="I373" s="376" t="n">
        <v>114.1885162353516</v>
      </c>
      <c r="J373" s="376" t="n">
        <v>101.430690536499</v>
      </c>
      <c r="K373" s="94" t="n">
        <v>0.191938444309068</v>
      </c>
      <c r="L373" s="94" t="n">
        <v>-0.06142396611186562</v>
      </c>
      <c r="M373" s="94" t="n">
        <v>-0.12361086534555</v>
      </c>
      <c r="N373" t="n">
        <v>52.86883886795653</v>
      </c>
      <c r="O373" t="n">
        <v>0.3053839216482325</v>
      </c>
      <c r="P373" s="143">
        <f>MAX($E$2:E373)</f>
        <v/>
      </c>
      <c r="Q373" s="144">
        <f>E373/P373-1</f>
        <v/>
      </c>
      <c r="R373" s="94" t="n">
        <v>0.009615783831778746</v>
      </c>
    </row>
    <row r="374">
      <c r="A374" s="375" t="n">
        <v>45006</v>
      </c>
      <c r="B374" s="376" t="n">
        <v>114.4275179279534</v>
      </c>
      <c r="C374" s="376" t="n">
        <v>116.7994544990587</v>
      </c>
      <c r="D374" s="376" t="n">
        <v>113.9364535974288</v>
      </c>
      <c r="E374" s="376" t="n">
        <v>116.3825149536133</v>
      </c>
      <c r="F374" s="93" t="n">
        <v>15078800</v>
      </c>
      <c r="G374" s="94" t="n">
        <v>0.03638622200822716</v>
      </c>
      <c r="H374" s="95" t="n">
        <v>86.15943876499192</v>
      </c>
      <c r="I374" s="376" t="n">
        <v>114.2150910949707</v>
      </c>
      <c r="J374" s="376" t="n">
        <v>101.4472810745239</v>
      </c>
      <c r="K374" s="94" t="n">
        <v>0.2044665938164701</v>
      </c>
      <c r="L374" s="94" t="n">
        <v>-0.02727273017121079</v>
      </c>
      <c r="M374" s="94" t="n">
        <v>-0.09172237572641517</v>
      </c>
      <c r="N374" t="n">
        <v>63.70242508967487</v>
      </c>
      <c r="O374" t="n">
        <v>0.6314756487822735</v>
      </c>
      <c r="P374" s="143">
        <f>MAX($E$2:E374)</f>
        <v/>
      </c>
      <c r="Q374" s="144">
        <f>E374/P374-1</f>
        <v/>
      </c>
      <c r="R374" s="94" t="n">
        <v>0.01313040337364635</v>
      </c>
    </row>
    <row r="375">
      <c r="A375" s="375" t="n">
        <v>45007</v>
      </c>
      <c r="B375" s="376" t="n">
        <v>114.5757552070298</v>
      </c>
      <c r="C375" s="376" t="n">
        <v>116.0582154049401</v>
      </c>
      <c r="D375" s="376" t="n">
        <v>110.5638417738352</v>
      </c>
      <c r="E375" s="376" t="n">
        <v>110.7213516235352</v>
      </c>
      <c r="F375" s="93" t="n">
        <v>17625500</v>
      </c>
      <c r="G375" s="94" t="n">
        <v>-0.04864273067422975</v>
      </c>
      <c r="H375" s="95" t="n">
        <v>81.96840839010363</v>
      </c>
      <c r="I375" s="376" t="n">
        <v>114.1225294494629</v>
      </c>
      <c r="J375" s="376" t="n">
        <v>101.4454619598389</v>
      </c>
      <c r="K375" s="94" t="n">
        <v>0.2701821756160911</v>
      </c>
      <c r="L375" s="94" t="n">
        <v>-0.07458884077697125</v>
      </c>
      <c r="M375" s="94" t="n">
        <v>-0.1359034795813844</v>
      </c>
      <c r="N375" t="n">
        <v>47.43412165737448</v>
      </c>
      <c r="O375" t="n">
        <v>0.4483500706746009</v>
      </c>
      <c r="P375" s="143">
        <f>MAX($E$2:E375)</f>
        <v/>
      </c>
      <c r="Q375" s="144">
        <f>E375/P375-1</f>
        <v/>
      </c>
      <c r="R375" s="94" t="n">
        <v>-0.01704648782088958</v>
      </c>
    </row>
    <row r="376">
      <c r="A376" s="375" t="n">
        <v>45008</v>
      </c>
      <c r="B376" s="376" t="n">
        <v>111.6200895341218</v>
      </c>
      <c r="C376" s="376" t="n">
        <v>114.2143929837146</v>
      </c>
      <c r="D376" s="376" t="n">
        <v>110.6935510730685</v>
      </c>
      <c r="E376" s="376" t="n">
        <v>112.0833587646484</v>
      </c>
      <c r="F376" s="93" t="n">
        <v>7628100</v>
      </c>
      <c r="G376" s="94" t="n">
        <v>0.01230121490698788</v>
      </c>
      <c r="H376" s="95" t="n">
        <v>82.97671939729405</v>
      </c>
      <c r="I376" s="376" t="n">
        <v>114.0389151000977</v>
      </c>
      <c r="J376" s="376" t="n">
        <v>101.4537592697144</v>
      </c>
      <c r="K376" s="94" t="n">
        <v>0.2736312269565546</v>
      </c>
      <c r="L376" s="94" t="n">
        <v>-0.06320515923004399</v>
      </c>
      <c r="M376" s="94" t="n">
        <v>-0.1252740425833345</v>
      </c>
      <c r="N376" t="n">
        <v>50.69641620323045</v>
      </c>
      <c r="O376" t="n">
        <v>0.4028371477867445</v>
      </c>
      <c r="P376" s="143">
        <f>MAX($E$2:E376)</f>
        <v/>
      </c>
      <c r="Q376" s="144">
        <f>E376/P376-1</f>
        <v/>
      </c>
      <c r="R376" s="94" t="n">
        <v>0.002703539524115506</v>
      </c>
    </row>
    <row r="377">
      <c r="A377" s="375" t="n">
        <v>45009</v>
      </c>
      <c r="B377" s="376" t="n">
        <v>111.3977261143213</v>
      </c>
      <c r="C377" s="376" t="n">
        <v>112.1111576435429</v>
      </c>
      <c r="D377" s="376" t="n">
        <v>110.5545726926771</v>
      </c>
      <c r="E377" s="376" t="n">
        <v>111.8424606323242</v>
      </c>
      <c r="F377" s="93" t="n">
        <v>6158800</v>
      </c>
      <c r="G377" s="94" t="n">
        <v>-0.002149276529355704</v>
      </c>
      <c r="H377" s="95" t="n">
        <v>82.7983794818105</v>
      </c>
      <c r="I377" s="376" t="n">
        <v>113.911678314209</v>
      </c>
      <c r="J377" s="376" t="n">
        <v>101.4542393493652</v>
      </c>
      <c r="K377" s="94" t="n">
        <v>0.2667426061475485</v>
      </c>
      <c r="L377" s="94" t="n">
        <v>-0.06521859039413247</v>
      </c>
      <c r="M377" s="94" t="n">
        <v>-0.1271540705532284</v>
      </c>
      <c r="N377" t="n">
        <v>50.10413015450472</v>
      </c>
      <c r="O377" t="n">
        <v>0.3427512165976538</v>
      </c>
      <c r="P377" s="143">
        <f>MAX($E$2:E377)</f>
        <v/>
      </c>
      <c r="Q377" s="144">
        <f>E377/P377-1</f>
        <v/>
      </c>
      <c r="R377" s="94" t="n">
        <v>0.0065619102282235</v>
      </c>
    </row>
    <row r="378">
      <c r="A378" s="375" t="n">
        <v>45012</v>
      </c>
      <c r="B378" s="376" t="n">
        <v>112.1296744876814</v>
      </c>
      <c r="C378" s="376" t="n">
        <v>112.1760042354299</v>
      </c>
      <c r="D378" s="376" t="n">
        <v>108.970182207407</v>
      </c>
      <c r="E378" s="376" t="n">
        <v>109.1554870605469</v>
      </c>
      <c r="F378" s="93" t="n">
        <v>6564200</v>
      </c>
      <c r="G378" s="94" t="n">
        <v>-0.02402462854077059</v>
      </c>
      <c r="H378" s="95" t="n">
        <v>80.80917917098225</v>
      </c>
      <c r="I378" s="376" t="n">
        <v>113.7316261291504</v>
      </c>
      <c r="J378" s="376" t="n">
        <v>101.4379322052002</v>
      </c>
      <c r="K378" s="94" t="n">
        <v>0.2812397849070616</v>
      </c>
      <c r="L378" s="94" t="n">
        <v>-0.08767636652673128</v>
      </c>
      <c r="M378" s="94" t="n">
        <v>-0.1481238697815107</v>
      </c>
      <c r="N378" t="n">
        <v>43.93804375592742</v>
      </c>
      <c r="O378" t="n">
        <v>0.1197969905099331</v>
      </c>
      <c r="P378" s="143">
        <f>MAX($E$2:E378)</f>
        <v/>
      </c>
      <c r="Q378" s="144">
        <f>E378/P378-1</f>
        <v/>
      </c>
      <c r="R378" s="94" t="n">
        <v>0.001869892317494681</v>
      </c>
    </row>
    <row r="379">
      <c r="A379" s="375" t="n">
        <v>45013</v>
      </c>
      <c r="B379" s="376" t="n">
        <v>109.2852230609502</v>
      </c>
      <c r="C379" s="376" t="n">
        <v>109.7392320563469</v>
      </c>
      <c r="D379" s="376" t="n">
        <v>108.2660320332151</v>
      </c>
      <c r="E379" s="376" t="n">
        <v>109.2111053466797</v>
      </c>
      <c r="F379" s="93" t="n">
        <v>4461400</v>
      </c>
      <c r="G379" s="94" t="n">
        <v>0.0005095326641890718</v>
      </c>
      <c r="H379" s="95" t="n">
        <v>80.85035408733617</v>
      </c>
      <c r="I379" s="376" t="n">
        <v>113.5349473571777</v>
      </c>
      <c r="J379" s="376" t="n">
        <v>101.4393535232544</v>
      </c>
      <c r="K379" s="94" t="n">
        <v>0.2811281416698873</v>
      </c>
      <c r="L379" s="94" t="n">
        <v>-0.08721150783516507</v>
      </c>
      <c r="M379" s="94" t="n">
        <v>-0.1476898110673214</v>
      </c>
      <c r="N379" t="n">
        <v>44.09141835627868</v>
      </c>
      <c r="O379" t="n">
        <v>-0.01879953498778913</v>
      </c>
      <c r="P379" s="143">
        <f>MAX($E$2:E379)</f>
        <v/>
      </c>
      <c r="Q379" s="144">
        <f>E379/P379-1</f>
        <v/>
      </c>
      <c r="R379" s="94" t="n">
        <v>-0.002244634806711554</v>
      </c>
    </row>
    <row r="380">
      <c r="A380" s="375" t="n">
        <v>45014</v>
      </c>
      <c r="B380" s="376" t="n">
        <v>109.9245161982269</v>
      </c>
      <c r="C380" s="376" t="n">
        <v>111.7127356090523</v>
      </c>
      <c r="D380" s="376" t="n">
        <v>109.7855340231927</v>
      </c>
      <c r="E380" s="376" t="n">
        <v>111.6386108398438</v>
      </c>
      <c r="F380" s="93" t="n">
        <v>5644000</v>
      </c>
      <c r="G380" s="94" t="n">
        <v>0.02222764329193616</v>
      </c>
      <c r="H380" s="95" t="n">
        <v>82.64746691801621</v>
      </c>
      <c r="I380" s="376" t="n">
        <v>113.3999382019043</v>
      </c>
      <c r="J380" s="376" t="n">
        <v>101.4706840896607</v>
      </c>
      <c r="K380" s="94" t="n">
        <v>0.2919313005327268</v>
      </c>
      <c r="L380" s="94" t="n">
        <v>-0.06692237083034092</v>
      </c>
      <c r="M380" s="94" t="n">
        <v>-0.1287449642136431</v>
      </c>
      <c r="N380" t="n">
        <v>50.46163454446075</v>
      </c>
      <c r="O380" t="n">
        <v>0.05415431918529773</v>
      </c>
      <c r="P380" s="143">
        <f>MAX($E$2:E380)</f>
        <v/>
      </c>
      <c r="Q380" s="144">
        <f>E380/P380-1</f>
        <v/>
      </c>
      <c r="R380" s="94" t="n">
        <v>0.01453480549276898</v>
      </c>
    </row>
    <row r="381">
      <c r="A381" s="375" t="n">
        <v>45015</v>
      </c>
      <c r="B381" s="376" t="n">
        <v>112.1389485052477</v>
      </c>
      <c r="C381" s="376" t="n">
        <v>112.5188326663315</v>
      </c>
      <c r="D381" s="376" t="n">
        <v>110.5730962482697</v>
      </c>
      <c r="E381" s="376" t="n">
        <v>111.2772674560547</v>
      </c>
      <c r="F381" s="93" t="n">
        <v>4578900</v>
      </c>
      <c r="G381" s="94" t="n">
        <v>-0.003236724114271228</v>
      </c>
      <c r="H381" s="95" t="n">
        <v>82.37995986885923</v>
      </c>
      <c r="I381" s="376" t="n">
        <v>113.2892997741699</v>
      </c>
      <c r="J381" s="376" t="n">
        <v>101.5199085617065</v>
      </c>
      <c r="K381" s="94" t="n">
        <v>0.2909826134915569</v>
      </c>
      <c r="L381" s="94" t="n">
        <v>-0.0699424856931613</v>
      </c>
      <c r="M381" s="94" t="n">
        <v>-0.131564976397653</v>
      </c>
      <c r="N381" t="n">
        <v>49.5564841334404</v>
      </c>
      <c r="O381" t="n">
        <v>0.07777824262246641</v>
      </c>
      <c r="P381" s="143">
        <f>MAX($E$2:E381)</f>
        <v/>
      </c>
      <c r="Q381" s="144">
        <f>E381/P381-1</f>
        <v/>
      </c>
      <c r="R381" s="94" t="n">
        <v>0.005855264134920768</v>
      </c>
    </row>
    <row r="382">
      <c r="A382" s="375" t="n">
        <v>45016</v>
      </c>
      <c r="B382" s="376" t="n">
        <v>112.0370365082851</v>
      </c>
      <c r="C382" s="376" t="n">
        <v>113.6955413127808</v>
      </c>
      <c r="D382" s="376" t="n">
        <v>111.7405444636725</v>
      </c>
      <c r="E382" s="376" t="n">
        <v>113.6306838989258</v>
      </c>
      <c r="F382" s="93" t="n">
        <v>5659400</v>
      </c>
      <c r="G382" s="94" t="n">
        <v>0.02114912143938552</v>
      </c>
      <c r="H382" s="95" t="n">
        <v>84.12222364429745</v>
      </c>
      <c r="I382" s="376" t="n">
        <v>113.2608380126953</v>
      </c>
      <c r="J382" s="376" t="n">
        <v>101.5796142959595</v>
      </c>
      <c r="K382" s="94" t="n">
        <v>0.2962782835022876</v>
      </c>
      <c r="L382" s="94" t="n">
        <v>-0.05027258637747289</v>
      </c>
      <c r="M382" s="94" t="n">
        <v>-0.1086095260007226</v>
      </c>
      <c r="N382" t="n">
        <v>55.19366789421461</v>
      </c>
      <c r="O382" t="n">
        <v>0.2423170736662953</v>
      </c>
      <c r="P382" s="143">
        <f>MAX($E$2:E382)</f>
        <v/>
      </c>
      <c r="Q382" s="144">
        <f>E382/P382-1</f>
        <v/>
      </c>
      <c r="R382" s="94" t="n">
        <v>0.01409481995628181</v>
      </c>
    </row>
    <row r="383">
      <c r="A383" s="375" t="n">
        <v>45019</v>
      </c>
      <c r="B383" s="376" t="n">
        <v>113.5009545365332</v>
      </c>
      <c r="C383" s="376" t="n">
        <v>113.8252415642808</v>
      </c>
      <c r="D383" s="376" t="n">
        <v>111.944369734418</v>
      </c>
      <c r="E383" s="376" t="n">
        <v>112.7319259643555</v>
      </c>
      <c r="F383" s="93" t="n">
        <v>4838400</v>
      </c>
      <c r="G383" s="94" t="n">
        <v>-0.007909465152649786</v>
      </c>
      <c r="H383" s="95" t="n">
        <v>83.45686184781947</v>
      </c>
      <c r="I383" s="376" t="n">
        <v>113.1757820129395</v>
      </c>
      <c r="J383" s="376" t="n">
        <v>101.62233543396</v>
      </c>
      <c r="K383" s="94" t="n">
        <v>0.2968277402444556</v>
      </c>
      <c r="L383" s="94" t="n">
        <v>-0.05778442226003644</v>
      </c>
      <c r="M383" s="94" t="n">
        <v>-0.1156599478922238</v>
      </c>
      <c r="N383" t="n">
        <v>52.768401659468</v>
      </c>
      <c r="O383" t="n">
        <v>0.2784547806891817</v>
      </c>
      <c r="P383" s="143">
        <f>MAX($E$2:E383)</f>
        <v/>
      </c>
      <c r="Q383" s="144">
        <f>E383/P383-1</f>
        <v/>
      </c>
      <c r="R383" s="94" t="n">
        <v>0.003810368069051773</v>
      </c>
    </row>
    <row r="384">
      <c r="A384" s="375" t="n">
        <v>45020</v>
      </c>
      <c r="B384" s="376" t="n">
        <v>112.4632374601798</v>
      </c>
      <c r="C384" s="376" t="n">
        <v>114.8444410562564</v>
      </c>
      <c r="D384" s="376" t="n">
        <v>112.4447098010229</v>
      </c>
      <c r="E384" s="376" t="n">
        <v>114.6035461425781</v>
      </c>
      <c r="F384" s="93" t="n">
        <v>5895300</v>
      </c>
      <c r="G384" s="94" t="n">
        <v>0.01660239690054111</v>
      </c>
      <c r="H384" s="95" t="n">
        <v>84.84244579229059</v>
      </c>
      <c r="I384" s="376" t="n">
        <v>113.0972999572754</v>
      </c>
      <c r="J384" s="376" t="n">
        <v>101.7034373092651</v>
      </c>
      <c r="K384" s="94" t="n">
        <v>0.3011667601588926</v>
      </c>
      <c r="L384" s="94" t="n">
        <v>-0.04214138527252498</v>
      </c>
      <c r="M384" s="94" t="n">
        <v>-0.1009777833520852</v>
      </c>
      <c r="N384" t="n">
        <v>57.00527076667104</v>
      </c>
      <c r="O384" t="n">
        <v>0.40838315668122</v>
      </c>
      <c r="P384" s="143">
        <f>MAX($E$2:E384)</f>
        <v/>
      </c>
      <c r="Q384" s="144">
        <f>E384/P384-1</f>
        <v/>
      </c>
      <c r="R384" s="94" t="n">
        <v>-0.005548158407434278</v>
      </c>
    </row>
    <row r="385">
      <c r="A385" s="375" t="n">
        <v>45021</v>
      </c>
      <c r="B385" s="376" t="n">
        <v>113.9642383968049</v>
      </c>
      <c r="C385" s="376" t="n">
        <v>114.2699978061195</v>
      </c>
      <c r="D385" s="376" t="n">
        <v>111.7034821372828</v>
      </c>
      <c r="E385" s="376" t="n">
        <v>112.0185089111328</v>
      </c>
      <c r="F385" s="93" t="n">
        <v>4331400</v>
      </c>
      <c r="G385" s="94" t="n">
        <v>-0.02255634592867894</v>
      </c>
      <c r="H385" s="95" t="n">
        <v>82.92871023556449</v>
      </c>
      <c r="I385" s="376" t="n">
        <v>112.9940950012207</v>
      </c>
      <c r="J385" s="376" t="n">
        <v>101.7706038284302</v>
      </c>
      <c r="K385" s="94" t="n">
        <v>0.3133644276795942</v>
      </c>
      <c r="L385" s="94" t="n">
        <v>-0.06374717553708309</v>
      </c>
      <c r="M385" s="94" t="n">
        <v>-0.1212564394683633</v>
      </c>
      <c r="N385" t="n">
        <v>50.2945782158145</v>
      </c>
      <c r="O385" t="n">
        <v>0.3049423946477947</v>
      </c>
      <c r="P385" s="143">
        <f>MAX($E$2:E385)</f>
        <v/>
      </c>
      <c r="Q385" s="144">
        <f>E385/P385-1</f>
        <v/>
      </c>
      <c r="R385" s="94" t="n">
        <v>-0.002618165289222651</v>
      </c>
    </row>
    <row r="386">
      <c r="A386" s="375" t="n">
        <v>45022</v>
      </c>
      <c r="B386" s="376" t="n">
        <v>110.7306091888553</v>
      </c>
      <c r="C386" s="376" t="n">
        <v>111.638612887066</v>
      </c>
      <c r="D386" s="376" t="n">
        <v>109.1925520097451</v>
      </c>
      <c r="E386" s="376" t="n">
        <v>111.3884506225586</v>
      </c>
      <c r="F386" s="93" t="n">
        <v>4256900</v>
      </c>
      <c r="G386" s="94" t="n">
        <v>-0.005624590924291462</v>
      </c>
      <c r="H386" s="95" t="n">
        <v>82.46227016461035</v>
      </c>
      <c r="I386" s="376" t="n">
        <v>112.8784736633301</v>
      </c>
      <c r="J386" s="376" t="n">
        <v>101.8284664916992</v>
      </c>
      <c r="K386" s="94" t="n">
        <v>0.3077352166521202</v>
      </c>
      <c r="L386" s="94" t="n">
        <v>-0.06901321467639943</v>
      </c>
      <c r="M386" s="94" t="n">
        <v>-0.1261990125237091</v>
      </c>
      <c r="N386" t="n">
        <v>48.78708350812349</v>
      </c>
      <c r="O386" t="n">
        <v>0.1847200772308829</v>
      </c>
      <c r="P386" s="143">
        <f>MAX($E$2:E386)</f>
        <v/>
      </c>
      <c r="Q386" s="144">
        <f>E386/P386-1</f>
        <v/>
      </c>
      <c r="R386" s="94" t="n">
        <v>0.00390084301656124</v>
      </c>
    </row>
    <row r="387">
      <c r="A387" s="375" t="n">
        <v>45026</v>
      </c>
      <c r="B387" s="376" t="n">
        <v>110.5360341331829</v>
      </c>
      <c r="C387" s="376" t="n">
        <v>112.9542999267578</v>
      </c>
      <c r="D387" s="376" t="n">
        <v>110.3785172325339</v>
      </c>
      <c r="E387" s="376" t="n">
        <v>112.9542999267578</v>
      </c>
      <c r="F387" s="93" t="n">
        <v>3731200</v>
      </c>
      <c r="G387" s="94" t="n">
        <v>0.01405755529812613</v>
      </c>
      <c r="H387" s="95" t="n">
        <v>83.62148808745836</v>
      </c>
      <c r="I387" s="376" t="n">
        <v>112.7810499572754</v>
      </c>
      <c r="J387" s="376" t="n">
        <v>101.9114250183106</v>
      </c>
      <c r="K387" s="94" t="n">
        <v>0.3105655633359832</v>
      </c>
      <c r="L387" s="94" t="n">
        <v>-0.05592581645988837</v>
      </c>
      <c r="M387" s="94" t="n">
        <v>-0.1139155068227039</v>
      </c>
      <c r="N387" t="n">
        <v>52.59033812832077</v>
      </c>
      <c r="O387" t="n">
        <v>0.1999983366585677</v>
      </c>
      <c r="P387" s="143">
        <f>MAX($E$2:E387)</f>
        <v/>
      </c>
      <c r="Q387" s="144">
        <f>E387/P387-1</f>
        <v/>
      </c>
      <c r="R387" s="94" t="n">
        <v>0.001026336962408614</v>
      </c>
    </row>
    <row r="388">
      <c r="A388" s="375" t="n">
        <v>45027</v>
      </c>
      <c r="B388" s="376" t="n">
        <v>113.0747622400461</v>
      </c>
      <c r="C388" s="376" t="n">
        <v>114.9649016759873</v>
      </c>
      <c r="D388" s="376" t="n">
        <v>113.0747622400461</v>
      </c>
      <c r="E388" s="376" t="n">
        <v>114.2422027587891</v>
      </c>
      <c r="F388" s="93" t="n">
        <v>4471000</v>
      </c>
      <c r="G388" s="94" t="n">
        <v>0.01140198144618099</v>
      </c>
      <c r="H388" s="95" t="n">
        <v>84.57493874313361</v>
      </c>
      <c r="I388" s="376" t="n">
        <v>112.7093843078613</v>
      </c>
      <c r="J388" s="376" t="n">
        <v>101.9866790390015</v>
      </c>
      <c r="K388" s="94" t="n">
        <v>0.3109731250954862</v>
      </c>
      <c r="L388" s="94" t="n">
        <v>-0.04516150013534537</v>
      </c>
      <c r="M388" s="94" t="n">
        <v>-0.1038123878717477</v>
      </c>
      <c r="N388" t="n">
        <v>55.51646405411105</v>
      </c>
      <c r="O388" t="n">
        <v>0.2812110897798342</v>
      </c>
      <c r="P388" s="143">
        <f>MAX($E$2:E388)</f>
        <v/>
      </c>
      <c r="Q388" s="144">
        <f>E388/P388-1</f>
        <v/>
      </c>
      <c r="R388" s="94" t="n">
        <v>0.0002686936841420628</v>
      </c>
    </row>
    <row r="389">
      <c r="A389" s="375" t="n">
        <v>45028</v>
      </c>
      <c r="B389" s="376" t="n">
        <v>115.5949431763262</v>
      </c>
      <c r="C389" s="376" t="n">
        <v>115.6875956108871</v>
      </c>
      <c r="D389" s="376" t="n">
        <v>114.1680730635196</v>
      </c>
      <c r="E389" s="376" t="n">
        <v>114.5757522583008</v>
      </c>
      <c r="F389" s="93" t="n">
        <v>4524900</v>
      </c>
      <c r="G389" s="94" t="n">
        <v>0.002919669714492201</v>
      </c>
      <c r="H389" s="95" t="n">
        <v>84.82186963038697</v>
      </c>
      <c r="I389" s="376" t="n">
        <v>112.6658239746094</v>
      </c>
      <c r="J389" s="376" t="n">
        <v>102.0410531616211</v>
      </c>
      <c r="K389" s="94" t="n">
        <v>0.3055882378832534</v>
      </c>
      <c r="L389" s="94" t="n">
        <v>-0.0423736870850594</v>
      </c>
      <c r="M389" s="94" t="n">
        <v>-0.1011958160421137</v>
      </c>
      <c r="N389" t="n">
        <v>56.26925588899834</v>
      </c>
      <c r="O389" t="n">
        <v>0.337947462373748</v>
      </c>
      <c r="P389" s="143">
        <f>MAX($E$2:E389)</f>
        <v/>
      </c>
      <c r="Q389" s="144">
        <f>E389/P389-1</f>
        <v/>
      </c>
      <c r="R389" s="94" t="n">
        <v>-0.00407607659812681</v>
      </c>
    </row>
    <row r="390">
      <c r="A390" s="375" t="n">
        <v>45029</v>
      </c>
      <c r="B390" s="376" t="n">
        <v>115.4837454786572</v>
      </c>
      <c r="C390" s="376" t="n">
        <v>117.3646172974817</v>
      </c>
      <c r="D390" s="376" t="n">
        <v>115.3169682840904</v>
      </c>
      <c r="E390" s="376" t="n">
        <v>117.1422500610352</v>
      </c>
      <c r="F390" s="93" t="n">
        <v>5355300</v>
      </c>
      <c r="G390" s="94" t="n">
        <v>0.02240000831020894</v>
      </c>
      <c r="H390" s="95" t="n">
        <v>86.7218802149951</v>
      </c>
      <c r="I390" s="376" t="n">
        <v>112.6558549499512</v>
      </c>
      <c r="J390" s="376" t="n">
        <v>102.1193268966675</v>
      </c>
      <c r="K390" s="94" t="n">
        <v>0.311745831720048</v>
      </c>
      <c r="L390" s="94" t="n">
        <v>-0.0209228497176901</v>
      </c>
      <c r="M390" s="94" t="n">
        <v>-0.08106259485220657</v>
      </c>
      <c r="N390" t="n">
        <v>61.64743541579242</v>
      </c>
      <c r="O390" t="n">
        <v>0.5180995929464189</v>
      </c>
      <c r="P390" s="143">
        <f>MAX($E$2:E390)</f>
        <v/>
      </c>
      <c r="Q390" s="144">
        <f>E390/P390-1</f>
        <v/>
      </c>
      <c r="R390" s="94" t="n">
        <v>0.01328256362499913</v>
      </c>
    </row>
    <row r="391">
      <c r="A391" s="375" t="n">
        <v>45030</v>
      </c>
      <c r="B391" s="376" t="n">
        <v>117.6703856154744</v>
      </c>
      <c r="C391" s="376" t="n">
        <v>118.1243874861871</v>
      </c>
      <c r="D391" s="376" t="n">
        <v>116.2713105473608</v>
      </c>
      <c r="E391" s="376" t="n">
        <v>116.6975173950195</v>
      </c>
      <c r="F391" s="93" t="n">
        <v>4828700</v>
      </c>
      <c r="G391" s="94" t="n">
        <v>-0.003796518043523212</v>
      </c>
      <c r="H391" s="95" t="n">
        <v>86.3926390319906</v>
      </c>
      <c r="I391" s="376" t="n">
        <v>112.5968937683106</v>
      </c>
      <c r="J391" s="376" t="n">
        <v>102.230828704834</v>
      </c>
      <c r="K391" s="94" t="n">
        <v>0.3057345996107272</v>
      </c>
      <c r="L391" s="94" t="n">
        <v>-0.02463993378473828</v>
      </c>
      <c r="M391" s="94" t="n">
        <v>-0.08455135729171848</v>
      </c>
      <c r="N391" t="n">
        <v>60.26434153427381</v>
      </c>
      <c r="O391" t="n">
        <v>0.5728119097824151</v>
      </c>
      <c r="P391" s="143">
        <f>MAX($E$2:E391)</f>
        <v/>
      </c>
      <c r="Q391" s="144">
        <f>E391/P391-1</f>
        <v/>
      </c>
      <c r="R391" s="94" t="n">
        <v>-0.002442614252499253</v>
      </c>
    </row>
    <row r="392">
      <c r="A392" s="375" t="n">
        <v>45033</v>
      </c>
      <c r="B392" s="376" t="n">
        <v>116.7716418096869</v>
      </c>
      <c r="C392" s="376" t="n">
        <v>117.1885883609959</v>
      </c>
      <c r="D392" s="376" t="n">
        <v>115.9377557759962</v>
      </c>
      <c r="E392" s="376" t="n">
        <v>116.9198913574219</v>
      </c>
      <c r="F392" s="93" t="n">
        <v>3917900</v>
      </c>
      <c r="G392" s="94" t="n">
        <v>0.001905558638832128</v>
      </c>
      <c r="H392" s="95" t="n">
        <v>86.55726527162952</v>
      </c>
      <c r="I392" s="376" t="n">
        <v>112.5505104064941</v>
      </c>
      <c r="J392" s="376" t="n">
        <v>102.3412841415405</v>
      </c>
      <c r="K392" s="94" t="n">
        <v>0.305284075806951</v>
      </c>
      <c r="L392" s="94" t="n">
        <v>-0.02278132798458987</v>
      </c>
      <c r="M392" s="94" t="n">
        <v>-0.0828069162221986</v>
      </c>
      <c r="N392" t="n">
        <v>60.73866142389376</v>
      </c>
      <c r="O392" t="n">
        <v>0.587300503817527</v>
      </c>
      <c r="P392" s="143">
        <f>MAX($E$2:E392)</f>
        <v/>
      </c>
      <c r="Q392" s="144">
        <f>E392/P392-1</f>
        <v/>
      </c>
      <c r="R392" s="94" t="n">
        <v>0.003588197378443736</v>
      </c>
    </row>
    <row r="393">
      <c r="A393" s="375" t="n">
        <v>45034</v>
      </c>
      <c r="B393" s="376" t="n">
        <v>117.8834963846914</v>
      </c>
      <c r="C393" s="376" t="n">
        <v>117.929819068303</v>
      </c>
      <c r="D393" s="376" t="n">
        <v>115.8358400804356</v>
      </c>
      <c r="E393" s="376" t="n">
        <v>116.9384231567383</v>
      </c>
      <c r="F393" s="93" t="n">
        <v>3857700</v>
      </c>
      <c r="G393" s="94" t="n">
        <v>0.0001584999703749812</v>
      </c>
      <c r="H393" s="95" t="n">
        <v>86.57098459561081</v>
      </c>
      <c r="I393" s="376" t="n">
        <v>112.5312910461426</v>
      </c>
      <c r="J393" s="376" t="n">
        <v>102.4566539764404</v>
      </c>
      <c r="K393" s="94" t="n">
        <v>0.3049770490310714</v>
      </c>
      <c r="L393" s="94" t="n">
        <v>-0.02262643885402549</v>
      </c>
      <c r="M393" s="94" t="n">
        <v>-0.08266154114559154</v>
      </c>
      <c r="N393" t="n">
        <v>60.78067690617237</v>
      </c>
      <c r="O393" t="n">
        <v>0.561470824340901</v>
      </c>
      <c r="P393" s="143">
        <f>MAX($E$2:E393)</f>
        <v/>
      </c>
      <c r="Q393" s="144">
        <f>E393/P393-1</f>
        <v/>
      </c>
      <c r="R393" s="94" t="n">
        <v>0.0006524259727906934</v>
      </c>
    </row>
    <row r="394">
      <c r="A394" s="375" t="n">
        <v>45035</v>
      </c>
      <c r="B394" s="376" t="n">
        <v>116.7438468540631</v>
      </c>
      <c r="C394" s="376" t="n">
        <v>116.8179716279734</v>
      </c>
      <c r="D394" s="376" t="n">
        <v>115.7431836130571</v>
      </c>
      <c r="E394" s="376" t="n">
        <v>116.4380874633789</v>
      </c>
      <c r="F394" s="93" t="n">
        <v>3547400</v>
      </c>
      <c r="G394" s="94" t="n">
        <v>-0.004278625278611337</v>
      </c>
      <c r="H394" s="95" t="n">
        <v>86.20057979252576</v>
      </c>
      <c r="I394" s="376" t="n">
        <v>112.5368034362793</v>
      </c>
      <c r="J394" s="376" t="n">
        <v>102.574206237793</v>
      </c>
      <c r="K394" s="94" t="n">
        <v>0.2774431765700156</v>
      </c>
      <c r="L394" s="94" t="n">
        <v>-0.02680825407939103</v>
      </c>
      <c r="M394" s="94" t="n">
        <v>-0.08658648866468843</v>
      </c>
      <c r="N394" t="n">
        <v>58.94654245716088</v>
      </c>
      <c r="O394" t="n">
        <v>0.4773318498055117</v>
      </c>
      <c r="P394" s="143">
        <f>MAX($E$2:E394)</f>
        <v/>
      </c>
      <c r="Q394" s="144">
        <f>E394/P394-1</f>
        <v/>
      </c>
      <c r="R394" s="94" t="n">
        <v>-0.000169059990287268</v>
      </c>
    </row>
    <row r="395">
      <c r="A395" s="375" t="n">
        <v>45036</v>
      </c>
      <c r="B395" s="376" t="n">
        <v>115.6320181587006</v>
      </c>
      <c r="C395" s="376" t="n">
        <v>116.1416101387548</v>
      </c>
      <c r="D395" s="376" t="n">
        <v>114.6220874258792</v>
      </c>
      <c r="E395" s="376" t="n">
        <v>115.3077239990234</v>
      </c>
      <c r="F395" s="93" t="n">
        <v>3891600</v>
      </c>
      <c r="G395" s="94" t="n">
        <v>-0.009707849802247703</v>
      </c>
      <c r="H395" s="95" t="n">
        <v>85.36375751103324</v>
      </c>
      <c r="I395" s="376" t="n">
        <v>112.5271000671387</v>
      </c>
      <c r="J395" s="376" t="n">
        <v>102.6716871261597</v>
      </c>
      <c r="K395" s="94" t="n">
        <v>0.213684104552062</v>
      </c>
      <c r="L395" s="94" t="n">
        <v>-0.03625585337757564</v>
      </c>
      <c r="M395" s="94" t="n">
        <v>-0.09545376984007536</v>
      </c>
      <c r="N395" t="n">
        <v>54.91476913592717</v>
      </c>
      <c r="O395" t="n">
        <v>0.3197616065190367</v>
      </c>
      <c r="P395" s="143">
        <f>MAX($E$2:E395)</f>
        <v/>
      </c>
      <c r="Q395" s="144">
        <f>E395/P395-1</f>
        <v/>
      </c>
      <c r="R395" s="94" t="n">
        <v>-0.00545693551775972</v>
      </c>
    </row>
    <row r="396">
      <c r="A396" s="375" t="n">
        <v>45037</v>
      </c>
      <c r="B396" s="376" t="n">
        <v>115.2613865758681</v>
      </c>
      <c r="C396" s="376" t="n">
        <v>116.4473546812341</v>
      </c>
      <c r="D396" s="376" t="n">
        <v>114.5386877034686</v>
      </c>
      <c r="E396" s="376" t="n">
        <v>116.3083724975586</v>
      </c>
      <c r="F396" s="93" t="n">
        <v>3651400</v>
      </c>
      <c r="G396" s="94" t="n">
        <v>0.008678069983790726</v>
      </c>
      <c r="H396" s="95" t="n">
        <v>86.10455017279334</v>
      </c>
      <c r="I396" s="376" t="n">
        <v>112.582126159668</v>
      </c>
      <c r="J396" s="376" t="n">
        <v>102.7745845794678</v>
      </c>
      <c r="K396" s="94" t="n">
        <v>0.2117724049261388</v>
      </c>
      <c r="L396" s="94" t="n">
        <v>-0.0278924142267174</v>
      </c>
      <c r="M396" s="94" t="n">
        <v>-0.08760405435117347</v>
      </c>
      <c r="N396" t="n">
        <v>57.67462680984258</v>
      </c>
      <c r="O396" t="n">
        <v>0.2596935627618217</v>
      </c>
      <c r="P396" s="143">
        <f>MAX($E$2:E396)</f>
        <v/>
      </c>
      <c r="Q396" s="144">
        <f>E396/P396-1</f>
        <v/>
      </c>
      <c r="R396" s="94" t="n">
        <v>0.0007767200960635545</v>
      </c>
    </row>
    <row r="397">
      <c r="A397" s="375" t="n">
        <v>45040</v>
      </c>
      <c r="B397" s="376" t="n">
        <v>116.2898435335375</v>
      </c>
      <c r="C397" s="376" t="n">
        <v>117.7908313073911</v>
      </c>
      <c r="D397" s="376" t="n">
        <v>115.9562891240306</v>
      </c>
      <c r="E397" s="376" t="n">
        <v>117.7537689208984</v>
      </c>
      <c r="F397" s="93" t="n">
        <v>3790900</v>
      </c>
      <c r="G397" s="94" t="n">
        <v>0.0124272775235521</v>
      </c>
      <c r="H397" s="95" t="n">
        <v>87.17459531383126</v>
      </c>
      <c r="I397" s="376" t="n">
        <v>112.6795492553711</v>
      </c>
      <c r="J397" s="376" t="n">
        <v>102.8667994689941</v>
      </c>
      <c r="K397" s="94" t="n">
        <v>0.2143478705385772</v>
      </c>
      <c r="L397" s="94" t="n">
        <v>-0.01581176347556257</v>
      </c>
      <c r="M397" s="94" t="n">
        <v>-0.04744353469779716</v>
      </c>
      <c r="N397" t="n">
        <v>61.35456635565012</v>
      </c>
      <c r="O397" t="n">
        <v>0.291677754238171</v>
      </c>
      <c r="P397" s="143">
        <f>MAX($E$2:E397)</f>
        <v/>
      </c>
      <c r="Q397" s="144">
        <f>E397/P397-1</f>
        <v/>
      </c>
      <c r="R397" s="94" t="n">
        <v>0.001043199969317232</v>
      </c>
    </row>
    <row r="398">
      <c r="A398" s="375" t="n">
        <v>45041</v>
      </c>
      <c r="B398" s="376" t="n">
        <v>117.2349112294717</v>
      </c>
      <c r="C398" s="376" t="n">
        <v>117.4572784825004</v>
      </c>
      <c r="D398" s="376" t="n">
        <v>114.9370997873437</v>
      </c>
      <c r="E398" s="376" t="n">
        <v>115.5022888183594</v>
      </c>
      <c r="F398" s="93" t="n">
        <v>4383300</v>
      </c>
      <c r="G398" s="94" t="n">
        <v>-0.01912023813056463</v>
      </c>
      <c r="H398" s="95" t="n">
        <v>85.50779629249521</v>
      </c>
      <c r="I398" s="376" t="n">
        <v>112.7310191345215</v>
      </c>
      <c r="J398" s="376" t="n">
        <v>102.9486753845215</v>
      </c>
      <c r="K398" s="94" t="n">
        <v>0.2068232654701414</v>
      </c>
      <c r="L398" s="94" t="n">
        <v>-0.03462967692321017</v>
      </c>
      <c r="M398" s="94" t="n">
        <v>-0.04793651663155074</v>
      </c>
      <c r="N398" t="n">
        <v>53.54503589774352</v>
      </c>
      <c r="O398" t="n">
        <v>0.143091023336017</v>
      </c>
      <c r="P398" s="143">
        <f>MAX($E$2:E398)</f>
        <v/>
      </c>
      <c r="Q398" s="144">
        <f>E398/P398-1</f>
        <v/>
      </c>
      <c r="R398" s="94" t="n">
        <v>-0.01587385575956402</v>
      </c>
    </row>
    <row r="399">
      <c r="A399" s="375" t="n">
        <v>45042</v>
      </c>
      <c r="B399" s="376" t="n">
        <v>115.0853449794281</v>
      </c>
      <c r="C399" s="376" t="n">
        <v>115.7987835752333</v>
      </c>
      <c r="D399" s="376" t="n">
        <v>114.2329312652833</v>
      </c>
      <c r="E399" s="376" t="n">
        <v>114.7425231933594</v>
      </c>
      <c r="F399" s="93" t="n">
        <v>4003200</v>
      </c>
      <c r="G399" s="94" t="n">
        <v>-0.006577927007098694</v>
      </c>
      <c r="H399" s="95" t="n">
        <v>84.94533224994531</v>
      </c>
      <c r="I399" s="376" t="n">
        <v>112.7133375549316</v>
      </c>
      <c r="J399" s="376" t="n">
        <v>103.0397024536133</v>
      </c>
      <c r="K399" s="94" t="n">
        <v>0.2094281517266813</v>
      </c>
      <c r="L399" s="94" t="n">
        <v>-0.04097981244322868</v>
      </c>
      <c r="M399" s="94" t="n">
        <v>-0.05419912073127253</v>
      </c>
      <c r="N399" t="n">
        <v>51.1777254086846</v>
      </c>
      <c r="O399" t="n">
        <v>-0.0160133018580686</v>
      </c>
      <c r="P399" s="143">
        <f>MAX($E$2:E399)</f>
        <v/>
      </c>
      <c r="Q399" s="144">
        <f>E399/P399-1</f>
        <v/>
      </c>
      <c r="R399" s="94" t="n">
        <v>-0.004235688050099218</v>
      </c>
    </row>
    <row r="400">
      <c r="A400" s="375" t="n">
        <v>45043</v>
      </c>
      <c r="B400" s="376" t="n">
        <v>115.2984404272388</v>
      </c>
      <c r="C400" s="376" t="n">
        <v>116.7531054283079</v>
      </c>
      <c r="D400" s="376" t="n">
        <v>114.093937683124</v>
      </c>
      <c r="E400" s="376" t="n">
        <v>116.4658737182617</v>
      </c>
      <c r="F400" s="93" t="n">
        <v>4252100</v>
      </c>
      <c r="G400" s="94" t="n">
        <v>0.01501928384473672</v>
      </c>
      <c r="H400" s="95" t="n">
        <v>86.22115030629271</v>
      </c>
      <c r="I400" s="376" t="n">
        <v>112.7107211303711</v>
      </c>
      <c r="J400" s="376" t="n">
        <v>103.1455457687378</v>
      </c>
      <c r="K400" s="94" t="n">
        <v>0.2018747350763671</v>
      </c>
      <c r="L400" s="94" t="n">
        <v>-0.02657601603348081</v>
      </c>
      <c r="M400" s="94" t="n">
        <v>-0.03999386886493395</v>
      </c>
      <c r="N400" t="n">
        <v>55.93648544850266</v>
      </c>
      <c r="O400" t="n">
        <v>-0.01486617053179939</v>
      </c>
      <c r="P400" s="143">
        <f>MAX($E$2:E400)</f>
        <v/>
      </c>
      <c r="Q400" s="144">
        <f>E400/P400-1</f>
        <v/>
      </c>
      <c r="R400" s="94" t="n">
        <v>0.01990832509679108</v>
      </c>
    </row>
    <row r="401">
      <c r="A401" s="375" t="n">
        <v>45044</v>
      </c>
      <c r="B401" s="376" t="n">
        <v>115.9562846704676</v>
      </c>
      <c r="C401" s="376" t="n">
        <v>117.7352367402282</v>
      </c>
      <c r="D401" s="376" t="n">
        <v>115.7802401086205</v>
      </c>
      <c r="E401" s="376" t="n">
        <v>117.4109497070312</v>
      </c>
      <c r="F401" s="93" t="n">
        <v>4421400</v>
      </c>
      <c r="G401" s="94" t="n">
        <v>0.008114617257375611</v>
      </c>
      <c r="H401" s="95" t="n">
        <v>86.92080194051893</v>
      </c>
      <c r="I401" s="376" t="n">
        <v>112.7033541870117</v>
      </c>
      <c r="J401" s="376" t="n">
        <v>103.249914970398</v>
      </c>
      <c r="K401" s="94" t="n">
        <v>0.2018446077690371</v>
      </c>
      <c r="L401" s="94" t="n">
        <v>-0.01533146730333423</v>
      </c>
      <c r="M401" s="94" t="n">
        <v>-0.03220378654603895</v>
      </c>
      <c r="N401" t="n">
        <v>58.33490922769746</v>
      </c>
      <c r="O401" t="n">
        <v>0.03702955494012805</v>
      </c>
      <c r="P401" s="143">
        <f>MAX($E$2:E401)</f>
        <v/>
      </c>
      <c r="Q401" s="144">
        <f>E401/P401-1</f>
        <v/>
      </c>
      <c r="R401" s="94" t="n">
        <v>0.008534950573521716</v>
      </c>
    </row>
    <row r="402">
      <c r="A402" s="375" t="n">
        <v>45047</v>
      </c>
      <c r="B402" s="376" t="n">
        <v>117.5962506126436</v>
      </c>
      <c r="C402" s="376" t="n">
        <v>119.2269530873416</v>
      </c>
      <c r="D402" s="376" t="n">
        <v>117.540660571371</v>
      </c>
      <c r="E402" s="376" t="n">
        <v>118.5227890014648</v>
      </c>
      <c r="F402" s="93" t="n">
        <v>4112600</v>
      </c>
      <c r="G402" s="94" t="n">
        <v>0.009469638881278941</v>
      </c>
      <c r="H402" s="95" t="n">
        <v>87.74391054616682</v>
      </c>
      <c r="I402" s="376" t="n">
        <v>112.7755062866211</v>
      </c>
      <c r="J402" s="376" t="n">
        <v>103.368522644043</v>
      </c>
      <c r="K402" s="94" t="n">
        <v>0.1917388400625746</v>
      </c>
      <c r="L402" s="94" t="n">
        <v>0</v>
      </c>
      <c r="M402" s="94" t="n">
        <v>-0.02303910589396074</v>
      </c>
      <c r="N402" t="n">
        <v>61.02283347324526</v>
      </c>
      <c r="O402" t="n">
        <v>0.1285711031080226</v>
      </c>
      <c r="P402" s="143">
        <f>MAX($E$2:E402)</f>
        <v/>
      </c>
      <c r="Q402" s="144">
        <f>E402/P402-1</f>
        <v/>
      </c>
      <c r="R402" s="94" t="n">
        <v>-0.001009628986827549</v>
      </c>
    </row>
    <row r="403">
      <c r="A403" s="375" t="n">
        <v>45048</v>
      </c>
      <c r="B403" s="376" t="n">
        <v>117.8093656051395</v>
      </c>
      <c r="C403" s="376" t="n">
        <v>118.2077774223227</v>
      </c>
      <c r="D403" s="376" t="n">
        <v>115.974816359547</v>
      </c>
      <c r="E403" s="376" t="n">
        <v>117.9112854003906</v>
      </c>
      <c r="F403" s="93" t="n">
        <v>3831600</v>
      </c>
      <c r="G403" s="94" t="n">
        <v>-0.005159375730406257</v>
      </c>
      <c r="H403" s="95" t="n">
        <v>87.29120674360399</v>
      </c>
      <c r="I403" s="376" t="n">
        <v>112.8269282531738</v>
      </c>
      <c r="J403" s="376" t="n">
        <v>103.4772764205933</v>
      </c>
      <c r="K403" s="94" t="n">
        <v>0.1900608182600813</v>
      </c>
      <c r="L403" s="94" t="n">
        <v>-0.005159375730406146</v>
      </c>
      <c r="M403" s="94" t="n">
        <v>-0.02807961422056748</v>
      </c>
      <c r="N403" t="n">
        <v>58.7769191030001</v>
      </c>
      <c r="O403" t="n">
        <v>0.1298903685550101</v>
      </c>
      <c r="P403" s="143">
        <f>MAX($E$2:E403)</f>
        <v/>
      </c>
      <c r="Q403" s="144">
        <f>E403/P403-1</f>
        <v/>
      </c>
      <c r="R403" s="94" t="n">
        <v>-0.01123949490391085</v>
      </c>
    </row>
    <row r="404">
      <c r="A404" s="375" t="n">
        <v>45049</v>
      </c>
      <c r="B404" s="376" t="n">
        <v>116.2712857781228</v>
      </c>
      <c r="C404" s="376" t="n">
        <v>118.9489878877101</v>
      </c>
      <c r="D404" s="376" t="n">
        <v>114.5849864057798</v>
      </c>
      <c r="E404" s="376" t="n">
        <v>117.4294586181641</v>
      </c>
      <c r="F404" s="93" t="n">
        <v>4560100</v>
      </c>
      <c r="G404" s="94" t="n">
        <v>-0.004086350009589235</v>
      </c>
      <c r="H404" s="95" t="n">
        <v>86.93450432009021</v>
      </c>
      <c r="I404" s="376" t="n">
        <v>112.9378218078613</v>
      </c>
      <c r="J404" s="376" t="n">
        <v>103.5871109771729</v>
      </c>
      <c r="K404" s="94" t="n">
        <v>0.1835109219098921</v>
      </c>
      <c r="L404" s="94" t="n">
        <v>-0.009224642724929955</v>
      </c>
      <c r="M404" s="94" t="n">
        <v>-0.03205122109831726</v>
      </c>
      <c r="N404" t="n">
        <v>56.99688411018936</v>
      </c>
      <c r="O404" t="n">
        <v>0.08257052221999839</v>
      </c>
      <c r="P404" s="143">
        <f>MAX($E$2:E404)</f>
        <v/>
      </c>
      <c r="Q404" s="144">
        <f>E404/P404-1</f>
        <v/>
      </c>
      <c r="R404" s="94" t="n">
        <v>-0.006863722398112615</v>
      </c>
    </row>
    <row r="405">
      <c r="A405" s="375" t="n">
        <v>45050</v>
      </c>
      <c r="B405" s="376" t="n">
        <v>115.7617299019837</v>
      </c>
      <c r="C405" s="376" t="n">
        <v>115.9933645418907</v>
      </c>
      <c r="D405" s="376" t="n">
        <v>113.7974656107581</v>
      </c>
      <c r="E405" s="376" t="n">
        <v>114.5850219726562</v>
      </c>
      <c r="F405" s="93" t="n">
        <v>6177100</v>
      </c>
      <c r="G405" s="94" t="n">
        <v>-0.02422251349005056</v>
      </c>
      <c r="H405" s="95" t="n">
        <v>84.82873211644598</v>
      </c>
      <c r="I405" s="376" t="n">
        <v>113.0140003967285</v>
      </c>
      <c r="J405" s="376" t="n">
        <v>103.6586144638061</v>
      </c>
      <c r="K405" s="94" t="n">
        <v>0.1864533113296638</v>
      </c>
      <c r="L405" s="94" t="n">
        <v>-0.03322371218213493</v>
      </c>
      <c r="M405" s="94" t="n">
        <v>-0.05549737345294115</v>
      </c>
      <c r="N405" t="n">
        <v>47.79469012350718</v>
      </c>
      <c r="O405" t="n">
        <v>-0.1437192294561762</v>
      </c>
      <c r="P405" s="143">
        <f>MAX($E$2:E405)</f>
        <v/>
      </c>
      <c r="Q405" s="144">
        <f>E405/P405-1</f>
        <v/>
      </c>
      <c r="R405" s="94" t="n">
        <v>-0.007083017802574809</v>
      </c>
    </row>
    <row r="406">
      <c r="A406" s="375" t="n">
        <v>45051</v>
      </c>
      <c r="B406" s="376" t="n">
        <v>116.6789927259257</v>
      </c>
      <c r="C406" s="376" t="n">
        <v>117.698183654612</v>
      </c>
      <c r="D406" s="376" t="n">
        <v>116.0211512440561</v>
      </c>
      <c r="E406" s="376" t="n">
        <v>117.2905044555664</v>
      </c>
      <c r="F406" s="93" t="n">
        <v>4887800</v>
      </c>
      <c r="G406" s="94" t="n">
        <v>0.02361113552481386</v>
      </c>
      <c r="H406" s="95" t="n">
        <v>86.8316348068455</v>
      </c>
      <c r="I406" s="376" t="n">
        <v>113.1431797790527</v>
      </c>
      <c r="J406" s="376" t="n">
        <v>103.734828338623</v>
      </c>
      <c r="K406" s="94" t="n">
        <v>0.2006057638722753</v>
      </c>
      <c r="L406" s="94" t="n">
        <v>-0.01039702622829097</v>
      </c>
      <c r="M406" s="94" t="n">
        <v>-0.03319659393399599</v>
      </c>
      <c r="N406" t="n">
        <v>55.20304691843164</v>
      </c>
      <c r="O406" t="n">
        <v>-0.1158109295200764</v>
      </c>
      <c r="P406" s="143">
        <f>MAX($E$2:E406)</f>
        <v/>
      </c>
      <c r="Q406" s="144">
        <f>E406/P406-1</f>
        <v/>
      </c>
      <c r="R406" s="94" t="n">
        <v>0.01851255232775451</v>
      </c>
    </row>
    <row r="407">
      <c r="A407" s="375" t="n">
        <v>45054</v>
      </c>
      <c r="B407" s="376" t="n">
        <v>117.9113009132111</v>
      </c>
      <c r="C407" s="376" t="n">
        <v>118.3097127828108</v>
      </c>
      <c r="D407" s="376" t="n">
        <v>116.7253326694525</v>
      </c>
      <c r="E407" s="376" t="n">
        <v>117.559211730957</v>
      </c>
      <c r="F407" s="93" t="n">
        <v>3892600</v>
      </c>
      <c r="G407" s="94" t="n">
        <v>0.002290955066123201</v>
      </c>
      <c r="H407" s="95" t="n">
        <v>87.03056218050601</v>
      </c>
      <c r="I407" s="376" t="n">
        <v>113.3132112121582</v>
      </c>
      <c r="J407" s="376" t="n">
        <v>103.8100436782837</v>
      </c>
      <c r="K407" s="94" t="n">
        <v>0.1960355550668687</v>
      </c>
      <c r="L407" s="94" t="n">
        <v>-0.008129890282078001</v>
      </c>
      <c r="M407" s="94" t="n">
        <v>-0.0309816907729239</v>
      </c>
      <c r="N407" t="n">
        <v>55.87282771705323</v>
      </c>
      <c r="O407" t="n">
        <v>-0.08528455912512234</v>
      </c>
      <c r="P407" s="143">
        <f>MAX($E$2:E407)</f>
        <v/>
      </c>
      <c r="Q407" s="144">
        <f>E407/P407-1</f>
        <v/>
      </c>
      <c r="R407" s="94" t="n">
        <v>0.0002664953886641896</v>
      </c>
    </row>
    <row r="408">
      <c r="A408" s="375" t="n">
        <v>45055</v>
      </c>
      <c r="B408" s="376" t="n">
        <v>116.0674830041429</v>
      </c>
      <c r="C408" s="376" t="n">
        <v>116.4288395481463</v>
      </c>
      <c r="D408" s="376" t="n">
        <v>115.0482919957531</v>
      </c>
      <c r="E408" s="376" t="n">
        <v>115.9099731445312</v>
      </c>
      <c r="F408" s="93" t="n">
        <v>4082100</v>
      </c>
      <c r="G408" s="94" t="n">
        <v>-0.01402900344551639</v>
      </c>
      <c r="H408" s="95" t="n">
        <v>85.80961012381046</v>
      </c>
      <c r="I408" s="376" t="n">
        <v>113.4412034606934</v>
      </c>
      <c r="J408" s="376" t="n">
        <v>103.888493347168</v>
      </c>
      <c r="K408" s="94" t="n">
        <v>0.2007115607480207</v>
      </c>
      <c r="L408" s="94" t="n">
        <v>-0.02204483946881552</v>
      </c>
      <c r="M408" s="94" t="n">
        <v>-0.044576051971839</v>
      </c>
      <c r="N408" t="n">
        <v>50.84772978589825</v>
      </c>
      <c r="O408" t="n">
        <v>-0.1769219191339015</v>
      </c>
      <c r="P408" s="143">
        <f>MAX($E$2:E408)</f>
        <v/>
      </c>
      <c r="Q408" s="144">
        <f>E408/P408-1</f>
        <v/>
      </c>
      <c r="R408" s="94" t="n">
        <v>-0.00438519097415957</v>
      </c>
    </row>
    <row r="409">
      <c r="A409" s="375" t="n">
        <v>45056</v>
      </c>
      <c r="B409" s="376" t="n">
        <v>117.012543374995</v>
      </c>
      <c r="C409" s="376" t="n">
        <v>117.1700532172088</v>
      </c>
      <c r="D409" s="376" t="n">
        <v>113.1952023614971</v>
      </c>
      <c r="E409" s="376" t="n">
        <v>114.436767578125</v>
      </c>
      <c r="F409" s="93" t="n">
        <v>5052600</v>
      </c>
      <c r="G409" s="94" t="n">
        <v>-0.01270991206743932</v>
      </c>
      <c r="H409" s="95" t="n">
        <v>84.71897752459559</v>
      </c>
      <c r="I409" s="376" t="n">
        <v>113.5349275207519</v>
      </c>
      <c r="J409" s="376" t="n">
        <v>103.9588421630859</v>
      </c>
      <c r="K409" s="94" t="n">
        <v>0.2061180246337357</v>
      </c>
      <c r="L409" s="94" t="n">
        <v>-0.03447456356506529</v>
      </c>
      <c r="M409" s="94" t="n">
        <v>-0.05671940633840267</v>
      </c>
      <c r="N409" t="n">
        <v>46.79877513947824</v>
      </c>
      <c r="O409" t="n">
        <v>-0.3286880998860042</v>
      </c>
      <c r="P409" s="143">
        <f>MAX($E$2:E409)</f>
        <v/>
      </c>
      <c r="Q409" s="144">
        <f>E409/P409-1</f>
        <v/>
      </c>
      <c r="R409" s="94" t="n">
        <v>0.004672336121521958</v>
      </c>
    </row>
    <row r="410">
      <c r="A410" s="375" t="n">
        <v>45057</v>
      </c>
      <c r="B410" s="376" t="n">
        <v>114.3811774220228</v>
      </c>
      <c r="C410" s="376" t="n">
        <v>114.7610616081607</v>
      </c>
      <c r="D410" s="376" t="n">
        <v>112.9450469579371</v>
      </c>
      <c r="E410" s="376" t="n">
        <v>113.2415390014648</v>
      </c>
      <c r="F410" s="93" t="n">
        <v>5923100</v>
      </c>
      <c r="G410" s="94" t="n">
        <v>-0.01044444545188838</v>
      </c>
      <c r="H410" s="95" t="n">
        <v>83.83413478510019</v>
      </c>
      <c r="I410" s="376" t="n">
        <v>113.6086274719238</v>
      </c>
      <c r="J410" s="376" t="n">
        <v>104.0419510650635</v>
      </c>
      <c r="K410" s="94" t="n">
        <v>0.1912537675706955</v>
      </c>
      <c r="L410" s="94" t="n">
        <v>-0.04455894131832072</v>
      </c>
      <c r="M410" s="94" t="n">
        <v>-0.06657144904472612</v>
      </c>
      <c r="N410" t="n">
        <v>43.75461489048189</v>
      </c>
      <c r="O410" t="n">
        <v>-0.491697037867399</v>
      </c>
      <c r="P410" s="143">
        <f>MAX($E$2:E410)</f>
        <v/>
      </c>
      <c r="Q410" s="144">
        <f>E410/P410-1</f>
        <v/>
      </c>
      <c r="R410" s="94" t="n">
        <v>-0.001744035498958629</v>
      </c>
    </row>
    <row r="411">
      <c r="A411" s="375" t="n">
        <v>45058</v>
      </c>
      <c r="B411" s="376" t="n">
        <v>112.101879733668</v>
      </c>
      <c r="C411" s="376" t="n">
        <v>112.2964519506065</v>
      </c>
      <c r="D411" s="376" t="n">
        <v>110.2858653066486</v>
      </c>
      <c r="E411" s="376" t="n">
        <v>111.3791809082031</v>
      </c>
      <c r="F411" s="93" t="n">
        <v>6574200</v>
      </c>
      <c r="G411" s="94" t="n">
        <v>-0.01644589176095201</v>
      </c>
      <c r="H411" s="95" t="n">
        <v>82.45540767855137</v>
      </c>
      <c r="I411" s="376" t="n">
        <v>113.6266020202637</v>
      </c>
      <c r="J411" s="376" t="n">
        <v>104.1035329437256</v>
      </c>
      <c r="K411" s="94" t="n">
        <v>0.1983013633864258</v>
      </c>
      <c r="L411" s="94" t="n">
        <v>-0.06027202155336897</v>
      </c>
      <c r="M411" s="94" t="n">
        <v>-0.0819225139603188</v>
      </c>
      <c r="N411" t="n">
        <v>39.44872516777556</v>
      </c>
      <c r="O411" t="n">
        <v>-0.6946614905871363</v>
      </c>
      <c r="P411" s="143">
        <f>MAX($E$2:E411)</f>
        <v/>
      </c>
      <c r="Q411" s="144">
        <f>E411/P411-1</f>
        <v/>
      </c>
      <c r="R411" s="94" t="n">
        <v>-0.001310273185230693</v>
      </c>
    </row>
    <row r="412">
      <c r="A412" s="375" t="n">
        <v>45061</v>
      </c>
      <c r="B412" s="376" t="n">
        <v>111.0178398747129</v>
      </c>
      <c r="C412" s="376" t="n">
        <v>111.175349719038</v>
      </c>
      <c r="D412" s="376" t="n">
        <v>109.3408074957664</v>
      </c>
      <c r="E412" s="376" t="n">
        <v>111.0271072387695</v>
      </c>
      <c r="F412" s="93" t="n">
        <v>5518200</v>
      </c>
      <c r="G412" s="94" t="n">
        <v>-0.003161036618897106</v>
      </c>
      <c r="H412" s="95" t="n">
        <v>82.19476311545338</v>
      </c>
      <c r="I412" s="376" t="n">
        <v>113.6060327148437</v>
      </c>
      <c r="J412" s="376" t="n">
        <v>104.1432865142822</v>
      </c>
      <c r="K412" s="94" t="n">
        <v>0.1977059906083961</v>
      </c>
      <c r="L412" s="94" t="n">
        <v>-0.06324253610504094</v>
      </c>
      <c r="M412" s="94" t="n">
        <v>-0.08482459051267521</v>
      </c>
      <c r="N412" t="n">
        <v>38.67388543427828</v>
      </c>
      <c r="O412" t="n">
        <v>-0.8140634562019606</v>
      </c>
      <c r="P412" s="143">
        <f>MAX($E$2:E412)</f>
        <v/>
      </c>
      <c r="Q412" s="144">
        <f>E412/P412-1</f>
        <v/>
      </c>
      <c r="R412" s="94" t="n">
        <v>0.003450194243310722</v>
      </c>
    </row>
    <row r="413">
      <c r="A413" s="375" t="n">
        <v>45062</v>
      </c>
      <c r="B413" s="376" t="n">
        <v>108.8682763260772</v>
      </c>
      <c r="C413" s="376" t="n">
        <v>109.183296030446</v>
      </c>
      <c r="D413" s="376" t="n">
        <v>107.5896557106361</v>
      </c>
      <c r="E413" s="376" t="n">
        <v>107.923210144043</v>
      </c>
      <c r="F413" s="93" t="n">
        <v>8306400</v>
      </c>
      <c r="G413" s="94" t="n">
        <v>-0.02795620972139234</v>
      </c>
      <c r="H413" s="95" t="n">
        <v>79.89690907979761</v>
      </c>
      <c r="I413" s="376" t="n">
        <v>113.5376544189453</v>
      </c>
      <c r="J413" s="376" t="n">
        <v>104.1551676559448</v>
      </c>
      <c r="K413" s="94" t="n">
        <v>0.2169286327350273</v>
      </c>
      <c r="L413" s="94" t="n">
        <v>-0.08943072422376797</v>
      </c>
      <c r="M413" s="94" t="n">
        <v>-0.110409426192164</v>
      </c>
      <c r="N413" t="n">
        <v>32.59542010399258</v>
      </c>
      <c r="O413" t="n">
        <v>-1.048590352390042</v>
      </c>
      <c r="P413" s="143">
        <f>MAX($E$2:E413)</f>
        <v/>
      </c>
      <c r="Q413" s="144">
        <f>E413/P413-1</f>
        <v/>
      </c>
      <c r="R413" s="94" t="n">
        <v>-0.006682724509268212</v>
      </c>
    </row>
    <row r="414">
      <c r="A414" s="375" t="n">
        <v>45063</v>
      </c>
      <c r="B414" s="376" t="n">
        <v>107.830530685151</v>
      </c>
      <c r="C414" s="376" t="n">
        <v>108.5254344480181</v>
      </c>
      <c r="D414" s="376" t="n">
        <v>106.7835448939114</v>
      </c>
      <c r="E414" s="376" t="n">
        <v>108.3864593505859</v>
      </c>
      <c r="F414" s="93" t="n">
        <v>7765400</v>
      </c>
      <c r="G414" s="94" t="n">
        <v>0.004292396472683535</v>
      </c>
      <c r="H414" s="95" t="n">
        <v>80.23985829051004</v>
      </c>
      <c r="I414" s="376" t="n">
        <v>113.4892887878418</v>
      </c>
      <c r="J414" s="376" t="n">
        <v>104.1722122192383</v>
      </c>
      <c r="K414" s="94" t="n">
        <v>0.2188626356211208</v>
      </c>
      <c r="L414" s="94" t="n">
        <v>-0.08552219987629206</v>
      </c>
      <c r="M414" s="94" t="n">
        <v>-0.1065909507510188</v>
      </c>
      <c r="N414" t="n">
        <v>34.25624070985025</v>
      </c>
      <c r="O414" t="n">
        <v>-1.112944144321425</v>
      </c>
      <c r="P414" s="143">
        <f>MAX($E$2:E414)</f>
        <v/>
      </c>
      <c r="Q414" s="144">
        <f>E414/P414-1</f>
        <v/>
      </c>
      <c r="R414" s="94" t="n">
        <v>0.01213893463721094</v>
      </c>
    </row>
    <row r="415">
      <c r="A415" s="375" t="n">
        <v>45064</v>
      </c>
      <c r="B415" s="376" t="n">
        <v>108.8034014984668</v>
      </c>
      <c r="C415" s="376" t="n">
        <v>110.3970486321436</v>
      </c>
      <c r="D415" s="376" t="n">
        <v>108.2660075452173</v>
      </c>
      <c r="E415" s="376" t="n">
        <v>110.1376190185547</v>
      </c>
      <c r="F415" s="93" t="n">
        <v>5970500</v>
      </c>
      <c r="G415" s="94" t="n">
        <v>0.01615662766789394</v>
      </c>
      <c r="H415" s="95" t="n">
        <v>81.53626380503439</v>
      </c>
      <c r="I415" s="376" t="n">
        <v>113.470943145752</v>
      </c>
      <c r="J415" s="376" t="n">
        <v>104.2096307754517</v>
      </c>
      <c r="K415" s="94" t="n">
        <v>0.2281689195423481</v>
      </c>
      <c r="L415" s="94" t="n">
        <v>-0.07074732254913851</v>
      </c>
      <c r="M415" s="94" t="n">
        <v>-0.09215647338717581</v>
      </c>
      <c r="N415" t="n">
        <v>40.24959457045942</v>
      </c>
      <c r="O415" t="n">
        <v>-0.9825351375080631</v>
      </c>
      <c r="P415" s="143">
        <f>MAX($E$2:E415)</f>
        <v/>
      </c>
      <c r="Q415" s="144">
        <f>E415/P415-1</f>
        <v/>
      </c>
      <c r="R415" s="94" t="n">
        <v>0.009633243440665185</v>
      </c>
    </row>
    <row r="416">
      <c r="A416" s="375" t="n">
        <v>45065</v>
      </c>
      <c r="B416" s="376" t="n">
        <v>106.1442397703086</v>
      </c>
      <c r="C416" s="376" t="n">
        <v>107.0059207888383</v>
      </c>
      <c r="D416" s="376" t="n">
        <v>104.7914945172596</v>
      </c>
      <c r="E416" s="376" t="n">
        <v>106.3295516967773</v>
      </c>
      <c r="F416" s="93" t="n">
        <v>11674300</v>
      </c>
      <c r="G416" s="94" t="n">
        <v>-0.03457553700280924</v>
      </c>
      <c r="H416" s="95" t="n">
        <v>78.7171036987726</v>
      </c>
      <c r="I416" s="376" t="n">
        <v>113.4133120727539</v>
      </c>
      <c r="J416" s="376" t="n">
        <v>104.2164825820923</v>
      </c>
      <c r="K416" s="94" t="n">
        <v>0.2513194456914232</v>
      </c>
      <c r="L416" s="94" t="n">
        <v>-0.1028767328833005</v>
      </c>
      <c r="M416" s="94" t="n">
        <v>-0.1235456508343383</v>
      </c>
      <c r="N416" t="n">
        <v>33.16844117448693</v>
      </c>
      <c r="O416" t="n">
        <v>-1.089426320044661</v>
      </c>
      <c r="P416" s="143">
        <f>MAX($E$2:E416)</f>
        <v/>
      </c>
      <c r="Q416" s="144">
        <f>E416/P416-1</f>
        <v/>
      </c>
      <c r="R416" s="94" t="n">
        <v>-0.001455194161219753</v>
      </c>
    </row>
    <row r="417">
      <c r="A417" s="375" t="n">
        <v>45068</v>
      </c>
      <c r="B417" s="376" t="n">
        <v>104.5598699307197</v>
      </c>
      <c r="C417" s="376" t="n">
        <v>104.5598699307197</v>
      </c>
      <c r="D417" s="376" t="n">
        <v>101.9377642385638</v>
      </c>
      <c r="E417" s="376" t="n">
        <v>102.0860137939453</v>
      </c>
      <c r="F417" s="93" t="n">
        <v>12710300</v>
      </c>
      <c r="G417" s="94" t="n">
        <v>-0.03990929929746567</v>
      </c>
      <c r="H417" s="95" t="n">
        <v>75.57555924742864</v>
      </c>
      <c r="I417" s="376" t="n">
        <v>113.2778524780273</v>
      </c>
      <c r="J417" s="376" t="n">
        <v>104.201198310852</v>
      </c>
      <c r="K417" s="94" t="n">
        <v>0.2727180071753154</v>
      </c>
      <c r="L417" s="94" t="n">
        <v>-0.1386802938573811</v>
      </c>
      <c r="M417" s="94" t="n">
        <v>-0.1585243297757561</v>
      </c>
      <c r="N417" t="n">
        <v>27.38635151300608</v>
      </c>
      <c r="O417" t="n">
        <v>-1.364756943771859</v>
      </c>
      <c r="P417" s="143">
        <f>MAX($E$2:E417)</f>
        <v/>
      </c>
      <c r="Q417" s="144">
        <f>E417/P417-1</f>
        <v/>
      </c>
      <c r="R417" s="94" t="n">
        <v>0.0004062817122063578</v>
      </c>
    </row>
    <row r="418">
      <c r="A418" s="375" t="n">
        <v>45069</v>
      </c>
      <c r="B418" s="376" t="n">
        <v>101.7061122408166</v>
      </c>
      <c r="C418" s="376" t="n">
        <v>102.9013475684809</v>
      </c>
      <c r="D418" s="376" t="n">
        <v>100.2421870105334</v>
      </c>
      <c r="E418" s="376" t="n">
        <v>100.7888412475586</v>
      </c>
      <c r="F418" s="93" t="n">
        <v>11790400</v>
      </c>
      <c r="G418" s="94" t="n">
        <v>-0.01270666272663934</v>
      </c>
      <c r="H418" s="95" t="n">
        <v>74.61524610569442</v>
      </c>
      <c r="I418" s="376" t="n">
        <v>113.1281233215332</v>
      </c>
      <c r="J418" s="376" t="n">
        <v>104.182229423523</v>
      </c>
      <c r="K418" s="94" t="n">
        <v>0.2698641576619774</v>
      </c>
      <c r="L418" s="94" t="n">
        <v>-0.1496247928631433</v>
      </c>
      <c r="M418" s="94" t="n">
        <v>-0.1692166773099685</v>
      </c>
      <c r="N418" t="n">
        <v>25.90002478828619</v>
      </c>
      <c r="O418" t="n">
        <v>-1.540088148826573</v>
      </c>
      <c r="P418" s="143">
        <f>MAX($E$2:E418)</f>
        <v/>
      </c>
      <c r="Q418" s="144">
        <f>E418/P418-1</f>
        <v/>
      </c>
      <c r="R418" s="94" t="n">
        <v>-0.01122293189477497</v>
      </c>
    </row>
    <row r="419">
      <c r="A419" s="375" t="n">
        <v>45070</v>
      </c>
      <c r="B419" s="376" t="n">
        <v>100.9927032863041</v>
      </c>
      <c r="C419" s="376" t="n">
        <v>101.0853557287444</v>
      </c>
      <c r="D419" s="376" t="n">
        <v>99.32493104666537</v>
      </c>
      <c r="E419" s="376" t="n">
        <v>100.3348617553711</v>
      </c>
      <c r="F419" s="93" t="n">
        <v>8503200</v>
      </c>
      <c r="G419" s="94" t="n">
        <v>-0.004504263434008893</v>
      </c>
      <c r="H419" s="95" t="n">
        <v>74.27915938104097</v>
      </c>
      <c r="I419" s="376" t="n">
        <v>112.9296591186523</v>
      </c>
      <c r="J419" s="376" t="n">
        <v>104.1603936004639</v>
      </c>
      <c r="K419" s="94" t="n">
        <v>0.2699720175533938</v>
      </c>
      <c r="L419" s="94" t="n">
        <v>-0.1534551068138377</v>
      </c>
      <c r="M419" s="94" t="n">
        <v>-0.1729587442519456</v>
      </c>
      <c r="N419" t="n">
        <v>25.38085486638589</v>
      </c>
      <c r="O419" t="n">
        <v>-1.586229720792746</v>
      </c>
      <c r="P419" s="143">
        <f>MAX($E$2:E419)</f>
        <v/>
      </c>
      <c r="Q419" s="144">
        <f>E419/P419-1</f>
        <v/>
      </c>
      <c r="R419" s="94" t="n">
        <v>-0.007244746440802086</v>
      </c>
    </row>
    <row r="420">
      <c r="A420" s="375" t="n">
        <v>45071</v>
      </c>
      <c r="B420" s="376" t="n">
        <v>100.3904421629467</v>
      </c>
      <c r="C420" s="376" t="n">
        <v>100.9648985611761</v>
      </c>
      <c r="D420" s="376" t="n">
        <v>99.52876110006623</v>
      </c>
      <c r="E420" s="376" t="n">
        <v>99.58435821533203</v>
      </c>
      <c r="F420" s="93" t="n">
        <v>6729800</v>
      </c>
      <c r="G420" s="94" t="n">
        <v>-0.007479987782002318</v>
      </c>
      <c r="H420" s="95" t="n">
        <v>73.72355217641339</v>
      </c>
      <c r="I420" s="376" t="n">
        <v>112.731565246582</v>
      </c>
      <c r="J420" s="376" t="n">
        <v>104.1526689147949</v>
      </c>
      <c r="K420" s="94" t="n">
        <v>0.2576654902151157</v>
      </c>
      <c r="L420" s="94" t="n">
        <v>-0.1597872522717865</v>
      </c>
      <c r="M420" s="94" t="n">
        <v>-0.1791450027401528</v>
      </c>
      <c r="N420" t="n">
        <v>24.50629762264204</v>
      </c>
      <c r="O420" t="n">
        <v>-1.564287049715007</v>
      </c>
      <c r="P420" s="143">
        <f>MAX($E$2:E420)</f>
        <v/>
      </c>
      <c r="Q420" s="144">
        <f>E420/P420-1</f>
        <v/>
      </c>
      <c r="R420" s="94" t="n">
        <v>0.008659895328551936</v>
      </c>
    </row>
    <row r="421">
      <c r="A421" s="375" t="n">
        <v>45072</v>
      </c>
      <c r="B421" s="376" t="n">
        <v>99.13962309755682</v>
      </c>
      <c r="C421" s="376" t="n">
        <v>100.4831011437376</v>
      </c>
      <c r="D421" s="376" t="n">
        <v>99.13962309755682</v>
      </c>
      <c r="E421" s="376" t="n">
        <v>99.61215972900391</v>
      </c>
      <c r="F421" s="93" t="n">
        <v>7911200</v>
      </c>
      <c r="G421" s="94" t="n">
        <v>0.0002791755067774737</v>
      </c>
      <c r="H421" s="95" t="n">
        <v>73.74413398645368</v>
      </c>
      <c r="I421" s="376" t="n">
        <v>112.4880709838867</v>
      </c>
      <c r="J421" s="376" t="n">
        <v>104.1311689758301</v>
      </c>
      <c r="K421" s="94" t="n">
        <v>0.252752325775302</v>
      </c>
      <c r="L421" s="94" t="n">
        <v>-0.1595526854521386</v>
      </c>
      <c r="M421" s="94" t="n">
        <v>-0.1789158401303019</v>
      </c>
      <c r="N421" t="n">
        <v>24.60993025290321</v>
      </c>
      <c r="O421" t="n">
        <v>-1.447585828310424</v>
      </c>
      <c r="P421" s="143">
        <f>MAX($E$2:E421)</f>
        <v/>
      </c>
      <c r="Q421" s="144">
        <f>E421/P421-1</f>
        <v/>
      </c>
      <c r="R421" s="94" t="n">
        <v>0.01295061314727408</v>
      </c>
    </row>
    <row r="422">
      <c r="A422" s="375" t="n">
        <v>45076</v>
      </c>
      <c r="B422" s="376" t="n">
        <v>100.4367667595445</v>
      </c>
      <c r="C422" s="376" t="n">
        <v>100.8815012452807</v>
      </c>
      <c r="D422" s="376" t="n">
        <v>98.46323538869247</v>
      </c>
      <c r="E422" s="376" t="n">
        <v>98.69486999511719</v>
      </c>
      <c r="F422" s="93" t="n">
        <v>9335200</v>
      </c>
      <c r="G422" s="94" t="n">
        <v>-0.009208612044776632</v>
      </c>
      <c r="H422" s="95" t="n">
        <v>73.06505286599439</v>
      </c>
      <c r="I422" s="376" t="n">
        <v>112.2310490417481</v>
      </c>
      <c r="J422" s="376" t="n">
        <v>104.1006740570068</v>
      </c>
      <c r="K422" s="94" t="n">
        <v>0.2441147679526382</v>
      </c>
      <c r="L422" s="94" t="n">
        <v>-0.1672920387158843</v>
      </c>
      <c r="M422" s="94" t="n">
        <v>-0.1864768856146534</v>
      </c>
      <c r="N422" t="n">
        <v>23.46537674182048</v>
      </c>
      <c r="O422" t="n">
        <v>-1.334623628799274</v>
      </c>
      <c r="P422" s="143">
        <f>MAX($E$2:E422)</f>
        <v/>
      </c>
      <c r="Q422" s="144">
        <f>E422/P422-1</f>
        <v/>
      </c>
      <c r="R422" s="94" t="n">
        <v>0.0003809475242508853</v>
      </c>
    </row>
    <row r="423">
      <c r="A423" s="375" t="n">
        <v>45077</v>
      </c>
      <c r="B423" s="376" t="n">
        <v>97.93510739746296</v>
      </c>
      <c r="C423" s="376" t="n">
        <v>98.37058158247204</v>
      </c>
      <c r="D423" s="376" t="n">
        <v>97.12902350250553</v>
      </c>
      <c r="E423" s="376" t="n">
        <v>97.52743530273438</v>
      </c>
      <c r="F423" s="93" t="n">
        <v>21465200</v>
      </c>
      <c r="G423" s="94" t="n">
        <v>-0.01182872719160144</v>
      </c>
      <c r="H423" s="95" t="n">
        <v>72.20078628840261</v>
      </c>
      <c r="I423" s="376" t="n">
        <v>111.9356683349609</v>
      </c>
      <c r="J423" s="376" t="n">
        <v>104.0552952575684</v>
      </c>
      <c r="K423" s="94" t="n">
        <v>0.243871460733577</v>
      </c>
      <c r="L423" s="94" t="n">
        <v>-0.1771419140201886</v>
      </c>
      <c r="M423" s="94" t="n">
        <v>-0.1960998285987796</v>
      </c>
      <c r="N423" t="n">
        <v>22.05924166225583</v>
      </c>
      <c r="O423" t="n">
        <v>-1.242848430583964</v>
      </c>
      <c r="P423" s="143">
        <f>MAX($E$2:E423)</f>
        <v/>
      </c>
      <c r="Q423" s="144">
        <f>E423/P423-1</f>
        <v/>
      </c>
      <c r="R423" s="94" t="n">
        <v>-0.005545151337875809</v>
      </c>
    </row>
    <row r="424">
      <c r="A424" s="375" t="n">
        <v>45078</v>
      </c>
      <c r="B424" s="376" t="n">
        <v>96.52678806462343</v>
      </c>
      <c r="C424" s="376" t="n">
        <v>96.91593256570384</v>
      </c>
      <c r="D424" s="376" t="n">
        <v>95.340819831467</v>
      </c>
      <c r="E424" s="376" t="n">
        <v>96.01718902587891</v>
      </c>
      <c r="F424" s="93" t="n">
        <v>12025200</v>
      </c>
      <c r="G424" s="94" t="n">
        <v>-0.01548534801686852</v>
      </c>
      <c r="H424" s="95" t="n">
        <v>71.08273198563514</v>
      </c>
      <c r="I424" s="376" t="n">
        <v>111.5283618164062</v>
      </c>
      <c r="J424" s="376" t="n">
        <v>104.0012171936035</v>
      </c>
      <c r="K424" s="94" t="n">
        <v>0.243976187730483</v>
      </c>
      <c r="L424" s="94" t="n">
        <v>-0.1898841578500805</v>
      </c>
      <c r="M424" s="94" t="n">
        <v>-0.2085485025237477</v>
      </c>
      <c r="N424" t="n">
        <v>20.35955937534411</v>
      </c>
      <c r="O424" t="n">
        <v>-1.188208573337216</v>
      </c>
      <c r="P424" s="143">
        <f>MAX($E$2:E424)</f>
        <v/>
      </c>
      <c r="Q424" s="144">
        <f>E424/P424-1</f>
        <v/>
      </c>
      <c r="R424" s="94" t="n">
        <v>0.009501137640633761</v>
      </c>
    </row>
    <row r="425">
      <c r="A425" s="375" t="n">
        <v>45079</v>
      </c>
      <c r="B425" s="376" t="n">
        <v>100.0515927370845</v>
      </c>
      <c r="C425" s="376" t="n">
        <v>100.7859683933076</v>
      </c>
      <c r="D425" s="376" t="n">
        <v>98.65721019564239</v>
      </c>
      <c r="E425" s="376" t="n">
        <v>100.191032409668</v>
      </c>
      <c r="F425" s="93" t="n">
        <v>11838200</v>
      </c>
      <c r="G425" s="94" t="n">
        <v>0.04346975188644731</v>
      </c>
      <c r="H425" s="95" t="n">
        <v>74.17268070846154</v>
      </c>
      <c r="I425" s="376" t="n">
        <v>111.3177554321289</v>
      </c>
      <c r="J425" s="376" t="n">
        <v>103.9600178527832</v>
      </c>
      <c r="K425" s="94" t="n">
        <v>0.3025658476487343</v>
      </c>
      <c r="L425" s="94" t="n">
        <v>-0.154668623192543</v>
      </c>
      <c r="M425" s="94" t="n">
        <v>-0.1741443022982979</v>
      </c>
      <c r="N425" t="n">
        <v>35.21608950087477</v>
      </c>
      <c r="O425" t="n">
        <v>-0.7942552492224042</v>
      </c>
      <c r="P425" s="143">
        <f>MAX($E$2:E425)</f>
        <v/>
      </c>
      <c r="Q425" s="144">
        <f>E425/P425-1</f>
        <v/>
      </c>
      <c r="R425" s="94" t="n">
        <v>0.0144610788578392</v>
      </c>
    </row>
    <row r="426">
      <c r="A426" s="375" t="n">
        <v>45082</v>
      </c>
      <c r="B426" s="376" t="n">
        <v>100.283991217394</v>
      </c>
      <c r="C426" s="376" t="n">
        <v>100.283991217394</v>
      </c>
      <c r="D426" s="376" t="n">
        <v>97.77410544488639</v>
      </c>
      <c r="E426" s="376" t="n">
        <v>97.79269409179688</v>
      </c>
      <c r="F426" s="93" t="n">
        <v>7434000</v>
      </c>
      <c r="G426" s="94" t="n">
        <v>-0.02393765450050067</v>
      </c>
      <c r="H426" s="95" t="n">
        <v>72.39716070428643</v>
      </c>
      <c r="I426" s="376" t="n">
        <v>111.0319421386719</v>
      </c>
      <c r="J426" s="376" t="n">
        <v>103.911510925293</v>
      </c>
      <c r="K426" s="94" t="n">
        <v>0.2864132014519377</v>
      </c>
      <c r="L426" s="94" t="n">
        <v>-0.1749038736289925</v>
      </c>
      <c r="M426" s="94" t="n">
        <v>-0.1939133506571512</v>
      </c>
      <c r="N426" t="n">
        <v>31.57158041840461</v>
      </c>
      <c r="O426" t="n">
        <v>-0.625889515906898</v>
      </c>
      <c r="P426" s="143">
        <f>MAX($E$2:E426)</f>
        <v/>
      </c>
      <c r="Q426" s="144">
        <f>E426/P426-1</f>
        <v/>
      </c>
      <c r="R426" s="94" t="n">
        <v>-0.001916275297709102</v>
      </c>
    </row>
    <row r="427">
      <c r="A427" s="375" t="n">
        <v>45083</v>
      </c>
      <c r="B427" s="376" t="n">
        <v>98.06227370251892</v>
      </c>
      <c r="C427" s="376" t="n">
        <v>99.23355701705984</v>
      </c>
      <c r="D427" s="376" t="n">
        <v>97.79269222817716</v>
      </c>
      <c r="E427" s="376" t="n">
        <v>98.71298980712891</v>
      </c>
      <c r="F427" s="93" t="n">
        <v>7896300</v>
      </c>
      <c r="G427" s="94" t="n">
        <v>0.009410679641039144</v>
      </c>
      <c r="H427" s="95" t="n">
        <v>73.07846719059529</v>
      </c>
      <c r="I427" s="376" t="n">
        <v>110.769352722168</v>
      </c>
      <c r="J427" s="376" t="n">
        <v>103.872335395813</v>
      </c>
      <c r="K427" s="94" t="n">
        <v>0.2911764800310647</v>
      </c>
      <c r="L427" s="94" t="n">
        <v>-0.1671391583106527</v>
      </c>
      <c r="M427" s="94" t="n">
        <v>-0.186327527437267</v>
      </c>
      <c r="N427" t="n">
        <v>34.37797772638707</v>
      </c>
      <c r="O427" t="n">
        <v>-0.3945297242220871</v>
      </c>
      <c r="P427" s="143">
        <f>MAX($E$2:E427)</f>
        <v/>
      </c>
      <c r="Q427" s="144">
        <f>E427/P427-1</f>
        <v/>
      </c>
      <c r="R427" s="94" t="n">
        <v>0.002177495674001717</v>
      </c>
    </row>
    <row r="428">
      <c r="A428" s="375" t="n">
        <v>45084</v>
      </c>
      <c r="B428" s="376" t="n">
        <v>98.57355043108707</v>
      </c>
      <c r="C428" s="376" t="n">
        <v>100.6186419838356</v>
      </c>
      <c r="D428" s="376" t="n">
        <v>97.99720309536514</v>
      </c>
      <c r="E428" s="376" t="n">
        <v>99.54961395263672</v>
      </c>
      <c r="F428" s="93" t="n">
        <v>11123900</v>
      </c>
      <c r="G428" s="94" t="n">
        <v>0.008475319683280302</v>
      </c>
      <c r="H428" s="95" t="n">
        <v>73.69783056199969</v>
      </c>
      <c r="I428" s="376" t="n">
        <v>110.5772352600098</v>
      </c>
      <c r="J428" s="376" t="n">
        <v>103.8504307174683</v>
      </c>
      <c r="K428" s="94" t="n">
        <v>0.2964582076765824</v>
      </c>
      <c r="L428" s="94" t="n">
        <v>-0.1600803964256496</v>
      </c>
      <c r="M428" s="94" t="n">
        <v>-0.1794313931148127</v>
      </c>
      <c r="N428" t="n">
        <v>36.91108387685151</v>
      </c>
      <c r="O428" t="n">
        <v>-0.1402552508006281</v>
      </c>
      <c r="P428" s="143">
        <f>MAX($E$2:E428)</f>
        <v/>
      </c>
      <c r="Q428" s="144">
        <f>E428/P428-1</f>
        <v/>
      </c>
      <c r="R428" s="94" t="n">
        <v>-0.003457747147492696</v>
      </c>
    </row>
    <row r="429">
      <c r="A429" s="375" t="n">
        <v>45085</v>
      </c>
      <c r="B429" s="376" t="n">
        <v>99.61469348918772</v>
      </c>
      <c r="C429" s="376" t="n">
        <v>99.94933877876205</v>
      </c>
      <c r="D429" s="376" t="n">
        <v>98.22960170655999</v>
      </c>
      <c r="E429" s="376" t="n">
        <v>98.72228240966797</v>
      </c>
      <c r="F429" s="93" t="n">
        <v>9137600</v>
      </c>
      <c r="G429" s="94" t="n">
        <v>-0.008310745869515634</v>
      </c>
      <c r="H429" s="95" t="n">
        <v>73.08534662106429</v>
      </c>
      <c r="I429" s="376" t="n">
        <v>110.3674588012695</v>
      </c>
      <c r="J429" s="376" t="n">
        <v>103.8373394775391</v>
      </c>
      <c r="K429" s="94" t="n">
        <v>0.2958263892299178</v>
      </c>
      <c r="L429" s="94" t="n">
        <v>-0.1670607548017804</v>
      </c>
      <c r="M429" s="94" t="n">
        <v>-0.1862509302751379</v>
      </c>
      <c r="N429" t="n">
        <v>35.45361859151349</v>
      </c>
      <c r="O429" t="n">
        <v>0.009182118489405866</v>
      </c>
      <c r="P429" s="143">
        <f>MAX($E$2:E429)</f>
        <v/>
      </c>
      <c r="Q429" s="144">
        <f>E429/P429-1</f>
        <v/>
      </c>
      <c r="R429" s="94" t="n">
        <v>0.006048402915410422</v>
      </c>
    </row>
    <row r="430">
      <c r="A430" s="375" t="n">
        <v>45086</v>
      </c>
      <c r="B430" s="376" t="n">
        <v>98.45269410199963</v>
      </c>
      <c r="C430" s="376" t="n">
        <v>98.79663721249096</v>
      </c>
      <c r="D430" s="376" t="n">
        <v>97.93211986385268</v>
      </c>
      <c r="E430" s="376" t="n">
        <v>98.40621185302734</v>
      </c>
      <c r="F430" s="93" t="n">
        <v>5795200</v>
      </c>
      <c r="G430" s="94" t="n">
        <v>-0.003201613140679127</v>
      </c>
      <c r="H430" s="95" t="n">
        <v>72.85135561493121</v>
      </c>
      <c r="I430" s="376" t="n">
        <v>110.1028108215332</v>
      </c>
      <c r="J430" s="376" t="n">
        <v>103.8211064910889</v>
      </c>
      <c r="K430" s="94" t="n">
        <v>0.2958878937446</v>
      </c>
      <c r="L430" s="94" t="n">
        <v>-0.1697275040345942</v>
      </c>
      <c r="M430" s="94" t="n">
        <v>-0.1888562399899845</v>
      </c>
      <c r="N430" t="n">
        <v>34.88686727696556</v>
      </c>
      <c r="O430" t="n">
        <v>0.1176824219535435</v>
      </c>
      <c r="P430" s="143">
        <f>MAX($E$2:E430)</f>
        <v/>
      </c>
      <c r="Q430" s="144">
        <f>E430/P430-1</f>
        <v/>
      </c>
      <c r="R430" s="94" t="n">
        <v>0.001794260683193105</v>
      </c>
    </row>
    <row r="431">
      <c r="A431" s="375" t="n">
        <v>45089</v>
      </c>
      <c r="B431" s="376" t="n">
        <v>98.80595899887551</v>
      </c>
      <c r="C431" s="376" t="n">
        <v>99.32652627084175</v>
      </c>
      <c r="D431" s="376" t="n">
        <v>97.23495222029536</v>
      </c>
      <c r="E431" s="376" t="n">
        <v>99.30793762207031</v>
      </c>
      <c r="F431" s="93" t="n">
        <v>7964600</v>
      </c>
      <c r="G431" s="94" t="n">
        <v>0.009163301300427307</v>
      </c>
      <c r="H431" s="95" t="n">
        <v>73.51891453657541</v>
      </c>
      <c r="I431" s="376" t="n">
        <v>109.8634242248535</v>
      </c>
      <c r="J431" s="376" t="n">
        <v>103.8060298156738</v>
      </c>
      <c r="K431" s="94" t="n">
        <v>0.2988006160585109</v>
      </c>
      <c r="L431" s="94" t="n">
        <v>-0.1621194669926054</v>
      </c>
      <c r="M431" s="94" t="n">
        <v>-0.1814234853190512</v>
      </c>
      <c r="N431" t="n">
        <v>37.93513365107994</v>
      </c>
      <c r="O431" t="n">
        <v>0.2722850949114539</v>
      </c>
      <c r="P431" s="143">
        <f>MAX($E$2:E431)</f>
        <v/>
      </c>
      <c r="Q431" s="144">
        <f>E431/P431-1</f>
        <v/>
      </c>
      <c r="R431" s="94" t="n">
        <v>0.00907186067600696</v>
      </c>
    </row>
    <row r="432">
      <c r="A432" s="375" t="n">
        <v>45090</v>
      </c>
      <c r="B432" s="376" t="n">
        <v>99.59608881414752</v>
      </c>
      <c r="C432" s="376" t="n">
        <v>99.91215252066053</v>
      </c>
      <c r="D432" s="376" t="n">
        <v>98.80594018615869</v>
      </c>
      <c r="E432" s="376" t="n">
        <v>99.26143646240234</v>
      </c>
      <c r="F432" s="93" t="n">
        <v>8460500</v>
      </c>
      <c r="G432" s="94" t="n">
        <v>-0.0004682521939478601</v>
      </c>
      <c r="H432" s="95" t="n">
        <v>73.48448914354699</v>
      </c>
      <c r="I432" s="376" t="n">
        <v>109.576039276123</v>
      </c>
      <c r="J432" s="376" t="n">
        <v>103.7824087905884</v>
      </c>
      <c r="K432" s="94" t="n">
        <v>0.2992388353140305</v>
      </c>
      <c r="L432" s="94" t="n">
        <v>-0.1625118063904523</v>
      </c>
      <c r="M432" s="94" t="n">
        <v>-0.1818067855679647</v>
      </c>
      <c r="N432" t="n">
        <v>37.83676147735731</v>
      </c>
      <c r="O432" t="n">
        <v>0.3865450921632267</v>
      </c>
      <c r="P432" s="143">
        <f>MAX($E$2:E432)</f>
        <v/>
      </c>
      <c r="Q432" s="144">
        <f>E432/P432-1</f>
        <v/>
      </c>
      <c r="R432" s="94" t="n">
        <v>0.006592946847387759</v>
      </c>
    </row>
    <row r="433">
      <c r="A433" s="375" t="n">
        <v>45091</v>
      </c>
      <c r="B433" s="376" t="n">
        <v>99.91215513033642</v>
      </c>
      <c r="C433" s="376" t="n">
        <v>105.4153162482488</v>
      </c>
      <c r="D433" s="376" t="n">
        <v>99.91215513033642</v>
      </c>
      <c r="E433" s="376" t="n">
        <v>104.9133377075195</v>
      </c>
      <c r="F433" s="93" t="n">
        <v>17415500</v>
      </c>
      <c r="G433" s="94" t="n">
        <v>0.05693954718515459</v>
      </c>
      <c r="H433" s="95" t="n">
        <v>77.66866268051297</v>
      </c>
      <c r="I433" s="376" t="n">
        <v>109.4196675109863</v>
      </c>
      <c r="J433" s="376" t="n">
        <v>103.8097327423096</v>
      </c>
      <c r="K433" s="94" t="n">
        <v>0.3599950732085246</v>
      </c>
      <c r="L433" s="94" t="n">
        <v>-0.1148256078734116</v>
      </c>
      <c r="M433" s="94" t="n">
        <v>-0.1352192344282385</v>
      </c>
      <c r="N433" t="n">
        <v>53.58967053015532</v>
      </c>
      <c r="O433" t="n">
        <v>0.8323070984995486</v>
      </c>
      <c r="P433" s="143">
        <f>MAX($E$2:E433)</f>
        <v/>
      </c>
      <c r="Q433" s="144">
        <f>E433/P433-1</f>
        <v/>
      </c>
      <c r="R433" s="94" t="n">
        <v>0.001190972463761764</v>
      </c>
    </row>
    <row r="434">
      <c r="A434" s="375" t="n">
        <v>45092</v>
      </c>
      <c r="B434" s="376" t="n">
        <v>103.9558778913314</v>
      </c>
      <c r="C434" s="376" t="n">
        <v>104.8761684694732</v>
      </c>
      <c r="D434" s="376" t="n">
        <v>102.4034668845615</v>
      </c>
      <c r="E434" s="376" t="n">
        <v>104.4950408935547</v>
      </c>
      <c r="F434" s="93" t="n">
        <v>10374200</v>
      </c>
      <c r="G434" s="94" t="n">
        <v>-0.003987069929382914</v>
      </c>
      <c r="H434" s="95" t="n">
        <v>77.35899229108411</v>
      </c>
      <c r="I434" s="376" t="n">
        <v>109.2174974060059</v>
      </c>
      <c r="J434" s="376" t="n">
        <v>103.8368020629883</v>
      </c>
      <c r="K434" s="94" t="n">
        <v>0.3595277136955337</v>
      </c>
      <c r="L434" s="94" t="n">
        <v>-0.1183548600745192</v>
      </c>
      <c r="M434" s="94" t="n">
        <v>-0.1386671758141584</v>
      </c>
      <c r="N434" t="n">
        <v>52.52871163555854</v>
      </c>
      <c r="O434" t="n">
        <v>1.073197705632953</v>
      </c>
      <c r="P434" s="143">
        <f>MAX($E$2:E434)</f>
        <v/>
      </c>
      <c r="Q434" s="144">
        <f>E434/P434-1</f>
        <v/>
      </c>
      <c r="R434" s="94" t="n">
        <v>0.01239767002805836</v>
      </c>
    </row>
    <row r="435">
      <c r="A435" s="375" t="n">
        <v>45093</v>
      </c>
      <c r="B435" s="376" t="n">
        <v>105.9730688207813</v>
      </c>
      <c r="C435" s="376" t="n">
        <v>106.6795579320681</v>
      </c>
      <c r="D435" s="376" t="n">
        <v>105.0992535276686</v>
      </c>
      <c r="E435" s="376" t="n">
        <v>105.5919342041016</v>
      </c>
      <c r="F435" s="93" t="n">
        <v>14445500</v>
      </c>
      <c r="G435" s="94" t="n">
        <v>0.01049708484888034</v>
      </c>
      <c r="H435" s="95" t="n">
        <v>78.1710361969875</v>
      </c>
      <c r="I435" s="376" t="n">
        <v>109.0889659118652</v>
      </c>
      <c r="J435" s="376" t="n">
        <v>103.8694477081299</v>
      </c>
      <c r="K435" s="94" t="n">
        <v>0.356370868322084</v>
      </c>
      <c r="L435" s="94" t="n">
        <v>-0.1091001562341185</v>
      </c>
      <c r="M435" s="94" t="n">
        <v>-0.1296256920755539</v>
      </c>
      <c r="N435" t="n">
        <v>55.04225567487104</v>
      </c>
      <c r="O435" t="n">
        <v>1.267300864414941</v>
      </c>
      <c r="P435" s="143">
        <f>MAX($E$2:E435)</f>
        <v/>
      </c>
      <c r="Q435" s="144">
        <f>E435/P435-1</f>
        <v/>
      </c>
      <c r="R435" s="94" t="n">
        <v>-0.003406285944238308</v>
      </c>
    </row>
    <row r="436">
      <c r="A436" s="375" t="n">
        <v>45097</v>
      </c>
      <c r="B436" s="376" t="n">
        <v>103.5654353255597</v>
      </c>
      <c r="C436" s="376" t="n">
        <v>104.8761511332559</v>
      </c>
      <c r="D436" s="376" t="n">
        <v>101.2879397480341</v>
      </c>
      <c r="E436" s="376" t="n">
        <v>101.8271026611328</v>
      </c>
      <c r="F436" s="93" t="n">
        <v>10602400</v>
      </c>
      <c r="G436" s="94" t="n">
        <v>-0.03565453717034484</v>
      </c>
      <c r="H436" s="95" t="n">
        <v>75.38388408125763</v>
      </c>
      <c r="I436" s="376" t="n">
        <v>108.8977389526367</v>
      </c>
      <c r="J436" s="376" t="n">
        <v>103.8897442626953</v>
      </c>
      <c r="K436" s="94" t="n">
        <v>0.3577023962750064</v>
      </c>
      <c r="L436" s="94" t="n">
        <v>-0.1408647778287235</v>
      </c>
      <c r="M436" s="94" t="n">
        <v>-0.1606584851895592</v>
      </c>
      <c r="N436" t="n">
        <v>46.03297065794194</v>
      </c>
      <c r="O436" t="n">
        <v>1.108750991375933</v>
      </c>
      <c r="P436" s="143">
        <f>MAX($E$2:E436)</f>
        <v/>
      </c>
      <c r="Q436" s="144">
        <f>E436/P436-1</f>
        <v/>
      </c>
      <c r="R436" s="94" t="n">
        <v>-0.005188241863885223</v>
      </c>
    </row>
    <row r="437">
      <c r="A437" s="375" t="n">
        <v>45098</v>
      </c>
      <c r="B437" s="376" t="n">
        <v>101.4459588493446</v>
      </c>
      <c r="C437" s="376" t="n">
        <v>102.5893554687204</v>
      </c>
      <c r="D437" s="376" t="n">
        <v>101.0555335030974</v>
      </c>
      <c r="E437" s="376" t="n">
        <v>102.2361145019531</v>
      </c>
      <c r="F437" s="93" t="n">
        <v>8377800</v>
      </c>
      <c r="G437" s="94" t="n">
        <v>0.004016728652110002</v>
      </c>
      <c r="H437" s="95" t="n">
        <v>75.68668068835416</v>
      </c>
      <c r="I437" s="376" t="n">
        <v>108.6833752441406</v>
      </c>
      <c r="J437" s="376" t="n">
        <v>103.9119021224976</v>
      </c>
      <c r="K437" s="94" t="n">
        <v>0.3286342597653447</v>
      </c>
      <c r="L437" s="94" t="n">
        <v>-0.1374138647657913</v>
      </c>
      <c r="M437" s="94" t="n">
        <v>-0.1572870780781147</v>
      </c>
      <c r="N437" t="n">
        <v>47.04702100108405</v>
      </c>
      <c r="O437" t="n">
        <v>1.001314342459607</v>
      </c>
      <c r="P437" s="143">
        <f>MAX($E$2:E437)</f>
        <v/>
      </c>
      <c r="Q437" s="144">
        <f>E437/P437-1</f>
        <v/>
      </c>
      <c r="R437" s="94" t="n">
        <v>-0.005123631572994891</v>
      </c>
    </row>
    <row r="438">
      <c r="A438" s="375" t="n">
        <v>45099</v>
      </c>
      <c r="B438" s="376" t="n">
        <v>103.0169643320421</v>
      </c>
      <c r="C438" s="376" t="n">
        <v>103.4166875428618</v>
      </c>
      <c r="D438" s="376" t="n">
        <v>102.0501917502409</v>
      </c>
      <c r="E438" s="376" t="n">
        <v>102.6823120117188</v>
      </c>
      <c r="F438" s="93" t="n">
        <v>6002900</v>
      </c>
      <c r="G438" s="94" t="n">
        <v>0.00436438250748572</v>
      </c>
      <c r="H438" s="95" t="n">
        <v>76.01700631360006</v>
      </c>
      <c r="I438" s="376" t="n">
        <v>108.4521774291992</v>
      </c>
      <c r="J438" s="376" t="n">
        <v>103.9383403396606</v>
      </c>
      <c r="K438" s="94" t="n">
        <v>0.3252604496566684</v>
      </c>
      <c r="L438" s="94" t="n">
        <v>-0.1336492089259755</v>
      </c>
      <c r="M438" s="94" t="n">
        <v>-0.1536091565428467</v>
      </c>
      <c r="N438" t="n">
        <v>48.19072712223621</v>
      </c>
      <c r="O438" t="n">
        <v>0.9316373834505942</v>
      </c>
      <c r="P438" s="143">
        <f>MAX($E$2:E438)</f>
        <v/>
      </c>
      <c r="Q438" s="144">
        <f>E438/P438-1</f>
        <v/>
      </c>
      <c r="R438" s="94" t="n">
        <v>0.003609692901579864</v>
      </c>
    </row>
    <row r="439">
      <c r="A439" s="375" t="n">
        <v>45100</v>
      </c>
      <c r="B439" s="376" t="n">
        <v>100.1631491246433</v>
      </c>
      <c r="C439" s="376" t="n">
        <v>102.5243044887147</v>
      </c>
      <c r="D439" s="376" t="n">
        <v>99.74483718559533</v>
      </c>
      <c r="E439" s="376" t="n">
        <v>101.8085174560547</v>
      </c>
      <c r="F439" s="93" t="n">
        <v>14329200</v>
      </c>
      <c r="G439" s="94" t="n">
        <v>-0.008509689142608523</v>
      </c>
      <c r="H439" s="95" t="n">
        <v>75.37012522031962</v>
      </c>
      <c r="I439" s="376" t="n">
        <v>108.1968327331543</v>
      </c>
      <c r="J439" s="376" t="n">
        <v>103.9631267547607</v>
      </c>
      <c r="K439" s="94" t="n">
        <v>0.3264887030478658</v>
      </c>
      <c r="L439" s="94" t="n">
        <v>-0.1410215848464683</v>
      </c>
      <c r="M439" s="94" t="n">
        <v>-0.1608116795138174</v>
      </c>
      <c r="N439" t="n">
        <v>46.09125802863224</v>
      </c>
      <c r="O439" t="n">
        <v>0.8029178479543604</v>
      </c>
      <c r="P439" s="143">
        <f>MAX($E$2:E439)</f>
        <v/>
      </c>
      <c r="Q439" s="144">
        <f>E439/P439-1</f>
        <v/>
      </c>
      <c r="R439" s="94" t="n">
        <v>-0.007560001908933356</v>
      </c>
    </row>
    <row r="440">
      <c r="A440" s="375" t="n">
        <v>45103</v>
      </c>
      <c r="B440" s="376" t="n">
        <v>101.9479524156738</v>
      </c>
      <c r="C440" s="376" t="n">
        <v>104.3091076704869</v>
      </c>
      <c r="D440" s="376" t="n">
        <v>101.9479524156738</v>
      </c>
      <c r="E440" s="376" t="n">
        <v>103.872200012207</v>
      </c>
      <c r="F440" s="93" t="n">
        <v>6887100</v>
      </c>
      <c r="G440" s="94" t="n">
        <v>0.02027023482630641</v>
      </c>
      <c r="H440" s="95" t="n">
        <v>76.89789535742362</v>
      </c>
      <c r="I440" s="376" t="n">
        <v>107.9314317321777</v>
      </c>
      <c r="J440" s="376" t="n">
        <v>103.9828956222534</v>
      </c>
      <c r="K440" s="94" t="n">
        <v>0.331827065429236</v>
      </c>
      <c r="L440" s="94" t="n">
        <v>-0.1236098906605777</v>
      </c>
      <c r="M440" s="94" t="n">
        <v>-0.1438011351940687</v>
      </c>
      <c r="N440" t="n">
        <v>51.46881638585896</v>
      </c>
      <c r="O440" t="n">
        <v>0.8295721747152802</v>
      </c>
      <c r="P440" s="143">
        <f>MAX($E$2:E440)</f>
        <v/>
      </c>
      <c r="Q440" s="144">
        <f>E440/P440-1</f>
        <v/>
      </c>
      <c r="R440" s="94" t="n">
        <v>-0.004085698135981364</v>
      </c>
    </row>
    <row r="441">
      <c r="A441" s="375" t="n">
        <v>45104</v>
      </c>
      <c r="B441" s="376" t="n">
        <v>104.6065699752211</v>
      </c>
      <c r="C441" s="376" t="n">
        <v>106.1403920844224</v>
      </c>
      <c r="D441" s="376" t="n">
        <v>104.5136125639171</v>
      </c>
      <c r="E441" s="376" t="n">
        <v>105.6105270385742</v>
      </c>
      <c r="F441" s="93" t="n">
        <v>7138600</v>
      </c>
      <c r="G441" s="94" t="n">
        <v>0.01673524798899906</v>
      </c>
      <c r="H441" s="95" t="n">
        <v>78.18480070606219</v>
      </c>
      <c r="I441" s="376" t="n">
        <v>107.7096919250488</v>
      </c>
      <c r="J441" s="376" t="n">
        <v>104.0102047729492</v>
      </c>
      <c r="K441" s="94" t="n">
        <v>0.3356080548479531</v>
      </c>
      <c r="L441" s="94" t="n">
        <v>-0.1089432848456767</v>
      </c>
      <c r="M441" s="94" t="n">
        <v>-0.129472434863642</v>
      </c>
      <c r="N441" t="n">
        <v>55.49597298652835</v>
      </c>
      <c r="O441" t="n">
        <v>0.9295603717816667</v>
      </c>
      <c r="P441" s="143">
        <f>MAX($E$2:E441)</f>
        <v/>
      </c>
      <c r="Q441" s="144">
        <f>E441/P441-1</f>
        <v/>
      </c>
      <c r="R441" s="94" t="n">
        <v>0.01096322455661025</v>
      </c>
    </row>
    <row r="442">
      <c r="A442" s="375" t="n">
        <v>45105</v>
      </c>
      <c r="B442" s="376" t="n">
        <v>105.3595354625267</v>
      </c>
      <c r="C442" s="376" t="n">
        <v>105.7406700731984</v>
      </c>
      <c r="D442" s="376" t="n">
        <v>104.2254436838016</v>
      </c>
      <c r="E442" s="376" t="n">
        <v>105.0713653564453</v>
      </c>
      <c r="F442" s="93" t="n">
        <v>6766000</v>
      </c>
      <c r="G442" s="94" t="n">
        <v>-0.005105188822057238</v>
      </c>
      <c r="H442" s="95" t="n">
        <v>77.78565253544284</v>
      </c>
      <c r="I442" s="376" t="n">
        <v>107.4727214050293</v>
      </c>
      <c r="J442" s="376" t="n">
        <v>104.0245020675659</v>
      </c>
      <c r="K442" s="94" t="n">
        <v>0.3339177561996197</v>
      </c>
      <c r="L442" s="94" t="n">
        <v>-0.1134922976277015</v>
      </c>
      <c r="M442" s="94" t="n">
        <v>-0.1339166424584689</v>
      </c>
      <c r="N442" t="n">
        <v>53.9992628949956</v>
      </c>
      <c r="O442" t="n">
        <v>0.9228086066641292</v>
      </c>
      <c r="P442" s="143">
        <f>MAX($E$2:E442)</f>
        <v/>
      </c>
      <c r="Q442" s="144">
        <f>E442/P442-1</f>
        <v/>
      </c>
      <c r="R442" s="94" t="n">
        <v>0.0005044706701888835</v>
      </c>
    </row>
    <row r="443">
      <c r="A443" s="375" t="n">
        <v>45106</v>
      </c>
      <c r="B443" s="376" t="n">
        <v>105.6012449111301</v>
      </c>
      <c r="C443" s="376" t="n">
        <v>106.2240674611227</v>
      </c>
      <c r="D443" s="376" t="n">
        <v>104.6809543453055</v>
      </c>
      <c r="E443" s="376" t="n">
        <v>105.3874435424805</v>
      </c>
      <c r="F443" s="93" t="n">
        <v>12465500</v>
      </c>
      <c r="G443" s="94" t="n">
        <v>0.003008223838748991</v>
      </c>
      <c r="H443" s="95" t="n">
        <v>78.01964918971261</v>
      </c>
      <c r="I443" s="376" t="n">
        <v>107.2417018127441</v>
      </c>
      <c r="J443" s="376" t="n">
        <v>104.0338862228394</v>
      </c>
      <c r="K443" s="94" t="n">
        <v>0.3290953780794967</v>
      </c>
      <c r="L443" s="94" t="n">
        <v>-0.1108254840241905</v>
      </c>
      <c r="M443" s="94" t="n">
        <v>-0.1313112698559687</v>
      </c>
      <c r="N443" t="n">
        <v>54.76940123031821</v>
      </c>
      <c r="O443" t="n">
        <v>0.9019843827410077</v>
      </c>
      <c r="P443" s="143">
        <f>MAX($E$2:E443)</f>
        <v/>
      </c>
      <c r="Q443" s="144">
        <f>E443/P443-1</f>
        <v/>
      </c>
      <c r="R443" s="94" t="n">
        <v>0.003941241080887226</v>
      </c>
    </row>
    <row r="444">
      <c r="A444" s="375" t="n">
        <v>45107</v>
      </c>
      <c r="B444" s="376" t="n">
        <v>103.7327628135314</v>
      </c>
      <c r="C444" s="376" t="n">
        <v>104.3462945420418</v>
      </c>
      <c r="D444" s="376" t="n">
        <v>102.0688058722121</v>
      </c>
      <c r="E444" s="376" t="n">
        <v>102.5986709594727</v>
      </c>
      <c r="F444" s="93" t="n">
        <v>19629600</v>
      </c>
      <c r="G444" s="94" t="n">
        <v>-0.02646209538125566</v>
      </c>
      <c r="H444" s="95" t="n">
        <v>75.95508579124233</v>
      </c>
      <c r="I444" s="376" t="n">
        <v>106.964913482666</v>
      </c>
      <c r="J444" s="376" t="n">
        <v>104.0599982452393</v>
      </c>
      <c r="K444" s="94" t="n">
        <v>0.3398825381941012</v>
      </c>
      <c r="L444" s="94" t="n">
        <v>-0.1343549048765242</v>
      </c>
      <c r="M444" s="94" t="n">
        <v>-0.1542985938896619</v>
      </c>
      <c r="N444" t="n">
        <v>47.25260217932602</v>
      </c>
      <c r="O444" t="n">
        <v>0.6732313270520893</v>
      </c>
      <c r="P444" s="143">
        <f>MAX($E$2:E444)</f>
        <v/>
      </c>
      <c r="Q444" s="144">
        <f>E444/P444-1</f>
        <v/>
      </c>
      <c r="R444" s="94" t="n">
        <v>0.0118006456668498</v>
      </c>
    </row>
    <row r="445">
      <c r="A445" s="375" t="n">
        <v>45110</v>
      </c>
      <c r="B445" s="376" t="n">
        <v>103.2400778324966</v>
      </c>
      <c r="C445" s="376" t="n">
        <v>103.4631841384499</v>
      </c>
      <c r="D445" s="376" t="n">
        <v>101.4273834228516</v>
      </c>
      <c r="E445" s="376" t="n">
        <v>101.4273834228516</v>
      </c>
      <c r="F445" s="93" t="n">
        <v>5734200</v>
      </c>
      <c r="G445" s="94" t="n">
        <v>-0.01141620574289659</v>
      </c>
      <c r="H445" s="95" t="n">
        <v>75.08796690463015</v>
      </c>
      <c r="I445" s="376" t="n">
        <v>106.6873066711426</v>
      </c>
      <c r="J445" s="376" t="n">
        <v>104.0743590164185</v>
      </c>
      <c r="K445" s="94" t="n">
        <v>0.3087658359248303</v>
      </c>
      <c r="L445" s="94" t="n">
        <v>-0.144237287382783</v>
      </c>
      <c r="M445" s="94" t="n">
        <v>-0.1639532951388746</v>
      </c>
      <c r="N445" t="n">
        <v>44.49075389768694</v>
      </c>
      <c r="O445" t="n">
        <v>0.4278338075843149</v>
      </c>
      <c r="P445" s="143">
        <f>MAX($E$2:E445)</f>
        <v/>
      </c>
      <c r="Q445" s="144">
        <f>E445/P445-1</f>
        <v/>
      </c>
      <c r="R445" s="94" t="n">
        <v>0.001150648566911716</v>
      </c>
    </row>
    <row r="446">
      <c r="A446" s="375" t="n">
        <v>45112</v>
      </c>
      <c r="B446" s="376" t="n">
        <v>100.9718924952907</v>
      </c>
      <c r="C446" s="376" t="n">
        <v>101.2414739768386</v>
      </c>
      <c r="D446" s="376" t="n">
        <v>99.03834696072413</v>
      </c>
      <c r="E446" s="376" t="n">
        <v>99.55891418457031</v>
      </c>
      <c r="F446" s="93" t="n">
        <v>10405300</v>
      </c>
      <c r="G446" s="94" t="n">
        <v>-0.018421743470317</v>
      </c>
      <c r="H446" s="95" t="n">
        <v>73.70471564060539</v>
      </c>
      <c r="I446" s="376" t="n">
        <v>106.3523175048828</v>
      </c>
      <c r="J446" s="376" t="n">
        <v>104.0862854766846</v>
      </c>
      <c r="K446" s="94" t="n">
        <v>0.3034821675645259</v>
      </c>
      <c r="L446" s="94" t="n">
        <v>-0.1600019285460801</v>
      </c>
      <c r="M446" s="94" t="n">
        <v>-0.17935473306503</v>
      </c>
      <c r="N446" t="n">
        <v>40.43103417716745</v>
      </c>
      <c r="O446" t="n">
        <v>0.1394003769017398</v>
      </c>
      <c r="P446" s="143">
        <f>MAX($E$2:E446)</f>
        <v/>
      </c>
      <c r="Q446" s="144">
        <f>E446/P446-1</f>
        <v/>
      </c>
      <c r="R446" s="94" t="n">
        <v>-0.001487140098572093</v>
      </c>
    </row>
    <row r="447">
      <c r="A447" s="375" t="n">
        <v>45113</v>
      </c>
      <c r="B447" s="376" t="n">
        <v>97.87636161094548</v>
      </c>
      <c r="C447" s="376" t="n">
        <v>98.62002806137271</v>
      </c>
      <c r="D447" s="376" t="n">
        <v>96.37042587862084</v>
      </c>
      <c r="E447" s="376" t="n">
        <v>97.69973754882812</v>
      </c>
      <c r="F447" s="93" t="n">
        <v>9923500</v>
      </c>
      <c r="G447" s="94" t="n">
        <v>-0.01867413531947015</v>
      </c>
      <c r="H447" s="95" t="n">
        <v>72.32834380704965</v>
      </c>
      <c r="I447" s="376" t="n">
        <v>105.9512368774414</v>
      </c>
      <c r="J447" s="376" t="n">
        <v>104.0952715682983</v>
      </c>
      <c r="K447" s="94" t="n">
        <v>0.3095544644237298</v>
      </c>
      <c r="L447" s="94" t="n">
        <v>-0.1756881662005046</v>
      </c>
      <c r="M447" s="94" t="n">
        <v>-0.1946795738290564</v>
      </c>
      <c r="N447" t="n">
        <v>36.82984782996482</v>
      </c>
      <c r="O447" t="n">
        <v>-0.1606116616080445</v>
      </c>
      <c r="P447" s="143">
        <f>MAX($E$2:E447)</f>
        <v/>
      </c>
      <c r="Q447" s="144">
        <f>E447/P447-1</f>
        <v/>
      </c>
      <c r="R447" s="94" t="n">
        <v>-0.00783074082278068</v>
      </c>
    </row>
    <row r="448">
      <c r="A448" s="375" t="n">
        <v>45114</v>
      </c>
      <c r="B448" s="376" t="n">
        <v>97.42086108753266</v>
      </c>
      <c r="C448" s="376" t="n">
        <v>98.04368357460345</v>
      </c>
      <c r="D448" s="376" t="n">
        <v>96.70507409249625</v>
      </c>
      <c r="E448" s="376" t="n">
        <v>97.10479736328125</v>
      </c>
      <c r="F448" s="93" t="n">
        <v>7463100</v>
      </c>
      <c r="G448" s="94" t="n">
        <v>-0.0060894757803166</v>
      </c>
      <c r="H448" s="95" t="n">
        <v>71.88790210920621</v>
      </c>
      <c r="I448" s="376" t="n">
        <v>105.5832870483398</v>
      </c>
      <c r="J448" s="376" t="n">
        <v>104.0870523452759</v>
      </c>
      <c r="K448" s="94" t="n">
        <v>0.3083701986362081</v>
      </c>
      <c r="L448" s="94" t="n">
        <v>-0.180707793147855</v>
      </c>
      <c r="M448" s="94" t="n">
        <v>-0.1995835530596186</v>
      </c>
      <c r="N448" t="n">
        <v>35.7330216151381</v>
      </c>
      <c r="O448" t="n">
        <v>-0.3711071371541155</v>
      </c>
      <c r="P448" s="143">
        <f>MAX($E$2:E448)</f>
        <v/>
      </c>
      <c r="Q448" s="144">
        <f>E448/P448-1</f>
        <v/>
      </c>
      <c r="R448" s="94" t="n">
        <v>-0.002524577305022979</v>
      </c>
    </row>
    <row r="449">
      <c r="A449" s="375" t="n">
        <v>45117</v>
      </c>
      <c r="B449" s="376" t="n">
        <v>97.12338008767023</v>
      </c>
      <c r="C449" s="376" t="n">
        <v>98.82452113567419</v>
      </c>
      <c r="D449" s="376" t="n">
        <v>96.90957167707336</v>
      </c>
      <c r="E449" s="376" t="n">
        <v>98.33184051513672</v>
      </c>
      <c r="F449" s="93" t="n">
        <v>5374600</v>
      </c>
      <c r="G449" s="94" t="n">
        <v>0.01263627735368167</v>
      </c>
      <c r="H449" s="95" t="n">
        <v>72.79629757863246</v>
      </c>
      <c r="I449" s="376" t="n">
        <v>105.2550733947754</v>
      </c>
      <c r="J449" s="376" t="n">
        <v>104.1070280838013</v>
      </c>
      <c r="K449" s="94" t="n">
        <v>0.3107971471296503</v>
      </c>
      <c r="L449" s="94" t="n">
        <v>-0.1703549895883613</v>
      </c>
      <c r="M449" s="94" t="n">
        <v>-0.1894692688376316</v>
      </c>
      <c r="N449" t="n">
        <v>39.7203313109591</v>
      </c>
      <c r="O449" t="n">
        <v>-0.3973402962625779</v>
      </c>
      <c r="P449" s="143">
        <f>MAX($E$2:E449)</f>
        <v/>
      </c>
      <c r="Q449" s="144">
        <f>E449/P449-1</f>
        <v/>
      </c>
      <c r="R449" s="94" t="n">
        <v>0.002530966926685752</v>
      </c>
    </row>
    <row r="450">
      <c r="A450" s="375" t="n">
        <v>45118</v>
      </c>
      <c r="B450" s="376" t="n">
        <v>98.21101699181048</v>
      </c>
      <c r="C450" s="376" t="n">
        <v>100.0423072953224</v>
      </c>
      <c r="D450" s="376" t="n">
        <v>98.18313047424581</v>
      </c>
      <c r="E450" s="376" t="n">
        <v>99.82849884033203</v>
      </c>
      <c r="F450" s="93" t="n">
        <v>5454900</v>
      </c>
      <c r="G450" s="94" t="n">
        <v>0.01522048521978925</v>
      </c>
      <c r="H450" s="95" t="n">
        <v>73.90429254998342</v>
      </c>
      <c r="I450" s="376" t="n">
        <v>104.9223258972168</v>
      </c>
      <c r="J450" s="376" t="n">
        <v>104.1465992736816</v>
      </c>
      <c r="K450" s="94" t="n">
        <v>0.3151431625487621</v>
      </c>
      <c r="L450" s="94" t="n">
        <v>-0.157727389969719</v>
      </c>
      <c r="M450" s="94" t="n">
        <v>-0.1771325978237898</v>
      </c>
      <c r="N450" t="n">
        <v>44.26273042585609</v>
      </c>
      <c r="O450" t="n">
        <v>-0.2885943902323285</v>
      </c>
      <c r="P450" s="143">
        <f>MAX($E$2:E450)</f>
        <v/>
      </c>
      <c r="Q450" s="144">
        <f>E450/P450-1</f>
        <v/>
      </c>
      <c r="R450" s="94" t="n">
        <v>0.006368539316104149</v>
      </c>
    </row>
    <row r="451">
      <c r="A451" s="375" t="n">
        <v>45119</v>
      </c>
      <c r="B451" s="376" t="n">
        <v>100.8882271465554</v>
      </c>
      <c r="C451" s="376" t="n">
        <v>101.4087943770758</v>
      </c>
      <c r="D451" s="376" t="n">
        <v>99.6704686213609</v>
      </c>
      <c r="E451" s="376" t="n">
        <v>100.1724472045898</v>
      </c>
      <c r="F451" s="93" t="n">
        <v>8305000</v>
      </c>
      <c r="G451" s="94" t="n">
        <v>0.003445392530723401</v>
      </c>
      <c r="H451" s="95" t="n">
        <v>74.15892184752353</v>
      </c>
      <c r="I451" s="376" t="n">
        <v>104.577555847168</v>
      </c>
      <c r="J451" s="376" t="n">
        <v>104.1936008834839</v>
      </c>
      <c r="K451" s="94" t="n">
        <v>0.3138061589293918</v>
      </c>
      <c r="L451" s="94" t="n">
        <v>-0.1548254302102878</v>
      </c>
      <c r="M451" s="94" t="n">
        <v>-0.174297496622556</v>
      </c>
      <c r="N451" t="n">
        <v>45.28317769438354</v>
      </c>
      <c r="O451" t="n">
        <v>-0.1738523530147704</v>
      </c>
      <c r="P451" s="143">
        <f>MAX($E$2:E451)</f>
        <v/>
      </c>
      <c r="Q451" s="144">
        <f>E451/P451-1</f>
        <v/>
      </c>
      <c r="R451" s="94" t="n">
        <v>0.008045997552762696</v>
      </c>
    </row>
    <row r="452">
      <c r="A452" s="375" t="n">
        <v>45120</v>
      </c>
      <c r="B452" s="376" t="n">
        <v>101.3902000636251</v>
      </c>
      <c r="C452" s="376" t="n">
        <v>101.4459730945792</v>
      </c>
      <c r="D452" s="376" t="n">
        <v>100.0980728370816</v>
      </c>
      <c r="E452" s="376" t="n">
        <v>100.2468032836914</v>
      </c>
      <c r="F452" s="93" t="n">
        <v>6692300</v>
      </c>
      <c r="G452" s="94" t="n">
        <v>0.0007422807486143768</v>
      </c>
      <c r="H452" s="95" t="n">
        <v>74.21396858754893</v>
      </c>
      <c r="I452" s="376" t="n">
        <v>104.2120361328125</v>
      </c>
      <c r="J452" s="376" t="n">
        <v>104.2480205154419</v>
      </c>
      <c r="K452" s="94" t="n">
        <v>0.3137800382711357</v>
      </c>
      <c r="L452" s="94" t="n">
        <v>-0.1541980733979146</v>
      </c>
      <c r="M452" s="94" t="n">
        <v>-0.1736845935502163</v>
      </c>
      <c r="N452" t="n">
        <v>45.51541204818773</v>
      </c>
      <c r="O452" t="n">
        <v>-0.078175529269223</v>
      </c>
      <c r="P452" s="143">
        <f>MAX($E$2:E452)</f>
        <v/>
      </c>
      <c r="Q452" s="144">
        <f>E452/P452-1</f>
        <v/>
      </c>
      <c r="R452" s="94" t="n">
        <v>0.00793677916637292</v>
      </c>
    </row>
    <row r="453">
      <c r="A453" s="375" t="n">
        <v>45121</v>
      </c>
      <c r="B453" s="376" t="n">
        <v>100.3397616527394</v>
      </c>
      <c r="C453" s="376" t="n">
        <v>100.9904706147148</v>
      </c>
      <c r="D453" s="376" t="n">
        <v>99.64257043968189</v>
      </c>
      <c r="E453" s="376" t="n">
        <v>100.3490524291992</v>
      </c>
      <c r="F453" s="93" t="n">
        <v>6933600</v>
      </c>
      <c r="G453" s="94" t="n">
        <v>0.001019974125443746</v>
      </c>
      <c r="H453" s="95" t="n">
        <v>74.28966491525473</v>
      </c>
      <c r="I453" s="376" t="n">
        <v>103.8607914733887</v>
      </c>
      <c r="J453" s="376" t="n">
        <v>104.3073725509644</v>
      </c>
      <c r="K453" s="94" t="n">
        <v>0.2332439970435694</v>
      </c>
      <c r="L453" s="94" t="n">
        <v>-0.15333537731753</v>
      </c>
      <c r="M453" s="94" t="n">
        <v>-0.1728417732161819</v>
      </c>
      <c r="N453" t="n">
        <v>45.85573088022522</v>
      </c>
      <c r="O453" t="n">
        <v>0.002494299006656986</v>
      </c>
      <c r="P453" s="143">
        <f>MAX($E$2:E453)</f>
        <v/>
      </c>
      <c r="Q453" s="144">
        <f>E453/P453-1</f>
        <v/>
      </c>
      <c r="R453" s="94" t="n">
        <v>-0.0006226669854759725</v>
      </c>
    </row>
    <row r="454">
      <c r="A454" s="375" t="n">
        <v>45124</v>
      </c>
      <c r="B454" s="376" t="n">
        <v>99.70764181073528</v>
      </c>
      <c r="C454" s="376" t="n">
        <v>101.4180808573283</v>
      </c>
      <c r="D454" s="376" t="n">
        <v>99.24284766648336</v>
      </c>
      <c r="E454" s="376" t="n">
        <v>101.0555419921875</v>
      </c>
      <c r="F454" s="93" t="n">
        <v>6682900</v>
      </c>
      <c r="G454" s="94" t="n">
        <v>0.007040321217649081</v>
      </c>
      <c r="H454" s="95" t="n">
        <v>74.81268801940965</v>
      </c>
      <c r="I454" s="376" t="n">
        <v>103.5333131408691</v>
      </c>
      <c r="J454" s="376" t="n">
        <v>104.3691977310181</v>
      </c>
      <c r="K454" s="94" t="n">
        <v>0.2353471636841174</v>
      </c>
      <c r="L454" s="94" t="n">
        <v>-0.1473745864102256</v>
      </c>
      <c r="M454" s="94" t="n">
        <v>-0.1670183136018027</v>
      </c>
      <c r="N454" t="n">
        <v>48.26045713459843</v>
      </c>
      <c r="O454" t="n">
        <v>0.1080847143730017</v>
      </c>
      <c r="P454" s="143">
        <f>MAX($E$2:E454)</f>
        <v/>
      </c>
      <c r="Q454" s="144">
        <f>E454/P454-1</f>
        <v/>
      </c>
      <c r="R454" s="94" t="n">
        <v>0.003472002815939845</v>
      </c>
    </row>
    <row r="455">
      <c r="A455" s="375" t="n">
        <v>45125</v>
      </c>
      <c r="B455" s="376" t="n">
        <v>100.9347004356142</v>
      </c>
      <c r="C455" s="376" t="n">
        <v>102.5707707553791</v>
      </c>
      <c r="D455" s="376" t="n">
        <v>100.6837076202007</v>
      </c>
      <c r="E455" s="376" t="n">
        <v>101.9944305419922</v>
      </c>
      <c r="F455" s="93" t="n">
        <v>5717200</v>
      </c>
      <c r="G455" s="94" t="n">
        <v>0.009290817022952202</v>
      </c>
      <c r="H455" s="95" t="n">
        <v>75.50775901479318</v>
      </c>
      <c r="I455" s="376" t="n">
        <v>103.2815013122559</v>
      </c>
      <c r="J455" s="376" t="n">
        <v>104.4246184158325</v>
      </c>
      <c r="K455" s="94" t="n">
        <v>0.2345647085913101</v>
      </c>
      <c r="L455" s="94" t="n">
        <v>-0.1394529997034442</v>
      </c>
      <c r="M455" s="94" t="n">
        <v>-0.1592792331700068</v>
      </c>
      <c r="N455" t="n">
        <v>51.35264155695442</v>
      </c>
      <c r="O455" t="n">
        <v>0.2383444603671439</v>
      </c>
      <c r="P455" s="143">
        <f>MAX($E$2:E455)</f>
        <v/>
      </c>
      <c r="Q455" s="144">
        <f>E455/P455-1</f>
        <v/>
      </c>
      <c r="R455" s="94" t="n">
        <v>0.007430715681567612</v>
      </c>
    </row>
    <row r="456">
      <c r="A456" s="375" t="n">
        <v>45126</v>
      </c>
      <c r="B456" s="376" t="n">
        <v>101.3994915880756</v>
      </c>
      <c r="C456" s="376" t="n">
        <v>102.4871081768045</v>
      </c>
      <c r="D456" s="376" t="n">
        <v>100.9346974466842</v>
      </c>
      <c r="E456" s="376" t="n">
        <v>102.1431579589844</v>
      </c>
      <c r="F456" s="93" t="n">
        <v>5027100</v>
      </c>
      <c r="G456" s="94" t="n">
        <v>0.001458191552243138</v>
      </c>
      <c r="H456" s="95" t="n">
        <v>75.61786379111737</v>
      </c>
      <c r="I456" s="376" t="n">
        <v>102.9785543823242</v>
      </c>
      <c r="J456" s="376" t="n">
        <v>104.4963028717041</v>
      </c>
      <c r="K456" s="94" t="n">
        <v>0.1971712960283103</v>
      </c>
      <c r="L456" s="94" t="n">
        <v>-0.1381981573373035</v>
      </c>
      <c r="M456" s="94" t="n">
        <v>-0.1580533012500199</v>
      </c>
      <c r="N456" t="n">
        <v>51.84361539519987</v>
      </c>
      <c r="O456" t="n">
        <v>0.3262685609724818</v>
      </c>
      <c r="P456" s="143">
        <f>MAX($E$2:E456)</f>
        <v/>
      </c>
      <c r="Q456" s="144">
        <f>E456/P456-1</f>
        <v/>
      </c>
      <c r="R456" s="94" t="n">
        <v>0.002223644336604158</v>
      </c>
    </row>
    <row r="457">
      <c r="A457" s="375" t="n">
        <v>45127</v>
      </c>
      <c r="B457" s="376" t="n">
        <v>101.8550022684308</v>
      </c>
      <c r="C457" s="376" t="n">
        <v>102.2733142179759</v>
      </c>
      <c r="D457" s="376" t="n">
        <v>99.91216588685039</v>
      </c>
      <c r="E457" s="376" t="n">
        <v>99.95864105224609</v>
      </c>
      <c r="F457" s="93" t="n">
        <v>6458000</v>
      </c>
      <c r="G457" s="94" t="n">
        <v>-0.02138681582192192</v>
      </c>
      <c r="H457" s="95" t="n">
        <v>74.00063846536956</v>
      </c>
      <c r="I457" s="376" t="n">
        <v>102.62654296875</v>
      </c>
      <c r="J457" s="376" t="n">
        <v>104.6132964706421</v>
      </c>
      <c r="K457" s="94" t="n">
        <v>0.2108436877763194</v>
      </c>
      <c r="L457" s="94" t="n">
        <v>-0.1566293546213235</v>
      </c>
      <c r="M457" s="94" t="n">
        <v>-0.176059860228061</v>
      </c>
      <c r="N457" t="n">
        <v>44.70655528736295</v>
      </c>
      <c r="O457" t="n">
        <v>0.2334025386803221</v>
      </c>
      <c r="P457" s="143">
        <f>MAX($E$2:E457)</f>
        <v/>
      </c>
      <c r="Q457" s="144">
        <f>E457/P457-1</f>
        <v/>
      </c>
      <c r="R457" s="94" t="n">
        <v>-0.006634575680645183</v>
      </c>
    </row>
    <row r="458">
      <c r="A458" s="375" t="n">
        <v>45128</v>
      </c>
      <c r="B458" s="376" t="n">
        <v>100.3955361954826</v>
      </c>
      <c r="C458" s="376" t="n">
        <v>101.5947059511033</v>
      </c>
      <c r="D458" s="376" t="n">
        <v>99.94003991522538</v>
      </c>
      <c r="E458" s="376" t="n">
        <v>101.3808975219727</v>
      </c>
      <c r="F458" s="93" t="n">
        <v>6631600</v>
      </c>
      <c r="G458" s="94" t="n">
        <v>0.01422844943423329</v>
      </c>
      <c r="H458" s="95" t="n">
        <v>75.05355280787505</v>
      </c>
      <c r="I458" s="376" t="n">
        <v>102.3359614562988</v>
      </c>
      <c r="J458" s="376" t="n">
        <v>104.7269010925293</v>
      </c>
      <c r="K458" s="94" t="n">
        <v>0.2170151454028018</v>
      </c>
      <c r="L458" s="94" t="n">
        <v>-0.1446294980392364</v>
      </c>
      <c r="M458" s="94" t="n">
        <v>-0.1643364696124808</v>
      </c>
      <c r="N458" t="n">
        <v>49.57384420878859</v>
      </c>
      <c r="O458" t="n">
        <v>0.2617328393927201</v>
      </c>
      <c r="P458" s="143">
        <f>MAX($E$2:E458)</f>
        <v/>
      </c>
      <c r="Q458" s="144">
        <f>E458/P458-1</f>
        <v/>
      </c>
      <c r="R458" s="94" t="n">
        <v>0</v>
      </c>
    </row>
    <row r="459">
      <c r="A459" s="375" t="n">
        <v>45131</v>
      </c>
      <c r="B459" s="376" t="n">
        <v>102.6358518961318</v>
      </c>
      <c r="C459" s="376" t="n">
        <v>102.7659936961944</v>
      </c>
      <c r="D459" s="376" t="n">
        <v>100.869632633887</v>
      </c>
      <c r="E459" s="376" t="n">
        <v>101.1113204956055</v>
      </c>
      <c r="F459" s="93" t="n">
        <v>6787600</v>
      </c>
      <c r="G459" s="94" t="n">
        <v>-0.002659051487572062</v>
      </c>
      <c r="H459" s="95" t="n">
        <v>74.8539815466337</v>
      </c>
      <c r="I459" s="376" t="n">
        <v>102.0694525146484</v>
      </c>
      <c r="J459" s="376" t="n">
        <v>104.8242363739014</v>
      </c>
      <c r="K459" s="94" t="n">
        <v>0.2151541842285511</v>
      </c>
      <c r="L459" s="94" t="n">
        <v>-0.1469039722449004</v>
      </c>
      <c r="M459" s="94" t="n">
        <v>-0.1665585419660675</v>
      </c>
      <c r="N459" t="n">
        <v>48.69881704453511</v>
      </c>
      <c r="O459" t="n">
        <v>0.2559761228511995</v>
      </c>
      <c r="P459" s="143">
        <f>MAX($E$2:E459)</f>
        <v/>
      </c>
      <c r="Q459" s="144">
        <f>E459/P459-1</f>
        <v/>
      </c>
      <c r="R459" s="94" t="n">
        <v>0.004467479831239407</v>
      </c>
    </row>
    <row r="460">
      <c r="A460" s="375" t="n">
        <v>45132</v>
      </c>
      <c r="B460" s="376" t="n">
        <v>100.6558198507748</v>
      </c>
      <c r="C460" s="376" t="n">
        <v>101.185684897358</v>
      </c>
      <c r="D460" s="376" t="n">
        <v>99.82848683228865</v>
      </c>
      <c r="E460" s="376" t="n">
        <v>100.6744155883789</v>
      </c>
      <c r="F460" s="93" t="n">
        <v>7692800</v>
      </c>
      <c r="G460" s="94" t="n">
        <v>-0.004321028595858922</v>
      </c>
      <c r="H460" s="95" t="n">
        <v>74.53053535185681</v>
      </c>
      <c r="I460" s="376" t="n">
        <v>101.8181100463867</v>
      </c>
      <c r="J460" s="376" t="n">
        <v>104.9080578994751</v>
      </c>
      <c r="K460" s="94" t="n">
        <v>0.2012992275471923</v>
      </c>
      <c r="L460" s="94" t="n">
        <v>-0.1505902245758437</v>
      </c>
      <c r="M460" s="94" t="n">
        <v>-0.1701598663392063</v>
      </c>
      <c r="N460" t="n">
        <v>47.24336308701928</v>
      </c>
      <c r="O460" t="n">
        <v>0.2178942050532027</v>
      </c>
      <c r="P460" s="143">
        <f>MAX($E$2:E460)</f>
        <v/>
      </c>
      <c r="Q460" s="144">
        <f>E460/P460-1</f>
        <v/>
      </c>
      <c r="R460" s="94" t="n">
        <v>0.002730063884669454</v>
      </c>
    </row>
    <row r="461">
      <c r="A461" s="375" t="n">
        <v>45133</v>
      </c>
      <c r="B461" s="376" t="n">
        <v>100.6744156073537</v>
      </c>
      <c r="C461" s="376" t="n">
        <v>101.8735782717976</v>
      </c>
      <c r="D461" s="376" t="n">
        <v>100.3490540289832</v>
      </c>
      <c r="E461" s="376" t="n">
        <v>101.60400390625</v>
      </c>
      <c r="F461" s="93" t="n">
        <v>5148900</v>
      </c>
      <c r="G461" s="94" t="n">
        <v>0.00923361027166858</v>
      </c>
      <c r="H461" s="95" t="n">
        <v>75.21872126863467</v>
      </c>
      <c r="I461" s="376" t="n">
        <v>101.6226065063477</v>
      </c>
      <c r="J461" s="376" t="n">
        <v>105.0008104705811</v>
      </c>
      <c r="K461" s="94" t="n">
        <v>0.1939192521739817</v>
      </c>
      <c r="L461" s="94" t="n">
        <v>-0.1427471057486316</v>
      </c>
      <c r="M461" s="94" t="n">
        <v>-0.1624974459571932</v>
      </c>
      <c r="N461" t="n">
        <v>50.62462552507976</v>
      </c>
      <c r="O461" t="n">
        <v>0.2482575746888334</v>
      </c>
      <c r="P461" s="143">
        <f>MAX($E$2:E461)</f>
        <v/>
      </c>
      <c r="Q461" s="144">
        <f>E461/P461-1</f>
        <v/>
      </c>
      <c r="R461" s="94" t="n">
        <v>0.0001536744152319525</v>
      </c>
    </row>
    <row r="462">
      <c r="A462" s="375" t="n">
        <v>45134</v>
      </c>
      <c r="B462" s="376" t="n">
        <v>102.0966820863985</v>
      </c>
      <c r="C462" s="376" t="n">
        <v>102.4685188153512</v>
      </c>
      <c r="D462" s="376" t="n">
        <v>99.83778229134053</v>
      </c>
      <c r="E462" s="376" t="n">
        <v>100.0887680053711</v>
      </c>
      <c r="F462" s="93" t="n">
        <v>6544600</v>
      </c>
      <c r="G462" s="94" t="n">
        <v>-0.01491315147656003</v>
      </c>
      <c r="H462" s="95" t="n">
        <v>74.09697308448237</v>
      </c>
      <c r="I462" s="376" t="n">
        <v>101.4038397216797</v>
      </c>
      <c r="J462" s="376" t="n">
        <v>105.0998490142822</v>
      </c>
      <c r="K462" s="94" t="n">
        <v>0.1991504283222409</v>
      </c>
      <c r="L462" s="94" t="n">
        <v>-0.1511519218410666</v>
      </c>
      <c r="M462" s="94" t="n">
        <v>-0.1749872484076395</v>
      </c>
      <c r="N462" t="n">
        <v>45.50503202130075</v>
      </c>
      <c r="O462" t="n">
        <v>0.1633406271573656</v>
      </c>
      <c r="P462" s="143">
        <f>MAX($E$2:E462)</f>
        <v/>
      </c>
      <c r="Q462" s="144">
        <f>E462/P462-1</f>
        <v/>
      </c>
      <c r="R462" s="94" t="n">
        <v>-0.00662985089318946</v>
      </c>
    </row>
    <row r="463">
      <c r="A463" s="375" t="n">
        <v>45135</v>
      </c>
      <c r="B463" s="376" t="n">
        <v>100.4977936530316</v>
      </c>
      <c r="C463" s="376" t="n">
        <v>101.2879423051021</v>
      </c>
      <c r="D463" s="376" t="n">
        <v>100.0515881397069</v>
      </c>
      <c r="E463" s="376" t="n">
        <v>100.9718856811523</v>
      </c>
      <c r="F463" s="93" t="n">
        <v>5988300</v>
      </c>
      <c r="G463" s="94" t="n">
        <v>0.008823344450936466</v>
      </c>
      <c r="H463" s="95" t="n">
        <v>74.75075620077854</v>
      </c>
      <c r="I463" s="376" t="n">
        <v>101.2648132324219</v>
      </c>
      <c r="J463" s="376" t="n">
        <v>105.2054676818848</v>
      </c>
      <c r="K463" s="94" t="n">
        <v>0.2022712233228749</v>
      </c>
      <c r="L463" s="94" t="n">
        <v>-0.1410976290634375</v>
      </c>
      <c r="M463" s="94" t="n">
        <v>-0.1677078767239253</v>
      </c>
      <c r="N463" t="n">
        <v>48.75759820320179</v>
      </c>
      <c r="O463" t="n">
        <v>0.1633047328261212</v>
      </c>
      <c r="P463" s="143">
        <f>MAX($E$2:E463)</f>
        <v/>
      </c>
      <c r="Q463" s="144">
        <f>E463/P463-1</f>
        <v/>
      </c>
      <c r="R463" s="94" t="n">
        <v>0.009790152566678811</v>
      </c>
    </row>
    <row r="464">
      <c r="A464" s="375" t="n">
        <v>45138</v>
      </c>
      <c r="B464" s="376" t="n">
        <v>101.7062560023879</v>
      </c>
      <c r="C464" s="376" t="n">
        <v>103.0448582881979</v>
      </c>
      <c r="D464" s="376" t="n">
        <v>101.3716036578865</v>
      </c>
      <c r="E464" s="376" t="n">
        <v>102.6172485351562</v>
      </c>
      <c r="F464" s="93" t="n">
        <v>6406000</v>
      </c>
      <c r="G464" s="94" t="n">
        <v>0.0162952572679449</v>
      </c>
      <c r="H464" s="95" t="n">
        <v>75.96883900404364</v>
      </c>
      <c r="I464" s="376" t="n">
        <v>101.1494290161133</v>
      </c>
      <c r="J464" s="376" t="n">
        <v>105.3133261108398</v>
      </c>
      <c r="K464" s="94" t="n">
        <v>0.1904530913576452</v>
      </c>
      <c r="L464" s="94" t="n">
        <v>-0.1271015939609785</v>
      </c>
      <c r="M464" s="94" t="n">
        <v>-0.1541454624530575</v>
      </c>
      <c r="N464" t="n">
        <v>54.23788878904404</v>
      </c>
      <c r="O464" t="n">
        <v>0.2647450218728647</v>
      </c>
      <c r="P464" s="143">
        <f>MAX($E$2:E464)</f>
        <v/>
      </c>
      <c r="Q464" s="144">
        <f>E464/P464-1</f>
        <v/>
      </c>
      <c r="R464" s="94" t="n">
        <v>0.001904213852410352</v>
      </c>
    </row>
    <row r="465">
      <c r="A465" s="375" t="n">
        <v>45139</v>
      </c>
      <c r="B465" s="376" t="n">
        <v>102.2547273478293</v>
      </c>
      <c r="C465" s="376" t="n">
        <v>102.7474080812083</v>
      </c>
      <c r="D465" s="376" t="n">
        <v>101.4552807302796</v>
      </c>
      <c r="E465" s="376" t="n">
        <v>101.6969757080078</v>
      </c>
      <c r="F465" s="93" t="n">
        <v>4566700</v>
      </c>
      <c r="G465" s="94" t="n">
        <v>-0.008968013080502324</v>
      </c>
      <c r="H465" s="95" t="n">
        <v>75.2875494621448</v>
      </c>
      <c r="I465" s="376" t="n">
        <v>100.9806161499023</v>
      </c>
      <c r="J465" s="376" t="n">
        <v>105.4141883850098</v>
      </c>
      <c r="K465" s="94" t="n">
        <v>0.1886835234924532</v>
      </c>
      <c r="L465" s="94" t="n">
        <v>-0.1349297582842862</v>
      </c>
      <c r="M465" s="94" t="n">
        <v>-0.1617310970099807</v>
      </c>
      <c r="N465" t="n">
        <v>50.95539526346163</v>
      </c>
      <c r="O465" t="n">
        <v>0.2601346663309491</v>
      </c>
      <c r="P465" s="143">
        <f>MAX($E$2:E465)</f>
        <v/>
      </c>
      <c r="Q465" s="144">
        <f>E465/P465-1</f>
        <v/>
      </c>
      <c r="R465" s="94" t="n">
        <v>-0.002861748053241353</v>
      </c>
    </row>
    <row r="466">
      <c r="A466" s="375" t="n">
        <v>45140</v>
      </c>
      <c r="B466" s="376" t="n">
        <v>100.6558204621758</v>
      </c>
      <c r="C466" s="376" t="n">
        <v>100.8789196694092</v>
      </c>
      <c r="D466" s="376" t="n">
        <v>99.88426046742363</v>
      </c>
      <c r="E466" s="376" t="n">
        <v>99.94004058837891</v>
      </c>
      <c r="F466" s="93" t="n">
        <v>6213200</v>
      </c>
      <c r="G466" s="94" t="n">
        <v>-0.01727617864147124</v>
      </c>
      <c r="H466" s="95" t="n">
        <v>73.98686830815818</v>
      </c>
      <c r="I466" s="376" t="n">
        <v>100.8528259277344</v>
      </c>
      <c r="J466" s="376" t="n">
        <v>105.5014303207397</v>
      </c>
      <c r="K466" s="94" t="n">
        <v>0.1872221551942868</v>
      </c>
      <c r="L466" s="94" t="n">
        <v>-0.1498748663175876</v>
      </c>
      <c r="M466" s="94" t="n">
        <v>-0.1762131803276263</v>
      </c>
      <c r="N466" t="n">
        <v>45.31664731286497</v>
      </c>
      <c r="O466" t="n">
        <v>0.1353087713241911</v>
      </c>
      <c r="P466" s="143">
        <f>MAX($E$2:E466)</f>
        <v/>
      </c>
      <c r="Q466" s="144">
        <f>E466/P466-1</f>
        <v/>
      </c>
      <c r="R466" s="94" t="n">
        <v>-0.01391077234755722</v>
      </c>
    </row>
    <row r="467">
      <c r="A467" s="375" t="n">
        <v>45141</v>
      </c>
      <c r="B467" s="376" t="n">
        <v>99.46595417784495</v>
      </c>
      <c r="C467" s="376" t="n">
        <v>101.4087904393075</v>
      </c>
      <c r="D467" s="376" t="n">
        <v>99.14059967140341</v>
      </c>
      <c r="E467" s="376" t="n">
        <v>100.990478515625</v>
      </c>
      <c r="F467" s="93" t="n">
        <v>5084300</v>
      </c>
      <c r="G467" s="94" t="n">
        <v>0.01051068141519496</v>
      </c>
      <c r="H467" s="95" t="n">
        <v>74.76452070985322</v>
      </c>
      <c r="I467" s="376" t="n">
        <v>100.830915222168</v>
      </c>
      <c r="J467" s="376" t="n">
        <v>105.6031812667847</v>
      </c>
      <c r="K467" s="94" t="n">
        <v>0.1764316901964857</v>
      </c>
      <c r="L467" s="94" t="n">
        <v>-0.1287162288468719</v>
      </c>
      <c r="M467" s="94" t="n">
        <v>-0.1675546195120134</v>
      </c>
      <c r="N467" t="n">
        <v>48.95375110353626</v>
      </c>
      <c r="O467" t="n">
        <v>0.1205292780804148</v>
      </c>
      <c r="P467" s="143">
        <f>MAX($E$2:E467)</f>
        <v/>
      </c>
      <c r="Q467" s="144">
        <f>E467/P467-1</f>
        <v/>
      </c>
      <c r="R467" s="94" t="n">
        <v>-0.002865861552142412</v>
      </c>
    </row>
    <row r="468">
      <c r="A468" s="375" t="n">
        <v>45142</v>
      </c>
      <c r="B468" s="376" t="n">
        <v>101.0555411255422</v>
      </c>
      <c r="C468" s="376" t="n">
        <v>102.5428809559539</v>
      </c>
      <c r="D468" s="376" t="n">
        <v>100.618633498941</v>
      </c>
      <c r="E468" s="376" t="n">
        <v>101.1484985351562</v>
      </c>
      <c r="F468" s="93" t="n">
        <v>5621400</v>
      </c>
      <c r="G468" s="94" t="n">
        <v>0.001564702156617637</v>
      </c>
      <c r="H468" s="95" t="n">
        <v>74.88150491664641</v>
      </c>
      <c r="I468" s="376" t="n">
        <v>100.8381083679199</v>
      </c>
      <c r="J468" s="376" t="n">
        <v>105.694577255249</v>
      </c>
      <c r="K468" s="94" t="n">
        <v>0.1740155555046397</v>
      </c>
      <c r="L468" s="94" t="n">
        <v>-0.1161188779113058</v>
      </c>
      <c r="M468" s="94" t="n">
        <v>-0.1662520904298975</v>
      </c>
      <c r="N468" t="n">
        <v>49.49792311397056</v>
      </c>
      <c r="O468" t="n">
        <v>0.1182727663416498</v>
      </c>
      <c r="P468" s="143">
        <f>MAX($E$2:E468)</f>
        <v/>
      </c>
      <c r="Q468" s="144">
        <f>E468/P468-1</f>
        <v/>
      </c>
      <c r="R468" s="94" t="n">
        <v>-0.004522797656629662</v>
      </c>
    </row>
    <row r="469">
      <c r="A469" s="375" t="n">
        <v>45145</v>
      </c>
      <c r="B469" s="376" t="n">
        <v>102.1338782530382</v>
      </c>
      <c r="C469" s="376" t="n">
        <v>103.1285375397411</v>
      </c>
      <c r="D469" s="376" t="n">
        <v>101.4924599988908</v>
      </c>
      <c r="E469" s="376" t="n">
        <v>102.700927734375</v>
      </c>
      <c r="F469" s="93" t="n">
        <v>4887300</v>
      </c>
      <c r="G469" s="94" t="n">
        <v>0.01534802020495807</v>
      </c>
      <c r="H469" s="95" t="n">
        <v>76.03078776708477</v>
      </c>
      <c r="I469" s="376" t="n">
        <v>100.8854296875</v>
      </c>
      <c r="J469" s="376" t="n">
        <v>105.7950709915161</v>
      </c>
      <c r="K469" s="94" t="n">
        <v>0.1764426862573583</v>
      </c>
      <c r="L469" s="94" t="n">
        <v>-0.09308078431319722</v>
      </c>
      <c r="M469" s="94" t="n">
        <v>-0.153455710667974</v>
      </c>
      <c r="N469" t="n">
        <v>54.61655820926259</v>
      </c>
      <c r="O469" t="n">
        <v>0.2127020755687589</v>
      </c>
      <c r="P469" s="143">
        <f>MAX($E$2:E469)</f>
        <v/>
      </c>
      <c r="Q469" s="144">
        <f>E469/P469-1</f>
        <v/>
      </c>
      <c r="R469" s="94" t="n">
        <v>0.008728774180636112</v>
      </c>
    </row>
    <row r="470">
      <c r="A470" s="375" t="n">
        <v>45146</v>
      </c>
      <c r="B470" s="376" t="n">
        <v>101.910780233521</v>
      </c>
      <c r="C470" s="376" t="n">
        <v>102.1524752187391</v>
      </c>
      <c r="D470" s="376" t="n">
        <v>99.79131968120051</v>
      </c>
      <c r="E470" s="376" t="n">
        <v>101.9665603637695</v>
      </c>
      <c r="F470" s="93" t="n">
        <v>5851900</v>
      </c>
      <c r="G470" s="94" t="n">
        <v>-0.007150542714714603</v>
      </c>
      <c r="H470" s="95" t="n">
        <v>75.48712637152283</v>
      </c>
      <c r="I470" s="376" t="n">
        <v>100.9330737304687</v>
      </c>
      <c r="J470" s="376" t="n">
        <v>105.8970049285889</v>
      </c>
      <c r="K470" s="94" t="n">
        <v>0.1724294479218305</v>
      </c>
      <c r="L470" s="94" t="n">
        <v>-0.08450969443015866</v>
      </c>
      <c r="M470" s="94" t="n">
        <v>-0.1595089617687404</v>
      </c>
      <c r="N470" t="n">
        <v>51.93497597859817</v>
      </c>
      <c r="O470" t="n">
        <v>0.2163592380670838</v>
      </c>
      <c r="P470" s="143">
        <f>MAX($E$2:E470)</f>
        <v/>
      </c>
      <c r="Q470" s="144">
        <f>E470/P470-1</f>
        <v/>
      </c>
      <c r="R470" s="94" t="n">
        <v>-0.004348885392031709</v>
      </c>
    </row>
    <row r="471">
      <c r="A471" s="375" t="n">
        <v>45147</v>
      </c>
      <c r="B471" s="376" t="n">
        <v>102.0595177912543</v>
      </c>
      <c r="C471" s="376" t="n">
        <v>102.2733191652496</v>
      </c>
      <c r="D471" s="376" t="n">
        <v>100.6744329727988</v>
      </c>
      <c r="E471" s="376" t="n">
        <v>101.9665603637695</v>
      </c>
      <c r="F471" s="93" t="n">
        <v>4328600</v>
      </c>
      <c r="G471" s="94" t="n">
        <v>0</v>
      </c>
      <c r="H471" s="95" t="n">
        <v>75.48712637152283</v>
      </c>
      <c r="I471" s="376" t="n">
        <v>100.9801617431641</v>
      </c>
      <c r="J471" s="376" t="n">
        <v>106.0069521713257</v>
      </c>
      <c r="K471" s="94" t="n">
        <v>0.1722458208885919</v>
      </c>
      <c r="L471" s="94" t="n">
        <v>-0.08160661932328694</v>
      </c>
      <c r="M471" s="94" t="n">
        <v>-0.1595089617687404</v>
      </c>
      <c r="N471" t="n">
        <v>51.93497597859817</v>
      </c>
      <c r="O471" t="n">
        <v>0.2093029465506211</v>
      </c>
      <c r="P471" s="143">
        <f>MAX($E$2:E471)</f>
        <v/>
      </c>
      <c r="Q471" s="144">
        <f>E471/P471-1</f>
        <v/>
      </c>
      <c r="R471" s="94" t="n">
        <v>-0.006685283445912904</v>
      </c>
    </row>
    <row r="472">
      <c r="A472" s="375" t="n">
        <v>45148</v>
      </c>
      <c r="B472" s="376" t="n">
        <v>102.542876265469</v>
      </c>
      <c r="C472" s="376" t="n">
        <v>104.067400408431</v>
      </c>
      <c r="D472" s="376" t="n">
        <v>100.8789124683662</v>
      </c>
      <c r="E472" s="376" t="n">
        <v>101.3530044555664</v>
      </c>
      <c r="F472" s="93" t="n">
        <v>7276500</v>
      </c>
      <c r="G472" s="94" t="n">
        <v>-0.006017226687006438</v>
      </c>
      <c r="H472" s="95" t="n">
        <v>75.03290322019467</v>
      </c>
      <c r="I472" s="376" t="n">
        <v>101.033324432373</v>
      </c>
      <c r="J472" s="376" t="n">
        <v>106.1061406707764</v>
      </c>
      <c r="K472" s="94" t="n">
        <v>0.1740129468902541</v>
      </c>
      <c r="L472" s="94" t="n">
        <v>-0.07976034565908308</v>
      </c>
      <c r="M472" s="94" t="n">
        <v>-0.1645663868741752</v>
      </c>
      <c r="N472" t="n">
        <v>49.57638940426906</v>
      </c>
      <c r="O472" t="n">
        <v>0.1562688236371735</v>
      </c>
      <c r="P472" s="143">
        <f>MAX($E$2:E472)</f>
        <v/>
      </c>
      <c r="Q472" s="144">
        <f>E472/P472-1</f>
        <v/>
      </c>
      <c r="R472" s="94" t="n">
        <v>0.0003589832659227632</v>
      </c>
    </row>
    <row r="473">
      <c r="A473" s="375" t="n">
        <v>45149</v>
      </c>
      <c r="B473" s="376" t="n">
        <v>101.23217366362</v>
      </c>
      <c r="C473" s="376" t="n">
        <v>101.8178117763105</v>
      </c>
      <c r="D473" s="376" t="n">
        <v>100.2654009196732</v>
      </c>
      <c r="E473" s="376" t="n">
        <v>100.4792022705078</v>
      </c>
      <c r="F473" s="93" t="n">
        <v>5104300</v>
      </c>
      <c r="G473" s="94" t="n">
        <v>-0.008621374272547278</v>
      </c>
      <c r="H473" s="95" t="n">
        <v>74.38601647877755</v>
      </c>
      <c r="I473" s="376" t="n">
        <v>101.0923597717285</v>
      </c>
      <c r="J473" s="376" t="n">
        <v>106.2032168960571</v>
      </c>
      <c r="K473" s="94" t="n">
        <v>0.1770477053648521</v>
      </c>
      <c r="L473" s="94" t="n">
        <v>-0.08769407613959568</v>
      </c>
      <c r="M473" s="94" t="n">
        <v>-0.1717689727327996</v>
      </c>
      <c r="N473" t="n">
        <v>46.34813454571675</v>
      </c>
      <c r="O473" t="n">
        <v>0.06023234543540357</v>
      </c>
      <c r="P473" s="143">
        <f>MAX($E$2:E473)</f>
        <v/>
      </c>
      <c r="Q473" s="144">
        <f>E473/P473-1</f>
        <v/>
      </c>
      <c r="R473" s="94" t="n">
        <v>-0.00058311176439374</v>
      </c>
    </row>
    <row r="474">
      <c r="A474" s="375" t="n">
        <v>45152</v>
      </c>
      <c r="B474" s="376" t="n">
        <v>100.3211814522489</v>
      </c>
      <c r="C474" s="376" t="n">
        <v>100.6744295939112</v>
      </c>
      <c r="D474" s="376" t="n">
        <v>99.53103270685193</v>
      </c>
      <c r="E474" s="376" t="n">
        <v>100.0608978271484</v>
      </c>
      <c r="F474" s="93" t="n">
        <v>5305200</v>
      </c>
      <c r="G474" s="94" t="n">
        <v>-0.004163094788842248</v>
      </c>
      <c r="H474" s="95" t="n">
        <v>74.07634044121203</v>
      </c>
      <c r="I474" s="376" t="n">
        <v>101.1732339477539</v>
      </c>
      <c r="J474" s="376" t="n">
        <v>106.2811154937744</v>
      </c>
      <c r="K474" s="94" t="n">
        <v>0.1757042090819684</v>
      </c>
      <c r="L474" s="94" t="n">
        <v>-0.09149209217704879</v>
      </c>
      <c r="M474" s="94" t="n">
        <v>-0.1752169770063731</v>
      </c>
      <c r="N474" t="n">
        <v>44.84274416955349</v>
      </c>
      <c r="O474" t="n">
        <v>-0.02879126503645918</v>
      </c>
      <c r="P474" s="143">
        <f>MAX($E$2:E474)</f>
        <v/>
      </c>
      <c r="Q474" s="144">
        <f>E474/P474-1</f>
        <v/>
      </c>
      <c r="R474" s="94" t="n">
        <v>0.005520134116998365</v>
      </c>
    </row>
    <row r="475">
      <c r="A475" s="375" t="n">
        <v>45153</v>
      </c>
      <c r="B475" s="376" t="n">
        <v>98.60143242705922</v>
      </c>
      <c r="C475" s="376" t="n">
        <v>99.29862366428993</v>
      </c>
      <c r="D475" s="376" t="n">
        <v>98.1645247836433</v>
      </c>
      <c r="E475" s="376" t="n">
        <v>99.04763793945312</v>
      </c>
      <c r="F475" s="93" t="n">
        <v>6197600</v>
      </c>
      <c r="G475" s="94" t="n">
        <v>-0.01012643209983666</v>
      </c>
      <c r="H475" s="95" t="n">
        <v>73.32621140952969</v>
      </c>
      <c r="I475" s="376" t="n">
        <v>101.1503660583496</v>
      </c>
      <c r="J475" s="376" t="n">
        <v>106.3508622360229</v>
      </c>
      <c r="K475" s="94" t="n">
        <v>0.1749642276068774</v>
      </c>
      <c r="L475" s="94" t="n">
        <v>-0.06848438313828575</v>
      </c>
      <c r="M475" s="94" t="n">
        <v>-0.183569086285816</v>
      </c>
      <c r="N475" t="n">
        <v>41.34005958889554</v>
      </c>
      <c r="O475" t="n">
        <v>-0.1466556265278077</v>
      </c>
      <c r="P475" s="143">
        <f>MAX($E$2:E475)</f>
        <v/>
      </c>
      <c r="Q475" s="144">
        <f>E475/P475-1</f>
        <v/>
      </c>
      <c r="R475" s="94" t="n">
        <v>-0.01164870278435159</v>
      </c>
    </row>
    <row r="476">
      <c r="A476" s="375" t="n">
        <v>45154</v>
      </c>
      <c r="B476" s="376" t="n">
        <v>98.6014429144558</v>
      </c>
      <c r="C476" s="376" t="n">
        <v>100.7487898840187</v>
      </c>
      <c r="D476" s="376" t="n">
        <v>98.6014429144558</v>
      </c>
      <c r="E476" s="376" t="n">
        <v>99.029052734375</v>
      </c>
      <c r="F476" s="93" t="n">
        <v>5953100</v>
      </c>
      <c r="G476" s="94" t="n">
        <v>-0.0001876390539418127</v>
      </c>
      <c r="H476" s="95" t="n">
        <v>73.31245254859168</v>
      </c>
      <c r="I476" s="376" t="n">
        <v>101.1750932312012</v>
      </c>
      <c r="J476" s="376" t="n">
        <v>106.429035987854</v>
      </c>
      <c r="K476" s="94" t="n">
        <v>0.1747040979729937</v>
      </c>
      <c r="L476" s="94" t="n">
        <v>-0.06231835489084681</v>
      </c>
      <c r="M476" s="94" t="n">
        <v>-0.1837222806100741</v>
      </c>
      <c r="N476" t="n">
        <v>41.27637394005036</v>
      </c>
      <c r="O476" t="n">
        <v>-0.2126060950875209</v>
      </c>
      <c r="P476" s="143">
        <f>MAX($E$2:E476)</f>
        <v/>
      </c>
      <c r="Q476" s="144">
        <f>E476/P476-1</f>
        <v/>
      </c>
      <c r="R476" s="94" t="n">
        <v>-0.007338309955941202</v>
      </c>
    </row>
    <row r="477">
      <c r="A477" s="375" t="n">
        <v>45155</v>
      </c>
      <c r="B477" s="376" t="n">
        <v>99.86567700333735</v>
      </c>
      <c r="C477" s="376" t="n">
        <v>100.237513762816</v>
      </c>
      <c r="D477" s="376" t="n">
        <v>97.40226645051224</v>
      </c>
      <c r="E477" s="376" t="n">
        <v>97.65325927734375</v>
      </c>
      <c r="F477" s="93" t="n">
        <v>5692800</v>
      </c>
      <c r="G477" s="94" t="n">
        <v>-0.01389282659020818</v>
      </c>
      <c r="H477" s="95" t="n">
        <v>72.29393535843123</v>
      </c>
      <c r="I477" s="376" t="n">
        <v>101.1538986206055</v>
      </c>
      <c r="J477" s="376" t="n">
        <v>106.4851790237427</v>
      </c>
      <c r="K477" s="94" t="n">
        <v>0.1651476769255217</v>
      </c>
      <c r="L477" s="94" t="n">
        <v>-0.07534540338316942</v>
      </c>
      <c r="M477" s="94" t="n">
        <v>-0.195062685415009</v>
      </c>
      <c r="N477" t="n">
        <v>36.76160517897052</v>
      </c>
      <c r="O477" t="n">
        <v>-0.3286899964142306</v>
      </c>
      <c r="P477" s="143">
        <f>MAX($E$2:E477)</f>
        <v/>
      </c>
      <c r="Q477" s="144">
        <f>E477/P477-1</f>
        <v/>
      </c>
      <c r="R477" s="94" t="n">
        <v>-0.007620086645475976</v>
      </c>
    </row>
    <row r="478">
      <c r="A478" s="375" t="n">
        <v>45156</v>
      </c>
      <c r="B478" s="376" t="n">
        <v>96.51914516371883</v>
      </c>
      <c r="C478" s="376" t="n">
        <v>97.65324391017325</v>
      </c>
      <c r="D478" s="376" t="n">
        <v>96.45407427296465</v>
      </c>
      <c r="E478" s="376" t="n">
        <v>97.43013763427734</v>
      </c>
      <c r="F478" s="93" t="n">
        <v>5836100</v>
      </c>
      <c r="G478" s="94" t="n">
        <v>-0.002284835598090229</v>
      </c>
      <c r="H478" s="95" t="n">
        <v>72.12875560139825</v>
      </c>
      <c r="I478" s="376" t="n">
        <v>101.1115090942383</v>
      </c>
      <c r="J478" s="376" t="n">
        <v>106.5455027008057</v>
      </c>
      <c r="K478" s="94" t="n">
        <v>0.1548831917722825</v>
      </c>
      <c r="L478" s="94" t="n">
        <v>-0.0774580871214573</v>
      </c>
      <c r="M478" s="94" t="n">
        <v>-0.1969018348456039</v>
      </c>
      <c r="N478" t="n">
        <v>36.07250335619408</v>
      </c>
      <c r="O478" t="n">
        <v>-0.3958012789215591</v>
      </c>
      <c r="P478" s="143">
        <f>MAX($E$2:E478)</f>
        <v/>
      </c>
      <c r="Q478" s="144">
        <f>E478/P478-1</f>
        <v/>
      </c>
      <c r="R478" s="94" t="n">
        <v>0.000481477281478071</v>
      </c>
    </row>
    <row r="479">
      <c r="A479" s="375" t="n">
        <v>45159</v>
      </c>
      <c r="B479" s="376" t="n">
        <v>98.04367277231779</v>
      </c>
      <c r="C479" s="376" t="n">
        <v>98.05297064052917</v>
      </c>
      <c r="D479" s="376" t="n">
        <v>95.4036384837249</v>
      </c>
      <c r="E479" s="376" t="n">
        <v>95.61744689941406</v>
      </c>
      <c r="F479" s="93" t="n">
        <v>6697600</v>
      </c>
      <c r="G479" s="94" t="n">
        <v>-0.01860503103944655</v>
      </c>
      <c r="H479" s="95" t="n">
        <v>70.78679786459759</v>
      </c>
      <c r="I479" s="376" t="n">
        <v>101.0494123840332</v>
      </c>
      <c r="J479" s="376" t="n">
        <v>106.5917430877685</v>
      </c>
      <c r="K479" s="94" t="n">
        <v>0.1658212495547047</v>
      </c>
      <c r="L479" s="94" t="n">
        <v>-0.09462200804575294</v>
      </c>
      <c r="M479" s="94" t="n">
        <v>-0.211843501136024</v>
      </c>
      <c r="N479" t="n">
        <v>30.99000469163923</v>
      </c>
      <c r="O479" t="n">
        <v>-0.5292398631231938</v>
      </c>
      <c r="P479" s="143">
        <f>MAX($E$2:E479)</f>
        <v/>
      </c>
      <c r="Q479" s="144">
        <f>E479/P479-1</f>
        <v/>
      </c>
      <c r="R479" s="94" t="n">
        <v>0.006506236440642299</v>
      </c>
    </row>
    <row r="480">
      <c r="A480" s="375" t="n">
        <v>45160</v>
      </c>
      <c r="B480" s="376" t="n">
        <v>93.85123823826677</v>
      </c>
      <c r="C480" s="376" t="n">
        <v>95.16196120587233</v>
      </c>
      <c r="D480" s="376" t="n">
        <v>93.6374368910521</v>
      </c>
      <c r="E480" s="376" t="n">
        <v>94.31603240966797</v>
      </c>
      <c r="F480" s="93" t="n">
        <v>9814700</v>
      </c>
      <c r="G480" s="94" t="n">
        <v>-0.01361063835050036</v>
      </c>
      <c r="H480" s="95" t="n">
        <v>69.82334435887257</v>
      </c>
      <c r="I480" s="376" t="n">
        <v>100.967608795166</v>
      </c>
      <c r="J480" s="376" t="n">
        <v>106.6474569702148</v>
      </c>
      <c r="K480" s="94" t="n">
        <v>0.1702181458052463</v>
      </c>
      <c r="L480" s="94" t="n">
        <v>-0.1069447804647444</v>
      </c>
      <c r="M480" s="94" t="n">
        <v>-0.2225708142056582</v>
      </c>
      <c r="N480" t="n">
        <v>27.94567172863664</v>
      </c>
      <c r="O480" t="n">
        <v>-0.663421343741708</v>
      </c>
      <c r="P480" s="143">
        <f>MAX($E$2:E480)</f>
        <v/>
      </c>
      <c r="Q480" s="144">
        <f>E480/P480-1</f>
        <v/>
      </c>
      <c r="R480" s="94" t="n">
        <v>-0.002708634968395018</v>
      </c>
    </row>
    <row r="481">
      <c r="A481" s="375" t="n">
        <v>45161</v>
      </c>
      <c r="B481" s="376" t="n">
        <v>90.15148380718877</v>
      </c>
      <c r="C481" s="376" t="n">
        <v>92.20587326667825</v>
      </c>
      <c r="D481" s="376" t="n">
        <v>89.7517605219001</v>
      </c>
      <c r="E481" s="376" t="n">
        <v>91.79685211181641</v>
      </c>
      <c r="F481" s="93" t="n">
        <v>20909100</v>
      </c>
      <c r="G481" s="94" t="n">
        <v>-0.026709990162747</v>
      </c>
      <c r="H481" s="95" t="n">
        <v>67.95836351791699</v>
      </c>
      <c r="I481" s="376" t="n">
        <v>100.8173870849609</v>
      </c>
      <c r="J481" s="376" t="n">
        <v>106.690114440918</v>
      </c>
      <c r="K481" s="94" t="n">
        <v>0.182745390043807</v>
      </c>
      <c r="L481" s="94" t="n">
        <v>-0.130798276593321</v>
      </c>
      <c r="M481" s="94" t="n">
        <v>-0.2433359401104574</v>
      </c>
      <c r="N481" t="n">
        <v>23.19556143589502</v>
      </c>
      <c r="O481" t="n">
        <v>-0.867237340015178</v>
      </c>
      <c r="P481" s="143">
        <f>MAX($E$2:E481)</f>
        <v/>
      </c>
      <c r="Q481" s="144">
        <f>E481/P481-1</f>
        <v/>
      </c>
      <c r="R481" s="94" t="n">
        <v>0.01113778333947812</v>
      </c>
    </row>
    <row r="482">
      <c r="A482" s="375" t="n">
        <v>45162</v>
      </c>
      <c r="B482" s="376" t="n">
        <v>91.75037373701119</v>
      </c>
      <c r="C482" s="376" t="n">
        <v>92.20587716680934</v>
      </c>
      <c r="D482" s="376" t="n">
        <v>90.69064351113228</v>
      </c>
      <c r="E482" s="376" t="n">
        <v>90.75571441650391</v>
      </c>
      <c r="F482" s="93" t="n">
        <v>10310000</v>
      </c>
      <c r="G482" s="94" t="n">
        <v>-0.01134175814704741</v>
      </c>
      <c r="H482" s="95" t="n">
        <v>67.18759619482763</v>
      </c>
      <c r="I482" s="376" t="n">
        <v>100.647272644043</v>
      </c>
      <c r="J482" s="376" t="n">
        <v>106.7027432632446</v>
      </c>
      <c r="K482" s="94" t="n">
        <v>0.1806028407825568</v>
      </c>
      <c r="L482" s="94" t="n">
        <v>-0.1406565523211964</v>
      </c>
      <c r="M482" s="94" t="n">
        <v>-0.2519178408762877</v>
      </c>
      <c r="N482" t="n">
        <v>21.56417938608205</v>
      </c>
      <c r="O482" t="n">
        <v>-1.007712695102837</v>
      </c>
      <c r="P482" s="143">
        <f>MAX($E$2:E482)</f>
        <v/>
      </c>
      <c r="Q482" s="144">
        <f>E482/P482-1</f>
        <v/>
      </c>
      <c r="R482" s="94" t="n">
        <v>-0.01385893828730156</v>
      </c>
    </row>
    <row r="483">
      <c r="A483" s="375" t="n">
        <v>45163</v>
      </c>
      <c r="B483" s="376" t="n">
        <v>91.56444418731816</v>
      </c>
      <c r="C483" s="376" t="n">
        <v>92.11289785992231</v>
      </c>
      <c r="D483" s="376" t="n">
        <v>90.9230260143714</v>
      </c>
      <c r="E483" s="376" t="n">
        <v>91.88050079345703</v>
      </c>
      <c r="F483" s="93" t="n">
        <v>7290600</v>
      </c>
      <c r="G483" s="94" t="n">
        <v>0.01239355983460344</v>
      </c>
      <c r="H483" s="95" t="n">
        <v>68.02028968841141</v>
      </c>
      <c r="I483" s="376" t="n">
        <v>100.3866159057617</v>
      </c>
      <c r="J483" s="376" t="n">
        <v>106.7318186187744</v>
      </c>
      <c r="K483" s="94" t="n">
        <v>0.1845809952498618</v>
      </c>
      <c r="L483" s="94" t="n">
        <v>-0.1300062278839148</v>
      </c>
      <c r="M483" s="94" t="n">
        <v>-0.2426464398759886</v>
      </c>
      <c r="N483" t="n">
        <v>27.49690037901249</v>
      </c>
      <c r="O483" t="n">
        <v>-0.960602417799258</v>
      </c>
      <c r="P483" s="143">
        <f>MAX($E$2:E483)</f>
        <v/>
      </c>
      <c r="Q483" s="144">
        <f>E483/P483-1</f>
        <v/>
      </c>
      <c r="R483" s="94" t="n">
        <v>0.007049640845410376</v>
      </c>
    </row>
    <row r="484">
      <c r="A484" s="375" t="n">
        <v>45166</v>
      </c>
      <c r="B484" s="376" t="n">
        <v>92.57769903832379</v>
      </c>
      <c r="C484" s="376" t="n">
        <v>93.01460669127992</v>
      </c>
      <c r="D484" s="376" t="n">
        <v>91.90840139341235</v>
      </c>
      <c r="E484" s="376" t="n">
        <v>92.61488342285156</v>
      </c>
      <c r="F484" s="93" t="n">
        <v>6006600</v>
      </c>
      <c r="G484" s="94" t="n">
        <v>0.007992801770262403</v>
      </c>
      <c r="H484" s="95" t="n">
        <v>68.56396238024671</v>
      </c>
      <c r="I484" s="376" t="n">
        <v>100.1490127563477</v>
      </c>
      <c r="J484" s="376" t="n">
        <v>106.7631382369995</v>
      </c>
      <c r="K484" s="94" t="n">
        <v>0.1741480629915137</v>
      </c>
      <c r="L484" s="94" t="n">
        <v>-0.123052540122028</v>
      </c>
      <c r="M484" s="94" t="n">
        <v>-0.2365930629999149</v>
      </c>
      <c r="N484" t="n">
        <v>31.15814763420065</v>
      </c>
      <c r="O484" t="n">
        <v>-0.821111946727541</v>
      </c>
      <c r="P484" s="143">
        <f>MAX($E$2:E484)</f>
        <v/>
      </c>
      <c r="Q484" s="144">
        <f>E484/P484-1</f>
        <v/>
      </c>
      <c r="R484" s="94" t="n">
        <v>0.00634131638504698</v>
      </c>
    </row>
    <row r="485">
      <c r="A485" s="375" t="n">
        <v>45167</v>
      </c>
      <c r="B485" s="376" t="n">
        <v>92.9867280431743</v>
      </c>
      <c r="C485" s="376" t="n">
        <v>94.9667559066727</v>
      </c>
      <c r="D485" s="376" t="n">
        <v>92.69855790394831</v>
      </c>
      <c r="E485" s="376" t="n">
        <v>94.60420989990234</v>
      </c>
      <c r="F485" s="93" t="n">
        <v>8641600</v>
      </c>
      <c r="G485" s="94" t="n">
        <v>0.0214795549433251</v>
      </c>
      <c r="H485" s="95" t="n">
        <v>70.03668577732527</v>
      </c>
      <c r="I485" s="376" t="n">
        <v>99.92925827026367</v>
      </c>
      <c r="J485" s="376" t="n">
        <v>106.812003326416</v>
      </c>
      <c r="K485" s="94" t="n">
        <v>0.1971037601003901</v>
      </c>
      <c r="L485" s="94" t="n">
        <v>-0.1042160989751699</v>
      </c>
      <c r="M485" s="94" t="n">
        <v>-0.2201954217525061</v>
      </c>
      <c r="N485" t="n">
        <v>39.9973178977413</v>
      </c>
      <c r="O485" t="n">
        <v>-0.5490726160941219</v>
      </c>
      <c r="P485" s="143">
        <f>MAX($E$2:E485)</f>
        <v/>
      </c>
      <c r="Q485" s="144">
        <f>E485/P485-1</f>
        <v/>
      </c>
      <c r="R485" s="94" t="n">
        <v>0.01445479393891147</v>
      </c>
    </row>
    <row r="486">
      <c r="A486" s="375" t="n">
        <v>45168</v>
      </c>
      <c r="B486" s="376" t="n">
        <v>94.48337038462697</v>
      </c>
      <c r="C486" s="376" t="n">
        <v>95.57098717929073</v>
      </c>
      <c r="D486" s="376" t="n">
        <v>94.36252643817448</v>
      </c>
      <c r="E486" s="376" t="n">
        <v>94.91098022460938</v>
      </c>
      <c r="F486" s="93" t="n">
        <v>4822100</v>
      </c>
      <c r="G486" s="94" t="n">
        <v>0.003242670966034256</v>
      </c>
      <c r="H486" s="95" t="n">
        <v>70.26379170485268</v>
      </c>
      <c r="I486" s="376" t="n">
        <v>99.7909358215332</v>
      </c>
      <c r="J486" s="376" t="n">
        <v>106.8283684921265</v>
      </c>
      <c r="K486" s="94" t="n">
        <v>0.1915086361196762</v>
      </c>
      <c r="L486" s="94" t="n">
        <v>-0.1013113665274757</v>
      </c>
      <c r="M486" s="94" t="n">
        <v>-0.2176667720874423</v>
      </c>
      <c r="N486" t="n">
        <v>41.2500506015611</v>
      </c>
      <c r="O486" t="n">
        <v>-0.3143403347476348</v>
      </c>
      <c r="P486" s="143">
        <f>MAX($E$2:E486)</f>
        <v/>
      </c>
      <c r="Q486" s="144">
        <f>E486/P486-1</f>
        <v/>
      </c>
      <c r="R486" s="94" t="n">
        <v>0.004118776472331609</v>
      </c>
    </row>
    <row r="487">
      <c r="A487" s="375" t="n">
        <v>45169</v>
      </c>
      <c r="B487" s="376" t="n">
        <v>95.39436020969811</v>
      </c>
      <c r="C487" s="376" t="n">
        <v>95.64534594673506</v>
      </c>
      <c r="D487" s="376" t="n">
        <v>94.45547397877425</v>
      </c>
      <c r="E487" s="376" t="n">
        <v>94.54843139648438</v>
      </c>
      <c r="F487" s="93" t="n">
        <v>7046200</v>
      </c>
      <c r="G487" s="94" t="n">
        <v>-0.003819882876217484</v>
      </c>
      <c r="H487" s="95" t="n">
        <v>69.99539225010119</v>
      </c>
      <c r="I487" s="376" t="n">
        <v>99.63718215942383</v>
      </c>
      <c r="J487" s="376" t="n">
        <v>106.8125254440308</v>
      </c>
      <c r="K487" s="94" t="n">
        <v>0.1852401292099184</v>
      </c>
      <c r="L487" s="94" t="n">
        <v>-0.1047442518495288</v>
      </c>
      <c r="M487" s="94" t="n">
        <v>-0.2206551933882415</v>
      </c>
      <c r="N487" t="n">
        <v>40.1823226041729</v>
      </c>
      <c r="O487" t="n">
        <v>-0.1572943826761908</v>
      </c>
      <c r="P487" s="143">
        <f>MAX($E$2:E487)</f>
        <v/>
      </c>
      <c r="Q487" s="144">
        <f>E487/P487-1</f>
        <v/>
      </c>
      <c r="R487" s="94" t="n">
        <v>-0.001463333301883529</v>
      </c>
    </row>
    <row r="488">
      <c r="A488" s="375" t="n">
        <v>45170</v>
      </c>
      <c r="B488" s="376" t="n">
        <v>95.10806213048312</v>
      </c>
      <c r="C488" s="376" t="n">
        <v>96.03143937093883</v>
      </c>
      <c r="D488" s="376" t="n">
        <v>94.68834002774194</v>
      </c>
      <c r="E488" s="376" t="n">
        <v>95.47181701660156</v>
      </c>
      <c r="F488" s="93" t="n">
        <v>6359400</v>
      </c>
      <c r="G488" s="94" t="n">
        <v>0.009766271174241004</v>
      </c>
      <c r="H488" s="95" t="n">
        <v>70.67898623176305</v>
      </c>
      <c r="I488" s="376" t="n">
        <v>99.49297225952148</v>
      </c>
      <c r="J488" s="376" t="n">
        <v>106.8091284561157</v>
      </c>
      <c r="K488" s="94" t="n">
        <v>0.190272429132404</v>
      </c>
      <c r="L488" s="94" t="n">
        <v>-0.09600094144279336</v>
      </c>
      <c r="M488" s="94" t="n">
        <v>-0.2130439006686345</v>
      </c>
      <c r="N488" t="n">
        <v>44.14764855181587</v>
      </c>
      <c r="O488" t="n">
        <v>0.02525051295122638</v>
      </c>
      <c r="P488" s="143">
        <f>MAX($E$2:E488)</f>
        <v/>
      </c>
      <c r="Q488" s="144">
        <f>E488/P488-1</f>
        <v/>
      </c>
      <c r="R488" s="94" t="n">
        <v>0.001865358673272643</v>
      </c>
    </row>
    <row r="489">
      <c r="A489" s="375" t="n">
        <v>45174</v>
      </c>
      <c r="B489" s="376" t="n">
        <v>94.66967775010127</v>
      </c>
      <c r="C489" s="376" t="n">
        <v>95.0987217411591</v>
      </c>
      <c r="D489" s="376" t="n">
        <v>93.48514402652683</v>
      </c>
      <c r="E489" s="376" t="n">
        <v>93.56908416748047</v>
      </c>
      <c r="F489" s="93" t="n">
        <v>6698700</v>
      </c>
      <c r="G489" s="94" t="n">
        <v>-0.01992978565381476</v>
      </c>
      <c r="H489" s="95" t="n">
        <v>69.27036918593508</v>
      </c>
      <c r="I489" s="376" t="n">
        <v>99.32818359375</v>
      </c>
      <c r="J489" s="376" t="n">
        <v>106.7855332946777</v>
      </c>
      <c r="K489" s="94" t="n">
        <v>0.1867817579409618</v>
      </c>
      <c r="L489" s="94" t="n">
        <v>-0.1140174489110889</v>
      </c>
      <c r="M489" s="94" t="n">
        <v>-0.2287277670472708</v>
      </c>
      <c r="N489" t="n">
        <v>38.48612947981371</v>
      </c>
      <c r="O489" t="n">
        <v>0.03379451792755672</v>
      </c>
      <c r="P489" s="143">
        <f>MAX($E$2:E489)</f>
        <v/>
      </c>
      <c r="Q489" s="144">
        <f>E489/P489-1</f>
        <v/>
      </c>
      <c r="R489" s="94" t="n">
        <v>-0.004322018229361846</v>
      </c>
    </row>
    <row r="490">
      <c r="A490" s="375" t="n">
        <v>45175</v>
      </c>
      <c r="B490" s="376" t="n">
        <v>93.04677218525812</v>
      </c>
      <c r="C490" s="376" t="n">
        <v>93.55975632390806</v>
      </c>
      <c r="D490" s="376" t="n">
        <v>92.36589353056124</v>
      </c>
      <c r="E490" s="376" t="n">
        <v>93.43850708007812</v>
      </c>
      <c r="F490" s="93" t="n">
        <v>6096000</v>
      </c>
      <c r="G490" s="94" t="n">
        <v>-0.001395515287598847</v>
      </c>
      <c r="H490" s="95" t="n">
        <v>69.17370132675849</v>
      </c>
      <c r="I490" s="376" t="n">
        <v>99.11950973510743</v>
      </c>
      <c r="J490" s="376" t="n">
        <v>106.7681011581421</v>
      </c>
      <c r="K490" s="94" t="n">
        <v>0.1868481143518423</v>
      </c>
      <c r="L490" s="94" t="n">
        <v>-0.1152538511056793</v>
      </c>
      <c r="M490" s="94" t="n">
        <v>-0.2298040892392569</v>
      </c>
      <c r="N490" t="n">
        <v>38.12479718054121</v>
      </c>
      <c r="O490" t="n">
        <v>0.04584806083367665</v>
      </c>
      <c r="P490" s="143">
        <f>MAX($E$2:E490)</f>
        <v/>
      </c>
      <c r="Q490" s="144">
        <f>E490/P490-1</f>
        <v/>
      </c>
      <c r="R490" s="94" t="n">
        <v>-0.006722383040254631</v>
      </c>
    </row>
    <row r="491">
      <c r="A491" s="375" t="n">
        <v>45176</v>
      </c>
      <c r="B491" s="376" t="n">
        <v>91.64771480315045</v>
      </c>
      <c r="C491" s="376" t="n">
        <v>92.11406791128537</v>
      </c>
      <c r="D491" s="376" t="n">
        <v>91.069434387309</v>
      </c>
      <c r="E491" s="376" t="n">
        <v>91.33992004394531</v>
      </c>
      <c r="F491" s="93" t="n">
        <v>9927100</v>
      </c>
      <c r="G491" s="94" t="n">
        <v>-0.0224595522950114</v>
      </c>
      <c r="H491" s="95" t="n">
        <v>67.62009096437066</v>
      </c>
      <c r="I491" s="376" t="n">
        <v>98.83409759521484</v>
      </c>
      <c r="J491" s="376" t="n">
        <v>106.7395774459839</v>
      </c>
      <c r="K491" s="94" t="n">
        <v>0.1967518138940053</v>
      </c>
      <c r="L491" s="94" t="n">
        <v>-0.1351248535045811</v>
      </c>
      <c r="M491" s="94" t="n">
        <v>-0.2471023445743917</v>
      </c>
      <c r="N491" t="n">
        <v>32.79558911477498</v>
      </c>
      <c r="O491" t="n">
        <v>-0.06622884681618202</v>
      </c>
      <c r="P491" s="143">
        <f>MAX($E$2:E491)</f>
        <v/>
      </c>
      <c r="Q491" s="144">
        <f>E491/P491-1</f>
        <v/>
      </c>
      <c r="R491" s="94" t="n">
        <v>-0.003070311434179129</v>
      </c>
    </row>
    <row r="492">
      <c r="A492" s="375" t="n">
        <v>45177</v>
      </c>
      <c r="B492" s="376" t="n">
        <v>91.49848371975415</v>
      </c>
      <c r="C492" s="376" t="n">
        <v>91.52646376931379</v>
      </c>
      <c r="D492" s="376" t="n">
        <v>90.73366486252583</v>
      </c>
      <c r="E492" s="376" t="n">
        <v>91.09741973876953</v>
      </c>
      <c r="F492" s="93" t="n">
        <v>6435000</v>
      </c>
      <c r="G492" s="94" t="n">
        <v>-0.002654921364712237</v>
      </c>
      <c r="H492" s="95" t="n">
        <v>67.44056494018557</v>
      </c>
      <c r="I492" s="376" t="n">
        <v>98.55461868286133</v>
      </c>
      <c r="J492" s="376" t="n">
        <v>106.7095648956299</v>
      </c>
      <c r="K492" s="94" t="n">
        <v>0.1969770717309682</v>
      </c>
      <c r="L492" s="94" t="n">
        <v>-0.1374210290088206</v>
      </c>
      <c r="M492" s="94" t="n">
        <v>-0.249101228645223</v>
      </c>
      <c r="N492" t="n">
        <v>32.23486278750097</v>
      </c>
      <c r="O492" t="n">
        <v>-0.1316309914195197</v>
      </c>
      <c r="P492" s="143">
        <f>MAX($E$2:E492)</f>
        <v/>
      </c>
      <c r="Q492" s="144">
        <f>E492/P492-1</f>
        <v/>
      </c>
      <c r="R492" s="94" t="n">
        <v>0.00150601141047968</v>
      </c>
    </row>
    <row r="493">
      <c r="A493" s="375" t="n">
        <v>45180</v>
      </c>
      <c r="B493" s="376" t="n">
        <v>91.71301037321714</v>
      </c>
      <c r="C493" s="376" t="n">
        <v>91.75964141770442</v>
      </c>
      <c r="D493" s="376" t="n">
        <v>90.0807743804945</v>
      </c>
      <c r="E493" s="376" t="n">
        <v>90.27664184570312</v>
      </c>
      <c r="F493" s="93" t="n">
        <v>7584700</v>
      </c>
      <c r="G493" s="94" t="n">
        <v>-0.009009891777616352</v>
      </c>
      <c r="H493" s="95" t="n">
        <v>66.83293274865318</v>
      </c>
      <c r="I493" s="376" t="n">
        <v>98.25240264892578</v>
      </c>
      <c r="J493" s="376" t="n">
        <v>106.6827709579468</v>
      </c>
      <c r="K493" s="94" t="n">
        <v>0.1970701671113316</v>
      </c>
      <c r="L493" s="94" t="n">
        <v>-0.1451927721870988</v>
      </c>
      <c r="M493" s="94" t="n">
        <v>-0.2558667453110747</v>
      </c>
      <c r="N493" t="n">
        <v>30.34380994375012</v>
      </c>
      <c r="O493" t="n">
        <v>-0.2009541213353196</v>
      </c>
      <c r="P493" s="143">
        <f>MAX($E$2:E493)</f>
        <v/>
      </c>
      <c r="Q493" s="144">
        <f>E493/P493-1</f>
        <v/>
      </c>
      <c r="R493" s="94" t="n">
        <v>0.006576655694882083</v>
      </c>
    </row>
    <row r="494">
      <c r="A494" s="375" t="n">
        <v>45181</v>
      </c>
      <c r="B494" s="376" t="n">
        <v>90.46318072383279</v>
      </c>
      <c r="C494" s="376" t="n">
        <v>90.63106814002114</v>
      </c>
      <c r="D494" s="376" t="n">
        <v>89.70769090897734</v>
      </c>
      <c r="E494" s="376" t="n">
        <v>89.81961822509766</v>
      </c>
      <c r="F494" s="93" t="n">
        <v>6307700</v>
      </c>
      <c r="G494" s="94" t="n">
        <v>-0.005062479189097413</v>
      </c>
      <c r="H494" s="95" t="n">
        <v>66.49459241746678</v>
      </c>
      <c r="I494" s="376" t="n">
        <v>97.99682159423828</v>
      </c>
      <c r="J494" s="376" t="n">
        <v>106.64383644104</v>
      </c>
      <c r="K494" s="94" t="n">
        <v>0.1970292720942805</v>
      </c>
      <c r="L494" s="94" t="n">
        <v>-0.1495202159885917</v>
      </c>
      <c r="M494" s="94" t="n">
        <v>-0.2596339044268526</v>
      </c>
      <c r="N494" t="n">
        <v>29.31263952556243</v>
      </c>
      <c r="O494" t="n">
        <v>-0.2454288528981277</v>
      </c>
      <c r="P494" s="143">
        <f>MAX($E$2:E494)</f>
        <v/>
      </c>
      <c r="Q494" s="144">
        <f>E494/P494-1</f>
        <v/>
      </c>
      <c r="R494" s="94" t="n">
        <v>-0.005485455170274323</v>
      </c>
    </row>
    <row r="495">
      <c r="A495" s="375" t="n">
        <v>45182</v>
      </c>
      <c r="B495" s="376" t="n">
        <v>89.81962200205561</v>
      </c>
      <c r="C495" s="376" t="n">
        <v>90.65905200231154</v>
      </c>
      <c r="D495" s="376" t="n">
        <v>89.22269052294783</v>
      </c>
      <c r="E495" s="376" t="n">
        <v>89.66105651855469</v>
      </c>
      <c r="F495" s="93" t="n">
        <v>7140700</v>
      </c>
      <c r="G495" s="94" t="n">
        <v>-0.001765334897612214</v>
      </c>
      <c r="H495" s="95" t="n">
        <v>66.37720719296972</v>
      </c>
      <c r="I495" s="376" t="n">
        <v>97.76149505615234</v>
      </c>
      <c r="J495" s="376" t="n">
        <v>106.6009775161743</v>
      </c>
      <c r="K495" s="94" t="n">
        <v>0.1965536135823542</v>
      </c>
      <c r="L495" s="94" t="n">
        <v>-0.1510215976310207</v>
      </c>
      <c r="M495" s="94" t="n">
        <v>-0.2609408985323768</v>
      </c>
      <c r="N495" t="n">
        <v>28.94512031631599</v>
      </c>
      <c r="O495" t="n">
        <v>-0.2523911267522845</v>
      </c>
      <c r="P495" s="143">
        <f>MAX($E$2:E495)</f>
        <v/>
      </c>
      <c r="Q495" s="144">
        <f>E495/P495-1</f>
        <v/>
      </c>
      <c r="R495" s="94" t="n">
        <v>0.001165871784293726</v>
      </c>
    </row>
    <row r="496">
      <c r="A496" s="375" t="n">
        <v>45183</v>
      </c>
      <c r="B496" s="376" t="n">
        <v>90.21133858653548</v>
      </c>
      <c r="C496" s="376" t="n">
        <v>91.10673562292003</v>
      </c>
      <c r="D496" s="376" t="n">
        <v>89.44651983987474</v>
      </c>
      <c r="E496" s="376" t="n">
        <v>90.64971160888672</v>
      </c>
      <c r="F496" s="93" t="n">
        <v>7075300</v>
      </c>
      <c r="G496" s="94" t="n">
        <v>0.01102658309772919</v>
      </c>
      <c r="H496" s="95" t="n">
        <v>67.10912098387819</v>
      </c>
      <c r="I496" s="376" t="n">
        <v>97.58331100463867</v>
      </c>
      <c r="J496" s="376" t="n">
        <v>106.5662395477295</v>
      </c>
      <c r="K496" s="94" t="n">
        <v>0.2040037394293837</v>
      </c>
      <c r="L496" s="94" t="n">
        <v>-0.1416602667291219</v>
      </c>
      <c r="M496" s="94" t="n">
        <v>-0.252791601935911</v>
      </c>
      <c r="N496" t="n">
        <v>34.46265578176232</v>
      </c>
      <c r="O496" t="n">
        <v>-0.1616883986514139</v>
      </c>
      <c r="P496" s="143">
        <f>MAX($E$2:E496)</f>
        <v/>
      </c>
      <c r="Q496" s="144">
        <f>E496/P496-1</f>
        <v/>
      </c>
      <c r="R496" s="94" t="n">
        <v>0.008622411242603656</v>
      </c>
    </row>
    <row r="497">
      <c r="A497" s="375" t="n">
        <v>45184</v>
      </c>
      <c r="B497" s="376" t="n">
        <v>91.5451403830331</v>
      </c>
      <c r="C497" s="376" t="n">
        <v>91.5451403830331</v>
      </c>
      <c r="D497" s="376" t="n">
        <v>89.66106935071625</v>
      </c>
      <c r="E497" s="376" t="n">
        <v>89.78232574462891</v>
      </c>
      <c r="F497" s="93" t="n">
        <v>10467300</v>
      </c>
      <c r="G497" s="94" t="n">
        <v>-0.009568545215016266</v>
      </c>
      <c r="H497" s="95" t="n">
        <v>66.46698432540396</v>
      </c>
      <c r="I497" s="376" t="n">
        <v>97.42496276855469</v>
      </c>
      <c r="J497" s="376" t="n">
        <v>106.5317700576782</v>
      </c>
      <c r="K497" s="94" t="n">
        <v>0.2018822623356562</v>
      </c>
      <c r="L497" s="94" t="n">
        <v>-0.1498733292767692</v>
      </c>
      <c r="M497" s="94" t="n">
        <v>-0.2599412992778271</v>
      </c>
      <c r="N497" t="n">
        <v>32.10704376158151</v>
      </c>
      <c r="O497" t="n">
        <v>-0.1326056034019243</v>
      </c>
      <c r="P497" s="143">
        <f>MAX($E$2:E497)</f>
        <v/>
      </c>
      <c r="Q497" s="144">
        <f>E497/P497-1</f>
        <v/>
      </c>
      <c r="R497" s="94" t="n">
        <v>-0.01204826838004525</v>
      </c>
    </row>
    <row r="498">
      <c r="A498" s="375" t="n">
        <v>45187</v>
      </c>
      <c r="B498" s="376" t="n">
        <v>89.53979534754723</v>
      </c>
      <c r="C498" s="376" t="n">
        <v>89.88489920386999</v>
      </c>
      <c r="D498" s="376" t="n">
        <v>88.86824574388325</v>
      </c>
      <c r="E498" s="376" t="n">
        <v>89.08277130126953</v>
      </c>
      <c r="F498" s="93" t="n">
        <v>6946300</v>
      </c>
      <c r="G498" s="94" t="n">
        <v>-0.007791672108708125</v>
      </c>
      <c r="H498" s="95" t="n">
        <v>65.94909537748576</v>
      </c>
      <c r="I498" s="376" t="n">
        <v>97.26452224731446</v>
      </c>
      <c r="J498" s="376" t="n">
        <v>106.4878618621826</v>
      </c>
      <c r="K498" s="94" t="n">
        <v>0.2021659729170649</v>
      </c>
      <c r="L498" s="94" t="n">
        <v>-0.1564972375459124</v>
      </c>
      <c r="M498" s="94" t="n">
        <v>-0.2657075940150508</v>
      </c>
      <c r="N498" t="n">
        <v>30.30774802835893</v>
      </c>
      <c r="O498" t="n">
        <v>-0.1326567122807862</v>
      </c>
      <c r="P498" s="143">
        <f>MAX($E$2:E498)</f>
        <v/>
      </c>
      <c r="Q498" s="144">
        <f>E498/P498-1</f>
        <v/>
      </c>
      <c r="R498" s="94" t="n">
        <v>0.0005863179581946376</v>
      </c>
    </row>
    <row r="499">
      <c r="A499" s="375" t="n">
        <v>45188</v>
      </c>
      <c r="B499" s="376" t="n">
        <v>88.64439755242705</v>
      </c>
      <c r="C499" s="376" t="n">
        <v>89.06411249343188</v>
      </c>
      <c r="D499" s="376" t="n">
        <v>88.05679521182358</v>
      </c>
      <c r="E499" s="376" t="n">
        <v>88.25266265869141</v>
      </c>
      <c r="F499" s="93" t="n">
        <v>9386600</v>
      </c>
      <c r="G499" s="94" t="n">
        <v>-0.009318397154156499</v>
      </c>
      <c r="H499" s="95" t="n">
        <v>65.33455551480101</v>
      </c>
      <c r="I499" s="376" t="n">
        <v>97.06293869018555</v>
      </c>
      <c r="J499" s="376" t="n">
        <v>106.4239604949951</v>
      </c>
      <c r="K499" s="94" t="n">
        <v>0.1961027311691279</v>
      </c>
      <c r="L499" s="94" t="n">
        <v>-0.1643573312870875</v>
      </c>
      <c r="M499" s="94" t="n">
        <v>-0.2725500222812998</v>
      </c>
      <c r="N499" t="n">
        <v>28.28232632895246</v>
      </c>
      <c r="O499" t="n">
        <v>-0.158995021152653</v>
      </c>
      <c r="P499" s="143">
        <f>MAX($E$2:E499)</f>
        <v/>
      </c>
      <c r="Q499" s="144">
        <f>E499/P499-1</f>
        <v/>
      </c>
      <c r="R499" s="94" t="n">
        <v>-0.002073700242464338</v>
      </c>
    </row>
    <row r="500">
      <c r="A500" s="375" t="n">
        <v>45189</v>
      </c>
      <c r="B500" s="376" t="n">
        <v>87.64641128373746</v>
      </c>
      <c r="C500" s="376" t="n">
        <v>88.98018156420112</v>
      </c>
      <c r="D500" s="376" t="n">
        <v>87.51583297230614</v>
      </c>
      <c r="E500" s="376" t="n">
        <v>87.71170043945312</v>
      </c>
      <c r="F500" s="93" t="n">
        <v>10274200</v>
      </c>
      <c r="G500" s="94" t="n">
        <v>-0.006129698560262131</v>
      </c>
      <c r="H500" s="95" t="n">
        <v>64.93407438392657</v>
      </c>
      <c r="I500" s="376" t="n">
        <v>96.82060272216796</v>
      </c>
      <c r="J500" s="376" t="n">
        <v>106.350814781189</v>
      </c>
      <c r="K500" s="94" t="n">
        <v>0.1929760723245928</v>
      </c>
      <c r="L500" s="94" t="n">
        <v>-0.1694795689503906</v>
      </c>
      <c r="M500" s="94" t="n">
        <v>-0.2770090713623847</v>
      </c>
      <c r="N500" t="n">
        <v>27.01529267511233</v>
      </c>
      <c r="O500" t="n">
        <v>-0.1816139089859949</v>
      </c>
      <c r="P500" s="143">
        <f>MAX($E$2:E500)</f>
        <v/>
      </c>
      <c r="Q500" s="144">
        <f>E500/P500-1</f>
        <v/>
      </c>
      <c r="R500" s="94" t="n">
        <v>-0.009193433284404251</v>
      </c>
    </row>
    <row r="501">
      <c r="A501" s="375" t="n">
        <v>45190</v>
      </c>
      <c r="B501" s="376" t="n">
        <v>87.13342910582243</v>
      </c>
      <c r="C501" s="376" t="n">
        <v>87.19871826837803</v>
      </c>
      <c r="D501" s="376" t="n">
        <v>85.32398355100248</v>
      </c>
      <c r="E501" s="376" t="n">
        <v>85.42657470703125</v>
      </c>
      <c r="F501" s="93" t="n">
        <v>7958600</v>
      </c>
      <c r="G501" s="94" t="n">
        <v>-0.02605268990309095</v>
      </c>
      <c r="H501" s="95" t="n">
        <v>63.24236707985789</v>
      </c>
      <c r="I501" s="376" t="n">
        <v>96.52568527221679</v>
      </c>
      <c r="J501" s="376" t="n">
        <v>106.2596374511719</v>
      </c>
      <c r="K501" s="94" t="n">
        <v>0.1919412544184716</v>
      </c>
      <c r="L501" s="94" t="n">
        <v>-0.1894046213143343</v>
      </c>
      <c r="M501" s="94" t="n">
        <v>-0.2958449298289283</v>
      </c>
      <c r="N501" t="n">
        <v>22.44170752909157</v>
      </c>
      <c r="O501" t="n">
        <v>-0.3116103221854818</v>
      </c>
      <c r="P501" s="143">
        <f>MAX($E$2:E501)</f>
        <v/>
      </c>
      <c r="Q501" s="144">
        <f>E501/P501-1</f>
        <v/>
      </c>
      <c r="R501" s="94" t="n">
        <v>-0.01652821195794774</v>
      </c>
    </row>
    <row r="502">
      <c r="A502" s="375" t="n">
        <v>45191</v>
      </c>
      <c r="B502" s="376" t="n">
        <v>85.41723731404042</v>
      </c>
      <c r="C502" s="376" t="n">
        <v>86.1167669788652</v>
      </c>
      <c r="D502" s="376" t="n">
        <v>84.45655104623845</v>
      </c>
      <c r="E502" s="376" t="n">
        <v>84.73635864257812</v>
      </c>
      <c r="F502" s="93" t="n">
        <v>9289400</v>
      </c>
      <c r="G502" s="94" t="n">
        <v>-0.008079641104892787</v>
      </c>
      <c r="H502" s="95" t="n">
        <v>62.73139145122875</v>
      </c>
      <c r="I502" s="376" t="n">
        <v>96.21547637939453</v>
      </c>
      <c r="J502" s="376" t="n">
        <v>106.1769274139404</v>
      </c>
      <c r="K502" s="94" t="n">
        <v>0.1905221489063763</v>
      </c>
      <c r="L502" s="94" t="n">
        <v>-0.1959539410553991</v>
      </c>
      <c r="M502" s="94" t="n">
        <v>-0.3015342500781011</v>
      </c>
      <c r="N502" t="n">
        <v>21.27037070591088</v>
      </c>
      <c r="O502" t="n">
        <v>-0.3996006292807879</v>
      </c>
      <c r="P502" s="143">
        <f>MAX($E$2:E502)</f>
        <v/>
      </c>
      <c r="Q502" s="144">
        <f>E502/P502-1</f>
        <v/>
      </c>
      <c r="R502" s="94" t="n">
        <v>-0.00224872995464398</v>
      </c>
    </row>
    <row r="503">
      <c r="A503" s="375" t="n">
        <v>45194</v>
      </c>
      <c r="B503" s="376" t="n">
        <v>83.94355915302941</v>
      </c>
      <c r="C503" s="376" t="n">
        <v>84.7363580107224</v>
      </c>
      <c r="D503" s="376" t="n">
        <v>83.74769170225704</v>
      </c>
      <c r="E503" s="376" t="n">
        <v>84.50318145751953</v>
      </c>
      <c r="F503" s="93" t="n">
        <v>8291700</v>
      </c>
      <c r="G503" s="94" t="n">
        <v>-0.002751796145054386</v>
      </c>
      <c r="H503" s="95" t="n">
        <v>62.55876745005936</v>
      </c>
      <c r="I503" s="376" t="n">
        <v>95.89855895996094</v>
      </c>
      <c r="J503" s="376" t="n">
        <v>106.1008585357666</v>
      </c>
      <c r="K503" s="94" t="n">
        <v>0.1812765119169954</v>
      </c>
      <c r="L503" s="94" t="n">
        <v>-0.1771916444992789</v>
      </c>
      <c r="M503" s="94" t="n">
        <v>-0.3034562854361887</v>
      </c>
      <c r="N503" t="n">
        <v>20.87398593534299</v>
      </c>
      <c r="O503" t="n">
        <v>-0.4265718013466575</v>
      </c>
      <c r="P503" s="143">
        <f>MAX($E$2:E503)</f>
        <v/>
      </c>
      <c r="Q503" s="144">
        <f>E503/P503-1</f>
        <v/>
      </c>
      <c r="R503" s="94" t="n">
        <v>0.004205359710770518</v>
      </c>
    </row>
    <row r="504">
      <c r="A504" s="375" t="n">
        <v>45195</v>
      </c>
      <c r="B504" s="376" t="n">
        <v>83.94355347878229</v>
      </c>
      <c r="C504" s="376" t="n">
        <v>84.59644493722399</v>
      </c>
      <c r="D504" s="376" t="n">
        <v>83.73835698727684</v>
      </c>
      <c r="E504" s="376" t="n">
        <v>84.10211181640625</v>
      </c>
      <c r="F504" s="93" t="n">
        <v>8060500</v>
      </c>
      <c r="G504" s="94" t="n">
        <v>-0.004746207588822049</v>
      </c>
      <c r="H504" s="95" t="n">
        <v>62.26185055324054</v>
      </c>
      <c r="I504" s="376" t="n">
        <v>95.55949035644531</v>
      </c>
      <c r="J504" s="376" t="n">
        <v>106.0209364318848</v>
      </c>
      <c r="K504" s="94" t="n">
        <v>0.1755413936023909</v>
      </c>
      <c r="L504" s="94" t="n">
        <v>-0.1810968637603027</v>
      </c>
      <c r="M504" s="94" t="n">
        <v>-0.3067622265001978</v>
      </c>
      <c r="N504" t="n">
        <v>20.17747624423886</v>
      </c>
      <c r="O504" t="n">
        <v>-0.4236257492018609</v>
      </c>
      <c r="P504" s="143">
        <f>MAX($E$2:E504)</f>
        <v/>
      </c>
      <c r="Q504" s="144">
        <f>E504/P504-1</f>
        <v/>
      </c>
      <c r="R504" s="94" t="n">
        <v>-0.01469134671764205</v>
      </c>
    </row>
    <row r="505">
      <c r="A505" s="375" t="n">
        <v>45196</v>
      </c>
      <c r="B505" s="376" t="n">
        <v>84.46588013123458</v>
      </c>
      <c r="C505" s="376" t="n">
        <v>84.59645844377087</v>
      </c>
      <c r="D505" s="376" t="n">
        <v>83.20672805121511</v>
      </c>
      <c r="E505" s="376" t="n">
        <v>83.40259552001953</v>
      </c>
      <c r="F505" s="93" t="n">
        <v>7631000</v>
      </c>
      <c r="G505" s="94" t="n">
        <v>-0.00831746410736689</v>
      </c>
      <c r="H505" s="95" t="n">
        <v>61.74398984600572</v>
      </c>
      <c r="I505" s="376" t="n">
        <v>95.18765365600586</v>
      </c>
      <c r="J505" s="376" t="n">
        <v>105.9235195922852</v>
      </c>
      <c r="K505" s="94" t="n">
        <v>0.1458391039590488</v>
      </c>
      <c r="L505" s="94" t="n">
        <v>-0.1879080612033865</v>
      </c>
      <c r="M505" s="94" t="n">
        <v>-0.3125282067991534</v>
      </c>
      <c r="N505" t="n">
        <v>18.98746389421346</v>
      </c>
      <c r="O505" t="n">
        <v>-0.4201632369769523</v>
      </c>
      <c r="P505" s="143">
        <f>MAX($E$2:E505)</f>
        <v/>
      </c>
      <c r="Q505" s="144">
        <f>E505/P505-1</f>
        <v/>
      </c>
      <c r="R505" s="94" t="n">
        <v>0.0003990055918738911</v>
      </c>
    </row>
    <row r="506">
      <c r="A506" s="375" t="n">
        <v>45197</v>
      </c>
      <c r="B506" s="376" t="n">
        <v>83.1041165858267</v>
      </c>
      <c r="C506" s="376" t="n">
        <v>83.738357052802</v>
      </c>
      <c r="D506" s="376" t="n">
        <v>82.69373071847788</v>
      </c>
      <c r="E506" s="376" t="n">
        <v>83.59844970703125</v>
      </c>
      <c r="F506" s="93" t="n">
        <v>16315600</v>
      </c>
      <c r="G506" s="94" t="n">
        <v>0.002348298464700749</v>
      </c>
      <c r="H506" s="95" t="n">
        <v>61.88898316256559</v>
      </c>
      <c r="I506" s="376" t="n">
        <v>94.8167594909668</v>
      </c>
      <c r="J506" s="376" t="n">
        <v>105.8360438919067</v>
      </c>
      <c r="K506" s="94" t="n">
        <v>0.1451004168464559</v>
      </c>
      <c r="L506" s="94" t="n">
        <v>-0.1860010269503145</v>
      </c>
      <c r="M506" s="94" t="n">
        <v>-0.3109138178426547</v>
      </c>
      <c r="N506" t="n">
        <v>20.40293620676866</v>
      </c>
      <c r="O506" t="n">
        <v>-0.3584604386825658</v>
      </c>
      <c r="P506" s="143">
        <f>MAX($E$2:E506)</f>
        <v/>
      </c>
      <c r="Q506" s="144">
        <f>E506/P506-1</f>
        <v/>
      </c>
      <c r="R506" s="94" t="n">
        <v>0.005797533955424816</v>
      </c>
    </row>
    <row r="507">
      <c r="A507" s="375" t="n">
        <v>45198</v>
      </c>
      <c r="B507" s="376" t="n">
        <v>92.68301972709347</v>
      </c>
      <c r="C507" s="376" t="n">
        <v>92.77628892598119</v>
      </c>
      <c r="D507" s="376" t="n">
        <v>88.25266517808107</v>
      </c>
      <c r="E507" s="376" t="n">
        <v>89.18537139892578</v>
      </c>
      <c r="F507" s="93" t="n">
        <v>34935400</v>
      </c>
      <c r="G507" s="94" t="n">
        <v>0.06683044615628364</v>
      </c>
      <c r="H507" s="95" t="n">
        <v>66.02505151947857</v>
      </c>
      <c r="I507" s="376" t="n">
        <v>94.60129409790039</v>
      </c>
      <c r="J507" s="376" t="n">
        <v>105.7642611312866</v>
      </c>
      <c r="K507" s="94" t="n">
        <v>0.2976031813378882</v>
      </c>
      <c r="L507" s="94" t="n">
        <v>-0.1316011124106475</v>
      </c>
      <c r="M507" s="94" t="n">
        <v>-0.2648618808489492</v>
      </c>
      <c r="N507" t="n">
        <v>48.2043484844036</v>
      </c>
      <c r="O507" t="n">
        <v>0.0813740174665023</v>
      </c>
      <c r="P507" s="143">
        <f>MAX($E$2:E507)</f>
        <v/>
      </c>
      <c r="Q507" s="144">
        <f>E507/P507-1</f>
        <v/>
      </c>
      <c r="R507" s="94" t="n">
        <v>-0.00242684087185796</v>
      </c>
    </row>
    <row r="508">
      <c r="A508" s="375" t="n">
        <v>45201</v>
      </c>
      <c r="B508" s="376" t="n">
        <v>89.7263387361959</v>
      </c>
      <c r="C508" s="376" t="n">
        <v>89.89422614645757</v>
      </c>
      <c r="D508" s="376" t="n">
        <v>87.42256026758298</v>
      </c>
      <c r="E508" s="376" t="n">
        <v>88.19670104980469</v>
      </c>
      <c r="F508" s="93" t="n">
        <v>12776300</v>
      </c>
      <c r="G508" s="94" t="n">
        <v>-0.01108556631668633</v>
      </c>
      <c r="H508" s="95" t="n">
        <v>65.29312643229676</v>
      </c>
      <c r="I508" s="376" t="n">
        <v>94.33761016845703</v>
      </c>
      <c r="J508" s="376" t="n">
        <v>105.6839317703247</v>
      </c>
      <c r="K508" s="94" t="n">
        <v>0.2951633069395661</v>
      </c>
      <c r="L508" s="94" t="n">
        <v>-0.1412278058683559</v>
      </c>
      <c r="M508" s="94" t="n">
        <v>-0.2730113032207223</v>
      </c>
      <c r="N508" t="n">
        <v>45.19596573326724</v>
      </c>
      <c r="O508" t="n">
        <v>0.3153328320262978</v>
      </c>
      <c r="P508" s="143">
        <f>MAX($E$2:E508)</f>
        <v/>
      </c>
      <c r="Q508" s="144">
        <f>E508/P508-1</f>
        <v/>
      </c>
      <c r="R508" s="94" t="n">
        <v>-0.0003978822743705424</v>
      </c>
    </row>
    <row r="509">
      <c r="A509" s="375" t="n">
        <v>45202</v>
      </c>
      <c r="B509" s="376" t="n">
        <v>87.97285930785834</v>
      </c>
      <c r="C509" s="376" t="n">
        <v>89.58644436313897</v>
      </c>
      <c r="D509" s="376" t="n">
        <v>87.84228099309395</v>
      </c>
      <c r="E509" s="376" t="n">
        <v>88.6910400390625</v>
      </c>
      <c r="F509" s="93" t="n">
        <v>10964300</v>
      </c>
      <c r="G509" s="94" t="n">
        <v>0.005604960087777666</v>
      </c>
      <c r="H509" s="95" t="n">
        <v>65.65909179995602</v>
      </c>
      <c r="I509" s="376" t="n">
        <v>94.08920455932618</v>
      </c>
      <c r="J509" s="376" t="n">
        <v>105.6125413894653</v>
      </c>
      <c r="K509" s="94" t="n">
        <v>0.2905315116375051</v>
      </c>
      <c r="L509" s="94" t="n">
        <v>-0.1364144219957546</v>
      </c>
      <c r="M509" s="94" t="n">
        <v>-0.268936560591009</v>
      </c>
      <c r="N509" t="n">
        <v>46.97778153606749</v>
      </c>
      <c r="O509" t="n">
        <v>0.5019117593397238</v>
      </c>
      <c r="P509" s="143">
        <f>MAX($E$2:E509)</f>
        <v/>
      </c>
      <c r="Q509" s="144">
        <f>E509/P509-1</f>
        <v/>
      </c>
      <c r="R509" s="94" t="n">
        <v>-0.01338594036010721</v>
      </c>
    </row>
    <row r="510">
      <c r="A510" s="375" t="n">
        <v>45203</v>
      </c>
      <c r="B510" s="376" t="n">
        <v>89.14805818620168</v>
      </c>
      <c r="C510" s="376" t="n">
        <v>89.78229867177519</v>
      </c>
      <c r="D510" s="376" t="n">
        <v>88.71901419831127</v>
      </c>
      <c r="E510" s="376" t="n">
        <v>89.43719482421875</v>
      </c>
      <c r="F510" s="93" t="n">
        <v>8045400</v>
      </c>
      <c r="G510" s="94" t="n">
        <v>0.008412966911061304</v>
      </c>
      <c r="H510" s="95" t="n">
        <v>66.21147956667937</v>
      </c>
      <c r="I510" s="376" t="n">
        <v>93.86446014404297</v>
      </c>
      <c r="J510" s="376" t="n">
        <v>105.5584631347656</v>
      </c>
      <c r="K510" s="94" t="n">
        <v>0.2931092945138011</v>
      </c>
      <c r="L510" s="94" t="n">
        <v>-0.1291491051031353</v>
      </c>
      <c r="M510" s="94" t="n">
        <v>-0.2627861480653744</v>
      </c>
      <c r="N510" t="n">
        <v>49.63930755777618</v>
      </c>
      <c r="O510" t="n">
        <v>0.6639394529320306</v>
      </c>
      <c r="P510" s="143">
        <f>MAX($E$2:E510)</f>
        <v/>
      </c>
      <c r="Q510" s="144">
        <f>E510/P510-1</f>
        <v/>
      </c>
      <c r="R510" s="94" t="n">
        <v>0.007281830131862455</v>
      </c>
    </row>
    <row r="511">
      <c r="A511" s="375" t="n">
        <v>45204</v>
      </c>
      <c r="B511" s="376" t="n">
        <v>89.34391784667969</v>
      </c>
      <c r="C511" s="376" t="n">
        <v>89.75431080629563</v>
      </c>
      <c r="D511" s="376" t="n">
        <v>88.86823574494144</v>
      </c>
      <c r="E511" s="376" t="n">
        <v>89.34391784667969</v>
      </c>
      <c r="F511" s="93" t="n">
        <v>7430000</v>
      </c>
      <c r="G511" s="94" t="n">
        <v>-0.001042932727512214</v>
      </c>
      <c r="H511" s="95" t="n">
        <v>66.14242544770228</v>
      </c>
      <c r="I511" s="376" t="n">
        <v>93.61925842285156</v>
      </c>
      <c r="J511" s="376" t="n">
        <v>105.5157445526123</v>
      </c>
      <c r="K511" s="94" t="n">
        <v>0.2829935952011309</v>
      </c>
      <c r="L511" s="94" t="n">
        <v>-0.1300573440022065</v>
      </c>
      <c r="M511" s="94" t="n">
        <v>-0.2635550125187324</v>
      </c>
      <c r="N511" t="n">
        <v>49.30610849671867</v>
      </c>
      <c r="O511" t="n">
        <v>0.747001323084274</v>
      </c>
      <c r="P511" s="143">
        <f>MAX($E$2:E511)</f>
        <v/>
      </c>
      <c r="Q511" s="144">
        <f>E511/P511-1</f>
        <v/>
      </c>
      <c r="R511" s="94" t="n">
        <v>-0.0003766048366076191</v>
      </c>
    </row>
    <row r="512">
      <c r="A512" s="375" t="n">
        <v>45205</v>
      </c>
      <c r="B512" s="376" t="n">
        <v>89.34394685593794</v>
      </c>
      <c r="C512" s="376" t="n">
        <v>91.13474143501955</v>
      </c>
      <c r="D512" s="376" t="n">
        <v>88.66306805331587</v>
      </c>
      <c r="E512" s="376" t="n">
        <v>90.57511901855469</v>
      </c>
      <c r="F512" s="93" t="n">
        <v>8532900</v>
      </c>
      <c r="G512" s="94" t="n">
        <v>0.01378046991388748</v>
      </c>
      <c r="H512" s="95" t="n">
        <v>67.05389915161589</v>
      </c>
      <c r="I512" s="376" t="n">
        <v>93.42898544311524</v>
      </c>
      <c r="J512" s="376" t="n">
        <v>105.4925785446167</v>
      </c>
      <c r="K512" s="94" t="n">
        <v>0.2876612149937416</v>
      </c>
      <c r="L512" s="94" t="n">
        <v>-0.1180691254044214</v>
      </c>
      <c r="M512" s="94" t="n">
        <v>-0.2534064545255136</v>
      </c>
      <c r="N512" t="n">
        <v>53.72175384066447</v>
      </c>
      <c r="O512" t="n">
        <v>0.8590372385948832</v>
      </c>
      <c r="P512" s="143">
        <f>MAX($E$2:E512)</f>
        <v/>
      </c>
      <c r="Q512" s="144">
        <f>E512/P512-1</f>
        <v/>
      </c>
      <c r="R512" s="94" t="n">
        <v>0.01187273981784953</v>
      </c>
    </row>
    <row r="513">
      <c r="A513" s="375" t="n">
        <v>45208</v>
      </c>
      <c r="B513" s="376" t="n">
        <v>90.26731886249772</v>
      </c>
      <c r="C513" s="376" t="n">
        <v>90.60309371572338</v>
      </c>
      <c r="D513" s="376" t="n">
        <v>89.4651908371236</v>
      </c>
      <c r="E513" s="376" t="n">
        <v>90.36058807373047</v>
      </c>
      <c r="F513" s="93" t="n">
        <v>5964200</v>
      </c>
      <c r="G513" s="94" t="n">
        <v>-0.002368541682846392</v>
      </c>
      <c r="H513" s="95" t="n">
        <v>66.89507919647791</v>
      </c>
      <c r="I513" s="376" t="n">
        <v>93.21675949096679</v>
      </c>
      <c r="J513" s="376" t="n">
        <v>105.4676008224487</v>
      </c>
      <c r="K513" s="94" t="n">
        <v>0.2859045272609076</v>
      </c>
      <c r="L513" s="94" t="n">
        <v>-0.1201580154422902</v>
      </c>
      <c r="M513" s="94" t="n">
        <v>-0.2551747924581139</v>
      </c>
      <c r="N513" t="n">
        <v>52.85779470380014</v>
      </c>
      <c r="O513" t="n">
        <v>0.8891392507679059</v>
      </c>
      <c r="P513" s="143">
        <f>MAX($E$2:E513)</f>
        <v/>
      </c>
      <c r="Q513" s="144">
        <f>E513/P513-1</f>
        <v/>
      </c>
      <c r="R513" s="94" t="n">
        <v>0.006402257118859778</v>
      </c>
    </row>
    <row r="514">
      <c r="A514" s="375" t="n">
        <v>45209</v>
      </c>
      <c r="B514" s="376" t="n">
        <v>90.70568499682969</v>
      </c>
      <c r="C514" s="376" t="n">
        <v>92.20734266477058</v>
      </c>
      <c r="D514" s="376" t="n">
        <v>90.68703400241348</v>
      </c>
      <c r="E514" s="376" t="n">
        <v>91.05078887939453</v>
      </c>
      <c r="F514" s="93" t="n">
        <v>8499000</v>
      </c>
      <c r="G514" s="94" t="n">
        <v>0.007638294751920904</v>
      </c>
      <c r="H514" s="95" t="n">
        <v>67.40604352883371</v>
      </c>
      <c r="I514" s="376" t="n">
        <v>92.98543029785156</v>
      </c>
      <c r="J514" s="376" t="n">
        <v>105.3880067443848</v>
      </c>
      <c r="K514" s="94" t="n">
        <v>0.2863603453416508</v>
      </c>
      <c r="L514" s="94" t="n">
        <v>-0.1134375230291234</v>
      </c>
      <c r="M514" s="94" t="n">
        <v>-0.2494855979842484</v>
      </c>
      <c r="N514" t="n">
        <v>55.3459314974804</v>
      </c>
      <c r="O514" t="n">
        <v>0.9220200209240332</v>
      </c>
      <c r="P514" s="143">
        <f>MAX($E$2:E514)</f>
        <v/>
      </c>
      <c r="Q514" s="144">
        <f>E514/P514-1</f>
        <v/>
      </c>
      <c r="R514" s="94" t="n">
        <v>0.005204807487344976</v>
      </c>
    </row>
    <row r="515">
      <c r="A515" s="375" t="n">
        <v>45210</v>
      </c>
      <c r="B515" s="376" t="n">
        <v>91.69435838156652</v>
      </c>
      <c r="C515" s="376" t="n">
        <v>92.29128987231782</v>
      </c>
      <c r="D515" s="376" t="n">
        <v>91.41455074801823</v>
      </c>
      <c r="E515" s="376" t="n">
        <v>92.01148223876953</v>
      </c>
      <c r="F515" s="93" t="n">
        <v>7642900</v>
      </c>
      <c r="G515" s="94" t="n">
        <v>0.01055118106277519</v>
      </c>
      <c r="H515" s="95" t="n">
        <v>68.11725689883174</v>
      </c>
      <c r="I515" s="376" t="n">
        <v>92.7917204284668</v>
      </c>
      <c r="J515" s="376" t="n">
        <v>105.3089198684692</v>
      </c>
      <c r="K515" s="94" t="n">
        <v>0.2882105362171392</v>
      </c>
      <c r="L515" s="94" t="n">
        <v>-0.1040832418111411</v>
      </c>
      <c r="M515" s="94" t="n">
        <v>-0.2415667846383598</v>
      </c>
      <c r="N515" t="n">
        <v>58.61972820605257</v>
      </c>
      <c r="O515" t="n">
        <v>0.9700795311707759</v>
      </c>
      <c r="P515" s="143">
        <f>MAX($E$2:E515)</f>
        <v/>
      </c>
      <c r="Q515" s="144">
        <f>E515/P515-1</f>
        <v/>
      </c>
      <c r="R515" s="94" t="n">
        <v>0.004096379242632953</v>
      </c>
    </row>
    <row r="516">
      <c r="A516" s="375" t="n">
        <v>45211</v>
      </c>
      <c r="B516" s="376" t="n">
        <v>92.84158400286479</v>
      </c>
      <c r="C516" s="376" t="n">
        <v>93.31726619833375</v>
      </c>
      <c r="D516" s="376" t="n">
        <v>91.89021961192684</v>
      </c>
      <c r="E516" s="376" t="n">
        <v>92.57109832763672</v>
      </c>
      <c r="F516" s="93" t="n">
        <v>10705200</v>
      </c>
      <c r="G516" s="94" t="n">
        <v>0.006082024495757787</v>
      </c>
      <c r="H516" s="95" t="n">
        <v>68.53154772387425</v>
      </c>
      <c r="I516" s="376" t="n">
        <v>92.64434158325196</v>
      </c>
      <c r="J516" s="376" t="n">
        <v>105.2347560501099</v>
      </c>
      <c r="K516" s="94" t="n">
        <v>0.2865604642184456</v>
      </c>
      <c r="L516" s="94" t="n">
        <v>-0.0986342541416767</v>
      </c>
      <c r="M516" s="94" t="n">
        <v>-0.2369539752441339</v>
      </c>
      <c r="N516" t="n">
        <v>60.43920199431268</v>
      </c>
      <c r="O516" t="n">
        <v>0.9973266008108745</v>
      </c>
      <c r="P516" s="143">
        <f>MAX($E$2:E516)</f>
        <v/>
      </c>
      <c r="Q516" s="144">
        <f>E516/P516-1</f>
        <v/>
      </c>
      <c r="R516" s="94" t="n">
        <v>-0.006096510692083501</v>
      </c>
    </row>
    <row r="517">
      <c r="A517" s="375" t="n">
        <v>45212</v>
      </c>
      <c r="B517" s="376" t="n">
        <v>92.88821843223685</v>
      </c>
      <c r="C517" s="376" t="n">
        <v>94.06343038081617</v>
      </c>
      <c r="D517" s="376" t="n">
        <v>92.75764011750408</v>
      </c>
      <c r="E517" s="376" t="n">
        <v>93.18669128417969</v>
      </c>
      <c r="F517" s="93" t="n">
        <v>8774700</v>
      </c>
      <c r="G517" s="94" t="n">
        <v>0.006649947636617748</v>
      </c>
      <c r="H517" s="95" t="n">
        <v>68.98727892769439</v>
      </c>
      <c r="I517" s="376" t="n">
        <v>92.48826583862305</v>
      </c>
      <c r="J517" s="376" t="n">
        <v>105.1576187133789</v>
      </c>
      <c r="K517" s="94" t="n">
        <v>0.2842507427830697</v>
      </c>
      <c r="L517" s="94" t="n">
        <v>-0.09264021913027787</v>
      </c>
      <c r="M517" s="94" t="n">
        <v>-0.2318797591351781</v>
      </c>
      <c r="N517" t="n">
        <v>62.39783662990244</v>
      </c>
      <c r="O517" t="n">
        <v>1.011399703329774</v>
      </c>
      <c r="P517" s="143">
        <f>MAX($E$2:E517)</f>
        <v/>
      </c>
      <c r="Q517" s="144">
        <f>E517/P517-1</f>
        <v/>
      </c>
      <c r="R517" s="94" t="n">
        <v>-0.004980911855664738</v>
      </c>
    </row>
    <row r="518">
      <c r="A518" s="375" t="n">
        <v>45215</v>
      </c>
      <c r="B518" s="376" t="n">
        <v>93.00947669395225</v>
      </c>
      <c r="C518" s="376" t="n">
        <v>95.67701737643227</v>
      </c>
      <c r="D518" s="376" t="n">
        <v>92.89754937220334</v>
      </c>
      <c r="E518" s="376" t="n">
        <v>95.17335510253906</v>
      </c>
      <c r="F518" s="93" t="n">
        <v>10845400</v>
      </c>
      <c r="G518" s="94" t="n">
        <v>0.0213191797131298</v>
      </c>
      <c r="H518" s="95" t="n">
        <v>70.45803112507372</v>
      </c>
      <c r="I518" s="376" t="n">
        <v>92.3687629699707</v>
      </c>
      <c r="J518" s="376" t="n">
        <v>105.1023329925537</v>
      </c>
      <c r="K518" s="94" t="n">
        <v>0.2896667452466022</v>
      </c>
      <c r="L518" s="94" t="n">
        <v>-0.07329605289745023</v>
      </c>
      <c r="M518" s="94" t="n">
        <v>-0.2155040656788884</v>
      </c>
      <c r="N518" t="n">
        <v>67.9181443858248</v>
      </c>
      <c r="O518" t="n">
        <v>1.101671238011103</v>
      </c>
      <c r="P518" s="143">
        <f>MAX($E$2:E518)</f>
        <v/>
      </c>
      <c r="Q518" s="144">
        <f>E518/P518-1</f>
        <v/>
      </c>
      <c r="R518" s="94" t="n">
        <v>0.01052151582224137</v>
      </c>
    </row>
    <row r="519">
      <c r="A519" s="375" t="n">
        <v>45216</v>
      </c>
      <c r="B519" s="376" t="n">
        <v>95.10805625254395</v>
      </c>
      <c r="C519" s="376" t="n">
        <v>96.61903580427345</v>
      </c>
      <c r="D519" s="376" t="n">
        <v>95.10805625254395</v>
      </c>
      <c r="E519" s="376" t="n">
        <v>96.07807159423828</v>
      </c>
      <c r="F519" s="93" t="n">
        <v>9253800</v>
      </c>
      <c r="G519" s="94" t="n">
        <v>0.009505985059836242</v>
      </c>
      <c r="H519" s="95" t="n">
        <v>71.12780411629414</v>
      </c>
      <c r="I519" s="376" t="n">
        <v>92.23630584716797</v>
      </c>
      <c r="J519" s="376" t="n">
        <v>105.0406226348877</v>
      </c>
      <c r="K519" s="94" t="n">
        <v>0.2863351624908765</v>
      </c>
      <c r="L519" s="94" t="n">
        <v>-0.06448681902140219</v>
      </c>
      <c r="M519" s="94" t="n">
        <v>-0.2080466590477297</v>
      </c>
      <c r="N519" t="n">
        <v>70.07285316285746</v>
      </c>
      <c r="O519" t="n">
        <v>1.163412008390443</v>
      </c>
      <c r="P519" s="143">
        <f>MAX($E$2:E519)</f>
        <v/>
      </c>
      <c r="Q519" s="144">
        <f>E519/P519-1</f>
        <v/>
      </c>
      <c r="R519" s="94" t="n">
        <v>-4.608284897955617e-05</v>
      </c>
    </row>
    <row r="520">
      <c r="A520" s="375" t="n">
        <v>45217</v>
      </c>
      <c r="B520" s="376" t="n">
        <v>96.04076552495142</v>
      </c>
      <c r="C520" s="376" t="n">
        <v>96.90818263856374</v>
      </c>
      <c r="D520" s="376" t="n">
        <v>96.00345642032481</v>
      </c>
      <c r="E520" s="376" t="n">
        <v>96.78692626953125</v>
      </c>
      <c r="F520" s="93" t="n">
        <v>8757300</v>
      </c>
      <c r="G520" s="94" t="n">
        <v>0.007377902819351245</v>
      </c>
      <c r="H520" s="95" t="n">
        <v>71.65257814281802</v>
      </c>
      <c r="I520" s="376" t="n">
        <v>92.13271316528321</v>
      </c>
      <c r="J520" s="376" t="n">
        <v>104.9840271377563</v>
      </c>
      <c r="K520" s="94" t="n">
        <v>0.2837450001169581</v>
      </c>
      <c r="L520" s="94" t="n">
        <v>-0.0575846936859199</v>
      </c>
      <c r="M520" s="94" t="n">
        <v>-0.2022037042607232</v>
      </c>
      <c r="N520" t="n">
        <v>71.67788680397334</v>
      </c>
      <c r="O520" t="n">
        <v>1.188882600377648</v>
      </c>
      <c r="P520" s="143">
        <f>MAX($E$2:E520)</f>
        <v/>
      </c>
      <c r="Q520" s="144">
        <f>E520/P520-1</f>
        <v/>
      </c>
      <c r="R520" s="94" t="n">
        <v>-0.01332501626581817</v>
      </c>
    </row>
    <row r="521">
      <c r="A521" s="375" t="n">
        <v>45218</v>
      </c>
      <c r="B521" s="376" t="n">
        <v>96.78691415537581</v>
      </c>
      <c r="C521" s="376" t="n">
        <v>97.32788543077578</v>
      </c>
      <c r="D521" s="376" t="n">
        <v>95.92882620431715</v>
      </c>
      <c r="E521" s="376" t="n">
        <v>96.11537170410156</v>
      </c>
      <c r="F521" s="93" t="n">
        <v>8391100</v>
      </c>
      <c r="G521" s="94" t="n">
        <v>-0.00693848426965793</v>
      </c>
      <c r="H521" s="95" t="n">
        <v>71.15541785649363</v>
      </c>
      <c r="I521" s="376" t="n">
        <v>92.01568939208984</v>
      </c>
      <c r="J521" s="376" t="n">
        <v>104.9160359573364</v>
      </c>
      <c r="K521" s="94" t="n">
        <v>0.2633021836170149</v>
      </c>
      <c r="L521" s="94" t="n">
        <v>-0.06412362746426503</v>
      </c>
      <c r="M521" s="94" t="n">
        <v>-0.2077392013091016</v>
      </c>
      <c r="N521" t="n">
        <v>67.95931153365594</v>
      </c>
      <c r="O521" t="n">
        <v>1.099480339910971</v>
      </c>
      <c r="P521" s="143">
        <f>MAX($E$2:E521)</f>
        <v/>
      </c>
      <c r="Q521" s="144">
        <f>E521/P521-1</f>
        <v/>
      </c>
      <c r="R521" s="94" t="n">
        <v>-0.008786351097596956</v>
      </c>
    </row>
    <row r="522">
      <c r="A522" s="375" t="n">
        <v>45219</v>
      </c>
      <c r="B522" s="376" t="n">
        <v>96.3672240171859</v>
      </c>
      <c r="C522" s="376" t="n">
        <v>96.78693904667091</v>
      </c>
      <c r="D522" s="376" t="n">
        <v>95.66769422405419</v>
      </c>
      <c r="E522" s="376" t="n">
        <v>95.76096343994141</v>
      </c>
      <c r="F522" s="93" t="n">
        <v>7823500</v>
      </c>
      <c r="G522" s="94" t="n">
        <v>-0.003687321370937746</v>
      </c>
      <c r="H522" s="95" t="n">
        <v>70.89304496357337</v>
      </c>
      <c r="I522" s="376" t="n">
        <v>91.90384857177735</v>
      </c>
      <c r="J522" s="376" t="n">
        <v>104.8349087524414</v>
      </c>
      <c r="K522" s="94" t="n">
        <v>0.2606265247141443</v>
      </c>
      <c r="L522" s="94" t="n">
        <v>-0.06757450441327184</v>
      </c>
      <c r="M522" s="94" t="n">
        <v>-0.2106605214834707</v>
      </c>
      <c r="N522" t="n">
        <v>66.01293158736388</v>
      </c>
      <c r="O522" t="n">
        <v>0.9604982131458331</v>
      </c>
      <c r="P522" s="143">
        <f>MAX($E$2:E522)</f>
        <v/>
      </c>
      <c r="Q522" s="144">
        <f>E522/P522-1</f>
        <v/>
      </c>
      <c r="R522" s="94" t="n">
        <v>-0.01228799277640469</v>
      </c>
    </row>
    <row r="523">
      <c r="A523" s="375" t="n">
        <v>45222</v>
      </c>
      <c r="B523" s="376" t="n">
        <v>95.25727716832233</v>
      </c>
      <c r="C523" s="376" t="n">
        <v>96.77759275711564</v>
      </c>
      <c r="D523" s="376" t="n">
        <v>94.92150238282095</v>
      </c>
      <c r="E523" s="376" t="n">
        <v>95.89151763916016</v>
      </c>
      <c r="F523" s="93" t="n">
        <v>5966100</v>
      </c>
      <c r="G523" s="94" t="n">
        <v>0.001363334228572377</v>
      </c>
      <c r="H523" s="95" t="n">
        <v>70.98969587833993</v>
      </c>
      <c r="I523" s="376" t="n">
        <v>91.81209487915039</v>
      </c>
      <c r="J523" s="376" t="n">
        <v>104.7571598052978</v>
      </c>
      <c r="K523" s="94" t="n">
        <v>0.2591448180534721</v>
      </c>
      <c r="L523" s="94" t="n">
        <v>-0.06630329681954494</v>
      </c>
      <c r="M523" s="94" t="n">
        <v>-0.2095843879544456</v>
      </c>
      <c r="N523" t="n">
        <v>66.39475052329527</v>
      </c>
      <c r="O523" t="n">
        <v>0.8264860611840676</v>
      </c>
      <c r="P523" s="143">
        <f>MAX($E$2:E523)</f>
        <v/>
      </c>
      <c r="Q523" s="144">
        <f>E523/P523-1</f>
        <v/>
      </c>
      <c r="R523" s="94" t="n">
        <v>-0.001733251080915377</v>
      </c>
    </row>
    <row r="524">
      <c r="A524" s="375" t="n">
        <v>45223</v>
      </c>
      <c r="B524" s="376" t="n">
        <v>96.68434030936581</v>
      </c>
      <c r="C524" s="376" t="n">
        <v>98.54042388913065</v>
      </c>
      <c r="D524" s="376" t="n">
        <v>96.68434030936581</v>
      </c>
      <c r="E524" s="376" t="n">
        <v>98.10205078125</v>
      </c>
      <c r="F524" s="93" t="n">
        <v>9252200</v>
      </c>
      <c r="G524" s="94" t="n">
        <v>0.02305243671716695</v>
      </c>
      <c r="H524" s="95" t="n">
        <v>72.6261813501463</v>
      </c>
      <c r="I524" s="376" t="n">
        <v>91.77291793823242</v>
      </c>
      <c r="J524" s="376" t="n">
        <v>104.6724011993408</v>
      </c>
      <c r="K524" s="94" t="n">
        <v>0.2619667332842056</v>
      </c>
      <c r="L524" s="94" t="n">
        <v>-0.04477931265644997</v>
      </c>
      <c r="M524" s="94" t="n">
        <v>-0.1913633820775046</v>
      </c>
      <c r="N524" t="n">
        <v>72.10833951414429</v>
      </c>
      <c r="O524" t="n">
        <v>0.8334697996046521</v>
      </c>
      <c r="P524" s="143">
        <f>MAX($E$2:E524)</f>
        <v/>
      </c>
      <c r="Q524" s="144">
        <f>E524/P524-1</f>
        <v/>
      </c>
      <c r="R524" s="94" t="n">
        <v>0.007539449500823192</v>
      </c>
    </row>
    <row r="525">
      <c r="A525" s="375" t="n">
        <v>45224</v>
      </c>
      <c r="B525" s="376" t="n">
        <v>97.43049866657364</v>
      </c>
      <c r="C525" s="376" t="n">
        <v>97.97147002520333</v>
      </c>
      <c r="D525" s="376" t="n">
        <v>96.52577242237881</v>
      </c>
      <c r="E525" s="376" t="n">
        <v>96.57241058349609</v>
      </c>
      <c r="F525" s="93" t="n">
        <v>7054700</v>
      </c>
      <c r="G525" s="94" t="n">
        <v>-0.01559233660838277</v>
      </c>
      <c r="H525" s="95" t="n">
        <v>71.49376948395336</v>
      </c>
      <c r="I525" s="376" t="n">
        <v>91.72341339111328</v>
      </c>
      <c r="J525" s="376" t="n">
        <v>104.5785160827637</v>
      </c>
      <c r="K525" s="94" t="n">
        <v>0.2690986407693683</v>
      </c>
      <c r="L525" s="94" t="n">
        <v>-0.05967343514880141</v>
      </c>
      <c r="M525" s="94" t="n">
        <v>-0.2039719164180164</v>
      </c>
      <c r="N525" t="n">
        <v>63.99955487092856</v>
      </c>
      <c r="O525" t="n">
        <v>0.6878721603756461</v>
      </c>
      <c r="P525" s="143">
        <f>MAX($E$2:E525)</f>
        <v/>
      </c>
      <c r="Q525" s="144">
        <f>E525/P525-1</f>
        <v/>
      </c>
      <c r="R525" s="94" t="n">
        <v>-0.0143522749639492</v>
      </c>
    </row>
    <row r="526">
      <c r="A526" s="375" t="n">
        <v>45225</v>
      </c>
      <c r="B526" s="376" t="n">
        <v>95.30393283566353</v>
      </c>
      <c r="C526" s="376" t="n">
        <v>95.72364783667587</v>
      </c>
      <c r="D526" s="376" t="n">
        <v>93.22399459415094</v>
      </c>
      <c r="E526" s="376" t="n">
        <v>93.28928375244141</v>
      </c>
      <c r="F526" s="93" t="n">
        <v>11222600</v>
      </c>
      <c r="G526" s="94" t="n">
        <v>-0.03399652976681278</v>
      </c>
      <c r="H526" s="95" t="n">
        <v>69.06322942155049</v>
      </c>
      <c r="I526" s="376" t="n">
        <v>91.6086180114746</v>
      </c>
      <c r="J526" s="376" t="n">
        <v>104.4636421203613</v>
      </c>
      <c r="K526" s="94" t="n">
        <v>0.3066189796629014</v>
      </c>
      <c r="L526" s="94" t="n">
        <v>-0.09164127520128995</v>
      </c>
      <c r="M526" s="94" t="n">
        <v>-0.2310341088567301</v>
      </c>
      <c r="N526" t="n">
        <v>50.79619383301069</v>
      </c>
      <c r="O526" t="n">
        <v>0.3408007181969754</v>
      </c>
      <c r="P526" s="143">
        <f>MAX($E$2:E526)</f>
        <v/>
      </c>
      <c r="Q526" s="144">
        <f>E526/P526-1</f>
        <v/>
      </c>
      <c r="R526" s="94" t="n">
        <v>-0.01197456714615353</v>
      </c>
    </row>
    <row r="527">
      <c r="A527" s="375" t="n">
        <v>45226</v>
      </c>
      <c r="B527" s="376" t="n">
        <v>93.06542545850149</v>
      </c>
      <c r="C527" s="376" t="n">
        <v>93.58773866439284</v>
      </c>
      <c r="D527" s="376" t="n">
        <v>91.22799306722607</v>
      </c>
      <c r="E527" s="376" t="n">
        <v>91.38655853271484</v>
      </c>
      <c r="F527" s="93" t="n">
        <v>9602700</v>
      </c>
      <c r="G527" s="94" t="n">
        <v>-0.0203959677166754</v>
      </c>
      <c r="H527" s="95" t="n">
        <v>67.65461802385919</v>
      </c>
      <c r="I527" s="376" t="n">
        <v>91.48328399658203</v>
      </c>
      <c r="J527" s="376" t="n">
        <v>104.3295534133911</v>
      </c>
      <c r="K527" s="94" t="n">
        <v>0.2199443519770884</v>
      </c>
      <c r="L527" s="94" t="n">
        <v>-0.110168130427445</v>
      </c>
      <c r="M527" s="94" t="n">
        <v>-0.2467179123477128</v>
      </c>
      <c r="N527" t="n">
        <v>45.00177023207054</v>
      </c>
      <c r="O527" t="n">
        <v>-0.02703928977556291</v>
      </c>
      <c r="P527" s="143">
        <f>MAX($E$2:E527)</f>
        <v/>
      </c>
      <c r="Q527" s="144">
        <f>E527/P527-1</f>
        <v/>
      </c>
      <c r="R527" s="94" t="n">
        <v>-0.004532718620987031</v>
      </c>
    </row>
    <row r="528">
      <c r="A528" s="375" t="n">
        <v>45229</v>
      </c>
      <c r="B528" s="376" t="n">
        <v>92.33792063781137</v>
      </c>
      <c r="C528" s="376" t="n">
        <v>95.18267760486486</v>
      </c>
      <c r="D528" s="376" t="n">
        <v>92.33792063781137</v>
      </c>
      <c r="E528" s="376" t="n">
        <v>94.94950103759766</v>
      </c>
      <c r="F528" s="93" t="n">
        <v>8206700</v>
      </c>
      <c r="G528" s="94" t="n">
        <v>0.03898759907462046</v>
      </c>
      <c r="H528" s="95" t="n">
        <v>70.29230914692</v>
      </c>
      <c r="I528" s="376" t="n">
        <v>91.43367126464844</v>
      </c>
      <c r="J528" s="376" t="n">
        <v>104.2135104370117</v>
      </c>
      <c r="K528" s="94" t="n">
        <v>0.2519944881814489</v>
      </c>
      <c r="L528" s="94" t="n">
        <v>-0.07547572225273025</v>
      </c>
      <c r="M528" s="94" t="n">
        <v>-0.2173492523242324</v>
      </c>
      <c r="N528" t="n">
        <v>55.28731391431374</v>
      </c>
      <c r="O528" t="n">
        <v>-0.03974607798993834</v>
      </c>
      <c r="P528" s="143">
        <f>MAX($E$2:E528)</f>
        <v/>
      </c>
      <c r="Q528" s="144">
        <f>E528/P528-1</f>
        <v/>
      </c>
      <c r="R528" s="94" t="n">
        <v>0.011955665364346</v>
      </c>
    </row>
    <row r="529">
      <c r="A529" s="375" t="n">
        <v>45230</v>
      </c>
      <c r="B529" s="376" t="n">
        <v>94.57642205740991</v>
      </c>
      <c r="C529" s="376" t="n">
        <v>96.00346158522662</v>
      </c>
      <c r="D529" s="376" t="n">
        <v>94.57642205740991</v>
      </c>
      <c r="E529" s="376" t="n">
        <v>95.85422515869141</v>
      </c>
      <c r="F529" s="93" t="n">
        <v>6558500</v>
      </c>
      <c r="G529" s="94" t="n">
        <v>0.009528476834601785</v>
      </c>
      <c r="H529" s="95" t="n">
        <v>70.96208778627711</v>
      </c>
      <c r="I529" s="376" t="n">
        <v>91.43840682983398</v>
      </c>
      <c r="J529" s="376" t="n">
        <v>104.0975563430786</v>
      </c>
      <c r="K529" s="94" t="n">
        <v>0.2527478135572791</v>
      </c>
      <c r="L529" s="94" t="n">
        <v>-0.0599445071332424</v>
      </c>
      <c r="M529" s="94" t="n">
        <v>-0.2098917828054201</v>
      </c>
      <c r="N529" t="n">
        <v>57.46271979610366</v>
      </c>
      <c r="O529" t="n">
        <v>0.001253168882448641</v>
      </c>
      <c r="P529" s="143">
        <f>MAX($E$2:E529)</f>
        <v/>
      </c>
      <c r="Q529" s="144">
        <f>E529/P529-1</f>
        <v/>
      </c>
      <c r="R529" s="94" t="n">
        <v>0.006280306126186241</v>
      </c>
    </row>
    <row r="530">
      <c r="A530" s="375" t="n">
        <v>45231</v>
      </c>
      <c r="B530" s="376" t="n">
        <v>95.64902492936193</v>
      </c>
      <c r="C530" s="376" t="n">
        <v>95.76094512062195</v>
      </c>
      <c r="D530" s="376" t="n">
        <v>93.24264119349992</v>
      </c>
      <c r="E530" s="376" t="n">
        <v>94.09140014648438</v>
      </c>
      <c r="F530" s="93" t="n">
        <v>7272400</v>
      </c>
      <c r="G530" s="94" t="n">
        <v>-0.018390686579424</v>
      </c>
      <c r="H530" s="95" t="n">
        <v>69.65704627077811</v>
      </c>
      <c r="I530" s="376" t="n">
        <v>91.43391418457031</v>
      </c>
      <c r="J530" s="376" t="n">
        <v>103.9760680007935</v>
      </c>
      <c r="K530" s="94" t="n">
        <v>0.2642048712587296</v>
      </c>
      <c r="L530" s="94" t="n">
        <v>-0.07723277306982101</v>
      </c>
      <c r="M530" s="94" t="n">
        <v>-0.2244224153916731</v>
      </c>
      <c r="N530" t="n">
        <v>52.1397255507005</v>
      </c>
      <c r="O530" t="n">
        <v>-0.09647454021212032</v>
      </c>
      <c r="P530" s="143">
        <f>MAX($E$2:E530)</f>
        <v/>
      </c>
      <c r="Q530" s="144">
        <f>E530/P530-1</f>
        <v/>
      </c>
      <c r="R530" s="94" t="n">
        <v>0.01066484419584568</v>
      </c>
    </row>
    <row r="531">
      <c r="A531" s="375" t="n">
        <v>45232</v>
      </c>
      <c r="B531" s="376" t="n">
        <v>95.18267502363017</v>
      </c>
      <c r="C531" s="376" t="n">
        <v>98.4471468768426</v>
      </c>
      <c r="D531" s="376" t="n">
        <v>95.0334386089539</v>
      </c>
      <c r="E531" s="376" t="n">
        <v>98.00877380371094</v>
      </c>
      <c r="F531" s="93" t="n">
        <v>8135100</v>
      </c>
      <c r="G531" s="94" t="n">
        <v>0.04163370564289481</v>
      </c>
      <c r="H531" s="95" t="n">
        <v>72.55712723116919</v>
      </c>
      <c r="I531" s="376" t="n">
        <v>91.5581526184082</v>
      </c>
      <c r="J531" s="376" t="n">
        <v>103.8820659255981</v>
      </c>
      <c r="K531" s="94" t="n">
        <v>0.2975700527238949</v>
      </c>
      <c r="L531" s="94" t="n">
        <v>-0.03299587091492329</v>
      </c>
      <c r="M531" s="94" t="n">
        <v>-0.1921322465308626</v>
      </c>
      <c r="N531" t="n">
        <v>60.82443944973878</v>
      </c>
      <c r="O531" t="n">
        <v>0.08668632437446089</v>
      </c>
      <c r="P531" s="143">
        <f>MAX($E$2:E531)</f>
        <v/>
      </c>
      <c r="Q531" s="144">
        <f>E531/P531-1</f>
        <v/>
      </c>
      <c r="R531" s="94" t="n">
        <v>0.01916431166915311</v>
      </c>
    </row>
    <row r="532">
      <c r="A532" s="375" t="n">
        <v>45233</v>
      </c>
      <c r="B532" s="376" t="n">
        <v>99.26793498839425</v>
      </c>
      <c r="C532" s="376" t="n">
        <v>100.405837849573</v>
      </c>
      <c r="D532" s="376" t="n">
        <v>98.91350914474206</v>
      </c>
      <c r="E532" s="376" t="n">
        <v>99.85553741455078</v>
      </c>
      <c r="F532" s="93" t="n">
        <v>7568000</v>
      </c>
      <c r="G532" s="94" t="n">
        <v>0.01884283966799227</v>
      </c>
      <c r="H532" s="95" t="n">
        <v>73.92430954635623</v>
      </c>
      <c r="I532" s="376" t="n">
        <v>91.74014907836914</v>
      </c>
      <c r="J532" s="376" t="n">
        <v>103.8060747528076</v>
      </c>
      <c r="K532" s="94" t="n">
        <v>0.3001268390259645</v>
      </c>
      <c r="L532" s="94" t="n">
        <v>-0.006206904930216917</v>
      </c>
      <c r="M532" s="94" t="n">
        <v>-0.1769097239793026</v>
      </c>
      <c r="N532" t="n">
        <v>64.12907729949745</v>
      </c>
      <c r="O532" t="n">
        <v>0.3039620385419814</v>
      </c>
      <c r="P532" s="143">
        <f>MAX($E$2:E532)</f>
        <v/>
      </c>
      <c r="Q532" s="144">
        <f>E532/P532-1</f>
        <v/>
      </c>
      <c r="R532" s="94" t="n">
        <v>0.009123409552010076</v>
      </c>
    </row>
    <row r="533">
      <c r="A533" s="375" t="n">
        <v>45236</v>
      </c>
      <c r="B533" s="376" t="n">
        <v>99.76225208601315</v>
      </c>
      <c r="C533" s="376" t="n">
        <v>100.3591834714985</v>
      </c>
      <c r="D533" s="376" t="n">
        <v>99.21195885588715</v>
      </c>
      <c r="E533" s="376" t="n">
        <v>100.0327377319336</v>
      </c>
      <c r="F533" s="93" t="n">
        <v>5231900</v>
      </c>
      <c r="G533" s="94" t="n">
        <v>0.001774566758848461</v>
      </c>
      <c r="H533" s="95" t="n">
        <v>74.05549316874801</v>
      </c>
      <c r="I533" s="376" t="n">
        <v>91.90319381713867</v>
      </c>
      <c r="J533" s="376" t="n">
        <v>103.7213148117065</v>
      </c>
      <c r="K533" s="94" t="n">
        <v>0.299125724119635</v>
      </c>
      <c r="L533" s="94" t="n">
        <v>-0.0002814295676574208</v>
      </c>
      <c r="M533" s="94" t="n">
        <v>-0.1754490953359448</v>
      </c>
      <c r="N533" t="n">
        <v>64.4390474748724</v>
      </c>
      <c r="O533" t="n">
        <v>0.4239899075893949</v>
      </c>
      <c r="P533" s="143">
        <f>MAX($E$2:E533)</f>
        <v/>
      </c>
      <c r="Q533" s="144">
        <f>E533/P533-1</f>
        <v/>
      </c>
      <c r="R533" s="94" t="n">
        <v>0.002300524399011517</v>
      </c>
    </row>
    <row r="534">
      <c r="A534" s="375" t="n">
        <v>45237</v>
      </c>
      <c r="B534" s="376" t="n">
        <v>100.0980412073788</v>
      </c>
      <c r="C534" s="376" t="n">
        <v>102.0007629394531</v>
      </c>
      <c r="D534" s="376" t="n">
        <v>100.0141010548974</v>
      </c>
      <c r="E534" s="376" t="n">
        <v>102.0007629394531</v>
      </c>
      <c r="F534" s="93" t="n">
        <v>7745800</v>
      </c>
      <c r="G534" s="94" t="n">
        <v>0.01967381131558565</v>
      </c>
      <c r="H534" s="95" t="n">
        <v>75.51244696823261</v>
      </c>
      <c r="I534" s="376" t="n">
        <v>92.0909114074707</v>
      </c>
      <c r="J534" s="376" t="n">
        <v>103.6386803817749</v>
      </c>
      <c r="K534" s="94" t="n">
        <v>0.3034121782660931</v>
      </c>
      <c r="L534" s="94" t="n">
        <v>0</v>
      </c>
      <c r="M534" s="94" t="n">
        <v>-0.1592270364174887</v>
      </c>
      <c r="N534" t="n">
        <v>67.77013950509354</v>
      </c>
      <c r="O534" t="n">
        <v>0.5900925541185702</v>
      </c>
      <c r="P534" s="143">
        <f>MAX($E$2:E534)</f>
        <v/>
      </c>
      <c r="Q534" s="144">
        <f>E534/P534-1</f>
        <v/>
      </c>
      <c r="R534" s="94" t="n">
        <v>0.00284584997461601</v>
      </c>
    </row>
    <row r="535">
      <c r="A535" s="375" t="n">
        <v>45238</v>
      </c>
      <c r="B535" s="376" t="n">
        <v>102.0100889345355</v>
      </c>
      <c r="C535" s="376" t="n">
        <v>103.2505828852226</v>
      </c>
      <c r="D535" s="376" t="n">
        <v>101.571715842104</v>
      </c>
      <c r="E535" s="376" t="n">
        <v>102.0287399291992</v>
      </c>
      <c r="F535" s="93" t="n">
        <v>8639700</v>
      </c>
      <c r="G535" s="94" t="n">
        <v>0.0002742821616217306</v>
      </c>
      <c r="H535" s="95" t="n">
        <v>75.5331586854164</v>
      </c>
      <c r="I535" s="376" t="n">
        <v>92.23940200805664</v>
      </c>
      <c r="J535" s="376" t="n">
        <v>103.5629302978516</v>
      </c>
      <c r="K535" s="94" t="n">
        <v>0.3035008578877894</v>
      </c>
      <c r="L535" s="94" t="n">
        <v>0</v>
      </c>
      <c r="M535" s="94" t="n">
        <v>-0.1589964273916042</v>
      </c>
      <c r="N535" t="n">
        <v>67.81629297125562</v>
      </c>
      <c r="O535" t="n">
        <v>0.6512123181076619</v>
      </c>
      <c r="P535" s="143">
        <f>MAX($E$2:E535)</f>
        <v/>
      </c>
      <c r="Q535" s="144">
        <f>E535/P535-1</f>
        <v/>
      </c>
      <c r="R535" s="94" t="n">
        <v>0.0007324923359530722</v>
      </c>
    </row>
    <row r="536">
      <c r="A536" s="375" t="n">
        <v>45239</v>
      </c>
      <c r="B536" s="376" t="n">
        <v>102.4297916710412</v>
      </c>
      <c r="C536" s="376" t="n">
        <v>102.504409872744</v>
      </c>
      <c r="D536" s="376" t="n">
        <v>99.72494234517217</v>
      </c>
      <c r="E536" s="376" t="n">
        <v>99.799560546875</v>
      </c>
      <c r="F536" s="93" t="n">
        <v>9154200</v>
      </c>
      <c r="G536" s="94" t="n">
        <v>-0.02184854369338596</v>
      </c>
      <c r="H536" s="95" t="n">
        <v>73.88286916757862</v>
      </c>
      <c r="I536" s="376" t="n">
        <v>92.33717361450195</v>
      </c>
      <c r="J536" s="376" t="n">
        <v>103.4760805130005</v>
      </c>
      <c r="K536" s="94" t="n">
        <v>0.3184372564365688</v>
      </c>
      <c r="L536" s="94" t="n">
        <v>-0.02184854369338596</v>
      </c>
      <c r="M536" s="94" t="n">
        <v>-0.1773711306940324</v>
      </c>
      <c r="N536" t="n">
        <v>60.39506052173846</v>
      </c>
      <c r="O536" t="n">
        <v>0.4977961550167787</v>
      </c>
      <c r="P536" s="143">
        <f>MAX($E$2:E536)</f>
        <v/>
      </c>
      <c r="Q536" s="144">
        <f>E536/P536-1</f>
        <v/>
      </c>
      <c r="R536" s="94" t="n">
        <v>-0.007798799907394627</v>
      </c>
    </row>
    <row r="537">
      <c r="A537" s="375" t="n">
        <v>45240</v>
      </c>
      <c r="B537" s="376" t="n">
        <v>100.1166842220627</v>
      </c>
      <c r="C537" s="376" t="n">
        <v>100.5737154024231</v>
      </c>
      <c r="D537" s="376" t="n">
        <v>98.50310641445471</v>
      </c>
      <c r="E537" s="376" t="n">
        <v>98.96945953369141</v>
      </c>
      <c r="F537" s="93" t="n">
        <v>8897700</v>
      </c>
      <c r="G537" s="94" t="n">
        <v>-0.008317682048246122</v>
      </c>
      <c r="H537" s="95" t="n">
        <v>73.26833495303053</v>
      </c>
      <c r="I537" s="376" t="n">
        <v>92.4255941772461</v>
      </c>
      <c r="J537" s="376" t="n">
        <v>103.3818003845215</v>
      </c>
      <c r="K537" s="94" t="n">
        <v>0.3211786900964999</v>
      </c>
      <c r="L537" s="94" t="n">
        <v>-0.02998449650197332</v>
      </c>
      <c r="M537" s="94" t="n">
        <v>-0.1842134960726277</v>
      </c>
      <c r="N537" t="n">
        <v>57.85606748804312</v>
      </c>
      <c r="O537" t="n">
        <v>0.3061066927464191</v>
      </c>
      <c r="P537" s="143">
        <f>MAX($E$2:E537)</f>
        <v/>
      </c>
      <c r="Q537" s="144">
        <f>E537/P537-1</f>
        <v/>
      </c>
      <c r="R537" s="94" t="n">
        <v>0.01560495419221208</v>
      </c>
    </row>
    <row r="538">
      <c r="A538" s="375" t="n">
        <v>45243</v>
      </c>
      <c r="B538" s="376" t="n">
        <v>98.27926771558484</v>
      </c>
      <c r="C538" s="376" t="n">
        <v>98.60571350510352</v>
      </c>
      <c r="D538" s="376" t="n">
        <v>97.16934491523682</v>
      </c>
      <c r="E538" s="376" t="n">
        <v>97.18799591064453</v>
      </c>
      <c r="F538" s="93" t="n">
        <v>7055600</v>
      </c>
      <c r="G538" s="94" t="n">
        <v>-0.01800013490465135</v>
      </c>
      <c r="H538" s="95" t="n">
        <v>71.9494950396368</v>
      </c>
      <c r="I538" s="376" t="n">
        <v>92.45991775512695</v>
      </c>
      <c r="J538" s="376" t="n">
        <v>103.2786129379272</v>
      </c>
      <c r="K538" s="94" t="n">
        <v>0.3220961076221445</v>
      </c>
      <c r="L538" s="94" t="n">
        <v>-0.04744490642454113</v>
      </c>
      <c r="M538" s="94" t="n">
        <v>-0.1988977631967143</v>
      </c>
      <c r="N538" t="n">
        <v>52.73253562669855</v>
      </c>
      <c r="O538" t="n">
        <v>0.03906552811469699</v>
      </c>
      <c r="P538" s="143">
        <f>MAX($E$2:E538)</f>
        <v/>
      </c>
      <c r="Q538" s="144">
        <f>E538/P538-1</f>
        <v/>
      </c>
      <c r="R538" s="94" t="n">
        <v>-0.0009533215038348697</v>
      </c>
    </row>
    <row r="539">
      <c r="A539" s="375" t="n">
        <v>45244</v>
      </c>
      <c r="B539" s="376" t="n">
        <v>98.45647340867203</v>
      </c>
      <c r="C539" s="376" t="n">
        <v>99.89284194500877</v>
      </c>
      <c r="D539" s="376" t="n">
        <v>98.28858599232137</v>
      </c>
      <c r="E539" s="376" t="n">
        <v>98.63368988037109</v>
      </c>
      <c r="F539" s="93" t="n">
        <v>9674800</v>
      </c>
      <c r="G539" s="94" t="n">
        <v>0.01487523182447092</v>
      </c>
      <c r="H539" s="95" t="n">
        <v>73.01976045800502</v>
      </c>
      <c r="I539" s="376" t="n">
        <v>92.56120986938477</v>
      </c>
      <c r="J539" s="376" t="n">
        <v>103.1880125427246</v>
      </c>
      <c r="K539" s="94" t="n">
        <v>0.3244782011398034</v>
      </c>
      <c r="L539" s="94" t="n">
        <v>-0.03327542858202548</v>
      </c>
      <c r="M539" s="94" t="n">
        <v>-0.1869811817091632</v>
      </c>
      <c r="N539" t="n">
        <v>56.12794832933682</v>
      </c>
      <c r="O539" t="n">
        <v>-0.05534526453595334</v>
      </c>
      <c r="P539" s="143">
        <f>MAX($E$2:E539)</f>
        <v/>
      </c>
      <c r="Q539" s="144">
        <f>E539/P539-1</f>
        <v/>
      </c>
      <c r="R539" s="94" t="n">
        <v>0.01940071204308924</v>
      </c>
    </row>
    <row r="540">
      <c r="A540" s="375" t="n">
        <v>45245</v>
      </c>
      <c r="B540" s="376" t="n">
        <v>99.63169335674637</v>
      </c>
      <c r="C540" s="376" t="n">
        <v>101.7209536162525</v>
      </c>
      <c r="D540" s="376" t="n">
        <v>99.53842414369414</v>
      </c>
      <c r="E540" s="376" t="n">
        <v>100.5643997192383</v>
      </c>
      <c r="F540" s="93" t="n">
        <v>11140800</v>
      </c>
      <c r="G540" s="94" t="n">
        <v>0.01957454741081732</v>
      </c>
      <c r="H540" s="95" t="n">
        <v>74.44908922101676</v>
      </c>
      <c r="I540" s="376" t="n">
        <v>92.70372772216797</v>
      </c>
      <c r="J540" s="376" t="n">
        <v>103.1026310348511</v>
      </c>
      <c r="K540" s="94" t="n">
        <v>0.3302402810977693</v>
      </c>
      <c r="L540" s="94" t="n">
        <v>-0.01435223262560237</v>
      </c>
      <c r="M540" s="94" t="n">
        <v>-0.1710667063046425</v>
      </c>
      <c r="N540" t="n">
        <v>60.23608363275182</v>
      </c>
      <c r="O540" t="n">
        <v>-0.005526791941641074</v>
      </c>
      <c r="P540" s="143">
        <f>MAX($E$2:E540)</f>
        <v/>
      </c>
      <c r="Q540" s="144">
        <f>E540/P540-1</f>
        <v/>
      </c>
      <c r="R540" s="94" t="n">
        <v>0.002116913361341677</v>
      </c>
    </row>
    <row r="541">
      <c r="A541" s="375" t="n">
        <v>45246</v>
      </c>
      <c r="B541" s="376" t="n">
        <v>99.89284045216095</v>
      </c>
      <c r="C541" s="376" t="n">
        <v>100.7322775213692</v>
      </c>
      <c r="D541" s="376" t="n">
        <v>99.79957124802317</v>
      </c>
      <c r="E541" s="376" t="n">
        <v>100.368522644043</v>
      </c>
      <c r="F541" s="93" t="n">
        <v>5386800</v>
      </c>
      <c r="G541" s="94" t="n">
        <v>-0.001947777501204895</v>
      </c>
      <c r="H541" s="95" t="n">
        <v>74.30407896004687</v>
      </c>
      <c r="I541" s="376" t="n">
        <v>92.88429977416992</v>
      </c>
      <c r="J541" s="376" t="n">
        <v>103.006245765686</v>
      </c>
      <c r="K541" s="94" t="n">
        <v>0.3288969114708247</v>
      </c>
      <c r="L541" s="94" t="n">
        <v>-0.01627205517100716</v>
      </c>
      <c r="M541" s="94" t="n">
        <v>-0.172681283924102</v>
      </c>
      <c r="N541" t="n">
        <v>59.62606343288299</v>
      </c>
      <c r="O541" t="n">
        <v>-0.003620988815390858</v>
      </c>
      <c r="P541" s="143">
        <f>MAX($E$2:E541)</f>
        <v/>
      </c>
      <c r="Q541" s="144">
        <f>E541/P541-1</f>
        <v/>
      </c>
      <c r="R541" s="94" t="n">
        <v>0.001223314671873421</v>
      </c>
    </row>
    <row r="542">
      <c r="A542" s="375" t="n">
        <v>45247</v>
      </c>
      <c r="B542" s="376" t="n">
        <v>100.7882255843025</v>
      </c>
      <c r="C542" s="376" t="n">
        <v>100.9281329317932</v>
      </c>
      <c r="D542" s="376" t="n">
        <v>98.41915107900569</v>
      </c>
      <c r="E542" s="376" t="n">
        <v>98.82954406738281</v>
      </c>
      <c r="F542" s="93" t="n">
        <v>6352600</v>
      </c>
      <c r="G542" s="94" t="n">
        <v>-0.01533327916081961</v>
      </c>
      <c r="H542" s="95" t="n">
        <v>73.1647537745649</v>
      </c>
      <c r="I542" s="376" t="n">
        <v>93.03894226074219</v>
      </c>
      <c r="J542" s="376" t="n">
        <v>102.9041981887817</v>
      </c>
      <c r="K542" s="94" t="n">
        <v>0.3342953917580884</v>
      </c>
      <c r="L542" s="94" t="n">
        <v>-0.03135583036736922</v>
      </c>
      <c r="M542" s="94" t="n">
        <v>-0.1853667927526645</v>
      </c>
      <c r="N542" t="n">
        <v>54.92006100715559</v>
      </c>
      <c r="O542" t="n">
        <v>-0.1175511711656376</v>
      </c>
      <c r="P542" s="143">
        <f>MAX($E$2:E542)</f>
        <v/>
      </c>
      <c r="Q542" s="144">
        <f>E542/P542-1</f>
        <v/>
      </c>
      <c r="R542" s="94" t="n">
        <v>0.001243818946573771</v>
      </c>
    </row>
    <row r="543">
      <c r="A543" s="375" t="n">
        <v>45250</v>
      </c>
      <c r="B543" s="376" t="n">
        <v>98.86686326183168</v>
      </c>
      <c r="C543" s="376" t="n">
        <v>99.37985454967819</v>
      </c>
      <c r="D543" s="376" t="n">
        <v>98.0274262071665</v>
      </c>
      <c r="E543" s="376" t="n">
        <v>99.16532897949219</v>
      </c>
      <c r="F543" s="93" t="n">
        <v>6197400</v>
      </c>
      <c r="G543" s="94" t="n">
        <v>0.003397616727650155</v>
      </c>
      <c r="H543" s="95" t="n">
        <v>73.41333956586375</v>
      </c>
      <c r="I543" s="376" t="n">
        <v>93.21671600341797</v>
      </c>
      <c r="J543" s="376" t="n">
        <v>102.8105278778076</v>
      </c>
      <c r="K543" s="94" t="n">
        <v>0.3343391114685536</v>
      </c>
      <c r="L543" s="94" t="n">
        <v>-0.02806474873348475</v>
      </c>
      <c r="M543" s="94" t="n">
        <v>-0.1825989813408218</v>
      </c>
      <c r="N543" t="n">
        <v>55.74085156107759</v>
      </c>
      <c r="O543" t="n">
        <v>-0.1782017477159406</v>
      </c>
      <c r="P543" s="143">
        <f>MAX($E$2:E543)</f>
        <v/>
      </c>
      <c r="Q543" s="144">
        <f>E543/P543-1</f>
        <v/>
      </c>
      <c r="R543" s="94" t="n">
        <v>0.007697576776408699</v>
      </c>
    </row>
    <row r="544">
      <c r="A544" s="375" t="n">
        <v>45251</v>
      </c>
      <c r="B544" s="376" t="n">
        <v>99.02543457537188</v>
      </c>
      <c r="C544" s="376" t="n">
        <v>99.51976781780799</v>
      </c>
      <c r="D544" s="376" t="n">
        <v>98.2606156290399</v>
      </c>
      <c r="E544" s="376" t="n">
        <v>99.37986755371094</v>
      </c>
      <c r="F544" s="93" t="n">
        <v>5803500</v>
      </c>
      <c r="G544" s="94" t="n">
        <v>0.002163443377101171</v>
      </c>
      <c r="H544" s="95" t="n">
        <v>73.5721651691384</v>
      </c>
      <c r="I544" s="376" t="n">
        <v>93.40792098999023</v>
      </c>
      <c r="J544" s="376" t="n">
        <v>102.7266148757935</v>
      </c>
      <c r="K544" s="94" t="n">
        <v>0.3248909956163096</v>
      </c>
      <c r="L544" s="94" t="n">
        <v>-0.02596202185116103</v>
      </c>
      <c r="M544" s="94" t="n">
        <v>-0.1808305805205678</v>
      </c>
      <c r="N544" t="n">
        <v>56.28846485758124</v>
      </c>
      <c r="O544" t="n">
        <v>-0.2096097963063204</v>
      </c>
      <c r="P544" s="143">
        <f>MAX($E$2:E544)</f>
        <v/>
      </c>
      <c r="Q544" s="144">
        <f>E544/P544-1</f>
        <v/>
      </c>
      <c r="R544" s="94" t="n">
        <v>-0.002179263434872736</v>
      </c>
    </row>
    <row r="545">
      <c r="A545" s="375" t="n">
        <v>45252</v>
      </c>
      <c r="B545" s="376" t="n">
        <v>100.2659189030412</v>
      </c>
      <c r="C545" s="376" t="n">
        <v>100.7602520623314</v>
      </c>
      <c r="D545" s="376" t="n">
        <v>99.63167838720125</v>
      </c>
      <c r="E545" s="376" t="n">
        <v>100.6576538085938</v>
      </c>
      <c r="F545" s="93" t="n">
        <v>6280300</v>
      </c>
      <c r="G545" s="94" t="n">
        <v>0.01285759667763919</v>
      </c>
      <c r="H545" s="95" t="n">
        <v>74.51812639558383</v>
      </c>
      <c r="I545" s="376" t="n">
        <v>93.62785293579101</v>
      </c>
      <c r="J545" s="376" t="n">
        <v>102.6509386825562</v>
      </c>
      <c r="K545" s="94" t="n">
        <v>0.3214773185086045</v>
      </c>
      <c r="L545" s="94" t="n">
        <v>-0.01343823437942016</v>
      </c>
      <c r="M545" s="94" t="n">
        <v>-0.1702980305142454</v>
      </c>
      <c r="N545" t="n">
        <v>59.50240421273464</v>
      </c>
      <c r="O545" t="n">
        <v>-0.1527110069218423</v>
      </c>
      <c r="P545" s="143">
        <f>MAX($E$2:E545)</f>
        <v/>
      </c>
      <c r="Q545" s="144">
        <f>E545/P545-1</f>
        <v/>
      </c>
      <c r="R545" s="94" t="n">
        <v>0.003860786336242761</v>
      </c>
    </row>
    <row r="546">
      <c r="A546" s="375" t="n">
        <v>45254</v>
      </c>
      <c r="B546" s="376" t="n">
        <v>100.2659213287791</v>
      </c>
      <c r="C546" s="376" t="n">
        <v>100.7322744512386</v>
      </c>
      <c r="D546" s="376" t="n">
        <v>100.172652127484</v>
      </c>
      <c r="E546" s="376" t="n">
        <v>100.3964996337891</v>
      </c>
      <c r="F546" s="93" t="n">
        <v>2443600</v>
      </c>
      <c r="G546" s="94" t="n">
        <v>-0.002594479057710708</v>
      </c>
      <c r="H546" s="95" t="n">
        <v>74.32479067723065</v>
      </c>
      <c r="I546" s="376" t="n">
        <v>93.82278869628907</v>
      </c>
      <c r="J546" s="376" t="n">
        <v>102.5851358413696</v>
      </c>
      <c r="K546" s="94" t="n">
        <v>0.2925149874445086</v>
      </c>
      <c r="L546" s="94" t="n">
        <v>-0.01599784821946082</v>
      </c>
      <c r="M546" s="94" t="n">
        <v>-0.1724506748982175</v>
      </c>
      <c r="N546" t="n">
        <v>58.55479875076519</v>
      </c>
      <c r="O546" t="n">
        <v>-0.1413094545449849</v>
      </c>
      <c r="P546" s="143">
        <f>MAX($E$2:E546)</f>
        <v/>
      </c>
      <c r="Q546" s="144">
        <f>E546/P546-1</f>
        <v/>
      </c>
      <c r="R546" s="94" t="n">
        <v>0.0006153278244525051</v>
      </c>
    </row>
    <row r="547">
      <c r="A547" s="375" t="n">
        <v>45257</v>
      </c>
      <c r="B547" s="376" t="n">
        <v>100.4151539545246</v>
      </c>
      <c r="C547" s="376" t="n">
        <v>100.9374671548551</v>
      </c>
      <c r="D547" s="376" t="n">
        <v>99.70629524265922</v>
      </c>
      <c r="E547" s="376" t="n">
        <v>100.6949615478516</v>
      </c>
      <c r="F547" s="93" t="n">
        <v>5785000</v>
      </c>
      <c r="G547" s="94" t="n">
        <v>0.002972831873134796</v>
      </c>
      <c r="H547" s="95" t="n">
        <v>74.54574578392</v>
      </c>
      <c r="I547" s="376" t="n">
        <v>94.04104141235352</v>
      </c>
      <c r="J547" s="376" t="n">
        <v>102.5241975784302</v>
      </c>
      <c r="K547" s="94" t="n">
        <v>0.2782511241513254</v>
      </c>
      <c r="L547" s="94" t="n">
        <v>-0.01307257525941441</v>
      </c>
      <c r="M547" s="94" t="n">
        <v>-0.1699905098879637</v>
      </c>
      <c r="N547" t="n">
        <v>59.35153364166019</v>
      </c>
      <c r="O547" t="n">
        <v>-0.1229869128551662</v>
      </c>
      <c r="P547" s="143">
        <f>MAX($E$2:E547)</f>
        <v/>
      </c>
      <c r="Q547" s="144">
        <f>E547/P547-1</f>
        <v/>
      </c>
      <c r="R547" s="94" t="n">
        <v>-0.001800992829180892</v>
      </c>
    </row>
    <row r="548">
      <c r="A548" s="375" t="n">
        <v>45258</v>
      </c>
      <c r="B548" s="376" t="n">
        <v>101.2639134390103</v>
      </c>
      <c r="C548" s="376" t="n">
        <v>102.5044144123198</v>
      </c>
      <c r="D548" s="376" t="n">
        <v>100.8721785366969</v>
      </c>
      <c r="E548" s="376" t="n">
        <v>101.4318008422852</v>
      </c>
      <c r="F548" s="93" t="n">
        <v>7287400</v>
      </c>
      <c r="G548" s="94" t="n">
        <v>0.007317538862989137</v>
      </c>
      <c r="H548" s="95" t="n">
        <v>75.09123717576435</v>
      </c>
      <c r="I548" s="376" t="n">
        <v>94.28802200317382</v>
      </c>
      <c r="J548" s="376" t="n">
        <v>102.4667126083374</v>
      </c>
      <c r="K548" s="94" t="n">
        <v>0.2480200812546706</v>
      </c>
      <c r="L548" s="94" t="n">
        <v>-0.005850695473925249</v>
      </c>
      <c r="M548" s="94" t="n">
        <v>-0.1639168831874191</v>
      </c>
      <c r="N548" t="n">
        <v>61.32806638225232</v>
      </c>
      <c r="O548" t="n">
        <v>-0.07303039471986317</v>
      </c>
      <c r="P548" s="143">
        <f>MAX($E$2:E548)</f>
        <v/>
      </c>
      <c r="Q548" s="144">
        <f>E548/P548-1</f>
        <v/>
      </c>
      <c r="R548" s="94" t="n">
        <v>0.0009900947357734946</v>
      </c>
    </row>
    <row r="549">
      <c r="A549" s="375" t="n">
        <v>45259</v>
      </c>
      <c r="B549" s="376" t="n">
        <v>103.34385878529</v>
      </c>
      <c r="C549" s="376" t="n">
        <v>104.603010841493</v>
      </c>
      <c r="D549" s="376" t="n">
        <v>102.7375982794191</v>
      </c>
      <c r="E549" s="376" t="n">
        <v>102.9427947998047</v>
      </c>
      <c r="F549" s="93" t="n">
        <v>9601800</v>
      </c>
      <c r="G549" s="94" t="n">
        <v>0.01489664922610379</v>
      </c>
      <c r="H549" s="95" t="n">
        <v>76.20984499592586</v>
      </c>
      <c r="I549" s="376" t="n">
        <v>94.58182464599609</v>
      </c>
      <c r="J549" s="376" t="n">
        <v>102.4032935714722</v>
      </c>
      <c r="K549" s="94" t="n">
        <v>0.2504925317151275</v>
      </c>
      <c r="L549" s="94" t="n">
        <v>0</v>
      </c>
      <c r="M549" s="94" t="n">
        <v>-0.1514620462723946</v>
      </c>
      <c r="N549" t="n">
        <v>65.07807804549249</v>
      </c>
      <c r="O549" t="n">
        <v>0.04370607684337657</v>
      </c>
      <c r="P549" s="143">
        <f>MAX($E$2:E549)</f>
        <v/>
      </c>
      <c r="Q549" s="144">
        <f>E549/P549-1</f>
        <v/>
      </c>
      <c r="R549" s="94" t="n">
        <v>-0.000703440521818921</v>
      </c>
    </row>
    <row r="550">
      <c r="A550" s="375" t="n">
        <v>45260</v>
      </c>
      <c r="B550" s="376" t="n">
        <v>103.0920157988789</v>
      </c>
      <c r="C550" s="376" t="n">
        <v>103.1573049486521</v>
      </c>
      <c r="D550" s="376" t="n">
        <v>101.627667340265</v>
      </c>
      <c r="E550" s="376" t="n">
        <v>102.8495101928711</v>
      </c>
      <c r="F550" s="93" t="n">
        <v>8690900</v>
      </c>
      <c r="G550" s="94" t="n">
        <v>-0.0009061790785358514</v>
      </c>
      <c r="H550" s="95" t="n">
        <v>76.14078522881211</v>
      </c>
      <c r="I550" s="376" t="n">
        <v>94.88458084106445</v>
      </c>
      <c r="J550" s="376" t="n">
        <v>102.3345576477051</v>
      </c>
      <c r="K550" s="94" t="n">
        <v>0.2373960917793018</v>
      </c>
      <c r="L550" s="94" t="n">
        <v>-0.0009061790785357404</v>
      </c>
      <c r="M550" s="94" t="n">
        <v>-0.1522309736134062</v>
      </c>
      <c r="N550" t="n">
        <v>64.66119674895455</v>
      </c>
      <c r="O550" t="n">
        <v>0.09369848564924577</v>
      </c>
      <c r="P550" s="143">
        <f>MAX($E$2:E550)</f>
        <v/>
      </c>
      <c r="Q550" s="144">
        <f>E550/P550-1</f>
        <v/>
      </c>
      <c r="R550" s="94" t="n">
        <v>0.003937529378508886</v>
      </c>
    </row>
    <row r="551">
      <c r="A551" s="375" t="n">
        <v>45261</v>
      </c>
      <c r="B551" s="376" t="n">
        <v>103.251927001458</v>
      </c>
      <c r="C551" s="376" t="n">
        <v>106.2653533176629</v>
      </c>
      <c r="D551" s="376" t="n">
        <v>102.7091344180546</v>
      </c>
      <c r="E551" s="376" t="n">
        <v>106.1998443603516</v>
      </c>
      <c r="F551" s="93" t="n">
        <v>8051800</v>
      </c>
      <c r="G551" s="94" t="n">
        <v>0.03257511057853035</v>
      </c>
      <c r="H551" s="95" t="n">
        <v>78.62107972717679</v>
      </c>
      <c r="I551" s="376" t="n">
        <v>95.30004623413086</v>
      </c>
      <c r="J551" s="376" t="n">
        <v>102.2766603851318</v>
      </c>
      <c r="K551" s="94" t="n">
        <v>0.2201899954866167</v>
      </c>
      <c r="L551" s="94" t="n">
        <v>0</v>
      </c>
      <c r="M551" s="94" t="n">
        <v>-0.1246148038338099</v>
      </c>
      <c r="N551" t="n">
        <v>71.67832547870562</v>
      </c>
      <c r="O551" t="n">
        <v>0.3187864717477316</v>
      </c>
      <c r="P551" s="143">
        <f>MAX($E$2:E551)</f>
        <v/>
      </c>
      <c r="Q551" s="144">
        <f>E551/P551-1</f>
        <v/>
      </c>
      <c r="R551" s="94" t="n">
        <v>0.005915785391005901</v>
      </c>
    </row>
    <row r="552">
      <c r="A552" s="375" t="n">
        <v>45264</v>
      </c>
      <c r="B552" s="376" t="n">
        <v>105.8255088774978</v>
      </c>
      <c r="C552" s="376" t="n">
        <v>107.9218027400685</v>
      </c>
      <c r="D552" s="376" t="n">
        <v>105.7506394545636</v>
      </c>
      <c r="E552" s="376" t="n">
        <v>107.7627105712891</v>
      </c>
      <c r="F552" s="93" t="n">
        <v>10086600</v>
      </c>
      <c r="G552" s="94" t="n">
        <v>0.01471627590747193</v>
      </c>
      <c r="H552" s="95" t="n">
        <v>79.77808922858527</v>
      </c>
      <c r="I552" s="376" t="n">
        <v>95.76057327270507</v>
      </c>
      <c r="J552" s="376" t="n">
        <v>102.2408980178833</v>
      </c>
      <c r="K552" s="94" t="n">
        <v>0.2169925396811028</v>
      </c>
      <c r="L552" s="94" t="n">
        <v>0</v>
      </c>
      <c r="M552" s="94" t="n">
        <v>-0.1117323937617118</v>
      </c>
      <c r="N552" t="n">
        <v>74.24724049154854</v>
      </c>
      <c r="O552" t="n">
        <v>0.5270228813681597</v>
      </c>
      <c r="P552" s="143">
        <f>MAX($E$2:E552)</f>
        <v/>
      </c>
      <c r="Q552" s="144">
        <f>E552/P552-1</f>
        <v/>
      </c>
      <c r="R552" s="94" t="n">
        <v>-0.005249423431893274</v>
      </c>
    </row>
    <row r="553">
      <c r="A553" s="375" t="n">
        <v>45265</v>
      </c>
      <c r="B553" s="376" t="n">
        <v>107.3041500614726</v>
      </c>
      <c r="C553" s="376" t="n">
        <v>108.5956155039607</v>
      </c>
      <c r="D553" s="376" t="n">
        <v>107.2479944231443</v>
      </c>
      <c r="E553" s="376" t="n">
        <v>108.0060348510742</v>
      </c>
      <c r="F553" s="93" t="n">
        <v>6960000</v>
      </c>
      <c r="G553" s="94" t="n">
        <v>0.002257963617425807</v>
      </c>
      <c r="H553" s="95" t="n">
        <v>79.95822525153116</v>
      </c>
      <c r="I553" s="376" t="n">
        <v>96.23063034057617</v>
      </c>
      <c r="J553" s="376" t="n">
        <v>102.2042272567749</v>
      </c>
      <c r="K553" s="94" t="n">
        <v>0.2169363381883085</v>
      </c>
      <c r="L553" s="94" t="n">
        <v>0</v>
      </c>
      <c r="M553" s="94" t="n">
        <v>-0.1097267178242879</v>
      </c>
      <c r="N553" t="n">
        <v>74.63302765487751</v>
      </c>
      <c r="O553" t="n">
        <v>0.6283696775267615</v>
      </c>
      <c r="P553" s="143">
        <f>MAX($E$2:E553)</f>
        <v/>
      </c>
      <c r="Q553" s="144">
        <f>E553/P553-1</f>
        <v/>
      </c>
      <c r="R553" s="94" t="n">
        <v>-0.0001969914288287855</v>
      </c>
    </row>
    <row r="554">
      <c r="A554" s="375" t="n">
        <v>45266</v>
      </c>
      <c r="B554" s="376" t="n">
        <v>108.5581815087553</v>
      </c>
      <c r="C554" s="376" t="n">
        <v>109.6250458248012</v>
      </c>
      <c r="D554" s="376" t="n">
        <v>108.1557672744614</v>
      </c>
      <c r="E554" s="376" t="n">
        <v>108.6611251831055</v>
      </c>
      <c r="F554" s="93" t="n">
        <v>6317000</v>
      </c>
      <c r="G554" s="94" t="n">
        <v>0.006065312303470183</v>
      </c>
      <c r="H554" s="95" t="n">
        <v>80.44319685891293</v>
      </c>
      <c r="I554" s="376" t="n">
        <v>96.72181060791016</v>
      </c>
      <c r="J554" s="376" t="n">
        <v>102.1881089782715</v>
      </c>
      <c r="K554" s="94" t="n">
        <v>0.209073235880345</v>
      </c>
      <c r="L554" s="94" t="n">
        <v>0</v>
      </c>
      <c r="M554" s="94" t="n">
        <v>-0.1043269323324567</v>
      </c>
      <c r="N554" t="n">
        <v>75.68894106072847</v>
      </c>
      <c r="O554" t="n">
        <v>0.6822531341337355</v>
      </c>
      <c r="P554" s="143">
        <f>MAX($E$2:E554)</f>
        <v/>
      </c>
      <c r="Q554" s="144">
        <f>E554/P554-1</f>
        <v/>
      </c>
      <c r="R554" s="94" t="n">
        <v>-0.004030006534640029</v>
      </c>
    </row>
    <row r="555">
      <c r="A555" s="375" t="n">
        <v>45267</v>
      </c>
      <c r="B555" s="376" t="n">
        <v>106.7987899053045</v>
      </c>
      <c r="C555" s="376" t="n">
        <v>108.5581785037801</v>
      </c>
      <c r="D555" s="376" t="n">
        <v>106.7987899053045</v>
      </c>
      <c r="E555" s="376" t="n">
        <v>107.4445190429688</v>
      </c>
      <c r="F555" s="93" t="n">
        <v>7294500</v>
      </c>
      <c r="G555" s="94" t="n">
        <v>-0.01119633298556966</v>
      </c>
      <c r="H555" s="95" t="n">
        <v>79.5425280404568</v>
      </c>
      <c r="I555" s="376" t="n">
        <v>97.20264907836913</v>
      </c>
      <c r="J555" s="376" t="n">
        <v>102.1714511108398</v>
      </c>
      <c r="K555" s="94" t="n">
        <v>0.2151158717326064</v>
      </c>
      <c r="L555" s="94" t="n">
        <v>-0.01119633298556977</v>
      </c>
      <c r="M555" s="94" t="n">
        <v>-0.1143551862442692</v>
      </c>
      <c r="N555" t="n">
        <v>69.87197926768228</v>
      </c>
      <c r="O555" t="n">
        <v>0.5825605400660643</v>
      </c>
      <c r="P555" s="143">
        <f>MAX($E$2:E555)</f>
        <v/>
      </c>
      <c r="Q555" s="144">
        <f>E555/P555-1</f>
        <v/>
      </c>
      <c r="R555" s="94" t="n">
        <v>0.007630657819192255</v>
      </c>
    </row>
    <row r="556">
      <c r="A556" s="375" t="n">
        <v>45268</v>
      </c>
      <c r="B556" s="376" t="n">
        <v>107.154406473802</v>
      </c>
      <c r="C556" s="376" t="n">
        <v>108.8295722876963</v>
      </c>
      <c r="D556" s="376" t="n">
        <v>107.1263322258501</v>
      </c>
      <c r="E556" s="376" t="n">
        <v>108.4739532470703</v>
      </c>
      <c r="F556" s="93" t="n">
        <v>6122200</v>
      </c>
      <c r="G556" s="94" t="n">
        <v>0.009581076943439681</v>
      </c>
      <c r="H556" s="95" t="n">
        <v>80.30463112188812</v>
      </c>
      <c r="I556" s="376" t="n">
        <v>97.70015914916992</v>
      </c>
      <c r="J556" s="376" t="n">
        <v>102.1596632003784</v>
      </c>
      <c r="K556" s="94" t="n">
        <v>0.1956393061612805</v>
      </c>
      <c r="L556" s="94" t="n">
        <v>-0.001722528969949177</v>
      </c>
      <c r="M556" s="94" t="n">
        <v>-0.1058697551391172</v>
      </c>
      <c r="N556" t="n">
        <v>71.84381556536869</v>
      </c>
      <c r="O556" t="n">
        <v>0.5338447775121002</v>
      </c>
      <c r="P556" s="143">
        <f>MAX($E$2:E556)</f>
        <v/>
      </c>
      <c r="Q556" s="144">
        <f>E556/P556-1</f>
        <v/>
      </c>
      <c r="R556" s="94" t="n">
        <v>0.004299081374689484</v>
      </c>
    </row>
    <row r="557">
      <c r="A557" s="375" t="n">
        <v>45271</v>
      </c>
      <c r="B557" s="376" t="n">
        <v>110.23333872621</v>
      </c>
      <c r="C557" s="376" t="n">
        <v>111.7587656551704</v>
      </c>
      <c r="D557" s="376" t="n">
        <v>109.8964334803141</v>
      </c>
      <c r="E557" s="376" t="n">
        <v>111.000732421875</v>
      </c>
      <c r="F557" s="93" t="n">
        <v>7972800</v>
      </c>
      <c r="G557" s="94" t="n">
        <v>0.02329387930620963</v>
      </c>
      <c r="H557" s="95" t="n">
        <v>82.17523750697107</v>
      </c>
      <c r="I557" s="376" t="n">
        <v>98.13646636962891</v>
      </c>
      <c r="J557" s="376" t="n">
        <v>102.1693786621094</v>
      </c>
      <c r="K557" s="94" t="n">
        <v>0.2008212960869757</v>
      </c>
      <c r="L557" s="94" t="n">
        <v>0</v>
      </c>
      <c r="M557" s="94" t="n">
        <v>-0.08504199313129612</v>
      </c>
      <c r="N557" t="n">
        <v>75.99649409163484</v>
      </c>
      <c r="O557" t="n">
        <v>0.6139743838633982</v>
      </c>
      <c r="P557" s="143">
        <f>MAX($E$2:E557)</f>
        <v/>
      </c>
      <c r="Q557" s="144">
        <f>E557/P557-1</f>
        <v/>
      </c>
      <c r="R557" s="94" t="n">
        <v>0.003889631742288513</v>
      </c>
    </row>
    <row r="558">
      <c r="A558" s="375" t="n">
        <v>45272</v>
      </c>
      <c r="B558" s="376" t="n">
        <v>112.0021029885741</v>
      </c>
      <c r="C558" s="376" t="n">
        <v>112.2922131021711</v>
      </c>
      <c r="D558" s="376" t="n">
        <v>110.9726733255424</v>
      </c>
      <c r="E558" s="376" t="n">
        <v>111.9646682739258</v>
      </c>
      <c r="F558" s="93" t="n">
        <v>7378400</v>
      </c>
      <c r="G558" s="94" t="n">
        <v>0.008684049474441347</v>
      </c>
      <c r="H558" s="95" t="n">
        <v>82.88885133505558</v>
      </c>
      <c r="I558" s="376" t="n">
        <v>98.61182571411133</v>
      </c>
      <c r="J558" s="376" t="n">
        <v>102.1816501998901</v>
      </c>
      <c r="K558" s="94" t="n">
        <v>0.1800954807406501</v>
      </c>
      <c r="L558" s="94" t="n">
        <v>0</v>
      </c>
      <c r="M558" s="94" t="n">
        <v>-0.0770964525326121</v>
      </c>
      <c r="N558" t="n">
        <v>77.36783710731568</v>
      </c>
      <c r="O558" t="n">
        <v>0.6695248633358268</v>
      </c>
      <c r="P558" s="143">
        <f>MAX($E$2:E558)</f>
        <v/>
      </c>
      <c r="Q558" s="144">
        <f>E558/P558-1</f>
        <v/>
      </c>
      <c r="R558" s="94" t="n">
        <v>0.004567183363860527</v>
      </c>
    </row>
    <row r="559">
      <c r="A559" s="375" t="n">
        <v>45273</v>
      </c>
      <c r="B559" s="376" t="n">
        <v>111.6932746052352</v>
      </c>
      <c r="C559" s="376" t="n">
        <v>113.6491974374808</v>
      </c>
      <c r="D559" s="376" t="n">
        <v>111.5528962069495</v>
      </c>
      <c r="E559" s="376" t="n">
        <v>113.3965148925781</v>
      </c>
      <c r="F559" s="93" t="n">
        <v>8182900</v>
      </c>
      <c r="G559" s="94" t="n">
        <v>0.01278837905498253</v>
      </c>
      <c r="H559" s="95" t="n">
        <v>83.94886538536036</v>
      </c>
      <c r="I559" s="376" t="n">
        <v>99.10593521118165</v>
      </c>
      <c r="J559" s="376" t="n">
        <v>102.199879951477</v>
      </c>
      <c r="K559" s="94" t="n">
        <v>0.1790595086261365</v>
      </c>
      <c r="L559" s="94" t="n">
        <v>0</v>
      </c>
      <c r="M559" s="94" t="n">
        <v>-0.06529401213641106</v>
      </c>
      <c r="N559" t="n">
        <v>79.2630154013536</v>
      </c>
      <c r="O559" t="n">
        <v>0.735092563735773</v>
      </c>
      <c r="P559" s="143">
        <f>MAX($E$2:E559)</f>
        <v/>
      </c>
      <c r="Q559" s="144">
        <f>E559/P559-1</f>
        <v/>
      </c>
      <c r="R559" s="94" t="n">
        <v>0.01379001120121348</v>
      </c>
    </row>
    <row r="560">
      <c r="A560" s="375" t="n">
        <v>45274</v>
      </c>
      <c r="B560" s="376" t="n">
        <v>113.6491796561047</v>
      </c>
      <c r="C560" s="376" t="n">
        <v>114.7253972147138</v>
      </c>
      <c r="D560" s="376" t="n">
        <v>112.1331060437172</v>
      </c>
      <c r="E560" s="376" t="n">
        <v>113.2561187744141</v>
      </c>
      <c r="F560" s="93" t="n">
        <v>9590500</v>
      </c>
      <c r="G560" s="94" t="n">
        <v>-0.001238099057074726</v>
      </c>
      <c r="H560" s="95" t="n">
        <v>83.84492837428425</v>
      </c>
      <c r="I560" s="376" t="n">
        <v>99.58231369018554</v>
      </c>
      <c r="J560" s="376" t="n">
        <v>102.2183778381348</v>
      </c>
      <c r="K560" s="94" t="n">
        <v>0.17495756072737</v>
      </c>
      <c r="L560" s="94" t="n">
        <v>-0.001238099057074837</v>
      </c>
      <c r="M560" s="94" t="n">
        <v>-0.066451270738627</v>
      </c>
      <c r="N560" t="n">
        <v>78.56828774630966</v>
      </c>
      <c r="O560" t="n">
        <v>0.7014894138821974</v>
      </c>
      <c r="P560" s="143">
        <f>MAX($E$2:E560)</f>
        <v/>
      </c>
      <c r="Q560" s="144">
        <f>E560/P560-1</f>
        <v/>
      </c>
      <c r="R560" s="94" t="n">
        <v>0.003209466230523539</v>
      </c>
    </row>
    <row r="561">
      <c r="A561" s="375" t="n">
        <v>45275</v>
      </c>
      <c r="B561" s="376" t="n">
        <v>113.1718936935122</v>
      </c>
      <c r="C561" s="376" t="n">
        <v>114.2293974453939</v>
      </c>
      <c r="D561" s="376" t="n">
        <v>112.8630626999743</v>
      </c>
      <c r="E561" s="376" t="n">
        <v>113.7521209716797</v>
      </c>
      <c r="F561" s="93" t="n">
        <v>13633300</v>
      </c>
      <c r="G561" s="94" t="n">
        <v>0.004379473732925465</v>
      </c>
      <c r="H561" s="95" t="n">
        <v>84.21212503573845</v>
      </c>
      <c r="I561" s="376" t="n">
        <v>100.0704777526855</v>
      </c>
      <c r="J561" s="376" t="n">
        <v>102.2347361755371</v>
      </c>
      <c r="K561" s="94" t="n">
        <v>0.1725621135915938</v>
      </c>
      <c r="L561" s="94" t="n">
        <v>0</v>
      </c>
      <c r="M561" s="94" t="n">
        <v>-0.06236281860042092</v>
      </c>
      <c r="N561" t="n">
        <v>79.25990824101908</v>
      </c>
      <c r="O561" t="n">
        <v>0.646504046467542</v>
      </c>
      <c r="P561" s="143">
        <f>MAX($E$2:E561)</f>
        <v/>
      </c>
      <c r="Q561" s="144">
        <f>E561/P561-1</f>
        <v/>
      </c>
      <c r="R561" s="94" t="n">
        <v>-0.001646460943632189</v>
      </c>
    </row>
    <row r="562">
      <c r="A562" s="375" t="n">
        <v>45278</v>
      </c>
      <c r="B562" s="376" t="n">
        <v>113.6211059685271</v>
      </c>
      <c r="C562" s="376" t="n">
        <v>114.0235130347241</v>
      </c>
      <c r="D562" s="376" t="n">
        <v>113.1063876327901</v>
      </c>
      <c r="E562" s="376" t="n">
        <v>113.3684234619141</v>
      </c>
      <c r="F562" s="93" t="n">
        <v>6874800</v>
      </c>
      <c r="G562" s="94" t="n">
        <v>-0.003373102026477004</v>
      </c>
      <c r="H562" s="95" t="n">
        <v>83.92806894612647</v>
      </c>
      <c r="I562" s="376" t="n">
        <v>100.5263438415527</v>
      </c>
      <c r="J562" s="376" t="n">
        <v>102.2413004302979</v>
      </c>
      <c r="K562" s="94" t="n">
        <v>0.157181202514718</v>
      </c>
      <c r="L562" s="94" t="n">
        <v>-0.003373102026477004</v>
      </c>
      <c r="M562" s="94" t="n">
        <v>-0.06552556447710001</v>
      </c>
      <c r="N562" t="n">
        <v>77.18483686994161</v>
      </c>
      <c r="O562" t="n">
        <v>0.5233852494868305</v>
      </c>
      <c r="P562" s="143">
        <f>MAX($E$2:E562)</f>
        <v/>
      </c>
      <c r="Q562" s="144">
        <f>E562/P562-1</f>
        <v/>
      </c>
      <c r="R562" s="94" t="n">
        <v>0.005625155581872932</v>
      </c>
    </row>
    <row r="563">
      <c r="A563" s="375" t="n">
        <v>45279</v>
      </c>
      <c r="B563" s="376" t="n">
        <v>113.9299383529356</v>
      </c>
      <c r="C563" s="376" t="n">
        <v>115.4272911599021</v>
      </c>
      <c r="D563" s="376" t="n">
        <v>113.8363551412392</v>
      </c>
      <c r="E563" s="376" t="n">
        <v>114.7722015380859</v>
      </c>
      <c r="F563" s="93" t="n">
        <v>7697300</v>
      </c>
      <c r="G563" s="94" t="n">
        <v>0.01238244330568361</v>
      </c>
      <c r="H563" s="95" t="n">
        <v>84.96730350160739</v>
      </c>
      <c r="I563" s="376" t="n">
        <v>101.0145761108398</v>
      </c>
      <c r="J563" s="376" t="n">
        <v>102.2584508132935</v>
      </c>
      <c r="K563" s="94" t="n">
        <v>0.1577362954895954</v>
      </c>
      <c r="L563" s="94" t="n">
        <v>0</v>
      </c>
      <c r="M563" s="94" t="n">
        <v>-0.0539544877586271</v>
      </c>
      <c r="N563" t="n">
        <v>79.31818744537456</v>
      </c>
      <c r="O563" t="n">
        <v>0.4768954447719875</v>
      </c>
      <c r="P563" s="143">
        <f>MAX($E$2:E563)</f>
        <v/>
      </c>
      <c r="Q563" s="144">
        <f>E563/P563-1</f>
        <v/>
      </c>
      <c r="R563" s="94" t="n">
        <v>0.006080887746574559</v>
      </c>
    </row>
    <row r="564">
      <c r="A564" s="375" t="n">
        <v>45280</v>
      </c>
      <c r="B564" s="376" t="n">
        <v>113.3590747598142</v>
      </c>
      <c r="C564" s="376" t="n">
        <v>115.4740896770713</v>
      </c>
      <c r="D564" s="376" t="n">
        <v>113.2374172950828</v>
      </c>
      <c r="E564" s="376" t="n">
        <v>113.6398315429688</v>
      </c>
      <c r="F564" s="93" t="n">
        <v>9176600</v>
      </c>
      <c r="G564" s="94" t="n">
        <v>-0.009866239210732819</v>
      </c>
      <c r="H564" s="95" t="n">
        <v>84.12899576016959</v>
      </c>
      <c r="I564" s="376" t="n">
        <v>101.4663569641113</v>
      </c>
      <c r="J564" s="376" t="n">
        <v>102.2726262664795</v>
      </c>
      <c r="K564" s="94" t="n">
        <v>0.1684313687319445</v>
      </c>
      <c r="L564" s="94" t="n">
        <v>-0.00986623921073293</v>
      </c>
      <c r="M564" s="94" t="n">
        <v>-0.06328839908664075</v>
      </c>
      <c r="N564" t="n">
        <v>73.35925903188753</v>
      </c>
      <c r="O564" t="n">
        <v>0.3179342940530345</v>
      </c>
      <c r="P564" s="143">
        <f>MAX($E$2:E564)</f>
        <v/>
      </c>
      <c r="Q564" s="144">
        <f>E564/P564-1</f>
        <v/>
      </c>
      <c r="R564" s="94" t="n">
        <v>-0.01385742377348331</v>
      </c>
    </row>
    <row r="565">
      <c r="A565" s="375" t="n">
        <v>45281</v>
      </c>
      <c r="B565" s="376" t="n">
        <v>114.4540174442906</v>
      </c>
      <c r="C565" s="376" t="n">
        <v>115.3898638432139</v>
      </c>
      <c r="D565" s="376" t="n">
        <v>113.5181710453674</v>
      </c>
      <c r="E565" s="376" t="n">
        <v>114.6692581176758</v>
      </c>
      <c r="F565" s="93" t="n">
        <v>16533300</v>
      </c>
      <c r="G565" s="94" t="n">
        <v>0.009058677408526394</v>
      </c>
      <c r="H565" s="95" t="n">
        <v>84.89109319346426</v>
      </c>
      <c r="I565" s="376" t="n">
        <v>101.9195124816895</v>
      </c>
      <c r="J565" s="376" t="n">
        <v>102.2906980514526</v>
      </c>
      <c r="K565" s="94" t="n">
        <v>0.1671481064945766</v>
      </c>
      <c r="L565" s="94" t="n">
        <v>-0.0008969368804517819</v>
      </c>
      <c r="M565" s="94" t="n">
        <v>-0.05480303086914229</v>
      </c>
      <c r="N565" t="n">
        <v>75.18446051725108</v>
      </c>
      <c r="O565" t="n">
        <v>0.2340474589498642</v>
      </c>
      <c r="P565" s="143">
        <f>MAX($E$2:E565)</f>
        <v/>
      </c>
      <c r="Q565" s="144">
        <f>E565/P565-1</f>
        <v/>
      </c>
      <c r="R565" s="94" t="n">
        <v>0.009482137441489957</v>
      </c>
    </row>
    <row r="566">
      <c r="A566" s="375" t="n">
        <v>45282</v>
      </c>
      <c r="B566" s="376" t="n">
        <v>101.3147282826522</v>
      </c>
      <c r="C566" s="376" t="n">
        <v>103.6917788785917</v>
      </c>
      <c r="D566" s="376" t="n">
        <v>100.5566878807566</v>
      </c>
      <c r="E566" s="376" t="n">
        <v>101.1088409423828</v>
      </c>
      <c r="F566" s="93" t="n">
        <v>46666200</v>
      </c>
      <c r="G566" s="94" t="n">
        <v>-0.1182567795230437</v>
      </c>
      <c r="H566" s="95" t="n">
        <v>74.8521459022146</v>
      </c>
      <c r="I566" s="376" t="n">
        <v>102.0902673339844</v>
      </c>
      <c r="J566" s="376" t="n">
        <v>102.2501867294311</v>
      </c>
      <c r="K566" s="94" t="n">
        <v>0.4740005095065178</v>
      </c>
      <c r="L566" s="94" t="n">
        <v>-0.1190476475365778</v>
      </c>
      <c r="M566" s="94" t="n">
        <v>-0.1665789804534993</v>
      </c>
      <c r="N566" t="n">
        <v>38.12769873951682</v>
      </c>
      <c r="O566" t="n">
        <v>-0.7300099481356108</v>
      </c>
      <c r="P566" s="143">
        <f>MAX($E$2:E566)</f>
        <v/>
      </c>
      <c r="Q566" s="144">
        <f>E566/P566-1</f>
        <v/>
      </c>
      <c r="R566" s="94" t="n">
        <v>0.002009519682791838</v>
      </c>
    </row>
    <row r="567">
      <c r="A567" s="375" t="n">
        <v>45286</v>
      </c>
      <c r="B567" s="376" t="n">
        <v>101.3521690298733</v>
      </c>
      <c r="C567" s="376" t="n">
        <v>101.7171485584731</v>
      </c>
      <c r="D567" s="376" t="n">
        <v>100.5847752594913</v>
      </c>
      <c r="E567" s="376" t="n">
        <v>101.0901260375977</v>
      </c>
      <c r="F567" s="93" t="n">
        <v>12846700</v>
      </c>
      <c r="G567" s="94" t="n">
        <v>-0.0001850966207378457</v>
      </c>
      <c r="H567" s="95" t="n">
        <v>74.83829102295311</v>
      </c>
      <c r="I567" s="376" t="n">
        <v>102.2483360290527</v>
      </c>
      <c r="J567" s="376" t="n">
        <v>102.2113423919678</v>
      </c>
      <c r="K567" s="94" t="n">
        <v>0.4739416411323374</v>
      </c>
      <c r="L567" s="94" t="n">
        <v>-0.1192107088400499</v>
      </c>
      <c r="M567" s="94" t="n">
        <v>-0.1667332438678691</v>
      </c>
      <c r="N567" t="n">
        <v>38.09978865194235</v>
      </c>
      <c r="O567" t="n">
        <v>-1.329340092337447</v>
      </c>
      <c r="P567" s="143">
        <f>MAX($E$2:E567)</f>
        <v/>
      </c>
      <c r="Q567" s="144">
        <f>E567/P567-1</f>
        <v/>
      </c>
      <c r="R567" s="94" t="n">
        <v>0.004222507142810139</v>
      </c>
    </row>
    <row r="568">
      <c r="A568" s="375" t="n">
        <v>45287</v>
      </c>
      <c r="B568" s="376" t="n">
        <v>101.3895906396047</v>
      </c>
      <c r="C568" s="376" t="n">
        <v>101.6235522282765</v>
      </c>
      <c r="D568" s="376" t="n">
        <v>99.99518157030481</v>
      </c>
      <c r="E568" s="376" t="n">
        <v>100.2572174072266</v>
      </c>
      <c r="F568" s="93" t="n">
        <v>10157900</v>
      </c>
      <c r="G568" s="94" t="n">
        <v>-0.008239267899036173</v>
      </c>
      <c r="H568" s="95" t="n">
        <v>74.22167829410897</v>
      </c>
      <c r="I568" s="376" t="n">
        <v>102.3500132751465</v>
      </c>
      <c r="J568" s="376" t="n">
        <v>102.1712519836426</v>
      </c>
      <c r="K568" s="94" t="n">
        <v>0.4742552945316619</v>
      </c>
      <c r="L568" s="94" t="n">
        <v>-0.126467767772519</v>
      </c>
      <c r="M568" s="94" t="n">
        <v>-0.1735987519030027</v>
      </c>
      <c r="N568" t="n">
        <v>36.80838562654987</v>
      </c>
      <c r="O568" t="n">
        <v>-1.717578484093555</v>
      </c>
      <c r="P568" s="143">
        <f>MAX($E$2:E568)</f>
        <v/>
      </c>
      <c r="Q568" s="144">
        <f>E568/P568-1</f>
        <v/>
      </c>
      <c r="R568" s="94" t="n">
        <v>0.00180821785652574</v>
      </c>
    </row>
    <row r="569">
      <c r="A569" s="375" t="n">
        <v>45288</v>
      </c>
      <c r="B569" s="376" t="n">
        <v>100.3321003760602</v>
      </c>
      <c r="C569" s="376" t="n">
        <v>102.3816064543306</v>
      </c>
      <c r="D569" s="376" t="n">
        <v>99.95776035565372</v>
      </c>
      <c r="E569" s="376" t="n">
        <v>101.8388137817383</v>
      </c>
      <c r="F569" s="93" t="n">
        <v>9352900</v>
      </c>
      <c r="G569" s="94" t="n">
        <v>0.01577538670445611</v>
      </c>
      <c r="H569" s="95" t="n">
        <v>75.39255397105228</v>
      </c>
      <c r="I569" s="376" t="n">
        <v>102.4652281188965</v>
      </c>
      <c r="J569" s="376" t="n">
        <v>102.1291556930542</v>
      </c>
      <c r="K569" s="94" t="n">
        <v>0.474634658290658</v>
      </c>
      <c r="L569" s="94" t="n">
        <v>-0.1126874590103236</v>
      </c>
      <c r="M569" s="94" t="n">
        <v>-0.1605619526412274</v>
      </c>
      <c r="N569" t="n">
        <v>40.90454014806951</v>
      </c>
      <c r="O569" t="n">
        <v>-1.795153779430794</v>
      </c>
      <c r="P569" s="143">
        <f>MAX($E$2:E569)</f>
        <v/>
      </c>
      <c r="Q569" s="144">
        <f>E569/P569-1</f>
        <v/>
      </c>
      <c r="R569" s="94" t="n">
        <v>0.0003776580412921948</v>
      </c>
    </row>
    <row r="570">
      <c r="A570" s="375" t="n">
        <v>45289</v>
      </c>
      <c r="B570" s="376" t="n">
        <v>101.9698379772538</v>
      </c>
      <c r="C570" s="376" t="n">
        <v>102.9056845157454</v>
      </c>
      <c r="D570" s="376" t="n">
        <v>101.1556489183868</v>
      </c>
      <c r="E570" s="376" t="n">
        <v>101.6048583984375</v>
      </c>
      <c r="F570" s="93" t="n">
        <v>7667500</v>
      </c>
      <c r="G570" s="94" t="n">
        <v>-0.002297310569643884</v>
      </c>
      <c r="H570" s="95" t="n">
        <v>75.21935385994213</v>
      </c>
      <c r="I570" s="376" t="n">
        <v>102.5615867614746</v>
      </c>
      <c r="J570" s="376" t="n">
        <v>102.0897347259522</v>
      </c>
      <c r="K570" s="94" t="n">
        <v>0.4746922583276469</v>
      </c>
      <c r="L570" s="94" t="n">
        <v>-0.1147258914893168</v>
      </c>
      <c r="M570" s="94" t="n">
        <v>-0.1624904025399859</v>
      </c>
      <c r="N570" t="n">
        <v>40.48647028545875</v>
      </c>
      <c r="O570" t="n">
        <v>-1.785717592446374</v>
      </c>
      <c r="P570" s="143">
        <f>MAX($E$2:E570)</f>
        <v/>
      </c>
      <c r="Q570" s="144">
        <f>E570/P570-1</f>
        <v/>
      </c>
      <c r="R570" s="94" t="n">
        <v>-0.002894968452665236</v>
      </c>
    </row>
    <row r="571">
      <c r="A571" s="375" t="n">
        <v>45293</v>
      </c>
      <c r="B571" s="376" t="n">
        <v>100.7064343173346</v>
      </c>
      <c r="C571" s="376" t="n">
        <v>100.9310354600437</v>
      </c>
      <c r="D571" s="376" t="n">
        <v>99.62084903768128</v>
      </c>
      <c r="E571" s="376" t="n">
        <v>99.71443939208984</v>
      </c>
      <c r="F571" s="93" t="n">
        <v>9326600</v>
      </c>
      <c r="G571" s="94" t="n">
        <v>-0.01860559658411698</v>
      </c>
      <c r="H571" s="95" t="n">
        <v>73.8198529067061</v>
      </c>
      <c r="I571" s="376" t="n">
        <v>102.6335681152344</v>
      </c>
      <c r="J571" s="376" t="n">
        <v>102.0293725585937</v>
      </c>
      <c r="K571" s="94" t="n">
        <v>0.4624962992604844</v>
      </c>
      <c r="L571" s="94" t="n">
        <v>-0.1311969444186304</v>
      </c>
      <c r="M571" s="94" t="n">
        <v>-0.1780727682456531</v>
      </c>
      <c r="N571" t="n">
        <v>37.17977749058922</v>
      </c>
      <c r="O571" t="n">
        <v>-1.823880581564629</v>
      </c>
      <c r="P571" s="143">
        <f>MAX($E$2:E571)</f>
        <v/>
      </c>
      <c r="Q571" s="144">
        <f>E571/P571-1</f>
        <v/>
      </c>
      <c r="R571" s="94" t="n">
        <v>-0.005596355940199582</v>
      </c>
    </row>
    <row r="572">
      <c r="A572" s="375" t="n">
        <v>45294</v>
      </c>
      <c r="B572" s="376" t="n">
        <v>98.93767778938169</v>
      </c>
      <c r="C572" s="376" t="n">
        <v>100.5847693733051</v>
      </c>
      <c r="D572" s="376" t="n">
        <v>97.32802091644984</v>
      </c>
      <c r="E572" s="376" t="n">
        <v>97.36545562744141</v>
      </c>
      <c r="F572" s="93" t="n">
        <v>10573700</v>
      </c>
      <c r="G572" s="94" t="n">
        <v>-0.02355710746576967</v>
      </c>
      <c r="H572" s="95" t="n">
        <v>72.08087069867553</v>
      </c>
      <c r="I572" s="376" t="n">
        <v>102.6656579589844</v>
      </c>
      <c r="J572" s="376" t="n">
        <v>101.9584700012207</v>
      </c>
      <c r="K572" s="94" t="n">
        <v>0.4633185719085774</v>
      </c>
      <c r="L572" s="94" t="n">
        <v>-0.1516634313655497</v>
      </c>
      <c r="M572" s="94" t="n">
        <v>-0.1974349963731329</v>
      </c>
      <c r="N572" t="n">
        <v>33.51665663629555</v>
      </c>
      <c r="O572" t="n">
        <v>-1.914984783969207</v>
      </c>
      <c r="P572" s="143">
        <f>MAX($E$2:E572)</f>
        <v/>
      </c>
      <c r="Q572" s="144">
        <f>E572/P572-1</f>
        <v/>
      </c>
      <c r="R572" s="94" t="n">
        <v>-0.008166755795484648</v>
      </c>
    </row>
    <row r="573">
      <c r="A573" s="375" t="n">
        <v>45295</v>
      </c>
      <c r="B573" s="376" t="n">
        <v>95.88682277801156</v>
      </c>
      <c r="C573" s="376" t="n">
        <v>96.97240804606162</v>
      </c>
      <c r="D573" s="376" t="n">
        <v>95.73709106445312</v>
      </c>
      <c r="E573" s="376" t="n">
        <v>95.73709106445312</v>
      </c>
      <c r="F573" s="93" t="n">
        <v>10420600</v>
      </c>
      <c r="G573" s="94" t="n">
        <v>-0.01672425350957163</v>
      </c>
      <c r="H573" s="95" t="n">
        <v>70.87537194392021</v>
      </c>
      <c r="I573" s="376" t="n">
        <v>102.6625694274902</v>
      </c>
      <c r="J573" s="376" t="n">
        <v>101.8756731033325</v>
      </c>
      <c r="K573" s="94" t="n">
        <v>0.4644751941458513</v>
      </c>
      <c r="L573" s="94" t="n">
        <v>-0.1658512272008325</v>
      </c>
      <c r="M573" s="94" t="n">
        <v>-0.2108572969516989</v>
      </c>
      <c r="N573" t="n">
        <v>31.22030735606744</v>
      </c>
      <c r="O573" t="n">
        <v>-1.984142808750952</v>
      </c>
      <c r="P573" s="143">
        <f>MAX($E$2:E573)</f>
        <v/>
      </c>
      <c r="Q573" s="144">
        <f>E573/P573-1</f>
        <v/>
      </c>
      <c r="R573" s="94" t="n">
        <v>-0.003221073749963277</v>
      </c>
    </row>
    <row r="574">
      <c r="A574" s="375" t="n">
        <v>45296</v>
      </c>
      <c r="B574" s="376" t="n">
        <v>95.88682329269173</v>
      </c>
      <c r="C574" s="376" t="n">
        <v>97.02855706696185</v>
      </c>
      <c r="D574" s="376" t="n">
        <v>95.36275158251195</v>
      </c>
      <c r="E574" s="376" t="n">
        <v>95.53120422363281</v>
      </c>
      <c r="F574" s="93" t="n">
        <v>8044500</v>
      </c>
      <c r="G574" s="94" t="n">
        <v>-0.002150544146799938</v>
      </c>
      <c r="H574" s="95" t="n">
        <v>70.72295132763395</v>
      </c>
      <c r="I574" s="376" t="n">
        <v>102.6111524963379</v>
      </c>
      <c r="J574" s="376" t="n">
        <v>101.7714165496826</v>
      </c>
      <c r="K574" s="94" t="n">
        <v>0.4626559515455595</v>
      </c>
      <c r="L574" s="94" t="n">
        <v>-0.167645100961736</v>
      </c>
      <c r="M574" s="94" t="n">
        <v>-0.2125543831727292</v>
      </c>
      <c r="N574" t="n">
        <v>30.9317426088935</v>
      </c>
      <c r="O574" t="n">
        <v>-1.940618548756134</v>
      </c>
      <c r="P574" s="143">
        <f>MAX($E$2:E574)</f>
        <v/>
      </c>
      <c r="Q574" s="144">
        <f>E574/P574-1</f>
        <v/>
      </c>
      <c r="R574" s="94" t="n">
        <v>0.001369697539515213</v>
      </c>
    </row>
    <row r="575">
      <c r="A575" s="375" t="n">
        <v>45299</v>
      </c>
      <c r="B575" s="376" t="n">
        <v>95.53120771378586</v>
      </c>
      <c r="C575" s="376" t="n">
        <v>97.03792107554078</v>
      </c>
      <c r="D575" s="376" t="n">
        <v>95.20366288295692</v>
      </c>
      <c r="E575" s="376" t="n">
        <v>96.972412109375</v>
      </c>
      <c r="F575" s="93" t="n">
        <v>9414200</v>
      </c>
      <c r="G575" s="94" t="n">
        <v>0.01508625267999775</v>
      </c>
      <c r="H575" s="95" t="n">
        <v>71.78989564163783</v>
      </c>
      <c r="I575" s="376" t="n">
        <v>102.6191525268555</v>
      </c>
      <c r="J575" s="376" t="n">
        <v>101.7026718521118</v>
      </c>
      <c r="K575" s="94" t="n">
        <v>0.4681053983740698</v>
      </c>
      <c r="L575" s="94" t="n">
        <v>-0.1550879846354106</v>
      </c>
      <c r="M575" s="94" t="n">
        <v>-0.2006747796255164</v>
      </c>
      <c r="N575" t="n">
        <v>35.43072925898115</v>
      </c>
      <c r="O575" t="n">
        <v>-1.719212029556354</v>
      </c>
      <c r="P575" s="143">
        <f>MAX($E$2:E575)</f>
        <v/>
      </c>
      <c r="Q575" s="144">
        <f>E575/P575-1</f>
        <v/>
      </c>
      <c r="R575" s="94" t="n">
        <v>0.01427593930304427</v>
      </c>
    </row>
    <row r="576">
      <c r="A576" s="375" t="n">
        <v>45300</v>
      </c>
      <c r="B576" s="376" t="n">
        <v>96.5512790155387</v>
      </c>
      <c r="C576" s="376" t="n">
        <v>96.76652684614776</v>
      </c>
      <c r="D576" s="376" t="n">
        <v>95.92426359150227</v>
      </c>
      <c r="E576" s="376" t="n">
        <v>96.14886474609375</v>
      </c>
      <c r="F576" s="93" t="n">
        <v>7759500</v>
      </c>
      <c r="G576" s="94" t="n">
        <v>-0.008492594392231601</v>
      </c>
      <c r="H576" s="95" t="n">
        <v>71.18021317649276</v>
      </c>
      <c r="I576" s="376" t="n">
        <v>102.6763441467285</v>
      </c>
      <c r="J576" s="376" t="n">
        <v>101.622999382019</v>
      </c>
      <c r="K576" s="94" t="n">
        <v>0.4651931392029725</v>
      </c>
      <c r="L576" s="94" t="n">
        <v>-0.1622634796790251</v>
      </c>
      <c r="M576" s="94" t="n">
        <v>-0.2074631245096381</v>
      </c>
      <c r="N576" t="n">
        <v>34.06522184660048</v>
      </c>
      <c r="O576" t="n">
        <v>-1.538531809167575</v>
      </c>
      <c r="P576" s="143">
        <f>MAX($E$2:E576)</f>
        <v/>
      </c>
      <c r="Q576" s="144">
        <f>E576/P576-1</f>
        <v/>
      </c>
      <c r="R576" s="94" t="n">
        <v>-0.001517110188643978</v>
      </c>
    </row>
    <row r="577">
      <c r="A577" s="375" t="n">
        <v>45301</v>
      </c>
      <c r="B577" s="376" t="n">
        <v>96.10205392513016</v>
      </c>
      <c r="C577" s="376" t="n">
        <v>97.16891808146438</v>
      </c>
      <c r="D577" s="376" t="n">
        <v>95.80258341001776</v>
      </c>
      <c r="E577" s="376" t="n">
        <v>97.11276245117188</v>
      </c>
      <c r="F577" s="93" t="n">
        <v>6784700</v>
      </c>
      <c r="G577" s="94" t="n">
        <v>0.01002505549725985</v>
      </c>
      <c r="H577" s="95" t="n">
        <v>71.89379876389388</v>
      </c>
      <c r="I577" s="376" t="n">
        <v>102.7908682250977</v>
      </c>
      <c r="J577" s="376" t="n">
        <v>101.5493508911133</v>
      </c>
      <c r="K577" s="94" t="n">
        <v>0.456575632922581</v>
      </c>
      <c r="L577" s="94" t="n">
        <v>-0.153865124570726</v>
      </c>
      <c r="M577" s="94" t="n">
        <v>-0.1995178983492222</v>
      </c>
      <c r="N577" t="n">
        <v>37.11982476601803</v>
      </c>
      <c r="O577" t="n">
        <v>-1.275272405915537</v>
      </c>
      <c r="P577" s="143">
        <f>MAX($E$2:E577)</f>
        <v/>
      </c>
      <c r="Q577" s="144">
        <f>E577/P577-1</f>
        <v/>
      </c>
      <c r="R577" s="94" t="n">
        <v>0.005655475804245524</v>
      </c>
    </row>
    <row r="578">
      <c r="A578" s="375" t="n">
        <v>45302</v>
      </c>
      <c r="B578" s="376" t="n">
        <v>97.53391031225269</v>
      </c>
      <c r="C578" s="376" t="n">
        <v>99.20907617973506</v>
      </c>
      <c r="D578" s="376" t="n">
        <v>97.07534758783967</v>
      </c>
      <c r="E578" s="376" t="n">
        <v>99.10613250732422</v>
      </c>
      <c r="F578" s="93" t="n">
        <v>9537700</v>
      </c>
      <c r="G578" s="94" t="n">
        <v>0.02052634489884486</v>
      </c>
      <c r="H578" s="95" t="n">
        <v>73.36951567340971</v>
      </c>
      <c r="I578" s="376" t="n">
        <v>102.8740008544922</v>
      </c>
      <c r="J578" s="376" t="n">
        <v>101.4991041183472</v>
      </c>
      <c r="K578" s="94" t="n">
        <v>0.4635909394192709</v>
      </c>
      <c r="L578" s="94" t="n">
        <v>-0.1364970682867237</v>
      </c>
      <c r="M578" s="94" t="n">
        <v>-0.1830869266453862</v>
      </c>
      <c r="N578" t="n">
        <v>43.00081583722279</v>
      </c>
      <c r="O578" t="n">
        <v>-0.9054493394188343</v>
      </c>
      <c r="P578" s="143">
        <f>MAX($E$2:E578)</f>
        <v/>
      </c>
      <c r="Q578" s="144">
        <f>E578/P578-1</f>
        <v/>
      </c>
      <c r="R578" s="94" t="n">
        <v>-0.0004406430412424722</v>
      </c>
    </row>
    <row r="579">
      <c r="A579" s="375" t="n">
        <v>45303</v>
      </c>
      <c r="B579" s="376" t="n">
        <v>99.19971280477638</v>
      </c>
      <c r="C579" s="376" t="n">
        <v>99.4991833502875</v>
      </c>
      <c r="D579" s="376" t="n">
        <v>98.0018306227319</v>
      </c>
      <c r="E579" s="376" t="n">
        <v>98.32001495361328</v>
      </c>
      <c r="F579" s="93" t="n">
        <v>6680900</v>
      </c>
      <c r="G579" s="94" t="n">
        <v>-0.007932077802075832</v>
      </c>
      <c r="H579" s="95" t="n">
        <v>72.78754296678761</v>
      </c>
      <c r="I579" s="376" t="n">
        <v>102.9233166503906</v>
      </c>
      <c r="J579" s="376" t="n">
        <v>101.4446486663818</v>
      </c>
      <c r="K579" s="94" t="n">
        <v>0.4584678582723492</v>
      </c>
      <c r="L579" s="94" t="n">
        <v>-0.1433464407233939</v>
      </c>
      <c r="M579" s="94" t="n">
        <v>-0.1895667447007678</v>
      </c>
      <c r="N579" t="n">
        <v>41.35803029897126</v>
      </c>
      <c r="O579" t="n">
        <v>-0.6635376732045051</v>
      </c>
      <c r="P579" s="143">
        <f>MAX($E$2:E579)</f>
        <v/>
      </c>
      <c r="Q579" s="144">
        <f>E579/P579-1</f>
        <v/>
      </c>
      <c r="R579" s="94" t="n">
        <v>0.0006926498006538662</v>
      </c>
    </row>
    <row r="580">
      <c r="A580" s="375" t="n">
        <v>45307</v>
      </c>
      <c r="B580" s="376" t="n">
        <v>97.27187795925364</v>
      </c>
      <c r="C580" s="376" t="n">
        <v>97.53391381117561</v>
      </c>
      <c r="D580" s="376" t="n">
        <v>94.85739251235867</v>
      </c>
      <c r="E580" s="376" t="n">
        <v>95.19429779052734</v>
      </c>
      <c r="F580" s="93" t="n">
        <v>10547900</v>
      </c>
      <c r="G580" s="94" t="n">
        <v>-0.03179126004568478</v>
      </c>
      <c r="H580" s="95" t="n">
        <v>70.47353526024402</v>
      </c>
      <c r="I580" s="376" t="n">
        <v>102.9453746032715</v>
      </c>
      <c r="J580" s="376" t="n">
        <v>101.3624271011353</v>
      </c>
      <c r="K580" s="94" t="n">
        <v>0.4664128454505773</v>
      </c>
      <c r="L580" s="94" t="n">
        <v>-0.1705805367954177</v>
      </c>
      <c r="M580" s="94" t="n">
        <v>-0.2153314390696567</v>
      </c>
      <c r="N580" t="n">
        <v>35.54353917298326</v>
      </c>
      <c r="O580" t="n">
        <v>-0.6622752486765104</v>
      </c>
      <c r="P580" s="143">
        <f>MAX($E$2:E580)</f>
        <v/>
      </c>
      <c r="Q580" s="144">
        <f>E580/P580-1</f>
        <v/>
      </c>
      <c r="R580" s="94" t="n">
        <v>-0.003671233554176867</v>
      </c>
    </row>
    <row r="581">
      <c r="A581" s="375" t="n">
        <v>45308</v>
      </c>
      <c r="B581" s="376" t="n">
        <v>94.56727569325076</v>
      </c>
      <c r="C581" s="376" t="n">
        <v>94.81059060135711</v>
      </c>
      <c r="D581" s="376" t="n">
        <v>93.80923530124585</v>
      </c>
      <c r="E581" s="376" t="n">
        <v>94.35202789306641</v>
      </c>
      <c r="F581" s="93" t="n">
        <v>8226200</v>
      </c>
      <c r="G581" s="94" t="n">
        <v>-0.008847902836725874</v>
      </c>
      <c r="H581" s="95" t="n">
        <v>69.8499922677008</v>
      </c>
      <c r="I581" s="376" t="n">
        <v>102.8722396850586</v>
      </c>
      <c r="J581" s="376" t="n">
        <v>101.2778009033203</v>
      </c>
      <c r="K581" s="94" t="n">
        <v>0.4640339526963078</v>
      </c>
      <c r="L581" s="94" t="n">
        <v>-0.1779191596167413</v>
      </c>
      <c r="M581" s="94" t="n">
        <v>-0.2222741102558019</v>
      </c>
      <c r="N581" t="n">
        <v>34.15027843389012</v>
      </c>
      <c r="O581" t="n">
        <v>-0.6646795558675214</v>
      </c>
      <c r="P581" s="143">
        <f>MAX($E$2:E581)</f>
        <v/>
      </c>
      <c r="Q581" s="144">
        <f>E581/P581-1</f>
        <v/>
      </c>
      <c r="R581" s="94" t="n">
        <v>-0.005558695849233741</v>
      </c>
    </row>
    <row r="582">
      <c r="A582" s="375" t="n">
        <v>45309</v>
      </c>
      <c r="B582" s="376" t="n">
        <v>94.52048871055223</v>
      </c>
      <c r="C582" s="376" t="n">
        <v>94.92290295798691</v>
      </c>
      <c r="D582" s="376" t="n">
        <v>93.65015125167919</v>
      </c>
      <c r="E582" s="376" t="n">
        <v>94.46434020996094</v>
      </c>
      <c r="F582" s="93" t="n">
        <v>8852400</v>
      </c>
      <c r="G582" s="94" t="n">
        <v>0.001190354032685192</v>
      </c>
      <c r="H582" s="95" t="n">
        <v>69.93313848767968</v>
      </c>
      <c r="I582" s="376" t="n">
        <v>102.7644157409668</v>
      </c>
      <c r="J582" s="376" t="n">
        <v>101.1819691848755</v>
      </c>
      <c r="K582" s="94" t="n">
        <v>0.4650330180457895</v>
      </c>
      <c r="L582" s="94" t="n">
        <v>-0.1769405923731979</v>
      </c>
      <c r="M582" s="94" t="n">
        <v>-0.2213483411066213</v>
      </c>
      <c r="N582" t="n">
        <v>34.51887277808022</v>
      </c>
      <c r="O582" t="n">
        <v>-0.6068219157069725</v>
      </c>
      <c r="P582" s="143">
        <f>MAX($E$2:E582)</f>
        <v/>
      </c>
      <c r="Q582" s="144">
        <f>E582/P582-1</f>
        <v/>
      </c>
      <c r="R582" s="94" t="n">
        <v>0.008892806131968412</v>
      </c>
    </row>
    <row r="583">
      <c r="A583" s="375" t="n">
        <v>45310</v>
      </c>
      <c r="B583" s="376" t="n">
        <v>94.53919726368781</v>
      </c>
      <c r="C583" s="376" t="n">
        <v>95.62478248129814</v>
      </c>
      <c r="D583" s="376" t="n">
        <v>93.27580609073462</v>
      </c>
      <c r="E583" s="376" t="n">
        <v>95.25044250488281</v>
      </c>
      <c r="F583" s="93" t="n">
        <v>8517200</v>
      </c>
      <c r="G583" s="94" t="n">
        <v>0.008321683009426151</v>
      </c>
      <c r="H583" s="95" t="n">
        <v>70.51509989802847</v>
      </c>
      <c r="I583" s="376" t="n">
        <v>102.6687698364258</v>
      </c>
      <c r="J583" s="376" t="n">
        <v>101.0945617675781</v>
      </c>
      <c r="K583" s="94" t="n">
        <v>0.462815792234927</v>
      </c>
      <c r="L583" s="94" t="n">
        <v>-0.1700913528850014</v>
      </c>
      <c r="M583" s="94" t="n">
        <v>-0.2148686488265468</v>
      </c>
      <c r="N583" t="n">
        <v>37.16981008815238</v>
      </c>
      <c r="O583" t="n">
        <v>-0.4698434753220333</v>
      </c>
      <c r="P583" s="143">
        <f>MAX($E$2:E583)</f>
        <v/>
      </c>
      <c r="Q583" s="144">
        <f>E583/P583-1</f>
        <v/>
      </c>
      <c r="R583" s="94" t="n">
        <v>0.01246634997612261</v>
      </c>
    </row>
    <row r="584">
      <c r="A584" s="375" t="n">
        <v>45313</v>
      </c>
      <c r="B584" s="376" t="n">
        <v>95.22236301837549</v>
      </c>
      <c r="C584" s="376" t="n">
        <v>95.2785115127699</v>
      </c>
      <c r="D584" s="376" t="n">
        <v>93.668854700683</v>
      </c>
      <c r="E584" s="376" t="n">
        <v>94.10870361328125</v>
      </c>
      <c r="F584" s="93" t="n">
        <v>9897400</v>
      </c>
      <c r="G584" s="94" t="n">
        <v>-0.01198670432993565</v>
      </c>
      <c r="H584" s="95" t="n">
        <v>69.66985624475493</v>
      </c>
      <c r="I584" s="376" t="n">
        <v>102.5109286499023</v>
      </c>
      <c r="J584" s="376" t="n">
        <v>100.9920875549316</v>
      </c>
      <c r="K584" s="94" t="n">
        <v>0.4629388506919966</v>
      </c>
      <c r="L584" s="94" t="n">
        <v>-0.1800392224588259</v>
      </c>
      <c r="M584" s="94" t="n">
        <v>-0.2242797861932259</v>
      </c>
      <c r="N584" t="n">
        <v>34.9563015483555</v>
      </c>
      <c r="O584" t="n">
        <v>-0.4124137387877536</v>
      </c>
      <c r="P584" s="143">
        <f>MAX($E$2:E584)</f>
        <v/>
      </c>
      <c r="Q584" s="144">
        <f>E584/P584-1</f>
        <v/>
      </c>
      <c r="R584" s="94" t="n">
        <v>0.00211421490230479</v>
      </c>
    </row>
    <row r="585">
      <c r="A585" s="375" t="n">
        <v>45314</v>
      </c>
      <c r="B585" s="376" t="n">
        <v>95.11007228154219</v>
      </c>
      <c r="C585" s="376" t="n">
        <v>95.58735597092053</v>
      </c>
      <c r="D585" s="376" t="n">
        <v>94.73573941295082</v>
      </c>
      <c r="E585" s="376" t="n">
        <v>95.36275482177734</v>
      </c>
      <c r="F585" s="93" t="n">
        <v>8208000</v>
      </c>
      <c r="G585" s="94" t="n">
        <v>0.01332556033976773</v>
      </c>
      <c r="H585" s="95" t="n">
        <v>70.59824611800735</v>
      </c>
      <c r="I585" s="376" t="n">
        <v>102.3776089477539</v>
      </c>
      <c r="J585" s="376" t="n">
        <v>100.9088087844849</v>
      </c>
      <c r="K585" s="94" t="n">
        <v>0.4653821584997587</v>
      </c>
      <c r="L585" s="94" t="n">
        <v>-0.169112785641458</v>
      </c>
      <c r="M585" s="94" t="n">
        <v>-0.2139428796773661</v>
      </c>
      <c r="N585" t="n">
        <v>39.23652665488736</v>
      </c>
      <c r="O585" t="n">
        <v>-0.2540204488807078</v>
      </c>
      <c r="P585" s="143">
        <f>MAX($E$2:E585)</f>
        <v/>
      </c>
      <c r="Q585" s="144">
        <f>E585/P585-1</f>
        <v/>
      </c>
      <c r="R585" s="94" t="n">
        <v>0.002916419486691302</v>
      </c>
    </row>
    <row r="586">
      <c r="A586" s="375" t="n">
        <v>45315</v>
      </c>
      <c r="B586" s="376" t="n">
        <v>95.25044334403555</v>
      </c>
      <c r="C586" s="376" t="n">
        <v>95.26916426998889</v>
      </c>
      <c r="D586" s="376" t="n">
        <v>94.23037421775672</v>
      </c>
      <c r="E586" s="376" t="n">
        <v>94.29588317871094</v>
      </c>
      <c r="F586" s="93" t="n">
        <v>7879300</v>
      </c>
      <c r="G586" s="94" t="n">
        <v>-0.0111875086354235</v>
      </c>
      <c r="H586" s="95" t="n">
        <v>69.80842762991638</v>
      </c>
      <c r="I586" s="376" t="n">
        <v>102.2675354003906</v>
      </c>
      <c r="J586" s="376" t="n">
        <v>100.8233459472656</v>
      </c>
      <c r="K586" s="94" t="n">
        <v>0.2235679006401832</v>
      </c>
      <c r="L586" s="94" t="n">
        <v>-0.1784083435271573</v>
      </c>
      <c r="M586" s="94" t="n">
        <v>-0.2227369004989117</v>
      </c>
      <c r="N586" t="n">
        <v>37.00547827357207</v>
      </c>
      <c r="O586" t="n">
        <v>-0.1881853079997984</v>
      </c>
      <c r="P586" s="143">
        <f>MAX($E$2:E586)</f>
        <v/>
      </c>
      <c r="Q586" s="144">
        <f>E586/P586-1</f>
        <v/>
      </c>
      <c r="R586" s="94" t="n">
        <v>0.001093247676206888</v>
      </c>
    </row>
    <row r="587">
      <c r="A587" s="375" t="n">
        <v>45316</v>
      </c>
      <c r="B587" s="376" t="n">
        <v>95.01648206624044</v>
      </c>
      <c r="C587" s="376" t="n">
        <v>95.21300894975886</v>
      </c>
      <c r="D587" s="376" t="n">
        <v>93.66886099075276</v>
      </c>
      <c r="E587" s="376" t="n">
        <v>94.30523681640625</v>
      </c>
      <c r="F587" s="93" t="n">
        <v>10063700</v>
      </c>
      <c r="G587" s="94" t="n">
        <v>9.919454996332178e-05</v>
      </c>
      <c r="H587" s="95" t="n">
        <v>69.81535224547878</v>
      </c>
      <c r="I587" s="376" t="n">
        <v>102.1742509460449</v>
      </c>
      <c r="J587" s="376" t="n">
        <v>100.7301006317139</v>
      </c>
      <c r="K587" s="94" t="n">
        <v>0.223624178514911</v>
      </c>
      <c r="L587" s="94" t="n">
        <v>-0.1783268461125399</v>
      </c>
      <c r="M587" s="94" t="n">
        <v>-0.2226598002355535</v>
      </c>
      <c r="N587" t="n">
        <v>37.03928017826949</v>
      </c>
      <c r="O587" t="n">
        <v>-0.1147039131089254</v>
      </c>
      <c r="P587" s="143">
        <f>MAX($E$2:E587)</f>
        <v/>
      </c>
      <c r="Q587" s="144">
        <f>E587/P587-1</f>
        <v/>
      </c>
      <c r="R587" s="94" t="n">
        <v>0.005438907060566933</v>
      </c>
    </row>
    <row r="588">
      <c r="A588" s="375" t="n">
        <v>45317</v>
      </c>
      <c r="B588" s="376" t="n">
        <v>95.05391179541309</v>
      </c>
      <c r="C588" s="376" t="n">
        <v>96.64484770617611</v>
      </c>
      <c r="D588" s="376" t="n">
        <v>94.72636700671963</v>
      </c>
      <c r="E588" s="376" t="n">
        <v>96.15821075439453</v>
      </c>
      <c r="F588" s="93" t="n">
        <v>9735800</v>
      </c>
      <c r="G588" s="94" t="n">
        <v>0.01964868548706011</v>
      </c>
      <c r="H588" s="95" t="n">
        <v>71.1871321439185</v>
      </c>
      <c r="I588" s="376" t="n">
        <v>102.1536552429199</v>
      </c>
      <c r="J588" s="376" t="n">
        <v>100.6396806716919</v>
      </c>
      <c r="K588" s="94" t="n">
        <v>0.2370811322018124</v>
      </c>
      <c r="L588" s="94" t="n">
        <v>-0.1621820487386445</v>
      </c>
      <c r="M588" s="94" t="n">
        <v>-0.2073860871339336</v>
      </c>
      <c r="N588" t="n">
        <v>43.50640245210504</v>
      </c>
      <c r="O588" t="n">
        <v>0.07763496347214449</v>
      </c>
      <c r="P588" s="143">
        <f>MAX($E$2:E588)</f>
        <v/>
      </c>
      <c r="Q588" s="144">
        <f>E588/P588-1</f>
        <v/>
      </c>
      <c r="R588" s="94" t="n">
        <v>-0.001270324317266036</v>
      </c>
    </row>
    <row r="589">
      <c r="A589" s="375" t="n">
        <v>45320</v>
      </c>
      <c r="B589" s="376" t="n">
        <v>96.27986717760965</v>
      </c>
      <c r="C589" s="376" t="n">
        <v>97.33737809257639</v>
      </c>
      <c r="D589" s="376" t="n">
        <v>94.83866298283169</v>
      </c>
      <c r="E589" s="376" t="n">
        <v>97.21571350097656</v>
      </c>
      <c r="F589" s="93" t="n">
        <v>8860800</v>
      </c>
      <c r="G589" s="94" t="n">
        <v>0.01099752936629694</v>
      </c>
      <c r="H589" s="95" t="n">
        <v>71.97001472017371</v>
      </c>
      <c r="I589" s="376" t="n">
        <v>102.125295715332</v>
      </c>
      <c r="J589" s="376" t="n">
        <v>100.5528804779053</v>
      </c>
      <c r="K589" s="94" t="n">
        <v>0.2329054712125781</v>
      </c>
      <c r="L589" s="94" t="n">
        <v>-0.152968121216037</v>
      </c>
      <c r="M589" s="94" t="n">
        <v>-0.1986692923510534</v>
      </c>
      <c r="N589" t="n">
        <v>46.86108149266624</v>
      </c>
      <c r="O589" t="n">
        <v>0.2834466263337347</v>
      </c>
      <c r="P589" s="143">
        <f>MAX($E$2:E589)</f>
        <v/>
      </c>
      <c r="Q589" s="144">
        <f>E589/P589-1</f>
        <v/>
      </c>
      <c r="R589" s="94" t="n">
        <v>0.007919380555927891</v>
      </c>
    </row>
    <row r="590">
      <c r="A590" s="375" t="n">
        <v>45321</v>
      </c>
      <c r="B590" s="376" t="n">
        <v>96.71035298741147</v>
      </c>
      <c r="C590" s="376" t="n">
        <v>97.61812503866733</v>
      </c>
      <c r="D590" s="376" t="n">
        <v>96.51382612166648</v>
      </c>
      <c r="E590" s="376" t="n">
        <v>97.49646759033203</v>
      </c>
      <c r="F590" s="93" t="n">
        <v>7542800</v>
      </c>
      <c r="G590" s="94" t="n">
        <v>0.002887949686782409</v>
      </c>
      <c r="H590" s="95" t="n">
        <v>72.17786050164257</v>
      </c>
      <c r="I590" s="376" t="n">
        <v>102.0639370727539</v>
      </c>
      <c r="J590" s="376" t="n">
        <v>100.4546515655518</v>
      </c>
      <c r="K590" s="94" t="n">
        <v>0.2336081575688112</v>
      </c>
      <c r="L590" s="94" t="n">
        <v>-0.150521935767008</v>
      </c>
      <c r="M590" s="94" t="n">
        <v>-0.1963550895848896</v>
      </c>
      <c r="N590" t="n">
        <v>47.7482012649638</v>
      </c>
      <c r="O590" t="n">
        <v>0.4366974662953966</v>
      </c>
      <c r="P590" s="143">
        <f>MAX($E$2:E590)</f>
        <v/>
      </c>
      <c r="Q590" s="144">
        <f>E590/P590-1</f>
        <v/>
      </c>
      <c r="R590" s="94" t="n">
        <v>-0.0007736164893284991</v>
      </c>
    </row>
    <row r="591">
      <c r="A591" s="375" t="n">
        <v>45322</v>
      </c>
      <c r="B591" s="376" t="n">
        <v>97.41225170330095</v>
      </c>
      <c r="C591" s="376" t="n">
        <v>97.6087857372172</v>
      </c>
      <c r="D591" s="376" t="n">
        <v>94.63279379713876</v>
      </c>
      <c r="E591" s="376" t="n">
        <v>95.01648712158203</v>
      </c>
      <c r="F591" s="93" t="n">
        <v>11547600</v>
      </c>
      <c r="G591" s="94" t="n">
        <v>-0.0254366186800794</v>
      </c>
      <c r="H591" s="95" t="n">
        <v>70.34189978691832</v>
      </c>
      <c r="I591" s="376" t="n">
        <v>101.9568963623047</v>
      </c>
      <c r="J591" s="376" t="n">
        <v>100.3462464141846</v>
      </c>
      <c r="K591" s="94" t="n">
        <v>0.2411995766232168</v>
      </c>
      <c r="L591" s="94" t="n">
        <v>-0.1721297853639947</v>
      </c>
      <c r="M591" s="94" t="n">
        <v>-0.2167970987253053</v>
      </c>
      <c r="N591" t="n">
        <v>41.20453140401371</v>
      </c>
      <c r="O591" t="n">
        <v>0.3717915866904584</v>
      </c>
      <c r="P591" s="143">
        <f>MAX($E$2:E591)</f>
        <v/>
      </c>
      <c r="Q591" s="144">
        <f>E591/P591-1</f>
        <v/>
      </c>
      <c r="R591" s="94" t="n">
        <v>-0.01631720503284328</v>
      </c>
    </row>
    <row r="592">
      <c r="A592" s="375" t="n">
        <v>45323</v>
      </c>
      <c r="B592" s="376" t="n">
        <v>95.36275315920334</v>
      </c>
      <c r="C592" s="376" t="n">
        <v>95.6902979834812</v>
      </c>
      <c r="D592" s="376" t="n">
        <v>94.15551040120064</v>
      </c>
      <c r="E592" s="376" t="n">
        <v>95.23173522949219</v>
      </c>
      <c r="F592" s="93" t="n">
        <v>7666700</v>
      </c>
      <c r="G592" s="94" t="n">
        <v>0.002265376403936425</v>
      </c>
      <c r="H592" s="95" t="n">
        <v>70.50125066690366</v>
      </c>
      <c r="I592" s="376" t="n">
        <v>101.8849401855469</v>
      </c>
      <c r="J592" s="376" t="n">
        <v>100.2378056335449</v>
      </c>
      <c r="K592" s="94" t="n">
        <v>0.2280751182918705</v>
      </c>
      <c r="L592" s="94" t="n">
        <v>-0.1702543477142365</v>
      </c>
      <c r="M592" s="94" t="n">
        <v>-0.2150228493532631</v>
      </c>
      <c r="N592" t="n">
        <v>41.94816006338063</v>
      </c>
      <c r="O592" t="n">
        <v>0.3447075781052225</v>
      </c>
      <c r="P592" s="143">
        <f>MAX($E$2:E592)</f>
        <v/>
      </c>
      <c r="Q592" s="144">
        <f>E592/P592-1</f>
        <v/>
      </c>
      <c r="R592" s="94" t="n">
        <v>0.01308811114233066</v>
      </c>
    </row>
    <row r="593">
      <c r="A593" s="375" t="n">
        <v>45324</v>
      </c>
      <c r="B593" s="376" t="n">
        <v>94.40818427986589</v>
      </c>
      <c r="C593" s="376" t="n">
        <v>94.90418888002019</v>
      </c>
      <c r="D593" s="376" t="n">
        <v>93.05120982683324</v>
      </c>
      <c r="E593" s="376" t="n">
        <v>94.24909210205078</v>
      </c>
      <c r="F593" s="93" t="n">
        <v>8966900</v>
      </c>
      <c r="G593" s="94" t="n">
        <v>-0.01031844190461728</v>
      </c>
      <c r="H593" s="95" t="n">
        <v>69.77378760769435</v>
      </c>
      <c r="I593" s="376" t="n">
        <v>101.786615447998</v>
      </c>
      <c r="J593" s="376" t="n">
        <v>100.1243589782715</v>
      </c>
      <c r="K593" s="94" t="n">
        <v>0.2233044523595218</v>
      </c>
      <c r="L593" s="94" t="n">
        <v>-0.178816030022956</v>
      </c>
      <c r="M593" s="94" t="n">
        <v>-0.2231225904786635</v>
      </c>
      <c r="N593" t="n">
        <v>39.49250104107662</v>
      </c>
      <c r="O593" t="n">
        <v>0.2655170955824877</v>
      </c>
      <c r="P593" s="143">
        <f>MAX($E$2:E593)</f>
        <v/>
      </c>
      <c r="Q593" s="144">
        <f>E593/P593-1</f>
        <v/>
      </c>
      <c r="R593" s="94" t="n">
        <v>0.01052734589663062</v>
      </c>
    </row>
    <row r="594">
      <c r="A594" s="375" t="n">
        <v>45327</v>
      </c>
      <c r="B594" s="376" t="n">
        <v>94.05256528822969</v>
      </c>
      <c r="C594" s="376" t="n">
        <v>94.13678803892779</v>
      </c>
      <c r="D594" s="376" t="n">
        <v>92.69559083407762</v>
      </c>
      <c r="E594" s="376" t="n">
        <v>93.28517150878906</v>
      </c>
      <c r="F594" s="93" t="n">
        <v>10097900</v>
      </c>
      <c r="G594" s="94" t="n">
        <v>-0.01022737271800989</v>
      </c>
      <c r="H594" s="95" t="n">
        <v>69.0601850758832</v>
      </c>
      <c r="I594" s="376" t="n">
        <v>101.6647215270996</v>
      </c>
      <c r="J594" s="376" t="n">
        <v>100.0085943984985</v>
      </c>
      <c r="K594" s="94" t="n">
        <v>0.2258319857745866</v>
      </c>
      <c r="L594" s="94" t="n">
        <v>-0.1872145845539663</v>
      </c>
      <c r="M594" s="94" t="n">
        <v>-0.2198387538247856</v>
      </c>
      <c r="N594" t="n">
        <v>37.19243712273289</v>
      </c>
      <c r="O594" t="n">
        <v>0.1584082418384747</v>
      </c>
      <c r="P594" s="143">
        <f>MAX($E$2:E594)</f>
        <v/>
      </c>
      <c r="Q594" s="144">
        <f>E594/P594-1</f>
        <v/>
      </c>
      <c r="R594" s="94" t="n">
        <v>-0.003641121227922262</v>
      </c>
    </row>
    <row r="595">
      <c r="A595" s="375" t="n">
        <v>45328</v>
      </c>
      <c r="B595" s="376" t="n">
        <v>93.11671594309234</v>
      </c>
      <c r="C595" s="376" t="n">
        <v>96.04591257775748</v>
      </c>
      <c r="D595" s="376" t="n">
        <v>92.77045020789996</v>
      </c>
      <c r="E595" s="376" t="n">
        <v>96.02719879150391</v>
      </c>
      <c r="F595" s="93" t="n">
        <v>11368600</v>
      </c>
      <c r="G595" s="94" t="n">
        <v>0.02939403163831344</v>
      </c>
      <c r="H595" s="95" t="n">
        <v>71.09014234095149</v>
      </c>
      <c r="I595" s="376" t="n">
        <v>101.5721124267578</v>
      </c>
      <c r="J595" s="376" t="n">
        <v>99.91219177246094</v>
      </c>
      <c r="K595" s="94" t="n">
        <v>0.2443762721052656</v>
      </c>
      <c r="L595" s="94" t="n">
        <v>-0.1633235443371859</v>
      </c>
      <c r="M595" s="94" t="n">
        <v>-0.1945848123690817</v>
      </c>
      <c r="N595" t="n">
        <v>46.70182945083709</v>
      </c>
      <c r="O595" t="n">
        <v>0.2755594082329613</v>
      </c>
      <c r="P595" s="143">
        <f>MAX($E$2:E595)</f>
        <v/>
      </c>
      <c r="Q595" s="144">
        <f>E595/P595-1</f>
        <v/>
      </c>
      <c r="R595" s="94" t="n">
        <v>0.002903232824261304</v>
      </c>
    </row>
    <row r="596">
      <c r="A596" s="375" t="n">
        <v>45329</v>
      </c>
      <c r="B596" s="376" t="n">
        <v>95.82129878252985</v>
      </c>
      <c r="C596" s="376" t="n">
        <v>97.6461961486434</v>
      </c>
      <c r="D596" s="376" t="n">
        <v>95.78386407502748</v>
      </c>
      <c r="E596" s="376" t="n">
        <v>97.13148498535156</v>
      </c>
      <c r="F596" s="93" t="n">
        <v>9447800</v>
      </c>
      <c r="G596" s="94" t="n">
        <v>0.01149972307580582</v>
      </c>
      <c r="H596" s="95" t="n">
        <v>71.90765929129205</v>
      </c>
      <c r="I596" s="376" t="n">
        <v>101.5068121337891</v>
      </c>
      <c r="J596" s="376" t="n">
        <v>99.8163073348999</v>
      </c>
      <c r="K596" s="94" t="n">
        <v>0.2458698325499394</v>
      </c>
      <c r="L596" s="94" t="n">
        <v>-0.1537019967930168</v>
      </c>
      <c r="M596" s="94" t="n">
        <v>-0.1853227607502779</v>
      </c>
      <c r="N596" t="n">
        <v>49.98600897942669</v>
      </c>
      <c r="O596" t="n">
        <v>0.4219862870251716</v>
      </c>
      <c r="P596" s="143">
        <f>MAX($E$2:E596)</f>
        <v/>
      </c>
      <c r="Q596" s="144">
        <f>E596/P596-1</f>
        <v/>
      </c>
      <c r="R596" s="94" t="n">
        <v>0.008340472098269824</v>
      </c>
    </row>
    <row r="597">
      <c r="A597" s="375" t="n">
        <v>45330</v>
      </c>
      <c r="B597" s="376" t="n">
        <v>97.73042440480762</v>
      </c>
      <c r="C597" s="376" t="n">
        <v>98.22642177609313</v>
      </c>
      <c r="D597" s="376" t="n">
        <v>96.43895914712417</v>
      </c>
      <c r="E597" s="376" t="n">
        <v>97.11276245117188</v>
      </c>
      <c r="F597" s="93" t="n">
        <v>6330400</v>
      </c>
      <c r="G597" s="94" t="n">
        <v>-0.000192754534562245</v>
      </c>
      <c r="H597" s="95" t="n">
        <v>71.89379876389388</v>
      </c>
      <c r="I597" s="376" t="n">
        <v>101.4351681518555</v>
      </c>
      <c r="J597" s="376" t="n">
        <v>99.71310230255126</v>
      </c>
      <c r="K597" s="94" t="n">
        <v>0.2433496097390263</v>
      </c>
      <c r="L597" s="94" t="n">
        <v>-0.153865124570726</v>
      </c>
      <c r="M597" s="94" t="n">
        <v>-0.1854797934823479</v>
      </c>
      <c r="N597" t="n">
        <v>49.92983406969568</v>
      </c>
      <c r="O597" t="n">
        <v>0.5064570906614971</v>
      </c>
      <c r="P597" s="143">
        <f>MAX($E$2:E597)</f>
        <v/>
      </c>
      <c r="Q597" s="144">
        <f>E597/P597-1</f>
        <v/>
      </c>
      <c r="R597" s="94" t="n">
        <v>0.000441581975812122</v>
      </c>
    </row>
    <row r="598">
      <c r="A598" s="375" t="n">
        <v>45331</v>
      </c>
      <c r="B598" s="376" t="n">
        <v>97.14085462056413</v>
      </c>
      <c r="C598" s="376" t="n">
        <v>98.2077188953383</v>
      </c>
      <c r="D598" s="376" t="n">
        <v>96.70100569080017</v>
      </c>
      <c r="E598" s="376" t="n">
        <v>97.79594421386719</v>
      </c>
      <c r="F598" s="93" t="n">
        <v>5449000</v>
      </c>
      <c r="G598" s="94" t="n">
        <v>0.007034932849725228</v>
      </c>
      <c r="H598" s="95" t="n">
        <v>72.39956681050954</v>
      </c>
      <c r="I598" s="376" t="n">
        <v>101.3624510192871</v>
      </c>
      <c r="J598" s="376" t="n">
        <v>99.62457057952881</v>
      </c>
      <c r="K598" s="94" t="n">
        <v>0.2328230072942558</v>
      </c>
      <c r="L598" s="94" t="n">
        <v>-0.1479126225402704</v>
      </c>
      <c r="M598" s="94" t="n">
        <v>-0.1797496985247519</v>
      </c>
      <c r="N598" t="n">
        <v>52.04751886875621</v>
      </c>
      <c r="O598" t="n">
        <v>0.591306501865539</v>
      </c>
      <c r="P598" s="143">
        <f>MAX($E$2:E598)</f>
        <v/>
      </c>
      <c r="Q598" s="144">
        <f>E598/P598-1</f>
        <v/>
      </c>
      <c r="R598" s="94" t="n">
        <v>0.005779647104114494</v>
      </c>
    </row>
    <row r="599">
      <c r="A599" s="375" t="n">
        <v>45334</v>
      </c>
      <c r="B599" s="376" t="n">
        <v>98.02055609835651</v>
      </c>
      <c r="C599" s="376" t="n">
        <v>100.5379853573825</v>
      </c>
      <c r="D599" s="376" t="n">
        <v>97.93633334423417</v>
      </c>
      <c r="E599" s="376" t="n">
        <v>100.3040237426758</v>
      </c>
      <c r="F599" s="93" t="n">
        <v>7501900</v>
      </c>
      <c r="G599" s="94" t="n">
        <v>0.02564604850405394</v>
      </c>
      <c r="H599" s="95" t="n">
        <v>74.25632961260436</v>
      </c>
      <c r="I599" s="376" t="n">
        <v>101.3096755981445</v>
      </c>
      <c r="J599" s="376" t="n">
        <v>99.5523780822754</v>
      </c>
      <c r="K599" s="94" t="n">
        <v>0.2486947363745907</v>
      </c>
      <c r="L599" s="94" t="n">
        <v>-0.1260599483282461</v>
      </c>
      <c r="M599" s="94" t="n">
        <v>-0.1587135195076528</v>
      </c>
      <c r="N599" t="n">
        <v>58.91713857258179</v>
      </c>
      <c r="O599" t="n">
        <v>0.7870582756285389</v>
      </c>
      <c r="P599" s="143">
        <f>MAX($E$2:E599)</f>
        <v/>
      </c>
      <c r="Q599" s="144">
        <f>E599/P599-1</f>
        <v/>
      </c>
      <c r="R599" s="94" t="n">
        <v>-0.0004391021916499982</v>
      </c>
    </row>
    <row r="600">
      <c r="A600" s="375" t="n">
        <v>45335</v>
      </c>
      <c r="B600" s="376" t="n">
        <v>98.25450977624195</v>
      </c>
      <c r="C600" s="376" t="n">
        <v>99.01255020181914</v>
      </c>
      <c r="D600" s="376" t="n">
        <v>97.56198545183454</v>
      </c>
      <c r="E600" s="376" t="n">
        <v>98.26387023925781</v>
      </c>
      <c r="F600" s="93" t="n">
        <v>6180500</v>
      </c>
      <c r="G600" s="94" t="n">
        <v>-0.0203396975245167</v>
      </c>
      <c r="H600" s="95" t="n">
        <v>72.74597832900318</v>
      </c>
      <c r="I600" s="376" t="n">
        <v>101.2179627990723</v>
      </c>
      <c r="J600" s="376" t="n">
        <v>99.46136806488038</v>
      </c>
      <c r="K600" s="94" t="n">
        <v>0.231311935351365</v>
      </c>
      <c r="L600" s="94" t="n">
        <v>-0.1438356246338099</v>
      </c>
      <c r="M600" s="94" t="n">
        <v>-0.1758250320523324</v>
      </c>
      <c r="N600" t="n">
        <v>52.34773781278874</v>
      </c>
      <c r="O600" t="n">
        <v>0.750008398631826</v>
      </c>
      <c r="P600" s="143">
        <f>MAX($E$2:E600)</f>
        <v/>
      </c>
      <c r="Q600" s="144">
        <f>E600/P600-1</f>
        <v/>
      </c>
      <c r="R600" s="94" t="n">
        <v>-0.01377296729142019</v>
      </c>
    </row>
    <row r="601">
      <c r="A601" s="375" t="n">
        <v>45336</v>
      </c>
      <c r="B601" s="376" t="n">
        <v>98.09541492264903</v>
      </c>
      <c r="C601" s="376" t="n">
        <v>99.59276766689125</v>
      </c>
      <c r="D601" s="376" t="n">
        <v>97.75850966270188</v>
      </c>
      <c r="E601" s="376" t="n">
        <v>99.508544921875</v>
      </c>
      <c r="F601" s="93" t="n">
        <v>5743300</v>
      </c>
      <c r="G601" s="94" t="n">
        <v>0.01266665641793452</v>
      </c>
      <c r="H601" s="95" t="n">
        <v>73.66742664228317</v>
      </c>
      <c r="I601" s="376" t="n">
        <v>101.0841368103027</v>
      </c>
      <c r="J601" s="376" t="n">
        <v>99.37185604095458</v>
      </c>
      <c r="K601" s="94" t="n">
        <v>0.2309203112331368</v>
      </c>
      <c r="L601" s="94" t="n">
        <v>-0.132990884653771</v>
      </c>
      <c r="M601" s="94" t="n">
        <v>-0.165385490905077</v>
      </c>
      <c r="N601" t="n">
        <v>55.60041326162249</v>
      </c>
      <c r="O601" t="n">
        <v>0.7769058128541975</v>
      </c>
      <c r="P601" s="143">
        <f>MAX($E$2:E601)</f>
        <v/>
      </c>
      <c r="Q601" s="144">
        <f>E601/P601-1</f>
        <v/>
      </c>
      <c r="R601" s="94" t="n">
        <v>0.009087588067783647</v>
      </c>
    </row>
    <row r="602">
      <c r="A602" s="375" t="n">
        <v>45337</v>
      </c>
      <c r="B602" s="376" t="n">
        <v>100.154270676057</v>
      </c>
      <c r="C602" s="376" t="n">
        <v>100.4537412148066</v>
      </c>
      <c r="D602" s="376" t="n">
        <v>99.04061840317543</v>
      </c>
      <c r="E602" s="376" t="n">
        <v>99.24650573730469</v>
      </c>
      <c r="F602" s="93" t="n">
        <v>7201300</v>
      </c>
      <c r="G602" s="94" t="n">
        <v>-0.00263333349689765</v>
      </c>
      <c r="H602" s="95" t="n">
        <v>73.4734357400758</v>
      </c>
      <c r="I602" s="376" t="n">
        <v>100.913812713623</v>
      </c>
      <c r="J602" s="376" t="n">
        <v>99.27547462463379</v>
      </c>
      <c r="K602" s="94" t="n">
        <v>0.2316636906848831</v>
      </c>
      <c r="L602" s="94" t="n">
        <v>-0.1352740087993277</v>
      </c>
      <c r="M602" s="94" t="n">
        <v>-0.1675833092488734</v>
      </c>
      <c r="N602" t="n">
        <v>54.75306736634464</v>
      </c>
      <c r="O602" t="n">
        <v>0.7445484589034109</v>
      </c>
      <c r="P602" s="143">
        <f>MAX($E$2:E602)</f>
        <v/>
      </c>
      <c r="Q602" s="144">
        <f>E602/P602-1</f>
        <v/>
      </c>
      <c r="R602" s="94" t="n">
        <v>0.006899732879512399</v>
      </c>
    </row>
    <row r="603">
      <c r="A603" s="375" t="n">
        <v>45338</v>
      </c>
      <c r="B603" s="376" t="n">
        <v>97.91758901460078</v>
      </c>
      <c r="C603" s="376" t="n">
        <v>97.98309796546449</v>
      </c>
      <c r="D603" s="376" t="n">
        <v>95.12877123218509</v>
      </c>
      <c r="E603" s="376" t="n">
        <v>96.86944580078125</v>
      </c>
      <c r="F603" s="93" t="n">
        <v>14590100</v>
      </c>
      <c r="G603" s="94" t="n">
        <v>-0.02395106929825086</v>
      </c>
      <c r="H603" s="95" t="n">
        <v>71.71366838908466</v>
      </c>
      <c r="I603" s="376" t="n">
        <v>100.6910809326172</v>
      </c>
      <c r="J603" s="376" t="n">
        <v>99.17026542663574</v>
      </c>
      <c r="K603" s="94" t="n">
        <v>0.2487373017270207</v>
      </c>
      <c r="L603" s="94" t="n">
        <v>-0.1559851209385738</v>
      </c>
      <c r="M603" s="94" t="n">
        <v>-0.1875205790940743</v>
      </c>
      <c r="N603" t="n">
        <v>47.6577073975565</v>
      </c>
      <c r="O603" t="n">
        <v>0.5400749303193618</v>
      </c>
      <c r="P603" s="143">
        <f>MAX($E$2:E603)</f>
        <v/>
      </c>
      <c r="Q603" s="144">
        <f>E603/P603-1</f>
        <v/>
      </c>
      <c r="R603" s="94" t="n">
        <v>-0.004979972192162729</v>
      </c>
    </row>
    <row r="604">
      <c r="A604" s="375" t="n">
        <v>45342</v>
      </c>
      <c r="B604" s="376" t="n">
        <v>96.51382855545255</v>
      </c>
      <c r="C604" s="376" t="n">
        <v>97.17827858685261</v>
      </c>
      <c r="D604" s="376" t="n">
        <v>95.61541694370285</v>
      </c>
      <c r="E604" s="376" t="n">
        <v>96.67292785644531</v>
      </c>
      <c r="F604" s="93" t="n">
        <v>8759500</v>
      </c>
      <c r="G604" s="94" t="n">
        <v>-0.002028688640792753</v>
      </c>
      <c r="H604" s="95" t="n">
        <v>71.56818368463415</v>
      </c>
      <c r="I604" s="376" t="n">
        <v>100.451316986084</v>
      </c>
      <c r="J604" s="376" t="n">
        <v>99.06648277282714</v>
      </c>
      <c r="K604" s="94" t="n">
        <v>0.2443356821050372</v>
      </c>
      <c r="L604" s="94" t="n">
        <v>-0.1576973643363857</v>
      </c>
      <c r="M604" s="94" t="n">
        <v>-0.1891688468661441</v>
      </c>
      <c r="N604" t="n">
        <v>47.1141268711575</v>
      </c>
      <c r="O604" t="n">
        <v>0.3763673139500484</v>
      </c>
      <c r="P604" s="143">
        <f>MAX($E$2:E604)</f>
        <v/>
      </c>
      <c r="Q604" s="144">
        <f>E604/P604-1</f>
        <v/>
      </c>
      <c r="R604" s="94" t="n">
        <v>-0.005505423937581022</v>
      </c>
    </row>
    <row r="605">
      <c r="A605" s="375" t="n">
        <v>45343</v>
      </c>
      <c r="B605" s="376" t="n">
        <v>96.71970978778755</v>
      </c>
      <c r="C605" s="376" t="n">
        <v>98.75049446354132</v>
      </c>
      <c r="D605" s="376" t="n">
        <v>96.32665607117849</v>
      </c>
      <c r="E605" s="376" t="n">
        <v>98.51653289794922</v>
      </c>
      <c r="F605" s="93" t="n">
        <v>8888100</v>
      </c>
      <c r="G605" s="94" t="n">
        <v>0.01907054107476269</v>
      </c>
      <c r="H605" s="95" t="n">
        <v>72.93302767123812</v>
      </c>
      <c r="I605" s="376" t="n">
        <v>100.2727572631836</v>
      </c>
      <c r="J605" s="376" t="n">
        <v>98.98614032745361</v>
      </c>
      <c r="K605" s="94" t="n">
        <v>0.2488461289721434</v>
      </c>
      <c r="L605" s="94" t="n">
        <v>-0.1416341973255819</v>
      </c>
      <c r="M605" s="94" t="n">
        <v>-0.1737058580556077</v>
      </c>
      <c r="N605" t="n">
        <v>52.57868098328159</v>
      </c>
      <c r="O605" t="n">
        <v>0.3761308709713093</v>
      </c>
      <c r="P605" s="143">
        <f>MAX($E$2:E605)</f>
        <v/>
      </c>
      <c r="Q605" s="144">
        <f>E605/P605-1</f>
        <v/>
      </c>
      <c r="R605" s="94" t="n">
        <v>0.0009057848034978999</v>
      </c>
    </row>
    <row r="606">
      <c r="A606" s="375" t="n">
        <v>45344</v>
      </c>
      <c r="B606" s="376" t="n">
        <v>99.0125480112021</v>
      </c>
      <c r="C606" s="376" t="n">
        <v>99.20907489053957</v>
      </c>
      <c r="D606" s="376" t="n">
        <v>97.4028911252672</v>
      </c>
      <c r="E606" s="376" t="n">
        <v>98.33873748779297</v>
      </c>
      <c r="F606" s="93" t="n">
        <v>6705500</v>
      </c>
      <c r="G606" s="94" t="n">
        <v>-0.001804726627361308</v>
      </c>
      <c r="H606" s="95" t="n">
        <v>72.80140349418576</v>
      </c>
      <c r="I606" s="376" t="n">
        <v>100.0700529479981</v>
      </c>
      <c r="J606" s="376" t="n">
        <v>98.89138149261474</v>
      </c>
      <c r="K606" s="94" t="n">
        <v>0.2445709235526422</v>
      </c>
      <c r="L606" s="94" t="n">
        <v>-0.1431833129456848</v>
      </c>
      <c r="M606" s="94" t="n">
        <v>-0.1751970930956075</v>
      </c>
      <c r="N606" t="n">
        <v>52.02043402547256</v>
      </c>
      <c r="O606" t="n">
        <v>0.3485090544392052</v>
      </c>
      <c r="P606" s="143">
        <f>MAX($E$2:E606)</f>
        <v/>
      </c>
      <c r="Q606" s="144">
        <f>E606/P606-1</f>
        <v/>
      </c>
      <c r="R606" s="94" t="n">
        <v>0.02069553828816262</v>
      </c>
    </row>
    <row r="607">
      <c r="A607" s="375" t="n">
        <v>45345</v>
      </c>
      <c r="B607" s="376" t="n">
        <v>98.50718077931079</v>
      </c>
      <c r="C607" s="376" t="n">
        <v>99.77993228287323</v>
      </c>
      <c r="D607" s="376" t="n">
        <v>98.44167182574245</v>
      </c>
      <c r="E607" s="376" t="n">
        <v>98.85343933105469</v>
      </c>
      <c r="F607" s="93" t="n">
        <v>6947300</v>
      </c>
      <c r="G607" s="94" t="n">
        <v>0.005233968387336807</v>
      </c>
      <c r="H607" s="95" t="n">
        <v>73.18244373862809</v>
      </c>
      <c r="I607" s="376" t="n">
        <v>99.82710708618164</v>
      </c>
      <c r="J607" s="376" t="n">
        <v>98.79785263061524</v>
      </c>
      <c r="K607" s="94" t="n">
        <v>0.2446612154460152</v>
      </c>
      <c r="L607" s="94" t="n">
        <v>-0.1386987614918996</v>
      </c>
      <c r="M607" s="94" t="n">
        <v>-0.1708801007550864</v>
      </c>
      <c r="N607" t="n">
        <v>53.55770426392374</v>
      </c>
      <c r="O607" t="n">
        <v>0.348569831854286</v>
      </c>
      <c r="P607" s="143">
        <f>MAX($E$2:E607)</f>
        <v/>
      </c>
      <c r="Q607" s="144">
        <f>E607/P607-1</f>
        <v/>
      </c>
      <c r="R607" s="94" t="n">
        <v>0.0006896938035241273</v>
      </c>
    </row>
    <row r="608">
      <c r="A608" s="375" t="n">
        <v>45348</v>
      </c>
      <c r="B608" s="376" t="n">
        <v>98.55398791114752</v>
      </c>
      <c r="C608" s="376" t="n">
        <v>99.29330746753966</v>
      </c>
      <c r="D608" s="376" t="n">
        <v>97.10343018957002</v>
      </c>
      <c r="E608" s="376" t="n">
        <v>97.83338928222656</v>
      </c>
      <c r="F608" s="93" t="n">
        <v>5831500</v>
      </c>
      <c r="G608" s="94" t="n">
        <v>-0.01031881192734263</v>
      </c>
      <c r="H608" s="95" t="n">
        <v>72.42728786530586</v>
      </c>
      <c r="I608" s="376" t="n">
        <v>99.54448150634765</v>
      </c>
      <c r="J608" s="376" t="n">
        <v>98.70746971130372</v>
      </c>
      <c r="K608" s="94" t="n">
        <v>0.2398317159556711</v>
      </c>
      <c r="L608" s="94" t="n">
        <v>-0.1475863669848521</v>
      </c>
      <c r="M608" s="94" t="n">
        <v>-0.1794356330606118</v>
      </c>
      <c r="N608" t="n">
        <v>50.12971405754789</v>
      </c>
      <c r="O608" t="n">
        <v>0.2672395953538353</v>
      </c>
      <c r="P608" s="143">
        <f>MAX($E$2:E608)</f>
        <v/>
      </c>
      <c r="Q608" s="144">
        <f>E608/P608-1</f>
        <v/>
      </c>
      <c r="R608" s="94" t="n">
        <v>-0.003662551297314409</v>
      </c>
    </row>
    <row r="609">
      <c r="A609" s="375" t="n">
        <v>45349</v>
      </c>
      <c r="B609" s="376" t="n">
        <v>98.10478053406779</v>
      </c>
      <c r="C609" s="376" t="n">
        <v>98.49783431132036</v>
      </c>
      <c r="D609" s="376" t="n">
        <v>97.31866583962119</v>
      </c>
      <c r="E609" s="376" t="n">
        <v>98.40425109863281</v>
      </c>
      <c r="F609" s="93" t="n">
        <v>5317400</v>
      </c>
      <c r="G609" s="94" t="n">
        <v>0.005835040783054524</v>
      </c>
      <c r="H609" s="95" t="n">
        <v>72.84990404380595</v>
      </c>
      <c r="I609" s="376" t="n">
        <v>99.24463623046876</v>
      </c>
      <c r="J609" s="376" t="n">
        <v>98.62730712890625</v>
      </c>
      <c r="K609" s="94" t="n">
        <v>0.2376597989625392</v>
      </c>
      <c r="L609" s="94" t="n">
        <v>-0.142612498672177</v>
      </c>
      <c r="M609" s="94" t="n">
        <v>-0.1746476065143991</v>
      </c>
      <c r="N609" t="n">
        <v>51.98203225228908</v>
      </c>
      <c r="O609" t="n">
        <v>0.2400776990105269</v>
      </c>
      <c r="P609" s="143">
        <f>MAX($E$2:E609)</f>
        <v/>
      </c>
      <c r="Q609" s="144">
        <f>E609/P609-1</f>
        <v/>
      </c>
      <c r="R609" s="94" t="n">
        <v>0.001857814499585997</v>
      </c>
    </row>
    <row r="610">
      <c r="A610" s="375" t="n">
        <v>45350</v>
      </c>
      <c r="B610" s="376" t="n">
        <v>97.42160938251664</v>
      </c>
      <c r="C610" s="376" t="n">
        <v>98.67564727862987</v>
      </c>
      <c r="D610" s="376" t="n">
        <v>97.0472693923362</v>
      </c>
      <c r="E610" s="376" t="n">
        <v>97.65557098388672</v>
      </c>
      <c r="F610" s="93" t="n">
        <v>4219800</v>
      </c>
      <c r="G610" s="94" t="n">
        <v>-0.007608209059948745</v>
      </c>
      <c r="H610" s="95" t="n">
        <v>72.29564674384346</v>
      </c>
      <c r="I610" s="376" t="n">
        <v>98.93262527465821</v>
      </c>
      <c r="J610" s="376" t="n">
        <v>98.54937728881836</v>
      </c>
      <c r="K610" s="94" t="n">
        <v>0.2393012149592524</v>
      </c>
      <c r="L610" s="94" t="n">
        <v>-0.1491356820276661</v>
      </c>
      <c r="M610" s="94" t="n">
        <v>-0.1809270600721667</v>
      </c>
      <c r="N610" t="n">
        <v>49.39100724930486</v>
      </c>
      <c r="O610" t="n">
        <v>0.1635340713574122</v>
      </c>
      <c r="P610" s="143">
        <f>MAX($E$2:E610)</f>
        <v/>
      </c>
      <c r="Q610" s="144">
        <f>E610/P610-1</f>
        <v/>
      </c>
      <c r="R610" s="94" t="n">
        <v>-0.001321689731113018</v>
      </c>
    </row>
    <row r="611">
      <c r="A611" s="375" t="n">
        <v>45351</v>
      </c>
      <c r="B611" s="376" t="n">
        <v>98.24515373824588</v>
      </c>
      <c r="C611" s="376" t="n">
        <v>98.79729966192228</v>
      </c>
      <c r="D611" s="376" t="n">
        <v>97.02855061768882</v>
      </c>
      <c r="E611" s="376" t="n">
        <v>97.26251220703125</v>
      </c>
      <c r="F611" s="93" t="n">
        <v>10811600</v>
      </c>
      <c r="G611" s="94" t="n">
        <v>-0.004024949860979454</v>
      </c>
      <c r="H611" s="95" t="n">
        <v>72.00466039053242</v>
      </c>
      <c r="I611" s="376" t="n">
        <v>98.60283309936523</v>
      </c>
      <c r="J611" s="376" t="n">
        <v>98.4787939453125</v>
      </c>
      <c r="K611" s="94" t="n">
        <v>0.2201972368935856</v>
      </c>
      <c r="L611" s="94" t="n">
        <v>-0.1525603682460012</v>
      </c>
      <c r="M611" s="94" t="n">
        <v>-0.1842237875878613</v>
      </c>
      <c r="N611" t="n">
        <v>48.03724522500465</v>
      </c>
      <c r="O611" t="n">
        <v>0.08237367040611152</v>
      </c>
      <c r="P611" s="143">
        <f>MAX($E$2:E611)</f>
        <v/>
      </c>
      <c r="Q611" s="144">
        <f>E611/P611-1</f>
        <v/>
      </c>
      <c r="R611" s="94" t="n">
        <v>0.003594992708292999</v>
      </c>
    </row>
    <row r="612">
      <c r="A612" s="375" t="n">
        <v>45352</v>
      </c>
      <c r="B612" s="376" t="n">
        <v>97.55367043205032</v>
      </c>
      <c r="C612" s="376" t="n">
        <v>97.61941344715244</v>
      </c>
      <c r="D612" s="376" t="n">
        <v>95.63772192206548</v>
      </c>
      <c r="E612" s="376" t="n">
        <v>95.68467712402344</v>
      </c>
      <c r="F612" s="93" t="n">
        <v>7349300</v>
      </c>
      <c r="G612" s="94" t="n">
        <v>-0.0162224380925845</v>
      </c>
      <c r="H612" s="95" t="n">
        <v>70.83656924496943</v>
      </c>
      <c r="I612" s="376" t="n">
        <v>98.24915817260742</v>
      </c>
      <c r="J612" s="376" t="n">
        <v>98.40208179473876</v>
      </c>
      <c r="K612" s="94" t="n">
        <v>0.2286928098528812</v>
      </c>
      <c r="L612" s="94" t="n">
        <v>-0.1663079052093331</v>
      </c>
      <c r="M612" s="94" t="n">
        <v>-0.1974576666911203</v>
      </c>
      <c r="N612" t="n">
        <v>42.94828492262798</v>
      </c>
      <c r="O612" t="n">
        <v>-0.07322327454017029</v>
      </c>
      <c r="P612" s="143">
        <f>MAX($E$2:E612)</f>
        <v/>
      </c>
      <c r="Q612" s="144">
        <f>E612/P612-1</f>
        <v/>
      </c>
      <c r="R612" s="94" t="n">
        <v>0.009388319803945055</v>
      </c>
    </row>
    <row r="613">
      <c r="A613" s="375" t="n">
        <v>45355</v>
      </c>
      <c r="B613" s="376" t="n">
        <v>95.46866037271468</v>
      </c>
      <c r="C613" s="376" t="n">
        <v>95.58135858144261</v>
      </c>
      <c r="D613" s="376" t="n">
        <v>92.9891994643904</v>
      </c>
      <c r="E613" s="376" t="n">
        <v>93.48696899414062</v>
      </c>
      <c r="F613" s="93" t="n">
        <v>11050900</v>
      </c>
      <c r="G613" s="94" t="n">
        <v>-0.02296823478888066</v>
      </c>
      <c r="H613" s="95" t="n">
        <v>69.20957829091216</v>
      </c>
      <c r="I613" s="376" t="n">
        <v>97.82345352172851</v>
      </c>
      <c r="J613" s="376" t="n">
        <v>98.32990058898926</v>
      </c>
      <c r="K613" s="94" t="n">
        <v>0.2406066958164713</v>
      </c>
      <c r="L613" s="94" t="n">
        <v>-0.185456340984119</v>
      </c>
      <c r="M613" s="94" t="n">
        <v>-0.2158906474305748</v>
      </c>
      <c r="N613" t="n">
        <v>37.05929030996074</v>
      </c>
      <c r="O613" t="n">
        <v>-0.3067109132820304</v>
      </c>
      <c r="P613" s="143">
        <f>MAX($E$2:E613)</f>
        <v/>
      </c>
      <c r="Q613" s="144">
        <f>E613/P613-1</f>
        <v/>
      </c>
      <c r="R613" s="94" t="n">
        <v>-0.001072480759472749</v>
      </c>
    </row>
    <row r="614">
      <c r="A614" s="375" t="n">
        <v>45356</v>
      </c>
      <c r="B614" s="376" t="n">
        <v>92.97979991444771</v>
      </c>
      <c r="C614" s="376" t="n">
        <v>93.13946047742103</v>
      </c>
      <c r="D614" s="376" t="n">
        <v>92.04061001632198</v>
      </c>
      <c r="E614" s="376" t="n">
        <v>92.33175659179688</v>
      </c>
      <c r="F614" s="93" t="n">
        <v>8670600</v>
      </c>
      <c r="G614" s="94" t="n">
        <v>-0.01235693503354629</v>
      </c>
      <c r="H614" s="95" t="n">
        <v>68.35436002827223</v>
      </c>
      <c r="I614" s="376" t="n">
        <v>97.39729202270507</v>
      </c>
      <c r="J614" s="376" t="n">
        <v>98.24962707519531</v>
      </c>
      <c r="K614" s="94" t="n">
        <v>0.24188775618601</v>
      </c>
      <c r="L614" s="94" t="n">
        <v>-0.1955216040605653</v>
      </c>
      <c r="M614" s="94" t="n">
        <v>-0.2255798357594713</v>
      </c>
      <c r="N614" t="n">
        <v>34.38995318011212</v>
      </c>
      <c r="O614" t="n">
        <v>-0.509550423974541</v>
      </c>
      <c r="P614" s="143">
        <f>MAX($E$2:E614)</f>
        <v/>
      </c>
      <c r="Q614" s="144">
        <f>E614/P614-1</f>
        <v/>
      </c>
      <c r="R614" s="94" t="n">
        <v>-0.009994155065539134</v>
      </c>
    </row>
    <row r="615">
      <c r="A615" s="375" t="n">
        <v>45357</v>
      </c>
      <c r="B615" s="376" t="n">
        <v>93.91899806815253</v>
      </c>
      <c r="C615" s="376" t="n">
        <v>94.0129156331305</v>
      </c>
      <c r="D615" s="376" t="n">
        <v>91.15777723200456</v>
      </c>
      <c r="E615" s="376" t="n">
        <v>91.693115234375</v>
      </c>
      <c r="F615" s="93" t="n">
        <v>10045300</v>
      </c>
      <c r="G615" s="94" t="n">
        <v>-0.006916811517464594</v>
      </c>
      <c r="H615" s="95" t="n">
        <v>67.88156580355977</v>
      </c>
      <c r="I615" s="376" t="n">
        <v>96.93776916503906</v>
      </c>
      <c r="J615" s="376" t="n">
        <v>98.15740455627441</v>
      </c>
      <c r="K615" s="94" t="n">
        <v>0.215457148782324</v>
      </c>
      <c r="L615" s="94" t="n">
        <v>-0.2010860294951504</v>
      </c>
      <c r="M615" s="94" t="n">
        <v>-0.2309363540708469</v>
      </c>
      <c r="N615" t="n">
        <v>32.97584653731732</v>
      </c>
      <c r="O615" t="n">
        <v>-0.6484193736612804</v>
      </c>
      <c r="P615" s="143">
        <f>MAX($E$2:E615)</f>
        <v/>
      </c>
      <c r="Q615" s="144">
        <f>E615/P615-1</f>
        <v/>
      </c>
      <c r="R615" s="94" t="n">
        <v>0.005067221702833802</v>
      </c>
    </row>
    <row r="616">
      <c r="A616" s="375" t="n">
        <v>45358</v>
      </c>
      <c r="B616" s="376" t="n">
        <v>92.03122813114106</v>
      </c>
      <c r="C616" s="376" t="n">
        <v>92.41629947908261</v>
      </c>
      <c r="D616" s="376" t="n">
        <v>91.74008151763974</v>
      </c>
      <c r="E616" s="376" t="n">
        <v>92.21907043457031</v>
      </c>
      <c r="F616" s="93" t="n">
        <v>8133900</v>
      </c>
      <c r="G616" s="94" t="n">
        <v>0.005736038074951821</v>
      </c>
      <c r="H616" s="95" t="n">
        <v>68.27093704959633</v>
      </c>
      <c r="I616" s="376" t="n">
        <v>96.75997375488281</v>
      </c>
      <c r="J616" s="376" t="n">
        <v>98.08685214996338</v>
      </c>
      <c r="K616" s="94" t="n">
        <v>0.2115252026023695</v>
      </c>
      <c r="L616" s="94" t="n">
        <v>-0.1965034285417238</v>
      </c>
      <c r="M616" s="94" t="n">
        <v>-0.2265249757157362</v>
      </c>
      <c r="N616" t="n">
        <v>35.33416193009424</v>
      </c>
      <c r="O616" t="n">
        <v>-0.6641133647011288</v>
      </c>
      <c r="P616" s="143">
        <f>MAX($E$2:E616)</f>
        <v/>
      </c>
      <c r="Q616" s="144">
        <f>E616/P616-1</f>
        <v/>
      </c>
      <c r="R616" s="94" t="n">
        <v>0.009926432173728683</v>
      </c>
    </row>
    <row r="617">
      <c r="A617" s="375" t="n">
        <v>45359</v>
      </c>
      <c r="B617" s="376" t="n">
        <v>92.5008184490061</v>
      </c>
      <c r="C617" s="376" t="n">
        <v>93.28034784642702</v>
      </c>
      <c r="D617" s="376" t="n">
        <v>92.05939801515447</v>
      </c>
      <c r="E617" s="376" t="n">
        <v>93.13008117675781</v>
      </c>
      <c r="F617" s="93" t="n">
        <v>9043500</v>
      </c>
      <c r="G617" s="94" t="n">
        <v>0.009878767351421791</v>
      </c>
      <c r="H617" s="95" t="n">
        <v>68.94536975357285</v>
      </c>
      <c r="I617" s="376" t="n">
        <v>96.60077285766602</v>
      </c>
      <c r="J617" s="376" t="n">
        <v>98.04207248687744</v>
      </c>
      <c r="K617" s="94" t="n">
        <v>0.2159613851027727</v>
      </c>
      <c r="L617" s="94" t="n">
        <v>-0.1885658728446225</v>
      </c>
      <c r="M617" s="94" t="n">
        <v>-0.2188839958986966</v>
      </c>
      <c r="N617" t="n">
        <v>39.31703760400802</v>
      </c>
      <c r="O617" t="n">
        <v>-0.5756939791887294</v>
      </c>
      <c r="P617" s="143">
        <f>MAX($E$2:E617)</f>
        <v/>
      </c>
      <c r="Q617" s="144">
        <f>E617/P617-1</f>
        <v/>
      </c>
      <c r="R617" s="94" t="n">
        <v>-0.006002176220475386</v>
      </c>
    </row>
    <row r="618">
      <c r="A618" s="375" t="n">
        <v>45362</v>
      </c>
      <c r="B618" s="376" t="n">
        <v>93.82508223689084</v>
      </c>
      <c r="C618" s="376" t="n">
        <v>95.57197620647395</v>
      </c>
      <c r="D618" s="376" t="n">
        <v>93.39305569764838</v>
      </c>
      <c r="E618" s="376" t="n">
        <v>94.93332672119141</v>
      </c>
      <c r="F618" s="93" t="n">
        <v>8537400</v>
      </c>
      <c r="G618" s="94" t="n">
        <v>0.01936265406030402</v>
      </c>
      <c r="H618" s="95" t="n">
        <v>70.28033509717103</v>
      </c>
      <c r="I618" s="376" t="n">
        <v>96.49429504394531</v>
      </c>
      <c r="J618" s="376" t="n">
        <v>98.0127949142456</v>
      </c>
      <c r="K618" s="94" t="n">
        <v>0.2269578295510789</v>
      </c>
      <c r="L618" s="94" t="n">
        <v>-0.1728543545477881</v>
      </c>
      <c r="M618" s="94" t="n">
        <v>-0.203759516930316</v>
      </c>
      <c r="N618" t="n">
        <v>46.35958849124619</v>
      </c>
      <c r="O618" t="n">
        <v>-0.3684009728736797</v>
      </c>
      <c r="P618" s="143">
        <f>MAX($E$2:E618)</f>
        <v/>
      </c>
      <c r="Q618" s="144">
        <f>E618/P618-1</f>
        <v/>
      </c>
      <c r="R618" s="94" t="n">
        <v>-0.0008600270818610589</v>
      </c>
    </row>
    <row r="619">
      <c r="A619" s="375" t="n">
        <v>45363</v>
      </c>
      <c r="B619" s="376" t="n">
        <v>94.66095729333072</v>
      </c>
      <c r="C619" s="376" t="n">
        <v>95.20568919193975</v>
      </c>
      <c r="D619" s="376" t="n">
        <v>93.59028130803753</v>
      </c>
      <c r="E619" s="376" t="n">
        <v>94.08805084228516</v>
      </c>
      <c r="F619" s="93" t="n">
        <v>7040900</v>
      </c>
      <c r="G619" s="94" t="n">
        <v>-0.008903889794031228</v>
      </c>
      <c r="H619" s="95" t="n">
        <v>69.65456673877823</v>
      </c>
      <c r="I619" s="376" t="n">
        <v>96.33927978515625</v>
      </c>
      <c r="J619" s="376" t="n">
        <v>97.98156085968017</v>
      </c>
      <c r="K619" s="94" t="n">
        <v>0.204389197962432</v>
      </c>
      <c r="L619" s="94" t="n">
        <v>-0.1802191682185075</v>
      </c>
      <c r="M619" s="94" t="n">
        <v>-0.2108491544411146</v>
      </c>
      <c r="N619" t="n">
        <v>43.79389326003705</v>
      </c>
      <c r="O619" t="n">
        <v>-0.2656497154023156</v>
      </c>
      <c r="P619" s="143">
        <f>MAX($E$2:E619)</f>
        <v/>
      </c>
      <c r="Q619" s="144">
        <f>E619/P619-1</f>
        <v/>
      </c>
      <c r="R619" s="94" t="n">
        <v>0.01075749623953648</v>
      </c>
    </row>
    <row r="620">
      <c r="A620" s="375" t="n">
        <v>45364</v>
      </c>
      <c r="B620" s="376" t="n">
        <v>94.49190420877501</v>
      </c>
      <c r="C620" s="376" t="n">
        <v>95.79737770425378</v>
      </c>
      <c r="D620" s="376" t="n">
        <v>94.22893216154921</v>
      </c>
      <c r="E620" s="376" t="n">
        <v>95.19629669189453</v>
      </c>
      <c r="F620" s="93" t="n">
        <v>7326400</v>
      </c>
      <c r="G620" s="94" t="n">
        <v>0.01177881611626819</v>
      </c>
      <c r="H620" s="95" t="n">
        <v>70.47501507205264</v>
      </c>
      <c r="I620" s="376" t="n">
        <v>96.21110855102539</v>
      </c>
      <c r="J620" s="376" t="n">
        <v>97.95962055206299</v>
      </c>
      <c r="K620" s="94" t="n">
        <v>0.200243956777908</v>
      </c>
      <c r="L620" s="94" t="n">
        <v>-0.1705631205453118</v>
      </c>
      <c r="M620" s="94" t="n">
        <v>-0.201553891743279</v>
      </c>
      <c r="N620" t="n">
        <v>47.86765022540565</v>
      </c>
      <c r="O620" t="n">
        <v>-0.1085349291332568</v>
      </c>
      <c r="P620" s="143">
        <f>MAX($E$2:E620)</f>
        <v/>
      </c>
      <c r="Q620" s="144">
        <f>E620/P620-1</f>
        <v/>
      </c>
      <c r="R620" s="94" t="n">
        <v>-0.001567457957889262</v>
      </c>
    </row>
    <row r="621">
      <c r="A621" s="375" t="n">
        <v>45365</v>
      </c>
      <c r="B621" s="376" t="n">
        <v>95.98522427951799</v>
      </c>
      <c r="C621" s="376" t="n">
        <v>96.25759026532378</v>
      </c>
      <c r="D621" s="376" t="n">
        <v>94.00353261746166</v>
      </c>
      <c r="E621" s="376" t="n">
        <v>94.16320037841797</v>
      </c>
      <c r="F621" s="93" t="n">
        <v>8350900</v>
      </c>
      <c r="G621" s="94" t="n">
        <v>-0.0108522741889866</v>
      </c>
      <c r="H621" s="95" t="n">
        <v>69.71020088501776</v>
      </c>
      <c r="I621" s="376" t="n">
        <v>96.10008377075195</v>
      </c>
      <c r="J621" s="376" t="n">
        <v>97.93237575531006</v>
      </c>
      <c r="K621" s="94" t="n">
        <v>0.1955084888377446</v>
      </c>
      <c r="L621" s="94" t="n">
        <v>-0.1795643969836115</v>
      </c>
      <c r="M621" s="94" t="n">
        <v>-0.2102188478352102</v>
      </c>
      <c r="N621" t="n">
        <v>44.62096661996365</v>
      </c>
      <c r="O621" t="n">
        <v>-0.06199043415101679</v>
      </c>
      <c r="P621" s="143">
        <f>MAX($E$2:E621)</f>
        <v/>
      </c>
      <c r="Q621" s="144">
        <f>E621/P621-1</f>
        <v/>
      </c>
      <c r="R621" s="94" t="n">
        <v>-0.001976844217785656</v>
      </c>
    </row>
    <row r="622">
      <c r="A622" s="375" t="n">
        <v>45366</v>
      </c>
      <c r="B622" s="376" t="n">
        <v>94.20074029264812</v>
      </c>
      <c r="C622" s="376" t="n">
        <v>95.00844409805521</v>
      </c>
      <c r="D622" s="376" t="n">
        <v>93.29911177439638</v>
      </c>
      <c r="E622" s="376" t="n">
        <v>93.58087158203125</v>
      </c>
      <c r="F622" s="93" t="n">
        <v>15208500</v>
      </c>
      <c r="G622" s="94" t="n">
        <v>-0.006184250259618218</v>
      </c>
      <c r="H622" s="95" t="n">
        <v>69.27909555709655</v>
      </c>
      <c r="I622" s="376" t="n">
        <v>96.02439208984374</v>
      </c>
      <c r="J622" s="376" t="n">
        <v>97.90680576324463</v>
      </c>
      <c r="K622" s="94" t="n">
        <v>0.1959020209350673</v>
      </c>
      <c r="L622" s="94" t="n">
        <v>-0.1846381760745656</v>
      </c>
      <c r="M622" s="94" t="n">
        <v>-0.2151030521305269</v>
      </c>
      <c r="N622" t="n">
        <v>42.85644829264688</v>
      </c>
      <c r="O622" t="n">
        <v>-0.05828097637858287</v>
      </c>
      <c r="P622" s="143">
        <f>MAX($E$2:E622)</f>
        <v/>
      </c>
      <c r="Q622" s="144">
        <f>E622/P622-1</f>
        <v/>
      </c>
      <c r="R622" s="94" t="n">
        <v>-0.0068665607780658</v>
      </c>
    </row>
    <row r="623">
      <c r="A623" s="375" t="n">
        <v>45369</v>
      </c>
      <c r="B623" s="376" t="n">
        <v>92.96102170248844</v>
      </c>
      <c r="C623" s="376" t="n">
        <v>93.59967113654827</v>
      </c>
      <c r="D623" s="376" t="n">
        <v>92.52898803244612</v>
      </c>
      <c r="E623" s="376" t="n">
        <v>92.73561096191406</v>
      </c>
      <c r="F623" s="93" t="n">
        <v>7207000</v>
      </c>
      <c r="G623" s="94" t="n">
        <v>-0.009032408074723386</v>
      </c>
      <c r="H623" s="95" t="n">
        <v>68.65333849497711</v>
      </c>
      <c r="I623" s="376" t="n">
        <v>95.96436248779297</v>
      </c>
      <c r="J623" s="376" t="n">
        <v>97.88284664154052</v>
      </c>
      <c r="K623" s="94" t="n">
        <v>0.1812079459880505</v>
      </c>
      <c r="L623" s="94" t="n">
        <v>-0.1912774837459308</v>
      </c>
      <c r="M623" s="94" t="n">
        <v>-0.2221925616602889</v>
      </c>
      <c r="N623" t="n">
        <v>40.36149999529332</v>
      </c>
      <c r="O623" t="n">
        <v>-0.0982610065822993</v>
      </c>
      <c r="P623" s="143">
        <f>MAX($E$2:E623)</f>
        <v/>
      </c>
      <c r="Q623" s="144">
        <f>E623/P623-1</f>
        <v/>
      </c>
      <c r="R623" s="94" t="n">
        <v>0.005943184780418331</v>
      </c>
    </row>
    <row r="624">
      <c r="A624" s="375" t="n">
        <v>45370</v>
      </c>
      <c r="B624" s="376" t="n">
        <v>92.51021503886786</v>
      </c>
      <c r="C624" s="376" t="n">
        <v>93.95656849932966</v>
      </c>
      <c r="D624" s="376" t="n">
        <v>92.45386593178851</v>
      </c>
      <c r="E624" s="376" t="n">
        <v>93.88143157958984</v>
      </c>
      <c r="F624" s="93" t="n">
        <v>6168900</v>
      </c>
      <c r="G624" s="94" t="n">
        <v>0.01235577795617648</v>
      </c>
      <c r="H624" s="95" t="n">
        <v>69.50160390137125</v>
      </c>
      <c r="I624" s="376" t="n">
        <v>95.93136703491211</v>
      </c>
      <c r="J624" s="376" t="n">
        <v>97.87216785430908</v>
      </c>
      <c r="K624" s="94" t="n">
        <v>0.1883530378420896</v>
      </c>
      <c r="L624" s="94" t="n">
        <v>-0.1812850879069353</v>
      </c>
      <c r="M624" s="94" t="n">
        <v>-0.212582145659501</v>
      </c>
      <c r="N624" t="n">
        <v>45.03301719885182</v>
      </c>
      <c r="O624" t="n">
        <v>-0.03623883241900305</v>
      </c>
      <c r="P624" s="143">
        <f>MAX($E$2:E624)</f>
        <v/>
      </c>
      <c r="Q624" s="144">
        <f>E624/P624-1</f>
        <v/>
      </c>
      <c r="R624" s="94" t="n">
        <v>0.005556981590266297</v>
      </c>
    </row>
    <row r="625">
      <c r="A625" s="375" t="n">
        <v>45371</v>
      </c>
      <c r="B625" s="376" t="n">
        <v>93.40243383407731</v>
      </c>
      <c r="C625" s="376" t="n">
        <v>94.33223700560234</v>
      </c>
      <c r="D625" s="376" t="n">
        <v>93.00797579094872</v>
      </c>
      <c r="E625" s="376" t="n">
        <v>94.17256927490234</v>
      </c>
      <c r="F625" s="93" t="n">
        <v>7771700</v>
      </c>
      <c r="G625" s="94" t="n">
        <v>0.003101121173953114</v>
      </c>
      <c r="H625" s="95" t="n">
        <v>69.7171367968535</v>
      </c>
      <c r="I625" s="376" t="n">
        <v>95.87537017822265</v>
      </c>
      <c r="J625" s="376" t="n">
        <v>97.84207553863526</v>
      </c>
      <c r="K625" s="94" t="n">
        <v>0.1732623639574929</v>
      </c>
      <c r="L625" s="94" t="n">
        <v>-0.0752782188063017</v>
      </c>
      <c r="M625" s="94" t="n">
        <v>-0.2101402674786568</v>
      </c>
      <c r="N625" t="n">
        <v>46.18644239819893</v>
      </c>
      <c r="O625" t="n">
        <v>0.0320037706934152</v>
      </c>
      <c r="P625" s="143">
        <f>MAX($E$2:E625)</f>
        <v/>
      </c>
      <c r="Q625" s="144">
        <f>E625/P625-1</f>
        <v/>
      </c>
      <c r="R625" s="94" t="n">
        <v>0.009249403821912416</v>
      </c>
    </row>
    <row r="626">
      <c r="A626" s="375" t="n">
        <v>45372</v>
      </c>
      <c r="B626" s="376" t="n">
        <v>94.33223547999312</v>
      </c>
      <c r="C626" s="376" t="n">
        <v>95.72223251390442</v>
      </c>
      <c r="D626" s="376" t="n">
        <v>93.69358606387298</v>
      </c>
      <c r="E626" s="376" t="n">
        <v>94.68912506103516</v>
      </c>
      <c r="F626" s="93" t="n">
        <v>17176000</v>
      </c>
      <c r="G626" s="94" t="n">
        <v>0.00548520434464228</v>
      </c>
      <c r="H626" s="95" t="n">
        <v>70.09954953850762</v>
      </c>
      <c r="I626" s="376" t="n">
        <v>95.84617538452149</v>
      </c>
      <c r="J626" s="376" t="n">
        <v>97.82655769348145</v>
      </c>
      <c r="K626" s="94" t="n">
        <v>0.1753996366023174</v>
      </c>
      <c r="L626" s="94" t="n">
        <v>-0.07020593087451266</v>
      </c>
      <c r="M626" s="94" t="n">
        <v>-0.2058077254421729</v>
      </c>
      <c r="N626" t="n">
        <v>48.26092442183135</v>
      </c>
      <c r="O626" t="n">
        <v>0.1148805410119684</v>
      </c>
      <c r="P626" s="143">
        <f>MAX($E$2:E626)</f>
        <v/>
      </c>
      <c r="Q626" s="144">
        <f>E626/P626-1</f>
        <v/>
      </c>
      <c r="R626" s="94" t="n">
        <v>0.003304668126688615</v>
      </c>
    </row>
    <row r="627">
      <c r="A627" s="375" t="n">
        <v>45373</v>
      </c>
      <c r="B627" s="376" t="n">
        <v>88.14297273263895</v>
      </c>
      <c r="C627" s="376" t="n">
        <v>89.38270314286443</v>
      </c>
      <c r="D627" s="376" t="n">
        <v>86.1425007786582</v>
      </c>
      <c r="E627" s="376" t="n">
        <v>88.15236663818359</v>
      </c>
      <c r="F627" s="93" t="n">
        <v>41837400</v>
      </c>
      <c r="G627" s="94" t="n">
        <v>-0.06903388766807239</v>
      </c>
      <c r="H627" s="95" t="n">
        <v>65.26030511008382</v>
      </c>
      <c r="I627" s="376" t="n">
        <v>95.66696746826172</v>
      </c>
      <c r="J627" s="376" t="n">
        <v>97.77375457763672</v>
      </c>
      <c r="K627" s="94" t="n">
        <v>0.2938443387916415</v>
      </c>
      <c r="L627" s="94" t="n">
        <v>-0.1343932301969614</v>
      </c>
      <c r="M627" s="94" t="n">
        <v>-0.2606339057108488</v>
      </c>
      <c r="N627" t="n">
        <v>31.6392683549072</v>
      </c>
      <c r="O627" t="n">
        <v>-0.2478026844033043</v>
      </c>
      <c r="P627" s="143">
        <f>MAX($E$2:E627)</f>
        <v/>
      </c>
      <c r="Q627" s="144">
        <f>E627/P627-1</f>
        <v/>
      </c>
      <c r="R627" s="94" t="n">
        <v>-0.001895707793381773</v>
      </c>
    </row>
    <row r="628">
      <c r="A628" s="375" t="n">
        <v>45376</v>
      </c>
      <c r="B628" s="376" t="n">
        <v>88.34959750146791</v>
      </c>
      <c r="C628" s="376" t="n">
        <v>89.71142005032674</v>
      </c>
      <c r="D628" s="376" t="n">
        <v>87.12864771145955</v>
      </c>
      <c r="E628" s="376" t="n">
        <v>88.04905700683594</v>
      </c>
      <c r="F628" s="93" t="n">
        <v>14548800</v>
      </c>
      <c r="G628" s="94" t="n">
        <v>-0.001171943933980679</v>
      </c>
      <c r="H628" s="95" t="n">
        <v>65.18382369138033</v>
      </c>
      <c r="I628" s="376" t="n">
        <v>95.44582595825196</v>
      </c>
      <c r="J628" s="376" t="n">
        <v>97.71625179290771</v>
      </c>
      <c r="K628" s="94" t="n">
        <v>0.2936669351020775</v>
      </c>
      <c r="L628" s="94" t="n">
        <v>-0.1354076728000446</v>
      </c>
      <c r="M628" s="94" t="n">
        <v>-0.2615004013200419</v>
      </c>
      <c r="N628" t="n">
        <v>31.45488157931202</v>
      </c>
      <c r="O628" t="n">
        <v>-0.4596093646236628</v>
      </c>
      <c r="P628" s="143">
        <f>MAX($E$2:E628)</f>
        <v/>
      </c>
      <c r="Q628" s="144">
        <f>E628/P628-1</f>
        <v/>
      </c>
      <c r="R628" s="94" t="n">
        <v>-0.002762701534016365</v>
      </c>
    </row>
    <row r="629">
      <c r="A629" s="375" t="n">
        <v>45377</v>
      </c>
      <c r="B629" s="376" t="n">
        <v>88.03965177838276</v>
      </c>
      <c r="C629" s="376" t="n">
        <v>88.15235713641879</v>
      </c>
      <c r="D629" s="376" t="n">
        <v>86.7905347627029</v>
      </c>
      <c r="E629" s="376" t="n">
        <v>86.9501953125</v>
      </c>
      <c r="F629" s="93" t="n">
        <v>10816900</v>
      </c>
      <c r="G629" s="94" t="n">
        <v>-0.01248010747293549</v>
      </c>
      <c r="H629" s="95" t="n">
        <v>64.37032256621502</v>
      </c>
      <c r="I629" s="376" t="n">
        <v>95.21842956542969</v>
      </c>
      <c r="J629" s="376" t="n">
        <v>97.65739135742187</v>
      </c>
      <c r="K629" s="94" t="n">
        <v>0.2918227387250256</v>
      </c>
      <c r="L629" s="94" t="n">
        <v>-0.1442319128920986</v>
      </c>
      <c r="M629" s="94" t="n">
        <v>-0.2707169556802875</v>
      </c>
      <c r="N629" t="n">
        <v>29.48648225235223</v>
      </c>
      <c r="O629" t="n">
        <v>-0.6282325572665424</v>
      </c>
      <c r="P629" s="143">
        <f>MAX($E$2:E629)</f>
        <v/>
      </c>
      <c r="Q629" s="144">
        <f>E629/P629-1</f>
        <v/>
      </c>
      <c r="R629" s="94" t="n">
        <v>-0.001847205701669186</v>
      </c>
    </row>
    <row r="630">
      <c r="A630" s="375" t="n">
        <v>45378</v>
      </c>
      <c r="B630" s="376" t="n">
        <v>87.5982484773332</v>
      </c>
      <c r="C630" s="376" t="n">
        <v>88.42474026633668</v>
      </c>
      <c r="D630" s="376" t="n">
        <v>86.70602084015108</v>
      </c>
      <c r="E630" s="376" t="n">
        <v>88.40595245361328</v>
      </c>
      <c r="F630" s="93" t="n">
        <v>11095700</v>
      </c>
      <c r="G630" s="94" t="n">
        <v>0.0167424251996362</v>
      </c>
      <c r="H630" s="95" t="n">
        <v>65.44803787685633</v>
      </c>
      <c r="I630" s="376" t="n">
        <v>95.0826626586914</v>
      </c>
      <c r="J630" s="376" t="n">
        <v>97.60739006042481</v>
      </c>
      <c r="K630" s="94" t="n">
        <v>0.3026463295476737</v>
      </c>
      <c r="L630" s="94" t="n">
        <v>-0.1186200796848017</v>
      </c>
      <c r="M630" s="94" t="n">
        <v>-0.2585069888614019</v>
      </c>
      <c r="N630" t="n">
        <v>35.26595813597393</v>
      </c>
      <c r="O630" t="n">
        <v>-0.5964879950047244</v>
      </c>
      <c r="P630" s="143">
        <f>MAX($E$2:E630)</f>
        <v/>
      </c>
      <c r="Q630" s="144">
        <f>E630/P630-1</f>
        <v/>
      </c>
      <c r="R630" s="94" t="n">
        <v>0.00840378016893184</v>
      </c>
    </row>
    <row r="631">
      <c r="A631" s="375" t="n">
        <v>45379</v>
      </c>
      <c r="B631" s="376" t="n">
        <v>88.63134387302098</v>
      </c>
      <c r="C631" s="376" t="n">
        <v>89.04458251189735</v>
      </c>
      <c r="D631" s="376" t="n">
        <v>87.74850316939735</v>
      </c>
      <c r="E631" s="376" t="n">
        <v>88.26506042480469</v>
      </c>
      <c r="F631" s="93" t="n">
        <v>11331700</v>
      </c>
      <c r="G631" s="94" t="n">
        <v>-0.001593693918772288</v>
      </c>
      <c r="H631" s="95" t="n">
        <v>65.34373373689641</v>
      </c>
      <c r="I631" s="376" t="n">
        <v>94.96092330932618</v>
      </c>
      <c r="J631" s="376" t="n">
        <v>97.55217567443847</v>
      </c>
      <c r="K631" s="94" t="n">
        <v>0.3028503267880655</v>
      </c>
      <c r="L631" s="94" t="n">
        <v>-0.1200247295039359</v>
      </c>
      <c r="M631" s="94" t="n">
        <v>-0.2596887017640656</v>
      </c>
      <c r="N631" t="n">
        <v>34.96724135334328</v>
      </c>
      <c r="O631" t="n">
        <v>-0.5413558113093719</v>
      </c>
      <c r="P631" s="143">
        <f>MAX($E$2:E631)</f>
        <v/>
      </c>
      <c r="Q631" s="144">
        <f>E631/P631-1</f>
        <v/>
      </c>
      <c r="R631" s="94" t="n">
        <v>-0.0001908527943028648</v>
      </c>
    </row>
    <row r="632">
      <c r="A632" s="375" t="n">
        <v>45383</v>
      </c>
      <c r="B632" s="376" t="n">
        <v>88.10539907619275</v>
      </c>
      <c r="C632" s="376" t="n">
        <v>88.20871053473527</v>
      </c>
      <c r="D632" s="376" t="n">
        <v>86.11432114526413</v>
      </c>
      <c r="E632" s="376" t="n">
        <v>86.93141174316406</v>
      </c>
      <c r="F632" s="93" t="n">
        <v>10360000</v>
      </c>
      <c r="G632" s="94" t="n">
        <v>-0.01510958781676464</v>
      </c>
      <c r="H632" s="95" t="n">
        <v>64.3564168537235</v>
      </c>
      <c r="I632" s="376" t="n">
        <v>94.81026473999023</v>
      </c>
      <c r="J632" s="376" t="n">
        <v>97.49052555084228</v>
      </c>
      <c r="K632" s="94" t="n">
        <v>0.302312282150296</v>
      </c>
      <c r="L632" s="94" t="n">
        <v>-0.1333207931300773</v>
      </c>
      <c r="M632" s="94" t="n">
        <v>-0.2708745003365045</v>
      </c>
      <c r="N632" t="n">
        <v>32.18793304845282</v>
      </c>
      <c r="O632" t="n">
        <v>-0.5493399234516565</v>
      </c>
      <c r="P632" s="143">
        <f>MAX($E$2:E632)</f>
        <v/>
      </c>
      <c r="Q632" s="144">
        <f>E632/P632-1</f>
        <v/>
      </c>
      <c r="R632" s="94" t="n">
        <v>-0.001740047196129746</v>
      </c>
    </row>
    <row r="633">
      <c r="A633" s="375" t="n">
        <v>45384</v>
      </c>
      <c r="B633" s="376" t="n">
        <v>86.18007554714895</v>
      </c>
      <c r="C633" s="376" t="n">
        <v>86.311561572602</v>
      </c>
      <c r="D633" s="376" t="n">
        <v>85.12818017807349</v>
      </c>
      <c r="E633" s="376" t="n">
        <v>85.41932678222656</v>
      </c>
      <c r="F633" s="93" t="n">
        <v>11107300</v>
      </c>
      <c r="G633" s="94" t="n">
        <v>-0.01739399982833478</v>
      </c>
      <c r="H633" s="95" t="n">
        <v>63.23700135001759</v>
      </c>
      <c r="I633" s="376" t="n">
        <v>94.61364242553711</v>
      </c>
      <c r="J633" s="376" t="n">
        <v>97.39305549621582</v>
      </c>
      <c r="K633" s="94" t="n">
        <v>0.2984450232760876</v>
      </c>
      <c r="L633" s="94" t="n">
        <v>-0.1483958111055942</v>
      </c>
      <c r="M633" s="94" t="n">
        <v>-0.2835569091524859</v>
      </c>
      <c r="N633" t="n">
        <v>29.34044752322806</v>
      </c>
      <c r="O633" t="n">
        <v>-0.6066008963869436</v>
      </c>
      <c r="P633" s="143">
        <f>MAX($E$2:E633)</f>
        <v/>
      </c>
      <c r="Q633" s="144">
        <f>E633/P633-1</f>
        <v/>
      </c>
      <c r="R633" s="94" t="n">
        <v>-0.00635816029791636</v>
      </c>
    </row>
    <row r="634">
      <c r="A634" s="375" t="n">
        <v>45385</v>
      </c>
      <c r="B634" s="376" t="n">
        <v>85.47567025867015</v>
      </c>
      <c r="C634" s="376" t="n">
        <v>85.87952218080632</v>
      </c>
      <c r="D634" s="376" t="n">
        <v>84.79005851534136</v>
      </c>
      <c r="E634" s="376" t="n">
        <v>84.83702087402344</v>
      </c>
      <c r="F634" s="93" t="n">
        <v>8876600</v>
      </c>
      <c r="G634" s="94" t="n">
        <v>-0.006817027599476333</v>
      </c>
      <c r="H634" s="95" t="n">
        <v>62.8059129665064</v>
      </c>
      <c r="I634" s="376" t="n">
        <v>94.42820877075195</v>
      </c>
      <c r="J634" s="376" t="n">
        <v>97.29476539611817</v>
      </c>
      <c r="K634" s="94" t="n">
        <v>0.2971135596994212</v>
      </c>
      <c r="L634" s="94" t="n">
        <v>-0.154201220365117</v>
      </c>
      <c r="M634" s="94" t="n">
        <v>-0.2884409214762474</v>
      </c>
      <c r="N634" t="n">
        <v>28.30209065594789</v>
      </c>
      <c r="O634" t="n">
        <v>-0.6310270430376077</v>
      </c>
      <c r="P634" s="143">
        <f>MAX($E$2:E634)</f>
        <v/>
      </c>
      <c r="Q634" s="144">
        <f>E634/P634-1</f>
        <v/>
      </c>
      <c r="R634" s="94" t="n">
        <v>0.001098598920015847</v>
      </c>
    </row>
    <row r="635">
      <c r="A635" s="375" t="n">
        <v>45386</v>
      </c>
      <c r="B635" s="376" t="n">
        <v>85.4193306894591</v>
      </c>
      <c r="C635" s="376" t="n">
        <v>85.51325542517985</v>
      </c>
      <c r="D635" s="376" t="n">
        <v>83.48460151319388</v>
      </c>
      <c r="E635" s="376" t="n">
        <v>83.65365600585938</v>
      </c>
      <c r="F635" s="93" t="n">
        <v>12110300</v>
      </c>
      <c r="G635" s="94" t="n">
        <v>-0.01394868485447254</v>
      </c>
      <c r="H635" s="95" t="n">
        <v>61.92985307953916</v>
      </c>
      <c r="I635" s="376" t="n">
        <v>94.1940267944336</v>
      </c>
      <c r="J635" s="376" t="n">
        <v>97.18507400512695</v>
      </c>
      <c r="K635" s="94" t="n">
        <v>0.2990548283551481</v>
      </c>
      <c r="L635" s="94" t="n">
        <v>-0.1659990009925415</v>
      </c>
      <c r="M635" s="94" t="n">
        <v>-0.2983662348179142</v>
      </c>
      <c r="N635" t="n">
        <v>26.26761409119223</v>
      </c>
      <c r="O635" t="n">
        <v>-0.6705124380862935</v>
      </c>
      <c r="P635" s="143">
        <f>MAX($E$2:E635)</f>
        <v/>
      </c>
      <c r="Q635" s="144">
        <f>E635/P635-1</f>
        <v/>
      </c>
      <c r="R635" s="94" t="n">
        <v>-0.01220609629756475</v>
      </c>
    </row>
    <row r="636">
      <c r="A636" s="375" t="n">
        <v>45387</v>
      </c>
      <c r="B636" s="376" t="n">
        <v>83.72878344966865</v>
      </c>
      <c r="C636" s="376" t="n">
        <v>84.76189093658121</v>
      </c>
      <c r="D636" s="376" t="n">
        <v>83.40006840821246</v>
      </c>
      <c r="E636" s="376" t="n">
        <v>83.43762969970703</v>
      </c>
      <c r="F636" s="93" t="n">
        <v>9716700</v>
      </c>
      <c r="G636" s="94" t="n">
        <v>-0.002582389299724208</v>
      </c>
      <c r="H636" s="95" t="n">
        <v>61.76992608961307</v>
      </c>
      <c r="I636" s="376" t="n">
        <v>93.97686172485352</v>
      </c>
      <c r="J636" s="376" t="n">
        <v>97.09312664031982</v>
      </c>
      <c r="K636" s="94" t="n">
        <v>0.2967628340763385</v>
      </c>
      <c r="L636" s="94" t="n">
        <v>-0.1681527162483376</v>
      </c>
      <c r="M636" s="94" t="n">
        <v>-0.3001781263454456</v>
      </c>
      <c r="N636" t="n">
        <v>25.90157040422869</v>
      </c>
      <c r="O636" t="n">
        <v>-0.6541052680043111</v>
      </c>
      <c r="P636" s="143">
        <f>MAX($E$2:E636)</f>
        <v/>
      </c>
      <c r="Q636" s="144">
        <f>E636/P636-1</f>
        <v/>
      </c>
      <c r="R636" s="94" t="n">
        <v>0.01044677400578919</v>
      </c>
    </row>
    <row r="637">
      <c r="A637" s="375" t="n">
        <v>45390</v>
      </c>
      <c r="B637" s="376" t="n">
        <v>83.69122108647393</v>
      </c>
      <c r="C637" s="376" t="n">
        <v>84.77129101457282</v>
      </c>
      <c r="D637" s="376" t="n">
        <v>83.40007448076375</v>
      </c>
      <c r="E637" s="376" t="n">
        <v>84.527099609375</v>
      </c>
      <c r="F637" s="93" t="n">
        <v>8452500</v>
      </c>
      <c r="G637" s="94" t="n">
        <v>0.01305729697246893</v>
      </c>
      <c r="H637" s="95" t="n">
        <v>62.57647435853261</v>
      </c>
      <c r="I637" s="376" t="n">
        <v>93.78129898071289</v>
      </c>
      <c r="J637" s="376" t="n">
        <v>97.00458156585694</v>
      </c>
      <c r="K637" s="94" t="n">
        <v>0.2990565120149117</v>
      </c>
      <c r="L637" s="94" t="n">
        <v>-0.1572910392286505</v>
      </c>
      <c r="M637" s="94" t="n">
        <v>-0.2910403443133085</v>
      </c>
      <c r="N637" t="n">
        <v>31.11507507371512</v>
      </c>
      <c r="O637" t="n">
        <v>-0.5187212550504761</v>
      </c>
      <c r="P637" s="143">
        <f>MAX($E$2:E637)</f>
        <v/>
      </c>
      <c r="Q637" s="144">
        <f>E637/P637-1</f>
        <v/>
      </c>
      <c r="R637" s="94" t="n">
        <v>0.0005593698695389726</v>
      </c>
    </row>
    <row r="638">
      <c r="A638" s="375" t="n">
        <v>45391</v>
      </c>
      <c r="B638" s="376" t="n">
        <v>84.52709575275799</v>
      </c>
      <c r="C638" s="376" t="n">
        <v>85.6165595374321</v>
      </c>
      <c r="D638" s="376" t="n">
        <v>84.40500363845514</v>
      </c>
      <c r="E638" s="376" t="n">
        <v>85.46628570556641</v>
      </c>
      <c r="F638" s="93" t="n">
        <v>7191900</v>
      </c>
      <c r="G638" s="94" t="n">
        <v>0.01111106497835213</v>
      </c>
      <c r="H638" s="95" t="n">
        <v>63.27176563124645</v>
      </c>
      <c r="I638" s="376" t="n">
        <v>93.56746047973633</v>
      </c>
      <c r="J638" s="376" t="n">
        <v>96.91850143432617</v>
      </c>
      <c r="K638" s="94" t="n">
        <v>0.291606423630526</v>
      </c>
      <c r="L638" s="94" t="n">
        <v>-0.1479276452076804</v>
      </c>
      <c r="M638" s="94" t="n">
        <v>-0.2831630475119435</v>
      </c>
      <c r="N638" t="n">
        <v>35.33870865973071</v>
      </c>
      <c r="O638" t="n">
        <v>-0.3242704068384654</v>
      </c>
      <c r="P638" s="143">
        <f>MAX($E$2:E638)</f>
        <v/>
      </c>
      <c r="Q638" s="144">
        <f>E638/P638-1</f>
        <v/>
      </c>
      <c r="R638" s="94" t="n">
        <v>0.001156878825725682</v>
      </c>
    </row>
    <row r="639">
      <c r="A639" s="375" t="n">
        <v>45392</v>
      </c>
      <c r="B639" s="376" t="n">
        <v>84.43317827525459</v>
      </c>
      <c r="C639" s="376" t="n">
        <v>84.62101339982441</v>
      </c>
      <c r="D639" s="376" t="n">
        <v>83.37188904162815</v>
      </c>
      <c r="E639" s="376" t="n">
        <v>83.58790588378906</v>
      </c>
      <c r="F639" s="93" t="n">
        <v>7932900</v>
      </c>
      <c r="G639" s="94" t="n">
        <v>-0.02197802099705626</v>
      </c>
      <c r="H639" s="95" t="n">
        <v>61.88117743768209</v>
      </c>
      <c r="I639" s="376" t="n">
        <v>93.29490432739257</v>
      </c>
      <c r="J639" s="376" t="n">
        <v>96.82739837646484</v>
      </c>
      <c r="K639" s="94" t="n">
        <v>0.2975171096204702</v>
      </c>
      <c r="L639" s="94" t="n">
        <v>-0.1666545093123172</v>
      </c>
      <c r="M639" s="94" t="n">
        <v>-0.2989177051051918</v>
      </c>
      <c r="N639" t="n">
        <v>31.21622560597427</v>
      </c>
      <c r="O639" t="n">
        <v>-0.2820624420661599</v>
      </c>
      <c r="P639" s="143">
        <f>MAX($E$2:E639)</f>
        <v/>
      </c>
      <c r="Q639" s="144">
        <f>E639/P639-1</f>
        <v/>
      </c>
      <c r="R639" s="94" t="n">
        <v>-0.01001316470890024</v>
      </c>
    </row>
    <row r="640">
      <c r="A640" s="375" t="n">
        <v>45393</v>
      </c>
      <c r="B640" s="376" t="n">
        <v>85.68231385425189</v>
      </c>
      <c r="C640" s="376" t="n">
        <v>86.79055843142913</v>
      </c>
      <c r="D640" s="376" t="n">
        <v>85.30663639046352</v>
      </c>
      <c r="E640" s="376" t="n">
        <v>86.40548706054688</v>
      </c>
      <c r="F640" s="93" t="n">
        <v>15330200</v>
      </c>
      <c r="G640" s="94" t="n">
        <v>0.0337080005410717</v>
      </c>
      <c r="H640" s="95" t="n">
        <v>63.96706820023363</v>
      </c>
      <c r="I640" s="376" t="n">
        <v>93.07308471679687</v>
      </c>
      <c r="J640" s="376" t="n">
        <v>96.74006481170655</v>
      </c>
      <c r="K640" s="94" t="n">
        <v>0.3236648978413912</v>
      </c>
      <c r="L640" s="94" t="n">
        <v>-0.1385640990613172</v>
      </c>
      <c r="M640" s="94" t="n">
        <v>-0.2752856227295418</v>
      </c>
      <c r="N640" t="n">
        <v>42.12290684846285</v>
      </c>
      <c r="O640" t="n">
        <v>-0.03716184079157481</v>
      </c>
      <c r="P640" s="143">
        <f>MAX($E$2:E640)</f>
        <v/>
      </c>
      <c r="Q640" s="144">
        <f>E640/P640-1</f>
        <v/>
      </c>
      <c r="R640" s="94" t="n">
        <v>0.007546964799530986</v>
      </c>
    </row>
    <row r="641">
      <c r="A641" s="375" t="n">
        <v>45394</v>
      </c>
      <c r="B641" s="376" t="n">
        <v>86.41488096764078</v>
      </c>
      <c r="C641" s="376" t="n">
        <v>87.22258500687768</v>
      </c>
      <c r="D641" s="376" t="n">
        <v>85.5790023725738</v>
      </c>
      <c r="E641" s="376" t="n">
        <v>86.40548706054688</v>
      </c>
      <c r="F641" s="93" t="n">
        <v>10905900</v>
      </c>
      <c r="G641" s="94" t="n">
        <v>0</v>
      </c>
      <c r="H641" s="95" t="n">
        <v>63.96706820023363</v>
      </c>
      <c r="I641" s="376" t="n">
        <v>92.90086471557618</v>
      </c>
      <c r="J641" s="376" t="n">
        <v>96.64403961181641</v>
      </c>
      <c r="K641" s="94" t="n">
        <v>0.3231902385955726</v>
      </c>
      <c r="L641" s="94" t="n">
        <v>-0.1385640990613172</v>
      </c>
      <c r="M641" s="94" t="n">
        <v>-0.2752856227295418</v>
      </c>
      <c r="N641" t="n">
        <v>42.12290684846285</v>
      </c>
      <c r="O641" t="n">
        <v>0.1422177350707741</v>
      </c>
      <c r="P641" s="143">
        <f>MAX($E$2:E641)</f>
        <v/>
      </c>
      <c r="Q641" s="144">
        <f>E641/P641-1</f>
        <v/>
      </c>
      <c r="R641" s="94" t="n">
        <v>-0.01380309500311971</v>
      </c>
    </row>
    <row r="642">
      <c r="A642" s="375" t="n">
        <v>45397</v>
      </c>
      <c r="B642" s="376" t="n">
        <v>87.89877677608035</v>
      </c>
      <c r="C642" s="376" t="n">
        <v>88.2087111538834</v>
      </c>
      <c r="D642" s="376" t="n">
        <v>86.9126317086844</v>
      </c>
      <c r="E642" s="376" t="n">
        <v>87.43857574462891</v>
      </c>
      <c r="F642" s="93" t="n">
        <v>11597300</v>
      </c>
      <c r="G642" s="94" t="n">
        <v>0.01195628563910667</v>
      </c>
      <c r="H642" s="95" t="n">
        <v>64.73187673913185</v>
      </c>
      <c r="I642" s="376" t="n">
        <v>92.74500152587891</v>
      </c>
      <c r="J642" s="376" t="n">
        <v>96.55587566375732</v>
      </c>
      <c r="K642" s="94" t="n">
        <v>0.3280087350616784</v>
      </c>
      <c r="L642" s="94" t="n">
        <v>-0.128264525369913</v>
      </c>
      <c r="M642" s="94" t="n">
        <v>-0.266620730628129</v>
      </c>
      <c r="N642" t="n">
        <v>45.77890080306932</v>
      </c>
      <c r="O642" t="n">
        <v>0.336731791129206</v>
      </c>
      <c r="P642" s="143">
        <f>MAX($E$2:E642)</f>
        <v/>
      </c>
      <c r="Q642" s="144">
        <f>E642/P642-1</f>
        <v/>
      </c>
      <c r="R642" s="94" t="n">
        <v>-0.01252821819673533</v>
      </c>
    </row>
    <row r="643">
      <c r="A643" s="375" t="n">
        <v>45398</v>
      </c>
      <c r="B643" s="376" t="n">
        <v>87.382252896361</v>
      </c>
      <c r="C643" s="376" t="n">
        <v>88.46232300789063</v>
      </c>
      <c r="D643" s="376" t="n">
        <v>86.07677915391849</v>
      </c>
      <c r="E643" s="376" t="n">
        <v>87.71096801757812</v>
      </c>
      <c r="F643" s="93" t="n">
        <v>10388200</v>
      </c>
      <c r="G643" s="94" t="n">
        <v>0.003115241420957648</v>
      </c>
      <c r="H643" s="95" t="n">
        <v>64.9335321628059</v>
      </c>
      <c r="I643" s="376" t="n">
        <v>92.61423904418945</v>
      </c>
      <c r="J643" s="376" t="n">
        <v>96.46749328613281</v>
      </c>
      <c r="K643" s="94" t="n">
        <v>0.3279689233526665</v>
      </c>
      <c r="L643" s="94" t="n">
        <v>-0.1255488589112274</v>
      </c>
      <c r="M643" s="94" t="n">
        <v>-0.26433607715091</v>
      </c>
      <c r="N643" t="n">
        <v>46.7343073207869</v>
      </c>
      <c r="O643" t="n">
        <v>0.481221750234325</v>
      </c>
      <c r="P643" s="143">
        <f>MAX($E$2:E643)</f>
        <v/>
      </c>
      <c r="Q643" s="144">
        <f>E643/P643-1</f>
        <v/>
      </c>
      <c r="R643" s="94" t="n">
        <v>-0.00182383224256133</v>
      </c>
    </row>
    <row r="644">
      <c r="A644" s="375" t="n">
        <v>45399</v>
      </c>
      <c r="B644" s="376" t="n">
        <v>88.85675949465649</v>
      </c>
      <c r="C644" s="376" t="n">
        <v>89.28878600087212</v>
      </c>
      <c r="D644" s="376" t="n">
        <v>87.96453193091014</v>
      </c>
      <c r="E644" s="376" t="n">
        <v>89.07276916503906</v>
      </c>
      <c r="F644" s="93" t="n">
        <v>10181200</v>
      </c>
      <c r="G644" s="94" t="n">
        <v>0.01552600750214062</v>
      </c>
      <c r="H644" s="95" t="n">
        <v>65.94169067030612</v>
      </c>
      <c r="I644" s="376" t="n">
        <v>92.52999099731446</v>
      </c>
      <c r="J644" s="376" t="n">
        <v>96.39986377716065</v>
      </c>
      <c r="K644" s="94" t="n">
        <v>0.330069308776999</v>
      </c>
      <c r="L644" s="94" t="n">
        <v>-0.1119721239344277</v>
      </c>
      <c r="M644" s="94" t="n">
        <v>-0.2529141535657008</v>
      </c>
      <c r="N644" t="n">
        <v>51.34970333376377</v>
      </c>
      <c r="O644" t="n">
        <v>0.6552098996858939</v>
      </c>
      <c r="P644" s="143">
        <f>MAX($E$2:E644)</f>
        <v/>
      </c>
      <c r="Q644" s="144">
        <f>E644/P644-1</f>
        <v/>
      </c>
      <c r="R644" s="94" t="n">
        <v>-0.005918084269336932</v>
      </c>
    </row>
    <row r="645">
      <c r="A645" s="375" t="n">
        <v>45400</v>
      </c>
      <c r="B645" s="376" t="n">
        <v>89.37331272801686</v>
      </c>
      <c r="C645" s="376" t="n">
        <v>90.0495234249676</v>
      </c>
      <c r="D645" s="376" t="n">
        <v>88.78161851569098</v>
      </c>
      <c r="E645" s="376" t="n">
        <v>89.91803741455078</v>
      </c>
      <c r="F645" s="93" t="n">
        <v>10062900</v>
      </c>
      <c r="G645" s="94" t="n">
        <v>0.009489637039862941</v>
      </c>
      <c r="H645" s="95" t="n">
        <v>66.56745338056224</v>
      </c>
      <c r="I645" s="376" t="n">
        <v>92.40780776977539</v>
      </c>
      <c r="J645" s="376" t="n">
        <v>96.34231704711914</v>
      </c>
      <c r="K645" s="94" t="n">
        <v>0.3322571799474964</v>
      </c>
      <c r="L645" s="94" t="n">
        <v>-0.1035450617092849</v>
      </c>
      <c r="M645" s="94" t="n">
        <v>-0.2458245800454205</v>
      </c>
      <c r="N645" t="n">
        <v>54.0132461907775</v>
      </c>
      <c r="O645" t="n">
        <v>0.8041089183468735</v>
      </c>
      <c r="P645" s="143">
        <f>MAX($E$2:E645)</f>
        <v/>
      </c>
      <c r="Q645" s="144">
        <f>E645/P645-1</f>
        <v/>
      </c>
      <c r="R645" s="94" t="n">
        <v>-0.002057793982584544</v>
      </c>
    </row>
    <row r="646">
      <c r="A646" s="375" t="n">
        <v>45401</v>
      </c>
      <c r="B646" s="376" t="n">
        <v>89.61750231330623</v>
      </c>
      <c r="C646" s="376" t="n">
        <v>90.36885713113614</v>
      </c>
      <c r="D646" s="376" t="n">
        <v>88.74405538289547</v>
      </c>
      <c r="E646" s="376" t="n">
        <v>88.78162384033203</v>
      </c>
      <c r="F646" s="93" t="n">
        <v>11241900</v>
      </c>
      <c r="G646" s="94" t="n">
        <v>-0.01263832715764823</v>
      </c>
      <c r="H646" s="95" t="n">
        <v>65.7261521266872</v>
      </c>
      <c r="I646" s="376" t="n">
        <v>92.240810546875</v>
      </c>
      <c r="J646" s="376" t="n">
        <v>96.28843059539795</v>
      </c>
      <c r="K646" s="94" t="n">
        <v>0.3329997531785911</v>
      </c>
      <c r="L646" s="94" t="n">
        <v>-0.1148747525014924</v>
      </c>
      <c r="M646" s="94" t="n">
        <v>-0.2553560957370632</v>
      </c>
      <c r="N646" t="n">
        <v>50.04616118570068</v>
      </c>
      <c r="O646" t="n">
        <v>0.8011779919835504</v>
      </c>
      <c r="P646" s="143">
        <f>MAX($E$2:E646)</f>
        <v/>
      </c>
      <c r="Q646" s="144">
        <f>E646/P646-1</f>
        <v/>
      </c>
      <c r="R646" s="94" t="n">
        <v>-0.008728309738320505</v>
      </c>
    </row>
    <row r="647">
      <c r="A647" s="375" t="n">
        <v>45404</v>
      </c>
      <c r="B647" s="376" t="n">
        <v>88.87554186467702</v>
      </c>
      <c r="C647" s="376" t="n">
        <v>89.27939382741279</v>
      </c>
      <c r="D647" s="376" t="n">
        <v>88.14297485447041</v>
      </c>
      <c r="E647" s="376" t="n">
        <v>88.46230316162109</v>
      </c>
      <c r="F647" s="93" t="n">
        <v>8642000</v>
      </c>
      <c r="G647" s="94" t="n">
        <v>-0.003596697885197675</v>
      </c>
      <c r="H647" s="95" t="n">
        <v>65.48975501433097</v>
      </c>
      <c r="I647" s="376" t="n">
        <v>92.06780136108398</v>
      </c>
      <c r="J647" s="376" t="n">
        <v>96.24224342346191</v>
      </c>
      <c r="K647" s="94" t="n">
        <v>0.2241068036661963</v>
      </c>
      <c r="L647" s="94" t="n">
        <v>-0.1180582806073052</v>
      </c>
      <c r="M647" s="94" t="n">
        <v>-0.2580343548927511</v>
      </c>
      <c r="N647" t="n">
        <v>48.95805642539758</v>
      </c>
      <c r="O647" t="n">
        <v>0.7535555545248487</v>
      </c>
      <c r="P647" s="143">
        <f>MAX($E$2:E647)</f>
        <v/>
      </c>
      <c r="Q647" s="144">
        <f>E647/P647-1</f>
        <v/>
      </c>
      <c r="R647" s="94" t="n">
        <v>0.009209096152491769</v>
      </c>
    </row>
    <row r="648">
      <c r="A648" s="375" t="n">
        <v>45405</v>
      </c>
      <c r="B648" s="376" t="n">
        <v>88.63137272051983</v>
      </c>
      <c r="C648" s="376" t="n">
        <v>88.96008782392765</v>
      </c>
      <c r="D648" s="376" t="n">
        <v>88.19934613240498</v>
      </c>
      <c r="E648" s="376" t="n">
        <v>88.30265045166016</v>
      </c>
      <c r="F648" s="93" t="n">
        <v>6582700</v>
      </c>
      <c r="G648" s="94" t="n">
        <v>-0.001804754163694411</v>
      </c>
      <c r="H648" s="95" t="n">
        <v>65.37156210628953</v>
      </c>
      <c r="I648" s="376" t="n">
        <v>91.87793548583984</v>
      </c>
      <c r="J648" s="376" t="n">
        <v>96.19823268890381</v>
      </c>
      <c r="K648" s="94" t="n">
        <v>0.2241720454449093</v>
      </c>
      <c r="L648" s="94" t="n">
        <v>-0.119649968597515</v>
      </c>
      <c r="M648" s="94" t="n">
        <v>-0.2593734204800766</v>
      </c>
      <c r="N648" t="n">
        <v>48.39155184732554</v>
      </c>
      <c r="O648" t="n">
        <v>0.688889921808707</v>
      </c>
      <c r="P648" s="143">
        <f>MAX($E$2:E648)</f>
        <v/>
      </c>
      <c r="Q648" s="144">
        <f>E648/P648-1</f>
        <v/>
      </c>
      <c r="R648" s="94" t="n">
        <v>0.01186661776024778</v>
      </c>
    </row>
    <row r="649">
      <c r="A649" s="375" t="n">
        <v>45406</v>
      </c>
      <c r="B649" s="376" t="n">
        <v>88.3777852266585</v>
      </c>
      <c r="C649" s="376" t="n">
        <v>89.40150614141947</v>
      </c>
      <c r="D649" s="376" t="n">
        <v>88.3777852266585</v>
      </c>
      <c r="E649" s="376" t="n">
        <v>88.88494873046875</v>
      </c>
      <c r="F649" s="93" t="n">
        <v>6493200</v>
      </c>
      <c r="G649" s="94" t="n">
        <v>0.006594346555060193</v>
      </c>
      <c r="H649" s="95" t="n">
        <v>65.80264484166403</v>
      </c>
      <c r="I649" s="376" t="n">
        <v>91.6495539855957</v>
      </c>
      <c r="J649" s="376" t="n">
        <v>96.15099822998047</v>
      </c>
      <c r="K649" s="94" t="n">
        <v>0.2200052557892376</v>
      </c>
      <c r="L649" s="94" t="n">
        <v>-0.113844635400689</v>
      </c>
      <c r="M649" s="94" t="n">
        <v>-0.2544894721468334</v>
      </c>
      <c r="N649" t="n">
        <v>50.63517914688769</v>
      </c>
      <c r="O649" t="n">
        <v>0.6627112830992117</v>
      </c>
      <c r="P649" s="143">
        <f>MAX($E$2:E649)</f>
        <v/>
      </c>
      <c r="Q649" s="144">
        <f>E649/P649-1</f>
        <v/>
      </c>
      <c r="R649" s="94" t="n">
        <v>-0.0004745262302653375</v>
      </c>
    </row>
    <row r="650">
      <c r="A650" s="375" t="n">
        <v>45407</v>
      </c>
      <c r="B650" s="376" t="n">
        <v>88.28386528474518</v>
      </c>
      <c r="C650" s="376" t="n">
        <v>89.02582628901369</v>
      </c>
      <c r="D650" s="376" t="n">
        <v>86.81873108998536</v>
      </c>
      <c r="E650" s="376" t="n">
        <v>88.22751617431641</v>
      </c>
      <c r="F650" s="93" t="n">
        <v>5317900</v>
      </c>
      <c r="G650" s="94" t="n">
        <v>-0.007396444117281464</v>
      </c>
      <c r="H650" s="95" t="n">
        <v>65.31593925632335</v>
      </c>
      <c r="I650" s="376" t="n">
        <v>91.44882690429688</v>
      </c>
      <c r="J650" s="376" t="n">
        <v>96.09299331665039</v>
      </c>
      <c r="K650" s="94" t="n">
        <v>0.2139786832348721</v>
      </c>
      <c r="L650" s="94" t="n">
        <v>-0.120399034034177</v>
      </c>
      <c r="M650" s="94" t="n">
        <v>-0.2600035991049443</v>
      </c>
      <c r="N650" t="n">
        <v>48.09302214993404</v>
      </c>
      <c r="O650" t="n">
        <v>0.5814006953985869</v>
      </c>
      <c r="P650" s="143">
        <f>MAX($E$2:E650)</f>
        <v/>
      </c>
      <c r="Q650" s="144">
        <f>E650/P650-1</f>
        <v/>
      </c>
      <c r="R650" s="94" t="n">
        <v>-0.003798944568393914</v>
      </c>
    </row>
    <row r="651">
      <c r="A651" s="375" t="n">
        <v>45408</v>
      </c>
      <c r="B651" s="376" t="n">
        <v>88.83797392644369</v>
      </c>
      <c r="C651" s="376" t="n">
        <v>89.61750330461115</v>
      </c>
      <c r="D651" s="376" t="n">
        <v>88.19933163930969</v>
      </c>
      <c r="E651" s="376" t="n">
        <v>88.39656066894531</v>
      </c>
      <c r="F651" s="93" t="n">
        <v>6115700</v>
      </c>
      <c r="G651" s="94" t="n">
        <v>0.001916006501814227</v>
      </c>
      <c r="H651" s="95" t="n">
        <v>65.44108502061057</v>
      </c>
      <c r="I651" s="376" t="n">
        <v>91.22658721923828</v>
      </c>
      <c r="J651" s="376" t="n">
        <v>96.03411388397217</v>
      </c>
      <c r="K651" s="94" t="n">
        <v>0.2139979352306825</v>
      </c>
      <c r="L651" s="94" t="n">
        <v>-0.1187137128643843</v>
      </c>
      <c r="M651" s="94" t="n">
        <v>-0.2585857611895104</v>
      </c>
      <c r="N651" t="n">
        <v>48.80475037690374</v>
      </c>
      <c r="O651" t="n">
        <v>0.5212156103099927</v>
      </c>
      <c r="P651" s="143">
        <f>MAX($E$2:E651)</f>
        <v/>
      </c>
      <c r="Q651" s="144">
        <f>E651/P651-1</f>
        <v/>
      </c>
      <c r="R651" s="94" t="n">
        <v>0.009473829310949533</v>
      </c>
    </row>
    <row r="652">
      <c r="A652" s="375" t="n">
        <v>45411</v>
      </c>
      <c r="B652" s="376" t="n">
        <v>88.69710675027588</v>
      </c>
      <c r="C652" s="376" t="n">
        <v>89.11973938818055</v>
      </c>
      <c r="D652" s="376" t="n">
        <v>88.00210098443331</v>
      </c>
      <c r="E652" s="376" t="n">
        <v>88.3402099609375</v>
      </c>
      <c r="F652" s="93" t="n">
        <v>5030700</v>
      </c>
      <c r="G652" s="94" t="n">
        <v>-0.0006374762499963271</v>
      </c>
      <c r="H652" s="95" t="n">
        <v>65.39936788313594</v>
      </c>
      <c r="I652" s="376" t="n">
        <v>91.00846130371093</v>
      </c>
      <c r="J652" s="376" t="n">
        <v>95.9745809173584</v>
      </c>
      <c r="K652" s="94" t="n">
        <v>0.2063299866970653</v>
      </c>
      <c r="L652" s="94" t="n">
        <v>-0.1192755119418807</v>
      </c>
      <c r="M652" s="94" t="n">
        <v>-0.2590583951581611</v>
      </c>
      <c r="N652" t="n">
        <v>48.56569359397532</v>
      </c>
      <c r="O652" t="n">
        <v>0.4618544315261477</v>
      </c>
      <c r="P652" s="143">
        <f>MAX($E$2:E652)</f>
        <v/>
      </c>
      <c r="Q652" s="144">
        <f>E652/P652-1</f>
        <v/>
      </c>
      <c r="R652" s="94" t="n">
        <v>0.003541443574987424</v>
      </c>
    </row>
    <row r="653">
      <c r="A653" s="375" t="n">
        <v>45412</v>
      </c>
      <c r="B653" s="376" t="n">
        <v>87.26014840948655</v>
      </c>
      <c r="C653" s="376" t="n">
        <v>87.82366098976453</v>
      </c>
      <c r="D653" s="376" t="n">
        <v>86.64027955536491</v>
      </c>
      <c r="E653" s="376" t="n">
        <v>86.64967346191406</v>
      </c>
      <c r="F653" s="93" t="n">
        <v>6493300</v>
      </c>
      <c r="G653" s="94" t="n">
        <v>-0.01913665928313912</v>
      </c>
      <c r="H653" s="95" t="n">
        <v>64.1478424626237</v>
      </c>
      <c r="I653" s="376" t="n">
        <v>90.80406585693359</v>
      </c>
      <c r="J653" s="376" t="n">
        <v>95.90608402252197</v>
      </c>
      <c r="K653" s="94" t="n">
        <v>0.2084592357391243</v>
      </c>
      <c r="L653" s="94" t="n">
        <v>-0.136129636392166</v>
      </c>
      <c r="M653" s="94" t="n">
        <v>-0.2732375421987218</v>
      </c>
      <c r="N653" t="n">
        <v>41.93016659073647</v>
      </c>
      <c r="O653" t="n">
        <v>0.3007788932343137</v>
      </c>
      <c r="P653" s="143">
        <f>MAX($E$2:E653)</f>
        <v/>
      </c>
      <c r="Q653" s="144">
        <f>E653/P653-1</f>
        <v/>
      </c>
      <c r="R653" s="94" t="n">
        <v>-0.01584120395885036</v>
      </c>
    </row>
    <row r="654">
      <c r="A654" s="375" t="n">
        <v>45413</v>
      </c>
      <c r="B654" s="376" t="n">
        <v>86.22703072036094</v>
      </c>
      <c r="C654" s="376" t="n">
        <v>86.28338699228813</v>
      </c>
      <c r="D654" s="376" t="n">
        <v>84.61162279050042</v>
      </c>
      <c r="E654" s="376" t="n">
        <v>84.84642028808594</v>
      </c>
      <c r="F654" s="93" t="n">
        <v>9783100</v>
      </c>
      <c r="G654" s="94" t="n">
        <v>-0.02081084788646925</v>
      </c>
      <c r="H654" s="95" t="n">
        <v>62.81287147088884</v>
      </c>
      <c r="I654" s="376" t="n">
        <v>90.5675357055664</v>
      </c>
      <c r="J654" s="376" t="n">
        <v>95.82503841400147</v>
      </c>
      <c r="K654" s="94" t="n">
        <v>0.2207917262207078</v>
      </c>
      <c r="L654" s="94" t="n">
        <v>-0.1541075111228375</v>
      </c>
      <c r="M654" s="94" t="n">
        <v>-0.2866990985397673</v>
      </c>
      <c r="N654" t="n">
        <v>36.24197157258547</v>
      </c>
      <c r="O654" t="n">
        <v>0.07651576002108795</v>
      </c>
      <c r="P654" s="143">
        <f>MAX($E$2:E654)</f>
        <v/>
      </c>
      <c r="Q654" s="144">
        <f>E654/P654-1</f>
        <v/>
      </c>
      <c r="R654" s="94" t="n">
        <v>-0.003247139756820006</v>
      </c>
    </row>
    <row r="655">
      <c r="A655" s="375" t="n">
        <v>45414</v>
      </c>
      <c r="B655" s="376" t="n">
        <v>85.77623086539786</v>
      </c>
      <c r="C655" s="376" t="n">
        <v>86.82811915855376</v>
      </c>
      <c r="D655" s="376" t="n">
        <v>85.3817727554644</v>
      </c>
      <c r="E655" s="376" t="n">
        <v>86.79055786132812</v>
      </c>
      <c r="F655" s="93" t="n">
        <v>7333300</v>
      </c>
      <c r="G655" s="94" t="n">
        <v>0.02291360751156146</v>
      </c>
      <c r="H655" s="95" t="n">
        <v>64.25214095444694</v>
      </c>
      <c r="I655" s="376" t="n">
        <v>90.33301620483398</v>
      </c>
      <c r="J655" s="376" t="n">
        <v>95.74901905059815</v>
      </c>
      <c r="K655" s="94" t="n">
        <v>0.2283328458802676</v>
      </c>
      <c r="L655" s="94" t="n">
        <v>-0.1347250626357284</v>
      </c>
      <c r="M655" s="94" t="n">
        <v>-0.2703548016460645</v>
      </c>
      <c r="N655" t="n">
        <v>44.91785496038599</v>
      </c>
      <c r="O655" t="n">
        <v>0.06337943847392435</v>
      </c>
      <c r="P655" s="143">
        <f>MAX($E$2:E655)</f>
        <v/>
      </c>
      <c r="Q655" s="144">
        <f>E655/P655-1</f>
        <v/>
      </c>
      <c r="R655" s="94" t="n">
        <v>0.009353569028520692</v>
      </c>
    </row>
    <row r="656">
      <c r="A656" s="375" t="n">
        <v>45415</v>
      </c>
      <c r="B656" s="376" t="n">
        <v>87.42919759781668</v>
      </c>
      <c r="C656" s="376" t="n">
        <v>87.95514889400877</v>
      </c>
      <c r="D656" s="376" t="n">
        <v>86.28339176519604</v>
      </c>
      <c r="E656" s="376" t="n">
        <v>86.54636383056641</v>
      </c>
      <c r="F656" s="93" t="n">
        <v>5736700</v>
      </c>
      <c r="G656" s="94" t="n">
        <v>-0.002813601349952011</v>
      </c>
      <c r="H656" s="95" t="n">
        <v>64.07136104392021</v>
      </c>
      <c r="I656" s="376" t="n">
        <v>90.09716873168945</v>
      </c>
      <c r="J656" s="376" t="n">
        <v>95.67103507995606</v>
      </c>
      <c r="K656" s="94" t="n">
        <v>0.2283950538634137</v>
      </c>
      <c r="L656" s="94" t="n">
        <v>-0.1371596013675762</v>
      </c>
      <c r="M656" s="94" t="n">
        <v>-0.2684762578247021</v>
      </c>
      <c r="N656" t="n">
        <v>44.10601691497022</v>
      </c>
      <c r="O656" t="n">
        <v>0.04346327476872136</v>
      </c>
      <c r="P656" s="143">
        <f>MAX($E$2:E656)</f>
        <v/>
      </c>
      <c r="Q656" s="144">
        <f>E656/P656-1</f>
        <v/>
      </c>
      <c r="R656" s="94" t="n">
        <v>0.01239519240005227</v>
      </c>
    </row>
    <row r="657">
      <c r="A657" s="375" t="n">
        <v>45418</v>
      </c>
      <c r="B657" s="376" t="n">
        <v>87.16621246339662</v>
      </c>
      <c r="C657" s="376" t="n">
        <v>87.69216368073151</v>
      </c>
      <c r="D657" s="376" t="n">
        <v>86.85628524165051</v>
      </c>
      <c r="E657" s="376" t="n">
        <v>87.68276977539062</v>
      </c>
      <c r="F657" s="93" t="n">
        <v>6696300</v>
      </c>
      <c r="G657" s="94" t="n">
        <v>0.01313060300313706</v>
      </c>
      <c r="H657" s="95" t="n">
        <v>64.91265664965859</v>
      </c>
      <c r="I657" s="376" t="n">
        <v>89.87375534057617</v>
      </c>
      <c r="J657" s="376" t="n">
        <v>95.60965572357178</v>
      </c>
      <c r="K657" s="94" t="n">
        <v>0.2284425710414732</v>
      </c>
      <c r="L657" s="94" t="n">
        <v>-0.1258299866380652</v>
      </c>
      <c r="M657" s="94" t="n">
        <v>-0.2588709099788291</v>
      </c>
      <c r="N657" t="n">
        <v>48.74839981420088</v>
      </c>
      <c r="O657" t="n">
        <v>0.1083492790712702</v>
      </c>
      <c r="P657" s="143">
        <f>MAX($E$2:E657)</f>
        <v/>
      </c>
      <c r="Q657" s="144">
        <f>E657/P657-1</f>
        <v/>
      </c>
      <c r="R657" s="94" t="n">
        <v>0.01032675351933476</v>
      </c>
    </row>
    <row r="658">
      <c r="A658" s="375" t="n">
        <v>45419</v>
      </c>
      <c r="B658" s="376" t="n">
        <v>88.35899221200832</v>
      </c>
      <c r="C658" s="376" t="n">
        <v>88.58439579367268</v>
      </c>
      <c r="D658" s="376" t="n">
        <v>87.54189437598029</v>
      </c>
      <c r="E658" s="376" t="n">
        <v>88.07723236083984</v>
      </c>
      <c r="F658" s="93" t="n">
        <v>7113500</v>
      </c>
      <c r="G658" s="94" t="n">
        <v>0.00449874686280638</v>
      </c>
      <c r="H658" s="95" t="n">
        <v>65.20468226011766</v>
      </c>
      <c r="I658" s="376" t="n">
        <v>89.67863220214844</v>
      </c>
      <c r="J658" s="376" t="n">
        <v>95.54313739776612</v>
      </c>
      <c r="K658" s="94" t="n">
        <v>0.2261127435913493</v>
      </c>
      <c r="L658" s="94" t="n">
        <v>-0.1218973170328939</v>
      </c>
      <c r="M658" s="94" t="n">
        <v>-0.2555367578101618</v>
      </c>
      <c r="N658" t="n">
        <v>50.29173930592189</v>
      </c>
      <c r="O658" t="n">
        <v>0.1753901660213335</v>
      </c>
      <c r="P658" s="143">
        <f>MAX($E$2:E658)</f>
        <v/>
      </c>
      <c r="Q658" s="144">
        <f>E658/P658-1</f>
        <v/>
      </c>
      <c r="R658" s="94" t="n">
        <v>0.001103426564626586</v>
      </c>
    </row>
    <row r="659">
      <c r="A659" s="375" t="n">
        <v>45420</v>
      </c>
      <c r="B659" s="376" t="n">
        <v>87.45738276325501</v>
      </c>
      <c r="C659" s="376" t="n">
        <v>87.94575845168823</v>
      </c>
      <c r="D659" s="376" t="n">
        <v>87.09109920556718</v>
      </c>
      <c r="E659" s="376" t="n">
        <v>87.89879608154297</v>
      </c>
      <c r="F659" s="93" t="n">
        <v>5372900</v>
      </c>
      <c r="G659" s="94" t="n">
        <v>-0.002025906974073011</v>
      </c>
      <c r="H659" s="95" t="n">
        <v>65.07258363958468</v>
      </c>
      <c r="I659" s="376" t="n">
        <v>89.46852310180664</v>
      </c>
      <c r="J659" s="376" t="n">
        <v>95.4770747756958</v>
      </c>
      <c r="K659" s="94" t="n">
        <v>0.2089572032292334</v>
      </c>
      <c r="L659" s="94" t="n">
        <v>-0.1166708733350172</v>
      </c>
      <c r="M659" s="94" t="n">
        <v>-0.2498185870190146</v>
      </c>
      <c r="N659" t="n">
        <v>49.56464941961742</v>
      </c>
      <c r="O659" t="n">
        <v>0.2033064807760893</v>
      </c>
      <c r="P659" s="143">
        <f>MAX($E$2:E659)</f>
        <v/>
      </c>
      <c r="Q659" s="144">
        <f>E659/P659-1</f>
        <v/>
      </c>
      <c r="R659" s="94" t="n">
        <v>9.672135858518338e-05</v>
      </c>
    </row>
    <row r="660">
      <c r="A660" s="375" t="n">
        <v>45421</v>
      </c>
      <c r="B660" s="376" t="n">
        <v>87.94576555636925</v>
      </c>
      <c r="C660" s="376" t="n">
        <v>88.26509393516035</v>
      </c>
      <c r="D660" s="376" t="n">
        <v>87.35407833817841</v>
      </c>
      <c r="E660" s="376" t="n">
        <v>87.71096801757812</v>
      </c>
      <c r="F660" s="93" t="n">
        <v>6429800</v>
      </c>
      <c r="G660" s="94" t="n">
        <v>-0.002136867310339463</v>
      </c>
      <c r="H660" s="95" t="n">
        <v>64.93353216280592</v>
      </c>
      <c r="I660" s="376" t="n">
        <v>89.26963104248047</v>
      </c>
      <c r="J660" s="376" t="n">
        <v>95.4122575378418</v>
      </c>
      <c r="K660" s="94" t="n">
        <v>0.1739919750112024</v>
      </c>
      <c r="L660" s="94" t="n">
        <v>-0.1185584304700584</v>
      </c>
      <c r="M660" s="94" t="n">
        <v>-0.2514216251572379</v>
      </c>
      <c r="N660" t="n">
        <v>48.76543093296008</v>
      </c>
      <c r="O660" t="n">
        <v>0.2041741139478267</v>
      </c>
      <c r="P660" s="143">
        <f>MAX($E$2:E660)</f>
        <v/>
      </c>
      <c r="Q660" s="144">
        <f>E660/P660-1</f>
        <v/>
      </c>
      <c r="R660" s="94" t="n">
        <v>0.005761897110455605</v>
      </c>
    </row>
    <row r="661">
      <c r="A661" s="375" t="n">
        <v>45422</v>
      </c>
      <c r="B661" s="376" t="n">
        <v>87.41039917182421</v>
      </c>
      <c r="C661" s="376" t="n">
        <v>87.47614217479567</v>
      </c>
      <c r="D661" s="376" t="n">
        <v>85.35357110458145</v>
      </c>
      <c r="E661" s="376" t="n">
        <v>85.40992736816406</v>
      </c>
      <c r="F661" s="93" t="n">
        <v>10548400</v>
      </c>
      <c r="G661" s="94" t="n">
        <v>-0.02623435473831404</v>
      </c>
      <c r="H661" s="95" t="n">
        <v>63.23004284563515</v>
      </c>
      <c r="I661" s="376" t="n">
        <v>89.03257934570313</v>
      </c>
      <c r="J661" s="376" t="n">
        <v>95.33128715515137</v>
      </c>
      <c r="K661" s="94" t="n">
        <v>0.1987630283369873</v>
      </c>
      <c r="L661" s="94" t="n">
        <v>-0.1394162773424441</v>
      </c>
      <c r="M661" s="94" t="n">
        <v>-0.2603541832889359</v>
      </c>
      <c r="N661" t="n">
        <v>40.21106945308255</v>
      </c>
      <c r="O661" t="n">
        <v>0.05271703029949137</v>
      </c>
      <c r="P661" s="143">
        <f>MAX($E$2:E661)</f>
        <v/>
      </c>
      <c r="Q661" s="144">
        <f>E661/P661-1</f>
        <v/>
      </c>
      <c r="R661" s="94" t="n">
        <v>0.001288166235838384</v>
      </c>
    </row>
    <row r="662">
      <c r="A662" s="375" t="n">
        <v>45425</v>
      </c>
      <c r="B662" s="376" t="n">
        <v>85.71985828466144</v>
      </c>
      <c r="C662" s="376" t="n">
        <v>87.12864312257301</v>
      </c>
      <c r="D662" s="376" t="n">
        <v>85.60716008351666</v>
      </c>
      <c r="E662" s="376" t="n">
        <v>87.08168792724609</v>
      </c>
      <c r="F662" s="93" t="n">
        <v>8792100</v>
      </c>
      <c r="G662" s="94" t="n">
        <v>0.01957337525737279</v>
      </c>
      <c r="H662" s="95" t="n">
        <v>64.46766820179252</v>
      </c>
      <c r="I662" s="376" t="n">
        <v>88.86051956176757</v>
      </c>
      <c r="J662" s="376" t="n">
        <v>95.26625175476075</v>
      </c>
      <c r="K662" s="94" t="n">
        <v>0.2067741569517399</v>
      </c>
      <c r="L662" s="94" t="n">
        <v>-0.1190828714050667</v>
      </c>
      <c r="M662" s="94" t="n">
        <v>-0.2458768181609042</v>
      </c>
      <c r="N662" t="n">
        <v>47.4267138670949</v>
      </c>
      <c r="O662" t="n">
        <v>0.06714013492688853</v>
      </c>
      <c r="P662" s="143">
        <f>MAX($E$2:E662)</f>
        <v/>
      </c>
      <c r="Q662" s="144">
        <f>E662/P662-1</f>
        <v/>
      </c>
      <c r="R662" s="94" t="n">
        <v>0.0001341583913541111</v>
      </c>
    </row>
    <row r="663">
      <c r="A663" s="375" t="n">
        <v>45426</v>
      </c>
      <c r="B663" s="376" t="n">
        <v>87.33526553102398</v>
      </c>
      <c r="C663" s="376" t="n">
        <v>88.60317044458867</v>
      </c>
      <c r="D663" s="376" t="n">
        <v>86.96898204855974</v>
      </c>
      <c r="E663" s="376" t="n">
        <v>87.14743041992188</v>
      </c>
      <c r="F663" s="93" t="n">
        <v>7811000</v>
      </c>
      <c r="G663" s="94" t="n">
        <v>0.0007549519794645132</v>
      </c>
      <c r="H663" s="95" t="n">
        <v>64.51633819551293</v>
      </c>
      <c r="I663" s="376" t="n">
        <v>88.73372879028321</v>
      </c>
      <c r="J663" s="376" t="n">
        <v>95.19712947845458</v>
      </c>
      <c r="K663" s="94" t="n">
        <v>0.206453277024067</v>
      </c>
      <c r="L663" s="94" t="n">
        <v>-0.1184178212750896</v>
      </c>
      <c r="M663" s="94" t="n">
        <v>-0.2453074913720148</v>
      </c>
      <c r="N663" t="n">
        <v>47.69405278396906</v>
      </c>
      <c r="O663" t="n">
        <v>0.08213229795907262</v>
      </c>
      <c r="P663" s="143">
        <f>MAX($E$2:E663)</f>
        <v/>
      </c>
      <c r="Q663" s="144">
        <f>E663/P663-1</f>
        <v/>
      </c>
      <c r="R663" s="94" t="n">
        <v>0.004588277046238209</v>
      </c>
    </row>
    <row r="664">
      <c r="A664" s="375" t="n">
        <v>45427</v>
      </c>
      <c r="B664" s="376" t="n">
        <v>86.67783558820612</v>
      </c>
      <c r="C664" s="376" t="n">
        <v>86.98776997082842</v>
      </c>
      <c r="D664" s="376" t="n">
        <v>85.32539985709079</v>
      </c>
      <c r="E664" s="376" t="n">
        <v>86.09553527832031</v>
      </c>
      <c r="F664" s="93" t="n">
        <v>15614400</v>
      </c>
      <c r="G664" s="94" t="n">
        <v>-0.01207029440263452</v>
      </c>
      <c r="H664" s="95" t="n">
        <v>63.73760699971316</v>
      </c>
      <c r="I664" s="376" t="n">
        <v>88.60900436401367</v>
      </c>
      <c r="J664" s="376" t="n">
        <v>95.11452091217041</v>
      </c>
      <c r="K664" s="94" t="n">
        <v>0.2016832389095624</v>
      </c>
      <c r="L664" s="94" t="n">
        <v>-0.1290587777124153</v>
      </c>
      <c r="M664" s="94" t="n">
        <v>-0.2544168521346173</v>
      </c>
      <c r="N664" t="n">
        <v>43.8517225834441</v>
      </c>
      <c r="O664" t="n">
        <v>0.0251830028803699</v>
      </c>
      <c r="P664" s="143">
        <f>MAX($E$2:E664)</f>
        <v/>
      </c>
      <c r="Q664" s="144">
        <f>E664/P664-1</f>
        <v/>
      </c>
      <c r="R664" s="94" t="n">
        <v>0.01238277597912929</v>
      </c>
    </row>
    <row r="665">
      <c r="A665" s="375" t="n">
        <v>45428</v>
      </c>
      <c r="B665" s="376" t="n">
        <v>86.11432337947898</v>
      </c>
      <c r="C665" s="376" t="n">
        <v>87.19438602152729</v>
      </c>
      <c r="D665" s="376" t="n">
        <v>85.96404955753647</v>
      </c>
      <c r="E665" s="376" t="n">
        <v>86.189453125</v>
      </c>
      <c r="F665" s="93" t="n">
        <v>12711700</v>
      </c>
      <c r="G665" s="94" t="n">
        <v>0.001090856179430055</v>
      </c>
      <c r="H665" s="95" t="n">
        <v>63.80713556217088</v>
      </c>
      <c r="I665" s="376" t="n">
        <v>88.49893112182617</v>
      </c>
      <c r="J665" s="376" t="n">
        <v>95.03698329925537</v>
      </c>
      <c r="K665" s="94" t="n">
        <v>0.1977105971490823</v>
      </c>
      <c r="L665" s="94" t="n">
        <v>-0.1281087060981625</v>
      </c>
      <c r="M665" s="94" t="n">
        <v>-0.2536035281504895</v>
      </c>
      <c r="N665" t="n">
        <v>44.28331724945719</v>
      </c>
      <c r="O665" t="n">
        <v>-0.0008067173258368143</v>
      </c>
      <c r="P665" s="143">
        <f>MAX($E$2:E665)</f>
        <v/>
      </c>
      <c r="Q665" s="144">
        <f>E665/P665-1</f>
        <v/>
      </c>
      <c r="R665" s="94" t="n">
        <v>-0.002057174848001053</v>
      </c>
    </row>
    <row r="666">
      <c r="A666" s="375" t="n">
        <v>45429</v>
      </c>
      <c r="B666" s="376" t="n">
        <v>86.41487098029019</v>
      </c>
      <c r="C666" s="376" t="n">
        <v>86.6778430249137</v>
      </c>
      <c r="D666" s="376" t="n">
        <v>85.78560825585444</v>
      </c>
      <c r="E666" s="376" t="n">
        <v>86.57453155517578</v>
      </c>
      <c r="F666" s="93" t="n">
        <v>12019600</v>
      </c>
      <c r="G666" s="94" t="n">
        <v>0.004467813824242661</v>
      </c>
      <c r="H666" s="95" t="n">
        <v>64.09221396452087</v>
      </c>
      <c r="I666" s="376" t="n">
        <v>88.38604034423828</v>
      </c>
      <c r="J666" s="376" t="n">
        <v>94.97015575408936</v>
      </c>
      <c r="K666" s="94" t="n">
        <v>0.1948538940427444</v>
      </c>
      <c r="L666" s="94" t="n">
        <v>-0.1242132581220311</v>
      </c>
      <c r="M666" s="94" t="n">
        <v>-0.2502687676751945</v>
      </c>
      <c r="N666" t="n">
        <v>46.11232207343411</v>
      </c>
      <c r="O666" t="n">
        <v>0.01255387519708506</v>
      </c>
      <c r="P666" s="143">
        <f>MAX($E$2:E666)</f>
        <v/>
      </c>
      <c r="Q666" s="144">
        <f>E666/P666-1</f>
        <v/>
      </c>
      <c r="R666" s="94" t="n">
        <v>0.001437428479197367</v>
      </c>
    </row>
    <row r="667">
      <c r="A667" s="375" t="n">
        <v>45432</v>
      </c>
      <c r="B667" s="376" t="n">
        <v>86.6402674253773</v>
      </c>
      <c r="C667" s="376" t="n">
        <v>87.06290001005272</v>
      </c>
      <c r="D667" s="376" t="n">
        <v>85.30661950016355</v>
      </c>
      <c r="E667" s="376" t="n">
        <v>86.189453125</v>
      </c>
      <c r="F667" s="93" t="n">
        <v>9701500</v>
      </c>
      <c r="G667" s="94" t="n">
        <v>-0.004447941250832699</v>
      </c>
      <c r="H667" s="95" t="n">
        <v>63.80713556217088</v>
      </c>
      <c r="I667" s="376" t="n">
        <v>88.24722778320313</v>
      </c>
      <c r="J667" s="376" t="n">
        <v>94.89615062713624</v>
      </c>
      <c r="K667" s="94" t="n">
        <v>0.1950169236708936</v>
      </c>
      <c r="L667" s="94" t="n">
        <v>-0.1241287631099348</v>
      </c>
      <c r="M667" s="94" t="n">
        <v>-0.2536035281504895</v>
      </c>
      <c r="N667" t="n">
        <v>44.53781999452075</v>
      </c>
      <c r="O667" t="n">
        <v>0.0006998726372331454</v>
      </c>
      <c r="P667" s="143">
        <f>MAX($E$2:E667)</f>
        <v/>
      </c>
      <c r="Q667" s="144">
        <f>E667/P667-1</f>
        <v/>
      </c>
      <c r="R667" s="94" t="n">
        <v>0.001152185033225672</v>
      </c>
    </row>
    <row r="668">
      <c r="A668" s="375" t="n">
        <v>45433</v>
      </c>
      <c r="B668" s="376" t="n">
        <v>86.00162593173636</v>
      </c>
      <c r="C668" s="376" t="n">
        <v>87.2037879561662</v>
      </c>
      <c r="D668" s="376" t="n">
        <v>85.88892055490199</v>
      </c>
      <c r="E668" s="376" t="n">
        <v>87.17561340332031</v>
      </c>
      <c r="F668" s="93" t="n">
        <v>7809700</v>
      </c>
      <c r="G668" s="94" t="n">
        <v>0.01144177440005434</v>
      </c>
      <c r="H668" s="95" t="n">
        <v>64.53720241238693</v>
      </c>
      <c r="I668" s="376" t="n">
        <v>88.0920735168457</v>
      </c>
      <c r="J668" s="376" t="n">
        <v>94.82628620147705</v>
      </c>
      <c r="K668" s="94" t="n">
        <v>0.2001002973077889</v>
      </c>
      <c r="L668" s="94" t="n">
        <v>-0.114107242013942</v>
      </c>
      <c r="M668" s="94" t="n">
        <v>-0.2450634281065909</v>
      </c>
      <c r="N668" t="n">
        <v>49.31115220960442</v>
      </c>
      <c r="O668" t="n">
        <v>0.06117091253064932</v>
      </c>
      <c r="P668" s="143">
        <f>MAX($E$2:E668)</f>
        <v/>
      </c>
      <c r="Q668" s="144">
        <f>E668/P668-1</f>
        <v/>
      </c>
      <c r="R668" s="94" t="n">
        <v>0.002452510468336166</v>
      </c>
    </row>
    <row r="669">
      <c r="A669" s="375" t="n">
        <v>45434</v>
      </c>
      <c r="B669" s="376" t="n">
        <v>86.35851892007112</v>
      </c>
      <c r="C669" s="376" t="n">
        <v>87.11926770390868</v>
      </c>
      <c r="D669" s="376" t="n">
        <v>86.07676621514524</v>
      </c>
      <c r="E669" s="376" t="n">
        <v>86.87507629394531</v>
      </c>
      <c r="F669" s="93" t="n">
        <v>7611900</v>
      </c>
      <c r="G669" s="94" t="n">
        <v>-0.003447490618558202</v>
      </c>
      <c r="H669" s="95" t="n">
        <v>64.31471101252222</v>
      </c>
      <c r="I669" s="376" t="n">
        <v>87.94781402587891</v>
      </c>
      <c r="J669" s="376" t="n">
        <v>94.74715694427491</v>
      </c>
      <c r="K669" s="94" t="n">
        <v>0.1985025458660261</v>
      </c>
      <c r="L669" s="94" t="n">
        <v>-0.1103930332015582</v>
      </c>
      <c r="M669" s="94" t="n">
        <v>-0.2476660648557999</v>
      </c>
      <c r="N669" t="n">
        <v>47.95656164536093</v>
      </c>
      <c r="O669" t="n">
        <v>0.08155045382372372</v>
      </c>
      <c r="P669" s="143">
        <f>MAX($E$2:E669)</f>
        <v/>
      </c>
      <c r="Q669" s="144">
        <f>E669/P669-1</f>
        <v/>
      </c>
      <c r="R669" s="94" t="n">
        <v>-0.002879332687332203</v>
      </c>
    </row>
    <row r="670">
      <c r="A670" s="375" t="n">
        <v>45435</v>
      </c>
      <c r="B670" s="376" t="n">
        <v>86.82811760830097</v>
      </c>
      <c r="C670" s="376" t="n">
        <v>86.95021690118485</v>
      </c>
      <c r="D670" s="376" t="n">
        <v>85.6071748376224</v>
      </c>
      <c r="E670" s="376" t="n">
        <v>85.84197235107422</v>
      </c>
      <c r="F670" s="93" t="n">
        <v>7729000</v>
      </c>
      <c r="G670" s="94" t="n">
        <v>-0.01189183350326561</v>
      </c>
      <c r="H670" s="95" t="n">
        <v>63.54989117735067</v>
      </c>
      <c r="I670" s="376" t="n">
        <v>87.7607275390625</v>
      </c>
      <c r="J670" s="376" t="n">
        <v>94.66653400421143</v>
      </c>
      <c r="K670" s="94" t="n">
        <v>0.2010285303803798</v>
      </c>
      <c r="L670" s="94" t="n">
        <v>-0.1174197498790429</v>
      </c>
      <c r="M670" s="94" t="n">
        <v>-0.2566126947513914</v>
      </c>
      <c r="N670" t="n">
        <v>43.52985526762505</v>
      </c>
      <c r="O670" t="n">
        <v>0.02879651738109057</v>
      </c>
      <c r="P670" s="143">
        <f>MAX($E$2:E670)</f>
        <v/>
      </c>
      <c r="Q670" s="144">
        <f>E670/P670-1</f>
        <v/>
      </c>
      <c r="R670" s="94" t="n">
        <v>-0.007304272005263845</v>
      </c>
    </row>
    <row r="671">
      <c r="A671" s="375" t="n">
        <v>45436</v>
      </c>
      <c r="B671" s="376" t="n">
        <v>86.18945783110176</v>
      </c>
      <c r="C671" s="376" t="n">
        <v>86.59330979281052</v>
      </c>
      <c r="D671" s="376" t="n">
        <v>85.92648579379384</v>
      </c>
      <c r="E671" s="376" t="n">
        <v>86.17067718505859</v>
      </c>
      <c r="F671" s="93" t="n">
        <v>6936800</v>
      </c>
      <c r="G671" s="94" t="n">
        <v>0.003829185478637864</v>
      </c>
      <c r="H671" s="95" t="n">
        <v>63.79323549781601</v>
      </c>
      <c r="I671" s="376" t="n">
        <v>87.60087707519531</v>
      </c>
      <c r="J671" s="376" t="n">
        <v>94.58755458831787</v>
      </c>
      <c r="K671" s="94" t="n">
        <v>0.201547659477205</v>
      </c>
      <c r="L671" s="94" t="n">
        <v>-0.09943075761893438</v>
      </c>
      <c r="M671" s="94" t="n">
        <v>-0.2537661268771295</v>
      </c>
      <c r="N671" t="n">
        <v>45.26116582501655</v>
      </c>
      <c r="O671" t="n">
        <v>0.01981120406191639</v>
      </c>
      <c r="P671" s="143">
        <f>MAX($E$2:E671)</f>
        <v/>
      </c>
      <c r="Q671" s="144">
        <f>E671/P671-1</f>
        <v/>
      </c>
      <c r="R671" s="94" t="n">
        <v>0.006616456735151877</v>
      </c>
    </row>
    <row r="672">
      <c r="A672" s="375" t="n">
        <v>45440</v>
      </c>
      <c r="B672" s="376" t="n">
        <v>86.16129563426669</v>
      </c>
      <c r="C672" s="376" t="n">
        <v>86.89386274765559</v>
      </c>
      <c r="D672" s="376" t="n">
        <v>85.79501207757225</v>
      </c>
      <c r="E672" s="376" t="n">
        <v>86.40548706054688</v>
      </c>
      <c r="F672" s="93" t="n">
        <v>10835000</v>
      </c>
      <c r="G672" s="94" t="n">
        <v>0.00272493942439378</v>
      </c>
      <c r="H672" s="95" t="n">
        <v>63.96706820023363</v>
      </c>
      <c r="I672" s="376" t="n">
        <v>87.45736938476563</v>
      </c>
      <c r="J672" s="376" t="n">
        <v>94.51281700134277</v>
      </c>
      <c r="K672" s="94" t="n">
        <v>0.2020244367722352</v>
      </c>
      <c r="L672" s="94" t="n">
        <v>-0.09234402951408205</v>
      </c>
      <c r="M672" s="94" t="n">
        <v>-0.251732684776439</v>
      </c>
      <c r="N672" t="n">
        <v>46.52247718966525</v>
      </c>
      <c r="O672" t="n">
        <v>0.03269293011221064</v>
      </c>
      <c r="P672" s="143">
        <f>MAX($E$2:E672)</f>
        <v/>
      </c>
      <c r="Q672" s="144">
        <f>E672/P672-1</f>
        <v/>
      </c>
      <c r="R672" s="94" t="n">
        <v>0.0006989437273747789</v>
      </c>
    </row>
    <row r="673">
      <c r="A673" s="375" t="n">
        <v>45441</v>
      </c>
      <c r="B673" s="376" t="n">
        <v>86.10492918352256</v>
      </c>
      <c r="C673" s="376" t="n">
        <v>87.08168752650027</v>
      </c>
      <c r="D673" s="376" t="n">
        <v>85.82316935105679</v>
      </c>
      <c r="E673" s="376" t="n">
        <v>86.09553527832031</v>
      </c>
      <c r="F673" s="93" t="n">
        <v>7237300</v>
      </c>
      <c r="G673" s="94" t="n">
        <v>-0.003587177073712589</v>
      </c>
      <c r="H673" s="95" t="n">
        <v>63.73760699971315</v>
      </c>
      <c r="I673" s="376" t="n">
        <v>87.32456787109375</v>
      </c>
      <c r="J673" s="376" t="n">
        <v>94.44089866638184</v>
      </c>
      <c r="K673" s="94" t="n">
        <v>0.1907661182945561</v>
      </c>
      <c r="L673" s="94" t="n">
        <v>-0.09559995220222739</v>
      </c>
      <c r="M673" s="94" t="n">
        <v>-0.2544168521346173</v>
      </c>
      <c r="N673" t="n">
        <v>45.04692564553307</v>
      </c>
      <c r="O673" t="n">
        <v>0.02376528130509314</v>
      </c>
      <c r="P673" s="143">
        <f>MAX($E$2:E673)</f>
        <v/>
      </c>
      <c r="Q673" s="144">
        <f>E673/P673-1</f>
        <v/>
      </c>
      <c r="R673" s="94" t="n">
        <v>-0.007002642484219779</v>
      </c>
    </row>
    <row r="674">
      <c r="A674" s="375" t="n">
        <v>45442</v>
      </c>
      <c r="B674" s="376" t="n">
        <v>86.62149767490121</v>
      </c>
      <c r="C674" s="376" t="n">
        <v>88.17115545724778</v>
      </c>
      <c r="D674" s="376" t="n">
        <v>86.36791235984191</v>
      </c>
      <c r="E674" s="376" t="n">
        <v>87.76730346679688</v>
      </c>
      <c r="F674" s="93" t="n">
        <v>9300100</v>
      </c>
      <c r="G674" s="94" t="n">
        <v>0.01941759445565028</v>
      </c>
      <c r="H674" s="95" t="n">
        <v>64.9752380040072</v>
      </c>
      <c r="I674" s="376" t="n">
        <v>87.20228530883789</v>
      </c>
      <c r="J674" s="376" t="n">
        <v>94.37943069458008</v>
      </c>
      <c r="K674" s="94" t="n">
        <v>0.1866656452689045</v>
      </c>
      <c r="L674" s="94" t="n">
        <v>-0.07803867884841964</v>
      </c>
      <c r="M674" s="94" t="n">
        <v>-0.2399394209364002</v>
      </c>
      <c r="N674" t="n">
        <v>53.59590823573868</v>
      </c>
      <c r="O674" t="n">
        <v>0.1280505139456445</v>
      </c>
      <c r="P674" s="143">
        <f>MAX($E$2:E674)</f>
        <v/>
      </c>
      <c r="Q674" s="144">
        <f>E674/P674-1</f>
        <v/>
      </c>
      <c r="R674" s="94" t="n">
        <v>-0.006633806782808005</v>
      </c>
    </row>
    <row r="675">
      <c r="A675" s="375" t="n">
        <v>45443</v>
      </c>
      <c r="B675" s="376" t="n">
        <v>87.81427955320726</v>
      </c>
      <c r="C675" s="376" t="n">
        <v>89.28880781095853</v>
      </c>
      <c r="D675" s="376" t="n">
        <v>87.3165099171855</v>
      </c>
      <c r="E675" s="376" t="n">
        <v>89.27002716064453</v>
      </c>
      <c r="F675" s="93" t="n">
        <v>12565600</v>
      </c>
      <c r="G675" s="94" t="n">
        <v>0.01712168010740078</v>
      </c>
      <c r="H675" s="95" t="n">
        <v>66.08772324401404</v>
      </c>
      <c r="I675" s="376" t="n">
        <v>87.10423446655274</v>
      </c>
      <c r="J675" s="376" t="n">
        <v>94.33054264068603</v>
      </c>
      <c r="K675" s="94" t="n">
        <v>0.1789319627594096</v>
      </c>
      <c r="L675" s="94" t="n">
        <v>-0.06225315203626558</v>
      </c>
      <c r="M675" s="94" t="n">
        <v>-0.2269259068394275</v>
      </c>
      <c r="N675" t="n">
        <v>59.6694782171282</v>
      </c>
      <c r="O675" t="n">
        <v>0.2867487054097121</v>
      </c>
      <c r="P675" s="143">
        <f>MAX($E$2:E675)</f>
        <v/>
      </c>
      <c r="Q675" s="144">
        <f>E675/P675-1</f>
        <v/>
      </c>
      <c r="R675" s="94" t="n">
        <v>0.009108287227783229</v>
      </c>
    </row>
    <row r="676">
      <c r="A676" s="375" t="n">
        <v>45446</v>
      </c>
      <c r="B676" s="376" t="n">
        <v>89.11914295370535</v>
      </c>
      <c r="C676" s="376" t="n">
        <v>89.80743406493892</v>
      </c>
      <c r="D676" s="376" t="n">
        <v>88.67600470213169</v>
      </c>
      <c r="E676" s="376" t="n">
        <v>89.00600433349609</v>
      </c>
      <c r="F676" s="93" t="n">
        <v>9668100</v>
      </c>
      <c r="G676" s="94" t="n">
        <v>-0.00295757529762275</v>
      </c>
      <c r="H676" s="95" t="n">
        <v>65.89226382627142</v>
      </c>
      <c r="I676" s="376" t="n">
        <v>86.99057205200195</v>
      </c>
      <c r="J676" s="376" t="n">
        <v>94.28042739868164</v>
      </c>
      <c r="K676" s="94" t="n">
        <v>0.1789783987455375</v>
      </c>
      <c r="L676" s="94" t="n">
        <v>-0.06502660894922674</v>
      </c>
      <c r="M676" s="94" t="n">
        <v>-0.2292123316805913</v>
      </c>
      <c r="N676" t="n">
        <v>58.22748628294816</v>
      </c>
      <c r="O676" t="n">
        <v>0.3578294700464013</v>
      </c>
      <c r="P676" s="143">
        <f>MAX($E$2:E676)</f>
        <v/>
      </c>
      <c r="Q676" s="144">
        <f>E676/P676-1</f>
        <v/>
      </c>
      <c r="R676" s="94" t="n">
        <v>0.0008152391819058469</v>
      </c>
    </row>
    <row r="677">
      <c r="A677" s="375" t="n">
        <v>45447</v>
      </c>
      <c r="B677" s="376" t="n">
        <v>88.90229200652108</v>
      </c>
      <c r="C677" s="376" t="n">
        <v>89.67543710787525</v>
      </c>
      <c r="D677" s="376" t="n">
        <v>88.07257759323574</v>
      </c>
      <c r="E677" s="376" t="n">
        <v>89.32657623291016</v>
      </c>
      <c r="F677" s="93" t="n">
        <v>7838400</v>
      </c>
      <c r="G677" s="94" t="n">
        <v>0.003601688468262365</v>
      </c>
      <c r="H677" s="95" t="n">
        <v>66.1295872330422</v>
      </c>
      <c r="I677" s="376" t="n">
        <v>87.01405624389649</v>
      </c>
      <c r="J677" s="376" t="n">
        <v>94.23879398345947</v>
      </c>
      <c r="K677" s="94" t="n">
        <v>0.1738622006952365</v>
      </c>
      <c r="L677" s="94" t="n">
        <v>-0.06165912606854695</v>
      </c>
      <c r="M677" s="94" t="n">
        <v>-0.2264361946241265</v>
      </c>
      <c r="N677" t="n">
        <v>59.50704071222965</v>
      </c>
      <c r="O677" t="n">
        <v>0.4067590618273277</v>
      </c>
      <c r="P677" s="143">
        <f>MAX($E$2:E677)</f>
        <v/>
      </c>
      <c r="Q677" s="144">
        <f>E677/P677-1</f>
        <v/>
      </c>
      <c r="R677" s="94" t="n">
        <v>0.001118046600791844</v>
      </c>
    </row>
    <row r="678">
      <c r="A678" s="375" t="n">
        <v>45448</v>
      </c>
      <c r="B678" s="376" t="n">
        <v>89.87343269633797</v>
      </c>
      <c r="C678" s="376" t="n">
        <v>89.87343269633797</v>
      </c>
      <c r="D678" s="376" t="n">
        <v>88.34599660444792</v>
      </c>
      <c r="E678" s="376" t="n">
        <v>88.93057250976562</v>
      </c>
      <c r="F678" s="93" t="n">
        <v>7463300</v>
      </c>
      <c r="G678" s="94" t="n">
        <v>-0.00443321282248621</v>
      </c>
      <c r="H678" s="95" t="n">
        <v>65.83642069897495</v>
      </c>
      <c r="I678" s="376" t="n">
        <v>87.03168655395508</v>
      </c>
      <c r="J678" s="376" t="n">
        <v>94.19629615783691</v>
      </c>
      <c r="K678" s="94" t="n">
        <v>0.1743589602962562</v>
      </c>
      <c r="L678" s="94" t="n">
        <v>-0.06581899086272291</v>
      </c>
      <c r="M678" s="94" t="n">
        <v>-0.22986556760513</v>
      </c>
      <c r="N678" t="n">
        <v>57.17707984218166</v>
      </c>
      <c r="O678" t="n">
        <v>0.3925824891871438</v>
      </c>
      <c r="P678" s="143">
        <f>MAX($E$2:E678)</f>
        <v/>
      </c>
      <c r="Q678" s="144">
        <f>E678/P678-1</f>
        <v/>
      </c>
      <c r="R678" s="94" t="n">
        <v>0.01188496136575923</v>
      </c>
    </row>
    <row r="679">
      <c r="A679" s="375" t="n">
        <v>45449</v>
      </c>
      <c r="B679" s="376" t="n">
        <v>89.43972704431003</v>
      </c>
      <c r="C679" s="376" t="n">
        <v>91.26887829571467</v>
      </c>
      <c r="D679" s="376" t="n">
        <v>88.61943600824181</v>
      </c>
      <c r="E679" s="376" t="n">
        <v>90.25058746337891</v>
      </c>
      <c r="F679" s="93" t="n">
        <v>9760100</v>
      </c>
      <c r="G679" s="94" t="n">
        <v>0.01484320764344926</v>
      </c>
      <c r="H679" s="95" t="n">
        <v>66.81364436191132</v>
      </c>
      <c r="I679" s="376" t="n">
        <v>87.09769439697266</v>
      </c>
      <c r="J679" s="376" t="n">
        <v>94.16946186065674</v>
      </c>
      <c r="K679" s="94" t="n">
        <v>0.1812142597733379</v>
      </c>
      <c r="L679" s="94" t="n">
        <v>-0.05195274816753137</v>
      </c>
      <c r="M679" s="94" t="n">
        <v>-0.2184343023117229</v>
      </c>
      <c r="N679" t="n">
        <v>62.45429501937915</v>
      </c>
      <c r="O679" t="n">
        <v>0.4482128827348864</v>
      </c>
      <c r="P679" s="143">
        <f>MAX($E$2:E679)</f>
        <v/>
      </c>
      <c r="Q679" s="144">
        <f>E679/P679-1</f>
        <v/>
      </c>
      <c r="R679" s="94" t="n">
        <v>-1.880405946741437e-05</v>
      </c>
    </row>
    <row r="680">
      <c r="A680" s="375" t="n">
        <v>45450</v>
      </c>
      <c r="B680" s="376" t="n">
        <v>89.93942850007831</v>
      </c>
      <c r="C680" s="376" t="n">
        <v>92.34372474303899</v>
      </c>
      <c r="D680" s="376" t="n">
        <v>89.85457454003246</v>
      </c>
      <c r="E680" s="376" t="n">
        <v>91.03314971923828</v>
      </c>
      <c r="F680" s="93" t="n">
        <v>9397400</v>
      </c>
      <c r="G680" s="94" t="n">
        <v>0.008670993484412692</v>
      </c>
      <c r="H680" s="95" t="n">
        <v>67.39298503684333</v>
      </c>
      <c r="I680" s="376" t="n">
        <v>87.15023834228515</v>
      </c>
      <c r="J680" s="376" t="n">
        <v>94.15304744720459</v>
      </c>
      <c r="K680" s="94" t="n">
        <v>0.1824864026845171</v>
      </c>
      <c r="L680" s="94" t="n">
        <v>-0.03861029806158023</v>
      </c>
      <c r="M680" s="94" t="n">
        <v>-0.2116573512394274</v>
      </c>
      <c r="N680" t="n">
        <v>65.19285148305359</v>
      </c>
      <c r="O680" t="n">
        <v>0.5093601497418551</v>
      </c>
      <c r="P680" s="143">
        <f>MAX($E$2:E680)</f>
        <v/>
      </c>
      <c r="Q680" s="144">
        <f>E680/P680-1</f>
        <v/>
      </c>
      <c r="R680" s="94" t="n">
        <v>-0.001215470249596895</v>
      </c>
    </row>
    <row r="681">
      <c r="A681" s="375" t="n">
        <v>45453</v>
      </c>
      <c r="B681" s="376" t="n">
        <v>90.26001068245691</v>
      </c>
      <c r="C681" s="376" t="n">
        <v>91.44800936269107</v>
      </c>
      <c r="D681" s="376" t="n">
        <v>90.13743425187144</v>
      </c>
      <c r="E681" s="376" t="n">
        <v>90.51457977294922</v>
      </c>
      <c r="F681" s="93" t="n">
        <v>7035100</v>
      </c>
      <c r="G681" s="94" t="n">
        <v>-0.005696495703910287</v>
      </c>
      <c r="H681" s="95" t="n">
        <v>67.00908118710726</v>
      </c>
      <c r="I681" s="376" t="n">
        <v>87.19522872924804</v>
      </c>
      <c r="J681" s="376" t="n">
        <v>94.14663608551025</v>
      </c>
      <c r="K681" s="94" t="n">
        <v>0.1525642157109412</v>
      </c>
      <c r="L681" s="94" t="n">
        <v>-0.04408685036845605</v>
      </c>
      <c r="M681" s="94" t="n">
        <v>-0.2161481417513013</v>
      </c>
      <c r="N681" t="n">
        <v>61.96734827595229</v>
      </c>
      <c r="O681" t="n">
        <v>0.4865636931026214</v>
      </c>
      <c r="P681" s="143">
        <f>MAX($E$2:E681)</f>
        <v/>
      </c>
      <c r="Q681" s="144">
        <f>E681/P681-1</f>
        <v/>
      </c>
      <c r="R681" s="94" t="n">
        <v>0.003089677122445345</v>
      </c>
    </row>
    <row r="682">
      <c r="A682" s="375" t="n">
        <v>45454</v>
      </c>
      <c r="B682" s="376" t="n">
        <v>90.06200671195022</v>
      </c>
      <c r="C682" s="376" t="n">
        <v>90.51458279102455</v>
      </c>
      <c r="D682" s="376" t="n">
        <v>89.11914647454371</v>
      </c>
      <c r="E682" s="376" t="n">
        <v>90.39201354980469</v>
      </c>
      <c r="F682" s="93" t="n">
        <v>7301500</v>
      </c>
      <c r="G682" s="94" t="n">
        <v>-0.001354104758061969</v>
      </c>
      <c r="H682" s="95" t="n">
        <v>66.91834387143844</v>
      </c>
      <c r="I682" s="376" t="n">
        <v>87.26444076538085</v>
      </c>
      <c r="J682" s="376" t="n">
        <v>94.14481758117675</v>
      </c>
      <c r="K682" s="94" t="n">
        <v>0.1398791603833382</v>
      </c>
      <c r="L682" s="94" t="n">
        <v>-0.04538125691266615</v>
      </c>
      <c r="M682" s="94" t="n">
        <v>-0.2172095592821716</v>
      </c>
      <c r="N682" t="n">
        <v>61.19666944299357</v>
      </c>
      <c r="O682" t="n">
        <v>0.4365110200644015</v>
      </c>
      <c r="P682" s="143">
        <f>MAX($E$2:E682)</f>
        <v/>
      </c>
      <c r="Q682" s="144">
        <f>E682/P682-1</f>
        <v/>
      </c>
      <c r="R682" s="94" t="n">
        <v>0.002408336574948988</v>
      </c>
    </row>
    <row r="683">
      <c r="A683" s="375" t="n">
        <v>45455</v>
      </c>
      <c r="B683" s="376" t="n">
        <v>90.84459142341134</v>
      </c>
      <c r="C683" s="376" t="n">
        <v>90.98602191170572</v>
      </c>
      <c r="D683" s="376" t="n">
        <v>88.15744091963197</v>
      </c>
      <c r="E683" s="376" t="n">
        <v>88.32715606689453</v>
      </c>
      <c r="F683" s="93" t="n">
        <v>9861300</v>
      </c>
      <c r="G683" s="94" t="n">
        <v>-0.02284336195002945</v>
      </c>
      <c r="H683" s="95" t="n">
        <v>65.38970392128664</v>
      </c>
      <c r="I683" s="376" t="n">
        <v>87.32259735107422</v>
      </c>
      <c r="J683" s="376" t="n">
        <v>94.12705085754395</v>
      </c>
      <c r="K683" s="94" t="n">
        <v>0.1652334850917372</v>
      </c>
      <c r="L683" s="94" t="n">
        <v>-0.06718795838529223</v>
      </c>
      <c r="M683" s="94" t="n">
        <v>-0.2350911246505121</v>
      </c>
      <c r="N683" t="n">
        <v>49.9304128619539</v>
      </c>
      <c r="O683" t="n">
        <v>0.2470511348931839</v>
      </c>
      <c r="P683" s="143">
        <f>MAX($E$2:E683)</f>
        <v/>
      </c>
      <c r="Q683" s="144">
        <f>E683/P683-1</f>
        <v/>
      </c>
      <c r="R683" s="94" t="n">
        <v>0.008213024421287241</v>
      </c>
    </row>
    <row r="684">
      <c r="A684" s="375" t="n">
        <v>45456</v>
      </c>
      <c r="B684" s="376" t="n">
        <v>88.6665764988426</v>
      </c>
      <c r="C684" s="376" t="n">
        <v>89.12857599532514</v>
      </c>
      <c r="D684" s="376" t="n">
        <v>88.36486151431995</v>
      </c>
      <c r="E684" s="376" t="n">
        <v>88.79857635498047</v>
      </c>
      <c r="F684" s="93" t="n">
        <v>8348200</v>
      </c>
      <c r="G684" s="94" t="n">
        <v>0.005337206687928475</v>
      </c>
      <c r="H684" s="95" t="n">
        <v>65.73870228637699</v>
      </c>
      <c r="I684" s="376" t="n">
        <v>87.40182846069337</v>
      </c>
      <c r="J684" s="376" t="n">
        <v>94.1079693222046</v>
      </c>
      <c r="K684" s="94" t="n">
        <v>0.1587838510387403</v>
      </c>
      <c r="L684" s="94" t="n">
        <v>-0.06220934771820597</v>
      </c>
      <c r="M684" s="94" t="n">
        <v>-0.2310086478853408</v>
      </c>
      <c r="N684" t="n">
        <v>52.09862944164549</v>
      </c>
      <c r="O684" t="n">
        <v>0.1414415527997336</v>
      </c>
      <c r="P684" s="143">
        <f>MAX($E$2:E684)</f>
        <v/>
      </c>
      <c r="Q684" s="144">
        <f>E684/P684-1</f>
        <v/>
      </c>
      <c r="R684" s="94" t="n">
        <v>0.002013402486539251</v>
      </c>
    </row>
    <row r="685">
      <c r="A685" s="375" t="n">
        <v>45457</v>
      </c>
      <c r="B685" s="376" t="n">
        <v>88.44029472398547</v>
      </c>
      <c r="C685" s="376" t="n">
        <v>89.36429374479549</v>
      </c>
      <c r="D685" s="376" t="n">
        <v>87.96886459687137</v>
      </c>
      <c r="E685" s="376" t="n">
        <v>88.05371856689453</v>
      </c>
      <c r="F685" s="93" t="n">
        <v>7426800</v>
      </c>
      <c r="G685" s="94" t="n">
        <v>-0.008388172633627566</v>
      </c>
      <c r="H685" s="95" t="n">
        <v>65.18727470288822</v>
      </c>
      <c r="I685" s="376" t="n">
        <v>87.48982971191407</v>
      </c>
      <c r="J685" s="376" t="n">
        <v>94.07521686553955</v>
      </c>
      <c r="K685" s="94" t="n">
        <v>0.1626992813093451</v>
      </c>
      <c r="L685" s="94" t="n">
        <v>-0.07007569760374777</v>
      </c>
      <c r="M685" s="94" t="n">
        <v>-0.2374590801006453</v>
      </c>
      <c r="N685" t="n">
        <v>48.52320268305024</v>
      </c>
      <c r="O685" t="n">
        <v>0.01598154574653576</v>
      </c>
      <c r="P685" s="143">
        <f>MAX($E$2:E685)</f>
        <v/>
      </c>
      <c r="Q685" s="144">
        <f>E685/P685-1</f>
        <v/>
      </c>
      <c r="R685" s="94" t="n">
        <v>0.0006083905301905723</v>
      </c>
    </row>
    <row r="686">
      <c r="A686" s="375" t="n">
        <v>45460</v>
      </c>
      <c r="B686" s="376" t="n">
        <v>86.7525737987384</v>
      </c>
      <c r="C686" s="376" t="n">
        <v>89.68486975786877</v>
      </c>
      <c r="D686" s="376" t="n">
        <v>86.7525737987384</v>
      </c>
      <c r="E686" s="376" t="n">
        <v>89.57172393798828</v>
      </c>
      <c r="F686" s="93" t="n">
        <v>6365400</v>
      </c>
      <c r="G686" s="94" t="n">
        <v>0.01723953736196293</v>
      </c>
      <c r="H686" s="95" t="n">
        <v>66.31107316065319</v>
      </c>
      <c r="I686" s="376" t="n">
        <v>87.61251159667968</v>
      </c>
      <c r="J686" s="376" t="n">
        <v>94.04852058410644</v>
      </c>
      <c r="K686" s="94" t="n">
        <v>0.1722218822099591</v>
      </c>
      <c r="L686" s="94" t="n">
        <v>-0.01605377585810541</v>
      </c>
      <c r="M686" s="94" t="n">
        <v>-0.2243132274220148</v>
      </c>
      <c r="N686" t="n">
        <v>55.26173551680876</v>
      </c>
      <c r="O686" t="n">
        <v>0.02903071296021387</v>
      </c>
      <c r="P686" s="143">
        <f>MAX($E$2:E686)</f>
        <v/>
      </c>
      <c r="Q686" s="144">
        <f>E686/P686-1</f>
        <v/>
      </c>
      <c r="R686" s="94" t="n">
        <v>0.007958911142973424</v>
      </c>
    </row>
    <row r="687">
      <c r="A687" s="375" t="n">
        <v>45461</v>
      </c>
      <c r="B687" s="376" t="n">
        <v>89.26057313292105</v>
      </c>
      <c r="C687" s="376" t="n">
        <v>89.81686438980465</v>
      </c>
      <c r="D687" s="376" t="n">
        <v>88.82685830546987</v>
      </c>
      <c r="E687" s="376" t="n">
        <v>89.36428833007812</v>
      </c>
      <c r="F687" s="93" t="n">
        <v>6712000</v>
      </c>
      <c r="G687" s="94" t="n">
        <v>-0.002315860394221825</v>
      </c>
      <c r="H687" s="95" t="n">
        <v>66.1575059726221</v>
      </c>
      <c r="I687" s="376" t="n">
        <v>87.70925537109375</v>
      </c>
      <c r="J687" s="376" t="n">
        <v>94.02259986877442</v>
      </c>
      <c r="K687" s="94" t="n">
        <v>0.1713668895302251</v>
      </c>
      <c r="L687" s="94" t="n">
        <v>-0.01833245794863958</v>
      </c>
      <c r="M687" s="94" t="n">
        <v>-0.2261096096969498</v>
      </c>
      <c r="N687" t="n">
        <v>54.2172887510071</v>
      </c>
      <c r="O687" t="n">
        <v>0.01803090912522387</v>
      </c>
      <c r="P687" s="143">
        <f>MAX($E$2:E687)</f>
        <v/>
      </c>
      <c r="Q687" s="144">
        <f>E687/P687-1</f>
        <v/>
      </c>
      <c r="R687" s="94" t="n">
        <v>0.002540712444667026</v>
      </c>
    </row>
    <row r="688">
      <c r="A688" s="375" t="n">
        <v>45463</v>
      </c>
      <c r="B688" s="376" t="n">
        <v>88.51570263520343</v>
      </c>
      <c r="C688" s="376" t="n">
        <v>90.59942257031592</v>
      </c>
      <c r="D688" s="376" t="n">
        <v>88.17627242742068</v>
      </c>
      <c r="E688" s="376" t="n">
        <v>90.10913848876953</v>
      </c>
      <c r="F688" s="93" t="n">
        <v>9393800</v>
      </c>
      <c r="G688" s="94" t="n">
        <v>0.008334986744819251</v>
      </c>
      <c r="H688" s="95" t="n">
        <v>66.7089279079742</v>
      </c>
      <c r="I688" s="376" t="n">
        <v>87.80211242675782</v>
      </c>
      <c r="J688" s="376" t="n">
        <v>93.99578647613525</v>
      </c>
      <c r="K688" s="94" t="n">
        <v>0.1694079150094182</v>
      </c>
      <c r="L688" s="94" t="n">
        <v>-0.01015027199782226</v>
      </c>
      <c r="M688" s="94" t="n">
        <v>-0.219659243551831</v>
      </c>
      <c r="N688" t="n">
        <v>57.33545453826188</v>
      </c>
      <c r="O688" t="n">
        <v>0.05326586085842089</v>
      </c>
      <c r="P688" s="143">
        <f>MAX($E$2:E688)</f>
        <v/>
      </c>
      <c r="Q688" s="144">
        <f>E688/P688-1</f>
        <v/>
      </c>
      <c r="R688" s="94" t="n">
        <v>-0.002716316020169751</v>
      </c>
    </row>
    <row r="689">
      <c r="A689" s="375" t="n">
        <v>45464</v>
      </c>
      <c r="B689" s="376" t="n">
        <v>90.47686846601523</v>
      </c>
      <c r="C689" s="376" t="n">
        <v>91.65544377511837</v>
      </c>
      <c r="D689" s="376" t="n">
        <v>89.96772306926835</v>
      </c>
      <c r="E689" s="376" t="n">
        <v>91.62715911865234</v>
      </c>
      <c r="F689" s="93" t="n">
        <v>15124400</v>
      </c>
      <c r="G689" s="94" t="n">
        <v>0.01684646702145542</v>
      </c>
      <c r="H689" s="95" t="n">
        <v>67.83273766201253</v>
      </c>
      <c r="I689" s="376" t="n">
        <v>87.96289749145508</v>
      </c>
      <c r="J689" s="376" t="n">
        <v>93.98607685089111</v>
      </c>
      <c r="K689" s="94" t="n">
        <v>0.1763851754474543</v>
      </c>
      <c r="L689" s="94" t="n">
        <v>0</v>
      </c>
      <c r="M689" s="94" t="n">
        <v>-0.2065132587328293</v>
      </c>
      <c r="N689" t="n">
        <v>62.88370162573575</v>
      </c>
      <c r="O689" t="n">
        <v>0.1648533168056163</v>
      </c>
      <c r="P689" s="143">
        <f>MAX($E$2:E689)</f>
        <v/>
      </c>
      <c r="Q689" s="144">
        <f>E689/P689-1</f>
        <v/>
      </c>
      <c r="R689" s="94" t="n">
        <v>-0.001340834901776278</v>
      </c>
    </row>
    <row r="690">
      <c r="A690" s="375" t="n">
        <v>45467</v>
      </c>
      <c r="B690" s="376" t="n">
        <v>91.74029798428272</v>
      </c>
      <c r="C690" s="376" t="n">
        <v>92.43801250021997</v>
      </c>
      <c r="D690" s="376" t="n">
        <v>91.15572208563395</v>
      </c>
      <c r="E690" s="376" t="n">
        <v>91.61772155761719</v>
      </c>
      <c r="F690" s="93" t="n">
        <v>9466900</v>
      </c>
      <c r="G690" s="94" t="n">
        <v>-0.0001029996032392289</v>
      </c>
      <c r="H690" s="95" t="n">
        <v>67.82575091694672</v>
      </c>
      <c r="I690" s="376" t="n">
        <v>88.06714218139649</v>
      </c>
      <c r="J690" s="376" t="n">
        <v>93.97697292327881</v>
      </c>
      <c r="K690" s="94" t="n">
        <v>0.1682021011570092</v>
      </c>
      <c r="L690" s="94" t="n">
        <v>-0.0001029996032392289</v>
      </c>
      <c r="M690" s="94" t="n">
        <v>-0.2065949875523554</v>
      </c>
      <c r="N690" t="n">
        <v>62.82899806604092</v>
      </c>
      <c r="O690" t="n">
        <v>0.2205928969911021</v>
      </c>
      <c r="P690" s="143">
        <f>MAX($E$2:E690)</f>
        <v/>
      </c>
      <c r="Q690" s="144">
        <f>E690/P690-1</f>
        <v/>
      </c>
      <c r="R690" s="94" t="n">
        <v>-0.003250759891006316</v>
      </c>
    </row>
    <row r="691">
      <c r="A691" s="375" t="n">
        <v>45468</v>
      </c>
      <c r="B691" s="376" t="n">
        <v>91.74971819895082</v>
      </c>
      <c r="C691" s="376" t="n">
        <v>92.06086377252021</v>
      </c>
      <c r="D691" s="376" t="n">
        <v>89.10028349944344</v>
      </c>
      <c r="E691" s="376" t="n">
        <v>89.33599853515625</v>
      </c>
      <c r="F691" s="93" t="n">
        <v>9006500</v>
      </c>
      <c r="G691" s="94" t="n">
        <v>-0.02490482172737718</v>
      </c>
      <c r="H691" s="95" t="n">
        <v>66.13656268183466</v>
      </c>
      <c r="I691" s="376" t="n">
        <v>88.12575241088867</v>
      </c>
      <c r="J691" s="376" t="n">
        <v>93.96695331573487</v>
      </c>
      <c r="K691" s="94" t="n">
        <v>0.1957107497624662</v>
      </c>
      <c r="L691" s="94" t="n">
        <v>-0.02500525614385984</v>
      </c>
      <c r="M691" s="94" t="n">
        <v>-0.2263545979449715</v>
      </c>
      <c r="N691" t="n">
        <v>51.22631477606679</v>
      </c>
      <c r="O691" t="n">
        <v>0.0928914241950638</v>
      </c>
      <c r="P691" s="143">
        <f>MAX($E$2:E691)</f>
        <v/>
      </c>
      <c r="Q691" s="144">
        <f>E691/P691-1</f>
        <v/>
      </c>
      <c r="R691" s="94" t="n">
        <v>0.003850968922199494</v>
      </c>
    </row>
    <row r="692">
      <c r="A692" s="375" t="n">
        <v>45469</v>
      </c>
      <c r="B692" s="376" t="n">
        <v>88.71371709050869</v>
      </c>
      <c r="C692" s="376" t="n">
        <v>89.08143920441378</v>
      </c>
      <c r="D692" s="376" t="n">
        <v>87.82743335084432</v>
      </c>
      <c r="E692" s="376" t="n">
        <v>88.68543243408203</v>
      </c>
      <c r="F692" s="93" t="n">
        <v>10160400</v>
      </c>
      <c r="G692" s="94" t="n">
        <v>-0.007282239094447474</v>
      </c>
      <c r="H692" s="95" t="n">
        <v>65.65494041950063</v>
      </c>
      <c r="I692" s="376" t="n">
        <v>88.15068954467773</v>
      </c>
      <c r="J692" s="376" t="n">
        <v>93.95489337921143</v>
      </c>
      <c r="K692" s="94" t="n">
        <v>0.1983421573107392</v>
      </c>
      <c r="L692" s="94" t="n">
        <v>-0.03210540098444981</v>
      </c>
      <c r="M692" s="94" t="n">
        <v>-0.2319884687370561</v>
      </c>
      <c r="N692" t="n">
        <v>48.47746267864549</v>
      </c>
      <c r="O692" t="n">
        <v>-0.03920811884821307</v>
      </c>
      <c r="P692" s="143">
        <f>MAX($E$2:E692)</f>
        <v/>
      </c>
      <c r="Q692" s="144">
        <f>E692/P692-1</f>
        <v/>
      </c>
      <c r="R692" s="94" t="n">
        <v>0.001248036865372004</v>
      </c>
    </row>
    <row r="693">
      <c r="A693" s="375" t="n">
        <v>45470</v>
      </c>
      <c r="B693" s="376" t="n">
        <v>88.41199193243435</v>
      </c>
      <c r="C693" s="376" t="n">
        <v>89.32656741680488</v>
      </c>
      <c r="D693" s="376" t="n">
        <v>88.05370766981012</v>
      </c>
      <c r="E693" s="376" t="n">
        <v>88.80799865722656</v>
      </c>
      <c r="F693" s="93" t="n">
        <v>25772700</v>
      </c>
      <c r="G693" s="94" t="n">
        <v>0.001382033325886267</v>
      </c>
      <c r="H693" s="95" t="n">
        <v>65.74567773516947</v>
      </c>
      <c r="I693" s="376" t="n">
        <v>88.17263015747071</v>
      </c>
      <c r="J693" s="376" t="n">
        <v>93.94755016326904</v>
      </c>
      <c r="K693" s="94" t="n">
        <v>0.1974749179307641</v>
      </c>
      <c r="L693" s="94" t="n">
        <v>-0.03076773839266489</v>
      </c>
      <c r="M693" s="94" t="n">
        <v>-0.2309270512061858</v>
      </c>
      <c r="N693" t="n">
        <v>49.03236532454247</v>
      </c>
      <c r="O693" t="n">
        <v>-0.117710548799816</v>
      </c>
      <c r="P693" s="143">
        <f>MAX($E$2:E693)</f>
        <v/>
      </c>
      <c r="Q693" s="144">
        <f>E693/P693-1</f>
        <v/>
      </c>
      <c r="R693" s="94" t="n">
        <v>0.001576702283313303</v>
      </c>
    </row>
    <row r="694">
      <c r="A694" s="375" t="n">
        <v>45471</v>
      </c>
      <c r="B694" s="376" t="n">
        <v>72.7227905734</v>
      </c>
      <c r="C694" s="376" t="n">
        <v>74.53308727435308</v>
      </c>
      <c r="D694" s="376" t="n">
        <v>70.29021719482901</v>
      </c>
      <c r="E694" s="376" t="n">
        <v>71.06336212158203</v>
      </c>
      <c r="F694" s="93" t="n">
        <v>129967000</v>
      </c>
      <c r="G694" s="94" t="n">
        <v>-0.1998089902254609</v>
      </c>
      <c r="H694" s="95" t="n">
        <v>52.60910025521668</v>
      </c>
      <c r="I694" s="376" t="n">
        <v>87.81244201660157</v>
      </c>
      <c r="J694" s="376" t="n">
        <v>93.85376888275147</v>
      </c>
      <c r="K694" s="94" t="n">
        <v>0.7355896091492189</v>
      </c>
      <c r="L694" s="94" t="n">
        <v>-0.2244290578783663</v>
      </c>
      <c r="M694" s="94" t="n">
        <v>-0.3845947405143955</v>
      </c>
      <c r="N694" t="n">
        <v>18.30117149888758</v>
      </c>
      <c r="O694" t="n">
        <v>-1.298478972388349</v>
      </c>
      <c r="P694" s="143">
        <f>MAX($E$2:E694)</f>
        <v/>
      </c>
      <c r="Q694" s="144">
        <f>E694/P694-1</f>
        <v/>
      </c>
      <c r="R694" s="94" t="n">
        <v>-0.003935206600352736</v>
      </c>
    </row>
    <row r="695">
      <c r="A695" s="375" t="n">
        <v>45474</v>
      </c>
      <c r="B695" s="376" t="n">
        <v>71.18594327535867</v>
      </c>
      <c r="C695" s="376" t="n">
        <v>72.65680284775274</v>
      </c>
      <c r="D695" s="376" t="n">
        <v>70.04508332581554</v>
      </c>
      <c r="E695" s="376" t="n">
        <v>72.43994903564453</v>
      </c>
      <c r="F695" s="93" t="n">
        <v>44369000</v>
      </c>
      <c r="G695" s="94" t="n">
        <v>0.01937126070262907</v>
      </c>
      <c r="H695" s="95" t="n">
        <v>53.62820485159124</v>
      </c>
      <c r="I695" s="376" t="n">
        <v>87.46288024902344</v>
      </c>
      <c r="J695" s="376" t="n">
        <v>93.76766334533691</v>
      </c>
      <c r="K695" s="94" t="n">
        <v>0.7367052453146919</v>
      </c>
      <c r="L695" s="94" t="n">
        <v>-0.2094052709651445</v>
      </c>
      <c r="M695" s="94" t="n">
        <v>-0.3726735647951308</v>
      </c>
      <c r="N695" t="n">
        <v>22.36624490978917</v>
      </c>
      <c r="O695" t="n">
        <v>-1.884997228326549</v>
      </c>
      <c r="P695" s="143">
        <f>MAX($E$2:E695)</f>
        <v/>
      </c>
      <c r="Q695" s="144">
        <f>E695/P695-1</f>
        <v/>
      </c>
      <c r="R695" s="94" t="n">
        <v>0.002058070220223307</v>
      </c>
    </row>
    <row r="696">
      <c r="A696" s="375" t="n">
        <v>45475</v>
      </c>
      <c r="B696" s="376" t="n">
        <v>72.43051335291484</v>
      </c>
      <c r="C696" s="376" t="n">
        <v>72.54365915574256</v>
      </c>
      <c r="D696" s="376" t="n">
        <v>71.08222310805449</v>
      </c>
      <c r="E696" s="376" t="n">
        <v>71.69508361816406</v>
      </c>
      <c r="F696" s="93" t="n">
        <v>26183400</v>
      </c>
      <c r="G696" s="94" t="n">
        <v>-0.0102825226604446</v>
      </c>
      <c r="H696" s="95" t="n">
        <v>53.07677161996578</v>
      </c>
      <c r="I696" s="376" t="n">
        <v>87.12114944458008</v>
      </c>
      <c r="J696" s="376" t="n">
        <v>93.6728902053833</v>
      </c>
      <c r="K696" s="94" t="n">
        <v>0.7363377411126022</v>
      </c>
      <c r="L696" s="94" t="n">
        <v>-0.2175345791816735</v>
      </c>
      <c r="M696" s="94" t="n">
        <v>-0.3791240630806207</v>
      </c>
      <c r="N696" t="n">
        <v>21.73602580746558</v>
      </c>
      <c r="O696" t="n">
        <v>-2.199394577289179</v>
      </c>
      <c r="P696" s="143">
        <f>MAX($E$2:E696)</f>
        <v/>
      </c>
      <c r="Q696" s="144">
        <f>E696/P696-1</f>
        <v/>
      </c>
      <c r="R696" s="94" t="n">
        <v>0.006729604332527339</v>
      </c>
    </row>
    <row r="697">
      <c r="A697" s="375" t="n">
        <v>45476</v>
      </c>
      <c r="B697" s="376" t="n">
        <v>71.1859492081461</v>
      </c>
      <c r="C697" s="376" t="n">
        <v>71.58194878857067</v>
      </c>
      <c r="D697" s="376" t="n">
        <v>70.73337312090882</v>
      </c>
      <c r="E697" s="376" t="n">
        <v>70.94080352783203</v>
      </c>
      <c r="F697" s="93" t="n">
        <v>15952000</v>
      </c>
      <c r="G697" s="94" t="n">
        <v>-0.01052066686119235</v>
      </c>
      <c r="H697" s="95" t="n">
        <v>52.51836858768453</v>
      </c>
      <c r="I697" s="376" t="n">
        <v>86.7707194519043</v>
      </c>
      <c r="J697" s="376" t="n">
        <v>93.57868259429932</v>
      </c>
      <c r="K697" s="94" t="n">
        <v>0.7346868081756651</v>
      </c>
      <c r="L697" s="94" t="n">
        <v>-0.2257666372045058</v>
      </c>
      <c r="M697" s="94" t="n">
        <v>-0.3856560919750802</v>
      </c>
      <c r="N697" t="n">
        <v>21.08802736854064</v>
      </c>
      <c r="O697" t="n">
        <v>-2.322338542361497</v>
      </c>
      <c r="P697" s="143">
        <f>MAX($E$2:E697)</f>
        <v/>
      </c>
      <c r="Q697" s="144">
        <f>E697/P697-1</f>
        <v/>
      </c>
      <c r="R697" s="94" t="n">
        <v>0.004462877955039524</v>
      </c>
    </row>
    <row r="698">
      <c r="A698" s="375" t="n">
        <v>45478</v>
      </c>
      <c r="B698" s="376" t="n">
        <v>71.05394941069133</v>
      </c>
      <c r="C698" s="376" t="n">
        <v>71.7422333686861</v>
      </c>
      <c r="D698" s="376" t="n">
        <v>70.50708873622091</v>
      </c>
      <c r="E698" s="376" t="n">
        <v>71.11994934082031</v>
      </c>
      <c r="F698" s="93" t="n">
        <v>19603700</v>
      </c>
      <c r="G698" s="94" t="n">
        <v>0.002525285929669385</v>
      </c>
      <c r="H698" s="95" t="n">
        <v>52.6509924849282</v>
      </c>
      <c r="I698" s="376" t="n">
        <v>86.4270654296875</v>
      </c>
      <c r="J698" s="376" t="n">
        <v>93.48886848449708</v>
      </c>
      <c r="K698" s="94" t="n">
        <v>0.7358375274430471</v>
      </c>
      <c r="L698" s="94" t="n">
        <v>-0.2238114765871578</v>
      </c>
      <c r="M698" s="94" t="n">
        <v>-0.3841046979481667</v>
      </c>
      <c r="N698" t="n">
        <v>21.68519517910272</v>
      </c>
      <c r="O698" t="n">
        <v>-2.253976169879801</v>
      </c>
      <c r="P698" s="143">
        <f>MAX($E$2:E698)</f>
        <v/>
      </c>
      <c r="Q698" s="144">
        <f>E698/P698-1</f>
        <v/>
      </c>
      <c r="R698" s="94" t="n">
        <v>0.005766377709836235</v>
      </c>
    </row>
    <row r="699">
      <c r="A699" s="375" t="n">
        <v>45481</v>
      </c>
      <c r="B699" s="376" t="n">
        <v>71.1010889960689</v>
      </c>
      <c r="C699" s="376" t="n">
        <v>71.17651234277622</v>
      </c>
      <c r="D699" s="376" t="n">
        <v>68.82879252956455</v>
      </c>
      <c r="E699" s="376" t="n">
        <v>68.87593841552734</v>
      </c>
      <c r="F699" s="93" t="n">
        <v>29905000</v>
      </c>
      <c r="G699" s="94" t="n">
        <v>-0.03155248205449701</v>
      </c>
      <c r="H699" s="95" t="n">
        <v>50.98972298939604</v>
      </c>
      <c r="I699" s="376" t="n">
        <v>86.02688522338867</v>
      </c>
      <c r="J699" s="376" t="n">
        <v>93.39198486328125</v>
      </c>
      <c r="K699" s="94" t="n">
        <v>0.7335319205188806</v>
      </c>
      <c r="L699" s="94" t="n">
        <v>-0.2483021510430482</v>
      </c>
      <c r="M699" s="94" t="n">
        <v>-0.4035377234136062</v>
      </c>
      <c r="N699" t="n">
        <v>19.67654074805768</v>
      </c>
      <c r="O699" t="n">
        <v>-2.218793294245332</v>
      </c>
      <c r="P699" s="143">
        <f>MAX($E$2:E699)</f>
        <v/>
      </c>
      <c r="Q699" s="144">
        <f>E699/P699-1</f>
        <v/>
      </c>
      <c r="R699" s="94" t="n">
        <v>0.00115391352062999</v>
      </c>
    </row>
    <row r="700">
      <c r="A700" s="375" t="n">
        <v>45482</v>
      </c>
      <c r="B700" s="376" t="n">
        <v>69.11165504563574</v>
      </c>
      <c r="C700" s="376" t="n">
        <v>69.90365415514331</v>
      </c>
      <c r="D700" s="376" t="n">
        <v>68.24421820078389</v>
      </c>
      <c r="E700" s="376" t="n">
        <v>68.31964874267578</v>
      </c>
      <c r="F700" s="93" t="n">
        <v>23445500</v>
      </c>
      <c r="G700" s="94" t="n">
        <v>-0.008076691013565229</v>
      </c>
      <c r="H700" s="95" t="n">
        <v>50.5778947519434</v>
      </c>
      <c r="I700" s="376" t="n">
        <v>85.62872787475585</v>
      </c>
      <c r="J700" s="376" t="n">
        <v>93.29502460479736</v>
      </c>
      <c r="K700" s="94" t="n">
        <v>0.729589805085044</v>
      </c>
      <c r="L700" s="94" t="n">
        <v>-0.2543733823046351</v>
      </c>
      <c r="M700" s="94" t="n">
        <v>-0.4083551649228422</v>
      </c>
      <c r="N700" t="n">
        <v>19.20170607597579</v>
      </c>
      <c r="O700" t="n">
        <v>-2.093487522679176</v>
      </c>
      <c r="P700" s="143">
        <f>MAX($E$2:E700)</f>
        <v/>
      </c>
      <c r="Q700" s="144">
        <f>E700/P700-1</f>
        <v/>
      </c>
      <c r="R700" s="94" t="n">
        <v>0.0009724430112412197</v>
      </c>
    </row>
    <row r="701">
      <c r="A701" s="375" t="n">
        <v>45483</v>
      </c>
      <c r="B701" s="376" t="n">
        <v>68.13108085828927</v>
      </c>
      <c r="C701" s="376" t="n">
        <v>68.48936514881196</v>
      </c>
      <c r="D701" s="376" t="n">
        <v>67.5747895932263</v>
      </c>
      <c r="E701" s="376" t="n">
        <v>68.39508056640625</v>
      </c>
      <c r="F701" s="93" t="n">
        <v>21378200</v>
      </c>
      <c r="G701" s="94" t="n">
        <v>0.001104101457174878</v>
      </c>
      <c r="H701" s="95" t="n">
        <v>50.63373787923986</v>
      </c>
      <c r="I701" s="376" t="n">
        <v>85.22869827270507</v>
      </c>
      <c r="J701" s="376" t="n">
        <v>93.20986713409424</v>
      </c>
      <c r="K701" s="94" t="n">
        <v>0.7309038234347475</v>
      </c>
      <c r="L701" s="94" t="n">
        <v>-0.2535501348695293</v>
      </c>
      <c r="M701" s="94" t="n">
        <v>-0.4077019289983035</v>
      </c>
      <c r="N701" t="n">
        <v>19.48543682769051</v>
      </c>
      <c r="O701" t="n">
        <v>-1.873176729888718</v>
      </c>
      <c r="P701" s="143">
        <f>MAX($E$2:E701)</f>
        <v/>
      </c>
      <c r="Q701" s="144">
        <f>E701/P701-1</f>
        <v/>
      </c>
      <c r="R701" s="94" t="n">
        <v>0.009895399125662729</v>
      </c>
    </row>
    <row r="702">
      <c r="A702" s="375" t="n">
        <v>45484</v>
      </c>
      <c r="B702" s="376" t="n">
        <v>68.54594202506242</v>
      </c>
      <c r="C702" s="376" t="n">
        <v>69.53594823322183</v>
      </c>
      <c r="D702" s="376" t="n">
        <v>68.15937303649719</v>
      </c>
      <c r="E702" s="376" t="n">
        <v>69.19651794433594</v>
      </c>
      <c r="F702" s="93" t="n">
        <v>15876700</v>
      </c>
      <c r="G702" s="94" t="n">
        <v>0.01171776348960596</v>
      </c>
      <c r="H702" s="95" t="n">
        <v>51.22705204430349</v>
      </c>
      <c r="I702" s="376" t="n">
        <v>84.84582443237305</v>
      </c>
      <c r="J702" s="376" t="n">
        <v>93.13216793060303</v>
      </c>
      <c r="K702" s="94" t="n">
        <v>0.7350714121645791</v>
      </c>
      <c r="L702" s="94" t="n">
        <v>-0.2448034118930822</v>
      </c>
      <c r="M702" s="94" t="n">
        <v>-0.4007615202869558</v>
      </c>
      <c r="N702" t="n">
        <v>22.59550609993498</v>
      </c>
      <c r="O702" t="n">
        <v>-1.55426635909261</v>
      </c>
      <c r="P702" s="143">
        <f>MAX($E$2:E702)</f>
        <v/>
      </c>
      <c r="Q702" s="144">
        <f>E702/P702-1</f>
        <v/>
      </c>
      <c r="R702" s="94" t="n">
        <v>-0.008622551017755109</v>
      </c>
    </row>
    <row r="703">
      <c r="A703" s="375" t="n">
        <v>45485</v>
      </c>
      <c r="B703" s="376" t="n">
        <v>69.36623059071466</v>
      </c>
      <c r="C703" s="376" t="n">
        <v>69.81880669074849</v>
      </c>
      <c r="D703" s="376" t="n">
        <v>68.98908503959532</v>
      </c>
      <c r="E703" s="376" t="n">
        <v>69.22480010986328</v>
      </c>
      <c r="F703" s="93" t="n">
        <v>14527500</v>
      </c>
      <c r="G703" s="94" t="n">
        <v>0.0004087223803674878</v>
      </c>
      <c r="H703" s="95" t="n">
        <v>51.24798968695424</v>
      </c>
      <c r="I703" s="376" t="n">
        <v>84.49732696533204</v>
      </c>
      <c r="J703" s="376" t="n">
        <v>93.05577602386475</v>
      </c>
      <c r="K703" s="94" t="n">
        <v>0.7352024608527574</v>
      </c>
      <c r="L703" s="94" t="n">
        <v>-0.2444947461459458</v>
      </c>
      <c r="M703" s="94" t="n">
        <v>-0.4005165981091198</v>
      </c>
      <c r="N703" t="n">
        <v>22.70896863262209</v>
      </c>
      <c r="O703" t="n">
        <v>-1.236071963601195</v>
      </c>
      <c r="P703" s="143">
        <f>MAX($E$2:E703)</f>
        <v/>
      </c>
      <c r="Q703" s="144">
        <f>E703/P703-1</f>
        <v/>
      </c>
      <c r="R703" s="94" t="n">
        <v>0.006307192558692387</v>
      </c>
    </row>
    <row r="704">
      <c r="A704" s="375" t="n">
        <v>45488</v>
      </c>
      <c r="B704" s="376" t="n">
        <v>68.82879524677257</v>
      </c>
      <c r="C704" s="376" t="n">
        <v>68.83822586302787</v>
      </c>
      <c r="D704" s="376" t="n">
        <v>67.16935926501245</v>
      </c>
      <c r="E704" s="376" t="n">
        <v>67.23535919189453</v>
      </c>
      <c r="F704" s="93" t="n">
        <v>20775800</v>
      </c>
      <c r="G704" s="94" t="n">
        <v>-0.02873884669672433</v>
      </c>
      <c r="H704" s="95" t="n">
        <v>49.77518156782556</v>
      </c>
      <c r="I704" s="376" t="n">
        <v>84.14510574340821</v>
      </c>
      <c r="J704" s="376" t="n">
        <v>92.97144226074219</v>
      </c>
      <c r="K704" s="94" t="n">
        <v>0.7351413009702302</v>
      </c>
      <c r="L704" s="94" t="n">
        <v>-0.2662070958150272</v>
      </c>
      <c r="M704" s="94" t="n">
        <v>-0.4177450596932926</v>
      </c>
      <c r="N704" t="n">
        <v>20.4393332538628</v>
      </c>
      <c r="O704" t="n">
        <v>-1.060955718945983</v>
      </c>
      <c r="P704" s="143">
        <f>MAX($E$2:E704)</f>
        <v/>
      </c>
      <c r="Q704" s="144">
        <f>E704/P704-1</f>
        <v/>
      </c>
      <c r="R704" s="94" t="n">
        <v>0.002750182987610428</v>
      </c>
    </row>
    <row r="705">
      <c r="A705" s="375" t="n">
        <v>45489</v>
      </c>
      <c r="B705" s="376" t="n">
        <v>67.4239291060311</v>
      </c>
      <c r="C705" s="376" t="n">
        <v>68.79107340083891</v>
      </c>
      <c r="D705" s="376" t="n">
        <v>67.4239291060311</v>
      </c>
      <c r="E705" s="376" t="n">
        <v>68.64964294433594</v>
      </c>
      <c r="F705" s="93" t="n">
        <v>20980700</v>
      </c>
      <c r="G705" s="94" t="n">
        <v>0.02103482110365373</v>
      </c>
      <c r="H705" s="95" t="n">
        <v>50.82219360750665</v>
      </c>
      <c r="I705" s="376" t="n">
        <v>83.78228744506836</v>
      </c>
      <c r="J705" s="376" t="n">
        <v>92.89767749786377</v>
      </c>
      <c r="K705" s="94" t="n">
        <v>0.7447608471407168</v>
      </c>
      <c r="L705" s="94" t="n">
        <v>-0.2507718933483658</v>
      </c>
      <c r="M705" s="94" t="n">
        <v>-0.4054974311872224</v>
      </c>
      <c r="N705" t="n">
        <v>26.09426070101091</v>
      </c>
      <c r="O705" t="n">
        <v>-0.7650620808243094</v>
      </c>
      <c r="P705" s="143">
        <f>MAX($E$2:E705)</f>
        <v/>
      </c>
      <c r="Q705" s="144">
        <f>E705/P705-1</f>
        <v/>
      </c>
      <c r="R705" s="94" t="n">
        <v>0.005930340418450086</v>
      </c>
    </row>
    <row r="706">
      <c r="A706" s="375" t="n">
        <v>45490</v>
      </c>
      <c r="B706" s="376" t="n">
        <v>68.38565287986228</v>
      </c>
      <c r="C706" s="376" t="n">
        <v>69.14936738155534</v>
      </c>
      <c r="D706" s="376" t="n">
        <v>68.35736822327407</v>
      </c>
      <c r="E706" s="376" t="n">
        <v>68.89479827880859</v>
      </c>
      <c r="F706" s="93" t="n">
        <v>11161600</v>
      </c>
      <c r="G706" s="94" t="n">
        <v>0.003571108660702649</v>
      </c>
      <c r="H706" s="95" t="n">
        <v>51.00368518325432</v>
      </c>
      <c r="I706" s="376" t="n">
        <v>83.42925613403321</v>
      </c>
      <c r="J706" s="376" t="n">
        <v>92.82415924072265</v>
      </c>
      <c r="K706" s="94" t="n">
        <v>0.7394039386894935</v>
      </c>
      <c r="L706" s="94" t="n">
        <v>-0.2480963183678604</v>
      </c>
      <c r="M706" s="94" t="n">
        <v>-0.4033743979149251</v>
      </c>
      <c r="N706" t="n">
        <v>27.06202985377746</v>
      </c>
      <c r="O706" t="n">
        <v>-0.4818460588754547</v>
      </c>
      <c r="P706" s="143">
        <f>MAX($E$2:E706)</f>
        <v/>
      </c>
      <c r="Q706" s="144">
        <f>E706/P706-1</f>
        <v/>
      </c>
      <c r="R706" s="94" t="n">
        <v>-0.01402123471848749</v>
      </c>
    </row>
    <row r="707">
      <c r="A707" s="375" t="n">
        <v>45491</v>
      </c>
      <c r="B707" s="376" t="n">
        <v>68.80052354630432</v>
      </c>
      <c r="C707" s="376" t="n">
        <v>69.70566865403049</v>
      </c>
      <c r="D707" s="376" t="n">
        <v>68.2159475170951</v>
      </c>
      <c r="E707" s="376" t="n">
        <v>68.24423217773438</v>
      </c>
      <c r="F707" s="93" t="n">
        <v>14440100</v>
      </c>
      <c r="G707" s="94" t="n">
        <v>-0.009442891442129731</v>
      </c>
      <c r="H707" s="95" t="n">
        <v>50.52206292092028</v>
      </c>
      <c r="I707" s="376" t="n">
        <v>83.04048538208008</v>
      </c>
      <c r="J707" s="376" t="n">
        <v>92.7194535446167</v>
      </c>
      <c r="K707" s="94" t="n">
        <v>0.7386155920980297</v>
      </c>
      <c r="L707" s="94" t="n">
        <v>-0.2551964632084504</v>
      </c>
      <c r="M707" s="94" t="n">
        <v>-0.4090082687070098</v>
      </c>
      <c r="N707" t="n">
        <v>26.08584235835679</v>
      </c>
      <c r="O707" t="n">
        <v>-0.2774873978127346</v>
      </c>
      <c r="P707" s="143">
        <f>MAX($E$2:E707)</f>
        <v/>
      </c>
      <c r="Q707" s="144">
        <f>E707/P707-1</f>
        <v/>
      </c>
      <c r="R707" s="94" t="n">
        <v>-0.007684830624340222</v>
      </c>
    </row>
    <row r="708">
      <c r="A708" s="375" t="n">
        <v>45492</v>
      </c>
      <c r="B708" s="376" t="n">
        <v>68.16879824315865</v>
      </c>
      <c r="C708" s="376" t="n">
        <v>68.65908240293852</v>
      </c>
      <c r="D708" s="376" t="n">
        <v>67.74450681900123</v>
      </c>
      <c r="E708" s="376" t="n">
        <v>68.54593658447266</v>
      </c>
      <c r="F708" s="93" t="n">
        <v>11913300</v>
      </c>
      <c r="G708" s="94" t="n">
        <v>0.004420951003632378</v>
      </c>
      <c r="H708" s="95" t="n">
        <v>50.74541848569611</v>
      </c>
      <c r="I708" s="376" t="n">
        <v>82.64985946655274</v>
      </c>
      <c r="J708" s="376" t="n">
        <v>92.62119972229004</v>
      </c>
      <c r="K708" s="94" t="n">
        <v>0.737300355483405</v>
      </c>
      <c r="L708" s="94" t="n">
        <v>-0.2519037232649628</v>
      </c>
      <c r="M708" s="94" t="n">
        <v>-0.4063955232194116</v>
      </c>
      <c r="N708" t="n">
        <v>27.39388226537878</v>
      </c>
      <c r="O708" t="n">
        <v>-0.07186369249147884</v>
      </c>
      <c r="P708" s="143">
        <f>MAX($E$2:E708)</f>
        <v/>
      </c>
      <c r="Q708" s="144">
        <f>E708/P708-1</f>
        <v/>
      </c>
      <c r="R708" s="94" t="n">
        <v>-0.006640697294749476</v>
      </c>
    </row>
    <row r="709">
      <c r="A709" s="375" t="n">
        <v>45495</v>
      </c>
      <c r="B709" s="376" t="n">
        <v>68.94194469552306</v>
      </c>
      <c r="C709" s="376" t="n">
        <v>71.035088427025</v>
      </c>
      <c r="D709" s="376" t="n">
        <v>68.89479880521391</v>
      </c>
      <c r="E709" s="376" t="n">
        <v>70.58251953125</v>
      </c>
      <c r="F709" s="93" t="n">
        <v>19385500</v>
      </c>
      <c r="G709" s="94" t="n">
        <v>0.02971121335934424</v>
      </c>
      <c r="H709" s="95" t="n">
        <v>52.25312644133383</v>
      </c>
      <c r="I709" s="376" t="n">
        <v>82.30353393554688</v>
      </c>
      <c r="J709" s="376" t="n">
        <v>92.53065711975097</v>
      </c>
      <c r="K709" s="94" t="n">
        <v>0.7454416546441534</v>
      </c>
      <c r="L709" s="94" t="n">
        <v>-0.2296768751735572</v>
      </c>
      <c r="M709" s="94" t="n">
        <v>-0.3887588139587217</v>
      </c>
      <c r="N709" t="n">
        <v>35.66975325772009</v>
      </c>
      <c r="O709" t="n">
        <v>0.2346534709774666</v>
      </c>
      <c r="P709" s="143">
        <f>MAX($E$2:E709)</f>
        <v/>
      </c>
      <c r="Q709" s="144">
        <f>E709/P709-1</f>
        <v/>
      </c>
      <c r="R709" s="94" t="n">
        <v>0.0103097852941918</v>
      </c>
    </row>
    <row r="710">
      <c r="A710" s="375" t="n">
        <v>45496</v>
      </c>
      <c r="B710" s="376" t="n">
        <v>70.36564650914818</v>
      </c>
      <c r="C710" s="376" t="n">
        <v>70.75222260210286</v>
      </c>
      <c r="D710" s="376" t="n">
        <v>69.05507154868275</v>
      </c>
      <c r="E710" s="376" t="n">
        <v>69.2059326171875</v>
      </c>
      <c r="F710" s="93" t="n">
        <v>11041800</v>
      </c>
      <c r="G710" s="94" t="n">
        <v>-0.01950322719002717</v>
      </c>
      <c r="H710" s="95" t="n">
        <v>51.23402184495928</v>
      </c>
      <c r="I710" s="376" t="n">
        <v>81.93343322753907</v>
      </c>
      <c r="J710" s="376" t="n">
        <v>92.42950080871582</v>
      </c>
      <c r="K710" s="94" t="n">
        <v>0.7445937017526073</v>
      </c>
      <c r="L710" s="94" t="n">
        <v>-0.244700662086779</v>
      </c>
      <c r="M710" s="94" t="n">
        <v>-0.4006799896779863</v>
      </c>
      <c r="N710" t="n">
        <v>32.93693996191988</v>
      </c>
      <c r="O710" t="n">
        <v>0.3699852137201134</v>
      </c>
      <c r="P710" s="143">
        <f>MAX($E$2:E710)</f>
        <v/>
      </c>
      <c r="Q710" s="144">
        <f>E710/P710-1</f>
        <v/>
      </c>
      <c r="R710" s="94" t="n">
        <v>-0.00156833676237611</v>
      </c>
    </row>
    <row r="711">
      <c r="A711" s="375" t="n">
        <v>45497</v>
      </c>
      <c r="B711" s="376" t="n">
        <v>69.0645049296473</v>
      </c>
      <c r="C711" s="376" t="n">
        <v>69.19650477314931</v>
      </c>
      <c r="D711" s="376" t="n">
        <v>67.0185001619142</v>
      </c>
      <c r="E711" s="376" t="n">
        <v>67.02792358398438</v>
      </c>
      <c r="F711" s="93" t="n">
        <v>18563300</v>
      </c>
      <c r="G711" s="94" t="n">
        <v>-0.0314714208859922</v>
      </c>
      <c r="H711" s="95" t="n">
        <v>49.62161437979444</v>
      </c>
      <c r="I711" s="376" t="n">
        <v>81.56579315185547</v>
      </c>
      <c r="J711" s="376" t="n">
        <v>92.31792083740234</v>
      </c>
      <c r="K711" s="94" t="n">
        <v>0.7463789130096244</v>
      </c>
      <c r="L711" s="94" t="n">
        <v>-0.2684710054451572</v>
      </c>
      <c r="M711" s="94" t="n">
        <v>-0.4195414419682277</v>
      </c>
      <c r="N711" t="n">
        <v>29.13375812492963</v>
      </c>
      <c r="O711" t="n">
        <v>0.3389387790668144</v>
      </c>
      <c r="P711" s="143">
        <f>MAX($E$2:E711)</f>
        <v/>
      </c>
      <c r="Q711" s="144">
        <f>E711/P711-1</f>
        <v/>
      </c>
      <c r="R711" s="94" t="n">
        <v>-0.02266259474087284</v>
      </c>
    </row>
    <row r="712">
      <c r="A712" s="375" t="n">
        <v>45498</v>
      </c>
      <c r="B712" s="376" t="n">
        <v>67.44278950001089</v>
      </c>
      <c r="C712" s="376" t="n">
        <v>68.29136512555819</v>
      </c>
      <c r="D712" s="376" t="n">
        <v>66.85822077509692</v>
      </c>
      <c r="E712" s="376" t="n">
        <v>67.32965087890625</v>
      </c>
      <c r="F712" s="93" t="n">
        <v>13855400</v>
      </c>
      <c r="G712" s="94" t="n">
        <v>0.004501516364949332</v>
      </c>
      <c r="H712" s="95" t="n">
        <v>49.84498688898029</v>
      </c>
      <c r="I712" s="376" t="n">
        <v>81.17075241088867</v>
      </c>
      <c r="J712" s="376" t="n">
        <v>92.2016934967041</v>
      </c>
      <c r="K712" s="94" t="n">
        <v>0.7487594580761499</v>
      </c>
      <c r="L712" s="94" t="n">
        <v>-0.2651780157047336</v>
      </c>
      <c r="M712" s="94" t="n">
        <v>-0.4169284982700728</v>
      </c>
      <c r="N712" t="n">
        <v>30.33387923861196</v>
      </c>
      <c r="O712" t="n">
        <v>0.3627157008159481</v>
      </c>
      <c r="P712" s="143">
        <f>MAX($E$2:E712)</f>
        <v/>
      </c>
      <c r="Q712" s="144">
        <f>E712/P712-1</f>
        <v/>
      </c>
      <c r="R712" s="94" t="n">
        <v>-0.005210401360493</v>
      </c>
    </row>
    <row r="713">
      <c r="A713" s="375" t="n">
        <v>45499</v>
      </c>
      <c r="B713" s="376" t="n">
        <v>67.8859258274781</v>
      </c>
      <c r="C713" s="376" t="n">
        <v>68.62135553965686</v>
      </c>
      <c r="D713" s="376" t="n">
        <v>67.76335660659882</v>
      </c>
      <c r="E713" s="376" t="n">
        <v>68.41392517089844</v>
      </c>
      <c r="F713" s="93" t="n">
        <v>8892000</v>
      </c>
      <c r="G713" s="94" t="n">
        <v>0.01610396426891136</v>
      </c>
      <c r="H713" s="95" t="n">
        <v>50.64768877682479</v>
      </c>
      <c r="I713" s="376" t="n">
        <v>80.7960823059082</v>
      </c>
      <c r="J713" s="376" t="n">
        <v>92.09196018218994</v>
      </c>
      <c r="K713" s="94" t="n">
        <v>0.7541789760589869</v>
      </c>
      <c r="L713" s="94" t="n">
        <v>-0.2533444687256322</v>
      </c>
      <c r="M713" s="94" t="n">
        <v>-0.4075387356399935</v>
      </c>
      <c r="N713" t="n">
        <v>34.61884640250352</v>
      </c>
      <c r="O713" t="n">
        <v>0.4687220334541919</v>
      </c>
      <c r="P713" s="143">
        <f>MAX($E$2:E713)</f>
        <v/>
      </c>
      <c r="Q713" s="144">
        <f>E713/P713-1</f>
        <v/>
      </c>
      <c r="R713" s="94" t="n">
        <v>0.01119979357749612</v>
      </c>
    </row>
    <row r="714">
      <c r="A714" s="375" t="n">
        <v>45502</v>
      </c>
      <c r="B714" s="376" t="n">
        <v>68.35736782683941</v>
      </c>
      <c r="C714" s="376" t="n">
        <v>69.64908895334821</v>
      </c>
      <c r="D714" s="376" t="n">
        <v>68.07450687569205</v>
      </c>
      <c r="E714" s="376" t="n">
        <v>69.34737396240234</v>
      </c>
      <c r="F714" s="93" t="n">
        <v>10471800</v>
      </c>
      <c r="G714" s="94" t="n">
        <v>0.01364413442398082</v>
      </c>
      <c r="H714" s="95" t="n">
        <v>51.33873265075972</v>
      </c>
      <c r="I714" s="376" t="n">
        <v>80.46111907958985</v>
      </c>
      <c r="J714" s="376" t="n">
        <v>91.98344310760498</v>
      </c>
      <c r="K714" s="94" t="n">
        <v>0.2793491370977509</v>
      </c>
      <c r="L714" s="94" t="n">
        <v>-0.2431570002885159</v>
      </c>
      <c r="M714" s="94" t="n">
        <v>-0.3994551145080639</v>
      </c>
      <c r="N714" t="n">
        <v>38.14604078335326</v>
      </c>
      <c r="O714" t="n">
        <v>0.6100174972530166</v>
      </c>
      <c r="P714" s="143">
        <f>MAX($E$2:E714)</f>
        <v/>
      </c>
      <c r="Q714" s="144">
        <f>E714/P714-1</f>
        <v/>
      </c>
      <c r="R714" s="94" t="n">
        <v>0.0005876509321249834</v>
      </c>
    </row>
    <row r="715">
      <c r="A715" s="375" t="n">
        <v>45503</v>
      </c>
      <c r="B715" s="376" t="n">
        <v>69.47938009767734</v>
      </c>
      <c r="C715" s="376" t="n">
        <v>70.23366404645284</v>
      </c>
      <c r="D715" s="376" t="n">
        <v>69.26251905641415</v>
      </c>
      <c r="E715" s="376" t="n">
        <v>70.07337951660156</v>
      </c>
      <c r="F715" s="93" t="n">
        <v>8515700</v>
      </c>
      <c r="G715" s="94" t="n">
        <v>0.01046911386425142</v>
      </c>
      <c r="H715" s="95" t="n">
        <v>51.87620368852689</v>
      </c>
      <c r="I715" s="376" t="n">
        <v>80.13879760742188</v>
      </c>
      <c r="J715" s="376" t="n">
        <v>91.87375259399414</v>
      </c>
      <c r="K715" s="94" t="n">
        <v>0.2724088331197228</v>
      </c>
      <c r="L715" s="94" t="n">
        <v>-0.2352335247471747</v>
      </c>
      <c r="M715" s="94" t="n">
        <v>-0.393167941721255</v>
      </c>
      <c r="N715" t="n">
        <v>40.8201833610575</v>
      </c>
      <c r="O715" t="n">
        <v>0.7513956670575386</v>
      </c>
      <c r="P715" s="143">
        <f>MAX($E$2:E715)</f>
        <v/>
      </c>
      <c r="Q715" s="144">
        <f>E715/P715-1</f>
        <v/>
      </c>
      <c r="R715" s="94" t="n">
        <v>-0.005066374868738621</v>
      </c>
    </row>
    <row r="716">
      <c r="A716" s="375" t="n">
        <v>45504</v>
      </c>
      <c r="B716" s="376" t="n">
        <v>70.24308926269229</v>
      </c>
      <c r="C716" s="376" t="n">
        <v>71.11994959089087</v>
      </c>
      <c r="D716" s="376" t="n">
        <v>69.69622858629901</v>
      </c>
      <c r="E716" s="376" t="n">
        <v>70.58251953125</v>
      </c>
      <c r="F716" s="93" t="n">
        <v>14632900</v>
      </c>
      <c r="G716" s="94" t="n">
        <v>0.007265812183752551</v>
      </c>
      <c r="H716" s="95" t="n">
        <v>52.25312644133382</v>
      </c>
      <c r="I716" s="376" t="n">
        <v>79.81895736694337</v>
      </c>
      <c r="J716" s="376" t="n">
        <v>91.7638097000122</v>
      </c>
      <c r="K716" s="94" t="n">
        <v>0.2720426804966304</v>
      </c>
      <c r="L716" s="94" t="n">
        <v>-0.2296768751735574</v>
      </c>
      <c r="M716" s="94" t="n">
        <v>-0.3887588139587217</v>
      </c>
      <c r="N716" t="n">
        <v>42.69137811451474</v>
      </c>
      <c r="O716" t="n">
        <v>0.8698619632930118</v>
      </c>
      <c r="P716" s="143">
        <f>MAX($E$2:E716)</f>
        <v/>
      </c>
      <c r="Q716" s="144">
        <f>E716/P716-1</f>
        <v/>
      </c>
      <c r="R716" s="94" t="n">
        <v>0.01625464751569905</v>
      </c>
    </row>
    <row r="717">
      <c r="A717" s="375" t="n">
        <v>45505</v>
      </c>
      <c r="B717" s="376" t="n">
        <v>70.43166360453375</v>
      </c>
      <c r="C717" s="376" t="n">
        <v>70.51652477462582</v>
      </c>
      <c r="D717" s="376" t="n">
        <v>69.07394962414156</v>
      </c>
      <c r="E717" s="376" t="n">
        <v>69.63023376464844</v>
      </c>
      <c r="F717" s="93" t="n">
        <v>9563500</v>
      </c>
      <c r="G717" s="94" t="n">
        <v>-0.01349180750313039</v>
      </c>
      <c r="H717" s="95" t="n">
        <v>51.54813731795061</v>
      </c>
      <c r="I717" s="376" t="n">
        <v>79.48777297973633</v>
      </c>
      <c r="J717" s="376" t="n">
        <v>91.64602741241455</v>
      </c>
      <c r="K717" s="94" t="n">
        <v>0.2736732880814066</v>
      </c>
      <c r="L717" s="94" t="n">
        <v>-0.2400699264889256</v>
      </c>
      <c r="M717" s="94" t="n">
        <v>-0.3970055623787757</v>
      </c>
      <c r="N717" t="n">
        <v>40.13523076000646</v>
      </c>
      <c r="O717" t="n">
        <v>0.8725099714756142</v>
      </c>
      <c r="P717" s="143">
        <f>MAX($E$2:E717)</f>
        <v/>
      </c>
      <c r="Q717" s="144">
        <f>E717/P717-1</f>
        <v/>
      </c>
      <c r="R717" s="94" t="n">
        <v>-0.0141610098323447</v>
      </c>
    </row>
    <row r="718">
      <c r="A718" s="375" t="n">
        <v>45506</v>
      </c>
      <c r="B718" s="376" t="n">
        <v>68.66850688160436</v>
      </c>
      <c r="C718" s="376" t="n">
        <v>69.89422076822056</v>
      </c>
      <c r="D718" s="376" t="n">
        <v>67.81050068686612</v>
      </c>
      <c r="E718" s="376" t="n">
        <v>69.78108215332031</v>
      </c>
      <c r="F718" s="93" t="n">
        <v>11526600</v>
      </c>
      <c r="G718" s="94" t="n">
        <v>0.002166420827793614</v>
      </c>
      <c r="H718" s="95" t="n">
        <v>51.65981227627019</v>
      </c>
      <c r="I718" s="376" t="n">
        <v>79.13988235473633</v>
      </c>
      <c r="J718" s="376" t="n">
        <v>91.51906604766846</v>
      </c>
      <c r="K718" s="94" t="n">
        <v>0.2736185892862019</v>
      </c>
      <c r="L718" s="94" t="n">
        <v>-0.2384235981500044</v>
      </c>
      <c r="M718" s="94" t="n">
        <v>-0.3956992226700693</v>
      </c>
      <c r="N718" t="n">
        <v>40.74051815109053</v>
      </c>
      <c r="O718" t="n">
        <v>0.8708373254666233</v>
      </c>
      <c r="P718" s="143">
        <f>MAX($E$2:E718)</f>
        <v/>
      </c>
      <c r="Q718" s="144">
        <f>E718/P718-1</f>
        <v/>
      </c>
      <c r="R718" s="94" t="n">
        <v>-0.01861846558310121</v>
      </c>
    </row>
    <row r="719">
      <c r="A719" s="375" t="n">
        <v>45509</v>
      </c>
      <c r="B719" s="376" t="n">
        <v>66.99963534564395</v>
      </c>
      <c r="C719" s="376" t="n">
        <v>68.47050196995454</v>
      </c>
      <c r="D719" s="376" t="n">
        <v>66.70735102116596</v>
      </c>
      <c r="E719" s="376" t="n">
        <v>67.33906555175781</v>
      </c>
      <c r="F719" s="93" t="n">
        <v>13191500</v>
      </c>
      <c r="G719" s="94" t="n">
        <v>-0.03499539597561696</v>
      </c>
      <c r="H719" s="95" t="n">
        <v>49.85195668963608</v>
      </c>
      <c r="I719" s="376" t="n">
        <v>78.74916213989258</v>
      </c>
      <c r="J719" s="376" t="n">
        <v>91.37537101745606</v>
      </c>
      <c r="K719" s="94" t="n">
        <v>0.2789701156925613</v>
      </c>
      <c r="L719" s="94" t="n">
        <v>-0.2650752658984306</v>
      </c>
      <c r="M719" s="94" t="n">
        <v>-0.4168469676611034</v>
      </c>
      <c r="N719" t="n">
        <v>34.63529161919057</v>
      </c>
      <c r="O719" t="n">
        <v>0.6990888592946698</v>
      </c>
      <c r="P719" s="143">
        <f>MAX($E$2:E719)</f>
        <v/>
      </c>
      <c r="Q719" s="144">
        <f>E719/P719-1</f>
        <v/>
      </c>
      <c r="R719" s="94" t="n">
        <v>-0.02912361352436466</v>
      </c>
    </row>
    <row r="720">
      <c r="A720" s="375" t="n">
        <v>45510</v>
      </c>
      <c r="B720" s="376" t="n">
        <v>67.56536930810724</v>
      </c>
      <c r="C720" s="376" t="n">
        <v>69.05508304358509</v>
      </c>
      <c r="D720" s="376" t="n">
        <v>67.42393883120445</v>
      </c>
      <c r="E720" s="376" t="n">
        <v>68.35736846923828</v>
      </c>
      <c r="F720" s="93" t="n">
        <v>13469700</v>
      </c>
      <c r="G720" s="94" t="n">
        <v>0.01512202328821721</v>
      </c>
      <c r="H720" s="95" t="n">
        <v>50.60581913965995</v>
      </c>
      <c r="I720" s="376" t="n">
        <v>78.39947006225586</v>
      </c>
      <c r="J720" s="376" t="n">
        <v>91.23322322845459</v>
      </c>
      <c r="K720" s="94" t="n">
        <v>0.2832636247191483</v>
      </c>
      <c r="L720" s="94" t="n">
        <v>-0.2539617169542597</v>
      </c>
      <c r="M720" s="94" t="n">
        <v>-0.4080285139254801</v>
      </c>
      <c r="N720" t="n">
        <v>38.75671091950536</v>
      </c>
      <c r="O720" t="n">
        <v>0.6489796452048675</v>
      </c>
      <c r="P720" s="143">
        <f>MAX($E$2:E720)</f>
        <v/>
      </c>
      <c r="Q720" s="144">
        <f>E720/P720-1</f>
        <v/>
      </c>
      <c r="R720" s="94" t="n">
        <v>0.009219378757887364</v>
      </c>
    </row>
    <row r="721">
      <c r="A721" s="375" t="n">
        <v>45511</v>
      </c>
      <c r="B721" s="376" t="n">
        <v>68.7156432135759</v>
      </c>
      <c r="C721" s="376" t="n">
        <v>69.96964890430567</v>
      </c>
      <c r="D721" s="376" t="n">
        <v>68.38564360902907</v>
      </c>
      <c r="E721" s="376" t="n">
        <v>68.47050476074219</v>
      </c>
      <c r="F721" s="93" t="n">
        <v>9571200</v>
      </c>
      <c r="G721" s="94" t="n">
        <v>0.001655070902192746</v>
      </c>
      <c r="H721" s="95" t="n">
        <v>50.68957535839963</v>
      </c>
      <c r="I721" s="376" t="n">
        <v>78.04546661376953</v>
      </c>
      <c r="J721" s="376" t="n">
        <v>91.0949988937378</v>
      </c>
      <c r="K721" s="94" t="n">
        <v>0.2832942169557065</v>
      </c>
      <c r="L721" s="94" t="n">
        <v>-0.2527269707000689</v>
      </c>
      <c r="M721" s="94" t="n">
        <v>-0.4070487591439503</v>
      </c>
      <c r="N721" t="n">
        <v>39.21528289107855</v>
      </c>
      <c r="O721" t="n">
        <v>0.6184935902583275</v>
      </c>
      <c r="P721" s="143">
        <f>MAX($E$2:E721)</f>
        <v/>
      </c>
      <c r="Q721" s="144">
        <f>E721/P721-1</f>
        <v/>
      </c>
      <c r="R721" s="94" t="n">
        <v>-0.006683789640410942</v>
      </c>
    </row>
    <row r="722">
      <c r="A722" s="375" t="n">
        <v>45512</v>
      </c>
      <c r="B722" s="376" t="n">
        <v>69.04566066897155</v>
      </c>
      <c r="C722" s="376" t="n">
        <v>69.96965970432456</v>
      </c>
      <c r="D722" s="376" t="n">
        <v>68.87594553280118</v>
      </c>
      <c r="E722" s="376" t="n">
        <v>69.9508056640625</v>
      </c>
      <c r="F722" s="93" t="n">
        <v>8828000</v>
      </c>
      <c r="G722" s="94" t="n">
        <v>0.02161954126806798</v>
      </c>
      <c r="H722" s="95" t="n">
        <v>51.78546072472139</v>
      </c>
      <c r="I722" s="376" t="n">
        <v>77.71637298583984</v>
      </c>
      <c r="J722" s="376" t="n">
        <v>90.9659481048584</v>
      </c>
      <c r="K722" s="94" t="n">
        <v>0.2907133546927897</v>
      </c>
      <c r="L722" s="94" t="n">
        <v>-0.2365712706046049</v>
      </c>
      <c r="M722" s="94" t="n">
        <v>-0.3942294253223109</v>
      </c>
      <c r="N722" t="n">
        <v>45.01643972157723</v>
      </c>
      <c r="O722" t="n">
        <v>0.6877446602548414</v>
      </c>
      <c r="P722" s="143">
        <f>MAX($E$2:E722)</f>
        <v/>
      </c>
      <c r="Q722" s="144">
        <f>E722/P722-1</f>
        <v/>
      </c>
      <c r="R722" s="94" t="n">
        <v>0.02311716055935253</v>
      </c>
    </row>
    <row r="723">
      <c r="A723" s="375" t="n">
        <v>45513</v>
      </c>
      <c r="B723" s="376" t="n">
        <v>69.88480852550535</v>
      </c>
      <c r="C723" s="376" t="n">
        <v>70.31852340339319</v>
      </c>
      <c r="D723" s="376" t="n">
        <v>69.17766329544739</v>
      </c>
      <c r="E723" s="376" t="n">
        <v>70.09223175048828</v>
      </c>
      <c r="F723" s="93" t="n">
        <v>7186600</v>
      </c>
      <c r="G723" s="94" t="n">
        <v>0.002021793531656879</v>
      </c>
      <c r="H723" s="95" t="n">
        <v>51.8901602342485</v>
      </c>
      <c r="I723" s="376" t="n">
        <v>77.3963069152832</v>
      </c>
      <c r="J723" s="376" t="n">
        <v>90.83695167541504</v>
      </c>
      <c r="K723" s="94" t="n">
        <v>0.2907481171271241</v>
      </c>
      <c r="L723" s="94" t="n">
        <v>-0.2350277753376323</v>
      </c>
      <c r="M723" s="94" t="n">
        <v>-0.3930046822927594</v>
      </c>
      <c r="N723" t="n">
        <v>45.55109463547198</v>
      </c>
      <c r="O723" t="n">
        <v>0.7288674002596096</v>
      </c>
      <c r="P723" s="143">
        <f>MAX($E$2:E723)</f>
        <v/>
      </c>
      <c r="Q723" s="144">
        <f>E723/P723-1</f>
        <v/>
      </c>
      <c r="R723" s="94" t="n">
        <v>0.0044097841495645</v>
      </c>
    </row>
    <row r="724">
      <c r="A724" s="375" t="n">
        <v>45516</v>
      </c>
      <c r="B724" s="376" t="n">
        <v>70.44106857572488</v>
      </c>
      <c r="C724" s="376" t="n">
        <v>70.71449883443212</v>
      </c>
      <c r="D724" s="376" t="n">
        <v>69.8187847265763</v>
      </c>
      <c r="E724" s="376" t="n">
        <v>70.37506866455078</v>
      </c>
      <c r="F724" s="93" t="n">
        <v>7067300</v>
      </c>
      <c r="G724" s="94" t="n">
        <v>0.004035210564693248</v>
      </c>
      <c r="H724" s="95" t="n">
        <v>52.09954795702937</v>
      </c>
      <c r="I724" s="376" t="n">
        <v>77.04846221923827</v>
      </c>
      <c r="J724" s="376" t="n">
        <v>90.69831676483155</v>
      </c>
      <c r="K724" s="94" t="n">
        <v>0.2690778554298286</v>
      </c>
      <c r="L724" s="94" t="n">
        <v>-0.2319409513349778</v>
      </c>
      <c r="M724" s="94" t="n">
        <v>-0.3905553283740278</v>
      </c>
      <c r="N724" t="n">
        <v>46.66800868663675</v>
      </c>
      <c r="O724" t="n">
        <v>0.7575673983971059</v>
      </c>
      <c r="P724" s="143">
        <f>MAX($E$2:E724)</f>
        <v/>
      </c>
      <c r="Q724" s="144">
        <f>E724/P724-1</f>
        <v/>
      </c>
      <c r="R724" s="94" t="n">
        <v>0.0005254170960922178</v>
      </c>
    </row>
    <row r="725">
      <c r="A725" s="375" t="n">
        <v>45517</v>
      </c>
      <c r="B725" s="376" t="n">
        <v>70.95022337603721</v>
      </c>
      <c r="C725" s="376" t="n">
        <v>74.53309467639389</v>
      </c>
      <c r="D725" s="376" t="n">
        <v>70.78050826826343</v>
      </c>
      <c r="E725" s="376" t="n">
        <v>74.01451873779297</v>
      </c>
      <c r="F725" s="93" t="n">
        <v>22114800</v>
      </c>
      <c r="G725" s="94" t="n">
        <v>0.05171504827355777</v>
      </c>
      <c r="H725" s="95" t="n">
        <v>54.79387859465768</v>
      </c>
      <c r="I725" s="376" t="n">
        <v>76.74335205078125</v>
      </c>
      <c r="J725" s="376" t="n">
        <v>90.58552730560302</v>
      </c>
      <c r="K725" s="94" t="n">
        <v>0.3152947713586918</v>
      </c>
      <c r="L725" s="94" t="n">
        <v>-0.1922207405563232</v>
      </c>
      <c r="M725" s="94" t="n">
        <v>-0.3590378677608281</v>
      </c>
      <c r="N725" t="n">
        <v>58.47257345387268</v>
      </c>
      <c r="O725" t="n">
        <v>0.9894611220912157</v>
      </c>
      <c r="P725" s="143">
        <f>MAX($E$2:E725)</f>
        <v/>
      </c>
      <c r="Q725" s="144">
        <f>E725/P725-1</f>
        <v/>
      </c>
      <c r="R725" s="94" t="n">
        <v>0.01644557530091073</v>
      </c>
    </row>
    <row r="726">
      <c r="A726" s="375" t="n">
        <v>45518</v>
      </c>
      <c r="B726" s="376" t="n">
        <v>73.54308689085933</v>
      </c>
      <c r="C726" s="376" t="n">
        <v>74.57080093429791</v>
      </c>
      <c r="D726" s="376" t="n">
        <v>72.99622631319123</v>
      </c>
      <c r="E726" s="376" t="n">
        <v>74.03337097167969</v>
      </c>
      <c r="F726" s="93" t="n">
        <v>13613000</v>
      </c>
      <c r="G726" s="94" t="n">
        <v>0.0002547099435112887</v>
      </c>
      <c r="H726" s="95" t="n">
        <v>54.80783514037929</v>
      </c>
      <c r="I726" s="376" t="n">
        <v>76.44389938354492</v>
      </c>
      <c r="J726" s="376" t="n">
        <v>90.48924774169922</v>
      </c>
      <c r="K726" s="94" t="n">
        <v>0.3155680996942443</v>
      </c>
      <c r="L726" s="94" t="n">
        <v>-0.1920149911467809</v>
      </c>
      <c r="M726" s="94" t="n">
        <v>-0.3588746083323326</v>
      </c>
      <c r="N726" t="n">
        <v>58.52378560598953</v>
      </c>
      <c r="O726" t="n">
        <v>1.103243206489743</v>
      </c>
      <c r="P726" s="143">
        <f>MAX($E$2:E726)</f>
        <v/>
      </c>
      <c r="Q726" s="144">
        <f>E726/P726-1</f>
        <v/>
      </c>
      <c r="R726" s="94" t="n">
        <v>0.003154640840673739</v>
      </c>
    </row>
    <row r="727">
      <c r="A727" s="375" t="n">
        <v>45519</v>
      </c>
      <c r="B727" s="376" t="n">
        <v>77.4088194545683</v>
      </c>
      <c r="C727" s="376" t="n">
        <v>78.31396436550175</v>
      </c>
      <c r="D727" s="376" t="n">
        <v>76.06052910742265</v>
      </c>
      <c r="E727" s="376" t="n">
        <v>77.78596496582031</v>
      </c>
      <c r="F727" s="93" t="n">
        <v>23583600</v>
      </c>
      <c r="G727" s="94" t="n">
        <v>0.05068787149481713</v>
      </c>
      <c r="H727" s="95" t="n">
        <v>57.58592764488396</v>
      </c>
      <c r="I727" s="376" t="n">
        <v>76.21308715820312</v>
      </c>
      <c r="J727" s="376" t="n">
        <v>90.42124477386474</v>
      </c>
      <c r="K727" s="94" t="n">
        <v>0.3521844980798488</v>
      </c>
      <c r="L727" s="94" t="n">
        <v>-0.1510599508482902</v>
      </c>
      <c r="M727" s="94" t="n">
        <v>-0.3263773268674176</v>
      </c>
      <c r="N727" t="n">
        <v>67.1958144111403</v>
      </c>
      <c r="O727" t="n">
        <v>1.372794720707458</v>
      </c>
      <c r="P727" s="143">
        <f>MAX($E$2:E727)</f>
        <v/>
      </c>
      <c r="Q727" s="144">
        <f>E727/P727-1</f>
        <v/>
      </c>
      <c r="R727" s="94" t="n">
        <v>0.01714022354239053</v>
      </c>
    </row>
    <row r="728">
      <c r="A728" s="375" t="n">
        <v>45520</v>
      </c>
      <c r="B728" s="376" t="n">
        <v>78.14425159467604</v>
      </c>
      <c r="C728" s="376" t="n">
        <v>79.14368830856181</v>
      </c>
      <c r="D728" s="376" t="n">
        <v>77.72939799393248</v>
      </c>
      <c r="E728" s="376" t="n">
        <v>78.47425842285156</v>
      </c>
      <c r="F728" s="93" t="n">
        <v>13794200</v>
      </c>
      <c r="G728" s="94" t="n">
        <v>0.008848555871662667</v>
      </c>
      <c r="H728" s="95" t="n">
        <v>58.09547994307124</v>
      </c>
      <c r="I728" s="376" t="n">
        <v>76.00396087646484</v>
      </c>
      <c r="J728" s="376" t="n">
        <v>90.33886856079101</v>
      </c>
      <c r="K728" s="94" t="n">
        <v>0.3521390472418626</v>
      </c>
      <c r="L728" s="94" t="n">
        <v>-0.1435480573916792</v>
      </c>
      <c r="M728" s="94" t="n">
        <v>-0.3204167390077852</v>
      </c>
      <c r="N728" t="n">
        <v>68.49688783484861</v>
      </c>
      <c r="O728" t="n">
        <v>1.527163781622605</v>
      </c>
      <c r="P728" s="143">
        <f>MAX($E$2:E728)</f>
        <v/>
      </c>
      <c r="Q728" s="144">
        <f>E728/P728-1</f>
        <v/>
      </c>
      <c r="R728" s="94" t="n">
        <v>0.002242125296502806</v>
      </c>
    </row>
    <row r="729">
      <c r="A729" s="375" t="n">
        <v>45523</v>
      </c>
      <c r="B729" s="376" t="n">
        <v>78.47424650561354</v>
      </c>
      <c r="C729" s="376" t="n">
        <v>79.19081497692055</v>
      </c>
      <c r="D729" s="376" t="n">
        <v>78.18195499343032</v>
      </c>
      <c r="E729" s="376" t="n">
        <v>78.52138519287109</v>
      </c>
      <c r="F729" s="93" t="n">
        <v>9627300</v>
      </c>
      <c r="G729" s="94" t="n">
        <v>0.0006005379466678118</v>
      </c>
      <c r="H729" s="95" t="n">
        <v>58.13036848330692</v>
      </c>
      <c r="I729" s="376" t="n">
        <v>75.76937683105469</v>
      </c>
      <c r="J729" s="376" t="n">
        <v>90.25220436096191</v>
      </c>
      <c r="K729" s="94" t="n">
        <v>0.3422804030532771</v>
      </c>
      <c r="L729" s="94" t="n">
        <v>-0.1430337255006456</v>
      </c>
      <c r="M729" s="94" t="n">
        <v>-0.3200086234716392</v>
      </c>
      <c r="N729" t="n">
        <v>68.58874995885728</v>
      </c>
      <c r="O729" t="n">
        <v>1.556847955752096</v>
      </c>
      <c r="P729" s="143">
        <f>MAX($E$2:E729)</f>
        <v/>
      </c>
      <c r="Q729" s="144">
        <f>E729/P729-1</f>
        <v/>
      </c>
      <c r="R729" s="94" t="n">
        <v>0.00956144497064515</v>
      </c>
    </row>
    <row r="730">
      <c r="A730" s="375" t="n">
        <v>45524</v>
      </c>
      <c r="B730" s="376" t="n">
        <v>78.71939283769019</v>
      </c>
      <c r="C730" s="376" t="n">
        <v>79.10596895660618</v>
      </c>
      <c r="D730" s="376" t="n">
        <v>78.0405323707319</v>
      </c>
      <c r="E730" s="376" t="n">
        <v>78.78539276123047</v>
      </c>
      <c r="F730" s="93" t="n">
        <v>7863100</v>
      </c>
      <c r="G730" s="94" t="n">
        <v>0.003362237786698419</v>
      </c>
      <c r="H730" s="95" t="n">
        <v>58.32581660477621</v>
      </c>
      <c r="I730" s="376" t="n">
        <v>75.52442169189453</v>
      </c>
      <c r="J730" s="376" t="n">
        <v>90.17567432403564</v>
      </c>
      <c r="K730" s="94" t="n">
        <v>0.3294544919711879</v>
      </c>
      <c r="L730" s="94" t="n">
        <v>-0.1401524011105977</v>
      </c>
      <c r="M730" s="94" t="n">
        <v>-0.3177223307708464</v>
      </c>
      <c r="N730" t="n">
        <v>69.13178508653101</v>
      </c>
      <c r="O730" t="n">
        <v>1.517118419401202</v>
      </c>
      <c r="P730" s="143">
        <f>MAX($E$2:E730)</f>
        <v/>
      </c>
      <c r="Q730" s="144">
        <f>E730/P730-1</f>
        <v/>
      </c>
      <c r="R730" s="94" t="n">
        <v>-0.001625957111981435</v>
      </c>
    </row>
    <row r="731">
      <c r="A731" s="375" t="n">
        <v>45525</v>
      </c>
      <c r="B731" s="376" t="n">
        <v>78.88911075700474</v>
      </c>
      <c r="C731" s="376" t="n">
        <v>79.42654078019717</v>
      </c>
      <c r="D731" s="376" t="n">
        <v>78.46482654680898</v>
      </c>
      <c r="E731" s="376" t="n">
        <v>79.20025634765625</v>
      </c>
      <c r="F731" s="93" t="n">
        <v>6915900</v>
      </c>
      <c r="G731" s="94" t="n">
        <v>0.005265742441407539</v>
      </c>
      <c r="H731" s="95" t="n">
        <v>58.63294533270172</v>
      </c>
      <c r="I731" s="376" t="n">
        <v>75.29813522338867</v>
      </c>
      <c r="J731" s="376" t="n">
        <v>90.08163173675537</v>
      </c>
      <c r="K731" s="94" t="n">
        <v>0.2972234056532143</v>
      </c>
      <c r="L731" s="94" t="n">
        <v>-0.1356246651159835</v>
      </c>
      <c r="M731" s="94" t="n">
        <v>-0.3141296322911619</v>
      </c>
      <c r="N731" t="n">
        <v>70.00919875674154</v>
      </c>
      <c r="O731" t="n">
        <v>1.442133860920218</v>
      </c>
      <c r="P731" s="143">
        <f>MAX($E$2:E731)</f>
        <v/>
      </c>
      <c r="Q731" s="144">
        <f>E731/P731-1</f>
        <v/>
      </c>
      <c r="R731" s="94" t="n">
        <v>0.003436248129604191</v>
      </c>
    </row>
    <row r="732">
      <c r="A732" s="375" t="n">
        <v>45526</v>
      </c>
      <c r="B732" s="376" t="n">
        <v>79.62453487700708</v>
      </c>
      <c r="C732" s="376" t="n">
        <v>79.84139587141554</v>
      </c>
      <c r="D732" s="376" t="n">
        <v>78.4553903332643</v>
      </c>
      <c r="E732" s="376" t="n">
        <v>78.64396667480469</v>
      </c>
      <c r="F732" s="93" t="n">
        <v>8485500</v>
      </c>
      <c r="G732" s="94" t="n">
        <v>-0.007023836771558933</v>
      </c>
      <c r="H732" s="95" t="n">
        <v>58.22111709524908</v>
      </c>
      <c r="I732" s="376" t="n">
        <v>75.06317428588868</v>
      </c>
      <c r="J732" s="376" t="n">
        <v>89.97557388305664</v>
      </c>
      <c r="K732" s="94" t="n">
        <v>0.3020776734385764</v>
      </c>
      <c r="L732" s="94" t="n">
        <v>-0.1416958963775704</v>
      </c>
      <c r="M732" s="94" t="n">
        <v>-0.3189470738003978</v>
      </c>
      <c r="N732" t="n">
        <v>67.24888571447227</v>
      </c>
      <c r="O732" t="n">
        <v>1.283719305034341</v>
      </c>
      <c r="P732" s="143">
        <f>MAX($E$2:E732)</f>
        <v/>
      </c>
      <c r="Q732" s="144">
        <f>E732/P732-1</f>
        <v/>
      </c>
      <c r="R732" s="94" t="n">
        <v>-0.007848452732646449</v>
      </c>
    </row>
    <row r="733">
      <c r="A733" s="375" t="n">
        <v>45527</v>
      </c>
      <c r="B733" s="376" t="n">
        <v>78.57797647053434</v>
      </c>
      <c r="C733" s="376" t="n">
        <v>79.42655220645388</v>
      </c>
      <c r="D733" s="376" t="n">
        <v>78.46483783471402</v>
      </c>
      <c r="E733" s="376" t="n">
        <v>79.24741363525391</v>
      </c>
      <c r="F733" s="93" t="n">
        <v>9219700</v>
      </c>
      <c r="G733" s="94" t="n">
        <v>0.007673150096109582</v>
      </c>
      <c r="H733" s="95" t="n">
        <v>58.6678564654841</v>
      </c>
      <c r="I733" s="376" t="n">
        <v>74.88157943725587</v>
      </c>
      <c r="J733" s="376" t="n">
        <v>89.87164726257325</v>
      </c>
      <c r="K733" s="94" t="n">
        <v>0.3005438825430767</v>
      </c>
      <c r="L733" s="94" t="n">
        <v>-0.1351100001623688</v>
      </c>
      <c r="M733" s="94" t="n">
        <v>-0.3137212524742736</v>
      </c>
      <c r="N733" t="n">
        <v>68.69098583490008</v>
      </c>
      <c r="O733" t="n">
        <v>1.152402622485012</v>
      </c>
      <c r="P733" s="143">
        <f>MAX($E$2:E733)</f>
        <v/>
      </c>
      <c r="Q733" s="144">
        <f>E733/P733-1</f>
        <v/>
      </c>
      <c r="R733" s="94" t="n">
        <v>0.01062553475071693</v>
      </c>
    </row>
    <row r="734">
      <c r="A734" s="375" t="n">
        <v>45530</v>
      </c>
      <c r="B734" s="376" t="n">
        <v>78.70055694076514</v>
      </c>
      <c r="C734" s="376" t="n">
        <v>79.68113259757497</v>
      </c>
      <c r="D734" s="376" t="n">
        <v>78.61569576610802</v>
      </c>
      <c r="E734" s="376" t="n">
        <v>79.46427154541016</v>
      </c>
      <c r="F734" s="93" t="n">
        <v>7853300</v>
      </c>
      <c r="G734" s="94" t="n">
        <v>0.002736466721227737</v>
      </c>
      <c r="H734" s="95" t="n">
        <v>58.82839910230766</v>
      </c>
      <c r="I734" s="376" t="n">
        <v>74.69489334106446</v>
      </c>
      <c r="J734" s="376" t="n">
        <v>89.75896480560303</v>
      </c>
      <c r="K734" s="94" t="n">
        <v>0.3001015735002674</v>
      </c>
      <c r="L734" s="94" t="n">
        <v>-0.1327432574602906</v>
      </c>
      <c r="M734" s="94" t="n">
        <v>-0.3118432735201835</v>
      </c>
      <c r="N734" t="n">
        <v>69.21557726822991</v>
      </c>
      <c r="O734" t="n">
        <v>1.017656430728868</v>
      </c>
      <c r="P734" s="143">
        <f>MAX($E$2:E734)</f>
        <v/>
      </c>
      <c r="Q734" s="144">
        <f>E734/P734-1</f>
        <v/>
      </c>
      <c r="R734" s="94" t="n">
        <v>-0.002383933259228477</v>
      </c>
    </row>
    <row r="735">
      <c r="A735" s="375" t="n">
        <v>45531</v>
      </c>
      <c r="B735" s="376" t="n">
        <v>79.26625153362443</v>
      </c>
      <c r="C735" s="376" t="n">
        <v>80.5108266283557</v>
      </c>
      <c r="D735" s="376" t="n">
        <v>78.83253673325086</v>
      </c>
      <c r="E735" s="376" t="n">
        <v>80.41654205322266</v>
      </c>
      <c r="F735" s="93" t="n">
        <v>14954000</v>
      </c>
      <c r="G735" s="94" t="n">
        <v>0.01198363099910038</v>
      </c>
      <c r="H735" s="95" t="n">
        <v>59.53337692941753</v>
      </c>
      <c r="I735" s="376" t="n">
        <v>74.54214981079102</v>
      </c>
      <c r="J735" s="376" t="n">
        <v>89.65090381622315</v>
      </c>
      <c r="K735" s="94" t="n">
        <v>0.3003818395171275</v>
      </c>
      <c r="L735" s="94" t="n">
        <v>-0.1223503726762127</v>
      </c>
      <c r="M735" s="94" t="n">
        <v>-0.3035966572405007</v>
      </c>
      <c r="N735" t="n">
        <v>71.47572180852087</v>
      </c>
      <c r="O735" t="n">
        <v>0.932437176140017</v>
      </c>
      <c r="P735" s="143">
        <f>MAX($E$2:E735)</f>
        <v/>
      </c>
      <c r="Q735" s="144">
        <f>E735/P735-1</f>
        <v/>
      </c>
      <c r="R735" s="94" t="n">
        <v>0.001373241438406447</v>
      </c>
    </row>
    <row r="736">
      <c r="A736" s="375" t="n">
        <v>45532</v>
      </c>
      <c r="B736" s="376" t="n">
        <v>80.19026868607351</v>
      </c>
      <c r="C736" s="376" t="n">
        <v>80.54855299833876</v>
      </c>
      <c r="D736" s="376" t="n">
        <v>77.20139616891927</v>
      </c>
      <c r="E736" s="376" t="n">
        <v>78.05940246582031</v>
      </c>
      <c r="F736" s="93" t="n">
        <v>11088600</v>
      </c>
      <c r="G736" s="94" t="n">
        <v>-0.02931162578269408</v>
      </c>
      <c r="H736" s="95" t="n">
        <v>57.78835686328237</v>
      </c>
      <c r="I736" s="376" t="n">
        <v>74.31190338134766</v>
      </c>
      <c r="J736" s="376" t="n">
        <v>89.54220302581787</v>
      </c>
      <c r="K736" s="94" t="n">
        <v>0.3269585589120922</v>
      </c>
      <c r="L736" s="94" t="n">
        <v>-0.1480757101206486</v>
      </c>
      <c r="M736" s="94" t="n">
        <v>-0.3240093714172844</v>
      </c>
      <c r="N736" t="n">
        <v>59.77676226816615</v>
      </c>
      <c r="O736" t="n">
        <v>0.6694037465868437</v>
      </c>
      <c r="P736" s="143">
        <f>MAX($E$2:E736)</f>
        <v/>
      </c>
      <c r="Q736" s="144">
        <f>E736/P736-1</f>
        <v/>
      </c>
      <c r="R736" s="94" t="n">
        <v>-0.005805435107038459</v>
      </c>
    </row>
    <row r="737">
      <c r="A737" s="375" t="n">
        <v>45533</v>
      </c>
      <c r="B737" s="376" t="n">
        <v>78.68167913100261</v>
      </c>
      <c r="C737" s="376" t="n">
        <v>79.09653991204083</v>
      </c>
      <c r="D737" s="376" t="n">
        <v>78.12539507774892</v>
      </c>
      <c r="E737" s="376" t="n">
        <v>78.50254058837891</v>
      </c>
      <c r="F737" s="93" t="n">
        <v>7477200</v>
      </c>
      <c r="G737" s="94" t="n">
        <v>0.005676934598014993</v>
      </c>
      <c r="H737" s="95" t="n">
        <v>58.11641758572197</v>
      </c>
      <c r="I737" s="376" t="n">
        <v>74.09466842651368</v>
      </c>
      <c r="J737" s="376" t="n">
        <v>89.43986843109131</v>
      </c>
      <c r="K737" s="94" t="n">
        <v>0.3193803194033412</v>
      </c>
      <c r="L737" s="94" t="n">
        <v>-0.1432393916445431</v>
      </c>
      <c r="M737" s="94" t="n">
        <v>-0.3201718168299492</v>
      </c>
      <c r="N737" t="n">
        <v>61.06692901991912</v>
      </c>
      <c r="O737" t="n">
        <v>0.4858899589638146</v>
      </c>
      <c r="P737" s="143">
        <f>MAX($E$2:E737)</f>
        <v/>
      </c>
      <c r="Q737" s="144">
        <f>E737/P737-1</f>
        <v/>
      </c>
      <c r="R737" s="94" t="n">
        <v>8.941478193502661e-05</v>
      </c>
    </row>
    <row r="738">
      <c r="A738" s="375" t="n">
        <v>45534</v>
      </c>
      <c r="B738" s="376" t="n">
        <v>78.82311225714406</v>
      </c>
      <c r="C738" s="376" t="n">
        <v>79.08711196546</v>
      </c>
      <c r="D738" s="376" t="n">
        <v>77.36168324512296</v>
      </c>
      <c r="E738" s="376" t="n">
        <v>78.55911254882812</v>
      </c>
      <c r="F738" s="93" t="n">
        <v>13755300</v>
      </c>
      <c r="G738" s="94" t="n">
        <v>0.0007206385936711079</v>
      </c>
      <c r="H738" s="95" t="n">
        <v>58.15829851916015</v>
      </c>
      <c r="I738" s="376" t="n">
        <v>73.86366790771484</v>
      </c>
      <c r="J738" s="376" t="n">
        <v>89.34672401428223</v>
      </c>
      <c r="K738" s="94" t="n">
        <v>0.3196638849752673</v>
      </c>
      <c r="L738" s="94" t="n">
        <v>-0.1426219768846251</v>
      </c>
      <c r="M738" s="94" t="n">
        <v>-0.3196819064040916</v>
      </c>
      <c r="N738" t="n">
        <v>61.23786101176678</v>
      </c>
      <c r="O738" t="n">
        <v>0.3360604474617879</v>
      </c>
      <c r="P738" s="143">
        <f>MAX($E$2:E738)</f>
        <v/>
      </c>
      <c r="Q738" s="144">
        <f>E738/P738-1</f>
        <v/>
      </c>
      <c r="R738" s="94" t="n">
        <v>0.009546334030040571</v>
      </c>
    </row>
    <row r="739">
      <c r="A739" s="375" t="n">
        <v>45538</v>
      </c>
      <c r="B739" s="376" t="n">
        <v>78.33180933720371</v>
      </c>
      <c r="C739" s="376" t="n">
        <v>78.54963764456275</v>
      </c>
      <c r="D739" s="376" t="n">
        <v>76.72180041086418</v>
      </c>
      <c r="E739" s="376" t="n">
        <v>77.01538848876953</v>
      </c>
      <c r="F739" s="93" t="n">
        <v>10133700</v>
      </c>
      <c r="G739" s="94" t="n">
        <v>-0.01965047732812786</v>
      </c>
      <c r="H739" s="95" t="n">
        <v>57.0154601926669</v>
      </c>
      <c r="I739" s="376" t="n">
        <v>73.57143249511719</v>
      </c>
      <c r="J739" s="376" t="n">
        <v>89.23863250732421</v>
      </c>
      <c r="K739" s="94" t="n">
        <v>0.297339944028968</v>
      </c>
      <c r="L739" s="94" t="n">
        <v>-0.1594698642894887</v>
      </c>
      <c r="M739" s="94" t="n">
        <v>-0.3330504816782131</v>
      </c>
      <c r="N739" t="n">
        <v>54.2398260587965</v>
      </c>
      <c r="O739" t="n">
        <v>0.112304795050691</v>
      </c>
      <c r="P739" s="143">
        <f>MAX($E$2:E739)</f>
        <v/>
      </c>
      <c r="Q739" s="144">
        <f>E739/P739-1</f>
        <v/>
      </c>
      <c r="R739" s="94" t="n">
        <v>-0.02057923568553544</v>
      </c>
    </row>
    <row r="740">
      <c r="A740" s="375" t="n">
        <v>45539</v>
      </c>
      <c r="B740" s="376" t="n">
        <v>75.85998609850648</v>
      </c>
      <c r="C740" s="376" t="n">
        <v>76.79757942701787</v>
      </c>
      <c r="D740" s="376" t="n">
        <v>75.45274742441929</v>
      </c>
      <c r="E740" s="376" t="n">
        <v>76.73128509521484</v>
      </c>
      <c r="F740" s="93" t="n">
        <v>12837400</v>
      </c>
      <c r="G740" s="94" t="n">
        <v>-0.003688917229783484</v>
      </c>
      <c r="H740" s="95" t="n">
        <v>56.80513487919814</v>
      </c>
      <c r="I740" s="376" t="n">
        <v>73.27370376586914</v>
      </c>
      <c r="J740" s="376" t="n">
        <v>89.1194669342041</v>
      </c>
      <c r="K740" s="94" t="n">
        <v>0.2979374701025564</v>
      </c>
      <c r="L740" s="94" t="n">
        <v>-0.1625705103892635</v>
      </c>
      <c r="M740" s="94" t="n">
        <v>-0.3355108032477461</v>
      </c>
      <c r="N740" t="n">
        <v>53.03855988038443</v>
      </c>
      <c r="O740" t="n">
        <v>-0.06592660636890679</v>
      </c>
      <c r="P740" s="143">
        <f>MAX($E$2:E740)</f>
        <v/>
      </c>
      <c r="Q740" s="144">
        <f>E740/P740-1</f>
        <v/>
      </c>
      <c r="R740" s="94" t="n">
        <v>-0.002046808505810516</v>
      </c>
    </row>
    <row r="741">
      <c r="A741" s="375" t="n">
        <v>45540</v>
      </c>
      <c r="B741" s="376" t="n">
        <v>76.83544597189319</v>
      </c>
      <c r="C741" s="376" t="n">
        <v>76.93962378823333</v>
      </c>
      <c r="D741" s="376" t="n">
        <v>75.96414716753806</v>
      </c>
      <c r="E741" s="376" t="n">
        <v>76.55133056640625</v>
      </c>
      <c r="F741" s="93" t="n">
        <v>7596300</v>
      </c>
      <c r="G741" s="94" t="n">
        <v>-0.002345256287383801</v>
      </c>
      <c r="H741" s="95" t="n">
        <v>56.67191227946702</v>
      </c>
      <c r="I741" s="376" t="n">
        <v>73.01801040649414</v>
      </c>
      <c r="J741" s="376" t="n">
        <v>89.00038097381592</v>
      </c>
      <c r="K741" s="94" t="n">
        <v>0.2990402783487128</v>
      </c>
      <c r="L741" s="94" t="n">
        <v>-0.1645344971650137</v>
      </c>
      <c r="M741" s="94" t="n">
        <v>-0.337069200714328</v>
      </c>
      <c r="N741" t="n">
        <v>52.24920608726476</v>
      </c>
      <c r="O741" t="n">
        <v>-0.199484307333639</v>
      </c>
      <c r="P741" s="143">
        <f>MAX($E$2:E741)</f>
        <v/>
      </c>
      <c r="Q741" s="144">
        <f>E741/P741-1</f>
        <v/>
      </c>
      <c r="R741" s="94" t="n">
        <v>-0.002432195197704767</v>
      </c>
    </row>
    <row r="742">
      <c r="A742" s="375" t="n">
        <v>45541</v>
      </c>
      <c r="B742" s="376" t="n">
        <v>76.59868204686077</v>
      </c>
      <c r="C742" s="376" t="n">
        <v>77.54574788078826</v>
      </c>
      <c r="D742" s="376" t="n">
        <v>76.09673831096543</v>
      </c>
      <c r="E742" s="376" t="n">
        <v>76.36191558837891</v>
      </c>
      <c r="F742" s="93" t="n">
        <v>8512200</v>
      </c>
      <c r="G742" s="94" t="n">
        <v>-0.002474352524323931</v>
      </c>
      <c r="H742" s="95" t="n">
        <v>56.53168599026005</v>
      </c>
      <c r="I742" s="376" t="n">
        <v>72.77154006958008</v>
      </c>
      <c r="J742" s="376" t="n">
        <v>88.8880428314209</v>
      </c>
      <c r="K742" s="94" t="n">
        <v>0.2942835776310418</v>
      </c>
      <c r="L742" s="94" t="n">
        <v>-0.166601733340939</v>
      </c>
      <c r="M742" s="94" t="n">
        <v>-0.3387095252109925</v>
      </c>
      <c r="N742" t="n">
        <v>51.38238306005488</v>
      </c>
      <c r="O742" t="n">
        <v>-0.2981891616283219</v>
      </c>
      <c r="P742" s="143">
        <f>MAX($E$2:E742)</f>
        <v/>
      </c>
      <c r="Q742" s="144">
        <f>E742/P742-1</f>
        <v/>
      </c>
      <c r="R742" s="94" t="n">
        <v>-0.01682994720662356</v>
      </c>
    </row>
    <row r="743">
      <c r="A743" s="375" t="n">
        <v>45544</v>
      </c>
      <c r="B743" s="376" t="n">
        <v>76.47556974033664</v>
      </c>
      <c r="C743" s="376" t="n">
        <v>77.26163615415001</v>
      </c>
      <c r="D743" s="376" t="n">
        <v>74.83714259019185</v>
      </c>
      <c r="E743" s="376" t="n">
        <v>75.28226470947266</v>
      </c>
      <c r="F743" s="93" t="n">
        <v>8003300</v>
      </c>
      <c r="G743" s="94" t="n">
        <v>-0.01413860391776967</v>
      </c>
      <c r="H743" s="95" t="n">
        <v>55.73240687324004</v>
      </c>
      <c r="I743" s="376" t="n">
        <v>72.501025390625</v>
      </c>
      <c r="J743" s="376" t="n">
        <v>88.7686275100708</v>
      </c>
      <c r="K743" s="94" t="n">
        <v>0.301627400856796</v>
      </c>
      <c r="L743" s="94" t="n">
        <v>-0.1783848213389873</v>
      </c>
      <c r="M743" s="94" t="n">
        <v>-0.3480592493086282</v>
      </c>
      <c r="N743" t="n">
        <v>46.63339094618689</v>
      </c>
      <c r="O743" t="n">
        <v>-0.4260077973017871</v>
      </c>
      <c r="P743" s="143">
        <f>MAX($E$2:E743)</f>
        <v/>
      </c>
      <c r="Q743" s="144">
        <f>E743/P743-1</f>
        <v/>
      </c>
      <c r="R743" s="94" t="n">
        <v>0.01119623567420591</v>
      </c>
    </row>
    <row r="744">
      <c r="A744" s="375" t="n">
        <v>45545</v>
      </c>
      <c r="B744" s="376" t="n">
        <v>75.34855542443844</v>
      </c>
      <c r="C744" s="376" t="n">
        <v>75.34855542443844</v>
      </c>
      <c r="D744" s="376" t="n">
        <v>73.44495830090152</v>
      </c>
      <c r="E744" s="376" t="n">
        <v>73.95636749267578</v>
      </c>
      <c r="F744" s="93" t="n">
        <v>9748400</v>
      </c>
      <c r="G744" s="94" t="n">
        <v>-0.01761234497811326</v>
      </c>
      <c r="H744" s="95" t="n">
        <v>54.75082849692796</v>
      </c>
      <c r="I744" s="376" t="n">
        <v>72.55888549804688</v>
      </c>
      <c r="J744" s="376" t="n">
        <v>88.64151000976562</v>
      </c>
      <c r="K744" s="94" t="n">
        <v>0.3109948642849248</v>
      </c>
      <c r="L744" s="94" t="n">
        <v>-0.1928553913048192</v>
      </c>
      <c r="M744" s="94" t="n">
        <v>-0.3595414547150948</v>
      </c>
      <c r="N744" t="n">
        <v>41.55400416326385</v>
      </c>
      <c r="O744" t="n">
        <v>-0.5801178310887918</v>
      </c>
      <c r="P744" s="143">
        <f>MAX($E$2:E744)</f>
        <v/>
      </c>
      <c r="Q744" s="144">
        <f>E744/P744-1</f>
        <v/>
      </c>
      <c r="R744" s="94" t="n">
        <v>0.004355612483574856</v>
      </c>
    </row>
    <row r="745">
      <c r="A745" s="375" t="n">
        <v>45546</v>
      </c>
      <c r="B745" s="376" t="n">
        <v>73.87114166977665</v>
      </c>
      <c r="C745" s="376" t="n">
        <v>74.42990709363521</v>
      </c>
      <c r="D745" s="376" t="n">
        <v>72.67783658888304</v>
      </c>
      <c r="E745" s="376" t="n">
        <v>74.24996948242188</v>
      </c>
      <c r="F745" s="93" t="n">
        <v>8265500</v>
      </c>
      <c r="G745" s="94" t="n">
        <v>0.003969935242900791</v>
      </c>
      <c r="H745" s="95" t="n">
        <v>54.96818574055593</v>
      </c>
      <c r="I745" s="376" t="n">
        <v>72.59508590698242</v>
      </c>
      <c r="J745" s="376" t="n">
        <v>88.50947158813477</v>
      </c>
      <c r="K745" s="94" t="n">
        <v>0.2516296322172696</v>
      </c>
      <c r="L745" s="94" t="n">
        <v>-0.1896510794766428</v>
      </c>
      <c r="M745" s="94" t="n">
        <v>-0.3569988757645512</v>
      </c>
      <c r="N745" t="n">
        <v>43.03367897200156</v>
      </c>
      <c r="O745" t="n">
        <v>-0.6379532394394856</v>
      </c>
      <c r="P745" s="143">
        <f>MAX($E$2:E745)</f>
        <v/>
      </c>
      <c r="Q745" s="144">
        <f>E745/P745-1</f>
        <v/>
      </c>
      <c r="R745" s="94" t="n">
        <v>0.01025887260942082</v>
      </c>
    </row>
    <row r="746">
      <c r="A746" s="375" t="n">
        <v>45547</v>
      </c>
      <c r="B746" s="376" t="n">
        <v>74.08897001034801</v>
      </c>
      <c r="C746" s="376" t="n">
        <v>74.88450191391739</v>
      </c>
      <c r="D746" s="376" t="n">
        <v>73.42601953183397</v>
      </c>
      <c r="E746" s="376" t="n">
        <v>74.24996948242188</v>
      </c>
      <c r="F746" s="93" t="n">
        <v>7176900</v>
      </c>
      <c r="G746" s="94" t="n">
        <v>0</v>
      </c>
      <c r="H746" s="95" t="n">
        <v>54.96818574055593</v>
      </c>
      <c r="I746" s="376" t="n">
        <v>72.64618362426758</v>
      </c>
      <c r="J746" s="376" t="n">
        <v>88.37873893737793</v>
      </c>
      <c r="K746" s="94" t="n">
        <v>0.2516315524232138</v>
      </c>
      <c r="L746" s="94" t="n">
        <v>-0.1896510794766428</v>
      </c>
      <c r="M746" s="94" t="n">
        <v>-0.3569988757645512</v>
      </c>
      <c r="N746" t="n">
        <v>43.03367897200156</v>
      </c>
      <c r="O746" t="n">
        <v>-0.6496967186423853</v>
      </c>
      <c r="P746" s="143">
        <f>MAX($E$2:E746)</f>
        <v/>
      </c>
      <c r="Q746" s="144">
        <f>E746/P746-1</f>
        <v/>
      </c>
      <c r="R746" s="94" t="n">
        <v>0.008423365394315985</v>
      </c>
    </row>
    <row r="747">
      <c r="A747" s="375" t="n">
        <v>45548</v>
      </c>
      <c r="B747" s="376" t="n">
        <v>74.15525141814584</v>
      </c>
      <c r="C747" s="376" t="n">
        <v>75.28225475188373</v>
      </c>
      <c r="D747" s="376" t="n">
        <v>73.97530661273851</v>
      </c>
      <c r="E747" s="376" t="n">
        <v>74.82766723632812</v>
      </c>
      <c r="F747" s="93" t="n">
        <v>5814200</v>
      </c>
      <c r="G747" s="94" t="n">
        <v>0.007780444327899927</v>
      </c>
      <c r="H747" s="95" t="n">
        <v>55.39586264951599</v>
      </c>
      <c r="I747" s="376" t="n">
        <v>72.7239208984375</v>
      </c>
      <c r="J747" s="376" t="n">
        <v>88.24940246582031</v>
      </c>
      <c r="K747" s="94" t="n">
        <v>0.1706587591627597</v>
      </c>
      <c r="L747" s="94" t="n">
        <v>-0.1833462048143371</v>
      </c>
      <c r="M747" s="94" t="n">
        <v>-0.3519960413146603</v>
      </c>
      <c r="N747" t="n">
        <v>46.14502556457626</v>
      </c>
      <c r="O747" t="n">
        <v>-0.5935869457305986</v>
      </c>
      <c r="P747" s="143">
        <f>MAX($E$2:E747)</f>
        <v/>
      </c>
      <c r="Q747" s="144">
        <f>E747/P747-1</f>
        <v/>
      </c>
      <c r="R747" s="94" t="n">
        <v>0.005222868726185714</v>
      </c>
    </row>
    <row r="748">
      <c r="A748" s="375" t="n">
        <v>45551</v>
      </c>
      <c r="B748" s="376" t="n">
        <v>75.13074454074852</v>
      </c>
      <c r="C748" s="376" t="n">
        <v>75.75580431873021</v>
      </c>
      <c r="D748" s="376" t="n">
        <v>74.52462290277965</v>
      </c>
      <c r="E748" s="376" t="n">
        <v>75.57586669921875</v>
      </c>
      <c r="F748" s="93" t="n">
        <v>9547700</v>
      </c>
      <c r="G748" s="94" t="n">
        <v>0.009998968169455225</v>
      </c>
      <c r="H748" s="95" t="n">
        <v>55.94976411686802</v>
      </c>
      <c r="I748" s="376" t="n">
        <v>72.81303924560547</v>
      </c>
      <c r="J748" s="376" t="n">
        <v>88.12012279510498</v>
      </c>
      <c r="K748" s="94" t="n">
        <v>0.1716639848538286</v>
      </c>
      <c r="L748" s="94" t="n">
        <v>-0.1751805095108108</v>
      </c>
      <c r="M748" s="94" t="n">
        <v>-0.3455166703580846</v>
      </c>
      <c r="N748" t="n">
        <v>49.95720369385429</v>
      </c>
      <c r="O748" t="n">
        <v>-0.4856555104783572</v>
      </c>
      <c r="P748" s="143">
        <f>MAX($E$2:E748)</f>
        <v/>
      </c>
      <c r="Q748" s="144">
        <f>E748/P748-1</f>
        <v/>
      </c>
      <c r="R748" s="94" t="n">
        <v>0.001476804934585907</v>
      </c>
    </row>
    <row r="749">
      <c r="A749" s="375" t="n">
        <v>45552</v>
      </c>
      <c r="B749" s="376" t="n">
        <v>75.77473482877168</v>
      </c>
      <c r="C749" s="376" t="n">
        <v>76.69338978840055</v>
      </c>
      <c r="D749" s="376" t="n">
        <v>75.63267351713678</v>
      </c>
      <c r="E749" s="376" t="n">
        <v>76.37138366699219</v>
      </c>
      <c r="F749" s="93" t="n">
        <v>7580600</v>
      </c>
      <c r="G749" s="94" t="n">
        <v>0.01052607138386485</v>
      </c>
      <c r="H749" s="95" t="n">
        <v>56.53869532787257</v>
      </c>
      <c r="I749" s="376" t="n">
        <v>72.96294815063476</v>
      </c>
      <c r="J749" s="376" t="n">
        <v>87.98726573944091</v>
      </c>
      <c r="K749" s="94" t="n">
        <v>0.177054048986309</v>
      </c>
      <c r="L749" s="94" t="n">
        <v>-0.1664125414976276</v>
      </c>
      <c r="M749" s="94" t="n">
        <v>-0.3386275321107243</v>
      </c>
      <c r="N749" t="n">
        <v>53.70917110354312</v>
      </c>
      <c r="O749" t="n">
        <v>-0.3467746056420462</v>
      </c>
      <c r="P749" s="143">
        <f>MAX($E$2:E749)</f>
        <v/>
      </c>
      <c r="Q749" s="144">
        <f>E749/P749-1</f>
        <v/>
      </c>
      <c r="R749" s="94" t="n">
        <v>0.0004085243712441677</v>
      </c>
    </row>
    <row r="750">
      <c r="A750" s="375" t="n">
        <v>45553</v>
      </c>
      <c r="B750" s="376" t="n">
        <v>76.39033622019267</v>
      </c>
      <c r="C750" s="376" t="n">
        <v>77.43210722768993</v>
      </c>
      <c r="D750" s="376" t="n">
        <v>75.98309760878909</v>
      </c>
      <c r="E750" s="376" t="n">
        <v>76.61763000488281</v>
      </c>
      <c r="F750" s="93" t="n">
        <v>7637000</v>
      </c>
      <c r="G750" s="94" t="n">
        <v>0.003224327307782549</v>
      </c>
      <c r="H750" s="95" t="n">
        <v>56.72099458716463</v>
      </c>
      <c r="I750" s="376" t="n">
        <v>73.1289077758789</v>
      </c>
      <c r="J750" s="376" t="n">
        <v>87.85610633850098</v>
      </c>
      <c r="K750" s="94" t="n">
        <v>0.1770062694411186</v>
      </c>
      <c r="L750" s="94" t="n">
        <v>-0.1423655495972147</v>
      </c>
      <c r="M750" s="94" t="n">
        <v>-0.3364950508018933</v>
      </c>
      <c r="N750" t="n">
        <v>54.837917722086</v>
      </c>
      <c r="O750" t="n">
        <v>-0.2300383383138463</v>
      </c>
      <c r="P750" s="143">
        <f>MAX($E$2:E750)</f>
        <v/>
      </c>
      <c r="Q750" s="144">
        <f>E750/P750-1</f>
        <v/>
      </c>
      <c r="R750" s="94" t="n">
        <v>-0.002965737010842795</v>
      </c>
    </row>
    <row r="751">
      <c r="A751" s="375" t="n">
        <v>45554</v>
      </c>
      <c r="B751" s="376" t="n">
        <v>78.22763961083122</v>
      </c>
      <c r="C751" s="376" t="n">
        <v>78.72011791075408</v>
      </c>
      <c r="D751" s="376" t="n">
        <v>76.21039190392423</v>
      </c>
      <c r="E751" s="376" t="n">
        <v>76.69339752197266</v>
      </c>
      <c r="F751" s="93" t="n">
        <v>15067100</v>
      </c>
      <c r="G751" s="94" t="n">
        <v>0.0009889044738791153</v>
      </c>
      <c r="H751" s="95" t="n">
        <v>56.77708623247475</v>
      </c>
      <c r="I751" s="376" t="n">
        <v>73.29487411499024</v>
      </c>
      <c r="J751" s="376" t="n">
        <v>87.70857410430908</v>
      </c>
      <c r="K751" s="94" t="n">
        <v>0.1755360536642753</v>
      </c>
      <c r="L751" s="94" t="n">
        <v>-0.1364134010272302</v>
      </c>
      <c r="M751" s="94" t="n">
        <v>-0.3358389077891903</v>
      </c>
      <c r="N751" t="n">
        <v>55.19989267286662</v>
      </c>
      <c r="O751" t="n">
        <v>-0.1436566649626113</v>
      </c>
      <c r="P751" s="143">
        <f>MAX($E$2:E751)</f>
        <v/>
      </c>
      <c r="Q751" s="144">
        <f>E751/P751-1</f>
        <v/>
      </c>
      <c r="R751" s="94" t="n">
        <v>0.0170641335890509</v>
      </c>
    </row>
    <row r="752">
      <c r="A752" s="375" t="n">
        <v>45555</v>
      </c>
      <c r="B752" s="376" t="n">
        <v>83.21866903906086</v>
      </c>
      <c r="C752" s="376" t="n">
        <v>83.34178498386602</v>
      </c>
      <c r="D752" s="376" t="n">
        <v>80.32064296602866</v>
      </c>
      <c r="E752" s="376" t="n">
        <v>81.94012451171875</v>
      </c>
      <c r="F752" s="93" t="n">
        <v>52039300</v>
      </c>
      <c r="G752" s="94" t="n">
        <v>0.06841171677448377</v>
      </c>
      <c r="H752" s="95" t="n">
        <v>60.66130417509126</v>
      </c>
      <c r="I752" s="376" t="n">
        <v>73.54974624633789</v>
      </c>
      <c r="J752" s="376" t="n">
        <v>87.57946117401123</v>
      </c>
      <c r="K752" s="94" t="n">
        <v>0.3025835228291864</v>
      </c>
      <c r="L752" s="94" t="n">
        <v>-0.07733395920806529</v>
      </c>
      <c r="M752" s="94" t="n">
        <v>-0.2904025072562326</v>
      </c>
      <c r="N752" t="n">
        <v>71.95990020232624</v>
      </c>
      <c r="O752" t="n">
        <v>0.2494970427329988</v>
      </c>
      <c r="P752" s="143">
        <f>MAX($E$2:E752)</f>
        <v/>
      </c>
      <c r="Q752" s="144">
        <f>E752/P752-1</f>
        <v/>
      </c>
      <c r="R752" s="94" t="n">
        <v>-0.001728397987002084</v>
      </c>
    </row>
    <row r="753">
      <c r="A753" s="375" t="n">
        <v>45558</v>
      </c>
      <c r="B753" s="376" t="n">
        <v>80.87942895019134</v>
      </c>
      <c r="C753" s="376" t="n">
        <v>81.94961081130096</v>
      </c>
      <c r="D753" s="376" t="n">
        <v>80.54795733175378</v>
      </c>
      <c r="E753" s="376" t="n">
        <v>81.63707733154297</v>
      </c>
      <c r="F753" s="93" t="n">
        <v>17712400</v>
      </c>
      <c r="G753" s="94" t="n">
        <v>-0.003698397848204915</v>
      </c>
      <c r="H753" s="95" t="n">
        <v>60.4369545382608</v>
      </c>
      <c r="I753" s="376" t="n">
        <v>73.79799179077149</v>
      </c>
      <c r="J753" s="376" t="n">
        <v>87.44761638641357</v>
      </c>
      <c r="K753" s="94" t="n">
        <v>0.3025595044355769</v>
      </c>
      <c r="L753" s="94" t="n">
        <v>-0.003698397848204915</v>
      </c>
      <c r="M753" s="94" t="n">
        <v>-0.2930268810964878</v>
      </c>
      <c r="N753" t="n">
        <v>70.32345370586512</v>
      </c>
      <c r="O753" t="n">
        <v>0.4595774749121584</v>
      </c>
      <c r="P753" s="143">
        <f>MAX($E$2:E753)</f>
        <v/>
      </c>
      <c r="Q753" s="144">
        <f>E753/P753-1</f>
        <v/>
      </c>
      <c r="R753" s="94" t="n">
        <v>0.002498956066899538</v>
      </c>
    </row>
    <row r="754">
      <c r="A754" s="375" t="n">
        <v>45559</v>
      </c>
      <c r="B754" s="376" t="n">
        <v>82.81142990659163</v>
      </c>
      <c r="C754" s="376" t="n">
        <v>83.60696165310131</v>
      </c>
      <c r="D754" s="376" t="n">
        <v>82.07271979182174</v>
      </c>
      <c r="E754" s="376" t="n">
        <v>82.83036804199219</v>
      </c>
      <c r="F754" s="93" t="n">
        <v>21123300</v>
      </c>
      <c r="G754" s="94" t="n">
        <v>0.01461701899987244</v>
      </c>
      <c r="H754" s="95" t="n">
        <v>61.32036265104098</v>
      </c>
      <c r="I754" s="376" t="n">
        <v>74.10989196777344</v>
      </c>
      <c r="J754" s="376" t="n">
        <v>87.318462600708</v>
      </c>
      <c r="K754" s="94" t="n">
        <v>0.3060417689321949</v>
      </c>
      <c r="L754" s="94" t="n">
        <v>0</v>
      </c>
      <c r="M754" s="94" t="n">
        <v>-0.282693041585076</v>
      </c>
      <c r="N754" t="n">
        <v>72.93358684637496</v>
      </c>
      <c r="O754" t="n">
        <v>0.6383436797532962</v>
      </c>
      <c r="P754" s="143">
        <f>MAX($E$2:E754)</f>
        <v/>
      </c>
      <c r="Q754" s="144">
        <f>E754/P754-1</f>
        <v/>
      </c>
      <c r="R754" s="94" t="n">
        <v>0.002861138749006509</v>
      </c>
    </row>
    <row r="755">
      <c r="A755" s="375" t="n">
        <v>45560</v>
      </c>
      <c r="B755" s="376" t="n">
        <v>83.19974316524498</v>
      </c>
      <c r="C755" s="376" t="n">
        <v>83.43650965531428</v>
      </c>
      <c r="D755" s="376" t="n">
        <v>82.62203235143269</v>
      </c>
      <c r="E755" s="376" t="n">
        <v>83.34180450439453</v>
      </c>
      <c r="F755" s="93" t="n">
        <v>12392800</v>
      </c>
      <c r="G755" s="94" t="n">
        <v>0.006174504284987226</v>
      </c>
      <c r="H755" s="95" t="n">
        <v>61.6989854929868</v>
      </c>
      <c r="I755" s="376" t="n">
        <v>74.40373519897462</v>
      </c>
      <c r="J755" s="376" t="n">
        <v>87.19794902801513</v>
      </c>
      <c r="K755" s="94" t="n">
        <v>0.3042806226785221</v>
      </c>
      <c r="L755" s="94" t="n">
        <v>0</v>
      </c>
      <c r="M755" s="94" t="n">
        <v>-0.278264026696692</v>
      </c>
      <c r="N755" t="n">
        <v>73.98949980278593</v>
      </c>
      <c r="O755" t="n">
        <v>0.7431422541571506</v>
      </c>
      <c r="P755" s="143">
        <f>MAX($E$2:E755)</f>
        <v/>
      </c>
      <c r="Q755" s="144">
        <f>E755/P755-1</f>
        <v/>
      </c>
      <c r="R755" s="94" t="n">
        <v>-0.002205476572795684</v>
      </c>
    </row>
    <row r="756">
      <c r="A756" s="375" t="n">
        <v>45561</v>
      </c>
      <c r="B756" s="376" t="n">
        <v>85.16016214379822</v>
      </c>
      <c r="C756" s="376" t="n">
        <v>85.8231125947195</v>
      </c>
      <c r="D756" s="376" t="n">
        <v>84.33621945304327</v>
      </c>
      <c r="E756" s="376" t="n">
        <v>84.65821838378906</v>
      </c>
      <c r="F756" s="93" t="n">
        <v>13592800</v>
      </c>
      <c r="G756" s="94" t="n">
        <v>0.01579536089028544</v>
      </c>
      <c r="H756" s="95" t="n">
        <v>62.67354323541301</v>
      </c>
      <c r="I756" s="376" t="n">
        <v>74.71900360107422</v>
      </c>
      <c r="J756" s="376" t="n">
        <v>87.07887035369873</v>
      </c>
      <c r="K756" s="94" t="n">
        <v>0.2842671212371124</v>
      </c>
      <c r="L756" s="94" t="n">
        <v>0</v>
      </c>
      <c r="M756" s="94" t="n">
        <v>-0.2668639465308648</v>
      </c>
      <c r="N756" t="n">
        <v>76.52776663539491</v>
      </c>
      <c r="O756" t="n">
        <v>0.8457636430113107</v>
      </c>
      <c r="P756" s="143">
        <f>MAX($E$2:E756)</f>
        <v/>
      </c>
      <c r="Q756" s="144">
        <f>E756/P756-1</f>
        <v/>
      </c>
      <c r="R756" s="94" t="n">
        <v>0.003964676879327333</v>
      </c>
    </row>
    <row r="757">
      <c r="A757" s="375" t="n">
        <v>45562</v>
      </c>
      <c r="B757" s="376" t="n">
        <v>84.71503949199105</v>
      </c>
      <c r="C757" s="376" t="n">
        <v>85.48216776287126</v>
      </c>
      <c r="D757" s="376" t="n">
        <v>84.48774570550837</v>
      </c>
      <c r="E757" s="376" t="n">
        <v>84.70557403564453</v>
      </c>
      <c r="F757" s="93" t="n">
        <v>9181000</v>
      </c>
      <c r="G757" s="94" t="n">
        <v>0.0005593745386984761</v>
      </c>
      <c r="H757" s="95" t="n">
        <v>62.70860121974891</v>
      </c>
      <c r="I757" s="376" t="n">
        <v>75.04823043823242</v>
      </c>
      <c r="J757" s="376" t="n">
        <v>86.94739456176758</v>
      </c>
      <c r="K757" s="94" t="n">
        <v>0.2844980941969321</v>
      </c>
      <c r="L757" s="94" t="n">
        <v>0</v>
      </c>
      <c r="M757" s="94" t="n">
        <v>-0.2664538488891522</v>
      </c>
      <c r="N757" t="n">
        <v>76.61616989280665</v>
      </c>
      <c r="O757" t="n">
        <v>0.8587248336115301</v>
      </c>
      <c r="P757" s="143">
        <f>MAX($E$2:E757)</f>
        <v/>
      </c>
      <c r="Q757" s="144">
        <f>E757/P757-1</f>
        <v/>
      </c>
      <c r="R757" s="94" t="n">
        <v>-0.001450399986557604</v>
      </c>
    </row>
    <row r="758">
      <c r="A758" s="375" t="n">
        <v>45565</v>
      </c>
      <c r="B758" s="376" t="n">
        <v>84.95180816317145</v>
      </c>
      <c r="C758" s="376" t="n">
        <v>84.99916434828876</v>
      </c>
      <c r="D758" s="376" t="n">
        <v>83.08609441350332</v>
      </c>
      <c r="E758" s="376" t="n">
        <v>83.72062683105469</v>
      </c>
      <c r="F758" s="93" t="n">
        <v>12027100</v>
      </c>
      <c r="G758" s="94" t="n">
        <v>-0.01162789126693564</v>
      </c>
      <c r="H758" s="95" t="n">
        <v>61.97943242326404</v>
      </c>
      <c r="I758" s="376" t="n">
        <v>75.35172424316406</v>
      </c>
      <c r="J758" s="376" t="n">
        <v>86.80617435455322</v>
      </c>
      <c r="K758" s="94" t="n">
        <v>0.2896910546910013</v>
      </c>
      <c r="L758" s="94" t="n">
        <v>-0.01162789126693564</v>
      </c>
      <c r="M758" s="94" t="n">
        <v>-0.2749834437735483</v>
      </c>
      <c r="N758" t="n">
        <v>70.6556193192062</v>
      </c>
      <c r="O758" t="n">
        <v>0.7469729376756487</v>
      </c>
      <c r="P758" s="143">
        <f>MAX($E$2:E758)</f>
        <v/>
      </c>
      <c r="Q758" s="144">
        <f>E758/P758-1</f>
        <v/>
      </c>
      <c r="R758" s="94" t="n">
        <v>0.004007314436067722</v>
      </c>
    </row>
    <row r="759">
      <c r="A759" s="375" t="n">
        <v>45566</v>
      </c>
      <c r="B759" s="376" t="n">
        <v>83.34180535978464</v>
      </c>
      <c r="C759" s="376" t="n">
        <v>84.89499297253744</v>
      </c>
      <c r="D759" s="376" t="n">
        <v>83.06715536142056</v>
      </c>
      <c r="E759" s="376" t="n">
        <v>84.4119873046875</v>
      </c>
      <c r="F759" s="93" t="n">
        <v>20623400</v>
      </c>
      <c r="G759" s="94" t="n">
        <v>0.008257946694880225</v>
      </c>
      <c r="H759" s="95" t="n">
        <v>62.4912552723943</v>
      </c>
      <c r="I759" s="376" t="n">
        <v>75.62831359863281</v>
      </c>
      <c r="J759" s="376" t="n">
        <v>86.66125171661378</v>
      </c>
      <c r="K759" s="94" t="n">
        <v>0.276973619218707</v>
      </c>
      <c r="L759" s="94" t="n">
        <v>-0.003465967078311483</v>
      </c>
      <c r="M759" s="94" t="n">
        <v>-0.2689962956993247</v>
      </c>
      <c r="N759" t="n">
        <v>72.28547679611498</v>
      </c>
      <c r="O759" t="n">
        <v>0.6681870516808643</v>
      </c>
      <c r="P759" s="143">
        <f>MAX($E$2:E759)</f>
        <v/>
      </c>
      <c r="Q759" s="144">
        <f>E759/P759-1</f>
        <v/>
      </c>
      <c r="R759" s="94" t="n">
        <v>-0.00895843135052643</v>
      </c>
    </row>
    <row r="760">
      <c r="A760" s="375" t="n">
        <v>45567</v>
      </c>
      <c r="B760" s="376" t="n">
        <v>78.5022965206844</v>
      </c>
      <c r="C760" s="376" t="n">
        <v>80.7184346151713</v>
      </c>
      <c r="D760" s="376" t="n">
        <v>77.44158004869051</v>
      </c>
      <c r="E760" s="376" t="n">
        <v>78.70117950439453</v>
      </c>
      <c r="F760" s="93" t="n">
        <v>33208800</v>
      </c>
      <c r="G760" s="94" t="n">
        <v>-0.06765399065513811</v>
      </c>
      <c r="H760" s="95" t="n">
        <v>58.26347247216789</v>
      </c>
      <c r="I760" s="376" t="n">
        <v>75.81821853637695</v>
      </c>
      <c r="J760" s="376" t="n">
        <v>86.48847702026367</v>
      </c>
      <c r="K760" s="94" t="n">
        <v>0.3775746469106701</v>
      </c>
      <c r="L760" s="94" t="n">
        <v>-0.07088547122912248</v>
      </c>
      <c r="M760" s="94" t="n">
        <v>-0.3184516134789539</v>
      </c>
      <c r="N760" t="n">
        <v>48.38107515205277</v>
      </c>
      <c r="O760" t="n">
        <v>0.2040993523301187</v>
      </c>
      <c r="P760" s="143">
        <f>MAX($E$2:E760)</f>
        <v/>
      </c>
      <c r="Q760" s="144">
        <f>E760/P760-1</f>
        <v/>
      </c>
      <c r="R760" s="94" t="n">
        <v>0.0004220236379359754</v>
      </c>
    </row>
    <row r="761">
      <c r="A761" s="375" t="n">
        <v>45568</v>
      </c>
      <c r="B761" s="376" t="n">
        <v>78.03821960137569</v>
      </c>
      <c r="C761" s="376" t="n">
        <v>79.34516774114853</v>
      </c>
      <c r="D761" s="376" t="n">
        <v>77.64045371868895</v>
      </c>
      <c r="E761" s="376" t="n">
        <v>77.75409698486328</v>
      </c>
      <c r="F761" s="93" t="n">
        <v>18143800</v>
      </c>
      <c r="G761" s="94" t="n">
        <v>-0.0120339050252527</v>
      </c>
      <c r="H761" s="95" t="n">
        <v>57.5623353779964</v>
      </c>
      <c r="I761" s="376" t="n">
        <v>76.03274200439454</v>
      </c>
      <c r="J761" s="376" t="n">
        <v>86.30848690032958</v>
      </c>
      <c r="K761" s="94" t="n">
        <v>0.3804514521153454</v>
      </c>
      <c r="L761" s="94" t="n">
        <v>-0.08206634722593353</v>
      </c>
      <c r="M761" s="94" t="n">
        <v>-0.3266533020324625</v>
      </c>
      <c r="N761" t="n">
        <v>45.68298614785403</v>
      </c>
      <c r="O761" t="n">
        <v>-0.1736151802487027</v>
      </c>
      <c r="P761" s="143">
        <f>MAX($E$2:E761)</f>
        <v/>
      </c>
      <c r="Q761" s="144">
        <f>E761/P761-1</f>
        <v/>
      </c>
      <c r="R761" s="94" t="n">
        <v>-0.001828107409378332</v>
      </c>
    </row>
    <row r="762">
      <c r="A762" s="375" t="n">
        <v>45569</v>
      </c>
      <c r="B762" s="376" t="n">
        <v>78.25605401661217</v>
      </c>
      <c r="C762" s="376" t="n">
        <v>79.11788746819684</v>
      </c>
      <c r="D762" s="376" t="n">
        <v>77.75411023735494</v>
      </c>
      <c r="E762" s="376" t="n">
        <v>77.89617156982422</v>
      </c>
      <c r="F762" s="93" t="n">
        <v>10322600</v>
      </c>
      <c r="G762" s="94" t="n">
        <v>0.001827229566933264</v>
      </c>
      <c r="H762" s="95" t="n">
        <v>57.6675149791408</v>
      </c>
      <c r="I762" s="376" t="n">
        <v>76.24407241821289</v>
      </c>
      <c r="J762" s="376" t="n">
        <v>86.13112564086914</v>
      </c>
      <c r="K762" s="94" t="n">
        <v>0.3802287927829585</v>
      </c>
      <c r="L762" s="94" t="n">
        <v>-0.08038907171510179</v>
      </c>
      <c r="M762" s="94" t="n">
        <v>-0.3254229430371393</v>
      </c>
      <c r="N762" t="n">
        <v>46.1679782939153</v>
      </c>
      <c r="O762" t="n">
        <v>-0.4074890992261087</v>
      </c>
      <c r="P762" s="143">
        <f>MAX($E$2:E762)</f>
        <v/>
      </c>
      <c r="Q762" s="144">
        <f>E762/P762-1</f>
        <v/>
      </c>
      <c r="R762" s="94" t="n">
        <v>0.009087116094308456</v>
      </c>
    </row>
    <row r="763">
      <c r="A763" s="375" t="n">
        <v>45572</v>
      </c>
      <c r="B763" s="376" t="n">
        <v>77.79198445577147</v>
      </c>
      <c r="C763" s="376" t="n">
        <v>78.10451790479189</v>
      </c>
      <c r="D763" s="376" t="n">
        <v>75.85049667002009</v>
      </c>
      <c r="E763" s="376" t="n">
        <v>76.55133056640625</v>
      </c>
      <c r="F763" s="93" t="n">
        <v>12767400</v>
      </c>
      <c r="G763" s="94" t="n">
        <v>-0.01726453272754858</v>
      </c>
      <c r="H763" s="95" t="n">
        <v>56.67191227946703</v>
      </c>
      <c r="I763" s="376" t="n">
        <v>76.40682052612304</v>
      </c>
      <c r="J763" s="376" t="n">
        <v>85.94002128601075</v>
      </c>
      <c r="K763" s="94" t="n">
        <v>0.3820662095814391</v>
      </c>
      <c r="L763" s="94" t="n">
        <v>-0.09626572468308769</v>
      </c>
      <c r="M763" s="94" t="n">
        <v>-0.337069200714328</v>
      </c>
      <c r="N763" t="n">
        <v>42.31633470776034</v>
      </c>
      <c r="O763" t="n">
        <v>-0.6329091800234754</v>
      </c>
      <c r="P763" s="143">
        <f>MAX($E$2:E763)</f>
        <v/>
      </c>
      <c r="Q763" s="144">
        <f>E763/P763-1</f>
        <v/>
      </c>
      <c r="R763" s="94" t="n">
        <v>-0.009040484763096934</v>
      </c>
    </row>
    <row r="764">
      <c r="A764" s="375" t="n">
        <v>45573</v>
      </c>
      <c r="B764" s="376" t="n">
        <v>76.47556869785018</v>
      </c>
      <c r="C764" s="376" t="n">
        <v>77.11010109409304</v>
      </c>
      <c r="D764" s="376" t="n">
        <v>75.6989749765654</v>
      </c>
      <c r="E764" s="376" t="n">
        <v>76.4945068359375</v>
      </c>
      <c r="F764" s="93" t="n">
        <v>10569600</v>
      </c>
      <c r="G764" s="94" t="n">
        <v>-0.000742295790919778</v>
      </c>
      <c r="H764" s="95" t="n">
        <v>56.62984495751861</v>
      </c>
      <c r="I764" s="376" t="n">
        <v>76.54976318359375</v>
      </c>
      <c r="J764" s="376" t="n">
        <v>85.75429466247559</v>
      </c>
      <c r="K764" s="94" t="n">
        <v>0.3757410873129149</v>
      </c>
      <c r="L764" s="94" t="n">
        <v>-0.09693656283176533</v>
      </c>
      <c r="M764" s="94" t="n">
        <v>-0.3375612914563088</v>
      </c>
      <c r="N764" t="n">
        <v>42.15630109252163</v>
      </c>
      <c r="O764" t="n">
        <v>-0.7575728843411984</v>
      </c>
      <c r="P764" s="143">
        <f>MAX($E$2:E764)</f>
        <v/>
      </c>
      <c r="Q764" s="144">
        <f>E764/P764-1</f>
        <v/>
      </c>
      <c r="R764" s="94" t="n">
        <v>0.009457724086606945</v>
      </c>
    </row>
    <row r="765">
      <c r="A765" s="375" t="n">
        <v>45574</v>
      </c>
      <c r="B765" s="376" t="n">
        <v>76.84491741961138</v>
      </c>
      <c r="C765" s="376" t="n">
        <v>78.54016604629889</v>
      </c>
      <c r="D765" s="376" t="n">
        <v>76.778623103508</v>
      </c>
      <c r="E765" s="376" t="n">
        <v>78.0855712890625</v>
      </c>
      <c r="F765" s="93" t="n">
        <v>11750600</v>
      </c>
      <c r="G765" s="94" t="n">
        <v>0.02079972169161715</v>
      </c>
      <c r="H765" s="95" t="n">
        <v>57.80772997207442</v>
      </c>
      <c r="I765" s="376" t="n">
        <v>76.71000701904296</v>
      </c>
      <c r="J765" s="376" t="n">
        <v>85.57137622833253</v>
      </c>
      <c r="K765" s="94" t="n">
        <v>0.3816405395964391</v>
      </c>
      <c r="L765" s="94" t="n">
        <v>-0.07815309466879095</v>
      </c>
      <c r="M765" s="94" t="n">
        <v>-0.3237827506808457</v>
      </c>
      <c r="N765" t="n">
        <v>48.07740003822603</v>
      </c>
      <c r="O765" t="n">
        <v>-0.7056583305251916</v>
      </c>
      <c r="P765" s="143">
        <f>MAX($E$2:E765)</f>
        <v/>
      </c>
      <c r="Q765" s="144">
        <f>E765/P765-1</f>
        <v/>
      </c>
      <c r="R765" s="94" t="n">
        <v>0.006926470123619355</v>
      </c>
    </row>
    <row r="766">
      <c r="A766" s="375" t="n">
        <v>45575</v>
      </c>
      <c r="B766" s="376" t="n">
        <v>78.98528535569933</v>
      </c>
      <c r="C766" s="376" t="n">
        <v>79.03263430809254</v>
      </c>
      <c r="D766" s="376" t="n">
        <v>77.68780267108215</v>
      </c>
      <c r="E766" s="376" t="n">
        <v>77.75409698486328</v>
      </c>
      <c r="F766" s="93" t="n">
        <v>8370200</v>
      </c>
      <c r="G766" s="94" t="n">
        <v>-0.004245013499000305</v>
      </c>
      <c r="H766" s="95" t="n">
        <v>57.5623353779964</v>
      </c>
      <c r="I766" s="376" t="n">
        <v>76.85343856811524</v>
      </c>
      <c r="J766" s="376" t="n">
        <v>85.45460250854492</v>
      </c>
      <c r="K766" s="94" t="n">
        <v>0.3823499881557821</v>
      </c>
      <c r="L766" s="94" t="n">
        <v>-0.08206634722593353</v>
      </c>
      <c r="M766" s="94" t="n">
        <v>-0.3266533020324625</v>
      </c>
      <c r="N766" t="n">
        <v>46.99802432621827</v>
      </c>
      <c r="O766" t="n">
        <v>-0.6668729861121241</v>
      </c>
      <c r="P766" s="143">
        <f>MAX($E$2:E766)</f>
        <v/>
      </c>
      <c r="Q766" s="144">
        <f>E766/P766-1</f>
        <v/>
      </c>
      <c r="R766" s="94" t="n">
        <v>-0.001750054746689433</v>
      </c>
    </row>
    <row r="767">
      <c r="A767" s="375" t="n">
        <v>45576</v>
      </c>
      <c r="B767" s="376" t="n">
        <v>77.69728244558313</v>
      </c>
      <c r="C767" s="376" t="n">
        <v>77.91510354266332</v>
      </c>
      <c r="D767" s="376" t="n">
        <v>76.88280524445949</v>
      </c>
      <c r="E767" s="376" t="n">
        <v>77.80146026611328</v>
      </c>
      <c r="F767" s="93" t="n">
        <v>10171100</v>
      </c>
      <c r="G767" s="94" t="n">
        <v>0.0006091419370379825</v>
      </c>
      <c r="H767" s="95" t="n">
        <v>57.59739901046898</v>
      </c>
      <c r="I767" s="376" t="n">
        <v>77.01686309814453</v>
      </c>
      <c r="J767" s="376" t="n">
        <v>85.33815917968749</v>
      </c>
      <c r="K767" s="94" t="n">
        <v>0.381904619673931</v>
      </c>
      <c r="L767" s="94" t="n">
        <v>-0.08150719534261042</v>
      </c>
      <c r="M767" s="94" t="n">
        <v>-0.3262431383205643</v>
      </c>
      <c r="N767" t="n">
        <v>47.18049898475503</v>
      </c>
      <c r="O767" t="n">
        <v>-0.6126534995420564</v>
      </c>
      <c r="P767" s="143">
        <f>MAX($E$2:E767)</f>
        <v/>
      </c>
      <c r="Q767" s="144">
        <f>E767/P767-1</f>
        <v/>
      </c>
      <c r="R767" s="94" t="n">
        <v>0.005988147264049948</v>
      </c>
    </row>
    <row r="768">
      <c r="A768" s="375" t="n">
        <v>45579</v>
      </c>
      <c r="B768" s="376" t="n">
        <v>77.65939109763708</v>
      </c>
      <c r="C768" s="376" t="n">
        <v>77.6972745945054</v>
      </c>
      <c r="D768" s="376" t="n">
        <v>76.52291509374061</v>
      </c>
      <c r="E768" s="376" t="n">
        <v>77.28056335449219</v>
      </c>
      <c r="F768" s="93" t="n">
        <v>8177700</v>
      </c>
      <c r="G768" s="94" t="n">
        <v>-0.006695207388645485</v>
      </c>
      <c r="H768" s="95" t="n">
        <v>57.21177247904733</v>
      </c>
      <c r="I768" s="376" t="n">
        <v>77.16685272216797</v>
      </c>
      <c r="J768" s="376" t="n">
        <v>85.22327590942383</v>
      </c>
      <c r="K768" s="94" t="n">
        <v>0.3819956203572831</v>
      </c>
      <c r="L768" s="94" t="n">
        <v>-0.08765669515477026</v>
      </c>
      <c r="M768" s="94" t="n">
        <v>-0.3307540802390311</v>
      </c>
      <c r="N768" t="n">
        <v>45.33203742390396</v>
      </c>
      <c r="O768" t="n">
        <v>-0.5864711434535657</v>
      </c>
      <c r="P768" s="143">
        <f>MAX($E$2:E768)</f>
        <v/>
      </c>
      <c r="Q768" s="144">
        <f>E768/P768-1</f>
        <v/>
      </c>
      <c r="R768" s="94" t="n">
        <v>0.008178509793848932</v>
      </c>
    </row>
    <row r="769">
      <c r="A769" s="375" t="n">
        <v>45580</v>
      </c>
      <c r="B769" s="376" t="n">
        <v>76.75969578386984</v>
      </c>
      <c r="C769" s="376" t="n">
        <v>78.34129413774038</v>
      </c>
      <c r="D769" s="376" t="n">
        <v>76.75969578386984</v>
      </c>
      <c r="E769" s="376" t="n">
        <v>77.77305603027344</v>
      </c>
      <c r="F769" s="93" t="n">
        <v>11804400</v>
      </c>
      <c r="G769" s="94" t="n">
        <v>0.00637278837528843</v>
      </c>
      <c r="H769" s="95" t="n">
        <v>57.57637099763144</v>
      </c>
      <c r="I769" s="376" t="n">
        <v>77.37553253173829</v>
      </c>
      <c r="J769" s="376" t="n">
        <v>85.1029471206665</v>
      </c>
      <c r="K769" s="94" t="n">
        <v>0.380961459777633</v>
      </c>
      <c r="L769" s="94" t="n">
        <v>-0.08184252434738049</v>
      </c>
      <c r="M769" s="94" t="n">
        <v>-0.3264891176213692</v>
      </c>
      <c r="N769" t="n">
        <v>47.42916776368077</v>
      </c>
      <c r="O769" t="n">
        <v>-0.513225597579879</v>
      </c>
      <c r="P769" s="143">
        <f>MAX($E$2:E769)</f>
        <v/>
      </c>
      <c r="Q769" s="144">
        <f>E769/P769-1</f>
        <v/>
      </c>
      <c r="R769" s="94" t="n">
        <v>-0.007769660270121936</v>
      </c>
    </row>
    <row r="770">
      <c r="A770" s="375" t="n">
        <v>45581</v>
      </c>
      <c r="B770" s="376" t="n">
        <v>77.79199026850152</v>
      </c>
      <c r="C770" s="376" t="n">
        <v>79.63876583154567</v>
      </c>
      <c r="D770" s="376" t="n">
        <v>77.70675780814834</v>
      </c>
      <c r="E770" s="376" t="n">
        <v>79.49671173095703</v>
      </c>
      <c r="F770" s="93" t="n">
        <v>11220600</v>
      </c>
      <c r="G770" s="94" t="n">
        <v>0.02216263303338173</v>
      </c>
      <c r="H770" s="95" t="n">
        <v>58.85241497944579</v>
      </c>
      <c r="I770" s="376" t="n">
        <v>77.59831939697266</v>
      </c>
      <c r="J770" s="376" t="n">
        <v>84.9924063873291</v>
      </c>
      <c r="K770" s="94" t="n">
        <v>0.3881698195930151</v>
      </c>
      <c r="L770" s="94" t="n">
        <v>-0.06149373714763529</v>
      </c>
      <c r="M770" s="94" t="n">
        <v>-0.3115623430912224</v>
      </c>
      <c r="N770" t="n">
        <v>54.07002536371331</v>
      </c>
      <c r="O770" t="n">
        <v>-0.3345817156818525</v>
      </c>
      <c r="P770" s="143">
        <f>MAX($E$2:E770)</f>
        <v/>
      </c>
      <c r="Q770" s="144">
        <f>E770/P770-1</f>
        <v/>
      </c>
      <c r="R770" s="94" t="n">
        <v>0.004346329024053963</v>
      </c>
    </row>
    <row r="771">
      <c r="A771" s="375" t="n">
        <v>45582</v>
      </c>
      <c r="B771" s="376" t="n">
        <v>79.65772177856593</v>
      </c>
      <c r="C771" s="376" t="n">
        <v>80.27331612321431</v>
      </c>
      <c r="D771" s="376" t="n">
        <v>78.96636041984446</v>
      </c>
      <c r="E771" s="376" t="n">
        <v>78.98530578613281</v>
      </c>
      <c r="F771" s="93" t="n">
        <v>9204500</v>
      </c>
      <c r="G771" s="94" t="n">
        <v>-0.006433045262991266</v>
      </c>
      <c r="H771" s="95" t="n">
        <v>58.47381473004667</v>
      </c>
      <c r="I771" s="376" t="n">
        <v>77.80861541748047</v>
      </c>
      <c r="J771" s="376" t="n">
        <v>84.88876071929931</v>
      </c>
      <c r="K771" s="94" t="n">
        <v>0.389351625469713</v>
      </c>
      <c r="L771" s="94" t="n">
        <v>-0.0675311904161654</v>
      </c>
      <c r="M771" s="94" t="n">
        <v>-0.3159910936988642</v>
      </c>
      <c r="N771" t="n">
        <v>51.97228812229731</v>
      </c>
      <c r="O771" t="n">
        <v>-0.2411148394487804</v>
      </c>
      <c r="P771" s="143">
        <f>MAX($E$2:E771)</f>
        <v/>
      </c>
      <c r="Q771" s="144">
        <f>E771/P771-1</f>
        <v/>
      </c>
      <c r="R771" s="94" t="n">
        <v>8.589626262245353e-05</v>
      </c>
    </row>
    <row r="772">
      <c r="A772" s="375" t="n">
        <v>45583</v>
      </c>
      <c r="B772" s="376" t="n">
        <v>79.34517020626501</v>
      </c>
      <c r="C772" s="376" t="n">
        <v>79.5061696553728</v>
      </c>
      <c r="D772" s="376" t="n">
        <v>78.25604310984788</v>
      </c>
      <c r="E772" s="376" t="n">
        <v>78.53069305419922</v>
      </c>
      <c r="F772" s="93" t="n">
        <v>7214800</v>
      </c>
      <c r="G772" s="94" t="n">
        <v>-0.00575566211219769</v>
      </c>
      <c r="H772" s="95" t="n">
        <v>58.13725921004927</v>
      </c>
      <c r="I772" s="376" t="n">
        <v>77.9802131652832</v>
      </c>
      <c r="J772" s="376" t="n">
        <v>84.79458690643311</v>
      </c>
      <c r="K772" s="94" t="n">
        <v>0.2996236877788608</v>
      </c>
      <c r="L772" s="94" t="n">
        <v>-0.07289816581429309</v>
      </c>
      <c r="M772" s="94" t="n">
        <v>-0.3199280178452675</v>
      </c>
      <c r="N772" t="n">
        <v>50.1111054354249</v>
      </c>
      <c r="O772" t="n">
        <v>-0.2017609886535269</v>
      </c>
      <c r="P772" s="143">
        <f>MAX($E$2:E772)</f>
        <v/>
      </c>
      <c r="Q772" s="144">
        <f>E772/P772-1</f>
        <v/>
      </c>
      <c r="R772" s="94" t="n">
        <v>0.0038464495454269</v>
      </c>
    </row>
    <row r="773">
      <c r="A773" s="375" t="n">
        <v>45586</v>
      </c>
      <c r="B773" s="376" t="n">
        <v>78.46439902711322</v>
      </c>
      <c r="C773" s="376" t="n">
        <v>78.69169279289825</v>
      </c>
      <c r="D773" s="376" t="n">
        <v>77.12904002439529</v>
      </c>
      <c r="E773" s="376" t="n">
        <v>77.16692352294922</v>
      </c>
      <c r="F773" s="93" t="n">
        <v>7550200</v>
      </c>
      <c r="G773" s="94" t="n">
        <v>-0.01736607023586012</v>
      </c>
      <c r="H773" s="95" t="n">
        <v>57.12764348328715</v>
      </c>
      <c r="I773" s="376" t="n">
        <v>78.12170700073243</v>
      </c>
      <c r="J773" s="376" t="n">
        <v>84.70173606872558</v>
      </c>
      <c r="K773" s="94" t="n">
        <v>0.3045692939842197</v>
      </c>
      <c r="L773" s="94" t="n">
        <v>-0.08899828138255683</v>
      </c>
      <c r="M773" s="94" t="n">
        <v>-0.3317381956528073</v>
      </c>
      <c r="N773" t="n">
        <v>44.91484248553938</v>
      </c>
      <c r="O773" t="n">
        <v>-0.2559475366181301</v>
      </c>
      <c r="P773" s="143">
        <f>MAX($E$2:E773)</f>
        <v/>
      </c>
      <c r="Q773" s="144">
        <f>E773/P773-1</f>
        <v/>
      </c>
      <c r="R773" s="94" t="n">
        <v>-0.00164219240269714</v>
      </c>
    </row>
    <row r="774">
      <c r="A774" s="375" t="n">
        <v>45587</v>
      </c>
      <c r="B774" s="376" t="n">
        <v>77.04381309482044</v>
      </c>
      <c r="C774" s="376" t="n">
        <v>78.05717336582003</v>
      </c>
      <c r="D774" s="376" t="n">
        <v>76.93016980589246</v>
      </c>
      <c r="E774" s="376" t="n">
        <v>77.110107421875</v>
      </c>
      <c r="F774" s="93" t="n">
        <v>7308800</v>
      </c>
      <c r="G774" s="94" t="n">
        <v>-0.0007362753169409819</v>
      </c>
      <c r="H774" s="95" t="n">
        <v>57.08558180947541</v>
      </c>
      <c r="I774" s="376" t="n">
        <v>78.25640777587891</v>
      </c>
      <c r="J774" s="376" t="n">
        <v>84.6096305847168</v>
      </c>
      <c r="K774" s="94" t="n">
        <v>0.2978381934733746</v>
      </c>
      <c r="L774" s="94" t="n">
        <v>-0.08966902946166566</v>
      </c>
      <c r="M774" s="94" t="n">
        <v>-0.3322302203246025</v>
      </c>
      <c r="N774" t="n">
        <v>44.70685062434331</v>
      </c>
      <c r="O774" t="n">
        <v>-0.2819327751223168</v>
      </c>
      <c r="P774" s="143">
        <f>MAX($E$2:E774)</f>
        <v/>
      </c>
      <c r="Q774" s="144">
        <f>E774/P774-1</f>
        <v/>
      </c>
      <c r="R774" s="94" t="n">
        <v>-0.0005311078445291439</v>
      </c>
    </row>
    <row r="775">
      <c r="A775" s="375" t="n">
        <v>45588</v>
      </c>
      <c r="B775" s="376" t="n">
        <v>76.71232399259114</v>
      </c>
      <c r="C775" s="376" t="n">
        <v>76.75020748878786</v>
      </c>
      <c r="D775" s="376" t="n">
        <v>75.56637532840837</v>
      </c>
      <c r="E775" s="376" t="n">
        <v>75.81261444091797</v>
      </c>
      <c r="F775" s="93" t="n">
        <v>7253100</v>
      </c>
      <c r="G775" s="94" t="n">
        <v>-0.01682649686711435</v>
      </c>
      <c r="H775" s="95" t="n">
        <v>56.12503144600088</v>
      </c>
      <c r="I775" s="376" t="n">
        <v>78.29236968994141</v>
      </c>
      <c r="J775" s="376" t="n">
        <v>84.50383159637451</v>
      </c>
      <c r="K775" s="94" t="n">
        <v>0.2992189947781918</v>
      </c>
      <c r="L775" s="94" t="n">
        <v>-0.1049867106854659</v>
      </c>
      <c r="M775" s="94" t="n">
        <v>-0.3434664464302642</v>
      </c>
      <c r="N775" t="n">
        <v>40.13588857557856</v>
      </c>
      <c r="O775" t="n">
        <v>-0.367414308268976</v>
      </c>
      <c r="P775" s="143">
        <f>MAX($E$2:E775)</f>
        <v/>
      </c>
      <c r="Q775" s="144">
        <f>E775/P775-1</f>
        <v/>
      </c>
      <c r="R775" s="94" t="n">
        <v>-0.009137361442768999</v>
      </c>
    </row>
    <row r="776">
      <c r="A776" s="375" t="n">
        <v>45589</v>
      </c>
      <c r="B776" s="376" t="n">
        <v>76.23880202483974</v>
      </c>
      <c r="C776" s="376" t="n">
        <v>76.52292467415417</v>
      </c>
      <c r="D776" s="376" t="n">
        <v>74.84661404916945</v>
      </c>
      <c r="E776" s="376" t="n">
        <v>74.85608673095703</v>
      </c>
      <c r="F776" s="93" t="n">
        <v>7424500</v>
      </c>
      <c r="G776" s="94" t="n">
        <v>-0.01261699938743543</v>
      </c>
      <c r="H776" s="95" t="n">
        <v>55.41690195862689</v>
      </c>
      <c r="I776" s="376" t="n">
        <v>78.30882400512695</v>
      </c>
      <c r="J776" s="376" t="n">
        <v>84.39736770629882</v>
      </c>
      <c r="K776" s="94" t="n">
        <v>0.2904649025068786</v>
      </c>
      <c r="L776" s="94" t="n">
        <v>-0.116279092808494</v>
      </c>
      <c r="M776" s="94" t="n">
        <v>-0.3517499298734843</v>
      </c>
      <c r="N776" t="n">
        <v>37.12254595676914</v>
      </c>
      <c r="O776" t="n">
        <v>-0.4631088644769301</v>
      </c>
      <c r="P776" s="143">
        <f>MAX($E$2:E776)</f>
        <v/>
      </c>
      <c r="Q776" s="144">
        <f>E776/P776-1</f>
        <v/>
      </c>
      <c r="R776" s="94" t="n">
        <v>0.002162447143422064</v>
      </c>
    </row>
    <row r="777">
      <c r="A777" s="375" t="n">
        <v>45590</v>
      </c>
      <c r="B777" s="376" t="n">
        <v>75.02656445775938</v>
      </c>
      <c r="C777" s="376" t="n">
        <v>75.36750877208887</v>
      </c>
      <c r="D777" s="376" t="n">
        <v>74.36361396854552</v>
      </c>
      <c r="E777" s="376" t="n">
        <v>74.6761474609375</v>
      </c>
      <c r="F777" s="93" t="n">
        <v>9385400</v>
      </c>
      <c r="G777" s="94" t="n">
        <v>-0.002403802788492726</v>
      </c>
      <c r="H777" s="95" t="n">
        <v>55.28369065516912</v>
      </c>
      <c r="I777" s="376" t="n">
        <v>78.2466276550293</v>
      </c>
      <c r="J777" s="376" t="n">
        <v>84.28518463134766</v>
      </c>
      <c r="K777" s="94" t="n">
        <v>0.2897710065221919</v>
      </c>
      <c r="L777" s="94" t="n">
        <v>-0.1184033835894502</v>
      </c>
      <c r="M777" s="94" t="n">
        <v>-0.3533081951996951</v>
      </c>
      <c r="N777" t="n">
        <v>36.56637207838627</v>
      </c>
      <c r="O777" t="n">
        <v>-0.5095727001520749</v>
      </c>
      <c r="P777" s="143">
        <f>MAX($E$2:E777)</f>
        <v/>
      </c>
      <c r="Q777" s="144">
        <f>E777/P777-1</f>
        <v/>
      </c>
      <c r="R777" s="94" t="n">
        <v>-0.0003451845993767133</v>
      </c>
    </row>
    <row r="778">
      <c r="A778" s="375" t="n">
        <v>45593</v>
      </c>
      <c r="B778" s="376" t="n">
        <v>75.12126444041773</v>
      </c>
      <c r="C778" s="376" t="n">
        <v>75.42432522947762</v>
      </c>
      <c r="D778" s="376" t="n">
        <v>74.64773150591547</v>
      </c>
      <c r="E778" s="376" t="n">
        <v>74.73297119140625</v>
      </c>
      <c r="F778" s="93" t="n">
        <v>6617200</v>
      </c>
      <c r="G778" s="94" t="n">
        <v>0.0007609354847673</v>
      </c>
      <c r="H778" s="95" t="n">
        <v>55.32575797711753</v>
      </c>
      <c r="I778" s="376" t="n">
        <v>78.17180191040039</v>
      </c>
      <c r="J778" s="376" t="n">
        <v>84.16331882476807</v>
      </c>
      <c r="K778" s="94" t="n">
        <v>0.2899837924518292</v>
      </c>
      <c r="L778" s="94" t="n">
        <v>-0.1177325454407728</v>
      </c>
      <c r="M778" s="94" t="n">
        <v>-0.3528161044577143</v>
      </c>
      <c r="N778" t="n">
        <v>36.88794069403315</v>
      </c>
      <c r="O778" t="n">
        <v>-0.5064728820816622</v>
      </c>
      <c r="P778" s="143">
        <f>MAX($E$2:E778)</f>
        <v/>
      </c>
      <c r="Q778" s="144">
        <f>E778/P778-1</f>
        <v/>
      </c>
      <c r="R778" s="94" t="n">
        <v>0.003091450291027975</v>
      </c>
    </row>
    <row r="779">
      <c r="A779" s="375" t="n">
        <v>45594</v>
      </c>
      <c r="B779" s="376" t="n">
        <v>74.70455707716451</v>
      </c>
      <c r="C779" s="376" t="n">
        <v>75.26332972656262</v>
      </c>
      <c r="D779" s="376" t="n">
        <v>74.06055196332949</v>
      </c>
      <c r="E779" s="376" t="n">
        <v>74.24996948242188</v>
      </c>
      <c r="F779" s="93" t="n">
        <v>7241100</v>
      </c>
      <c r="G779" s="94" t="n">
        <v>-0.006463033668865026</v>
      </c>
      <c r="H779" s="95" t="n">
        <v>54.96818574055594</v>
      </c>
      <c r="I779" s="376" t="n">
        <v>78.08637359619141</v>
      </c>
      <c r="J779" s="376" t="n">
        <v>84.04296859741211</v>
      </c>
      <c r="K779" s="94" t="n">
        <v>0.2853928139269382</v>
      </c>
      <c r="L779" s="94" t="n">
        <v>-0.1234346697045329</v>
      </c>
      <c r="M779" s="94" t="n">
        <v>-0.3569988757645512</v>
      </c>
      <c r="N779" t="n">
        <v>35.25209387942751</v>
      </c>
      <c r="O779" t="n">
        <v>-0.5057660679045701</v>
      </c>
      <c r="P779" s="143">
        <f>MAX($E$2:E779)</f>
        <v/>
      </c>
      <c r="Q779" s="144">
        <f>E779/P779-1</f>
        <v/>
      </c>
      <c r="R779" s="94" t="n">
        <v>0.001618205608654222</v>
      </c>
    </row>
    <row r="780">
      <c r="A780" s="375" t="n">
        <v>45595</v>
      </c>
      <c r="B780" s="376" t="n">
        <v>73.87113019030875</v>
      </c>
      <c r="C780" s="376" t="n">
        <v>73.97530800323558</v>
      </c>
      <c r="D780" s="376" t="n">
        <v>72.37476453693994</v>
      </c>
      <c r="E780" s="376" t="n">
        <v>72.40317535400391</v>
      </c>
      <c r="F780" s="93" t="n">
        <v>15691300</v>
      </c>
      <c r="G780" s="94" t="n">
        <v>-0.02487265841712138</v>
      </c>
      <c r="H780" s="95" t="n">
        <v>53.60098083282221</v>
      </c>
      <c r="I780" s="376" t="n">
        <v>77.95872924804688</v>
      </c>
      <c r="J780" s="376" t="n">
        <v>83.92901298522949</v>
      </c>
      <c r="K780" s="94" t="n">
        <v>0.186574784005519</v>
      </c>
      <c r="L780" s="94" t="n">
        <v>-0.1452371797452632</v>
      </c>
      <c r="M780" s="94" t="n">
        <v>-0.3729920230894846</v>
      </c>
      <c r="N780" t="n">
        <v>29.80884839442507</v>
      </c>
      <c r="O780" t="n">
        <v>-0.5924774975405255</v>
      </c>
      <c r="P780" s="143">
        <f>MAX($E$2:E780)</f>
        <v/>
      </c>
      <c r="Q780" s="144">
        <f>E780/P780-1</f>
        <v/>
      </c>
      <c r="R780" s="94" t="n">
        <v>-0.003024993900745843</v>
      </c>
    </row>
    <row r="781">
      <c r="A781" s="375" t="n">
        <v>45596</v>
      </c>
      <c r="B781" s="376" t="n">
        <v>72.16640118401827</v>
      </c>
      <c r="C781" s="376" t="n">
        <v>73.24605547007796</v>
      </c>
      <c r="D781" s="376" t="n">
        <v>71.21933551375274</v>
      </c>
      <c r="E781" s="376" t="n">
        <v>73.04717254638672</v>
      </c>
      <c r="F781" s="93" t="n">
        <v>13990100</v>
      </c>
      <c r="G781" s="94" t="n">
        <v>0.008894598741479021</v>
      </c>
      <c r="H781" s="95" t="n">
        <v>54.07774004947987</v>
      </c>
      <c r="I781" s="376" t="n">
        <v>77.83566757202148</v>
      </c>
      <c r="J781" s="376" t="n">
        <v>83.8224887084961</v>
      </c>
      <c r="K781" s="94" t="n">
        <v>0.1895317202218703</v>
      </c>
      <c r="L781" s="94" t="n">
        <v>-0.1376344074399624</v>
      </c>
      <c r="M781" s="94" t="n">
        <v>-0.367415038727159</v>
      </c>
      <c r="N781" t="n">
        <v>33.65587881813583</v>
      </c>
      <c r="O781" t="n">
        <v>-0.5691285731867173</v>
      </c>
      <c r="P781" s="143">
        <f>MAX($E$2:E781)</f>
        <v/>
      </c>
      <c r="Q781" s="144">
        <f>E781/P781-1</f>
        <v/>
      </c>
      <c r="R781" s="94" t="n">
        <v>-0.01960320954984263</v>
      </c>
    </row>
    <row r="782">
      <c r="A782" s="375" t="n">
        <v>45597</v>
      </c>
      <c r="B782" s="376" t="n">
        <v>72.97142435123583</v>
      </c>
      <c r="C782" s="376" t="n">
        <v>73.99424994584713</v>
      </c>
      <c r="D782" s="376" t="n">
        <v>72.88618467012058</v>
      </c>
      <c r="E782" s="376" t="n">
        <v>73.92795562744141</v>
      </c>
      <c r="F782" s="93" t="n">
        <v>9623700</v>
      </c>
      <c r="G782" s="94" t="n">
        <v>0.01205772996203747</v>
      </c>
      <c r="H782" s="95" t="n">
        <v>54.72979483595376</v>
      </c>
      <c r="I782" s="376" t="n">
        <v>77.74134735107423</v>
      </c>
      <c r="J782" s="376" t="n">
        <v>83.7198067855835</v>
      </c>
      <c r="K782" s="94" t="n">
        <v>0.1963785069584009</v>
      </c>
      <c r="L782" s="94" t="n">
        <v>-0.1272362359963209</v>
      </c>
      <c r="M782" s="94" t="n">
        <v>-0.3597875000860852</v>
      </c>
      <c r="N782" t="n">
        <v>38.61151950437494</v>
      </c>
      <c r="O782" t="n">
        <v>-0.4616116589912169</v>
      </c>
      <c r="P782" s="143">
        <f>MAX($E$2:E782)</f>
        <v/>
      </c>
      <c r="Q782" s="144">
        <f>E782/P782-1</f>
        <v/>
      </c>
      <c r="R782" s="94" t="n">
        <v>0.004220637142155814</v>
      </c>
    </row>
    <row r="783">
      <c r="A783" s="375" t="n">
        <v>45600</v>
      </c>
      <c r="B783" s="376" t="n">
        <v>73.86165213311489</v>
      </c>
      <c r="C783" s="376" t="n">
        <v>74.39201384001198</v>
      </c>
      <c r="D783" s="376" t="n">
        <v>73.02823691590214</v>
      </c>
      <c r="E783" s="376" t="n">
        <v>73.10400390625</v>
      </c>
      <c r="F783" s="93" t="n">
        <v>6593800</v>
      </c>
      <c r="G783" s="94" t="n">
        <v>-0.01114533351015001</v>
      </c>
      <c r="H783" s="95" t="n">
        <v>54.11981301956497</v>
      </c>
      <c r="I783" s="376" t="n">
        <v>77.61847915649415</v>
      </c>
      <c r="J783" s="376" t="n">
        <v>83.60907459259033</v>
      </c>
      <c r="K783" s="94" t="n">
        <v>0.191431294991261</v>
      </c>
      <c r="L783" s="94" t="n">
        <v>-0.1369634792217159</v>
      </c>
      <c r="M783" s="94" t="n">
        <v>-0.3669228819149927</v>
      </c>
      <c r="N783" t="n">
        <v>35.90929326360609</v>
      </c>
      <c r="O783" t="n">
        <v>-0.4147161798360117</v>
      </c>
      <c r="P783" s="143">
        <f>MAX($E$2:E783)</f>
        <v/>
      </c>
      <c r="Q783" s="144">
        <f>E783/P783-1</f>
        <v/>
      </c>
      <c r="R783" s="94" t="n">
        <v>-0.002153992179230291</v>
      </c>
    </row>
    <row r="784">
      <c r="A784" s="375" t="n">
        <v>45601</v>
      </c>
      <c r="B784" s="376" t="n">
        <v>73.16083451268688</v>
      </c>
      <c r="C784" s="376" t="n">
        <v>73.87113387688773</v>
      </c>
      <c r="D784" s="376" t="n">
        <v>72.92406805795326</v>
      </c>
      <c r="E784" s="376" t="n">
        <v>73.85219573974609</v>
      </c>
      <c r="F784" s="93" t="n">
        <v>5629200</v>
      </c>
      <c r="G784" s="94" t="n">
        <v>0.01023462181983348</v>
      </c>
      <c r="H784" s="95" t="n">
        <v>54.67370883878031</v>
      </c>
      <c r="I784" s="376" t="n">
        <v>77.50623764038086</v>
      </c>
      <c r="J784" s="376" t="n">
        <v>83.50779205322266</v>
      </c>
      <c r="K784" s="94" t="n">
        <v>0.1964636864932474</v>
      </c>
      <c r="L784" s="94" t="n">
        <v>-0.1281306268148453</v>
      </c>
      <c r="M784" s="94" t="n">
        <v>-0.3604435770286025</v>
      </c>
      <c r="N784" t="n">
        <v>40.01460568841478</v>
      </c>
      <c r="O784" t="n">
        <v>-0.3069996293316695</v>
      </c>
      <c r="P784" s="143">
        <f>MAX($E$2:E784)</f>
        <v/>
      </c>
      <c r="Q784" s="144">
        <f>E784/P784-1</f>
        <v/>
      </c>
      <c r="R784" s="94" t="n">
        <v>0.01209181362081324</v>
      </c>
    </row>
    <row r="785">
      <c r="A785" s="375" t="n">
        <v>45602</v>
      </c>
      <c r="B785" s="376" t="n">
        <v>72.80095515419998</v>
      </c>
      <c r="C785" s="376" t="n">
        <v>72.87671493148081</v>
      </c>
      <c r="D785" s="376" t="n">
        <v>71.14358990159479</v>
      </c>
      <c r="E785" s="376" t="n">
        <v>71.33300018310547</v>
      </c>
      <c r="F785" s="93" t="n">
        <v>16193700</v>
      </c>
      <c r="G785" s="94" t="n">
        <v>-0.03411131560012415</v>
      </c>
      <c r="H785" s="95" t="n">
        <v>52.80871670155138</v>
      </c>
      <c r="I785" s="376" t="n">
        <v>77.32456680297851</v>
      </c>
      <c r="J785" s="376" t="n">
        <v>83.38764328002929</v>
      </c>
      <c r="K785" s="94" t="n">
        <v>0.209382866665721</v>
      </c>
      <c r="L785" s="94" t="n">
        <v>-0.1578712381656465</v>
      </c>
      <c r="M785" s="94" t="n">
        <v>-0.3822596880166664</v>
      </c>
      <c r="N785" t="n">
        <v>32.47238914375278</v>
      </c>
      <c r="O785" t="n">
        <v>-0.3746256049471857</v>
      </c>
      <c r="P785" s="143">
        <f>MAX($E$2:E785)</f>
        <v/>
      </c>
      <c r="Q785" s="144">
        <f>E785/P785-1</f>
        <v/>
      </c>
      <c r="R785" s="94" t="n">
        <v>0.02486540555043892</v>
      </c>
    </row>
    <row r="786">
      <c r="A786" s="375" t="n">
        <v>45603</v>
      </c>
      <c r="B786" s="376" t="n">
        <v>71.69288945231176</v>
      </c>
      <c r="C786" s="376" t="n">
        <v>72.32742912958055</v>
      </c>
      <c r="D786" s="376" t="n">
        <v>71.228829160432</v>
      </c>
      <c r="E786" s="376" t="n">
        <v>71.9012451171875</v>
      </c>
      <c r="F786" s="93" t="n">
        <v>11831100</v>
      </c>
      <c r="G786" s="94" t="n">
        <v>0.007966087682046208</v>
      </c>
      <c r="H786" s="95" t="n">
        <v>53.22939556917228</v>
      </c>
      <c r="I786" s="376" t="n">
        <v>77.20140365600587</v>
      </c>
      <c r="J786" s="376" t="n">
        <v>83.27567008972169</v>
      </c>
      <c r="K786" s="94" t="n">
        <v>0.2139615726525102</v>
      </c>
      <c r="L786" s="94" t="n">
        <v>-0.1511627666093011</v>
      </c>
      <c r="M786" s="94" t="n">
        <v>-0.3773387145266727</v>
      </c>
      <c r="N786" t="n">
        <v>35.42888396632431</v>
      </c>
      <c r="O786" t="n">
        <v>-0.350720726770386</v>
      </c>
      <c r="P786" s="143">
        <f>MAX($E$2:E786)</f>
        <v/>
      </c>
      <c r="Q786" s="144">
        <f>E786/P786-1</f>
        <v/>
      </c>
      <c r="R786" s="94" t="n">
        <v>0.007732246034327872</v>
      </c>
    </row>
    <row r="787">
      <c r="A787" s="375" t="n">
        <v>45604</v>
      </c>
      <c r="B787" s="376" t="n">
        <v>71.50345992250152</v>
      </c>
      <c r="C787" s="376" t="n">
        <v>72.50734724632744</v>
      </c>
      <c r="D787" s="376" t="n">
        <v>71.26669349891708</v>
      </c>
      <c r="E787" s="376" t="n">
        <v>71.86334228515625</v>
      </c>
      <c r="F787" s="93" t="n">
        <v>8140800</v>
      </c>
      <c r="G787" s="94" t="n">
        <v>-0.0005271512610035556</v>
      </c>
      <c r="H787" s="95" t="n">
        <v>53.20133562617553</v>
      </c>
      <c r="I787" s="376" t="n">
        <v>77.0686196899414</v>
      </c>
      <c r="J787" s="376" t="n">
        <v>83.16346061706543</v>
      </c>
      <c r="K787" s="94" t="n">
        <v>0.2136875538199758</v>
      </c>
      <c r="L787" s="94" t="n">
        <v>-0.1516102322272698</v>
      </c>
      <c r="M787" s="94" t="n">
        <v>-0.377666951208488</v>
      </c>
      <c r="N787" t="n">
        <v>35.31781051108797</v>
      </c>
      <c r="O787" t="n">
        <v>-0.3085827867806605</v>
      </c>
      <c r="P787" s="143">
        <f>MAX($E$2:E787)</f>
        <v/>
      </c>
      <c r="Q787" s="144">
        <f>E787/P787-1</f>
        <v/>
      </c>
      <c r="R787" s="94" t="n">
        <v>0.004331774643717257</v>
      </c>
    </row>
    <row r="788">
      <c r="A788" s="375" t="n">
        <v>45607</v>
      </c>
      <c r="B788" s="376" t="n">
        <v>72.11907315394794</v>
      </c>
      <c r="C788" s="376" t="n">
        <v>73.30290558515017</v>
      </c>
      <c r="D788" s="376" t="n">
        <v>72.07171696648395</v>
      </c>
      <c r="E788" s="376" t="n">
        <v>72.54524993896484</v>
      </c>
      <c r="F788" s="93" t="n">
        <v>9877200</v>
      </c>
      <c r="G788" s="94" t="n">
        <v>0.009488949889120857</v>
      </c>
      <c r="H788" s="95" t="n">
        <v>53.70616043396661</v>
      </c>
      <c r="I788" s="376" t="n">
        <v>76.94834243774415</v>
      </c>
      <c r="J788" s="376" t="n">
        <v>83.04539581298827</v>
      </c>
      <c r="K788" s="94" t="n">
        <v>0.218522302153122</v>
      </c>
      <c r="L788" s="94" t="n">
        <v>-0.1435599042344314</v>
      </c>
      <c r="M788" s="94" t="n">
        <v>-0.3717616640941614</v>
      </c>
      <c r="N788" t="n">
        <v>39.02176986749333</v>
      </c>
      <c r="O788" t="n">
        <v>-0.2105857111348874</v>
      </c>
      <c r="P788" s="143">
        <f>MAX($E$2:E788)</f>
        <v/>
      </c>
      <c r="Q788" s="144">
        <f>E788/P788-1</f>
        <v/>
      </c>
      <c r="R788" s="94" t="n">
        <v>0.0009529553830236459</v>
      </c>
    </row>
    <row r="789">
      <c r="A789" s="375" t="n">
        <v>45608</v>
      </c>
      <c r="B789" s="376" t="n">
        <v>72.4126561585265</v>
      </c>
      <c r="C789" s="376" t="n">
        <v>73.331311216193</v>
      </c>
      <c r="D789" s="376" t="n">
        <v>72.1095953666144</v>
      </c>
      <c r="E789" s="376" t="n">
        <v>72.60207366943359</v>
      </c>
      <c r="F789" s="93" t="n">
        <v>9013900</v>
      </c>
      <c r="G789" s="94" t="n">
        <v>0.0007832867143824362</v>
      </c>
      <c r="H789" s="95" t="n">
        <v>53.74822775591502</v>
      </c>
      <c r="I789" s="376" t="n">
        <v>76.86007614135742</v>
      </c>
      <c r="J789" s="376" t="n">
        <v>82.92232761383056</v>
      </c>
      <c r="K789" s="94" t="n">
        <v>0.2162086433821206</v>
      </c>
      <c r="L789" s="94" t="n">
        <v>-0.1428890660857539</v>
      </c>
      <c r="M789" s="94" t="n">
        <v>-0.3712695733521807</v>
      </c>
      <c r="N789" t="n">
        <v>39.33352893459294</v>
      </c>
      <c r="O789" t="n">
        <v>-0.122125808313778</v>
      </c>
      <c r="P789" s="143">
        <f>MAX($E$2:E789)</f>
        <v/>
      </c>
      <c r="Q789" s="144">
        <f>E789/P789-1</f>
        <v/>
      </c>
      <c r="R789" s="94" t="n">
        <v>-0.003106436352157016</v>
      </c>
    </row>
    <row r="790">
      <c r="A790" s="375" t="n">
        <v>45609</v>
      </c>
      <c r="B790" s="376" t="n">
        <v>72.83883711704071</v>
      </c>
      <c r="C790" s="376" t="n">
        <v>73.19871953452486</v>
      </c>
      <c r="D790" s="376" t="n">
        <v>72.42212583587249</v>
      </c>
      <c r="E790" s="376" t="n">
        <v>72.46947479248047</v>
      </c>
      <c r="F790" s="93" t="n">
        <v>6835300</v>
      </c>
      <c r="G790" s="94" t="n">
        <v>-0.001826378645283122</v>
      </c>
      <c r="H790" s="95" t="n">
        <v>53.65006314051981</v>
      </c>
      <c r="I790" s="376" t="n">
        <v>76.77483993530274</v>
      </c>
      <c r="J790" s="376" t="n">
        <v>82.79719264984131</v>
      </c>
      <c r="K790" s="94" t="n">
        <v>0.1943330057740612</v>
      </c>
      <c r="L790" s="94" t="n">
        <v>-0.1444544751920934</v>
      </c>
      <c r="M790" s="94" t="n">
        <v>-0.37241787317705</v>
      </c>
      <c r="N790" t="n">
        <v>38.83457820928959</v>
      </c>
      <c r="O790" t="n">
        <v>-0.05609099379164117</v>
      </c>
      <c r="P790" s="143">
        <f>MAX($E$2:E790)</f>
        <v/>
      </c>
      <c r="Q790" s="144">
        <f>E790/P790-1</f>
        <v/>
      </c>
      <c r="R790" s="94" t="n">
        <v>0.0004859287788467892</v>
      </c>
    </row>
    <row r="791">
      <c r="A791" s="375" t="n">
        <v>45610</v>
      </c>
      <c r="B791" s="376" t="n">
        <v>72.6210006691807</v>
      </c>
      <c r="C791" s="376" t="n">
        <v>72.90512327919313</v>
      </c>
      <c r="D791" s="376" t="n">
        <v>71.66446225604619</v>
      </c>
      <c r="E791" s="376" t="n">
        <v>71.67393493652344</v>
      </c>
      <c r="F791" s="93" t="n">
        <v>6991600</v>
      </c>
      <c r="G791" s="94" t="n">
        <v>-0.01097758550389794</v>
      </c>
      <c r="H791" s="95" t="n">
        <v>53.06111498510523</v>
      </c>
      <c r="I791" s="376" t="n">
        <v>76.67729202270507</v>
      </c>
      <c r="J791" s="376" t="n">
        <v>82.68047988891601</v>
      </c>
      <c r="K791" s="94" t="n">
        <v>0.1955841472523613</v>
      </c>
      <c r="L791" s="94" t="n">
        <v>-0.1538462993431495</v>
      </c>
      <c r="M791" s="94" t="n">
        <v>-0.379307209634967</v>
      </c>
      <c r="N791" t="n">
        <v>35.89280664739755</v>
      </c>
      <c r="O791" t="n">
        <v>-0.04975294607186154</v>
      </c>
      <c r="P791" s="143">
        <f>MAX($E$2:E791)</f>
        <v/>
      </c>
      <c r="Q791" s="144">
        <f>E791/P791-1</f>
        <v/>
      </c>
      <c r="R791" s="94" t="n">
        <v>-0.006430384019338153</v>
      </c>
    </row>
    <row r="792">
      <c r="A792" s="375" t="n">
        <v>45611</v>
      </c>
      <c r="B792" s="376" t="n">
        <v>71.97700672174905</v>
      </c>
      <c r="C792" s="376" t="n">
        <v>73.53966686542118</v>
      </c>
      <c r="D792" s="376" t="n">
        <v>71.60765160740426</v>
      </c>
      <c r="E792" s="376" t="n">
        <v>72.60207366943359</v>
      </c>
      <c r="F792" s="93" t="n">
        <v>13584900</v>
      </c>
      <c r="G792" s="94" t="n">
        <v>0.01294945971268557</v>
      </c>
      <c r="H792" s="95" t="n">
        <v>53.74822775591502</v>
      </c>
      <c r="I792" s="376" t="n">
        <v>76.60209518432617</v>
      </c>
      <c r="J792" s="376" t="n">
        <v>82.56733158111572</v>
      </c>
      <c r="K792" s="94" t="n">
        <v>0.2053622615402666</v>
      </c>
      <c r="L792" s="94" t="n">
        <v>-0.1428890660857539</v>
      </c>
      <c r="M792" s="94" t="n">
        <v>-0.3712695733521807</v>
      </c>
      <c r="N792" t="n">
        <v>41.46400938833541</v>
      </c>
      <c r="O792" t="n">
        <v>0.02895061154225753</v>
      </c>
      <c r="P792" s="143">
        <f>MAX($E$2:E792)</f>
        <v/>
      </c>
      <c r="Q792" s="144">
        <f>E792/P792-1</f>
        <v/>
      </c>
      <c r="R792" s="94" t="n">
        <v>-0.01280845483464232</v>
      </c>
    </row>
    <row r="793">
      <c r="A793" s="375" t="n">
        <v>45614</v>
      </c>
      <c r="B793" s="376" t="n">
        <v>72.12853599409249</v>
      </c>
      <c r="C793" s="376" t="n">
        <v>72.1664122682475</v>
      </c>
      <c r="D793" s="376" t="n">
        <v>70.31963681779368</v>
      </c>
      <c r="E793" s="376" t="n">
        <v>70.92575836181641</v>
      </c>
      <c r="F793" s="93" t="n">
        <v>12595100</v>
      </c>
      <c r="G793" s="94" t="n">
        <v>-0.02308908303707224</v>
      </c>
      <c r="H793" s="95" t="n">
        <v>52.50723046216324</v>
      </c>
      <c r="I793" s="376" t="n">
        <v>76.51496505737305</v>
      </c>
      <c r="J793" s="376" t="n">
        <v>82.45071491241455</v>
      </c>
      <c r="K793" s="94" t="n">
        <v>0.2112823191035074</v>
      </c>
      <c r="L793" s="94" t="n">
        <v>-0.1626789716108824</v>
      </c>
      <c r="M793" s="94" t="n">
        <v>-0.3857863823809859</v>
      </c>
      <c r="N793" t="n">
        <v>35.46866022903529</v>
      </c>
      <c r="O793" t="n">
        <v>-0.01739045842307352</v>
      </c>
      <c r="P793" s="143">
        <f>MAX($E$2:E793)</f>
        <v/>
      </c>
      <c r="Q793" s="144">
        <f>E793/P793-1</f>
        <v/>
      </c>
      <c r="R793" s="94" t="n">
        <v>0.004097350095992214</v>
      </c>
    </row>
    <row r="794">
      <c r="A794" s="375" t="n">
        <v>45615</v>
      </c>
      <c r="B794" s="376" t="n">
        <v>70.55639253630336</v>
      </c>
      <c r="C794" s="376" t="n">
        <v>70.77422082001442</v>
      </c>
      <c r="D794" s="376" t="n">
        <v>69.70403198673043</v>
      </c>
      <c r="E794" s="376" t="n">
        <v>69.99762725830078</v>
      </c>
      <c r="F794" s="93" t="n">
        <v>12028400</v>
      </c>
      <c r="G794" s="94" t="n">
        <v>-0.01308595247978761</v>
      </c>
      <c r="H794" s="95" t="n">
        <v>51.82012333949011</v>
      </c>
      <c r="I794" s="376" t="n">
        <v>76.43579025268555</v>
      </c>
      <c r="J794" s="376" t="n">
        <v>82.33427719116212</v>
      </c>
      <c r="K794" s="94" t="n">
        <v>0.2131957600841648</v>
      </c>
      <c r="L794" s="94" t="n">
        <v>-0.1736361147987093</v>
      </c>
      <c r="M794" s="94" t="n">
        <v>-0.3938239525935868</v>
      </c>
      <c r="N794" t="n">
        <v>32.65345162524352</v>
      </c>
      <c r="O794" t="n">
        <v>-0.09189079859213001</v>
      </c>
      <c r="P794" s="143">
        <f>MAX($E$2:E794)</f>
        <v/>
      </c>
      <c r="Q794" s="144">
        <f>E794/P794-1</f>
        <v/>
      </c>
      <c r="R794" s="94" t="n">
        <v>0.003655314725050429</v>
      </c>
    </row>
    <row r="795">
      <c r="A795" s="375" t="n">
        <v>45616</v>
      </c>
      <c r="B795" s="376" t="n">
        <v>69.76086822725756</v>
      </c>
      <c r="C795" s="376" t="n">
        <v>69.93133312968475</v>
      </c>
      <c r="D795" s="376" t="n">
        <v>68.86115140861861</v>
      </c>
      <c r="E795" s="376" t="n">
        <v>69.47674560546875</v>
      </c>
      <c r="F795" s="93" t="n">
        <v>12290300</v>
      </c>
      <c r="G795" s="94" t="n">
        <v>-0.007441418705664171</v>
      </c>
      <c r="H795" s="95" t="n">
        <v>51.4345081043418</v>
      </c>
      <c r="I795" s="376" t="n">
        <v>76.34032577514648</v>
      </c>
      <c r="J795" s="376" t="n">
        <v>82.20152492523194</v>
      </c>
      <c r="K795" s="94" t="n">
        <v>0.2086945378515888</v>
      </c>
      <c r="L795" s="94" t="n">
        <v>-0.1797854344717316</v>
      </c>
      <c r="M795" s="94" t="n">
        <v>-0.3983347623716825</v>
      </c>
      <c r="N795" t="n">
        <v>31.15873116912826</v>
      </c>
      <c r="O795" t="n">
        <v>-0.1539362466002767</v>
      </c>
      <c r="P795" s="143">
        <f>MAX($E$2:E795)</f>
        <v/>
      </c>
      <c r="Q795" s="144">
        <f>E795/P795-1</f>
        <v/>
      </c>
      <c r="R795" s="94" t="n">
        <v>0.000338822870321609</v>
      </c>
    </row>
    <row r="796">
      <c r="A796" s="375" t="n">
        <v>45617</v>
      </c>
      <c r="B796" s="376" t="n">
        <v>69.47675637249732</v>
      </c>
      <c r="C796" s="376" t="n">
        <v>71.56029850338018</v>
      </c>
      <c r="D796" s="376" t="n">
        <v>69.32522235724934</v>
      </c>
      <c r="E796" s="376" t="n">
        <v>71.12464904785156</v>
      </c>
      <c r="F796" s="93" t="n">
        <v>12818600</v>
      </c>
      <c r="G796" s="94" t="n">
        <v>0.02371877709616133</v>
      </c>
      <c r="H796" s="95" t="n">
        <v>52.65447173711939</v>
      </c>
      <c r="I796" s="376" t="n">
        <v>76.27781936645508</v>
      </c>
      <c r="J796" s="376" t="n">
        <v>82.07149074554444</v>
      </c>
      <c r="K796" s="94" t="n">
        <v>0.2283527160903206</v>
      </c>
      <c r="L796" s="94" t="n">
        <v>-0.1603309480209416</v>
      </c>
      <c r="M796" s="94" t="n">
        <v>-0.3840639987138675</v>
      </c>
      <c r="N796" t="n">
        <v>40.44657696142984</v>
      </c>
      <c r="O796" t="n">
        <v>-0.06616503464020607</v>
      </c>
      <c r="P796" s="143">
        <f>MAX($E$2:E796)</f>
        <v/>
      </c>
      <c r="Q796" s="144">
        <f>E796/P796-1</f>
        <v/>
      </c>
      <c r="R796" s="94" t="n">
        <v>0.005368359607974105</v>
      </c>
    </row>
    <row r="797">
      <c r="A797" s="375" t="n">
        <v>45618</v>
      </c>
      <c r="B797" s="376" t="n">
        <v>72.10013198467384</v>
      </c>
      <c r="C797" s="376" t="n">
        <v>73.39761500597389</v>
      </c>
      <c r="D797" s="376" t="n">
        <v>71.81601651997481</v>
      </c>
      <c r="E797" s="376" t="n">
        <v>73.30290985107422</v>
      </c>
      <c r="F797" s="93" t="n">
        <v>12248600</v>
      </c>
      <c r="G797" s="94" t="n">
        <v>0.03062596205932988</v>
      </c>
      <c r="H797" s="95" t="n">
        <v>54.26706559079446</v>
      </c>
      <c r="I797" s="376" t="n">
        <v>76.24732421874999</v>
      </c>
      <c r="J797" s="376" t="n">
        <v>81.95244148254395</v>
      </c>
      <c r="K797" s="94" t="n">
        <v>0.2567791136167812</v>
      </c>
      <c r="L797" s="94" t="n">
        <v>-0.1346152754926376</v>
      </c>
      <c r="M797" s="94" t="n">
        <v>-0.3652003661075031</v>
      </c>
      <c r="N797" t="n">
        <v>50.04144112803569</v>
      </c>
      <c r="O797" t="n">
        <v>0.1449042166459784</v>
      </c>
      <c r="P797" s="143">
        <f>MAX($E$2:E797)</f>
        <v/>
      </c>
      <c r="Q797" s="144">
        <f>E797/P797-1</f>
        <v/>
      </c>
      <c r="R797" s="94" t="n">
        <v>0.003099412387509881</v>
      </c>
    </row>
    <row r="798">
      <c r="A798" s="375" t="n">
        <v>45621</v>
      </c>
      <c r="B798" s="376" t="n">
        <v>74.34468094240636</v>
      </c>
      <c r="C798" s="376" t="n">
        <v>75.63269127945176</v>
      </c>
      <c r="D798" s="376" t="n">
        <v>74.25944847073166</v>
      </c>
      <c r="E798" s="376" t="n">
        <v>75.064453125</v>
      </c>
      <c r="F798" s="93" t="n">
        <v>18328900</v>
      </c>
      <c r="G798" s="94" t="n">
        <v>0.02403101428721754</v>
      </c>
      <c r="H798" s="95" t="n">
        <v>55.57115821933222</v>
      </c>
      <c r="I798" s="376" t="n">
        <v>76.23709594726563</v>
      </c>
      <c r="J798" s="376" t="n">
        <v>81.83878402709961</v>
      </c>
      <c r="K798" s="94" t="n">
        <v>0.2715211302457037</v>
      </c>
      <c r="L798" s="94" t="n">
        <v>-0.1138192028140613</v>
      </c>
      <c r="M798" s="94" t="n">
        <v>-0.3499454870359121</v>
      </c>
      <c r="N798" t="n">
        <v>56.1887603596652</v>
      </c>
      <c r="O798" t="n">
        <v>0.3952654861615503</v>
      </c>
      <c r="P798" s="143">
        <f>MAX($E$2:E798)</f>
        <v/>
      </c>
      <c r="Q798" s="144">
        <f>E798/P798-1</f>
        <v/>
      </c>
      <c r="R798" s="94" t="n">
        <v>0.003392035003947358</v>
      </c>
    </row>
    <row r="799">
      <c r="A799" s="375" t="n">
        <v>45622</v>
      </c>
      <c r="B799" s="376" t="n">
        <v>74.72349340352345</v>
      </c>
      <c r="C799" s="376" t="n">
        <v>74.72349340352345</v>
      </c>
      <c r="D799" s="376" t="n">
        <v>73.46389414968958</v>
      </c>
      <c r="E799" s="376" t="n">
        <v>73.50177764892578</v>
      </c>
      <c r="F799" s="93" t="n">
        <v>9495600</v>
      </c>
      <c r="G799" s="94" t="n">
        <v>-0.0208177827322874</v>
      </c>
      <c r="H799" s="95" t="n">
        <v>54.4142899213406</v>
      </c>
      <c r="I799" s="376" t="n">
        <v>76.1797038269043</v>
      </c>
      <c r="J799" s="376" t="n">
        <v>81.70477279663086</v>
      </c>
      <c r="K799" s="94" t="n">
        <v>0.2809240679291712</v>
      </c>
      <c r="L799" s="94" t="n">
        <v>-0.1322675221114034</v>
      </c>
      <c r="M799" s="94" t="n">
        <v>-0.3634781806509413</v>
      </c>
      <c r="N799" t="n">
        <v>50.27835718427138</v>
      </c>
      <c r="O799" t="n">
        <v>0.4440851153991972</v>
      </c>
      <c r="P799" s="143">
        <f>MAX($E$2:E799)</f>
        <v/>
      </c>
      <c r="Q799" s="144">
        <f>E799/P799-1</f>
        <v/>
      </c>
      <c r="R799" s="94" t="n">
        <v>0.005221493093082286</v>
      </c>
    </row>
    <row r="800">
      <c r="A800" s="375" t="n">
        <v>45623</v>
      </c>
      <c r="B800" s="376" t="n">
        <v>73.50177651301891</v>
      </c>
      <c r="C800" s="376" t="n">
        <v>74.86555356229168</v>
      </c>
      <c r="D800" s="376" t="n">
        <v>73.48283115092426</v>
      </c>
      <c r="E800" s="376" t="n">
        <v>74.19313049316406</v>
      </c>
      <c r="F800" s="93" t="n">
        <v>8713500</v>
      </c>
      <c r="G800" s="94" t="n">
        <v>0.009405933657012477</v>
      </c>
      <c r="H800" s="95" t="n">
        <v>54.92610712233417</v>
      </c>
      <c r="I800" s="376" t="n">
        <v>76.13121383666993</v>
      </c>
      <c r="J800" s="376" t="n">
        <v>81.58441909790039</v>
      </c>
      <c r="K800" s="94" t="n">
        <v>0.2672678108186839</v>
      </c>
      <c r="L800" s="94" t="n">
        <v>-0.1241056879923482</v>
      </c>
      <c r="M800" s="94" t="n">
        <v>-0.3574910986469032</v>
      </c>
      <c r="N800" t="n">
        <v>52.65132124993443</v>
      </c>
      <c r="O800" t="n">
        <v>0.5068578051598081</v>
      </c>
      <c r="P800" s="143">
        <f>MAX($E$2:E800)</f>
        <v/>
      </c>
      <c r="Q800" s="144">
        <f>E800/P800-1</f>
        <v/>
      </c>
      <c r="R800" s="94" t="n">
        <v>-0.003030023597922704</v>
      </c>
    </row>
    <row r="801">
      <c r="A801" s="375" t="n">
        <v>45625</v>
      </c>
      <c r="B801" s="376" t="n">
        <v>74.06054507990729</v>
      </c>
      <c r="C801" s="376" t="n">
        <v>74.98867277334797</v>
      </c>
      <c r="D801" s="376" t="n">
        <v>73.89954562279722</v>
      </c>
      <c r="E801" s="376" t="n">
        <v>74.60037231445312</v>
      </c>
      <c r="F801" s="93" t="n">
        <v>7123500</v>
      </c>
      <c r="G801" s="94" t="n">
        <v>0.005488942420708076</v>
      </c>
      <c r="H801" s="95" t="n">
        <v>55.22759336172231</v>
      </c>
      <c r="I801" s="376" t="n">
        <v>76.08935333251954</v>
      </c>
      <c r="J801" s="376" t="n">
        <v>81.45987823486328</v>
      </c>
      <c r="K801" s="94" t="n">
        <v>0.2662653855040105</v>
      </c>
      <c r="L801" s="94" t="n">
        <v>-0.1192979545471125</v>
      </c>
      <c r="M801" s="94" t="n">
        <v>-0.3539644042825836</v>
      </c>
      <c r="N801" t="n">
        <v>54.04267553491349</v>
      </c>
      <c r="O801" t="n">
        <v>0.5557988216021021</v>
      </c>
      <c r="P801" s="143">
        <f>MAX($E$2:E801)</f>
        <v/>
      </c>
      <c r="Q801" s="144">
        <f>E801/P801-1</f>
        <v/>
      </c>
      <c r="R801" s="94" t="n">
        <v>0.006212147107364174</v>
      </c>
    </row>
    <row r="802">
      <c r="A802" s="375" t="n">
        <v>45628</v>
      </c>
      <c r="B802" s="376" t="n">
        <v>74.172015291918</v>
      </c>
      <c r="C802" s="376" t="n">
        <v>75.29525711348735</v>
      </c>
      <c r="D802" s="376" t="n">
        <v>73.48664641605636</v>
      </c>
      <c r="E802" s="376" t="n">
        <v>75.28573608398438</v>
      </c>
      <c r="F802" s="93" t="n">
        <v>11221000</v>
      </c>
      <c r="G802" s="94" t="n">
        <v>0.009187136045947897</v>
      </c>
      <c r="H802" s="95" t="n">
        <v>55.73497677542674</v>
      </c>
      <c r="I802" s="376" t="n">
        <v>75.95626556396485</v>
      </c>
      <c r="J802" s="376" t="n">
        <v>81.34007438659668</v>
      </c>
      <c r="K802" s="94" t="n">
        <v>0.2649023876476918</v>
      </c>
      <c r="L802" s="94" t="n">
        <v>-0.1112068250395922</v>
      </c>
      <c r="M802" s="94" t="n">
        <v>-0.3480291873742026</v>
      </c>
      <c r="N802" t="n">
        <v>56.36650025984066</v>
      </c>
      <c r="O802" t="n">
        <v>0.6099871592716618</v>
      </c>
      <c r="P802" s="143">
        <f>MAX($E$2:E802)</f>
        <v/>
      </c>
      <c r="Q802" s="144">
        <f>E802/P802-1</f>
        <v/>
      </c>
      <c r="R802" s="94" t="n">
        <v>0.001792218141985602</v>
      </c>
    </row>
    <row r="803">
      <c r="A803" s="375" t="n">
        <v>45629</v>
      </c>
      <c r="B803" s="376" t="n">
        <v>75.2000683414184</v>
      </c>
      <c r="C803" s="376" t="n">
        <v>75.5808296336053</v>
      </c>
      <c r="D803" s="376" t="n">
        <v>73.87692847944255</v>
      </c>
      <c r="E803" s="376" t="n">
        <v>75.06680297851562</v>
      </c>
      <c r="F803" s="93" t="n">
        <v>9414500</v>
      </c>
      <c r="G803" s="94" t="n">
        <v>-0.00290802902191889</v>
      </c>
      <c r="H803" s="95" t="n">
        <v>55.57289784542782</v>
      </c>
      <c r="I803" s="376" t="n">
        <v>75.8248600769043</v>
      </c>
      <c r="J803" s="376" t="n">
        <v>81.23106117248535</v>
      </c>
      <c r="K803" s="94" t="n">
        <v>0.2614670708724223</v>
      </c>
      <c r="L803" s="94" t="n">
        <v>-0.1137914613868606</v>
      </c>
      <c r="M803" s="94" t="n">
        <v>-0.3499251374187625</v>
      </c>
      <c r="N803" t="n">
        <v>55.4027708882355</v>
      </c>
      <c r="O803" t="n">
        <v>0.6055233759425455</v>
      </c>
      <c r="P803" s="143">
        <f>MAX($E$2:E803)</f>
        <v/>
      </c>
      <c r="Q803" s="144">
        <f>E803/P803-1</f>
        <v/>
      </c>
      <c r="R803" s="94" t="n">
        <v>0.0004639596457520767</v>
      </c>
    </row>
    <row r="804">
      <c r="A804" s="375" t="n">
        <v>45630</v>
      </c>
      <c r="B804" s="376" t="n">
        <v>74.0768322190366</v>
      </c>
      <c r="C804" s="376" t="n">
        <v>74.73364531699626</v>
      </c>
      <c r="D804" s="376" t="n">
        <v>73.39146329289056</v>
      </c>
      <c r="E804" s="376" t="n">
        <v>74.60037994384766</v>
      </c>
      <c r="F804" s="93" t="n">
        <v>15042600</v>
      </c>
      <c r="G804" s="94" t="n">
        <v>-0.006213439445415858</v>
      </c>
      <c r="H804" s="95" t="n">
        <v>55.22759900985896</v>
      </c>
      <c r="I804" s="376" t="n">
        <v>75.66026031494141</v>
      </c>
      <c r="J804" s="376" t="n">
        <v>81.12069843292237</v>
      </c>
      <c r="K804" s="94" t="n">
        <v>0.2606589965978606</v>
      </c>
      <c r="L804" s="94" t="n">
        <v>-0.1192978644775439</v>
      </c>
      <c r="M804" s="94" t="n">
        <v>-0.353964338212398</v>
      </c>
      <c r="N804" t="n">
        <v>53.31150986451809</v>
      </c>
      <c r="O804" t="n">
        <v>0.5473572389915881</v>
      </c>
      <c r="P804" s="143">
        <f>MAX($E$2:E804)</f>
        <v/>
      </c>
      <c r="Q804" s="144">
        <f>E804/P804-1</f>
        <v/>
      </c>
      <c r="R804" s="94" t="n">
        <v>0.006209626570398141</v>
      </c>
    </row>
    <row r="805">
      <c r="A805" s="375" t="n">
        <v>45631</v>
      </c>
      <c r="B805" s="376" t="n">
        <v>74.49566250814598</v>
      </c>
      <c r="C805" s="376" t="n">
        <v>75.10487765298683</v>
      </c>
      <c r="D805" s="376" t="n">
        <v>74.34335509072707</v>
      </c>
      <c r="E805" s="376" t="n">
        <v>74.80027008056641</v>
      </c>
      <c r="F805" s="93" t="n">
        <v>8316500</v>
      </c>
      <c r="G805" s="94" t="n">
        <v>0.002679478802510182</v>
      </c>
      <c r="H805" s="95" t="n">
        <v>55.37558019071941</v>
      </c>
      <c r="I805" s="376" t="n">
        <v>75.48942962646484</v>
      </c>
      <c r="J805" s="376" t="n">
        <v>81.00211711883544</v>
      </c>
      <c r="K805" s="94" t="n">
        <v>0.2260327308126069</v>
      </c>
      <c r="L805" s="94" t="n">
        <v>-0.1169380417740861</v>
      </c>
      <c r="M805" s="94" t="n">
        <v>-0.3522332993509725</v>
      </c>
      <c r="N805" t="n">
        <v>54.11094264455065</v>
      </c>
      <c r="O805" t="n">
        <v>0.4998556842940679</v>
      </c>
      <c r="P805" s="143">
        <f>MAX($E$2:E805)</f>
        <v/>
      </c>
      <c r="Q805" s="144">
        <f>E805/P805-1</f>
        <v/>
      </c>
      <c r="R805" s="94" t="n">
        <v>-0.001645818366638352</v>
      </c>
    </row>
    <row r="806">
      <c r="A806" s="375" t="n">
        <v>45632</v>
      </c>
      <c r="B806" s="376" t="n">
        <v>75.40950373977276</v>
      </c>
      <c r="C806" s="376" t="n">
        <v>77.27522648671795</v>
      </c>
      <c r="D806" s="376" t="n">
        <v>75.04777716580128</v>
      </c>
      <c r="E806" s="376" t="n">
        <v>75.09537506103516</v>
      </c>
      <c r="F806" s="93" t="n">
        <v>13931100</v>
      </c>
      <c r="G806" s="94" t="n">
        <v>0.003945239504494991</v>
      </c>
      <c r="H806" s="95" t="n">
        <v>55.59405011727216</v>
      </c>
      <c r="I806" s="376" t="n">
        <v>75.29817276000976</v>
      </c>
      <c r="J806" s="376" t="n">
        <v>80.88590030670166</v>
      </c>
      <c r="K806" s="94" t="n">
        <v>0.2251854853745066</v>
      </c>
      <c r="L806" s="94" t="n">
        <v>-0.1134541508515766</v>
      </c>
      <c r="M806" s="94" t="n">
        <v>-0.3496777045738755</v>
      </c>
      <c r="N806" t="n">
        <v>55.32709006487378</v>
      </c>
      <c r="O806" t="n">
        <v>0.4664657098095341</v>
      </c>
      <c r="P806" s="143">
        <f>MAX($E$2:E806)</f>
        <v/>
      </c>
      <c r="Q806" s="144">
        <f>E806/P806-1</f>
        <v/>
      </c>
      <c r="R806" s="94" t="n">
        <v>0.001895770110546202</v>
      </c>
    </row>
    <row r="807">
      <c r="A807" s="375" t="n">
        <v>45635</v>
      </c>
      <c r="B807" s="376" t="n">
        <v>75.61890930805359</v>
      </c>
      <c r="C807" s="376" t="n">
        <v>75.62842307546018</v>
      </c>
      <c r="D807" s="376" t="n">
        <v>73.79125648990714</v>
      </c>
      <c r="E807" s="376" t="n">
        <v>73.90548706054688</v>
      </c>
      <c r="F807" s="93" t="n">
        <v>12043400</v>
      </c>
      <c r="G807" s="94" t="n">
        <v>-0.01584502373842833</v>
      </c>
      <c r="H807" s="95" t="n">
        <v>54.71316107344861</v>
      </c>
      <c r="I807" s="376" t="n">
        <v>75.08217102050781</v>
      </c>
      <c r="J807" s="376" t="n">
        <v>80.76116054534913</v>
      </c>
      <c r="K807" s="94" t="n">
        <v>0.2340979319503504</v>
      </c>
      <c r="L807" s="94" t="n">
        <v>-0.1275014908765384</v>
      </c>
      <c r="M807" s="94" t="n">
        <v>-0.3599820767825317</v>
      </c>
      <c r="N807" t="n">
        <v>49.61724926939483</v>
      </c>
      <c r="O807" t="n">
        <v>0.3478390055132827</v>
      </c>
      <c r="P807" s="143">
        <f>MAX($E$2:E807)</f>
        <v/>
      </c>
      <c r="Q807" s="144">
        <f>E807/P807-1</f>
        <v/>
      </c>
      <c r="R807" s="94" t="n">
        <v>-0.005149618373468501</v>
      </c>
    </row>
    <row r="808">
      <c r="A808" s="375" t="n">
        <v>45636</v>
      </c>
      <c r="B808" s="376" t="n">
        <v>73.77222046306271</v>
      </c>
      <c r="C808" s="376" t="n">
        <v>74.32432398499235</v>
      </c>
      <c r="D808" s="376" t="n">
        <v>72.93455141292026</v>
      </c>
      <c r="E808" s="376" t="n">
        <v>73.04877471923828</v>
      </c>
      <c r="F808" s="93" t="n">
        <v>12193100</v>
      </c>
      <c r="G808" s="94" t="n">
        <v>-0.01159199912459452</v>
      </c>
      <c r="H808" s="95" t="n">
        <v>54.0789261581814</v>
      </c>
      <c r="I808" s="376" t="n">
        <v>74.86873397827148</v>
      </c>
      <c r="J808" s="376" t="n">
        <v>80.63723747253418</v>
      </c>
      <c r="K808" s="94" t="n">
        <v>0.2365094588263727</v>
      </c>
      <c r="L808" s="94" t="n">
        <v>-0.1376154928305077</v>
      </c>
      <c r="M808" s="94" t="n">
        <v>-0.3674011639881933</v>
      </c>
      <c r="N808" t="n">
        <v>45.94103695555236</v>
      </c>
      <c r="O808" t="n">
        <v>0.2024758748970527</v>
      </c>
      <c r="P808" s="143">
        <f>MAX($E$2:E808)</f>
        <v/>
      </c>
      <c r="Q808" s="144">
        <f>E808/P808-1</f>
        <v/>
      </c>
      <c r="R808" s="94" t="n">
        <v>-0.003108965812941955</v>
      </c>
    </row>
    <row r="809">
      <c r="A809" s="375" t="n">
        <v>45637</v>
      </c>
      <c r="B809" s="376" t="n">
        <v>73.09637808559907</v>
      </c>
      <c r="C809" s="376" t="n">
        <v>75.18104073121505</v>
      </c>
      <c r="D809" s="376" t="n">
        <v>72.6394630388162</v>
      </c>
      <c r="E809" s="376" t="n">
        <v>75.05728912353516</v>
      </c>
      <c r="F809" s="93" t="n">
        <v>12033200</v>
      </c>
      <c r="G809" s="94" t="n">
        <v>0.02749552490122609</v>
      </c>
      <c r="H809" s="95" t="n">
        <v>55.56585461899524</v>
      </c>
      <c r="I809" s="376" t="n">
        <v>74.68164001464844</v>
      </c>
      <c r="J809" s="376" t="n">
        <v>80.52050266265869</v>
      </c>
      <c r="K809" s="94" t="n">
        <v>0.2552702038161375</v>
      </c>
      <c r="L809" s="94" t="n">
        <v>-0.1139037781391973</v>
      </c>
      <c r="M809" s="94" t="n">
        <v>-0.350007526940144</v>
      </c>
      <c r="N809" t="n">
        <v>54.45998024655195</v>
      </c>
      <c r="O809" t="n">
        <v>0.230365639479071</v>
      </c>
      <c r="P809" s="143">
        <f>MAX($E$2:E809)</f>
        <v/>
      </c>
      <c r="Q809" s="144">
        <f>E809/P809-1</f>
        <v/>
      </c>
      <c r="R809" s="94" t="n">
        <v>0.007730253276013954</v>
      </c>
    </row>
    <row r="810">
      <c r="A810" s="375" t="n">
        <v>45638</v>
      </c>
      <c r="B810" s="376" t="n">
        <v>74.92401532463036</v>
      </c>
      <c r="C810" s="376" t="n">
        <v>75.55227253552329</v>
      </c>
      <c r="D810" s="376" t="n">
        <v>74.11490213136742</v>
      </c>
      <c r="E810" s="376" t="n">
        <v>74.21009063720703</v>
      </c>
      <c r="F810" s="93" t="n">
        <v>6983200</v>
      </c>
      <c r="G810" s="94" t="n">
        <v>-0.01128735791315005</v>
      </c>
      <c r="H810" s="95" t="n">
        <v>54.93866293016058</v>
      </c>
      <c r="I810" s="376" t="n">
        <v>74.59181823730469</v>
      </c>
      <c r="J810" s="376" t="n">
        <v>80.4032752609253</v>
      </c>
      <c r="K810" s="94" t="n">
        <v>0.2592246518559317</v>
      </c>
      <c r="L810" s="94" t="n">
        <v>-0.1239054633408302</v>
      </c>
      <c r="M810" s="94" t="n">
        <v>-0.3573442246244242</v>
      </c>
      <c r="N810" t="n">
        <v>50.82196610840754</v>
      </c>
      <c r="O810" t="n">
        <v>0.1826149596557539</v>
      </c>
      <c r="P810" s="143">
        <f>MAX($E$2:E810)</f>
        <v/>
      </c>
      <c r="Q810" s="144">
        <f>E810/P810-1</f>
        <v/>
      </c>
      <c r="R810" s="94" t="n">
        <v>-0.005152380870145135</v>
      </c>
    </row>
    <row r="811">
      <c r="A811" s="375" t="n">
        <v>45639</v>
      </c>
      <c r="B811" s="376" t="n">
        <v>73.62944450434206</v>
      </c>
      <c r="C811" s="376" t="n">
        <v>74.08635958163278</v>
      </c>
      <c r="D811" s="376" t="n">
        <v>73.0773409041546</v>
      </c>
      <c r="E811" s="376" t="n">
        <v>73.53425598144531</v>
      </c>
      <c r="F811" s="93" t="n">
        <v>8037300</v>
      </c>
      <c r="G811" s="94" t="n">
        <v>-0.009107045281290582</v>
      </c>
      <c r="H811" s="95" t="n">
        <v>54.43833403916204</v>
      </c>
      <c r="I811" s="376" t="n">
        <v>74.50742141723633</v>
      </c>
      <c r="J811" s="376" t="n">
        <v>80.28463397979736</v>
      </c>
      <c r="K811" s="94" t="n">
        <v>0.2581310545236872</v>
      </c>
      <c r="L811" s="94" t="n">
        <v>-0.1318840959568767</v>
      </c>
      <c r="M811" s="94" t="n">
        <v>-0.3631969198710524</v>
      </c>
      <c r="N811" t="n">
        <v>48.06365248687145</v>
      </c>
      <c r="O811" t="n">
        <v>0.1004773071160136</v>
      </c>
      <c r="P811" s="143">
        <f>MAX($E$2:E811)</f>
        <v/>
      </c>
      <c r="Q811" s="144">
        <f>E811/P811-1</f>
        <v/>
      </c>
      <c r="R811" s="94" t="n">
        <v>-0.0001984914033383856</v>
      </c>
    </row>
    <row r="812">
      <c r="A812" s="375" t="n">
        <v>45642</v>
      </c>
      <c r="B812" s="376" t="n">
        <v>73.06782524656323</v>
      </c>
      <c r="C812" s="376" t="n">
        <v>75.21911340560484</v>
      </c>
      <c r="D812" s="376" t="n">
        <v>72.97263672612735</v>
      </c>
      <c r="E812" s="376" t="n">
        <v>73.48665618896484</v>
      </c>
      <c r="F812" s="93" t="n">
        <v>13034000</v>
      </c>
      <c r="G812" s="94" t="n">
        <v>-0.000647314531780685</v>
      </c>
      <c r="H812" s="95" t="n">
        <v>54.40309531445256</v>
      </c>
      <c r="I812" s="376" t="n">
        <v>74.41923110961915</v>
      </c>
      <c r="J812" s="376" t="n">
        <v>80.17364387512207</v>
      </c>
      <c r="K812" s="94" t="n">
        <v>0.2545544974646876</v>
      </c>
      <c r="L812" s="94" t="n">
        <v>-0.1324460399968337</v>
      </c>
      <c r="M812" s="94" t="n">
        <v>-0.3636091317587026</v>
      </c>
      <c r="N812" t="n">
        <v>47.86660355764059</v>
      </c>
      <c r="O812" t="n">
        <v>0.04095583093218626</v>
      </c>
      <c r="P812" s="143">
        <f>MAX($E$2:E812)</f>
        <v/>
      </c>
      <c r="Q812" s="144">
        <f>E812/P812-1</f>
        <v/>
      </c>
      <c r="R812" s="94" t="n">
        <v>0.004269807608039633</v>
      </c>
    </row>
    <row r="813">
      <c r="A813" s="375" t="n">
        <v>45643</v>
      </c>
      <c r="B813" s="376" t="n">
        <v>73.63896134790804</v>
      </c>
      <c r="C813" s="376" t="n">
        <v>74.98113614799327</v>
      </c>
      <c r="D813" s="376" t="n">
        <v>73.53425179995024</v>
      </c>
      <c r="E813" s="376" t="n">
        <v>74.24817657470703</v>
      </c>
      <c r="F813" s="93" t="n">
        <v>12452400</v>
      </c>
      <c r="G813" s="94" t="n">
        <v>0.01036270290736874</v>
      </c>
      <c r="H813" s="95" t="n">
        <v>54.96685842843749</v>
      </c>
      <c r="I813" s="376" t="n">
        <v>74.37316802978516</v>
      </c>
      <c r="J813" s="376" t="n">
        <v>80.07744991302491</v>
      </c>
      <c r="K813" s="94" t="n">
        <v>0.2403419376431808</v>
      </c>
      <c r="L813" s="94" t="n">
        <v>-0.1234558360532096</v>
      </c>
      <c r="M813" s="94" t="n">
        <v>-0.3570144022581556</v>
      </c>
      <c r="N813" t="n">
        <v>51.30608639716792</v>
      </c>
      <c r="O813" t="n">
        <v>0.05027276297492645</v>
      </c>
      <c r="P813" s="143">
        <f>MAX($E$2:E813)</f>
        <v/>
      </c>
      <c r="Q813" s="144">
        <f>E813/P813-1</f>
        <v/>
      </c>
      <c r="R813" s="94" t="n">
        <v>-0.004119931319041759</v>
      </c>
    </row>
    <row r="814">
      <c r="A814" s="375" t="n">
        <v>45644</v>
      </c>
      <c r="B814" s="376" t="n">
        <v>74.22914136458998</v>
      </c>
      <c r="C814" s="376" t="n">
        <v>75.20007585741148</v>
      </c>
      <c r="D814" s="376" t="n">
        <v>73.14396903155183</v>
      </c>
      <c r="E814" s="376" t="n">
        <v>73.20108795166016</v>
      </c>
      <c r="F814" s="93" t="n">
        <v>14376900</v>
      </c>
      <c r="G814" s="94" t="n">
        <v>-0.01410255000664318</v>
      </c>
      <c r="H814" s="95" t="n">
        <v>54.19168555874238</v>
      </c>
      <c r="I814" s="376" t="n">
        <v>74.30729965209962</v>
      </c>
      <c r="J814" s="376" t="n">
        <v>79.98179656982421</v>
      </c>
      <c r="K814" s="94" t="n">
        <v>0.241236120289983</v>
      </c>
      <c r="L814" s="94" t="n">
        <v>-0.1358173439583005</v>
      </c>
      <c r="M814" s="94" t="n">
        <v>-0.3660821388038613</v>
      </c>
      <c r="N814" t="n">
        <v>46.73992049136464</v>
      </c>
      <c r="O814" t="n">
        <v>-0.01328791679714029</v>
      </c>
      <c r="P814" s="143">
        <f>MAX($E$2:E814)</f>
        <v/>
      </c>
      <c r="Q814" s="144">
        <f>E814/P814-1</f>
        <v/>
      </c>
      <c r="R814" s="94" t="n">
        <v>-0.02980368612927498</v>
      </c>
    </row>
    <row r="815">
      <c r="A815" s="375" t="n">
        <v>45645</v>
      </c>
      <c r="B815" s="376" t="n">
        <v>73.23916406031324</v>
      </c>
      <c r="C815" s="376" t="n">
        <v>74.19106374495503</v>
      </c>
      <c r="D815" s="376" t="n">
        <v>72.75369318766882</v>
      </c>
      <c r="E815" s="376" t="n">
        <v>73.39146423339844</v>
      </c>
      <c r="F815" s="93" t="n">
        <v>27067600</v>
      </c>
      <c r="G815" s="94" t="n">
        <v>0.00260073022226126</v>
      </c>
      <c r="H815" s="95" t="n">
        <v>54.33262351317028</v>
      </c>
      <c r="I815" s="376" t="n">
        <v>74.21341751098633</v>
      </c>
      <c r="J815" s="376" t="n">
        <v>79.89028831481933</v>
      </c>
      <c r="K815" s="94" t="n">
        <v>0.2384481970212401</v>
      </c>
      <c r="L815" s="94" t="n">
        <v>-0.1335698380071788</v>
      </c>
      <c r="M815" s="94" t="n">
        <v>-0.3644334894638174</v>
      </c>
      <c r="N815" t="n">
        <v>47.65213268784859</v>
      </c>
      <c r="O815" t="n">
        <v>-0.04019251078807485</v>
      </c>
      <c r="P815" s="143">
        <f>MAX($E$2:E815)</f>
        <v/>
      </c>
      <c r="Q815" s="144">
        <f>E815/P815-1</f>
        <v/>
      </c>
      <c r="R815" s="94" t="n">
        <v>-0.0003068504332598421</v>
      </c>
    </row>
    <row r="816">
      <c r="A816" s="375" t="n">
        <v>45646</v>
      </c>
      <c r="B816" s="376" t="n">
        <v>72.30630134533769</v>
      </c>
      <c r="C816" s="376" t="n">
        <v>74.2481776318138</v>
      </c>
      <c r="D816" s="376" t="n">
        <v>71.25921311327016</v>
      </c>
      <c r="E816" s="376" t="n">
        <v>73.23916625976562</v>
      </c>
      <c r="F816" s="93" t="n">
        <v>49883400</v>
      </c>
      <c r="G816" s="94" t="n">
        <v>-0.00207514559388644</v>
      </c>
      <c r="H816" s="95" t="n">
        <v>54.21987540888264</v>
      </c>
      <c r="I816" s="376" t="n">
        <v>74.12311889648437</v>
      </c>
      <c r="J816" s="376" t="n">
        <v>79.79538879394531</v>
      </c>
      <c r="K816" s="94" t="n">
        <v>0.2257489389582182</v>
      </c>
      <c r="L816" s="94" t="n">
        <v>-0.1353678067402484</v>
      </c>
      <c r="M816" s="94" t="n">
        <v>-0.3652894299339893</v>
      </c>
      <c r="N816" t="n">
        <v>46.95921623745783</v>
      </c>
      <c r="O816" t="n">
        <v>-0.06448846064911368</v>
      </c>
      <c r="P816" s="143">
        <f>MAX($E$2:E816)</f>
        <v/>
      </c>
      <c r="Q816" s="144">
        <f>E816/P816-1</f>
        <v/>
      </c>
      <c r="R816" s="94" t="n">
        <v>0.01201089957040535</v>
      </c>
    </row>
    <row r="817">
      <c r="A817" s="375" t="n">
        <v>45649</v>
      </c>
      <c r="B817" s="376" t="n">
        <v>72.65850814293506</v>
      </c>
      <c r="C817" s="376" t="n">
        <v>74.63846132456226</v>
      </c>
      <c r="D817" s="376" t="n">
        <v>72.0968835257074</v>
      </c>
      <c r="E817" s="376" t="n">
        <v>73.06782531738281</v>
      </c>
      <c r="F817" s="93" t="n">
        <v>14203800</v>
      </c>
      <c r="G817" s="94" t="n">
        <v>-0.002339471503199464</v>
      </c>
      <c r="H817" s="95" t="n">
        <v>54.09302955545653</v>
      </c>
      <c r="I817" s="376" t="n">
        <v>74.02844619750977</v>
      </c>
      <c r="J817" s="376" t="n">
        <v>79.69507751464843</v>
      </c>
      <c r="K817" s="94" t="n">
        <v>0.1980900260565417</v>
      </c>
      <c r="L817" s="94" t="n">
        <v>-0.1343904147921271</v>
      </c>
      <c r="M817" s="94" t="n">
        <v>-0.295336369887773</v>
      </c>
      <c r="N817" t="n">
        <v>46.14622398140652</v>
      </c>
      <c r="O817" t="n">
        <v>-0.08694402459976608</v>
      </c>
      <c r="P817" s="143">
        <f>MAX($E$2:E817)</f>
        <v/>
      </c>
      <c r="Q817" s="144">
        <f>E817/P817-1</f>
        <v/>
      </c>
      <c r="R817" s="94" t="n">
        <v>0.005988234505162948</v>
      </c>
    </row>
    <row r="818">
      <c r="A818" s="375" t="n">
        <v>45650</v>
      </c>
      <c r="B818" s="376" t="n">
        <v>73.05829765448034</v>
      </c>
      <c r="C818" s="376" t="n">
        <v>73.40098210720814</v>
      </c>
      <c r="D818" s="376" t="n">
        <v>72.68705737442821</v>
      </c>
      <c r="E818" s="376" t="n">
        <v>73.09637451171875</v>
      </c>
      <c r="F818" s="93" t="n">
        <v>4919100</v>
      </c>
      <c r="G818" s="94" t="n">
        <v>0.000390721828820384</v>
      </c>
      <c r="H818" s="95" t="n">
        <v>54.11416488289087</v>
      </c>
      <c r="I818" s="376" t="n">
        <v>73.9447624206543</v>
      </c>
      <c r="J818" s="376" t="n">
        <v>79.58589275360107</v>
      </c>
      <c r="K818" s="94" t="n">
        <v>0.1765140893494323</v>
      </c>
      <c r="L818" s="94" t="n">
        <v>-0.1340522022319502</v>
      </c>
      <c r="M818" s="94" t="n">
        <v>-0.2896760285333472</v>
      </c>
      <c r="N818" t="n">
        <v>46.31300707968165</v>
      </c>
      <c r="O818" t="n">
        <v>-0.09411422798302128</v>
      </c>
      <c r="P818" s="143">
        <f>MAX($E$2:E818)</f>
        <v/>
      </c>
      <c r="Q818" s="144">
        <f>E818/P818-1</f>
        <v/>
      </c>
      <c r="R818" s="94" t="n">
        <v>0.01111507152713664</v>
      </c>
    </row>
    <row r="819">
      <c r="A819" s="375" t="n">
        <v>45652</v>
      </c>
      <c r="B819" s="376" t="n">
        <v>72.91551658081038</v>
      </c>
      <c r="C819" s="376" t="n">
        <v>73.73415091518027</v>
      </c>
      <c r="D819" s="376" t="n">
        <v>72.85840492199058</v>
      </c>
      <c r="E819" s="376" t="n">
        <v>73.23916625976562</v>
      </c>
      <c r="F819" s="93" t="n">
        <v>6363500</v>
      </c>
      <c r="G819" s="94" t="n">
        <v>0.001953472371245768</v>
      </c>
      <c r="H819" s="95" t="n">
        <v>54.21987540888264</v>
      </c>
      <c r="I819" s="376" t="n">
        <v>73.85408462524414</v>
      </c>
      <c r="J819" s="376" t="n">
        <v>79.48164833068847</v>
      </c>
      <c r="K819" s="94" t="n">
        <v>0.1608802870573561</v>
      </c>
      <c r="L819" s="94" t="n">
        <v>-0.07871451956867137</v>
      </c>
      <c r="M819" s="94" t="n">
        <v>-0.2882884302804535</v>
      </c>
      <c r="N819" t="n">
        <v>47.19388162279253</v>
      </c>
      <c r="O819" t="n">
        <v>-0.08382279133041459</v>
      </c>
      <c r="P819" s="143">
        <f>MAX($E$2:E819)</f>
        <v/>
      </c>
      <c r="Q819" s="144">
        <f>E819/P819-1</f>
        <v/>
      </c>
      <c r="R819" s="94" t="n">
        <v>6.65501538725799e-05</v>
      </c>
    </row>
    <row r="820">
      <c r="A820" s="375" t="n">
        <v>45653</v>
      </c>
      <c r="B820" s="376" t="n">
        <v>72.83935201785292</v>
      </c>
      <c r="C820" s="376" t="n">
        <v>73.22963432813971</v>
      </c>
      <c r="D820" s="376" t="n">
        <v>72.15399042678341</v>
      </c>
      <c r="E820" s="376" t="n">
        <v>72.74416351318359</v>
      </c>
      <c r="F820" s="93" t="n">
        <v>6334400</v>
      </c>
      <c r="G820" s="94" t="n">
        <v>-0.006758716297047274</v>
      </c>
      <c r="H820" s="95" t="n">
        <v>53.85341865333274</v>
      </c>
      <c r="I820" s="376" t="n">
        <v>73.71903366088867</v>
      </c>
      <c r="J820" s="376" t="n">
        <v>79.36938766479493</v>
      </c>
      <c r="K820" s="94" t="n">
        <v>0.1583847682657702</v>
      </c>
      <c r="L820" s="94" t="n">
        <v>-0.08494122675949578</v>
      </c>
      <c r="M820" s="94" t="n">
        <v>-0.2930986868655141</v>
      </c>
      <c r="N820" t="n">
        <v>44.46992280509343</v>
      </c>
      <c r="O820" t="n">
        <v>-0.1036377366525773</v>
      </c>
      <c r="P820" s="143">
        <f>MAX($E$2:E820)</f>
        <v/>
      </c>
      <c r="Q820" s="144">
        <f>E820/P820-1</f>
        <v/>
      </c>
      <c r="R820" s="94" t="n">
        <v>-0.01052643671237619</v>
      </c>
    </row>
    <row r="821">
      <c r="A821" s="375" t="n">
        <v>45656</v>
      </c>
      <c r="B821" s="376" t="n">
        <v>71.96361268310295</v>
      </c>
      <c r="C821" s="376" t="n">
        <v>72.1254338819619</v>
      </c>
      <c r="D821" s="376" t="n">
        <v>70.96412239978174</v>
      </c>
      <c r="E821" s="376" t="n">
        <v>71.05931091308594</v>
      </c>
      <c r="F821" s="93" t="n">
        <v>9042900</v>
      </c>
      <c r="G821" s="94" t="n">
        <v>-0.02316134406841186</v>
      </c>
      <c r="H821" s="95" t="n">
        <v>52.60610109464267</v>
      </c>
      <c r="I821" s="376" t="n">
        <v>73.56051376342774</v>
      </c>
      <c r="J821" s="376" t="n">
        <v>79.25386821746827</v>
      </c>
      <c r="K821" s="94" t="n">
        <v>0.1747668559503548</v>
      </c>
      <c r="L821" s="94" t="n">
        <v>-0.1061352178493379</v>
      </c>
      <c r="M821" s="94" t="n">
        <v>-0.3094714714014341</v>
      </c>
      <c r="N821" t="n">
        <v>36.70438147235024</v>
      </c>
      <c r="O821" t="n">
        <v>-0.2169812733420977</v>
      </c>
      <c r="P821" s="143">
        <f>MAX($E$2:E821)</f>
        <v/>
      </c>
      <c r="Q821" s="144">
        <f>E821/P821-1</f>
        <v/>
      </c>
      <c r="R821" s="94" t="n">
        <v>-0.01141178625215811</v>
      </c>
    </row>
    <row r="822">
      <c r="A822" s="375" t="n">
        <v>45657</v>
      </c>
      <c r="B822" s="376" t="n">
        <v>71.29729095549726</v>
      </c>
      <c r="C822" s="376" t="n">
        <v>72.71561951426959</v>
      </c>
      <c r="D822" s="376" t="n">
        <v>71.18306037386553</v>
      </c>
      <c r="E822" s="376" t="n">
        <v>72.03025054931641</v>
      </c>
      <c r="F822" s="93" t="n">
        <v>9425600</v>
      </c>
      <c r="G822" s="94" t="n">
        <v>0.01366379189094657</v>
      </c>
      <c r="H822" s="95" t="n">
        <v>53.32489991219397</v>
      </c>
      <c r="I822" s="376" t="n">
        <v>73.43050491333008</v>
      </c>
      <c r="J822" s="376" t="n">
        <v>79.14611511230468</v>
      </c>
      <c r="K822" s="94" t="n">
        <v>0.1793557840160187</v>
      </c>
      <c r="L822" s="94" t="n">
        <v>-0.09392163548738497</v>
      </c>
      <c r="M822" s="94" t="n">
        <v>-0.2863419044399723</v>
      </c>
      <c r="N822" t="n">
        <v>42.89320563366197</v>
      </c>
      <c r="O822" t="n">
        <v>-0.2130240633459022</v>
      </c>
      <c r="P822" s="143">
        <f>MAX($E$2:E822)</f>
        <v/>
      </c>
      <c r="Q822" s="144">
        <f>E822/P822-1</f>
        <v/>
      </c>
      <c r="R822" s="94" t="n">
        <v>-0.003637754053207987</v>
      </c>
    </row>
    <row r="823">
      <c r="A823" s="375" t="n">
        <v>45659</v>
      </c>
      <c r="B823" s="376" t="n">
        <v>72.58236046554738</v>
      </c>
      <c r="C823" s="376" t="n">
        <v>73.00119870565059</v>
      </c>
      <c r="D823" s="376" t="n">
        <v>69.71714000582348</v>
      </c>
      <c r="E823" s="376" t="n">
        <v>70.12645721435547</v>
      </c>
      <c r="F823" s="93" t="n">
        <v>10883400</v>
      </c>
      <c r="G823" s="94" t="n">
        <v>-0.02643046942697336</v>
      </c>
      <c r="H823" s="95" t="n">
        <v>51.91549777536832</v>
      </c>
      <c r="I823" s="376" t="n">
        <v>73.28969558715821</v>
      </c>
      <c r="J823" s="376" t="n">
        <v>79.03306934356689</v>
      </c>
      <c r="K823" s="94" t="n">
        <v>0.1990347134105306</v>
      </c>
      <c r="L823" s="94" t="n">
        <v>-0.1178697119990776</v>
      </c>
      <c r="M823" s="94" t="n">
        <v>-0.3028123676051614</v>
      </c>
      <c r="N823" t="n">
        <v>35.55279299162511</v>
      </c>
      <c r="O823" t="n">
        <v>-0.3187256786975045</v>
      </c>
      <c r="P823" s="143">
        <f>MAX($E$2:E823)</f>
        <v/>
      </c>
      <c r="Q823" s="144">
        <f>E823/P823-1</f>
        <v/>
      </c>
      <c r="R823" s="94" t="n">
        <v>-0.002457278752529435</v>
      </c>
    </row>
    <row r="824">
      <c r="A824" s="375" t="n">
        <v>45660</v>
      </c>
      <c r="B824" s="376" t="n">
        <v>70.36441943041667</v>
      </c>
      <c r="C824" s="376" t="n">
        <v>70.62143639938391</v>
      </c>
      <c r="D824" s="376" t="n">
        <v>69.49819453712571</v>
      </c>
      <c r="E824" s="376" t="n">
        <v>69.78376007080078</v>
      </c>
      <c r="F824" s="93" t="n">
        <v>10083500</v>
      </c>
      <c r="G824" s="94" t="n">
        <v>-0.004886845238839976</v>
      </c>
      <c r="H824" s="95" t="n">
        <v>51.66179477224275</v>
      </c>
      <c r="I824" s="376" t="n">
        <v>73.14316864013672</v>
      </c>
      <c r="J824" s="376" t="n">
        <v>78.91258098602295</v>
      </c>
      <c r="K824" s="94" t="n">
        <v>0.1988348363869954</v>
      </c>
      <c r="L824" s="94" t="n">
        <v>-0.1221805461970314</v>
      </c>
      <c r="M824" s="94" t="n">
        <v>-0.3058965740884867</v>
      </c>
      <c r="N824" t="n">
        <v>34.41121053393211</v>
      </c>
      <c r="O824" t="n">
        <v>-0.3872663157687501</v>
      </c>
      <c r="P824" s="143">
        <f>MAX($E$2:E824)</f>
        <v/>
      </c>
      <c r="Q824" s="144">
        <f>E824/P824-1</f>
        <v/>
      </c>
      <c r="R824" s="94" t="n">
        <v>0.01250347688416253</v>
      </c>
    </row>
    <row r="825">
      <c r="A825" s="375" t="n">
        <v>45663</v>
      </c>
      <c r="B825" s="376" t="n">
        <v>70.20260585678949</v>
      </c>
      <c r="C825" s="376" t="n">
        <v>70.74518841833843</v>
      </c>
      <c r="D825" s="376" t="n">
        <v>68.50822548080922</v>
      </c>
      <c r="E825" s="376" t="n">
        <v>68.53678131103516</v>
      </c>
      <c r="F825" s="93" t="n">
        <v>14947300</v>
      </c>
      <c r="G825" s="94" t="n">
        <v>-0.01786918272246252</v>
      </c>
      <c r="H825" s="95" t="n">
        <v>50.73864072168719</v>
      </c>
      <c r="I825" s="376" t="n">
        <v>72.99765197753906</v>
      </c>
      <c r="J825" s="376" t="n">
        <v>78.78440204620361</v>
      </c>
      <c r="K825" s="94" t="n">
        <v>0.2040090900568424</v>
      </c>
      <c r="L825" s="94" t="n">
        <v>-0.1378664624143688</v>
      </c>
      <c r="M825" s="94" t="n">
        <v>-0.3182996350343867</v>
      </c>
      <c r="N825" t="n">
        <v>30.56532908098301</v>
      </c>
      <c r="O825" t="n">
        <v>-0.4857486400386122</v>
      </c>
      <c r="P825" s="143">
        <f>MAX($E$2:E825)</f>
        <v/>
      </c>
      <c r="Q825" s="144">
        <f>E825/P825-1</f>
        <v/>
      </c>
      <c r="R825" s="94" t="n">
        <v>0.005760516554073059</v>
      </c>
    </row>
    <row r="826">
      <c r="A826" s="375" t="n">
        <v>45664</v>
      </c>
      <c r="B826" s="376" t="n">
        <v>68.91754565302185</v>
      </c>
      <c r="C826" s="376" t="n">
        <v>69.90752229755853</v>
      </c>
      <c r="D826" s="376" t="n">
        <v>68.51774948765674</v>
      </c>
      <c r="E826" s="376" t="n">
        <v>68.62245178222656</v>
      </c>
      <c r="F826" s="93" t="n">
        <v>10463500</v>
      </c>
      <c r="G826" s="94" t="n">
        <v>0.001249992625165897</v>
      </c>
      <c r="H826" s="95" t="n">
        <v>50.80206364840024</v>
      </c>
      <c r="I826" s="376" t="n">
        <v>72.87297927856446</v>
      </c>
      <c r="J826" s="376" t="n">
        <v>78.65406867980957</v>
      </c>
      <c r="K826" s="94" t="n">
        <v>0.2027877060449022</v>
      </c>
      <c r="L826" s="94" t="n">
        <v>-0.1367888018504786</v>
      </c>
      <c r="M826" s="94" t="n">
        <v>-0.3174475146056068</v>
      </c>
      <c r="N826" t="n">
        <v>31.13477527475816</v>
      </c>
      <c r="O826" t="n">
        <v>-0.5116815475895611</v>
      </c>
      <c r="P826" s="143">
        <f>MAX($E$2:E826)</f>
        <v/>
      </c>
      <c r="Q826" s="144">
        <f>E826/P826-1</f>
        <v/>
      </c>
      <c r="R826" s="94" t="n">
        <v>-0.01130389270239429</v>
      </c>
    </row>
    <row r="827">
      <c r="A827" s="375" t="n">
        <v>45665</v>
      </c>
      <c r="B827" s="376" t="n">
        <v>68.11794112347428</v>
      </c>
      <c r="C827" s="376" t="n">
        <v>68.36543708227757</v>
      </c>
      <c r="D827" s="376" t="n">
        <v>67.59440063888935</v>
      </c>
      <c r="E827" s="376" t="n">
        <v>67.86093139648438</v>
      </c>
      <c r="F827" s="93" t="n">
        <v>11855000</v>
      </c>
      <c r="G827" s="94" t="n">
        <v>-0.01109724829067427</v>
      </c>
      <c r="H827" s="95" t="n">
        <v>50.2383005344153</v>
      </c>
      <c r="I827" s="376" t="n">
        <v>72.7366749572754</v>
      </c>
      <c r="J827" s="376" t="n">
        <v>78.55261150360107</v>
      </c>
      <c r="K827" s="94" t="n">
        <v>0.1999197465737061</v>
      </c>
      <c r="L827" s="94" t="n">
        <v>-0.1463680708436343</v>
      </c>
      <c r="M827" s="94" t="n">
        <v>-0.3250219690074452</v>
      </c>
      <c r="N827" t="n">
        <v>28.86838903939973</v>
      </c>
      <c r="O827" t="n">
        <v>-0.5436819559386552</v>
      </c>
      <c r="P827" s="143">
        <f>MAX($E$2:E827)</f>
        <v/>
      </c>
      <c r="Q827" s="144">
        <f>E827/P827-1</f>
        <v/>
      </c>
      <c r="R827" s="94" t="n">
        <v>0.001460938914927823</v>
      </c>
    </row>
    <row r="828">
      <c r="A828" s="375" t="n">
        <v>45667</v>
      </c>
      <c r="B828" s="376" t="n">
        <v>68.39398953111468</v>
      </c>
      <c r="C828" s="376" t="n">
        <v>68.9080162221058</v>
      </c>
      <c r="D828" s="376" t="n">
        <v>67.67054375167332</v>
      </c>
      <c r="E828" s="376" t="n">
        <v>67.77525329589844</v>
      </c>
      <c r="F828" s="93" t="n">
        <v>15677400</v>
      </c>
      <c r="G828" s="94" t="n">
        <v>-0.001262554150419093</v>
      </c>
      <c r="H828" s="95" t="n">
        <v>50.17487195956557</v>
      </c>
      <c r="I828" s="376" t="n">
        <v>72.59752059936524</v>
      </c>
      <c r="J828" s="376" t="n">
        <v>78.45124248504639</v>
      </c>
      <c r="K828" s="94" t="n">
        <v>0.1981966359122325</v>
      </c>
      <c r="L828" s="94" t="n">
        <v>-0.147445827378721</v>
      </c>
      <c r="M828" s="94" t="n">
        <v>-0.3258741653219165</v>
      </c>
      <c r="N828" t="n">
        <v>28.61600022785839</v>
      </c>
      <c r="O828" t="n">
        <v>-0.5334380050561687</v>
      </c>
      <c r="P828" s="143">
        <f>MAX($E$2:E828)</f>
        <v/>
      </c>
      <c r="Q828" s="144">
        <f>E828/P828-1</f>
        <v/>
      </c>
      <c r="R828" s="94" t="n">
        <v>-0.01526743910206363</v>
      </c>
    </row>
    <row r="829">
      <c r="A829" s="375" t="n">
        <v>45670</v>
      </c>
      <c r="B829" s="376" t="n">
        <v>67.74669810788234</v>
      </c>
      <c r="C829" s="376" t="n">
        <v>69.10791493324957</v>
      </c>
      <c r="D829" s="376" t="n">
        <v>67.37545781572929</v>
      </c>
      <c r="E829" s="376" t="n">
        <v>68.61293029785156</v>
      </c>
      <c r="F829" s="93" t="n">
        <v>14584300</v>
      </c>
      <c r="G829" s="94" t="n">
        <v>0.01235962923363676</v>
      </c>
      <c r="H829" s="95" t="n">
        <v>50.79501477383099</v>
      </c>
      <c r="I829" s="376" t="n">
        <v>72.48477981567383</v>
      </c>
      <c r="J829" s="376" t="n">
        <v>78.35955615997314</v>
      </c>
      <c r="K829" s="94" t="n">
        <v>0.1722132523424028</v>
      </c>
      <c r="L829" s="94" t="n">
        <v>-0.1369085739035322</v>
      </c>
      <c r="M829" s="94" t="n">
        <v>-0.3175422199484795</v>
      </c>
      <c r="N829" t="n">
        <v>34.63322270165774</v>
      </c>
      <c r="O829" t="n">
        <v>-0.4371109344140447</v>
      </c>
      <c r="P829" s="143">
        <f>MAX($E$2:E829)</f>
        <v/>
      </c>
      <c r="Q829" s="144">
        <f>E829/P829-1</f>
        <v/>
      </c>
      <c r="R829" s="94" t="n">
        <v>0.001550468378249903</v>
      </c>
    </row>
    <row r="830">
      <c r="A830" s="375" t="n">
        <v>45671</v>
      </c>
      <c r="B830" s="376" t="n">
        <v>68.60340761122784</v>
      </c>
      <c r="C830" s="376" t="n">
        <v>68.7366729814796</v>
      </c>
      <c r="D830" s="376" t="n">
        <v>67.1374812760405</v>
      </c>
      <c r="E830" s="376" t="n">
        <v>67.74669647216797</v>
      </c>
      <c r="F830" s="93" t="n">
        <v>16732900</v>
      </c>
      <c r="G830" s="94" t="n">
        <v>-0.01262493559046718</v>
      </c>
      <c r="H830" s="95" t="n">
        <v>50.15373098399455</v>
      </c>
      <c r="I830" s="376" t="n">
        <v>72.39165023803712</v>
      </c>
      <c r="J830" s="376" t="n">
        <v>78.25625988006591</v>
      </c>
      <c r="K830" s="94" t="n">
        <v>0.1729841885241697</v>
      </c>
      <c r="L830" s="94" t="n">
        <v>-0.1422873432229975</v>
      </c>
      <c r="M830" s="94" t="n">
        <v>-0.3261582054648432</v>
      </c>
      <c r="N830" t="n">
        <v>31.66111448648317</v>
      </c>
      <c r="O830" t="n">
        <v>-0.3996216003651691</v>
      </c>
      <c r="P830" s="143">
        <f>MAX($E$2:E830)</f>
        <v/>
      </c>
      <c r="Q830" s="144">
        <f>E830/P830-1</f>
        <v/>
      </c>
      <c r="R830" s="94" t="n">
        <v>0.001375834594131486</v>
      </c>
    </row>
    <row r="831">
      <c r="A831" s="375" t="n">
        <v>45672</v>
      </c>
      <c r="B831" s="376" t="n">
        <v>68.52725040866467</v>
      </c>
      <c r="C831" s="376" t="n">
        <v>68.77474633900169</v>
      </c>
      <c r="D831" s="376" t="n">
        <v>67.43256441237698</v>
      </c>
      <c r="E831" s="376" t="n">
        <v>67.65150451660156</v>
      </c>
      <c r="F831" s="93" t="n">
        <v>13468100</v>
      </c>
      <c r="G831" s="94" t="n">
        <v>-0.001405115828865711</v>
      </c>
      <c r="H831" s="95" t="n">
        <v>50.08325918271227</v>
      </c>
      <c r="I831" s="376" t="n">
        <v>72.28373687744141</v>
      </c>
      <c r="J831" s="376" t="n">
        <v>78.1531921005249</v>
      </c>
      <c r="K831" s="94" t="n">
        <v>0.1724166229166597</v>
      </c>
      <c r="L831" s="94" t="n">
        <v>-0.1385342229195565</v>
      </c>
      <c r="M831" s="94" t="n">
        <v>-0.3271050312364958</v>
      </c>
      <c r="N831" t="n">
        <v>31.34279790027325</v>
      </c>
      <c r="O831" t="n">
        <v>-0.350858963256738</v>
      </c>
      <c r="P831" s="143">
        <f>MAX($E$2:E831)</f>
        <v/>
      </c>
      <c r="Q831" s="144">
        <f>E831/P831-1</f>
        <v/>
      </c>
      <c r="R831" s="94" t="n">
        <v>0.01819009004877592</v>
      </c>
    </row>
    <row r="832">
      <c r="A832" s="375" t="n">
        <v>45673</v>
      </c>
      <c r="B832" s="376" t="n">
        <v>67.48968477521306</v>
      </c>
      <c r="C832" s="376" t="n">
        <v>67.8038133940255</v>
      </c>
      <c r="D832" s="376" t="n">
        <v>66.93758125046716</v>
      </c>
      <c r="E832" s="376" t="n">
        <v>67.68958282470703</v>
      </c>
      <c r="F832" s="93" t="n">
        <v>13694600</v>
      </c>
      <c r="G832" s="94" t="n">
        <v>0.0005628597379696565</v>
      </c>
      <c r="H832" s="95" t="n">
        <v>50.11144903285252</v>
      </c>
      <c r="I832" s="376" t="n">
        <v>72.15896942138671</v>
      </c>
      <c r="J832" s="376" t="n">
        <v>78.05698295593261</v>
      </c>
      <c r="K832" s="94" t="n">
        <v>0.1727915196470701</v>
      </c>
      <c r="L832" s="94" t="n">
        <v>-0.122816101323823</v>
      </c>
      <c r="M832" s="94" t="n">
        <v>-0.3267262857506965</v>
      </c>
      <c r="N832" t="n">
        <v>31.63887468219652</v>
      </c>
      <c r="O832" t="n">
        <v>-0.2882819807717603</v>
      </c>
      <c r="P832" s="143">
        <f>MAX($E$2:E832)</f>
        <v/>
      </c>
      <c r="Q832" s="144">
        <f>E832/P832-1</f>
        <v/>
      </c>
      <c r="R832" s="94" t="n">
        <v>-0.001923047849739179</v>
      </c>
    </row>
    <row r="833">
      <c r="A833" s="375" t="n">
        <v>45674</v>
      </c>
      <c r="B833" s="376" t="n">
        <v>67.99418062595741</v>
      </c>
      <c r="C833" s="376" t="n">
        <v>68.07984809380099</v>
      </c>
      <c r="D833" s="376" t="n">
        <v>67.43255615234375</v>
      </c>
      <c r="E833" s="376" t="n">
        <v>67.43255615234375</v>
      </c>
      <c r="F833" s="93" t="n">
        <v>9711300</v>
      </c>
      <c r="G833" s="94" t="n">
        <v>-0.003797137781582971</v>
      </c>
      <c r="H833" s="95" t="n">
        <v>49.92116895644001</v>
      </c>
      <c r="I833" s="376" t="n">
        <v>72.04554046630859</v>
      </c>
      <c r="J833" s="376" t="n">
        <v>77.96704910278321</v>
      </c>
      <c r="K833" s="94" t="n">
        <v>0.1642319643636116</v>
      </c>
      <c r="L833" s="94" t="n">
        <v>-0.125503018904963</v>
      </c>
      <c r="M833" s="94" t="n">
        <v>-0.3292827988084192</v>
      </c>
      <c r="N833" t="n">
        <v>30.67721928221282</v>
      </c>
      <c r="O833" t="n">
        <v>-0.2385026805453918</v>
      </c>
      <c r="P833" s="143">
        <f>MAX($E$2:E833)</f>
        <v/>
      </c>
      <c r="Q833" s="144">
        <f>E833/P833-1</f>
        <v/>
      </c>
      <c r="R833" s="94" t="n">
        <v>0.01003979628191454</v>
      </c>
    </row>
    <row r="834">
      <c r="A834" s="375" t="n">
        <v>45678</v>
      </c>
      <c r="B834" s="376" t="n">
        <v>67.87046456207202</v>
      </c>
      <c r="C834" s="376" t="n">
        <v>69.74570123112743</v>
      </c>
      <c r="D834" s="376" t="n">
        <v>67.71815709483232</v>
      </c>
      <c r="E834" s="376" t="n">
        <v>69.6505126953125</v>
      </c>
      <c r="F834" s="93" t="n">
        <v>14199900</v>
      </c>
      <c r="G834" s="94" t="n">
        <v>0.03289147956897764</v>
      </c>
      <c r="H834" s="95" t="n">
        <v>51.56315006523023</v>
      </c>
      <c r="I834" s="376" t="n">
        <v>71.96150680541992</v>
      </c>
      <c r="J834" s="376" t="n">
        <v>77.89111656188965</v>
      </c>
      <c r="K834" s="94" t="n">
        <v>0.2077056079960623</v>
      </c>
      <c r="L834" s="94" t="n">
        <v>-0.08128069175622166</v>
      </c>
      <c r="M834" s="94" t="n">
        <v>-0.3072219176888644</v>
      </c>
      <c r="N834" t="n">
        <v>45.94549142277364</v>
      </c>
      <c r="O834" t="n">
        <v>-0.040862990157152</v>
      </c>
      <c r="P834" s="143">
        <f>MAX($E$2:E834)</f>
        <v/>
      </c>
      <c r="Q834" s="144">
        <f>E834/P834-1</f>
        <v/>
      </c>
      <c r="R834" s="94" t="n">
        <v>0.009153507061779642</v>
      </c>
    </row>
    <row r="835">
      <c r="A835" s="375" t="n">
        <v>45679</v>
      </c>
      <c r="B835" s="376" t="n">
        <v>69.85039568134285</v>
      </c>
      <c r="C835" s="376" t="n">
        <v>71.1069029644421</v>
      </c>
      <c r="D835" s="376" t="n">
        <v>69.49819744881282</v>
      </c>
      <c r="E835" s="376" t="n">
        <v>70.47865295410156</v>
      </c>
      <c r="F835" s="93" t="n">
        <v>13029300</v>
      </c>
      <c r="G835" s="94" t="n">
        <v>0.01188993772970171</v>
      </c>
      <c r="H835" s="95" t="n">
        <v>52.17623270865308</v>
      </c>
      <c r="I835" s="376" t="n">
        <v>71.94441986083984</v>
      </c>
      <c r="J835" s="376" t="n">
        <v>77.82524154663086</v>
      </c>
      <c r="K835" s="94" t="n">
        <v>0.213217084595829</v>
      </c>
      <c r="L835" s="94" t="n">
        <v>-0.06385118058114425</v>
      </c>
      <c r="M835" s="94" t="n">
        <v>-0.298984829429683</v>
      </c>
      <c r="N835" t="n">
        <v>50.34321626152332</v>
      </c>
      <c r="O835" t="n">
        <v>0.1504904357267147</v>
      </c>
      <c r="P835" s="143">
        <f>MAX($E$2:E835)</f>
        <v/>
      </c>
      <c r="Q835" s="144">
        <f>E835/P835-1</f>
        <v/>
      </c>
      <c r="R835" s="94" t="n">
        <v>0.005621565726746214</v>
      </c>
    </row>
    <row r="836">
      <c r="A836" s="375" t="n">
        <v>45680</v>
      </c>
      <c r="B836" s="376" t="n">
        <v>69.81231996298148</v>
      </c>
      <c r="C836" s="376" t="n">
        <v>70.91652709225795</v>
      </c>
      <c r="D836" s="376" t="n">
        <v>68.88898336167473</v>
      </c>
      <c r="E836" s="376" t="n">
        <v>70.71662902832031</v>
      </c>
      <c r="F836" s="93" t="n">
        <v>10677400</v>
      </c>
      <c r="G836" s="94" t="n">
        <v>0.003376569560342269</v>
      </c>
      <c r="H836" s="95" t="n">
        <v>52.35240938779045</v>
      </c>
      <c r="I836" s="376" t="n">
        <v>71.9207275390625</v>
      </c>
      <c r="J836" s="376" t="n">
        <v>77.76163654327392</v>
      </c>
      <c r="K836" s="94" t="n">
        <v>0.2140469105219688</v>
      </c>
      <c r="L836" s="94" t="n">
        <v>-0.06069020897354427</v>
      </c>
      <c r="M836" s="94" t="n">
        <v>-0.296617802943397</v>
      </c>
      <c r="N836" t="n">
        <v>51.56273868569712</v>
      </c>
      <c r="O836" t="n">
        <v>0.2898667923508171</v>
      </c>
      <c r="P836" s="143">
        <f>MAX($E$2:E836)</f>
        <v/>
      </c>
      <c r="Q836" s="144">
        <f>E836/P836-1</f>
        <v/>
      </c>
      <c r="R836" s="94" t="n">
        <v>0.005457962961176621</v>
      </c>
    </row>
    <row r="837">
      <c r="A837" s="375" t="n">
        <v>45681</v>
      </c>
      <c r="B837" s="376" t="n">
        <v>70.50720745894388</v>
      </c>
      <c r="C837" s="376" t="n">
        <v>70.67854968807836</v>
      </c>
      <c r="D837" s="376" t="n">
        <v>69.72665002897966</v>
      </c>
      <c r="E837" s="376" t="n">
        <v>70.03125762939453</v>
      </c>
      <c r="F837" s="93" t="n">
        <v>8106700</v>
      </c>
      <c r="G837" s="94" t="n">
        <v>-0.009691799628221864</v>
      </c>
      <c r="H837" s="95" t="n">
        <v>51.84502032594936</v>
      </c>
      <c r="I837" s="376" t="n">
        <v>71.88408584594727</v>
      </c>
      <c r="J837" s="376" t="n">
        <v>77.68915733337403</v>
      </c>
      <c r="K837" s="94" t="n">
        <v>0.2159370046355017</v>
      </c>
      <c r="L837" s="94" t="n">
        <v>-0.06979381125699946</v>
      </c>
      <c r="M837" s="94" t="n">
        <v>-0.303434842259328</v>
      </c>
      <c r="N837" t="n">
        <v>47.91315491613803</v>
      </c>
      <c r="O837" t="n">
        <v>0.3297720463214966</v>
      </c>
      <c r="P837" s="143">
        <f>MAX($E$2:E837)</f>
        <v/>
      </c>
      <c r="Q837" s="144">
        <f>E837/P837-1</f>
        <v/>
      </c>
      <c r="R837" s="94" t="n">
        <v>-0.002919165519369216</v>
      </c>
    </row>
    <row r="838">
      <c r="A838" s="375" t="n">
        <v>45684</v>
      </c>
      <c r="B838" s="376" t="n">
        <v>69.90750791580081</v>
      </c>
      <c r="C838" s="376" t="n">
        <v>72.20158214147202</v>
      </c>
      <c r="D838" s="376" t="n">
        <v>69.8884658571281</v>
      </c>
      <c r="E838" s="376" t="n">
        <v>71.94457244873047</v>
      </c>
      <c r="F838" s="93" t="n">
        <v>11665400</v>
      </c>
      <c r="G838" s="94" t="n">
        <v>0.02732086905337616</v>
      </c>
      <c r="H838" s="95" t="n">
        <v>53.26147133734425</v>
      </c>
      <c r="I838" s="376" t="n">
        <v>71.87207229614258</v>
      </c>
      <c r="J838" s="376" t="n">
        <v>77.62154876708985</v>
      </c>
      <c r="K838" s="94" t="n">
        <v>0.2397866960549835</v>
      </c>
      <c r="L838" s="94" t="n">
        <v>-0.04437976978171176</v>
      </c>
      <c r="M838" s="94" t="n">
        <v>-0.2844040767975509</v>
      </c>
      <c r="N838" t="n">
        <v>57.05207167426767</v>
      </c>
      <c r="O838" t="n">
        <v>0.4703293071160846</v>
      </c>
      <c r="P838" s="143">
        <f>MAX($E$2:E838)</f>
        <v/>
      </c>
      <c r="Q838" s="144">
        <f>E838/P838-1</f>
        <v/>
      </c>
      <c r="R838" s="94" t="n">
        <v>-0.01414547271785149</v>
      </c>
    </row>
    <row r="839">
      <c r="A839" s="375" t="n">
        <v>45685</v>
      </c>
      <c r="B839" s="376" t="n">
        <v>71.7066013364758</v>
      </c>
      <c r="C839" s="376" t="n">
        <v>71.96361104278074</v>
      </c>
      <c r="D839" s="376" t="n">
        <v>70.59288050512463</v>
      </c>
      <c r="E839" s="376" t="n">
        <v>70.81181335449219</v>
      </c>
      <c r="F839" s="93" t="n">
        <v>8694400</v>
      </c>
      <c r="G839" s="94" t="n">
        <v>-0.01574488603772739</v>
      </c>
      <c r="H839" s="95" t="n">
        <v>52.42287554093608</v>
      </c>
      <c r="I839" s="376" t="n">
        <v>71.83626708984374</v>
      </c>
      <c r="J839" s="376" t="n">
        <v>77.55766830444335</v>
      </c>
      <c r="K839" s="94" t="n">
        <v>0.2453676807568379</v>
      </c>
      <c r="L839" s="94" t="n">
        <v>-0.05942590140184556</v>
      </c>
      <c r="M839" s="94" t="n">
        <v>-0.2956710530574358</v>
      </c>
      <c r="N839" t="n">
        <v>51.31195124324955</v>
      </c>
      <c r="O839" t="n">
        <v>0.4711397553547922</v>
      </c>
      <c r="P839" s="143">
        <f>MAX($E$2:E839)</f>
        <v/>
      </c>
      <c r="Q839" s="144">
        <f>E839/P839-1</f>
        <v/>
      </c>
      <c r="R839" s="94" t="n">
        <v>0.00859247042376432</v>
      </c>
    </row>
    <row r="840">
      <c r="A840" s="375" t="n">
        <v>45686</v>
      </c>
      <c r="B840" s="376" t="n">
        <v>70.86892584856432</v>
      </c>
      <c r="C840" s="376" t="n">
        <v>73.40098239677334</v>
      </c>
      <c r="D840" s="376" t="n">
        <v>70.74518150886475</v>
      </c>
      <c r="E840" s="376" t="n">
        <v>72.89647674560547</v>
      </c>
      <c r="F840" s="93" t="n">
        <v>11764800</v>
      </c>
      <c r="G840" s="94" t="n">
        <v>0.02943948604560109</v>
      </c>
      <c r="H840" s="95" t="n">
        <v>53.96617805389374</v>
      </c>
      <c r="I840" s="376" t="n">
        <v>71.84480712890625</v>
      </c>
      <c r="J840" s="376" t="n">
        <v>77.49012325286866</v>
      </c>
      <c r="K840" s="94" t="n">
        <v>0.2678314714119108</v>
      </c>
      <c r="L840" s="94" t="n">
        <v>-0.0317358833513115</v>
      </c>
      <c r="M840" s="94" t="n">
        <v>-0.2749359708524072</v>
      </c>
      <c r="N840" t="n">
        <v>59.40644569643674</v>
      </c>
      <c r="O840" t="n">
        <v>0.5885716875185788</v>
      </c>
      <c r="P840" s="143">
        <f>MAX($E$2:E840)</f>
        <v/>
      </c>
      <c r="Q840" s="144">
        <f>E840/P840-1</f>
        <v/>
      </c>
      <c r="R840" s="94" t="n">
        <v>-0.004483083404376087</v>
      </c>
    </row>
    <row r="841">
      <c r="A841" s="375" t="n">
        <v>45687</v>
      </c>
      <c r="B841" s="376" t="n">
        <v>73.15348695245383</v>
      </c>
      <c r="C841" s="376" t="n">
        <v>74.98113254502952</v>
      </c>
      <c r="D841" s="376" t="n">
        <v>73.15348695245383</v>
      </c>
      <c r="E841" s="376" t="n">
        <v>74.56230163574219</v>
      </c>
      <c r="F841" s="93" t="n">
        <v>10902100</v>
      </c>
      <c r="G841" s="94" t="n">
        <v>0.02285192597099206</v>
      </c>
      <c r="H841" s="95" t="n">
        <v>55.19940915971871</v>
      </c>
      <c r="I841" s="376" t="n">
        <v>71.90257446289063</v>
      </c>
      <c r="J841" s="376" t="n">
        <v>77.43090732574463</v>
      </c>
      <c r="K841" s="94" t="n">
        <v>0.2642894431238209</v>
      </c>
      <c r="L841" s="94" t="n">
        <v>-0.00960918343728745</v>
      </c>
      <c r="M841" s="94" t="n">
        <v>-0.2583668613340973</v>
      </c>
      <c r="N841" t="n">
        <v>64.48722223106381</v>
      </c>
      <c r="O841" t="n">
        <v>0.7448729619610375</v>
      </c>
      <c r="P841" s="143">
        <f>MAX($E$2:E841)</f>
        <v/>
      </c>
      <c r="Q841" s="144">
        <f>E841/P841-1</f>
        <v/>
      </c>
      <c r="R841" s="94" t="n">
        <v>0.005367173797941716</v>
      </c>
    </row>
    <row r="842">
      <c r="A842" s="375" t="n">
        <v>45688</v>
      </c>
      <c r="B842" s="376" t="n">
        <v>74.35288571039106</v>
      </c>
      <c r="C842" s="376" t="n">
        <v>75.06681048118928</v>
      </c>
      <c r="D842" s="376" t="n">
        <v>73.06782257543796</v>
      </c>
      <c r="E842" s="376" t="n">
        <v>73.20108795166016</v>
      </c>
      <c r="F842" s="93" t="n">
        <v>13098000</v>
      </c>
      <c r="G842" s="94" t="n">
        <v>-0.01825605774258343</v>
      </c>
      <c r="H842" s="95" t="n">
        <v>54.19168555874239</v>
      </c>
      <c r="I842" s="376" t="n">
        <v>71.91455474853515</v>
      </c>
      <c r="J842" s="376" t="n">
        <v>77.35971988677979</v>
      </c>
      <c r="K842" s="94" t="n">
        <v>0.2706804590583146</v>
      </c>
      <c r="L842" s="94" t="n">
        <v>-0.02768981537218085</v>
      </c>
      <c r="M842" s="94" t="n">
        <v>-0.2719061587373953</v>
      </c>
      <c r="N842" t="n">
        <v>58.08914282570274</v>
      </c>
      <c r="O842" t="n">
        <v>0.7224669697923911</v>
      </c>
      <c r="P842" s="143">
        <f>MAX($E$2:E842)</f>
        <v/>
      </c>
      <c r="Q842" s="144">
        <f>E842/P842-1</f>
        <v/>
      </c>
      <c r="R842" s="94" t="n">
        <v>-0.005321857757179305</v>
      </c>
    </row>
    <row r="843">
      <c r="A843" s="375" t="n">
        <v>45691</v>
      </c>
      <c r="B843" s="376" t="n">
        <v>71.29728513289015</v>
      </c>
      <c r="C843" s="376" t="n">
        <v>73.00118637538067</v>
      </c>
      <c r="D843" s="376" t="n">
        <v>69.69809343273946</v>
      </c>
      <c r="E843" s="376" t="n">
        <v>72.90599060058594</v>
      </c>
      <c r="F843" s="93" t="n">
        <v>18539200</v>
      </c>
      <c r="G843" s="94" t="n">
        <v>-0.004031324661036395</v>
      </c>
      <c r="H843" s="95" t="n">
        <v>53.9732212803263</v>
      </c>
      <c r="I843" s="376" t="n">
        <v>71.95415939331055</v>
      </c>
      <c r="J843" s="376" t="n">
        <v>77.28569499969483</v>
      </c>
      <c r="K843" s="94" t="n">
        <v>0.2516440086233074</v>
      </c>
      <c r="L843" s="94" t="n">
        <v>-0.03160951339764773</v>
      </c>
      <c r="M843" s="94" t="n">
        <v>-0.274841341395226</v>
      </c>
      <c r="N843" t="n">
        <v>56.77407038829059</v>
      </c>
      <c r="O843" t="n">
        <v>0.6556156895468107</v>
      </c>
      <c r="P843" s="143">
        <f>MAX($E$2:E843)</f>
        <v/>
      </c>
      <c r="Q843" s="144">
        <f>E843/P843-1</f>
        <v/>
      </c>
      <c r="R843" s="94" t="n">
        <v>-0.006729614419163421</v>
      </c>
    </row>
    <row r="844">
      <c r="A844" s="375" t="n">
        <v>45692</v>
      </c>
      <c r="B844" s="376" t="n">
        <v>73.81982551259733</v>
      </c>
      <c r="C844" s="376" t="n">
        <v>74.40048491745482</v>
      </c>
      <c r="D844" s="376" t="n">
        <v>72.38245491512892</v>
      </c>
      <c r="E844" s="376" t="n">
        <v>73.02974700927734</v>
      </c>
      <c r="F844" s="93" t="n">
        <v>11943700</v>
      </c>
      <c r="G844" s="94" t="n">
        <v>0.001697479283553127</v>
      </c>
      <c r="H844" s="95" t="n">
        <v>54.06483970531628</v>
      </c>
      <c r="I844" s="376" t="n">
        <v>72.01480178833008</v>
      </c>
      <c r="J844" s="376" t="n">
        <v>77.20547988891602</v>
      </c>
      <c r="K844" s="94" t="n">
        <v>0.2503137572655546</v>
      </c>
      <c r="L844" s="94" t="n">
        <v>-0.02996569060825038</v>
      </c>
      <c r="M844" s="94" t="n">
        <v>-0.2736103995949553</v>
      </c>
      <c r="N844" t="n">
        <v>57.21156048441235</v>
      </c>
      <c r="O844" t="n">
        <v>0.5896474060154936</v>
      </c>
      <c r="P844" s="143">
        <f>MAX($E$2:E844)</f>
        <v/>
      </c>
      <c r="Q844" s="144">
        <f>E844/P844-1</f>
        <v/>
      </c>
      <c r="R844" s="94" t="n">
        <v>0.006708161702583926</v>
      </c>
    </row>
    <row r="845">
      <c r="A845" s="375" t="n">
        <v>45693</v>
      </c>
      <c r="B845" s="376" t="n">
        <v>72.62995163956934</v>
      </c>
      <c r="C845" s="376" t="n">
        <v>73.09638046952539</v>
      </c>
      <c r="D845" s="376" t="n">
        <v>70.82134071663029</v>
      </c>
      <c r="E845" s="376" t="n">
        <v>70.98316192626953</v>
      </c>
      <c r="F845" s="93" t="n">
        <v>9807400</v>
      </c>
      <c r="G845" s="94" t="n">
        <v>-0.02802399250743437</v>
      </c>
      <c r="H845" s="95" t="n">
        <v>52.54972704249886</v>
      </c>
      <c r="I845" s="376" t="n">
        <v>72.04493011474609</v>
      </c>
      <c r="J845" s="376" t="n">
        <v>77.11080551147461</v>
      </c>
      <c r="K845" s="94" t="n">
        <v>0.2634659538401861</v>
      </c>
      <c r="L845" s="94" t="n">
        <v>-0.05714992482659897</v>
      </c>
      <c r="M845" s="94" t="n">
        <v>-0.2939667363141845</v>
      </c>
      <c r="N845" t="n">
        <v>48.4741817612766</v>
      </c>
      <c r="O845" t="n">
        <v>0.3878406847498291</v>
      </c>
      <c r="P845" s="143">
        <f>MAX($E$2:E845)</f>
        <v/>
      </c>
      <c r="Q845" s="144">
        <f>E845/P845-1</f>
        <v/>
      </c>
      <c r="R845" s="94" t="n">
        <v>0.004054667008907664</v>
      </c>
    </row>
    <row r="846">
      <c r="A846" s="375" t="n">
        <v>45694</v>
      </c>
      <c r="B846" s="376" t="n">
        <v>71.6209327662512</v>
      </c>
      <c r="C846" s="376" t="n">
        <v>71.77324020712911</v>
      </c>
      <c r="D846" s="376" t="n">
        <v>68.18457420244248</v>
      </c>
      <c r="E846" s="376" t="n">
        <v>68.28928375244141</v>
      </c>
      <c r="F846" s="93" t="n">
        <v>16059400</v>
      </c>
      <c r="G846" s="94" t="n">
        <v>-0.03795094640368746</v>
      </c>
      <c r="H846" s="95" t="n">
        <v>50.55541516798058</v>
      </c>
      <c r="I846" s="376" t="n">
        <v>71.98822280883789</v>
      </c>
      <c r="J846" s="376" t="n">
        <v>77.00834381103516</v>
      </c>
      <c r="K846" s="94" t="n">
        <v>0.2990610073855214</v>
      </c>
      <c r="L846" s="94" t="n">
        <v>-0.09293197749621751</v>
      </c>
      <c r="M846" s="94" t="n">
        <v>-0.3207613668635454</v>
      </c>
      <c r="N846" t="n">
        <v>39.84770410942288</v>
      </c>
      <c r="O846" t="n">
        <v>0.06927940390454244</v>
      </c>
      <c r="P846" s="143">
        <f>MAX($E$2:E846)</f>
        <v/>
      </c>
      <c r="Q846" s="144">
        <f>E846/P846-1</f>
        <v/>
      </c>
      <c r="R846" s="94" t="n">
        <v>0.003475504966883092</v>
      </c>
    </row>
    <row r="847">
      <c r="A847" s="375" t="n">
        <v>45695</v>
      </c>
      <c r="B847" s="376" t="n">
        <v>67.16603347797093</v>
      </c>
      <c r="C847" s="376" t="n">
        <v>67.40400837806285</v>
      </c>
      <c r="D847" s="376" t="n">
        <v>65.31935319170157</v>
      </c>
      <c r="E847" s="376" t="n">
        <v>65.37646484375</v>
      </c>
      <c r="F847" s="93" t="n">
        <v>27428700</v>
      </c>
      <c r="G847" s="94" t="n">
        <v>-0.04265411421286536</v>
      </c>
      <c r="H847" s="95" t="n">
        <v>48.39901871532671</v>
      </c>
      <c r="I847" s="376" t="n">
        <v>71.82969390869141</v>
      </c>
      <c r="J847" s="376" t="n">
        <v>76.8929146194458</v>
      </c>
      <c r="K847" s="94" t="n">
        <v>0.3334843016921896</v>
      </c>
      <c r="L847" s="94" t="n">
        <v>-0.1316221605269317</v>
      </c>
      <c r="M847" s="94" t="n">
        <v>-0.3497336890991383</v>
      </c>
      <c r="N847" t="n">
        <v>33.00767218100987</v>
      </c>
      <c r="O847" t="n">
        <v>-0.3198920522228627</v>
      </c>
      <c r="P847" s="143">
        <f>MAX($E$2:E847)</f>
        <v/>
      </c>
      <c r="Q847" s="144">
        <f>E847/P847-1</f>
        <v/>
      </c>
      <c r="R847" s="94" t="n">
        <v>-0.009153457596513759</v>
      </c>
    </row>
    <row r="848">
      <c r="A848" s="375" t="n">
        <v>45698</v>
      </c>
      <c r="B848" s="376" t="n">
        <v>66.02376017957589</v>
      </c>
      <c r="C848" s="376" t="n">
        <v>67.5372771342402</v>
      </c>
      <c r="D848" s="376" t="n">
        <v>65.79530629748689</v>
      </c>
      <c r="E848" s="376" t="n">
        <v>67.52776336669922</v>
      </c>
      <c r="F848" s="93" t="n">
        <v>16201300</v>
      </c>
      <c r="G848" s="94" t="n">
        <v>0.03290631465147031</v>
      </c>
      <c r="H848" s="95" t="n">
        <v>49.99165205399565</v>
      </c>
      <c r="I848" s="376" t="n">
        <v>71.67896011352539</v>
      </c>
      <c r="J848" s="376" t="n">
        <v>76.78904018402099</v>
      </c>
      <c r="K848" s="94" t="n">
        <v>0.3553533193141656</v>
      </c>
      <c r="L848" s="94" t="n">
        <v>-0.1030470461048669</v>
      </c>
      <c r="M848" s="94" t="n">
        <v>-0.3283358212653837</v>
      </c>
      <c r="N848" t="n">
        <v>41.05535838254534</v>
      </c>
      <c r="O848" t="n">
        <v>-0.4090103449850239</v>
      </c>
      <c r="P848" s="143">
        <f>MAX($E$2:E848)</f>
        <v/>
      </c>
      <c r="Q848" s="144">
        <f>E848/P848-1</f>
        <v/>
      </c>
      <c r="R848" s="94" t="n">
        <v>0.006791307077217645</v>
      </c>
    </row>
    <row r="849">
      <c r="A849" s="375" t="n">
        <v>45699</v>
      </c>
      <c r="B849" s="376" t="n">
        <v>67.17555641256946</v>
      </c>
      <c r="C849" s="376" t="n">
        <v>68.52725214044584</v>
      </c>
      <c r="D849" s="376" t="n">
        <v>67.11844475890133</v>
      </c>
      <c r="E849" s="376" t="n">
        <v>67.90851593017578</v>
      </c>
      <c r="F849" s="93" t="n">
        <v>9636600</v>
      </c>
      <c r="G849" s="94" t="n">
        <v>0.005638459568236387</v>
      </c>
      <c r="H849" s="95" t="n">
        <v>50.27352796285145</v>
      </c>
      <c r="I849" s="376" t="n">
        <v>71.56709487915039</v>
      </c>
      <c r="J849" s="376" t="n">
        <v>76.68415802001954</v>
      </c>
      <c r="K849" s="94" t="n">
        <v>0.3530602698254208</v>
      </c>
      <c r="L849" s="94" t="n">
        <v>-0.09798961313971899</v>
      </c>
      <c r="M849" s="94" t="n">
        <v>-0.324548669950156</v>
      </c>
      <c r="N849" t="n">
        <v>42.37478536571064</v>
      </c>
      <c r="O849" t="n">
        <v>-0.4174492892828339</v>
      </c>
      <c r="P849" s="143">
        <f>MAX($E$2:E849)</f>
        <v/>
      </c>
      <c r="Q849" s="144">
        <f>E849/P849-1</f>
        <v/>
      </c>
      <c r="R849" s="94" t="n">
        <v>0.0007603718475563959</v>
      </c>
    </row>
    <row r="850">
      <c r="A850" s="375" t="n">
        <v>45700</v>
      </c>
      <c r="B850" s="376" t="n">
        <v>67.20411432383894</v>
      </c>
      <c r="C850" s="376" t="n">
        <v>68.96512723659892</v>
      </c>
      <c r="D850" s="376" t="n">
        <v>66.947104611943</v>
      </c>
      <c r="E850" s="376" t="n">
        <v>68.78427124023438</v>
      </c>
      <c r="F850" s="93" t="n">
        <v>10810900</v>
      </c>
      <c r="G850" s="94" t="n">
        <v>0.01289610438489119</v>
      </c>
      <c r="H850" s="95" t="n">
        <v>50.92186062725713</v>
      </c>
      <c r="I850" s="376" t="n">
        <v>71.4589176940918</v>
      </c>
      <c r="J850" s="376" t="n">
        <v>76.58694179534912</v>
      </c>
      <c r="K850" s="94" t="n">
        <v>0.3528471803033972</v>
      </c>
      <c r="L850" s="94" t="n">
        <v>-0.08635719303451261</v>
      </c>
      <c r="M850" s="94" t="n">
        <v>-0.3158379790909196</v>
      </c>
      <c r="N850" t="n">
        <v>45.40199456198177</v>
      </c>
      <c r="O850" t="n">
        <v>-0.3423362273353563</v>
      </c>
      <c r="P850" s="143">
        <f>MAX($E$2:E850)</f>
        <v/>
      </c>
      <c r="Q850" s="144">
        <f>E850/P850-1</f>
        <v/>
      </c>
      <c r="R850" s="94" t="n">
        <v>-0.003221465386853972</v>
      </c>
    </row>
    <row r="851">
      <c r="A851" s="375" t="n">
        <v>45701</v>
      </c>
      <c r="B851" s="376" t="n">
        <v>68.96512994352098</v>
      </c>
      <c r="C851" s="376" t="n">
        <v>70.05981604439334</v>
      </c>
      <c r="D851" s="376" t="n">
        <v>68.18457248473186</v>
      </c>
      <c r="E851" s="376" t="n">
        <v>69.68857574462891</v>
      </c>
      <c r="F851" s="93" t="n">
        <v>9739600</v>
      </c>
      <c r="G851" s="94" t="n">
        <v>0.01314696642254409</v>
      </c>
      <c r="H851" s="95" t="n">
        <v>51.59132861909715</v>
      </c>
      <c r="I851" s="376" t="n">
        <v>71.36068176269531</v>
      </c>
      <c r="J851" s="376" t="n">
        <v>76.49340187072754</v>
      </c>
      <c r="K851" s="94" t="n">
        <v>0.3553062911227252</v>
      </c>
      <c r="L851" s="94" t="n">
        <v>-0.07434556172913842</v>
      </c>
      <c r="M851" s="94" t="n">
        <v>-0.3062620177021638</v>
      </c>
      <c r="N851" t="n">
        <v>48.41545884293932</v>
      </c>
      <c r="O851" t="n">
        <v>-0.2161897409744178</v>
      </c>
      <c r="P851" s="143">
        <f>MAX($E$2:E851)</f>
        <v/>
      </c>
      <c r="Q851" s="144">
        <f>E851/P851-1</f>
        <v/>
      </c>
      <c r="R851" s="94" t="n">
        <v>0.01055762225958867</v>
      </c>
    </row>
    <row r="852">
      <c r="A852" s="375" t="n">
        <v>45702</v>
      </c>
      <c r="B852" s="376" t="n">
        <v>69.65050063551251</v>
      </c>
      <c r="C852" s="376" t="n">
        <v>69.96462928548904</v>
      </c>
      <c r="D852" s="376" t="n">
        <v>68.86042212645104</v>
      </c>
      <c r="E852" s="376" t="n">
        <v>69.52675628662109</v>
      </c>
      <c r="F852" s="93" t="n">
        <v>9254400</v>
      </c>
      <c r="G852" s="94" t="n">
        <v>-0.002322037095445761</v>
      </c>
      <c r="H852" s="95" t="n">
        <v>51.47153164024027</v>
      </c>
      <c r="I852" s="376" t="n">
        <v>71.24550216674805</v>
      </c>
      <c r="J852" s="376" t="n">
        <v>76.39933460235596</v>
      </c>
      <c r="K852" s="94" t="n">
        <v>0.3555787360380804</v>
      </c>
      <c r="L852" s="94" t="n">
        <v>-0.07649496567236747</v>
      </c>
      <c r="M852" s="94" t="n">
        <v>-0.307872903031579</v>
      </c>
      <c r="N852" t="n">
        <v>47.90591780530298</v>
      </c>
      <c r="O852" t="n">
        <v>-0.1322141006052703</v>
      </c>
      <c r="P852" s="143">
        <f>MAX($E$2:E852)</f>
        <v/>
      </c>
      <c r="Q852" s="144">
        <f>E852/P852-1</f>
        <v/>
      </c>
      <c r="R852" s="94" t="n">
        <v>-4.909494840543704e-05</v>
      </c>
    </row>
    <row r="853">
      <c r="A853" s="375" t="n">
        <v>45706</v>
      </c>
      <c r="B853" s="376" t="n">
        <v>70.91652828412067</v>
      </c>
      <c r="C853" s="376" t="n">
        <v>73.94356964768457</v>
      </c>
      <c r="D853" s="376" t="n">
        <v>70.91652828412067</v>
      </c>
      <c r="E853" s="376" t="n">
        <v>73.85789489746094</v>
      </c>
      <c r="F853" s="93" t="n">
        <v>28252400</v>
      </c>
      <c r="G853" s="94" t="n">
        <v>0.06229455884558899</v>
      </c>
      <c r="H853" s="95" t="n">
        <v>54.67792799687582</v>
      </c>
      <c r="I853" s="376" t="n">
        <v>71.22132400512696</v>
      </c>
      <c r="J853" s="376" t="n">
        <v>76.33537570953369</v>
      </c>
      <c r="K853" s="94" t="n">
        <v>0.4147877591025568</v>
      </c>
      <c r="L853" s="94" t="n">
        <v>-0.01896562696724702</v>
      </c>
      <c r="M853" s="94" t="n">
        <v>-0.2647571508608531</v>
      </c>
      <c r="N853" t="n">
        <v>60.03078001634477</v>
      </c>
      <c r="O853" t="n">
        <v>0.2079589589140005</v>
      </c>
      <c r="P853" s="143">
        <f>MAX($E$2:E853)</f>
        <v/>
      </c>
      <c r="Q853" s="144">
        <f>E853/P853-1</f>
        <v/>
      </c>
      <c r="R853" s="94" t="n">
        <v>0.002935736252662968</v>
      </c>
    </row>
    <row r="854">
      <c r="A854" s="375" t="n">
        <v>45707</v>
      </c>
      <c r="B854" s="376" t="n">
        <v>73.12492988434541</v>
      </c>
      <c r="C854" s="376" t="n">
        <v>73.94356415383615</v>
      </c>
      <c r="D854" s="376" t="n">
        <v>72.4300399532966</v>
      </c>
      <c r="E854" s="376" t="n">
        <v>73.08685302734375</v>
      </c>
      <c r="F854" s="93" t="n">
        <v>14184100</v>
      </c>
      <c r="G854" s="94" t="n">
        <v>-0.01043953217442284</v>
      </c>
      <c r="H854" s="95" t="n">
        <v>54.10711600832165</v>
      </c>
      <c r="I854" s="376" t="n">
        <v>71.19105346679687</v>
      </c>
      <c r="J854" s="376" t="n">
        <v>76.27657787322998</v>
      </c>
      <c r="K854" s="94" t="n">
        <v>0.4043685525500036</v>
      </c>
      <c r="L854" s="94" t="n">
        <v>-0.02920716686873726</v>
      </c>
      <c r="M854" s="94" t="n">
        <v>-0.2675195166484516</v>
      </c>
      <c r="N854" t="n">
        <v>57.46650970394725</v>
      </c>
      <c r="O854" t="n">
        <v>0.364795944294538</v>
      </c>
      <c r="P854" s="143">
        <f>MAX($E$2:E854)</f>
        <v/>
      </c>
      <c r="Q854" s="144">
        <f>E854/P854-1</f>
        <v/>
      </c>
      <c r="R854" s="94" t="n">
        <v>0.002354965415929833</v>
      </c>
    </row>
    <row r="855">
      <c r="A855" s="375" t="n">
        <v>45708</v>
      </c>
      <c r="B855" s="376" t="n">
        <v>73.21061301360537</v>
      </c>
      <c r="C855" s="376" t="n">
        <v>73.55329024103402</v>
      </c>
      <c r="D855" s="376" t="n">
        <v>72.66802318599808</v>
      </c>
      <c r="E855" s="376" t="n">
        <v>73.51522064208984</v>
      </c>
      <c r="F855" s="93" t="n">
        <v>10689600</v>
      </c>
      <c r="G855" s="94" t="n">
        <v>0.005861076199105586</v>
      </c>
      <c r="H855" s="95" t="n">
        <v>54.42424193816028</v>
      </c>
      <c r="I855" s="376" t="n">
        <v>71.16535247802734</v>
      </c>
      <c r="J855" s="376" t="n">
        <v>76.21020118713379</v>
      </c>
      <c r="K855" s="94" t="n">
        <v>0.4031190448440237</v>
      </c>
      <c r="L855" s="94" t="n">
        <v>-0.02351727610020926</v>
      </c>
      <c r="M855" s="94" t="n">
        <v>-0.2632263927211705</v>
      </c>
      <c r="N855" t="n">
        <v>58.52645708473045</v>
      </c>
      <c r="O855" t="n">
        <v>0.4742118438174397</v>
      </c>
      <c r="P855" s="143">
        <f>MAX($E$2:E855)</f>
        <v/>
      </c>
      <c r="Q855" s="144">
        <f>E855/P855-1</f>
        <v/>
      </c>
      <c r="R855" s="94" t="n">
        <v>-0.00416042180331111</v>
      </c>
    </row>
    <row r="856">
      <c r="A856" s="375" t="n">
        <v>45709</v>
      </c>
      <c r="B856" s="376" t="n">
        <v>73.67704666876371</v>
      </c>
      <c r="C856" s="376" t="n">
        <v>74.23866407011006</v>
      </c>
      <c r="D856" s="376" t="n">
        <v>72.21112009141979</v>
      </c>
      <c r="E856" s="376" t="n">
        <v>72.82033538818359</v>
      </c>
      <c r="F856" s="93" t="n">
        <v>12823400</v>
      </c>
      <c r="G856" s="94" t="n">
        <v>-0.009452263733102484</v>
      </c>
      <c r="H856" s="95" t="n">
        <v>53.90980964988661</v>
      </c>
      <c r="I856" s="376" t="n">
        <v>71.11985168457031</v>
      </c>
      <c r="J856" s="376" t="n">
        <v>76.14157104492188</v>
      </c>
      <c r="K856" s="94" t="n">
        <v>0.4052797709956715</v>
      </c>
      <c r="L856" s="94" t="n">
        <v>-0.03274724833732834</v>
      </c>
      <c r="M856" s="94" t="n">
        <v>-0.2701905711687592</v>
      </c>
      <c r="N856" t="n">
        <v>56.08482727099799</v>
      </c>
      <c r="O856" t="n">
        <v>0.4754051645005662</v>
      </c>
      <c r="P856" s="143">
        <f>MAX($E$2:E856)</f>
        <v/>
      </c>
      <c r="Q856" s="144">
        <f>E856/P856-1</f>
        <v/>
      </c>
      <c r="R856" s="94" t="n">
        <v>-0.01710416601667286</v>
      </c>
    </row>
    <row r="857">
      <c r="A857" s="375" t="n">
        <v>45712</v>
      </c>
      <c r="B857" s="376" t="n">
        <v>75.0858493403003</v>
      </c>
      <c r="C857" s="376" t="n">
        <v>77.18954690719804</v>
      </c>
      <c r="D857" s="376" t="n">
        <v>74.96210498780704</v>
      </c>
      <c r="E857" s="376" t="n">
        <v>76.41851043701172</v>
      </c>
      <c r="F857" s="93" t="n">
        <v>24553500</v>
      </c>
      <c r="G857" s="94" t="n">
        <v>0.04941167916416922</v>
      </c>
      <c r="H857" s="95" t="n">
        <v>56.57358386810824</v>
      </c>
      <c r="I857" s="376" t="n">
        <v>71.17011215209961</v>
      </c>
      <c r="J857" s="376" t="n">
        <v>76.08524974822998</v>
      </c>
      <c r="K857" s="94" t="n">
        <v>0.4362221162514701</v>
      </c>
      <c r="L857" s="94" t="n">
        <v>0</v>
      </c>
      <c r="M857" s="94" t="n">
        <v>-0.2341294618203644</v>
      </c>
      <c r="N857" t="n">
        <v>64.37302973101291</v>
      </c>
      <c r="O857" t="n">
        <v>0.6815936481589872</v>
      </c>
      <c r="P857" s="143">
        <f>MAX($E$2:E857)</f>
        <v/>
      </c>
      <c r="Q857" s="144">
        <f>E857/P857-1</f>
        <v/>
      </c>
      <c r="R857" s="94" t="n">
        <v>-0.004550192364506711</v>
      </c>
    </row>
    <row r="858">
      <c r="A858" s="375" t="n">
        <v>45713</v>
      </c>
      <c r="B858" s="376" t="n">
        <v>76.44706352595296</v>
      </c>
      <c r="C858" s="376" t="n">
        <v>78.01769950280944</v>
      </c>
      <c r="D858" s="376" t="n">
        <v>76.19957482984155</v>
      </c>
      <c r="E858" s="376" t="n">
        <v>77.78924560546875</v>
      </c>
      <c r="F858" s="93" t="n">
        <v>15522500</v>
      </c>
      <c r="G858" s="94" t="n">
        <v>0.01793721391084779</v>
      </c>
      <c r="H858" s="95" t="n">
        <v>57.58835634365378</v>
      </c>
      <c r="I858" s="376" t="n">
        <v>71.26492156982422</v>
      </c>
      <c r="J858" s="376" t="n">
        <v>76.03380981445312</v>
      </c>
      <c r="K858" s="94" t="n">
        <v>0.4310172802454399</v>
      </c>
      <c r="L858" s="94" t="n">
        <v>0</v>
      </c>
      <c r="M858" s="94" t="n">
        <v>-0.2203918781490202</v>
      </c>
      <c r="N858" t="n">
        <v>66.93333692994152</v>
      </c>
      <c r="O858" t="n">
        <v>0.8617568882744138</v>
      </c>
      <c r="P858" s="143">
        <f>MAX($E$2:E858)</f>
        <v/>
      </c>
      <c r="Q858" s="144">
        <f>E858/P858-1</f>
        <v/>
      </c>
      <c r="R858" s="94" t="n">
        <v>-0.004973339357960405</v>
      </c>
    </row>
    <row r="859">
      <c r="A859" s="375" t="n">
        <v>45714</v>
      </c>
      <c r="B859" s="376" t="n">
        <v>78.15096835571643</v>
      </c>
      <c r="C859" s="376" t="n">
        <v>78.47461804855408</v>
      </c>
      <c r="D859" s="376" t="n">
        <v>76.9515726321255</v>
      </c>
      <c r="E859" s="376" t="n">
        <v>77.26570129394531</v>
      </c>
      <c r="F859" s="93" t="n">
        <v>16058100</v>
      </c>
      <c r="G859" s="94" t="n">
        <v>-0.006730291667549348</v>
      </c>
      <c r="H859" s="95" t="n">
        <v>57.20076990880622</v>
      </c>
      <c r="I859" s="376" t="n">
        <v>71.30908981323242</v>
      </c>
      <c r="J859" s="376" t="n">
        <v>75.98064434051514</v>
      </c>
      <c r="K859" s="94" t="n">
        <v>0.426633434692867</v>
      </c>
      <c r="L859" s="94" t="n">
        <v>-0.006730291667549348</v>
      </c>
      <c r="M859" s="94" t="n">
        <v>-0.2218438154131936</v>
      </c>
      <c r="N859" t="n">
        <v>65.01162287486005</v>
      </c>
      <c r="O859" t="n">
        <v>0.8933109458833882</v>
      </c>
      <c r="P859" s="143">
        <f>MAX($E$2:E859)</f>
        <v/>
      </c>
      <c r="Q859" s="144">
        <f>E859/P859-1</f>
        <v/>
      </c>
      <c r="R859" s="94" t="n">
        <v>0.0005050038000959933</v>
      </c>
    </row>
    <row r="860">
      <c r="A860" s="375" t="n">
        <v>45715</v>
      </c>
      <c r="B860" s="376" t="n">
        <v>77.57029886806349</v>
      </c>
      <c r="C860" s="376" t="n">
        <v>77.57029886806349</v>
      </c>
      <c r="D860" s="376" t="n">
        <v>75.63794377983403</v>
      </c>
      <c r="E860" s="376" t="n">
        <v>76.17100524902344</v>
      </c>
      <c r="F860" s="93" t="n">
        <v>11651900</v>
      </c>
      <c r="G860" s="94" t="n">
        <v>-0.01416794291114076</v>
      </c>
      <c r="H860" s="95" t="n">
        <v>56.39035266626497</v>
      </c>
      <c r="I860" s="376" t="n">
        <v>71.34830810546875</v>
      </c>
      <c r="J860" s="376" t="n">
        <v>75.92294452667237</v>
      </c>
      <c r="K860" s="94" t="n">
        <v>0.4211553737533138</v>
      </c>
      <c r="L860" s="94" t="n">
        <v>-0.02080288019056875</v>
      </c>
      <c r="M860" s="94" t="n">
        <v>-0.2290173364082267</v>
      </c>
      <c r="N860" t="n">
        <v>61.06382352787121</v>
      </c>
      <c r="O860" t="n">
        <v>0.7915799254403417</v>
      </c>
      <c r="P860" s="143">
        <f>MAX($E$2:E860)</f>
        <v/>
      </c>
      <c r="Q860" s="144">
        <f>E860/P860-1</f>
        <v/>
      </c>
      <c r="R860" s="94" t="n">
        <v>-0.01596197739725636</v>
      </c>
    </row>
    <row r="861">
      <c r="A861" s="375" t="n">
        <v>45716</v>
      </c>
      <c r="B861" s="376" t="n">
        <v>75.43805564165532</v>
      </c>
      <c r="C861" s="376" t="n">
        <v>76.17101525810367</v>
      </c>
      <c r="D861" s="376" t="n">
        <v>74.41952319352026</v>
      </c>
      <c r="E861" s="376" t="n">
        <v>75.60939788818359</v>
      </c>
      <c r="F861" s="93" t="n">
        <v>14113800</v>
      </c>
      <c r="G861" s="94" t="n">
        <v>-0.00737298082129545</v>
      </c>
      <c r="H861" s="95" t="n">
        <v>55.9745876775505</v>
      </c>
      <c r="I861" s="376" t="n">
        <v>71.38981094360352</v>
      </c>
      <c r="J861" s="376" t="n">
        <v>75.87394187927246</v>
      </c>
      <c r="K861" s="94" t="n">
        <v>0.4154393259687253</v>
      </c>
      <c r="L861" s="94" t="n">
        <v>-0.02802248177519162</v>
      </c>
      <c r="M861" s="94" t="n">
        <v>-0.2347017768004401</v>
      </c>
      <c r="N861" t="n">
        <v>59.08165471212239</v>
      </c>
      <c r="O861" t="n">
        <v>0.6438576120850455</v>
      </c>
      <c r="P861" s="143">
        <f>MAX($E$2:E861)</f>
        <v/>
      </c>
      <c r="Q861" s="144">
        <f>E861/P861-1</f>
        <v/>
      </c>
      <c r="R861" s="94" t="n">
        <v>0.01560562659933606</v>
      </c>
    </row>
    <row r="862">
      <c r="A862" s="375" t="n">
        <v>45719</v>
      </c>
      <c r="B862" s="376" t="n">
        <v>76.52784370955469</v>
      </c>
      <c r="C862" s="376" t="n">
        <v>77.45586100919844</v>
      </c>
      <c r="D862" s="376" t="n">
        <v>74.51873807997904</v>
      </c>
      <c r="E862" s="376" t="n">
        <v>75.0162353515625</v>
      </c>
      <c r="F862" s="93" t="n">
        <v>8628800</v>
      </c>
      <c r="G862" s="94" t="n">
        <v>-0.007845090070659033</v>
      </c>
      <c r="H862" s="95" t="n">
        <v>55.53546199555212</v>
      </c>
      <c r="I862" s="376" t="n">
        <v>71.42040252685547</v>
      </c>
      <c r="J862" s="376" t="n">
        <v>75.81361461639405</v>
      </c>
      <c r="K862" s="94" t="n">
        <v>0.4106486588407841</v>
      </c>
      <c r="L862" s="94" t="n">
        <v>-0.03564773295232082</v>
      </c>
      <c r="M862" s="94" t="n">
        <v>-0.240705610292356</v>
      </c>
      <c r="N862" t="n">
        <v>56.97792995503795</v>
      </c>
      <c r="O862" t="n">
        <v>0.4715714357607133</v>
      </c>
      <c r="P862" s="143">
        <f>MAX($E$2:E862)</f>
        <v/>
      </c>
      <c r="Q862" s="144">
        <f>E862/P862-1</f>
        <v/>
      </c>
      <c r="R862" s="94" t="n">
        <v>-0.01752001391780722</v>
      </c>
    </row>
    <row r="863">
      <c r="A863" s="375" t="n">
        <v>45720</v>
      </c>
      <c r="B863" s="376" t="n">
        <v>74.3369463210759</v>
      </c>
      <c r="C863" s="376" t="n">
        <v>75.24583231935462</v>
      </c>
      <c r="D863" s="376" t="n">
        <v>73.45676797890772</v>
      </c>
      <c r="E863" s="376" t="n">
        <v>73.97339630126953</v>
      </c>
      <c r="F863" s="93" t="n">
        <v>10034100</v>
      </c>
      <c r="G863" s="94" t="n">
        <v>-0.01390151139157703</v>
      </c>
      <c r="H863" s="95" t="n">
        <v>54.76343513798445</v>
      </c>
      <c r="I863" s="376" t="n">
        <v>71.41490692138672</v>
      </c>
      <c r="J863" s="376" t="n">
        <v>75.74774444580078</v>
      </c>
      <c r="K863" s="94" t="n">
        <v>0.4139063833751065</v>
      </c>
      <c r="L863" s="94" t="n">
        <v>-0.04905368697817736</v>
      </c>
      <c r="M863" s="94" t="n">
        <v>-0.2422265849679991</v>
      </c>
      <c r="N863" t="n">
        <v>53.37929839840534</v>
      </c>
      <c r="O863" t="n">
        <v>0.2631485207934399</v>
      </c>
      <c r="P863" s="143">
        <f>MAX($E$2:E863)</f>
        <v/>
      </c>
      <c r="Q863" s="144">
        <f>E863/P863-1</f>
        <v/>
      </c>
      <c r="R863" s="94" t="n">
        <v>-0.01183694307877359</v>
      </c>
    </row>
    <row r="864">
      <c r="A864" s="375" t="n">
        <v>45721</v>
      </c>
      <c r="B864" s="376" t="n">
        <v>73.98298689443625</v>
      </c>
      <c r="C864" s="376" t="n">
        <v>74.92056622135163</v>
      </c>
      <c r="D864" s="376" t="n">
        <v>73.15063980696142</v>
      </c>
      <c r="E864" s="376" t="n">
        <v>74.44220733642578</v>
      </c>
      <c r="F864" s="93" t="n">
        <v>9853600</v>
      </c>
      <c r="G864" s="94" t="n">
        <v>0.006337562672490193</v>
      </c>
      <c r="H864" s="95" t="n">
        <v>55.11050184033228</v>
      </c>
      <c r="I864" s="376" t="n">
        <v>71.43972930908203</v>
      </c>
      <c r="J864" s="376" t="n">
        <v>75.6894778060913</v>
      </c>
      <c r="K864" s="94" t="n">
        <v>0.4143306740810311</v>
      </c>
      <c r="L864" s="94" t="n">
        <v>-0.04302700512122803</v>
      </c>
      <c r="M864" s="94" t="n">
        <v>-0.2266354566820781</v>
      </c>
      <c r="N864" t="n">
        <v>54.76252798030207</v>
      </c>
      <c r="O864" t="n">
        <v>0.1388718799896225</v>
      </c>
      <c r="P864" s="143">
        <f>MAX($E$2:E864)</f>
        <v/>
      </c>
      <c r="Q864" s="144">
        <f>E864/P864-1</f>
        <v/>
      </c>
      <c r="R864" s="94" t="n">
        <v>0.01074798881799199</v>
      </c>
    </row>
    <row r="865">
      <c r="A865" s="375" t="n">
        <v>45722</v>
      </c>
      <c r="B865" s="376" t="n">
        <v>73.4185098188053</v>
      </c>
      <c r="C865" s="376" t="n">
        <v>74.93969466547804</v>
      </c>
      <c r="D865" s="376" t="n">
        <v>73.4185098188053</v>
      </c>
      <c r="E865" s="376" t="n">
        <v>74.34652709960938</v>
      </c>
      <c r="F865" s="93" t="n">
        <v>9623700</v>
      </c>
      <c r="G865" s="94" t="n">
        <v>-0.001285295536495812</v>
      </c>
      <c r="H865" s="95" t="n">
        <v>55.03966855830286</v>
      </c>
      <c r="I865" s="376" t="n">
        <v>71.45883056640625</v>
      </c>
      <c r="J865" s="376" t="n">
        <v>75.63026317596436</v>
      </c>
      <c r="K865" s="94" t="n">
        <v>0.3998684262853931</v>
      </c>
      <c r="L865" s="94" t="n">
        <v>-0.04425699824009277</v>
      </c>
      <c r="M865" s="94" t="n">
        <v>-0.2276294586776887</v>
      </c>
      <c r="N865" t="n">
        <v>54.40772672894159</v>
      </c>
      <c r="O865" t="n">
        <v>0.03751024918743728</v>
      </c>
      <c r="P865" s="143">
        <f>MAX($E$2:E865)</f>
        <v/>
      </c>
      <c r="Q865" s="144">
        <f>E865/P865-1</f>
        <v/>
      </c>
      <c r="R865" s="94" t="n">
        <v>-0.01775136434213942</v>
      </c>
    </row>
    <row r="866">
      <c r="A866" s="375" t="n">
        <v>45723</v>
      </c>
      <c r="B866" s="376" t="n">
        <v>74.12648099212903</v>
      </c>
      <c r="C866" s="376" t="n">
        <v>75.58068849585494</v>
      </c>
      <c r="D866" s="376" t="n">
        <v>73.63855298465238</v>
      </c>
      <c r="E866" s="376" t="n">
        <v>75.18843078613281</v>
      </c>
      <c r="F866" s="93" t="n">
        <v>9294300</v>
      </c>
      <c r="G866" s="94" t="n">
        <v>0.01132404860546421</v>
      </c>
      <c r="H866" s="95" t="n">
        <v>55.66294044028572</v>
      </c>
      <c r="I866" s="376" t="n">
        <v>71.4978158569336</v>
      </c>
      <c r="J866" s="376" t="n">
        <v>75.57333267211914</v>
      </c>
      <c r="K866" s="94" t="n">
        <v>0.3707617214775467</v>
      </c>
      <c r="L866" s="94" t="n">
        <v>-0.03343411803383134</v>
      </c>
      <c r="M866" s="94" t="n">
        <v>-0.2188830971263261</v>
      </c>
      <c r="N866" t="n">
        <v>57.04491474279622</v>
      </c>
      <c r="O866" t="n">
        <v>0.01557376907066099</v>
      </c>
      <c r="P866" s="143">
        <f>MAX($E$2:E866)</f>
        <v/>
      </c>
      <c r="Q866" s="144">
        <f>E866/P866-1</f>
        <v/>
      </c>
      <c r="R866" s="94" t="n">
        <v>0.005605003514265405</v>
      </c>
    </row>
    <row r="867">
      <c r="A867" s="375" t="n">
        <v>45726</v>
      </c>
      <c r="B867" s="376" t="n">
        <v>74.15518839522227</v>
      </c>
      <c r="C867" s="376" t="n">
        <v>76.71919203413674</v>
      </c>
      <c r="D867" s="376" t="n">
        <v>72.76794339889778</v>
      </c>
      <c r="E867" s="376" t="n">
        <v>73.09323120117188</v>
      </c>
      <c r="F867" s="93" t="n">
        <v>15822600</v>
      </c>
      <c r="G867" s="94" t="n">
        <v>-0.0278659836766717</v>
      </c>
      <c r="H867" s="95" t="n">
        <v>54.11183785058115</v>
      </c>
      <c r="I867" s="376" t="n">
        <v>71.49832397460938</v>
      </c>
      <c r="J867" s="376" t="n">
        <v>75.50785156249999</v>
      </c>
      <c r="K867" s="94" t="n">
        <v>0.3485615963089932</v>
      </c>
      <c r="L867" s="94" t="n">
        <v>-0.06036842712312862</v>
      </c>
      <c r="M867" s="94" t="n">
        <v>-0.2406496879913763</v>
      </c>
      <c r="N867" t="n">
        <v>49.3885320063545</v>
      </c>
      <c r="O867" t="n">
        <v>-0.142905183728631</v>
      </c>
      <c r="P867" s="143">
        <f>MAX($E$2:E867)</f>
        <v/>
      </c>
      <c r="Q867" s="144">
        <f>E867/P867-1</f>
        <v/>
      </c>
      <c r="R867" s="94" t="n">
        <v>-0.0266357339774318</v>
      </c>
    </row>
    <row r="868">
      <c r="A868" s="375" t="n">
        <v>45727</v>
      </c>
      <c r="B868" s="376" t="n">
        <v>72.62442568676087</v>
      </c>
      <c r="C868" s="376" t="n">
        <v>72.7870659026988</v>
      </c>
      <c r="D868" s="376" t="n">
        <v>70.43354183365754</v>
      </c>
      <c r="E868" s="376" t="n">
        <v>70.95973205566406</v>
      </c>
      <c r="F868" s="93" t="n">
        <v>12837000</v>
      </c>
      <c r="G868" s="94" t="n">
        <v>-0.029188737595084</v>
      </c>
      <c r="H868" s="95" t="n">
        <v>52.5323816147728</v>
      </c>
      <c r="I868" s="376" t="n">
        <v>71.45559112548828</v>
      </c>
      <c r="J868" s="376" t="n">
        <v>75.42677215576173</v>
      </c>
      <c r="K868" s="94" t="n">
        <v>0.3542040691364457</v>
      </c>
      <c r="L868" s="94" t="n">
        <v>-0.08779508653988777</v>
      </c>
      <c r="M868" s="94" t="n">
        <v>-0.2628141649913411</v>
      </c>
      <c r="N868" t="n">
        <v>43.05199801679521</v>
      </c>
      <c r="O868" t="n">
        <v>-0.3807770632171368</v>
      </c>
      <c r="P868" s="143">
        <f>MAX($E$2:E868)</f>
        <v/>
      </c>
      <c r="Q868" s="144">
        <f>E868/P868-1</f>
        <v/>
      </c>
      <c r="R868" s="94" t="n">
        <v>-0.008312662786454483</v>
      </c>
    </row>
    <row r="869">
      <c r="A869" s="375" t="n">
        <v>45728</v>
      </c>
      <c r="B869" s="376" t="n">
        <v>71.14151745020439</v>
      </c>
      <c r="C869" s="376" t="n">
        <v>71.27545732298468</v>
      </c>
      <c r="D869" s="376" t="n">
        <v>70.06042924871335</v>
      </c>
      <c r="E869" s="376" t="n">
        <v>70.39527893066406</v>
      </c>
      <c r="F869" s="93" t="n">
        <v>12304900</v>
      </c>
      <c r="G869" s="94" t="n">
        <v>-0.007954555473197344</v>
      </c>
      <c r="H869" s="95" t="n">
        <v>52.11450987107892</v>
      </c>
      <c r="I869" s="376" t="n">
        <v>71.39871337890625</v>
      </c>
      <c r="J869" s="376" t="n">
        <v>75.34437316894531</v>
      </c>
      <c r="K869" s="94" t="n">
        <v>0.3559972938745118</v>
      </c>
      <c r="L869" s="94" t="n">
        <v>-0.09505127112692946</v>
      </c>
      <c r="M869" s="94" t="n">
        <v>-0.2686781506099729</v>
      </c>
      <c r="N869" t="n">
        <v>41.53373595300525</v>
      </c>
      <c r="O869" t="n">
        <v>-0.5549405346688775</v>
      </c>
      <c r="P869" s="143">
        <f>MAX($E$2:E869)</f>
        <v/>
      </c>
      <c r="Q869" s="144">
        <f>E869/P869-1</f>
        <v/>
      </c>
      <c r="R869" s="94" t="n">
        <v>0.005306342781235651</v>
      </c>
    </row>
    <row r="870">
      <c r="A870" s="375" t="n">
        <v>45729</v>
      </c>
      <c r="B870" s="376" t="n">
        <v>70.01259241659169</v>
      </c>
      <c r="C870" s="376" t="n">
        <v>70.73969981721682</v>
      </c>
      <c r="D870" s="376" t="n">
        <v>68.56794683485876</v>
      </c>
      <c r="E870" s="376" t="n">
        <v>69.49596405029297</v>
      </c>
      <c r="F870" s="93" t="n">
        <v>10195900</v>
      </c>
      <c r="G870" s="94" t="n">
        <v>-0.01277521581037944</v>
      </c>
      <c r="H870" s="95" t="n">
        <v>51.44873576062373</v>
      </c>
      <c r="I870" s="376" t="n">
        <v>71.33374938964843</v>
      </c>
      <c r="J870" s="376" t="n">
        <v>75.26264312744141</v>
      </c>
      <c r="K870" s="94" t="n">
        <v>0.3572688991693589</v>
      </c>
      <c r="L870" s="94" t="n">
        <v>-0.1066121864356114</v>
      </c>
      <c r="M870" s="94" t="n">
        <v>-0.2780209450627763</v>
      </c>
      <c r="N870" t="n">
        <v>39.16395320727106</v>
      </c>
      <c r="O870" t="n">
        <v>-0.7001481464333588</v>
      </c>
      <c r="P870" s="143">
        <f>MAX($E$2:E870)</f>
        <v/>
      </c>
      <c r="Q870" s="144">
        <f>E870/P870-1</f>
        <v/>
      </c>
      <c r="R870" s="94" t="n">
        <v>-0.01333046625507539</v>
      </c>
    </row>
    <row r="871">
      <c r="A871" s="375" t="n">
        <v>45730</v>
      </c>
      <c r="B871" s="376" t="n">
        <v>70.10826562031232</v>
      </c>
      <c r="C871" s="376" t="n">
        <v>70.35701424384321</v>
      </c>
      <c r="D871" s="376" t="n">
        <v>68.2330999718571</v>
      </c>
      <c r="E871" s="376" t="n">
        <v>68.55838775634766</v>
      </c>
      <c r="F871" s="93" t="n">
        <v>12183000</v>
      </c>
      <c r="G871" s="94" t="n">
        <v>-0.01349108983173186</v>
      </c>
      <c r="H871" s="95" t="n">
        <v>50.75463624474812</v>
      </c>
      <c r="I871" s="376" t="n">
        <v>71.28373092651367</v>
      </c>
      <c r="J871" s="376" t="n">
        <v>75.17458168029785</v>
      </c>
      <c r="K871" s="94" t="n">
        <v>0.3575226545446021</v>
      </c>
      <c r="L871" s="94" t="n">
        <v>-0.1186649616829832</v>
      </c>
      <c r="M871" s="94" t="n">
        <v>-0.2877612293495633</v>
      </c>
      <c r="N871" t="n">
        <v>36.80615053609201</v>
      </c>
      <c r="O871" t="n">
        <v>-0.8204407381387302</v>
      </c>
      <c r="P871" s="143">
        <f>MAX($E$2:E871)</f>
        <v/>
      </c>
      <c r="Q871" s="144">
        <f>E871/P871-1</f>
        <v/>
      </c>
      <c r="R871" s="94" t="n">
        <v>0.02065573359748996</v>
      </c>
    </row>
    <row r="872">
      <c r="A872" s="375" t="n">
        <v>45733</v>
      </c>
      <c r="B872" s="376" t="n">
        <v>69.01760143204815</v>
      </c>
      <c r="C872" s="376" t="n">
        <v>70.74925781060267</v>
      </c>
      <c r="D872" s="376" t="n">
        <v>68.91236192072628</v>
      </c>
      <c r="E872" s="376" t="n">
        <v>70.51007843017578</v>
      </c>
      <c r="F872" s="93" t="n">
        <v>15996900</v>
      </c>
      <c r="G872" s="94" t="n">
        <v>0.02846756958119134</v>
      </c>
      <c r="H872" s="95" t="n">
        <v>52.19949738361355</v>
      </c>
      <c r="I872" s="376" t="n">
        <v>71.25332748413086</v>
      </c>
      <c r="J872" s="376" t="n">
        <v>75.09510463714599</v>
      </c>
      <c r="K872" s="94" t="n">
        <v>0.3719483058668004</v>
      </c>
      <c r="L872" s="94" t="n">
        <v>-0.09357549515535157</v>
      </c>
      <c r="M872" s="94" t="n">
        <v>-0.2674855225876498</v>
      </c>
      <c r="N872" t="n">
        <v>44.32071225485293</v>
      </c>
      <c r="O872" t="n">
        <v>-0.7325549230947687</v>
      </c>
      <c r="P872" s="143">
        <f>MAX($E$2:E872)</f>
        <v/>
      </c>
      <c r="Q872" s="144">
        <f>E872/P872-1</f>
        <v/>
      </c>
      <c r="R872" s="94" t="n">
        <v>0.007711577982432605</v>
      </c>
    </row>
    <row r="873">
      <c r="A873" s="375" t="n">
        <v>45734</v>
      </c>
      <c r="B873" s="376" t="n">
        <v>70.69185314461399</v>
      </c>
      <c r="C873" s="376" t="n">
        <v>70.95017094857786</v>
      </c>
      <c r="D873" s="376" t="n">
        <v>69.57249545857053</v>
      </c>
      <c r="E873" s="376" t="n">
        <v>70.13695526123047</v>
      </c>
      <c r="F873" s="93" t="n">
        <v>8972300</v>
      </c>
      <c r="G873" s="94" t="n">
        <v>-0.005291770726291389</v>
      </c>
      <c r="H873" s="95" t="n">
        <v>51.92326961143182</v>
      </c>
      <c r="I873" s="376" t="n">
        <v>71.25353744506836</v>
      </c>
      <c r="J873" s="376" t="n">
        <v>75.01531173706054</v>
      </c>
      <c r="K873" s="94" t="n">
        <v>0.2931490021212525</v>
      </c>
      <c r="L873" s="94" t="n">
        <v>-0.09837208581568158</v>
      </c>
      <c r="M873" s="94" t="n">
        <v>-0.267286675004759</v>
      </c>
      <c r="N873" t="n">
        <v>43.26156347786993</v>
      </c>
      <c r="O873" t="n">
        <v>-0.6654885828416934</v>
      </c>
      <c r="P873" s="143">
        <f>MAX($E$2:E873)</f>
        <v/>
      </c>
      <c r="Q873" s="144">
        <f>E873/P873-1</f>
        <v/>
      </c>
      <c r="R873" s="94" t="n">
        <v>-0.01080855212147191</v>
      </c>
    </row>
    <row r="874">
      <c r="A874" s="375" t="n">
        <v>45735</v>
      </c>
      <c r="B874" s="376" t="n">
        <v>69.49596087084593</v>
      </c>
      <c r="C874" s="376" t="n">
        <v>70.25176859626896</v>
      </c>
      <c r="D874" s="376" t="n">
        <v>69.16111119481687</v>
      </c>
      <c r="E874" s="376" t="n">
        <v>69.830810546875</v>
      </c>
      <c r="F874" s="93" t="n">
        <v>10830500</v>
      </c>
      <c r="G874" s="94" t="n">
        <v>-0.004364955866920761</v>
      </c>
      <c r="H874" s="95" t="n">
        <v>51.69662683111169</v>
      </c>
      <c r="I874" s="376" t="n">
        <v>71.25447845458984</v>
      </c>
      <c r="J874" s="376" t="n">
        <v>74.92562927246094</v>
      </c>
      <c r="K874" s="94" t="n">
        <v>0.2917348681383127</v>
      </c>
      <c r="L874" s="94" t="n">
        <v>-0.1023076518694799</v>
      </c>
      <c r="M874" s="94" t="n">
        <v>-0.2704849363314681</v>
      </c>
      <c r="N874" t="n">
        <v>42.36694751219182</v>
      </c>
      <c r="O874" t="n">
        <v>-0.6091960228323987</v>
      </c>
      <c r="P874" s="143">
        <f>MAX($E$2:E874)</f>
        <v/>
      </c>
      <c r="Q874" s="144">
        <f>E874/P874-1</f>
        <v/>
      </c>
      <c r="R874" s="94" t="n">
        <v>0.01089104473671432</v>
      </c>
    </row>
    <row r="875">
      <c r="A875" s="375" t="n">
        <v>45736</v>
      </c>
      <c r="B875" s="376" t="n">
        <v>69.7638436328813</v>
      </c>
      <c r="C875" s="376" t="n">
        <v>70.46225067242347</v>
      </c>
      <c r="D875" s="376" t="n">
        <v>68.42443757158485</v>
      </c>
      <c r="E875" s="376" t="n">
        <v>68.74972534179688</v>
      </c>
      <c r="F875" s="93" t="n">
        <v>25202300</v>
      </c>
      <c r="G875" s="94" t="n">
        <v>-0.01548149300590507</v>
      </c>
      <c r="H875" s="95" t="n">
        <v>50.89628586439695</v>
      </c>
      <c r="I875" s="376" t="n">
        <v>71.25873733520508</v>
      </c>
      <c r="J875" s="376" t="n">
        <v>74.8230277633667</v>
      </c>
      <c r="K875" s="94" t="n">
        <v>0.2938224839224555</v>
      </c>
      <c r="L875" s="94" t="n">
        <v>-0.1162052696785171</v>
      </c>
      <c r="M875" s="94" t="n">
        <v>-0.2817789186873548</v>
      </c>
      <c r="N875" t="n">
        <v>39.27805860455436</v>
      </c>
      <c r="O875" t="n">
        <v>-0.6106736193237386</v>
      </c>
      <c r="P875" s="143">
        <f>MAX($E$2:E875)</f>
        <v/>
      </c>
      <c r="Q875" s="144">
        <f>E875/P875-1</f>
        <v/>
      </c>
      <c r="R875" s="94" t="n">
        <v>-0.002891965648882167</v>
      </c>
    </row>
    <row r="876">
      <c r="A876" s="375" t="n">
        <v>45737</v>
      </c>
      <c r="B876" s="376" t="n">
        <v>63.70781517689021</v>
      </c>
      <c r="C876" s="376" t="n">
        <v>65.75519735355599</v>
      </c>
      <c r="D876" s="376" t="n">
        <v>62.34927807111153</v>
      </c>
      <c r="E876" s="376" t="n">
        <v>64.9993896484375</v>
      </c>
      <c r="F876" s="93" t="n">
        <v>77287000</v>
      </c>
      <c r="G876" s="94" t="n">
        <v>-0.05455055528897268</v>
      </c>
      <c r="H876" s="95" t="n">
        <v>48.1198652083478</v>
      </c>
      <c r="I876" s="376" t="n">
        <v>71.1862760925293</v>
      </c>
      <c r="J876" s="376" t="n">
        <v>74.70299468994141</v>
      </c>
      <c r="K876" s="94" t="n">
        <v>0.3456244247624383</v>
      </c>
      <c r="L876" s="94" t="n">
        <v>-0.1644167629790219</v>
      </c>
      <c r="M876" s="94" t="n">
        <v>-0.3209582774932059</v>
      </c>
      <c r="N876" t="n">
        <v>30.86983389497132</v>
      </c>
      <c r="O876" t="n">
        <v>-0.8172364542673374</v>
      </c>
      <c r="P876" s="143">
        <f>MAX($E$2:E876)</f>
        <v/>
      </c>
      <c r="Q876" s="144">
        <f>E876/P876-1</f>
        <v/>
      </c>
      <c r="R876" s="94" t="n">
        <v>0.0003297206761827542</v>
      </c>
    </row>
    <row r="877">
      <c r="A877" s="375" t="n">
        <v>45740</v>
      </c>
      <c r="B877" s="376" t="n">
        <v>65.59255576778118</v>
      </c>
      <c r="C877" s="376" t="n">
        <v>65.90827432492415</v>
      </c>
      <c r="D877" s="376" t="n">
        <v>63.80349854232297</v>
      </c>
      <c r="E877" s="376" t="n">
        <v>64.47319793701172</v>
      </c>
      <c r="F877" s="93" t="n">
        <v>26552500</v>
      </c>
      <c r="G877" s="94" t="n">
        <v>-0.008095333114230718</v>
      </c>
      <c r="H877" s="95" t="n">
        <v>47.73031887007435</v>
      </c>
      <c r="I877" s="376" t="n">
        <v>71.11852142333984</v>
      </c>
      <c r="J877" s="376" t="n">
        <v>74.57872779846191</v>
      </c>
      <c r="K877" s="94" t="n">
        <v>0.2783029192850752</v>
      </c>
      <c r="L877" s="94" t="n">
        <v>-0.1711810876273738</v>
      </c>
      <c r="M877" s="94" t="n">
        <v>-0.3264553464353595</v>
      </c>
      <c r="N877" t="n">
        <v>29.90262096273088</v>
      </c>
      <c r="O877" t="n">
        <v>-0.933894394446855</v>
      </c>
      <c r="P877" s="143">
        <f>MAX($E$2:E877)</f>
        <v/>
      </c>
      <c r="Q877" s="144">
        <f>E877/P877-1</f>
        <v/>
      </c>
      <c r="R877" s="94" t="n">
        <v>0.01790873510296254</v>
      </c>
    </row>
    <row r="878">
      <c r="A878" s="375" t="n">
        <v>45741</v>
      </c>
      <c r="B878" s="376" t="n">
        <v>64.63583711951533</v>
      </c>
      <c r="C878" s="376" t="n">
        <v>65.10463398731201</v>
      </c>
      <c r="D878" s="376" t="n">
        <v>63.37297021075809</v>
      </c>
      <c r="E878" s="376" t="n">
        <v>63.65998840332031</v>
      </c>
      <c r="F878" s="93" t="n">
        <v>17394100</v>
      </c>
      <c r="G878" s="94" t="n">
        <v>-0.01261314095953303</v>
      </c>
      <c r="H878" s="95" t="n">
        <v>47.12828963012264</v>
      </c>
      <c r="I878" s="376" t="n">
        <v>71.03621612548828</v>
      </c>
      <c r="J878" s="376" t="n">
        <v>74.45237487792969</v>
      </c>
      <c r="K878" s="94" t="n">
        <v>0.2606492979692364</v>
      </c>
      <c r="L878" s="94" t="n">
        <v>-0.1816350973990566</v>
      </c>
      <c r="M878" s="94" t="n">
        <v>-0.3113224020997982</v>
      </c>
      <c r="N878" t="n">
        <v>28.42056808601644</v>
      </c>
      <c r="O878" t="n">
        <v>-1.004274559001842</v>
      </c>
      <c r="P878" s="143">
        <f>MAX($E$2:E878)</f>
        <v/>
      </c>
      <c r="Q878" s="144">
        <f>E878/P878-1</f>
        <v/>
      </c>
      <c r="R878" s="94" t="n">
        <v>0.00240395423559403</v>
      </c>
    </row>
    <row r="879">
      <c r="A879" s="375" t="n">
        <v>45742</v>
      </c>
      <c r="B879" s="376" t="n">
        <v>63.5069177265909</v>
      </c>
      <c r="C879" s="376" t="n">
        <v>63.70782756588104</v>
      </c>
      <c r="D879" s="376" t="n">
        <v>62.13881113593987</v>
      </c>
      <c r="E879" s="376" t="n">
        <v>62.89461898803711</v>
      </c>
      <c r="F879" s="93" t="n">
        <v>18688300</v>
      </c>
      <c r="G879" s="94" t="n">
        <v>-0.01202277025930598</v>
      </c>
      <c r="H879" s="95" t="n">
        <v>46.56167703118565</v>
      </c>
      <c r="I879" s="376" t="n">
        <v>70.921849899292</v>
      </c>
      <c r="J879" s="376" t="n">
        <v>74.31559503555297</v>
      </c>
      <c r="K879" s="94" t="n">
        <v>0.2604881698078431</v>
      </c>
      <c r="L879" s="94" t="n">
        <v>-0.1914741106113071</v>
      </c>
      <c r="M879" s="94" t="n">
        <v>-0.319602214642083</v>
      </c>
      <c r="N879" t="n">
        <v>27.06114709931293</v>
      </c>
      <c r="O879" t="n">
        <v>-1.036617276363801</v>
      </c>
      <c r="P879" s="143">
        <f>MAX($E$2:E879)</f>
        <v/>
      </c>
      <c r="Q879" s="144">
        <f>E879/P879-1</f>
        <v/>
      </c>
      <c r="R879" s="94" t="n">
        <v>-0.01193843591318899</v>
      </c>
    </row>
    <row r="880">
      <c r="A880" s="375" t="n">
        <v>45743</v>
      </c>
      <c r="B880" s="376" t="n">
        <v>62.66500054843517</v>
      </c>
      <c r="C880" s="376" t="n">
        <v>64.19574719359996</v>
      </c>
      <c r="D880" s="376" t="n">
        <v>62.46409073555502</v>
      </c>
      <c r="E880" s="376" t="n">
        <v>62.95201873779297</v>
      </c>
      <c r="F880" s="93" t="n">
        <v>16435800</v>
      </c>
      <c r="G880" s="94" t="n">
        <v>0.0009126337146072583</v>
      </c>
      <c r="H880" s="95" t="n">
        <v>46.60417078745296</v>
      </c>
      <c r="I880" s="376" t="n">
        <v>70.82595634460449</v>
      </c>
      <c r="J880" s="376" t="n">
        <v>74.17518938064575</v>
      </c>
      <c r="K880" s="94" t="n">
        <v>0.2628594748814402</v>
      </c>
      <c r="L880" s="94" t="n">
        <v>-0.1907362226255183</v>
      </c>
      <c r="M880" s="94" t="n">
        <v>-0.3189812606838214</v>
      </c>
      <c r="N880" t="n">
        <v>27.34183855882229</v>
      </c>
      <c r="O880" t="n">
        <v>-0.9885535336121181</v>
      </c>
      <c r="P880" s="143">
        <f>MAX($E$2:E880)</f>
        <v/>
      </c>
      <c r="Q880" s="144">
        <f>E880/P880-1</f>
        <v/>
      </c>
      <c r="R880" s="94" t="n">
        <v>-0.002655564982771863</v>
      </c>
    </row>
    <row r="881">
      <c r="A881" s="375" t="n">
        <v>45744</v>
      </c>
      <c r="B881" s="376" t="n">
        <v>63.0094231765612</v>
      </c>
      <c r="C881" s="376" t="n">
        <v>63.0094231765612</v>
      </c>
      <c r="D881" s="376" t="n">
        <v>60.40715007653471</v>
      </c>
      <c r="E881" s="376" t="n">
        <v>60.5506591796875</v>
      </c>
      <c r="F881" s="93" t="n">
        <v>19600300</v>
      </c>
      <c r="G881" s="94" t="n">
        <v>-0.03814587055750485</v>
      </c>
      <c r="H881" s="95" t="n">
        <v>44.82641412115493</v>
      </c>
      <c r="I881" s="376" t="n">
        <v>70.68393943786621</v>
      </c>
      <c r="J881" s="376" t="n">
        <v>74.02536977767944</v>
      </c>
      <c r="K881" s="94" t="n">
        <v>0.2817990716400255</v>
      </c>
      <c r="L881" s="94" t="n">
        <v>-0.2216062939241227</v>
      </c>
      <c r="M881" s="94" t="n">
        <v>-0.3449593133610114</v>
      </c>
      <c r="N881" t="n">
        <v>23.30175158594011</v>
      </c>
      <c r="O881" t="n">
        <v>-1.047271321660525</v>
      </c>
      <c r="P881" s="143">
        <f>MAX($E$2:E881)</f>
        <v/>
      </c>
      <c r="Q881" s="144">
        <f>E881/P881-1</f>
        <v/>
      </c>
      <c r="R881" s="94" t="n">
        <v>-0.02013843298932971</v>
      </c>
    </row>
    <row r="882">
      <c r="A882" s="375" t="n">
        <v>45747</v>
      </c>
      <c r="B882" s="376" t="n">
        <v>60.1201384101316</v>
      </c>
      <c r="C882" s="376" t="n">
        <v>61.22036518829553</v>
      </c>
      <c r="D882" s="376" t="n">
        <v>59.93836336704214</v>
      </c>
      <c r="E882" s="376" t="n">
        <v>60.73243713378906</v>
      </c>
      <c r="F882" s="93" t="n">
        <v>17400000</v>
      </c>
      <c r="G882" s="94" t="n">
        <v>0.00300208051512918</v>
      </c>
      <c r="H882" s="95" t="n">
        <v>44.96098662555116</v>
      </c>
      <c r="I882" s="376" t="n">
        <v>70.54479652404785</v>
      </c>
      <c r="J882" s="376" t="n">
        <v>73.87707189559937</v>
      </c>
      <c r="K882" s="94" t="n">
        <v>0.2859542434118547</v>
      </c>
      <c r="L882" s="94" t="n">
        <v>-0.2192694933460131</v>
      </c>
      <c r="M882" s="94" t="n">
        <v>-0.3429928284790357</v>
      </c>
      <c r="N882" t="n">
        <v>24.21463859752771</v>
      </c>
      <c r="O882" t="n">
        <v>-1.002602876504256</v>
      </c>
      <c r="P882" s="143">
        <f>MAX($E$2:E882)</f>
        <v/>
      </c>
      <c r="Q882" s="144">
        <f>E882/P882-1</f>
        <v/>
      </c>
      <c r="R882" s="94" t="n">
        <v>0.006712831808701525</v>
      </c>
    </row>
    <row r="883">
      <c r="A883" s="375" t="n">
        <v>45748</v>
      </c>
      <c r="B883" s="376" t="n">
        <v>61.06728738685216</v>
      </c>
      <c r="C883" s="376" t="n">
        <v>62.33972357222198</v>
      </c>
      <c r="D883" s="376" t="n">
        <v>60.56022456694369</v>
      </c>
      <c r="E883" s="376" t="n">
        <v>61.95703506469727</v>
      </c>
      <c r="F883" s="93" t="n">
        <v>13489500</v>
      </c>
      <c r="G883" s="94" t="n">
        <v>0.02016382000627615</v>
      </c>
      <c r="H883" s="95" t="n">
        <v>45.86757186717336</v>
      </c>
      <c r="I883" s="376" t="n">
        <v>70.43528610229492</v>
      </c>
      <c r="J883" s="376" t="n">
        <v>73.74522129058838</v>
      </c>
      <c r="K883" s="94" t="n">
        <v>0.3052564647769183</v>
      </c>
      <c r="L883" s="94" t="n">
        <v>-0.2035269839364333</v>
      </c>
      <c r="M883" s="94" t="n">
        <v>-0.3297450541296544</v>
      </c>
      <c r="N883" t="n">
        <v>30.23862020854389</v>
      </c>
      <c r="O883" t="n">
        <v>-0.8266400675422236</v>
      </c>
      <c r="P883" s="143">
        <f>MAX($E$2:E883)</f>
        <v/>
      </c>
      <c r="Q883" s="144">
        <f>E883/P883-1</f>
        <v/>
      </c>
      <c r="R883" s="94" t="n">
        <v>0.002824468343526565</v>
      </c>
    </row>
    <row r="884">
      <c r="A884" s="375" t="n">
        <v>45749</v>
      </c>
      <c r="B884" s="376" t="n">
        <v>61.516939071761</v>
      </c>
      <c r="C884" s="376" t="n">
        <v>62.56932687735827</v>
      </c>
      <c r="D884" s="376" t="n">
        <v>61.38299920373091</v>
      </c>
      <c r="E884" s="376" t="n">
        <v>62.14836883544922</v>
      </c>
      <c r="F884" s="93" t="n">
        <v>11161400</v>
      </c>
      <c r="G884" s="94" t="n">
        <v>0.003088168608329278</v>
      </c>
      <c r="H884" s="95" t="n">
        <v>46.00921866275385</v>
      </c>
      <c r="I884" s="376" t="n">
        <v>70.28524322509766</v>
      </c>
      <c r="J884" s="376" t="n">
        <v>73.61197025299072</v>
      </c>
      <c r="K884" s="94" t="n">
        <v>0.3033530142589369</v>
      </c>
      <c r="L884" s="94" t="n">
        <v>-0.2010673409708444</v>
      </c>
      <c r="M884" s="94" t="n">
        <v>-0.3276751938462402</v>
      </c>
      <c r="N884" t="n">
        <v>31.15933717736507</v>
      </c>
      <c r="O884" t="n">
        <v>-0.6416651810334728</v>
      </c>
      <c r="P884" s="143">
        <f>MAX($E$2:E884)</f>
        <v/>
      </c>
      <c r="Q884" s="144">
        <f>E884/P884-1</f>
        <v/>
      </c>
      <c r="R884" s="94" t="n">
        <v>0.006328527283478325</v>
      </c>
    </row>
    <row r="885">
      <c r="A885" s="375" t="n">
        <v>45750</v>
      </c>
      <c r="B885" s="376" t="n">
        <v>53.93016625924255</v>
      </c>
      <c r="C885" s="376" t="n">
        <v>56.14018507210786</v>
      </c>
      <c r="D885" s="376" t="n">
        <v>53.00215273488286</v>
      </c>
      <c r="E885" s="376" t="n">
        <v>53.17436218261719</v>
      </c>
      <c r="F885" s="93" t="n">
        <v>71499500</v>
      </c>
      <c r="G885" s="94" t="n">
        <v>-0.1443964953704994</v>
      </c>
      <c r="H885" s="95" t="n">
        <v>39.36564873311723</v>
      </c>
      <c r="I885" s="376" t="n">
        <v>69.93915740966797</v>
      </c>
      <c r="J885" s="376" t="n">
        <v>73.43757347106934</v>
      </c>
      <c r="K885" s="94" t="n">
        <v>0.567029043297108</v>
      </c>
      <c r="L885" s="94" t="n">
        <v>-0.3164304169716886</v>
      </c>
      <c r="M885" s="94" t="n">
        <v>-0.4247565396054934</v>
      </c>
      <c r="N885" t="n">
        <v>18.69591596273618</v>
      </c>
      <c r="O885" t="n">
        <v>-1.044186517302323</v>
      </c>
      <c r="P885" s="143">
        <f>MAX($E$2:E885)</f>
        <v/>
      </c>
      <c r="Q885" s="144">
        <f>E885/P885-1</f>
        <v/>
      </c>
      <c r="R885" s="94" t="n">
        <v>-0.04928094425897389</v>
      </c>
    </row>
    <row r="886">
      <c r="A886" s="375" t="n">
        <v>45751</v>
      </c>
      <c r="B886" s="376" t="n">
        <v>50.91651247429771</v>
      </c>
      <c r="C886" s="376" t="n">
        <v>56.65681814582303</v>
      </c>
      <c r="D886" s="376" t="n">
        <v>50.2276746258465</v>
      </c>
      <c r="E886" s="376" t="n">
        <v>54.7720832824707</v>
      </c>
      <c r="F886" s="93" t="n">
        <v>67775700</v>
      </c>
      <c r="G886" s="94" t="n">
        <v>0.03004683148556531</v>
      </c>
      <c r="H886" s="95" t="n">
        <v>40.54846174692116</v>
      </c>
      <c r="I886" s="376" t="n">
        <v>69.62026649475098</v>
      </c>
      <c r="J886" s="376" t="n">
        <v>73.26357526779175</v>
      </c>
      <c r="K886" s="94" t="n">
        <v>0.5826587993047211</v>
      </c>
      <c r="L886" s="94" t="n">
        <v>-0.2958913169017788</v>
      </c>
      <c r="M886" s="94" t="n">
        <v>-0.4074722962878462</v>
      </c>
      <c r="N886" t="n">
        <v>24.48712615056321</v>
      </c>
      <c r="O886" t="n">
        <v>-1.116795390749878</v>
      </c>
      <c r="P886" s="143">
        <f>MAX($E$2:E886)</f>
        <v/>
      </c>
      <c r="Q886" s="144">
        <f>E886/P886-1</f>
        <v/>
      </c>
      <c r="R886" s="94" t="n">
        <v>-0.05854304398417765</v>
      </c>
    </row>
    <row r="887">
      <c r="A887" s="375" t="n">
        <v>45754</v>
      </c>
      <c r="B887" s="376" t="n">
        <v>53.00215415363837</v>
      </c>
      <c r="C887" s="376" t="n">
        <v>54.70511023838703</v>
      </c>
      <c r="D887" s="376" t="n">
        <v>51.08871903833861</v>
      </c>
      <c r="E887" s="376" t="n">
        <v>53.20306396484375</v>
      </c>
      <c r="F887" s="93" t="n">
        <v>45374400</v>
      </c>
      <c r="G887" s="94" t="n">
        <v>-0.02864633264970406</v>
      </c>
      <c r="H887" s="95" t="n">
        <v>39.38689702328505</v>
      </c>
      <c r="I887" s="376" t="n">
        <v>69.28370262145997</v>
      </c>
      <c r="J887" s="376" t="n">
        <v>73.08276914596557</v>
      </c>
      <c r="K887" s="94" t="n">
        <v>0.582893382904799</v>
      </c>
      <c r="L887" s="94" t="n">
        <v>-0.3160614484593555</v>
      </c>
      <c r="M887" s="94" t="n">
        <v>-0.4244460419925499</v>
      </c>
      <c r="N887" t="n">
        <v>22.77172792764587</v>
      </c>
      <c r="O887" t="n">
        <v>-1.178363819601537</v>
      </c>
      <c r="P887" s="143">
        <f>MAX($E$2:E887)</f>
        <v/>
      </c>
      <c r="Q887" s="144">
        <f>E887/P887-1</f>
        <v/>
      </c>
      <c r="R887" s="94" t="n">
        <v>-0.001781190809251876</v>
      </c>
    </row>
    <row r="888">
      <c r="A888" s="375" t="n">
        <v>45755</v>
      </c>
      <c r="B888" s="376" t="n">
        <v>56.22629472705449</v>
      </c>
      <c r="C888" s="376" t="n">
        <v>56.22629472705449</v>
      </c>
      <c r="D888" s="376" t="n">
        <v>50.10330052516949</v>
      </c>
      <c r="E888" s="376" t="n">
        <v>50.96434783935547</v>
      </c>
      <c r="F888" s="93" t="n">
        <v>30404300</v>
      </c>
      <c r="G888" s="94" t="n">
        <v>-0.04207870672575564</v>
      </c>
      <c r="H888" s="95" t="n">
        <v>37.7295473346047</v>
      </c>
      <c r="I888" s="376" t="n">
        <v>68.86409812927246</v>
      </c>
      <c r="J888" s="376" t="n">
        <v>72.8870451927185</v>
      </c>
      <c r="K888" s="94" t="n">
        <v>0.5888011568736642</v>
      </c>
      <c r="L888" s="94" t="n">
        <v>-0.3448406981880724</v>
      </c>
      <c r="M888" s="94" t="n">
        <v>-0.4486646081963933</v>
      </c>
      <c r="N888" t="n">
        <v>20.55873996819624</v>
      </c>
      <c r="O888" t="n">
        <v>-1.26983754913253</v>
      </c>
      <c r="P888" s="143">
        <f>MAX($E$2:E888)</f>
        <v/>
      </c>
      <c r="Q888" s="144">
        <f>E888/P888-1</f>
        <v/>
      </c>
      <c r="R888" s="94" t="n">
        <v>-0.0156627135192009</v>
      </c>
    </row>
    <row r="889">
      <c r="A889" s="375" t="n">
        <v>45756</v>
      </c>
      <c r="B889" s="376" t="n">
        <v>50.97391548575482</v>
      </c>
      <c r="C889" s="376" t="n">
        <v>56.97253561999324</v>
      </c>
      <c r="D889" s="376" t="n">
        <v>50.20854209174419</v>
      </c>
      <c r="E889" s="376" t="n">
        <v>56.75249099731445</v>
      </c>
      <c r="F889" s="93" t="n">
        <v>44732500</v>
      </c>
      <c r="G889" s="94" t="n">
        <v>0.1135723972413769</v>
      </c>
      <c r="H889" s="95" t="n">
        <v>42.01458247222777</v>
      </c>
      <c r="I889" s="376" t="n">
        <v>68.58291168212891</v>
      </c>
      <c r="J889" s="376" t="n">
        <v>72.71267185211181</v>
      </c>
      <c r="K889" s="94" t="n">
        <v>0.7468460355911017</v>
      </c>
      <c r="L889" s="94" t="n">
        <v>-0.270432685706305</v>
      </c>
      <c r="M889" s="94" t="n">
        <v>-0.386048126065244</v>
      </c>
      <c r="N889" t="n">
        <v>37.47675770294607</v>
      </c>
      <c r="O889" t="n">
        <v>-0.8601105138132752</v>
      </c>
      <c r="P889" s="143">
        <f>MAX($E$2:E889)</f>
        <v/>
      </c>
      <c r="Q889" s="144">
        <f>E889/P889-1</f>
        <v/>
      </c>
      <c r="R889" s="94" t="n">
        <v>0.1050192758263111</v>
      </c>
    </row>
    <row r="890">
      <c r="A890" s="375" t="n">
        <v>45757</v>
      </c>
      <c r="B890" s="376" t="n">
        <v>54.75294566318353</v>
      </c>
      <c r="C890" s="376" t="n">
        <v>54.77208045238381</v>
      </c>
      <c r="D890" s="376" t="n">
        <v>50.01719299895504</v>
      </c>
      <c r="E890" s="376" t="n">
        <v>52.04543685913086</v>
      </c>
      <c r="F890" s="93" t="n">
        <v>53919800</v>
      </c>
      <c r="G890" s="94" t="n">
        <v>-0.08294004466528759</v>
      </c>
      <c r="H890" s="95" t="n">
        <v>38.52989112538778</v>
      </c>
      <c r="I890" s="376" t="n">
        <v>68.16589088439942</v>
      </c>
      <c r="J890" s="376" t="n">
        <v>72.51481042861938</v>
      </c>
      <c r="K890" s="94" t="n">
        <v>0.7909833720747348</v>
      </c>
      <c r="L890" s="94" t="n">
        <v>-0.3309430313401579</v>
      </c>
      <c r="M890" s="94" t="n">
        <v>-0.4369693219117297</v>
      </c>
      <c r="N890" t="n">
        <v>31.58575494207604</v>
      </c>
      <c r="O890" t="n">
        <v>-0.8255377240933282</v>
      </c>
      <c r="P890" s="143">
        <f>MAX($E$2:E890)</f>
        <v/>
      </c>
      <c r="Q890" s="144">
        <f>E890/P890-1</f>
        <v/>
      </c>
      <c r="R890" s="94" t="n">
        <v>-0.04381885166408894</v>
      </c>
    </row>
    <row r="891">
      <c r="A891" s="375" t="n">
        <v>45758</v>
      </c>
      <c r="B891" s="376" t="n">
        <v>52.04543118734539</v>
      </c>
      <c r="C891" s="376" t="n">
        <v>52.64816055832497</v>
      </c>
      <c r="D891" s="376" t="n">
        <v>50.5720854257759</v>
      </c>
      <c r="E891" s="376" t="n">
        <v>52.03586196899414</v>
      </c>
      <c r="F891" s="93" t="n">
        <v>22617100</v>
      </c>
      <c r="G891" s="94" t="n">
        <v>-0.0001839717507345906</v>
      </c>
      <c r="H891" s="95" t="n">
        <v>38.52280271386183</v>
      </c>
      <c r="I891" s="376" t="n">
        <v>67.71536209106445</v>
      </c>
      <c r="J891" s="376" t="n">
        <v>72.32830974578857</v>
      </c>
      <c r="K891" s="94" t="n">
        <v>0.7923150337359419</v>
      </c>
      <c r="L891" s="94" t="n">
        <v>-0.3310661189220235</v>
      </c>
      <c r="M891" s="94" t="n">
        <v>-0.4370729036512948</v>
      </c>
      <c r="N891" t="n">
        <v>31.57488222107101</v>
      </c>
      <c r="O891" t="n">
        <v>-0.72625299143085</v>
      </c>
      <c r="P891" s="143">
        <f>MAX($E$2:E891)</f>
        <v/>
      </c>
      <c r="Q891" s="144">
        <f>E891/P891-1</f>
        <v/>
      </c>
      <c r="R891" s="94" t="n">
        <v>0.01784272531421793</v>
      </c>
    </row>
    <row r="892">
      <c r="A892" s="375" t="n">
        <v>45761</v>
      </c>
      <c r="B892" s="376" t="n">
        <v>53.23176334626849</v>
      </c>
      <c r="C892" s="376" t="n">
        <v>54.23631603343779</v>
      </c>
      <c r="D892" s="376" t="n">
        <v>52.30374616452016</v>
      </c>
      <c r="E892" s="376" t="n">
        <v>53.01171875</v>
      </c>
      <c r="F892" s="93" t="n">
        <v>28346600</v>
      </c>
      <c r="G892" s="94" t="n">
        <v>0.01875354311584831</v>
      </c>
      <c r="H892" s="95" t="n">
        <v>39.24524175549956</v>
      </c>
      <c r="I892" s="376" t="n">
        <v>67.31157470703126</v>
      </c>
      <c r="J892" s="376" t="n">
        <v>72.14994117736816</v>
      </c>
      <c r="K892" s="94" t="n">
        <v>0.7863849942254204</v>
      </c>
      <c r="L892" s="94" t="n">
        <v>-0.3185212385415759</v>
      </c>
      <c r="M892" s="94" t="n">
        <v>-0.4265160260788401</v>
      </c>
      <c r="N892" t="n">
        <v>34.06599509841874</v>
      </c>
      <c r="O892" t="n">
        <v>-0.5270695117794695</v>
      </c>
      <c r="P892" s="143">
        <f>MAX($E$2:E892)</f>
        <v/>
      </c>
      <c r="Q892" s="144">
        <f>E892/P892-1</f>
        <v/>
      </c>
      <c r="R892" s="94" t="n">
        <v>0.009701309641358513</v>
      </c>
    </row>
    <row r="893">
      <c r="A893" s="375" t="n">
        <v>45762</v>
      </c>
      <c r="B893" s="376" t="n">
        <v>52.31331996762248</v>
      </c>
      <c r="C893" s="376" t="n">
        <v>52.99258860470076</v>
      </c>
      <c r="D893" s="376" t="n">
        <v>51.82539193565665</v>
      </c>
      <c r="E893" s="376" t="n">
        <v>52.45682907104492</v>
      </c>
      <c r="F893" s="93" t="n">
        <v>15977100</v>
      </c>
      <c r="G893" s="94" t="n">
        <v>-0.01046730217467395</v>
      </c>
      <c r="H893" s="95" t="n">
        <v>38.83444995112661</v>
      </c>
      <c r="I893" s="376" t="n">
        <v>66.90259147644043</v>
      </c>
      <c r="J893" s="376" t="n">
        <v>71.96818532943726</v>
      </c>
      <c r="K893" s="94" t="n">
        <v>0.7859297781212212</v>
      </c>
      <c r="L893" s="94" t="n">
        <v>-0.3256544826633838</v>
      </c>
      <c r="M893" s="94" t="n">
        <v>-0.4325188561262058</v>
      </c>
      <c r="N893" t="n">
        <v>33.32309832230958</v>
      </c>
      <c r="O893" t="n">
        <v>-0.3722003249535275</v>
      </c>
      <c r="P893" s="143">
        <f>MAX($E$2:E893)</f>
        <v/>
      </c>
      <c r="Q893" s="144">
        <f>E893/P893-1</f>
        <v/>
      </c>
      <c r="R893" s="94" t="n">
        <v>-0.00280084190987584</v>
      </c>
    </row>
    <row r="894">
      <c r="A894" s="375" t="n">
        <v>45763</v>
      </c>
      <c r="B894" s="376" t="n">
        <v>52.35158492975233</v>
      </c>
      <c r="C894" s="376" t="n">
        <v>52.76297376370785</v>
      </c>
      <c r="D894" s="376" t="n">
        <v>51.03131370334655</v>
      </c>
      <c r="E894" s="376" t="n">
        <v>51.23222351074219</v>
      </c>
      <c r="F894" s="93" t="n">
        <v>19094900</v>
      </c>
      <c r="G894" s="94" t="n">
        <v>-0.02334501688320101</v>
      </c>
      <c r="H894" s="95" t="n">
        <v>37.92785906136773</v>
      </c>
      <c r="I894" s="376" t="n">
        <v>66.46664100646973</v>
      </c>
      <c r="J894" s="376" t="n">
        <v>71.86902963638306</v>
      </c>
      <c r="K894" s="94" t="n">
        <v>0.7859804195615944</v>
      </c>
      <c r="L894" s="94" t="n">
        <v>-0.3413970901507181</v>
      </c>
      <c r="M894" s="94" t="n">
        <v>-0.4457667130108377</v>
      </c>
      <c r="N894" t="n">
        <v>31.68106692701397</v>
      </c>
      <c r="O894" t="n">
        <v>-0.2951163601829103</v>
      </c>
      <c r="P894" s="143">
        <f>MAX($E$2:E894)</f>
        <v/>
      </c>
      <c r="Q894" s="144">
        <f>E894/P894-1</f>
        <v/>
      </c>
      <c r="R894" s="94" t="n">
        <v>-0.02222799290898014</v>
      </c>
    </row>
    <row r="895">
      <c r="A895" s="375" t="n">
        <v>45764</v>
      </c>
      <c r="B895" s="376" t="n">
        <v>51.49053832537894</v>
      </c>
      <c r="C895" s="376" t="n">
        <v>53.5953176684173</v>
      </c>
      <c r="D895" s="376" t="n">
        <v>51.32789809343994</v>
      </c>
      <c r="E895" s="376" t="n">
        <v>53.3465690612793</v>
      </c>
      <c r="F895" s="93" t="n">
        <v>18935100</v>
      </c>
      <c r="G895" s="94" t="n">
        <v>0.04126983772417736</v>
      </c>
      <c r="H895" s="95" t="n">
        <v>39.49313565005585</v>
      </c>
      <c r="I895" s="376" t="n">
        <v>66.11390914916993</v>
      </c>
      <c r="J895" s="376" t="n">
        <v>71.77356273651122</v>
      </c>
      <c r="K895" s="94" t="n">
        <v>0.8101690924943225</v>
      </c>
      <c r="L895" s="94" t="n">
        <v>-0.3142166549365673</v>
      </c>
      <c r="M895" s="94" t="n">
        <v>-0.4228935951954576</v>
      </c>
      <c r="N895" t="n">
        <v>37.41521942103718</v>
      </c>
      <c r="O895" t="n">
        <v>-0.05707084507892013</v>
      </c>
      <c r="P895" s="143">
        <f>MAX($E$2:E895)</f>
        <v/>
      </c>
      <c r="Q895" s="144">
        <f>E895/P895-1</f>
        <v/>
      </c>
      <c r="R895" s="94" t="n">
        <v>0.001426718914772973</v>
      </c>
    </row>
    <row r="896">
      <c r="A896" s="375" t="n">
        <v>45768</v>
      </c>
      <c r="B896" s="376" t="n">
        <v>52.83950861757133</v>
      </c>
      <c r="C896" s="376" t="n">
        <v>53.92060044577021</v>
      </c>
      <c r="D896" s="376" t="n">
        <v>51.18438773258048</v>
      </c>
      <c r="E896" s="376" t="n">
        <v>53.69098663330078</v>
      </c>
      <c r="F896" s="93" t="n">
        <v>17280900</v>
      </c>
      <c r="G896" s="94" t="n">
        <v>0.006456227234142409</v>
      </c>
      <c r="H896" s="95" t="n">
        <v>39.74811230800142</v>
      </c>
      <c r="I896" s="376" t="n">
        <v>65.82194320678711</v>
      </c>
      <c r="J896" s="376" t="n">
        <v>71.68354225158691</v>
      </c>
      <c r="K896" s="94" t="n">
        <v>0.7958215685738731</v>
      </c>
      <c r="L896" s="94" t="n">
        <v>-0.3097890818274474</v>
      </c>
      <c r="M896" s="94" t="n">
        <v>-0.4191676651077606</v>
      </c>
      <c r="N896" t="n">
        <v>38.3233389920184</v>
      </c>
      <c r="O896" t="n">
        <v>0.1565609194630539</v>
      </c>
      <c r="P896" s="143">
        <f>MAX($E$2:E896)</f>
        <v/>
      </c>
      <c r="Q896" s="144">
        <f>E896/P896-1</f>
        <v/>
      </c>
      <c r="R896" s="94" t="n">
        <v>-0.02380264529366138</v>
      </c>
    </row>
    <row r="897">
      <c r="A897" s="375" t="n">
        <v>45769</v>
      </c>
      <c r="B897" s="376" t="n">
        <v>54.19804748717156</v>
      </c>
      <c r="C897" s="376" t="n">
        <v>55.57571936448269</v>
      </c>
      <c r="D897" s="376" t="n">
        <v>53.80579346067125</v>
      </c>
      <c r="E897" s="376" t="n">
        <v>54.59030151367188</v>
      </c>
      <c r="F897" s="93" t="n">
        <v>16852200</v>
      </c>
      <c r="G897" s="94" t="n">
        <v>0.01674982965973859</v>
      </c>
      <c r="H897" s="95" t="n">
        <v>40.4138864184566</v>
      </c>
      <c r="I897" s="376" t="n">
        <v>65.60621994018555</v>
      </c>
      <c r="J897" s="376" t="n">
        <v>71.60178974151611</v>
      </c>
      <c r="K897" s="94" t="n">
        <v>0.8007707018032515</v>
      </c>
      <c r="L897" s="94" t="n">
        <v>-0.2982281665187654</v>
      </c>
      <c r="M897" s="94" t="n">
        <v>-0.4094388224374472</v>
      </c>
      <c r="N897" t="n">
        <v>40.74123736066235</v>
      </c>
      <c r="O897" t="n">
        <v>0.3787471038917882</v>
      </c>
      <c r="P897" s="143">
        <f>MAX($E$2:E897)</f>
        <v/>
      </c>
      <c r="Q897" s="144">
        <f>E897/P897-1</f>
        <v/>
      </c>
      <c r="R897" s="94" t="n">
        <v>0.02601776955220658</v>
      </c>
    </row>
    <row r="898">
      <c r="A898" s="375" t="n">
        <v>45770</v>
      </c>
      <c r="B898" s="376" t="n">
        <v>56.44633307817823</v>
      </c>
      <c r="C898" s="376" t="n">
        <v>56.63767731005569</v>
      </c>
      <c r="D898" s="376" t="n">
        <v>54.24588353555661</v>
      </c>
      <c r="E898" s="376" t="n">
        <v>54.9060173034668</v>
      </c>
      <c r="F898" s="93" t="n">
        <v>21660300</v>
      </c>
      <c r="G898" s="94" t="n">
        <v>0.005783367760221259</v>
      </c>
      <c r="H898" s="95" t="n">
        <v>40.64761478623435</v>
      </c>
      <c r="I898" s="376" t="n">
        <v>65.3537850189209</v>
      </c>
      <c r="J898" s="376" t="n">
        <v>71.52072008132934</v>
      </c>
      <c r="K898" s="94" t="n">
        <v>0.8017349316939866</v>
      </c>
      <c r="L898" s="94" t="n">
        <v>-0.2941695619219786</v>
      </c>
      <c r="M898" s="94" t="n">
        <v>-0.4060233899626937</v>
      </c>
      <c r="N898" t="n">
        <v>41.60670213872108</v>
      </c>
      <c r="O898" t="n">
        <v>0.5565404942167431</v>
      </c>
      <c r="P898" s="143">
        <f>MAX($E$2:E898)</f>
        <v/>
      </c>
      <c r="Q898" s="144">
        <f>E898/P898-1</f>
        <v/>
      </c>
      <c r="R898" s="94" t="n">
        <v>0.01549547679367791</v>
      </c>
    </row>
    <row r="899">
      <c r="A899" s="375" t="n">
        <v>45771</v>
      </c>
      <c r="B899" s="376" t="n">
        <v>55.3078458683289</v>
      </c>
      <c r="C899" s="376" t="n">
        <v>56.15932394991089</v>
      </c>
      <c r="D899" s="376" t="n">
        <v>54.6572776072035</v>
      </c>
      <c r="E899" s="376" t="n">
        <v>55.94884490966797</v>
      </c>
      <c r="F899" s="93" t="n">
        <v>14508500</v>
      </c>
      <c r="G899" s="94" t="n">
        <v>0.0189929566451239</v>
      </c>
      <c r="H899" s="95" t="n">
        <v>41.41963317159699</v>
      </c>
      <c r="I899" s="376" t="n">
        <v>65.11459159851074</v>
      </c>
      <c r="J899" s="376" t="n">
        <v>71.45608461380004</v>
      </c>
      <c r="K899" s="94" t="n">
        <v>0.8062533897700832</v>
      </c>
      <c r="L899" s="94" t="n">
        <v>-0.280763755012754</v>
      </c>
      <c r="M899" s="94" t="n">
        <v>-0.3947420179600375</v>
      </c>
      <c r="N899" t="n">
        <v>44.49050138473879</v>
      </c>
      <c r="O899" t="n">
        <v>0.7423232270126983</v>
      </c>
      <c r="P899" s="143">
        <f>MAX($E$2:E899)</f>
        <v/>
      </c>
      <c r="Q899" s="144">
        <f>E899/P899-1</f>
        <v/>
      </c>
      <c r="R899" s="94" t="n">
        <v>0.02104903301992023</v>
      </c>
    </row>
    <row r="900">
      <c r="A900" s="375" t="n">
        <v>45772</v>
      </c>
      <c r="B900" s="376" t="n">
        <v>55.69052780195673</v>
      </c>
      <c r="C900" s="376" t="n">
        <v>55.72879737992128</v>
      </c>
      <c r="D900" s="376" t="n">
        <v>54.15978117925326</v>
      </c>
      <c r="E900" s="376" t="n">
        <v>55.12606430053711</v>
      </c>
      <c r="F900" s="93" t="n">
        <v>17156000</v>
      </c>
      <c r="G900" s="94" t="n">
        <v>-0.01470594451877028</v>
      </c>
      <c r="H900" s="95" t="n">
        <v>40.81051834418767</v>
      </c>
      <c r="I900" s="376" t="n">
        <v>64.8414274597168</v>
      </c>
      <c r="J900" s="376" t="n">
        <v>71.39011669158936</v>
      </c>
      <c r="K900" s="94" t="n">
        <v>0.8067505496320173</v>
      </c>
      <c r="L900" s="94" t="n">
        <v>-0.2913408033274251</v>
      </c>
      <c r="M900" s="94" t="n">
        <v>-0.4036429082634601</v>
      </c>
      <c r="N900" t="n">
        <v>42.69876724438932</v>
      </c>
      <c r="O900" t="n">
        <v>0.8026238243531632</v>
      </c>
      <c r="P900" s="143">
        <f>MAX($E$2:E900)</f>
        <v/>
      </c>
      <c r="Q900" s="144">
        <f>E900/P900-1</f>
        <v/>
      </c>
      <c r="R900" s="94" t="n">
        <v>0.007225206368396409</v>
      </c>
    </row>
    <row r="901">
      <c r="A901" s="375" t="n">
        <v>45775</v>
      </c>
      <c r="B901" s="376" t="n">
        <v>55.23129880091391</v>
      </c>
      <c r="C901" s="376" t="n">
        <v>55.56615210332192</v>
      </c>
      <c r="D901" s="376" t="n">
        <v>54.34155126674798</v>
      </c>
      <c r="E901" s="376" t="n">
        <v>54.8294792175293</v>
      </c>
      <c r="F901" s="93" t="n">
        <v>13321200</v>
      </c>
      <c r="G901" s="94" t="n">
        <v>-0.00538012438890767</v>
      </c>
      <c r="H901" s="95" t="n">
        <v>40.59095267912014</v>
      </c>
      <c r="I901" s="376" t="n">
        <v>64.5442455291748</v>
      </c>
      <c r="J901" s="376" t="n">
        <v>71.32228868484498</v>
      </c>
      <c r="K901" s="94" t="n">
        <v>0.7974148147080766</v>
      </c>
      <c r="L901" s="94" t="n">
        <v>-0.2951534779548669</v>
      </c>
      <c r="M901" s="94" t="n">
        <v>-0.4068513835972098</v>
      </c>
      <c r="N901" t="n">
        <v>42.04151129206227</v>
      </c>
      <c r="O901" t="n">
        <v>0.8128648203671456</v>
      </c>
      <c r="P901" s="143">
        <f>MAX($E$2:E901)</f>
        <v/>
      </c>
      <c r="Q901" s="144">
        <f>E901/P901-1</f>
        <v/>
      </c>
      <c r="R901" s="94" t="n">
        <v>0.0003812053910532409</v>
      </c>
    </row>
    <row r="902">
      <c r="A902" s="375" t="n">
        <v>45776</v>
      </c>
      <c r="B902" s="376" t="n">
        <v>54.53290166394785</v>
      </c>
      <c r="C902" s="376" t="n">
        <v>55.2408742738248</v>
      </c>
      <c r="D902" s="376" t="n">
        <v>54.28415670077308</v>
      </c>
      <c r="E902" s="376" t="n">
        <v>55.04953002929688</v>
      </c>
      <c r="F902" s="93" t="n">
        <v>12968000</v>
      </c>
      <c r="G902" s="94" t="n">
        <v>0.004013366803915064</v>
      </c>
      <c r="H902" s="95" t="n">
        <v>40.7538590611418</v>
      </c>
      <c r="I902" s="376" t="n">
        <v>64.25470100402832</v>
      </c>
      <c r="J902" s="376" t="n">
        <v>71.25155374526977</v>
      </c>
      <c r="K902" s="94" t="n">
        <v>0.7975358399541503</v>
      </c>
      <c r="L902" s="94" t="n">
        <v>-0.2923246703214362</v>
      </c>
      <c r="M902" s="94" t="n">
        <v>-0.4044708606303508</v>
      </c>
      <c r="N902" t="n">
        <v>42.74569455119298</v>
      </c>
      <c r="O902" t="n">
        <v>0.8223103906494655</v>
      </c>
      <c r="P902" s="143">
        <f>MAX($E$2:E902)</f>
        <v/>
      </c>
      <c r="Q902" s="144">
        <f>E902/P902-1</f>
        <v/>
      </c>
      <c r="R902" s="94" t="n">
        <v>0.006299488255282926</v>
      </c>
    </row>
    <row r="903">
      <c r="A903" s="375" t="n">
        <v>45777</v>
      </c>
      <c r="B903" s="376" t="n">
        <v>53.44224915041286</v>
      </c>
      <c r="C903" s="376" t="n">
        <v>54.14065260529309</v>
      </c>
      <c r="D903" s="376" t="n">
        <v>52.38029196231133</v>
      </c>
      <c r="E903" s="376" t="n">
        <v>53.95887756347656</v>
      </c>
      <c r="F903" s="93" t="n">
        <v>17205900</v>
      </c>
      <c r="G903" s="94" t="n">
        <v>-0.01981220303315723</v>
      </c>
      <c r="H903" s="95" t="n">
        <v>39.94643533103779</v>
      </c>
      <c r="I903" s="376" t="n">
        <v>63.85672065734863</v>
      </c>
      <c r="J903" s="376" t="n">
        <v>71.17522413253783</v>
      </c>
      <c r="K903" s="94" t="n">
        <v>0.794313060742439</v>
      </c>
      <c r="L903" s="94" t="n">
        <v>-0.3063452776345843</v>
      </c>
      <c r="M903" s="94" t="n">
        <v>-0.4162696048517036</v>
      </c>
      <c r="N903" t="n">
        <v>40.14241822537613</v>
      </c>
      <c r="O903" t="n">
        <v>0.7452420182404889</v>
      </c>
      <c r="P903" s="143">
        <f>MAX($E$2:E903)</f>
        <v/>
      </c>
      <c r="Q903" s="144">
        <f>E903/P903-1</f>
        <v/>
      </c>
      <c r="R903" s="94" t="n">
        <v>0.0003969200081936908</v>
      </c>
    </row>
    <row r="904">
      <c r="A904" s="375" t="n">
        <v>45778</v>
      </c>
      <c r="B904" s="376" t="n">
        <v>54.22675199851653</v>
      </c>
      <c r="C904" s="376" t="n">
        <v>54.73381114124246</v>
      </c>
      <c r="D904" s="376" t="n">
        <v>53.82492872252421</v>
      </c>
      <c r="E904" s="376" t="n">
        <v>54.30328750610352</v>
      </c>
      <c r="F904" s="93" t="n">
        <v>10527000</v>
      </c>
      <c r="G904" s="94" t="n">
        <v>0.006382822589698911</v>
      </c>
      <c r="H904" s="95" t="n">
        <v>40.20140634084669</v>
      </c>
      <c r="I904" s="376" t="n">
        <v>63.48104934692383</v>
      </c>
      <c r="J904" s="376" t="n">
        <v>71.11056377410888</v>
      </c>
      <c r="K904" s="94" t="n">
        <v>0.7948802954785673</v>
      </c>
      <c r="L904" s="94" t="n">
        <v>-0.3019178026032189</v>
      </c>
      <c r="M904" s="94" t="n">
        <v>-0.4125437572992572</v>
      </c>
      <c r="N904" t="n">
        <v>41.35697613109607</v>
      </c>
      <c r="O904" t="n">
        <v>0.7078722070704484</v>
      </c>
      <c r="P904" s="143">
        <f>MAX($E$2:E904)</f>
        <v/>
      </c>
      <c r="Q904" s="144">
        <f>E904/P904-1</f>
        <v/>
      </c>
      <c r="R904" s="94" t="n">
        <v>0.007086787382727833</v>
      </c>
    </row>
    <row r="905">
      <c r="A905" s="375" t="n">
        <v>45779</v>
      </c>
      <c r="B905" s="376" t="n">
        <v>55.36524693246034</v>
      </c>
      <c r="C905" s="376" t="n">
        <v>56.15932429860693</v>
      </c>
      <c r="D905" s="376" t="n">
        <v>54.82948740791618</v>
      </c>
      <c r="E905" s="376" t="n">
        <v>56.05408477783203</v>
      </c>
      <c r="F905" s="93" t="n">
        <v>14723900</v>
      </c>
      <c r="G905" s="94" t="n">
        <v>0.03224109169323741</v>
      </c>
      <c r="H905" s="95" t="n">
        <v>41.49754356887902</v>
      </c>
      <c r="I905" s="376" t="n">
        <v>63.13182662963867</v>
      </c>
      <c r="J905" s="376" t="n">
        <v>71.04758598327636</v>
      </c>
      <c r="K905" s="94" t="n">
        <v>0.6116733583759673</v>
      </c>
      <c r="L905" s="94" t="n">
        <v>-0.2794108704675327</v>
      </c>
      <c r="M905" s="94" t="n">
        <v>-0.3936035267125779</v>
      </c>
      <c r="N905" t="n">
        <v>47.21989848999352</v>
      </c>
      <c r="O905" t="n">
        <v>0.7854826420665382</v>
      </c>
      <c r="P905" s="143">
        <f>MAX($E$2:E905)</f>
        <v/>
      </c>
      <c r="Q905" s="144">
        <f>E905/P905-1</f>
        <v/>
      </c>
      <c r="R905" s="94" t="n">
        <v>0.01484433441810418</v>
      </c>
    </row>
    <row r="906">
      <c r="A906" s="375" t="n">
        <v>45782</v>
      </c>
      <c r="B906" s="376" t="n">
        <v>55.60442505406955</v>
      </c>
      <c r="C906" s="376" t="n">
        <v>55.81490409077304</v>
      </c>
      <c r="D906" s="376" t="n">
        <v>54.81035135579469</v>
      </c>
      <c r="E906" s="376" t="n">
        <v>54.86775207519531</v>
      </c>
      <c r="F906" s="93" t="n">
        <v>15971000</v>
      </c>
      <c r="G906" s="94" t="n">
        <v>-0.02116407229444028</v>
      </c>
      <c r="H906" s="95" t="n">
        <v>40.61928655674558</v>
      </c>
      <c r="I906" s="376" t="n">
        <v>62.77277496337891</v>
      </c>
      <c r="J906" s="376" t="n">
        <v>70.97745075225831</v>
      </c>
      <c r="K906" s="94" t="n">
        <v>0.6090175366548523</v>
      </c>
      <c r="L906" s="94" t="n">
        <v>-0.2946614708995456</v>
      </c>
      <c r="M906" s="94" t="n">
        <v>-0.4064373455123265</v>
      </c>
      <c r="N906" t="n">
        <v>44.00922024600106</v>
      </c>
      <c r="O906" t="n">
        <v>0.741860953453469</v>
      </c>
      <c r="P906" s="143">
        <f>MAX($E$2:E906)</f>
        <v/>
      </c>
      <c r="Q906" s="144">
        <f>E906/P906-1</f>
        <v/>
      </c>
      <c r="R906" s="94" t="n">
        <v>-0.00573433139025048</v>
      </c>
    </row>
    <row r="907">
      <c r="A907" s="375" t="n">
        <v>45783</v>
      </c>
      <c r="B907" s="376" t="n">
        <v>54.67640650096008</v>
      </c>
      <c r="C907" s="376" t="n">
        <v>55.22173518315653</v>
      </c>
      <c r="D907" s="376" t="n">
        <v>54.33198761755441</v>
      </c>
      <c r="E907" s="376" t="n">
        <v>54.5711669921875</v>
      </c>
      <c r="F907" s="93" t="n">
        <v>11440300</v>
      </c>
      <c r="G907" s="94" t="n">
        <v>-0.005405453509401026</v>
      </c>
      <c r="H907" s="95" t="n">
        <v>40.39972089167805</v>
      </c>
      <c r="I907" s="376" t="n">
        <v>62.33582809448242</v>
      </c>
      <c r="J907" s="376" t="n">
        <v>70.90908542633056</v>
      </c>
      <c r="K907" s="94" t="n">
        <v>0.5996417749512908</v>
      </c>
      <c r="L907" s="94" t="n">
        <v>-0.2984741455269875</v>
      </c>
      <c r="M907" s="94" t="n">
        <v>-0.4096458208460763</v>
      </c>
      <c r="N907" t="n">
        <v>43.2180599421019</v>
      </c>
      <c r="O907" t="n">
        <v>0.6796308027133202</v>
      </c>
      <c r="P907" s="143">
        <f>MAX($E$2:E907)</f>
        <v/>
      </c>
      <c r="Q907" s="144">
        <f>E907/P907-1</f>
        <v/>
      </c>
      <c r="R907" s="94" t="n">
        <v>-0.008358490505789407</v>
      </c>
    </row>
    <row r="908">
      <c r="A908" s="375" t="n">
        <v>45784</v>
      </c>
      <c r="B908" s="376" t="n">
        <v>55.36524457024304</v>
      </c>
      <c r="C908" s="376" t="n">
        <v>56.26456141879421</v>
      </c>
      <c r="D908" s="376" t="n">
        <v>55.06866446026372</v>
      </c>
      <c r="E908" s="376" t="n">
        <v>56.08278274536133</v>
      </c>
      <c r="F908" s="93" t="n">
        <v>11883500</v>
      </c>
      <c r="G908" s="94" t="n">
        <v>0.02769989788545724</v>
      </c>
      <c r="H908" s="95" t="n">
        <v>41.5187890349785</v>
      </c>
      <c r="I908" s="376" t="n">
        <v>61.90169883728027</v>
      </c>
      <c r="J908" s="376" t="n">
        <v>70.84676965713501</v>
      </c>
      <c r="K908" s="94" t="n">
        <v>0.582622774433692</v>
      </c>
      <c r="L908" s="94" t="n">
        <v>-0.2790419509940769</v>
      </c>
      <c r="M908" s="94" t="n">
        <v>-0.3932930703672597</v>
      </c>
      <c r="N908" t="n">
        <v>48.31769906130356</v>
      </c>
      <c r="O908" t="n">
        <v>0.7228455727536707</v>
      </c>
      <c r="P908" s="143">
        <f>MAX($E$2:E908)</f>
        <v/>
      </c>
      <c r="Q908" s="144">
        <f>E908/P908-1</f>
        <v/>
      </c>
      <c r="R908" s="94" t="n">
        <v>0.004205644419848387</v>
      </c>
    </row>
    <row r="909">
      <c r="A909" s="375" t="n">
        <v>45785</v>
      </c>
      <c r="B909" s="376" t="n">
        <v>57.10647572741438</v>
      </c>
      <c r="C909" s="376" t="n">
        <v>57.77617881834536</v>
      </c>
      <c r="D909" s="376" t="n">
        <v>56.25499759520296</v>
      </c>
      <c r="E909" s="376" t="n">
        <v>56.36023712158203</v>
      </c>
      <c r="F909" s="93" t="n">
        <v>19009000</v>
      </c>
      <c r="G909" s="94" t="n">
        <v>0.004947229125210395</v>
      </c>
      <c r="H909" s="95" t="n">
        <v>41.72419199733582</v>
      </c>
      <c r="I909" s="376" t="n">
        <v>61.48358955383301</v>
      </c>
      <c r="J909" s="376" t="n">
        <v>70.77565824508667</v>
      </c>
      <c r="K909" s="94" t="n">
        <v>0.4201250102204746</v>
      </c>
      <c r="L909" s="94" t="n">
        <v>-0.2754752063359799</v>
      </c>
      <c r="M909" s="94" t="n">
        <v>-0.3902915521745135</v>
      </c>
      <c r="N909" t="n">
        <v>49.21919474928931</v>
      </c>
      <c r="O909" t="n">
        <v>0.7494769795490479</v>
      </c>
      <c r="P909" s="143">
        <f>MAX($E$2:E909)</f>
        <v/>
      </c>
      <c r="Q909" s="144">
        <f>E909/P909-1</f>
        <v/>
      </c>
      <c r="R909" s="94" t="n">
        <v>0.006967815098583907</v>
      </c>
    </row>
    <row r="910">
      <c r="A910" s="375" t="n">
        <v>45786</v>
      </c>
      <c r="B910" s="376" t="n">
        <v>56.58027712995644</v>
      </c>
      <c r="C910" s="376" t="n">
        <v>56.80989095510779</v>
      </c>
      <c r="D910" s="376" t="n">
        <v>55.7000987076501</v>
      </c>
      <c r="E910" s="376" t="n">
        <v>55.77663421630859</v>
      </c>
      <c r="F910" s="93" t="n">
        <v>13954400</v>
      </c>
      <c r="G910" s="94" t="n">
        <v>-0.01035486958677034</v>
      </c>
      <c r="H910" s="95" t="n">
        <v>41.29214343059003</v>
      </c>
      <c r="I910" s="376" t="n">
        <v>61.07570213317871</v>
      </c>
      <c r="J910" s="376" t="n">
        <v>70.70851175308228</v>
      </c>
      <c r="K910" s="94" t="n">
        <v>0.2884549478772679</v>
      </c>
      <c r="L910" s="94" t="n">
        <v>-0.2829775660867526</v>
      </c>
      <c r="M910" s="94" t="n">
        <v>-0.3966050036376987</v>
      </c>
      <c r="N910" t="n">
        <v>47.34835222767038</v>
      </c>
      <c r="O910" t="n">
        <v>0.7076593194269409</v>
      </c>
      <c r="P910" s="143">
        <f>MAX($E$2:E910)</f>
        <v/>
      </c>
      <c r="Q910" s="144">
        <f>E910/P910-1</f>
        <v/>
      </c>
      <c r="R910" s="94" t="n">
        <v>-0.001274310730212447</v>
      </c>
    </row>
    <row r="911">
      <c r="A911" s="375" t="n">
        <v>45789</v>
      </c>
      <c r="B911" s="376" t="n">
        <v>59.68004323713497</v>
      </c>
      <c r="C911" s="376" t="n">
        <v>60.72286553788961</v>
      </c>
      <c r="D911" s="376" t="n">
        <v>59.13471451238682</v>
      </c>
      <c r="E911" s="376" t="n">
        <v>59.87138748168945</v>
      </c>
      <c r="F911" s="93" t="n">
        <v>29776600</v>
      </c>
      <c r="G911" s="94" t="n">
        <v>0.07341341626138487</v>
      </c>
      <c r="H911" s="95" t="n">
        <v>44.32354074458475</v>
      </c>
      <c r="I911" s="376" t="n">
        <v>60.76094192504883</v>
      </c>
      <c r="J911" s="376" t="n">
        <v>70.6727290725708</v>
      </c>
      <c r="K911" s="94" t="n">
        <v>0.3795020245659558</v>
      </c>
      <c r="L911" s="94" t="n">
        <v>-0.2303384996771281</v>
      </c>
      <c r="M911" s="94" t="n">
        <v>-0.3523077155997163</v>
      </c>
      <c r="N911" t="n">
        <v>59.09626409671128</v>
      </c>
      <c r="O911" t="n">
        <v>0.9220801236681351</v>
      </c>
      <c r="P911" s="143">
        <f>MAX($E$2:E911)</f>
        <v/>
      </c>
      <c r="Q911" s="144">
        <f>E911/P911-1</f>
        <v/>
      </c>
      <c r="R911" s="94" t="n">
        <v>0.03304747440952616</v>
      </c>
    </row>
    <row r="912">
      <c r="A912" s="375" t="n">
        <v>45790</v>
      </c>
      <c r="B912" s="376" t="n">
        <v>59.90008473594865</v>
      </c>
      <c r="C912" s="376" t="n">
        <v>60.06272496315697</v>
      </c>
      <c r="D912" s="376" t="n">
        <v>59.28778610478464</v>
      </c>
      <c r="E912" s="376" t="n">
        <v>59.68960571289062</v>
      </c>
      <c r="F912" s="93" t="n">
        <v>17003100</v>
      </c>
      <c r="G912" s="94" t="n">
        <v>-0.003036204378166873</v>
      </c>
      <c r="H912" s="95" t="n">
        <v>44.18896541612018</v>
      </c>
      <c r="I912" s="376" t="n">
        <v>60.45440933227539</v>
      </c>
      <c r="J912" s="376" t="n">
        <v>70.63452884674072</v>
      </c>
      <c r="K912" s="94" t="n">
        <v>0.3786634317584104</v>
      </c>
      <c r="L912" s="94" t="n">
        <v>-0.2326753492941148</v>
      </c>
      <c r="M912" s="94" t="n">
        <v>-0.3542742417493173</v>
      </c>
      <c r="N912" t="n">
        <v>58.47251808768449</v>
      </c>
      <c r="O912" t="n">
        <v>1.010845858101138</v>
      </c>
      <c r="P912" s="143">
        <f>MAX($E$2:E912)</f>
        <v/>
      </c>
      <c r="Q912" s="144">
        <f>E912/P912-1</f>
        <v/>
      </c>
      <c r="R912" s="94" t="n">
        <v>0.006603869472230128</v>
      </c>
    </row>
    <row r="913">
      <c r="A913" s="375" t="n">
        <v>45791</v>
      </c>
      <c r="B913" s="376" t="n">
        <v>59.3643272928932</v>
      </c>
      <c r="C913" s="376" t="n">
        <v>60.14883544538554</v>
      </c>
      <c r="D913" s="376" t="n">
        <v>58.85726812470836</v>
      </c>
      <c r="E913" s="376" t="n">
        <v>59.05817794799805</v>
      </c>
      <c r="F913" s="93" t="n">
        <v>13736300</v>
      </c>
      <c r="G913" s="94" t="n">
        <v>-0.01057852129112347</v>
      </c>
      <c r="H913" s="95" t="n">
        <v>43.72151150463304</v>
      </c>
      <c r="I913" s="376" t="n">
        <v>60.15610496520996</v>
      </c>
      <c r="J913" s="376" t="n">
        <v>70.58775011062622</v>
      </c>
      <c r="K913" s="94" t="n">
        <v>0.37872861520465</v>
      </c>
      <c r="L913" s="94" t="n">
        <v>-0.2407925094488109</v>
      </c>
      <c r="M913" s="94" t="n">
        <v>-0.361105065431199</v>
      </c>
      <c r="N913" t="n">
        <v>56.25156002876162</v>
      </c>
      <c r="O913" t="n">
        <v>0.985200903444823</v>
      </c>
      <c r="P913" s="143">
        <f>MAX($E$2:E913)</f>
        <v/>
      </c>
      <c r="Q913" s="144">
        <f>E913/P913-1</f>
        <v/>
      </c>
      <c r="R913" s="94" t="n">
        <v>0.001278084446617367</v>
      </c>
    </row>
    <row r="914">
      <c r="A914" s="375" t="n">
        <v>45792</v>
      </c>
      <c r="B914" s="376" t="n">
        <v>58.01535185068027</v>
      </c>
      <c r="C914" s="376" t="n">
        <v>59.96705653539752</v>
      </c>
      <c r="D914" s="376" t="n">
        <v>57.80487282107708</v>
      </c>
      <c r="E914" s="376" t="n">
        <v>59.69917678833008</v>
      </c>
      <c r="F914" s="93" t="n">
        <v>14371100</v>
      </c>
      <c r="G914" s="94" t="n">
        <v>0.01085368466491543</v>
      </c>
      <c r="H914" s="95" t="n">
        <v>44.19605100357779</v>
      </c>
      <c r="I914" s="376" t="n">
        <v>59.86124435424804</v>
      </c>
      <c r="J914" s="376" t="n">
        <v>70.53950912475585</v>
      </c>
      <c r="K914" s="94" t="n">
        <v>0.3624387999074613</v>
      </c>
      <c r="L914" s="94" t="n">
        <v>-0.2325523107511266</v>
      </c>
      <c r="M914" s="94" t="n">
        <v>-0.3541707012773775</v>
      </c>
      <c r="N914" t="n">
        <v>57.99577414885145</v>
      </c>
      <c r="O914" t="n">
        <v>0.9681477174503438</v>
      </c>
      <c r="P914" s="143">
        <f>MAX($E$2:E914)</f>
        <v/>
      </c>
      <c r="Q914" s="144">
        <f>E914/P914-1</f>
        <v/>
      </c>
      <c r="R914" s="94" t="n">
        <v>0.004884270229584153</v>
      </c>
    </row>
    <row r="915">
      <c r="A915" s="375" t="n">
        <v>45793</v>
      </c>
      <c r="B915" s="376" t="n">
        <v>59.79485016478573</v>
      </c>
      <c r="C915" s="376" t="n">
        <v>60.99074716808145</v>
      </c>
      <c r="D915" s="376" t="n">
        <v>59.79485016478573</v>
      </c>
      <c r="E915" s="376" t="n">
        <v>60.37844848632812</v>
      </c>
      <c r="F915" s="93" t="n">
        <v>12950600</v>
      </c>
      <c r="G915" s="94" t="n">
        <v>0.01137824228978035</v>
      </c>
      <c r="H915" s="95" t="n">
        <v>44.69892438014799</v>
      </c>
      <c r="I915" s="376" t="n">
        <v>59.58188278198242</v>
      </c>
      <c r="J915" s="376" t="n">
        <v>70.49103446960449</v>
      </c>
      <c r="K915" s="94" t="n">
        <v>0.3408448229523761</v>
      </c>
      <c r="L915" s="94" t="n">
        <v>-0.2238201049981208</v>
      </c>
      <c r="M915" s="94" t="n">
        <v>-0.3468222990386726</v>
      </c>
      <c r="N915" t="n">
        <v>59.82377870533212</v>
      </c>
      <c r="O915" t="n">
        <v>0.9576095216714131</v>
      </c>
      <c r="P915" s="143">
        <f>MAX($E$2:E915)</f>
        <v/>
      </c>
      <c r="Q915" s="144">
        <f>E915/P915-1</f>
        <v/>
      </c>
      <c r="R915" s="94" t="n">
        <v>0.006334220447853145</v>
      </c>
    </row>
    <row r="916">
      <c r="A916" s="375" t="n">
        <v>45796</v>
      </c>
      <c r="B916" s="376" t="n">
        <v>59.4599943779432</v>
      </c>
      <c r="C916" s="376" t="n">
        <v>59.72787411139567</v>
      </c>
      <c r="D916" s="376" t="n">
        <v>59.08687148545027</v>
      </c>
      <c r="E916" s="376" t="n">
        <v>59.39302444458008</v>
      </c>
      <c r="F916" s="93" t="n">
        <v>15105300</v>
      </c>
      <c r="G916" s="94" t="n">
        <v>-0.01632079105131667</v>
      </c>
      <c r="H916" s="95" t="n">
        <v>43.96940257512099</v>
      </c>
      <c r="I916" s="376" t="n">
        <v>59.26597465515137</v>
      </c>
      <c r="J916" s="376" t="n">
        <v>70.43508699417114</v>
      </c>
      <c r="K916" s="94" t="n">
        <v>0.3502746769546888</v>
      </c>
      <c r="L916" s="94" t="n">
        <v>-0.2364879748826794</v>
      </c>
      <c r="M916" s="94" t="n">
        <v>-0.3574826758154418</v>
      </c>
      <c r="N916" t="n">
        <v>56.01526928491049</v>
      </c>
      <c r="O916" t="n">
        <v>0.8432876462973452</v>
      </c>
      <c r="P916" s="143">
        <f>MAX($E$2:E916)</f>
        <v/>
      </c>
      <c r="Q916" s="144">
        <f>E916/P916-1</f>
        <v/>
      </c>
      <c r="R916" s="94" t="n">
        <v>0.00109392510267825</v>
      </c>
    </row>
    <row r="917">
      <c r="A917" s="375" t="n">
        <v>45797</v>
      </c>
      <c r="B917" s="376" t="n">
        <v>59.79485240274397</v>
      </c>
      <c r="C917" s="376" t="n">
        <v>60.45498625941853</v>
      </c>
      <c r="D917" s="376" t="n">
        <v>59.5843733544181</v>
      </c>
      <c r="E917" s="376" t="n">
        <v>59.85225677490234</v>
      </c>
      <c r="F917" s="93" t="n">
        <v>10771800</v>
      </c>
      <c r="G917" s="94" t="n">
        <v>0.007732092019506087</v>
      </c>
      <c r="H917" s="95" t="n">
        <v>44.30937804187454</v>
      </c>
      <c r="I917" s="376" t="n">
        <v>59.00115516662598</v>
      </c>
      <c r="J917" s="376" t="n">
        <v>70.38619710922241</v>
      </c>
      <c r="K917" s="94" t="n">
        <v>0.3478138544237133</v>
      </c>
      <c r="L917" s="94" t="n">
        <v>-0.2305844296464729</v>
      </c>
      <c r="M917" s="94" t="n">
        <v>-0.35251467274072</v>
      </c>
      <c r="N917" t="n">
        <v>57.37708495169588</v>
      </c>
      <c r="O917" t="n">
        <v>0.7601816843514461</v>
      </c>
      <c r="P917" s="143">
        <f>MAX($E$2:E917)</f>
        <v/>
      </c>
      <c r="Q917" s="144">
        <f>E917/P917-1</f>
        <v/>
      </c>
      <c r="R917" s="94" t="n">
        <v>-0.003362365703556858</v>
      </c>
    </row>
    <row r="918">
      <c r="A918" s="375" t="n">
        <v>45798</v>
      </c>
      <c r="B918" s="376" t="n">
        <v>58.52241134379034</v>
      </c>
      <c r="C918" s="376" t="n">
        <v>59.08687484969538</v>
      </c>
      <c r="D918" s="376" t="n">
        <v>57.28824846612327</v>
      </c>
      <c r="E918" s="376" t="n">
        <v>57.38391876220703</v>
      </c>
      <c r="F918" s="93" t="n">
        <v>17354700</v>
      </c>
      <c r="G918" s="94" t="n">
        <v>-0.04124051699468001</v>
      </c>
      <c r="H918" s="95" t="n">
        <v>42.48203638371491</v>
      </c>
      <c r="I918" s="376" t="n">
        <v>58.72963890075684</v>
      </c>
      <c r="J918" s="376" t="n">
        <v>70.32421129226685</v>
      </c>
      <c r="K918" s="94" t="n">
        <v>0.384255070681923</v>
      </c>
      <c r="L918" s="94" t="n">
        <v>-0.257317052699763</v>
      </c>
      <c r="M918" s="94" t="n">
        <v>-0.3792173023833623</v>
      </c>
      <c r="N918" t="n">
        <v>48.65703642106657</v>
      </c>
      <c r="O918" t="n">
        <v>0.5124344962600518</v>
      </c>
      <c r="P918" s="143">
        <f>MAX($E$2:E918)</f>
        <v/>
      </c>
      <c r="Q918" s="144">
        <f>E918/P918-1</f>
        <v/>
      </c>
      <c r="R918" s="94" t="n">
        <v>-0.01685096389079166</v>
      </c>
    </row>
    <row r="919">
      <c r="A919" s="375" t="n">
        <v>45799</v>
      </c>
      <c r="B919" s="376" t="n">
        <v>57.95795130970911</v>
      </c>
      <c r="C919" s="376" t="n">
        <v>58.95293479452719</v>
      </c>
      <c r="D919" s="376" t="n">
        <v>57.55612803829647</v>
      </c>
      <c r="E919" s="376" t="n">
        <v>58.66592025756836</v>
      </c>
      <c r="F919" s="93" t="n">
        <v>16764500</v>
      </c>
      <c r="G919" s="94" t="n">
        <v>0.02234077983892679</v>
      </c>
      <c r="H919" s="95" t="n">
        <v>43.43111820567277</v>
      </c>
      <c r="I919" s="376" t="n">
        <v>58.49505172729492</v>
      </c>
      <c r="J919" s="376" t="n">
        <v>70.2808455657959</v>
      </c>
      <c r="K919" s="94" t="n">
        <v>0.3863410022452468</v>
      </c>
      <c r="L919" s="94" t="n">
        <v>-0.2298129706208585</v>
      </c>
      <c r="M919" s="94" t="n">
        <v>-0.3653485328080939</v>
      </c>
      <c r="N919" t="n">
        <v>52.67955301049951</v>
      </c>
      <c r="O919" t="n">
        <v>0.4126506582892512</v>
      </c>
      <c r="P919" s="143">
        <f>MAX($E$2:E919)</f>
        <v/>
      </c>
      <c r="Q919" s="144">
        <f>E919/P919-1</f>
        <v/>
      </c>
      <c r="R919" s="94" t="n">
        <v>0.0003947302027580424</v>
      </c>
    </row>
    <row r="920">
      <c r="A920" s="375" t="n">
        <v>45800</v>
      </c>
      <c r="B920" s="376" t="n">
        <v>57.26911694764418</v>
      </c>
      <c r="C920" s="376" t="n">
        <v>57.76661054478501</v>
      </c>
      <c r="D920" s="376" t="n">
        <v>56.91513245241268</v>
      </c>
      <c r="E920" s="376" t="n">
        <v>57.42219161987305</v>
      </c>
      <c r="F920" s="93" t="n">
        <v>14282400</v>
      </c>
      <c r="G920" s="94" t="n">
        <v>-0.02120018968823489</v>
      </c>
      <c r="H920" s="95" t="n">
        <v>42.51037026134036</v>
      </c>
      <c r="I920" s="376" t="n">
        <v>58.25357627868652</v>
      </c>
      <c r="J920" s="376" t="n">
        <v>70.22616968154907</v>
      </c>
      <c r="K920" s="94" t="n">
        <v>0.3908717082828591</v>
      </c>
      <c r="L920" s="94" t="n">
        <v>-0.2405416095920647</v>
      </c>
      <c r="M920" s="94" t="n">
        <v>-0.3788032642984789</v>
      </c>
      <c r="N920" t="n">
        <v>48.69378318957005</v>
      </c>
      <c r="O920" t="n">
        <v>0.2487115044725666</v>
      </c>
      <c r="P920" s="143">
        <f>MAX($E$2:E920)</f>
        <v/>
      </c>
      <c r="Q920" s="144">
        <f>E920/P920-1</f>
        <v/>
      </c>
      <c r="R920" s="94" t="n">
        <v>-0.006825669813543378</v>
      </c>
    </row>
    <row r="921">
      <c r="A921" s="375" t="n">
        <v>45804</v>
      </c>
      <c r="B921" s="376" t="n">
        <v>58.48414833840944</v>
      </c>
      <c r="C921" s="376" t="n">
        <v>60.12013457049551</v>
      </c>
      <c r="D921" s="376" t="n">
        <v>58.20669935647539</v>
      </c>
      <c r="E921" s="376" t="n">
        <v>60.11056900024414</v>
      </c>
      <c r="F921" s="93" t="n">
        <v>16642100</v>
      </c>
      <c r="G921" s="94" t="n">
        <v>0.04681774248826631</v>
      </c>
      <c r="H921" s="95" t="n">
        <v>44.50060982931664</v>
      </c>
      <c r="I921" s="376" t="n">
        <v>58.08461990356445</v>
      </c>
      <c r="J921" s="376" t="n">
        <v>70.18437000274658</v>
      </c>
      <c r="K921" s="94" t="n">
        <v>0.4200494654981672</v>
      </c>
      <c r="L921" s="94" t="n">
        <v>-0.2005343325860379</v>
      </c>
      <c r="M921" s="94" t="n">
        <v>-0.3497202354918535</v>
      </c>
      <c r="N921" t="n">
        <v>56.37687749051187</v>
      </c>
      <c r="O921" t="n">
        <v>0.3035259590468851</v>
      </c>
      <c r="P921" s="143">
        <f>MAX($E$2:E921)</f>
        <v/>
      </c>
      <c r="Q921" s="144">
        <f>E921/P921-1</f>
        <v/>
      </c>
      <c r="R921" s="94" t="n">
        <v>0.02079056095996679</v>
      </c>
    </row>
    <row r="922">
      <c r="A922" s="375" t="n">
        <v>45805</v>
      </c>
      <c r="B922" s="376" t="n">
        <v>60.02446207992295</v>
      </c>
      <c r="C922" s="376" t="n">
        <v>60.37844655971858</v>
      </c>
      <c r="D922" s="376" t="n">
        <v>58.89553505286757</v>
      </c>
      <c r="E922" s="376" t="n">
        <v>59.10601043701172</v>
      </c>
      <c r="F922" s="93" t="n">
        <v>10015600</v>
      </c>
      <c r="G922" s="94" t="n">
        <v>-0.01671184585240482</v>
      </c>
      <c r="H922" s="95" t="n">
        <v>43.75692249751109</v>
      </c>
      <c r="I922" s="376" t="n">
        <v>57.85653854370117</v>
      </c>
      <c r="J922" s="376" t="n">
        <v>70.13014602661133</v>
      </c>
      <c r="K922" s="94" t="n">
        <v>0.427036971579299</v>
      </c>
      <c r="L922" s="94" t="n">
        <v>-0.21389487958415</v>
      </c>
      <c r="M922" s="94" t="n">
        <v>-0.3605876106772518</v>
      </c>
      <c r="N922" t="n">
        <v>53.17264411724521</v>
      </c>
      <c r="O922" t="n">
        <v>0.2562111315069544</v>
      </c>
      <c r="P922" s="143">
        <f>MAX($E$2:E922)</f>
        <v/>
      </c>
      <c r="Q922" s="144">
        <f>E922/P922-1</f>
        <v/>
      </c>
      <c r="R922" s="94" t="n">
        <v>-0.005785229014480087</v>
      </c>
    </row>
    <row r="923">
      <c r="A923" s="375" t="n">
        <v>45806</v>
      </c>
      <c r="B923" s="376" t="n">
        <v>59.78528765503474</v>
      </c>
      <c r="C923" s="376" t="n">
        <v>60.17754174621201</v>
      </c>
      <c r="D923" s="376" t="n">
        <v>58.4841510649087</v>
      </c>
      <c r="E923" s="376" t="n">
        <v>58.78073120117188</v>
      </c>
      <c r="F923" s="93" t="n">
        <v>12218000</v>
      </c>
      <c r="G923" s="94" t="n">
        <v>-0.00550331909453583</v>
      </c>
      <c r="H923" s="95" t="n">
        <v>43.51611419041242</v>
      </c>
      <c r="I923" s="376" t="n">
        <v>57.6294140625</v>
      </c>
      <c r="J923" s="376" t="n">
        <v>70.07358852386474</v>
      </c>
      <c r="K923" s="94" t="n">
        <v>0.419452543485998</v>
      </c>
      <c r="L923" s="94" t="n">
        <v>-0.2182210669036468</v>
      </c>
      <c r="M923" s="94" t="n">
        <v>-0.3641065010886945</v>
      </c>
      <c r="N923" t="n">
        <v>52.13927874422546</v>
      </c>
      <c r="O923" t="n">
        <v>0.1901300327134174</v>
      </c>
      <c r="P923" s="143">
        <f>MAX($E$2:E923)</f>
        <v/>
      </c>
      <c r="Q923" s="144">
        <f>E923/P923-1</f>
        <v/>
      </c>
      <c r="R923" s="94" t="n">
        <v>0.003947214647756825</v>
      </c>
    </row>
    <row r="924">
      <c r="A924" s="375" t="n">
        <v>45807</v>
      </c>
      <c r="B924" s="376" t="n">
        <v>58.35977191145042</v>
      </c>
      <c r="C924" s="376" t="n">
        <v>58.47457699824407</v>
      </c>
      <c r="D924" s="376" t="n">
        <v>57.49872463652829</v>
      </c>
      <c r="E924" s="376" t="n">
        <v>57.9675178527832</v>
      </c>
      <c r="F924" s="93" t="n">
        <v>18155100</v>
      </c>
      <c r="G924" s="94" t="n">
        <v>-0.01383469262411041</v>
      </c>
      <c r="H924" s="95" t="n">
        <v>42.91408212639237</v>
      </c>
      <c r="I924" s="376" t="n">
        <v>57.39214820861817</v>
      </c>
      <c r="J924" s="376" t="n">
        <v>70.01155076980591</v>
      </c>
      <c r="K924" s="94" t="n">
        <v>0.4244317942342872</v>
      </c>
      <c r="L924" s="94" t="n">
        <v>-0.22903673814304</v>
      </c>
      <c r="M924" s="94" t="n">
        <v>-0.3729038921878025</v>
      </c>
      <c r="N924" t="n">
        <v>49.54680626778551</v>
      </c>
      <c r="O924" t="n">
        <v>0.08417851909010049</v>
      </c>
      <c r="P924" s="143">
        <f>MAX($E$2:E924)</f>
        <v/>
      </c>
      <c r="Q924" s="144">
        <f>E924/P924-1</f>
        <v/>
      </c>
      <c r="R924" s="94" t="n">
        <v>-0.001118549412711611</v>
      </c>
    </row>
    <row r="925">
      <c r="A925" s="375" t="n">
        <v>45810</v>
      </c>
      <c r="B925" s="376" t="n">
        <v>57.83268689635607</v>
      </c>
      <c r="C925" s="376" t="n">
        <v>59.32545328612132</v>
      </c>
      <c r="D925" s="376" t="n">
        <v>57.39930215769087</v>
      </c>
      <c r="E925" s="376" t="n">
        <v>59.29656219482422</v>
      </c>
      <c r="F925" s="93" t="n">
        <v>14065300</v>
      </c>
      <c r="G925" s="94" t="n">
        <v>0.02292739781296671</v>
      </c>
      <c r="H925" s="95" t="n">
        <v>43.89799035908249</v>
      </c>
      <c r="I925" s="376" t="n">
        <v>57.20308494567871</v>
      </c>
      <c r="J925" s="376" t="n">
        <v>69.93796098709106</v>
      </c>
      <c r="K925" s="94" t="n">
        <v>0.4173250934487828</v>
      </c>
      <c r="L925" s="94" t="n">
        <v>-0.211360556739263</v>
      </c>
      <c r="M925" s="94" t="n">
        <v>-0.3585262102570291</v>
      </c>
      <c r="N925" t="n">
        <v>53.60678071787455</v>
      </c>
      <c r="O925" t="n">
        <v>0.09531317651654814</v>
      </c>
      <c r="P925" s="143">
        <f>MAX($E$2:E925)</f>
        <v/>
      </c>
      <c r="Q925" s="144">
        <f>E925/P925-1</f>
        <v/>
      </c>
      <c r="R925" s="94" t="n">
        <v>0.005632908134234338</v>
      </c>
    </row>
    <row r="926">
      <c r="A926" s="375" t="n">
        <v>45811</v>
      </c>
      <c r="B926" s="376" t="n">
        <v>58.97875144653547</v>
      </c>
      <c r="C926" s="376" t="n">
        <v>60.14407204251353</v>
      </c>
      <c r="D926" s="376" t="n">
        <v>58.22754997922707</v>
      </c>
      <c r="E926" s="376" t="n">
        <v>60.06702423095703</v>
      </c>
      <c r="F926" s="93" t="n">
        <v>10286100</v>
      </c>
      <c r="G926" s="94" t="n">
        <v>0.01299336770319659</v>
      </c>
      <c r="H926" s="95" t="n">
        <v>44.46837308924943</v>
      </c>
      <c r="I926" s="376" t="n">
        <v>57.1044376373291</v>
      </c>
      <c r="J926" s="376" t="n">
        <v>69.86812925338745</v>
      </c>
      <c r="K926" s="94" t="n">
        <v>0.4084625274653945</v>
      </c>
      <c r="L926" s="94" t="n">
        <v>-0.1782135877173531</v>
      </c>
      <c r="M926" s="94" t="n">
        <v>-0.3501913054349357</v>
      </c>
      <c r="N926" t="n">
        <v>55.82598834238982</v>
      </c>
      <c r="O926" t="n">
        <v>0.1433868246573696</v>
      </c>
      <c r="P926" s="143">
        <f>MAX($E$2:E926)</f>
        <v/>
      </c>
      <c r="Q926" s="144">
        <f>E926/P926-1</f>
        <v/>
      </c>
      <c r="R926" s="94" t="n">
        <v>0.005702690853543357</v>
      </c>
    </row>
    <row r="927">
      <c r="A927" s="375" t="n">
        <v>45812</v>
      </c>
      <c r="B927" s="376" t="n">
        <v>60.07665256559388</v>
      </c>
      <c r="C927" s="376" t="n">
        <v>60.7122822681812</v>
      </c>
      <c r="D927" s="376" t="n">
        <v>59.9707136695224</v>
      </c>
      <c r="E927" s="376" t="n">
        <v>60.45225143432617</v>
      </c>
      <c r="F927" s="93" t="n">
        <v>10242300</v>
      </c>
      <c r="G927" s="94" t="n">
        <v>0.006413289293106139</v>
      </c>
      <c r="H927" s="95" t="n">
        <v>44.75356163026456</v>
      </c>
      <c r="I927" s="376" t="n">
        <v>57.02401870727539</v>
      </c>
      <c r="J927" s="376" t="n">
        <v>69.78146068572998</v>
      </c>
      <c r="K927" s="94" t="n">
        <v>0.40667895017275</v>
      </c>
      <c r="L927" s="94" t="n">
        <v>-0.1480766671031861</v>
      </c>
      <c r="M927" s="94" t="n">
        <v>-0.3460238942915144</v>
      </c>
      <c r="N927" t="n">
        <v>56.9352045379594</v>
      </c>
      <c r="O927" t="n">
        <v>0.1871814218515795</v>
      </c>
      <c r="P927" s="143">
        <f>MAX($E$2:E927)</f>
        <v/>
      </c>
      <c r="Q927" s="144">
        <f>E927/P927-1</f>
        <v/>
      </c>
      <c r="R927" s="94" t="n">
        <v>-0.0002684505635119905</v>
      </c>
    </row>
    <row r="928">
      <c r="A928" s="375" t="n">
        <v>45813</v>
      </c>
      <c r="B928" s="376" t="n">
        <v>60.61598026899114</v>
      </c>
      <c r="C928" s="376" t="n">
        <v>61.30939591468628</v>
      </c>
      <c r="D928" s="376" t="n">
        <v>59.93219743717626</v>
      </c>
      <c r="E928" s="376" t="n">
        <v>60.35594940185547</v>
      </c>
      <c r="F928" s="93" t="n">
        <v>12336300</v>
      </c>
      <c r="G928" s="94" t="n">
        <v>-0.001593026399940189</v>
      </c>
      <c r="H928" s="95" t="n">
        <v>44.68226802509619</v>
      </c>
      <c r="I928" s="376" t="n">
        <v>56.95793792724609</v>
      </c>
      <c r="J928" s="376" t="n">
        <v>69.690869140625</v>
      </c>
      <c r="K928" s="94" t="n">
        <v>0.3986230754761584</v>
      </c>
      <c r="L928" s="94" t="n">
        <v>-0.1440096118794654</v>
      </c>
      <c r="M928" s="94" t="n">
        <v>-0.3470656954928381</v>
      </c>
      <c r="N928" t="n">
        <v>56.55290176950934</v>
      </c>
      <c r="O928" t="n">
        <v>0.1948415124448752</v>
      </c>
      <c r="P928" s="143">
        <f>MAX($E$2:E928)</f>
        <v/>
      </c>
      <c r="Q928" s="144">
        <f>E928/P928-1</f>
        <v/>
      </c>
      <c r="R928" s="94" t="n">
        <v>-0.004832678841914628</v>
      </c>
    </row>
    <row r="929">
      <c r="A929" s="375" t="n">
        <v>45814</v>
      </c>
      <c r="B929" s="376" t="n">
        <v>60.35594310093774</v>
      </c>
      <c r="C929" s="376" t="n">
        <v>60.76043674331307</v>
      </c>
      <c r="D929" s="376" t="n">
        <v>59.8262522819258</v>
      </c>
      <c r="E929" s="376" t="n">
        <v>60.48114395141602</v>
      </c>
      <c r="F929" s="93" t="n">
        <v>13299600</v>
      </c>
      <c r="G929" s="94" t="n">
        <v>0.002074270238497711</v>
      </c>
      <c r="H929" s="95" t="n">
        <v>44.77495112384923</v>
      </c>
      <c r="I929" s="376" t="n">
        <v>56.90966842651367</v>
      </c>
      <c r="J929" s="376" t="n">
        <v>69.60066793441773</v>
      </c>
      <c r="K929" s="94" t="n">
        <v>0.3986603147286443</v>
      </c>
      <c r="L929" s="94" t="n">
        <v>-0.1422340564929468</v>
      </c>
      <c r="M929" s="94" t="n">
        <v>-0.3457113332973046</v>
      </c>
      <c r="N929" t="n">
        <v>56.9575320451411</v>
      </c>
      <c r="O929" t="n">
        <v>0.1931429509254208</v>
      </c>
      <c r="P929" s="143">
        <f>MAX($E$2:E929)</f>
        <v/>
      </c>
      <c r="Q929" s="144">
        <f>E929/P929-1</f>
        <v/>
      </c>
      <c r="R929" s="94" t="n">
        <v>0.01026900114658003</v>
      </c>
    </row>
    <row r="930">
      <c r="A930" s="375" t="n">
        <v>45817</v>
      </c>
      <c r="B930" s="376" t="n">
        <v>60.96268652875781</v>
      </c>
      <c r="C930" s="376" t="n">
        <v>61.14567324937006</v>
      </c>
      <c r="D930" s="376" t="n">
        <v>59.59512090019236</v>
      </c>
      <c r="E930" s="376" t="n">
        <v>59.6240119934082</v>
      </c>
      <c r="F930" s="93" t="n">
        <v>11640000</v>
      </c>
      <c r="G930" s="94" t="n">
        <v>-0.01417188733560226</v>
      </c>
      <c r="H930" s="95" t="n">
        <v>44.14040556106494</v>
      </c>
      <c r="I930" s="376" t="n">
        <v>56.84310829162597</v>
      </c>
      <c r="J930" s="376" t="n">
        <v>69.50486103057861</v>
      </c>
      <c r="K930" s="94" t="n">
        <v>0.400686550361718</v>
      </c>
      <c r="L930" s="94" t="n">
        <v>-0.1543902188046453</v>
      </c>
      <c r="M930" s="94" t="n">
        <v>-0.3549838385667766</v>
      </c>
      <c r="N930" t="n">
        <v>53.29776418097253</v>
      </c>
      <c r="O930" t="n">
        <v>0.1225376142973692</v>
      </c>
      <c r="P930" s="143">
        <f>MAX($E$2:E930)</f>
        <v/>
      </c>
      <c r="Q930" s="144">
        <f>E930/P930-1</f>
        <v/>
      </c>
      <c r="R930" s="94" t="n">
        <v>0.000901188259490926</v>
      </c>
    </row>
    <row r="931">
      <c r="A931" s="375" t="n">
        <v>45818</v>
      </c>
      <c r="B931" s="376" t="n">
        <v>60.07665802909328</v>
      </c>
      <c r="C931" s="376" t="n">
        <v>61.790935125907</v>
      </c>
      <c r="D931" s="376" t="n">
        <v>59.95145717018263</v>
      </c>
      <c r="E931" s="376" t="n">
        <v>61.51163864135742</v>
      </c>
      <c r="F931" s="93" t="n">
        <v>15287000</v>
      </c>
      <c r="G931" s="94" t="n">
        <v>0.03165883315865936</v>
      </c>
      <c r="H931" s="95" t="n">
        <v>45.53783929627826</v>
      </c>
      <c r="I931" s="376" t="n">
        <v>56.86232788085938</v>
      </c>
      <c r="J931" s="376" t="n">
        <v>69.41641794204712</v>
      </c>
      <c r="K931" s="94" t="n">
        <v>0.3243976409658028</v>
      </c>
      <c r="L931" s="94" t="n">
        <v>-0.1276191998244511</v>
      </c>
      <c r="M931" s="94" t="n">
        <v>-0.3345633795273233</v>
      </c>
      <c r="N931" t="n">
        <v>59.47357230826707</v>
      </c>
      <c r="O931" t="n">
        <v>0.1873288883589661</v>
      </c>
      <c r="P931" s="143">
        <f>MAX($E$2:E931)</f>
        <v/>
      </c>
      <c r="Q931" s="144">
        <f>E931/P931-1</f>
        <v/>
      </c>
      <c r="R931" s="94" t="n">
        <v>0.005669725381956647</v>
      </c>
    </row>
    <row r="932">
      <c r="A932" s="375" t="n">
        <v>45819</v>
      </c>
      <c r="B932" s="376" t="n">
        <v>62.02206573633503</v>
      </c>
      <c r="C932" s="376" t="n">
        <v>62.45544678670366</v>
      </c>
      <c r="D932" s="376" t="n">
        <v>60.26926856183284</v>
      </c>
      <c r="E932" s="376" t="n">
        <v>60.77969741821289</v>
      </c>
      <c r="F932" s="93" t="n">
        <v>10238700</v>
      </c>
      <c r="G932" s="94" t="n">
        <v>-0.0118992314188231</v>
      </c>
      <c r="H932" s="95" t="n">
        <v>44.99597400817866</v>
      </c>
      <c r="I932" s="376" t="n">
        <v>56.86327308654785</v>
      </c>
      <c r="J932" s="376" t="n">
        <v>69.32709659576416</v>
      </c>
      <c r="K932" s="94" t="n">
        <v>0.3275695615566017</v>
      </c>
      <c r="L932" s="94" t="n">
        <v>-0.1334140868842356</v>
      </c>
      <c r="M932" s="94" t="n">
        <v>-0.3424815638688872</v>
      </c>
      <c r="N932" t="n">
        <v>56.36127061738429</v>
      </c>
      <c r="O932" t="n">
        <v>0.1659860071094529</v>
      </c>
      <c r="P932" s="143">
        <f>MAX($E$2:E932)</f>
        <v/>
      </c>
      <c r="Q932" s="144">
        <f>E932/P932-1</f>
        <v/>
      </c>
      <c r="R932" s="94" t="n">
        <v>-0.002852060657808408</v>
      </c>
    </row>
    <row r="933">
      <c r="A933" s="375" t="n">
        <v>45820</v>
      </c>
      <c r="B933" s="376" t="n">
        <v>60.42336176953502</v>
      </c>
      <c r="C933" s="376" t="n">
        <v>60.60634480189429</v>
      </c>
      <c r="D933" s="376" t="n">
        <v>59.47954449527312</v>
      </c>
      <c r="E933" s="376" t="n">
        <v>60.48114395141602</v>
      </c>
      <c r="F933" s="93" t="n">
        <v>9830500</v>
      </c>
      <c r="G933" s="94" t="n">
        <v>-0.004912059116428114</v>
      </c>
      <c r="H933" s="95" t="n">
        <v>44.77495112384923</v>
      </c>
      <c r="I933" s="376" t="n">
        <v>56.83375526428222</v>
      </c>
      <c r="J933" s="376" t="n">
        <v>69.23326524734497</v>
      </c>
      <c r="K933" s="94" t="n">
        <v>0.3254995637020513</v>
      </c>
      <c r="L933" s="94" t="n">
        <v>-0.133890277403881</v>
      </c>
      <c r="M933" s="94" t="n">
        <v>-0.3457113332973046</v>
      </c>
      <c r="N933" t="n">
        <v>55.09478930946766</v>
      </c>
      <c r="O933" t="n">
        <v>0.1190542135609236</v>
      </c>
      <c r="P933" s="143">
        <f>MAX($E$2:E933)</f>
        <v/>
      </c>
      <c r="Q933" s="144">
        <f>E933/P933-1</f>
        <v/>
      </c>
      <c r="R933" s="94" t="n">
        <v>0.003974342333478376</v>
      </c>
    </row>
    <row r="934">
      <c r="A934" s="375" t="n">
        <v>45821</v>
      </c>
      <c r="B934" s="376" t="n">
        <v>59.46991722302134</v>
      </c>
      <c r="C934" s="376" t="n">
        <v>60.46188389742779</v>
      </c>
      <c r="D934" s="376" t="n">
        <v>57.89047385543918</v>
      </c>
      <c r="E934" s="376" t="n">
        <v>58.29496383666992</v>
      </c>
      <c r="F934" s="93" t="n">
        <v>16509700</v>
      </c>
      <c r="G934" s="94" t="n">
        <v>-0.03614647428795714</v>
      </c>
      <c r="H934" s="95" t="n">
        <v>43.15649450430647</v>
      </c>
      <c r="I934" s="376" t="n">
        <v>56.75668716430664</v>
      </c>
      <c r="J934" s="376" t="n">
        <v>69.12741870880127</v>
      </c>
      <c r="K934" s="94" t="n">
        <v>0.3492634011667205</v>
      </c>
      <c r="L934" s="94" t="n">
        <v>-0.1520698657798256</v>
      </c>
      <c r="M934" s="94" t="n">
        <v>-0.3693615617651753</v>
      </c>
      <c r="N934" t="n">
        <v>46.80150859458816</v>
      </c>
      <c r="O934" t="n">
        <v>-0.06219124377507101</v>
      </c>
      <c r="P934" s="143">
        <f>MAX($E$2:E934)</f>
        <v/>
      </c>
      <c r="Q934" s="144">
        <f>E934/P934-1</f>
        <v/>
      </c>
      <c r="R934" s="94" t="n">
        <v>-0.01118017618324851</v>
      </c>
    </row>
    <row r="935">
      <c r="A935" s="375" t="n">
        <v>45824</v>
      </c>
      <c r="B935" s="376" t="n">
        <v>59.11358014025676</v>
      </c>
      <c r="C935" s="376" t="n">
        <v>59.88403986963414</v>
      </c>
      <c r="D935" s="376" t="n">
        <v>58.97875014684595</v>
      </c>
      <c r="E935" s="376" t="n">
        <v>59.6143798828125</v>
      </c>
      <c r="F935" s="93" t="n">
        <v>13681600</v>
      </c>
      <c r="G935" s="94" t="n">
        <v>0.02263344823129665</v>
      </c>
      <c r="H935" s="95" t="n">
        <v>44.13327478851393</v>
      </c>
      <c r="I935" s="376" t="n">
        <v>56.88548751831055</v>
      </c>
      <c r="J935" s="376" t="n">
        <v>69.02340789794921</v>
      </c>
      <c r="K935" s="94" t="n">
        <v>0.3567418571502176</v>
      </c>
      <c r="L935" s="94" t="n">
        <v>-0.08284708202262969</v>
      </c>
      <c r="M935" s="94" t="n">
        <v>-0.3550880393207216</v>
      </c>
      <c r="N935" t="n">
        <v>51.54238247514427</v>
      </c>
      <c r="O935" t="n">
        <v>-0.0942600134168653</v>
      </c>
      <c r="P935" s="143">
        <f>MAX($E$2:E935)</f>
        <v/>
      </c>
      <c r="Q935" s="144">
        <f>E935/P935-1</f>
        <v/>
      </c>
      <c r="R935" s="94" t="n">
        <v>0.009514273488879121</v>
      </c>
    </row>
    <row r="936">
      <c r="A936" s="375" t="n">
        <v>45825</v>
      </c>
      <c r="B936" s="376" t="n">
        <v>59.03653586343717</v>
      </c>
      <c r="C936" s="376" t="n">
        <v>59.03653586343717</v>
      </c>
      <c r="D936" s="376" t="n">
        <v>57.47635435884877</v>
      </c>
      <c r="E936" s="376" t="n">
        <v>57.78453826904297</v>
      </c>
      <c r="F936" s="93" t="n">
        <v>13649700</v>
      </c>
      <c r="G936" s="94" t="n">
        <v>-0.03069463470670264</v>
      </c>
      <c r="H936" s="95" t="n">
        <v>42.77862004046997</v>
      </c>
      <c r="I936" s="376" t="n">
        <v>56.94573661804199</v>
      </c>
      <c r="J936" s="376" t="n">
        <v>68.92203357696533</v>
      </c>
      <c r="K936" s="94" t="n">
        <v>0.3686996833962254</v>
      </c>
      <c r="L936" s="94" t="n">
        <v>-0.1037432589353382</v>
      </c>
      <c r="M936" s="94" t="n">
        <v>-0.3748833763717555</v>
      </c>
      <c r="N936" t="n">
        <v>45.48796928813448</v>
      </c>
      <c r="O936" t="n">
        <v>-0.2319100563269338</v>
      </c>
      <c r="P936" s="143">
        <f>MAX($E$2:E936)</f>
        <v/>
      </c>
      <c r="Q936" s="144">
        <f>E936/P936-1</f>
        <v/>
      </c>
      <c r="R936" s="94" t="n">
        <v>-0.008545182675272933</v>
      </c>
    </row>
    <row r="937">
      <c r="A937" s="375" t="n">
        <v>45826</v>
      </c>
      <c r="B937" s="376" t="n">
        <v>57.78453453352392</v>
      </c>
      <c r="C937" s="376" t="n">
        <v>58.2179192772937</v>
      </c>
      <c r="D937" s="376" t="n">
        <v>57.17779589224622</v>
      </c>
      <c r="E937" s="376" t="n">
        <v>57.31262588500977</v>
      </c>
      <c r="F937" s="93" t="n">
        <v>14194300</v>
      </c>
      <c r="G937" s="94" t="n">
        <v>-0.008166758758822223</v>
      </c>
      <c r="H937" s="95" t="n">
        <v>42.42925737056413</v>
      </c>
      <c r="I937" s="376" t="n">
        <v>57.02792785644531</v>
      </c>
      <c r="J937" s="376" t="n">
        <v>68.81608400344848</v>
      </c>
      <c r="K937" s="94" t="n">
        <v>0.3679577373997771</v>
      </c>
      <c r="L937" s="94" t="n">
        <v>-0.09970725219264198</v>
      </c>
      <c r="M937" s="94" t="n">
        <v>-0.3799885530330568</v>
      </c>
      <c r="N937" t="n">
        <v>44.05084487470223</v>
      </c>
      <c r="O937" t="n">
        <v>-0.3413321121666815</v>
      </c>
      <c r="P937" s="143">
        <f>MAX($E$2:E937)</f>
        <v/>
      </c>
      <c r="Q937" s="144">
        <f>E937/P937-1</f>
        <v/>
      </c>
      <c r="R937" s="94" t="n">
        <v>-0.0001505681455331587</v>
      </c>
    </row>
    <row r="938">
      <c r="A938" s="375" t="n">
        <v>45828</v>
      </c>
      <c r="B938" s="376" t="n">
        <v>57.5437667439304</v>
      </c>
      <c r="C938" s="376" t="n">
        <v>57.82305954792423</v>
      </c>
      <c r="D938" s="376" t="n">
        <v>57.00444308868456</v>
      </c>
      <c r="E938" s="376" t="n">
        <v>57.58229064941406</v>
      </c>
      <c r="F938" s="93" t="n">
        <v>19084000</v>
      </c>
      <c r="G938" s="94" t="n">
        <v>0.004705154584006443</v>
      </c>
      <c r="H938" s="95" t="n">
        <v>42.62889358537723</v>
      </c>
      <c r="I938" s="376" t="n">
        <v>57.16028671264648</v>
      </c>
      <c r="J938" s="376" t="n">
        <v>68.71119989395142</v>
      </c>
      <c r="K938" s="94" t="n">
        <v>0.33772425269512</v>
      </c>
      <c r="L938" s="94" t="n">
        <v>-0.08529874332934106</v>
      </c>
      <c r="M938" s="94" t="n">
        <v>-0.3770713033312239</v>
      </c>
      <c r="N938" t="n">
        <v>45.11787395879469</v>
      </c>
      <c r="O938" t="n">
        <v>-0.379221641517386</v>
      </c>
      <c r="P938" s="143">
        <f>MAX($E$2:E938)</f>
        <v/>
      </c>
      <c r="Q938" s="144">
        <f>E938/P938-1</f>
        <v/>
      </c>
      <c r="R938" s="94" t="n">
        <v>-0.002348593653105802</v>
      </c>
    </row>
    <row r="939">
      <c r="A939" s="375" t="n">
        <v>45831</v>
      </c>
      <c r="B939" s="376" t="n">
        <v>57.38004077904867</v>
      </c>
      <c r="C939" s="376" t="n">
        <v>59.03652816178374</v>
      </c>
      <c r="D939" s="376" t="n">
        <v>57.24520712131677</v>
      </c>
      <c r="E939" s="376" t="n">
        <v>58.53572845458984</v>
      </c>
      <c r="F939" s="93" t="n">
        <v>15921300</v>
      </c>
      <c r="G939" s="94" t="n">
        <v>0.01655783044444559</v>
      </c>
      <c r="H939" s="95" t="n">
        <v>43.33473557739822</v>
      </c>
      <c r="I939" s="376" t="n">
        <v>57.19595146179199</v>
      </c>
      <c r="J939" s="376" t="n">
        <v>68.61880159378052</v>
      </c>
      <c r="K939" s="94" t="n">
        <v>0.3333335471138354</v>
      </c>
      <c r="L939" s="94" t="n">
        <v>-0.0701532750140671</v>
      </c>
      <c r="M939" s="94" t="n">
        <v>-0.3667569555928027</v>
      </c>
      <c r="N939" t="n">
        <v>48.83341453695189</v>
      </c>
      <c r="O939" t="n">
        <v>-0.3257886164688414</v>
      </c>
      <c r="P939" s="143">
        <f>MAX($E$2:E939)</f>
        <v/>
      </c>
      <c r="Q939" s="144">
        <f>E939/P939-1</f>
        <v/>
      </c>
      <c r="R939" s="94" t="n">
        <v>0.009877654126371649</v>
      </c>
    </row>
    <row r="940">
      <c r="A940" s="375" t="n">
        <v>45832</v>
      </c>
      <c r="B940" s="376" t="n">
        <v>59.0654263351632</v>
      </c>
      <c r="C940" s="376" t="n">
        <v>59.69142324991275</v>
      </c>
      <c r="D940" s="376" t="n">
        <v>58.24680989824832</v>
      </c>
      <c r="E940" s="376" t="n">
        <v>59.152099609375</v>
      </c>
      <c r="F940" s="93" t="n">
        <v>12564000</v>
      </c>
      <c r="G940" s="94" t="n">
        <v>0.01052982803935398</v>
      </c>
      <c r="H940" s="95" t="n">
        <v>43.7910428911591</v>
      </c>
      <c r="I940" s="376" t="n">
        <v>57.33808471679688</v>
      </c>
      <c r="J940" s="376" t="n">
        <v>68.53090566635132</v>
      </c>
      <c r="K940" s="94" t="n">
        <v>0.3253784351985843</v>
      </c>
      <c r="L940" s="94" t="n">
        <v>-0.04821155055585513</v>
      </c>
      <c r="M940" s="94" t="n">
        <v>-0.360089015228078</v>
      </c>
      <c r="N940" t="n">
        <v>51.1365011163184</v>
      </c>
      <c r="O940" t="n">
        <v>-0.2386856990232445</v>
      </c>
      <c r="P940" s="143">
        <f>MAX($E$2:E940)</f>
        <v/>
      </c>
      <c r="Q940" s="144">
        <f>E940/P940-1</f>
        <v/>
      </c>
      <c r="R940" s="94" t="n">
        <v>0.01104709374165358</v>
      </c>
    </row>
    <row r="941">
      <c r="A941" s="375" t="n">
        <v>45833</v>
      </c>
      <c r="B941" s="376" t="n">
        <v>59.18099868914254</v>
      </c>
      <c r="C941" s="376" t="n">
        <v>59.25804282978375</v>
      </c>
      <c r="D941" s="376" t="n">
        <v>58.13124609678174</v>
      </c>
      <c r="E941" s="376" t="n">
        <v>58.58389282226562</v>
      </c>
      <c r="F941" s="93" t="n">
        <v>12186200</v>
      </c>
      <c r="G941" s="94" t="n">
        <v>-0.009605859992488197</v>
      </c>
      <c r="H941" s="95" t="n">
        <v>43.37039226422158</v>
      </c>
      <c r="I941" s="376" t="n">
        <v>57.4690453338623</v>
      </c>
      <c r="J941" s="376" t="n">
        <v>68.44106847763061</v>
      </c>
      <c r="K941" s="94" t="n">
        <v>0.2800579057779585</v>
      </c>
      <c r="L941" s="94" t="n">
        <v>-0.05735429714368312</v>
      </c>
      <c r="M941" s="94" t="n">
        <v>-0.3662359105554523</v>
      </c>
      <c r="N941" t="n">
        <v>48.94915349312497</v>
      </c>
      <c r="O941" t="n">
        <v>-0.2100982080530412</v>
      </c>
      <c r="P941" s="143">
        <f>MAX($E$2:E941)</f>
        <v/>
      </c>
      <c r="Q941" s="144">
        <f>E941/P941-1</f>
        <v/>
      </c>
      <c r="R941" s="94" t="n">
        <v>0.0005603485498484329</v>
      </c>
    </row>
    <row r="942">
      <c r="A942" s="375" t="n">
        <v>45834</v>
      </c>
      <c r="B942" s="376" t="n">
        <v>59.28693360213117</v>
      </c>
      <c r="C942" s="376" t="n">
        <v>60.41373025920485</v>
      </c>
      <c r="D942" s="376" t="n">
        <v>58.57425606155266</v>
      </c>
      <c r="E942" s="376" t="n">
        <v>60.23074722290039</v>
      </c>
      <c r="F942" s="93" t="n">
        <v>39659800</v>
      </c>
      <c r="G942" s="94" t="n">
        <v>0.02811104420170696</v>
      </c>
      <c r="H942" s="95" t="n">
        <v>44.58957927820648</v>
      </c>
      <c r="I942" s="376" t="n">
        <v>57.61342590332031</v>
      </c>
      <c r="J942" s="376" t="n">
        <v>68.36041263580323</v>
      </c>
      <c r="K942" s="94" t="n">
        <v>0.2919402097202455</v>
      </c>
      <c r="L942" s="94" t="n">
        <v>-0.0308555421241401</v>
      </c>
      <c r="M942" s="94" t="n">
        <v>-0.3457507918703776</v>
      </c>
      <c r="N942" t="n">
        <v>54.96223512424478</v>
      </c>
      <c r="O942" t="n">
        <v>-0.07784676975101185</v>
      </c>
      <c r="P942" s="143">
        <f>MAX($E$2:E942)</f>
        <v/>
      </c>
      <c r="Q942" s="144">
        <f>E942/P942-1</f>
        <v/>
      </c>
      <c r="R942" s="94" t="n">
        <v>0.007823774921469351</v>
      </c>
    </row>
    <row r="943">
      <c r="A943" s="375" t="n">
        <v>45835</v>
      </c>
      <c r="B943" s="376" t="n">
        <v>67.21304664739225</v>
      </c>
      <c r="C943" s="376" t="n">
        <v>71.45058073433762</v>
      </c>
      <c r="D943" s="376" t="n">
        <v>67.11674055744241</v>
      </c>
      <c r="E943" s="376" t="n">
        <v>69.37996673583984</v>
      </c>
      <c r="F943" s="93" t="n">
        <v>117530300</v>
      </c>
      <c r="G943" s="94" t="n">
        <v>0.1519028060382559</v>
      </c>
      <c r="H943" s="95" t="n">
        <v>51.36286149063132</v>
      </c>
      <c r="I943" s="376" t="n">
        <v>57.95188865661621</v>
      </c>
      <c r="J943" s="376" t="n">
        <v>68.33090114593506</v>
      </c>
      <c r="K943" s="94" t="n">
        <v>0.6081347332968641</v>
      </c>
      <c r="L943" s="94" t="n">
        <v>0</v>
      </c>
      <c r="M943" s="94" t="n">
        <v>-0.2232997556918604</v>
      </c>
      <c r="N943" t="n">
        <v>73.58032566832293</v>
      </c>
      <c r="O943" t="n">
        <v>0.5914072266127679</v>
      </c>
      <c r="P943" s="143">
        <f>MAX($E$2:E943)</f>
        <v/>
      </c>
      <c r="Q943" s="144">
        <f>E943/P943-1</f>
        <v/>
      </c>
      <c r="R943" s="94" t="n">
        <v>0.00496832451725937</v>
      </c>
    </row>
    <row r="944">
      <c r="A944" s="375" t="n">
        <v>45838</v>
      </c>
      <c r="B944" s="376" t="n">
        <v>68.81175018923055</v>
      </c>
      <c r="C944" s="376" t="n">
        <v>69.06215190807062</v>
      </c>
      <c r="D944" s="376" t="n">
        <v>67.47307566370246</v>
      </c>
      <c r="E944" s="376" t="n">
        <v>68.41689300537109</v>
      </c>
      <c r="F944" s="93" t="n">
        <v>31090400</v>
      </c>
      <c r="G944" s="94" t="n">
        <v>-0.0138811500751449</v>
      </c>
      <c r="H944" s="95" t="n">
        <v>50.64988590199098</v>
      </c>
      <c r="I944" s="376" t="n">
        <v>58.29558204650879</v>
      </c>
      <c r="J944" s="376" t="n">
        <v>68.30320377349854</v>
      </c>
      <c r="K944" s="94" t="n">
        <v>0.6081578655071753</v>
      </c>
      <c r="L944" s="94" t="n">
        <v>-0.0138811500751449</v>
      </c>
      <c r="M944" s="94" t="n">
        <v>-0.2340812483465035</v>
      </c>
      <c r="N944" t="n">
        <v>70.2865739725104</v>
      </c>
      <c r="O944" t="n">
        <v>0.9154697551898052</v>
      </c>
      <c r="P944" s="143">
        <f>MAX($E$2:E944)</f>
        <v/>
      </c>
      <c r="Q944" s="144">
        <f>E944/P944-1</f>
        <v/>
      </c>
      <c r="R944" s="94" t="n">
        <v>0.004781079633417784</v>
      </c>
    </row>
    <row r="945">
      <c r="A945" s="375" t="n">
        <v>45839</v>
      </c>
      <c r="B945" s="376" t="n">
        <v>69.33180611529811</v>
      </c>
      <c r="C945" s="376" t="n">
        <v>71.20980782820958</v>
      </c>
      <c r="D945" s="376" t="n">
        <v>69.17771784958661</v>
      </c>
      <c r="E945" s="376" t="n">
        <v>70.69937896728516</v>
      </c>
      <c r="F945" s="93" t="n">
        <v>27512900</v>
      </c>
      <c r="G945" s="94" t="n">
        <v>0.03336143840578787</v>
      </c>
      <c r="H945" s="95" t="n">
        <v>52.33963895077044</v>
      </c>
      <c r="I945" s="376" t="n">
        <v>58.64263824462891</v>
      </c>
      <c r="J945" s="376" t="n">
        <v>68.28545082092285</v>
      </c>
      <c r="K945" s="94" t="n">
        <v>0.6124461792122027</v>
      </c>
      <c r="L945" s="94" t="n">
        <v>0</v>
      </c>
      <c r="M945" s="94" t="n">
        <v>-0.1762198220292103</v>
      </c>
      <c r="N945" t="n">
        <v>73.3332891997282</v>
      </c>
      <c r="O945" t="n">
        <v>1.211222562588274</v>
      </c>
      <c r="P945" s="143">
        <f>MAX($E$2:E945)</f>
        <v/>
      </c>
      <c r="Q945" s="144">
        <f>E945/P945-1</f>
        <v/>
      </c>
      <c r="R945" s="94" t="n">
        <v>-0.0003235167542828821</v>
      </c>
    </row>
    <row r="946">
      <c r="A946" s="375" t="n">
        <v>45840</v>
      </c>
      <c r="B946" s="376" t="n">
        <v>70.46823899843672</v>
      </c>
      <c r="C946" s="376" t="n">
        <v>74.00272464234679</v>
      </c>
      <c r="D946" s="376" t="n">
        <v>70.30451791194886</v>
      </c>
      <c r="E946" s="376" t="n">
        <v>73.56934356689453</v>
      </c>
      <c r="F946" s="93" t="n">
        <v>36882300</v>
      </c>
      <c r="G946" s="94" t="n">
        <v>0.04059391527240153</v>
      </c>
      <c r="H946" s="95" t="n">
        <v>54.4643098197261</v>
      </c>
      <c r="I946" s="376" t="n">
        <v>59.04020538330078</v>
      </c>
      <c r="J946" s="376" t="n">
        <v>68.28204769134521</v>
      </c>
      <c r="K946" s="94" t="n">
        <v>0.622295160681938</v>
      </c>
      <c r="L946" s="94" t="n">
        <v>0</v>
      </c>
      <c r="M946" s="94" t="n">
        <v>-0.1427793592815803</v>
      </c>
      <c r="N946" t="n">
        <v>76.58443786967887</v>
      </c>
      <c r="O946" t="n">
        <v>1.508458427305514</v>
      </c>
      <c r="P946" s="143">
        <f>MAX($E$2:E946)</f>
        <v/>
      </c>
      <c r="Q946" s="144">
        <f>E946/P946-1</f>
        <v/>
      </c>
      <c r="R946" s="94" t="n">
        <v>0.004533304513562708</v>
      </c>
    </row>
    <row r="947">
      <c r="A947" s="375" t="n">
        <v>45841</v>
      </c>
      <c r="B947" s="376" t="n">
        <v>73.45377185118824</v>
      </c>
      <c r="C947" s="376" t="n">
        <v>74.18571135529419</v>
      </c>
      <c r="D947" s="376" t="n">
        <v>72.78925469200701</v>
      </c>
      <c r="E947" s="376" t="n">
        <v>73.56934356689453</v>
      </c>
      <c r="F947" s="93" t="n">
        <v>12022600</v>
      </c>
      <c r="G947" s="94" t="n">
        <v>0</v>
      </c>
      <c r="H947" s="95" t="n">
        <v>54.4643098197261</v>
      </c>
      <c r="I947" s="376" t="n">
        <v>59.41978622436523</v>
      </c>
      <c r="J947" s="376" t="n">
        <v>68.27575607299805</v>
      </c>
      <c r="K947" s="94" t="n">
        <v>0.6233203753725258</v>
      </c>
      <c r="L947" s="94" t="n">
        <v>0</v>
      </c>
      <c r="M947" s="94" t="n">
        <v>-0.1427793592815803</v>
      </c>
      <c r="N947" t="n">
        <v>76.58443786967885</v>
      </c>
      <c r="O947" t="n">
        <v>1.604449730559038</v>
      </c>
      <c r="P947" s="143">
        <f>MAX($E$2:E947)</f>
        <v/>
      </c>
      <c r="Q947" s="144">
        <f>E947/P947-1</f>
        <v/>
      </c>
      <c r="R947" s="94" t="n">
        <v>0.007881428001803137</v>
      </c>
    </row>
    <row r="948">
      <c r="A948" s="375" t="n">
        <v>45845</v>
      </c>
      <c r="B948" s="376" t="n">
        <v>73.23227284825762</v>
      </c>
      <c r="C948" s="376" t="n">
        <v>74.63836240671363</v>
      </c>
      <c r="D948" s="376" t="n">
        <v>73.04928612464678</v>
      </c>
      <c r="E948" s="376" t="n">
        <v>73.70417785644531</v>
      </c>
      <c r="F948" s="93" t="n">
        <v>17296900</v>
      </c>
      <c r="G948" s="94" t="n">
        <v>0.001832751021193735</v>
      </c>
      <c r="H948" s="95" t="n">
        <v>54.56412933916681</v>
      </c>
      <c r="I948" s="376" t="n">
        <v>59.7957494354248</v>
      </c>
      <c r="J948" s="376" t="n">
        <v>68.26639762878418</v>
      </c>
      <c r="K948" s="94" t="n">
        <v>0.6225531509986244</v>
      </c>
      <c r="L948" s="94" t="n">
        <v>0</v>
      </c>
      <c r="M948" s="94" t="n">
        <v>-0.1412082872769153</v>
      </c>
      <c r="N948" t="n">
        <v>76.73895964576666</v>
      </c>
      <c r="O948" t="n">
        <v>1.574220762586371</v>
      </c>
      <c r="P948" s="143">
        <f>MAX($E$2:E948)</f>
        <v/>
      </c>
      <c r="Q948" s="144">
        <f>E948/P948-1</f>
        <v/>
      </c>
      <c r="R948" s="94" t="n">
        <v>-0.007451976322964238</v>
      </c>
    </row>
    <row r="949">
      <c r="A949" s="375" t="n">
        <v>45846</v>
      </c>
      <c r="B949" s="376" t="n">
        <v>73.31894810663663</v>
      </c>
      <c r="C949" s="376" t="n">
        <v>73.48267655476482</v>
      </c>
      <c r="D949" s="376" t="n">
        <v>70.93052455991236</v>
      </c>
      <c r="E949" s="376" t="n">
        <v>71.1905517578125</v>
      </c>
      <c r="F949" s="93" t="n">
        <v>19572400</v>
      </c>
      <c r="G949" s="94" t="n">
        <v>-0.03410425530461292</v>
      </c>
      <c r="H949" s="95" t="n">
        <v>52.70326034170994</v>
      </c>
      <c r="I949" s="376" t="n">
        <v>60.1005835723877</v>
      </c>
      <c r="J949" s="376" t="n">
        <v>68.24049346923829</v>
      </c>
      <c r="K949" s="94" t="n">
        <v>0.6421569441632355</v>
      </c>
      <c r="L949" s="94" t="n">
        <v>-0.03410425530461303</v>
      </c>
      <c r="M949" s="94" t="n">
        <v>-0.1704967391011091</v>
      </c>
      <c r="N949" t="n">
        <v>67.76150617324737</v>
      </c>
      <c r="O949" t="n">
        <v>1.293857504116727</v>
      </c>
      <c r="P949" s="143">
        <f>MAX($E$2:E949)</f>
        <v/>
      </c>
      <c r="Q949" s="144">
        <f>E949/P949-1</f>
        <v/>
      </c>
      <c r="R949" s="94" t="n">
        <v>-0.0005477996564291487</v>
      </c>
    </row>
    <row r="950">
      <c r="A950" s="375" t="n">
        <v>45847</v>
      </c>
      <c r="B950" s="376" t="n">
        <v>71.39279437227557</v>
      </c>
      <c r="C950" s="376" t="n">
        <v>72.15362500772461</v>
      </c>
      <c r="D950" s="376" t="n">
        <v>70.70901155128102</v>
      </c>
      <c r="E950" s="376" t="n">
        <v>70.84384155273438</v>
      </c>
      <c r="F950" s="93" t="n">
        <v>12076700</v>
      </c>
      <c r="G950" s="94" t="n">
        <v>-0.004870171624145048</v>
      </c>
      <c r="H950" s="95" t="n">
        <v>52.44658641869382</v>
      </c>
      <c r="I950" s="376" t="n">
        <v>60.41493911743164</v>
      </c>
      <c r="J950" s="376" t="n">
        <v>68.21162452697754</v>
      </c>
      <c r="K950" s="94" t="n">
        <v>0.6385602511085878</v>
      </c>
      <c r="L950" s="94" t="n">
        <v>-0.03880833335231093</v>
      </c>
      <c r="M950" s="94" t="n">
        <v>-0.1745365623444747</v>
      </c>
      <c r="N950" t="n">
        <v>66.60409199236148</v>
      </c>
      <c r="O950" t="n">
        <v>1.006750570601023</v>
      </c>
      <c r="P950" s="143">
        <f>MAX($E$2:E950)</f>
        <v/>
      </c>
      <c r="Q950" s="144">
        <f>E950/P950-1</f>
        <v/>
      </c>
      <c r="R950" s="94" t="n">
        <v>0.005996687665528189</v>
      </c>
    </row>
    <row r="951">
      <c r="A951" s="375" t="n">
        <v>45848</v>
      </c>
      <c r="B951" s="376" t="n">
        <v>70.42008698974512</v>
      </c>
      <c r="C951" s="376" t="n">
        <v>72.71220415776426</v>
      </c>
      <c r="D951" s="376" t="n">
        <v>70.25635856170683</v>
      </c>
      <c r="E951" s="376" t="n">
        <v>71.86470031738281</v>
      </c>
      <c r="F951" s="93" t="n">
        <v>13033000</v>
      </c>
      <c r="G951" s="94" t="n">
        <v>0.01440998599558641</v>
      </c>
      <c r="H951" s="95" t="n">
        <v>53.20234099450351</v>
      </c>
      <c r="I951" s="376" t="n">
        <v>60.75564353942871</v>
      </c>
      <c r="J951" s="376" t="n">
        <v>68.18748104095459</v>
      </c>
      <c r="K951" s="94" t="n">
        <v>0.6334938710048447</v>
      </c>
      <c r="L951" s="94" t="n">
        <v>-0.02495757489684336</v>
      </c>
      <c r="M951" s="94" t="n">
        <v>-0.16264164576799</v>
      </c>
      <c r="N951" t="n">
        <v>68.31992744218046</v>
      </c>
      <c r="O951" t="n">
        <v>0.8154479206521343</v>
      </c>
      <c r="P951" s="143">
        <f>MAX($E$2:E951)</f>
        <v/>
      </c>
      <c r="Q951" s="144">
        <f>E951/P951-1</f>
        <v/>
      </c>
      <c r="R951" s="94" t="n">
        <v>0.002820123915737272</v>
      </c>
    </row>
    <row r="952">
      <c r="A952" s="375" t="n">
        <v>45849</v>
      </c>
      <c r="B952" s="376" t="n">
        <v>70.96904632810747</v>
      </c>
      <c r="C952" s="376" t="n">
        <v>71.11350179609306</v>
      </c>
      <c r="D952" s="376" t="n">
        <v>69.72667786964315</v>
      </c>
      <c r="E952" s="376" t="n">
        <v>69.94818115234375</v>
      </c>
      <c r="F952" s="93" t="n">
        <v>12771400</v>
      </c>
      <c r="G952" s="94" t="n">
        <v>-0.02666843605518365</v>
      </c>
      <c r="H952" s="95" t="n">
        <v>51.78351776570551</v>
      </c>
      <c r="I952" s="376" t="n">
        <v>61.05361656188965</v>
      </c>
      <c r="J952" s="376" t="n">
        <v>68.12752132415771</v>
      </c>
      <c r="K952" s="94" t="n">
        <v>0.6419203843074283</v>
      </c>
      <c r="L952" s="94" t="n">
        <v>-0.05096043146179818</v>
      </c>
      <c r="M952" s="94" t="n">
        <v>-0.1849726834931003</v>
      </c>
      <c r="N952" t="n">
        <v>61.89095247616682</v>
      </c>
      <c r="O952" t="n">
        <v>0.5049067726469287</v>
      </c>
      <c r="P952" s="143">
        <f>MAX($E$2:E952)</f>
        <v/>
      </c>
      <c r="Q952" s="144">
        <f>E952/P952-1</f>
        <v/>
      </c>
      <c r="R952" s="94" t="n">
        <v>-0.003515241478109665</v>
      </c>
    </row>
    <row r="953">
      <c r="A953" s="375" t="n">
        <v>45852</v>
      </c>
      <c r="B953" s="376" t="n">
        <v>69.66888763539004</v>
      </c>
      <c r="C953" s="376" t="n">
        <v>69.90003107721469</v>
      </c>
      <c r="D953" s="376" t="n">
        <v>68.4072609097539</v>
      </c>
      <c r="E953" s="376" t="n">
        <v>69.58221435546875</v>
      </c>
      <c r="F953" s="93" t="n">
        <v>11385400</v>
      </c>
      <c r="G953" s="94" t="n">
        <v>-0.005231970164855881</v>
      </c>
      <c r="H953" s="95" t="n">
        <v>51.51258794572405</v>
      </c>
      <c r="I953" s="376" t="n">
        <v>61.36608329772949</v>
      </c>
      <c r="J953" s="376" t="n">
        <v>68.06724700927734</v>
      </c>
      <c r="K953" s="94" t="n">
        <v>0.6420052725526623</v>
      </c>
      <c r="L953" s="94" t="n">
        <v>-0.05592577816965782</v>
      </c>
      <c r="M953" s="94" t="n">
        <v>-0.1892368820966069</v>
      </c>
      <c r="N953" t="n">
        <v>60.716025501678</v>
      </c>
      <c r="O953" t="n">
        <v>0.2337101693131407</v>
      </c>
      <c r="P953" s="143">
        <f>MAX($E$2:E953)</f>
        <v/>
      </c>
      <c r="Q953" s="144">
        <f>E953/P953-1</f>
        <v/>
      </c>
      <c r="R953" s="94" t="n">
        <v>0.00190825988047294</v>
      </c>
    </row>
    <row r="954">
      <c r="A954" s="375" t="n">
        <v>45853</v>
      </c>
      <c r="B954" s="376" t="n">
        <v>69.59184452280216</v>
      </c>
      <c r="C954" s="376" t="n">
        <v>70.18894668893364</v>
      </c>
      <c r="D954" s="376" t="n">
        <v>68.93695282457006</v>
      </c>
      <c r="E954" s="376" t="n">
        <v>69.33180999755859</v>
      </c>
      <c r="F954" s="93" t="n">
        <v>9708300</v>
      </c>
      <c r="G954" s="94" t="n">
        <v>-0.003598683373756018</v>
      </c>
      <c r="H954" s="95" t="n">
        <v>51.32721045194463</v>
      </c>
      <c r="I954" s="376" t="n">
        <v>61.66665374755859</v>
      </c>
      <c r="J954" s="376" t="n">
        <v>67.99975421905518</v>
      </c>
      <c r="K954" s="94" t="n">
        <v>0.6225817771970297</v>
      </c>
      <c r="L954" s="94" t="n">
        <v>-0.05932320237535027</v>
      </c>
      <c r="M954" s="94" t="n">
        <v>-0.1921545618490604</v>
      </c>
      <c r="N954" t="n">
        <v>59.87842114023254</v>
      </c>
      <c r="O954" t="n">
        <v>0.008232790556029546</v>
      </c>
      <c r="P954" s="143">
        <f>MAX($E$2:E954)</f>
        <v/>
      </c>
      <c r="Q954" s="144">
        <f>E954/P954-1</f>
        <v/>
      </c>
      <c r="R954" s="94" t="n">
        <v>-0.004273327403079508</v>
      </c>
    </row>
    <row r="955">
      <c r="A955" s="375" t="n">
        <v>45854</v>
      </c>
      <c r="B955" s="376" t="n">
        <v>69.24513197398353</v>
      </c>
      <c r="C955" s="376" t="n">
        <v>70.02522080086959</v>
      </c>
      <c r="D955" s="376" t="n">
        <v>68.52282532755328</v>
      </c>
      <c r="E955" s="376" t="n">
        <v>69.437744140625</v>
      </c>
      <c r="F955" s="93" t="n">
        <v>9008600</v>
      </c>
      <c r="G955" s="94" t="n">
        <v>0.00152792986466288</v>
      </c>
      <c r="H955" s="95" t="n">
        <v>51.405634829664</v>
      </c>
      <c r="I955" s="376" t="n">
        <v>61.93432693481445</v>
      </c>
      <c r="J955" s="376" t="n">
        <v>67.93023391723632</v>
      </c>
      <c r="K955" s="94" t="n">
        <v>0.6211334312437445</v>
      </c>
      <c r="L955" s="94" t="n">
        <v>-0.05788591420326406</v>
      </c>
      <c r="M955" s="94" t="n">
        <v>-0.190920230678078</v>
      </c>
      <c r="N955" t="n">
        <v>60.12901551217009</v>
      </c>
      <c r="O955" t="n">
        <v>-0.1540468407212243</v>
      </c>
      <c r="P955" s="143">
        <f>MAX($E$2:E955)</f>
        <v/>
      </c>
      <c r="Q955" s="144">
        <f>E955/P955-1</f>
        <v/>
      </c>
      <c r="R955" s="94" t="n">
        <v>0.003343123055666197</v>
      </c>
    </row>
    <row r="956">
      <c r="A956" s="375" t="n">
        <v>45855</v>
      </c>
      <c r="B956" s="376" t="n">
        <v>69.45700988828153</v>
      </c>
      <c r="C956" s="376" t="n">
        <v>70.50675868938856</v>
      </c>
      <c r="D956" s="376" t="n">
        <v>69.37996208241593</v>
      </c>
      <c r="E956" s="376" t="n">
        <v>70.28525543212891</v>
      </c>
      <c r="F956" s="93" t="n">
        <v>9180400</v>
      </c>
      <c r="G956" s="94" t="n">
        <v>0.01220534022227926</v>
      </c>
      <c r="H956" s="95" t="n">
        <v>52.03305809210229</v>
      </c>
      <c r="I956" s="376" t="n">
        <v>62.24267700195313</v>
      </c>
      <c r="J956" s="376" t="n">
        <v>67.85836910247802</v>
      </c>
      <c r="K956" s="94" t="n">
        <v>0.6038049264392359</v>
      </c>
      <c r="L956" s="94" t="n">
        <v>-0.04638709125791329</v>
      </c>
      <c r="M956" s="94" t="n">
        <v>-0.1810451368265407</v>
      </c>
      <c r="N956" t="n">
        <v>62.16503020727998</v>
      </c>
      <c r="O956" t="n">
        <v>-0.2205315567316708</v>
      </c>
      <c r="P956" s="143">
        <f>MAX($E$2:E956)</f>
        <v/>
      </c>
      <c r="Q956" s="144">
        <f>E956/P956-1</f>
        <v/>
      </c>
      <c r="R956" s="94" t="n">
        <v>0.006119670944298328</v>
      </c>
    </row>
    <row r="957">
      <c r="A957" s="375" t="n">
        <v>45856</v>
      </c>
      <c r="B957" s="376" t="n">
        <v>70.57417915979865</v>
      </c>
      <c r="C957" s="376" t="n">
        <v>70.57417915979865</v>
      </c>
      <c r="D957" s="376" t="n">
        <v>69.45701527877793</v>
      </c>
      <c r="E957" s="376" t="n">
        <v>69.79409027099609</v>
      </c>
      <c r="F957" s="93" t="n">
        <v>8801000</v>
      </c>
      <c r="G957" s="94" t="n">
        <v>-0.006988167832826742</v>
      </c>
      <c r="H957" s="95" t="n">
        <v>51.66944234929945</v>
      </c>
      <c r="I957" s="376" t="n">
        <v>62.54713546752929</v>
      </c>
      <c r="J957" s="376" t="n">
        <v>67.78381168365479</v>
      </c>
      <c r="K957" s="94" t="n">
        <v>0.6033364803848258</v>
      </c>
      <c r="L957" s="94" t="n">
        <v>-0.05305109831175325</v>
      </c>
      <c r="M957" s="94" t="n">
        <v>-0.1867681308579064</v>
      </c>
      <c r="N957" t="n">
        <v>60.24498440102588</v>
      </c>
      <c r="O957" t="n">
        <v>-0.3084172048230012</v>
      </c>
      <c r="P957" s="143">
        <f>MAX($E$2:E957)</f>
        <v/>
      </c>
      <c r="Q957" s="144">
        <f>E957/P957-1</f>
        <v/>
      </c>
      <c r="R957" s="94" t="n">
        <v>-0.000732380053927173</v>
      </c>
    </row>
    <row r="958">
      <c r="A958" s="375" t="n">
        <v>45859</v>
      </c>
      <c r="B958" s="376" t="n">
        <v>70.23710113828407</v>
      </c>
      <c r="C958" s="376" t="n">
        <v>72.04768055245476</v>
      </c>
      <c r="D958" s="376" t="n">
        <v>70.21784285999524</v>
      </c>
      <c r="E958" s="376" t="n">
        <v>71.28684997558594</v>
      </c>
      <c r="F958" s="93" t="n">
        <v>12743900</v>
      </c>
      <c r="G958" s="94" t="n">
        <v>0.02138805303993174</v>
      </c>
      <c r="H958" s="95" t="n">
        <v>52.77455112280997</v>
      </c>
      <c r="I958" s="376" t="n">
        <v>62.85121681213379</v>
      </c>
      <c r="J958" s="376" t="n">
        <v>67.72164279937743</v>
      </c>
      <c r="K958" s="94" t="n">
        <v>0.6041025055068244</v>
      </c>
      <c r="L958" s="94" t="n">
        <v>-0.03279770497633983</v>
      </c>
      <c r="M958" s="94" t="n">
        <v>-0.1693746845069326</v>
      </c>
      <c r="N958" t="n">
        <v>63.89488628701744</v>
      </c>
      <c r="O958" t="n">
        <v>-0.2777970363242046</v>
      </c>
      <c r="P958" s="143">
        <f>MAX($E$2:E958)</f>
        <v/>
      </c>
      <c r="Q958" s="144">
        <f>E958/P958-1</f>
        <v/>
      </c>
      <c r="R958" s="94" t="n">
        <v>0.001896218977212927</v>
      </c>
    </row>
    <row r="959">
      <c r="A959" s="375" t="n">
        <v>45860</v>
      </c>
      <c r="B959" s="376" t="n">
        <v>71.33501032187051</v>
      </c>
      <c r="C959" s="376" t="n">
        <v>72.7507326478333</v>
      </c>
      <c r="D959" s="376" t="n">
        <v>71.30611922912577</v>
      </c>
      <c r="E959" s="376" t="n">
        <v>72.60626983642578</v>
      </c>
      <c r="F959" s="93" t="n">
        <v>11297500</v>
      </c>
      <c r="G959" s="94" t="n">
        <v>0.01850860097327511</v>
      </c>
      <c r="H959" s="95" t="n">
        <v>53.75133423108577</v>
      </c>
      <c r="I959" s="376" t="n">
        <v>63.17613746643067</v>
      </c>
      <c r="J959" s="376" t="n">
        <v>67.66261421203613</v>
      </c>
      <c r="K959" s="94" t="n">
        <v>0.6043641725348632</v>
      </c>
      <c r="L959" s="94" t="n">
        <v>-0.01489614363731095</v>
      </c>
      <c r="M959" s="94" t="n">
        <v>-0.1540009719841706</v>
      </c>
      <c r="N959" t="n">
        <v>66.79656961253588</v>
      </c>
      <c r="O959" t="n">
        <v>-0.1849338658923467</v>
      </c>
      <c r="P959" s="143">
        <f>MAX($E$2:E959)</f>
        <v/>
      </c>
      <c r="Q959" s="144">
        <f>E959/P959-1</f>
        <v/>
      </c>
      <c r="R959" s="94" t="n">
        <v>0.0001430590672588661</v>
      </c>
    </row>
    <row r="960">
      <c r="A960" s="375" t="n">
        <v>45861</v>
      </c>
      <c r="B960" s="376" t="n">
        <v>73.33820987000215</v>
      </c>
      <c r="C960" s="376" t="n">
        <v>74.35906767507284</v>
      </c>
      <c r="D960" s="376" t="n">
        <v>73.02039315222902</v>
      </c>
      <c r="E960" s="376" t="n">
        <v>73.91605377197266</v>
      </c>
      <c r="F960" s="93" t="n">
        <v>16428100</v>
      </c>
      <c r="G960" s="94" t="n">
        <v>0.018039543120693</v>
      </c>
      <c r="H960" s="95" t="n">
        <v>54.72098374274223</v>
      </c>
      <c r="I960" s="376" t="n">
        <v>63.53892585754394</v>
      </c>
      <c r="J960" s="376" t="n">
        <v>67.63868858337402</v>
      </c>
      <c r="K960" s="94" t="n">
        <v>0.6047967627940795</v>
      </c>
      <c r="L960" s="94" t="n">
        <v>0</v>
      </c>
      <c r="M960" s="94" t="n">
        <v>-0.1387395360382148</v>
      </c>
      <c r="N960" t="n">
        <v>69.42362159918872</v>
      </c>
      <c r="O960" t="n">
        <v>-0.05811946909158205</v>
      </c>
      <c r="P960" s="143">
        <f>MAX($E$2:E960)</f>
        <v/>
      </c>
      <c r="Q960" s="144">
        <f>E960/P960-1</f>
        <v/>
      </c>
      <c r="R960" s="94" t="n">
        <v>0.008507550549488707</v>
      </c>
    </row>
    <row r="961">
      <c r="A961" s="375" t="n">
        <v>45862</v>
      </c>
      <c r="B961" s="376" t="n">
        <v>73.68491861249062</v>
      </c>
      <c r="C961" s="376" t="n">
        <v>74.67688533715911</v>
      </c>
      <c r="D961" s="376" t="n">
        <v>72.62553688753449</v>
      </c>
      <c r="E961" s="376" t="n">
        <v>72.63516235351562</v>
      </c>
      <c r="F961" s="93" t="n">
        <v>10037800</v>
      </c>
      <c r="G961" s="94" t="n">
        <v>-0.01732900165921358</v>
      </c>
      <c r="H961" s="95" t="n">
        <v>53.77272372467045</v>
      </c>
      <c r="I961" s="376" t="n">
        <v>63.79420135498047</v>
      </c>
      <c r="J961" s="376" t="n">
        <v>67.61309391021729</v>
      </c>
      <c r="K961" s="94" t="n">
        <v>0.609036594168319</v>
      </c>
      <c r="L961" s="94" t="n">
        <v>-0.01732900165921358</v>
      </c>
      <c r="M961" s="94" t="n">
        <v>-0.1536643200472235</v>
      </c>
      <c r="N961" t="n">
        <v>64.08374823598623</v>
      </c>
      <c r="O961" t="n">
        <v>-0.08187130435462908</v>
      </c>
      <c r="P961" s="143">
        <f>MAX($E$2:E961)</f>
        <v/>
      </c>
      <c r="Q961" s="144">
        <f>E961/P961-1</f>
        <v/>
      </c>
      <c r="R961" s="94" t="n">
        <v>0.0003310713053847891</v>
      </c>
    </row>
    <row r="962">
      <c r="A962" s="375" t="n">
        <v>45863</v>
      </c>
      <c r="B962" s="376" t="n">
        <v>73.10707303900807</v>
      </c>
      <c r="C962" s="376" t="n">
        <v>73.74269912043881</v>
      </c>
      <c r="D962" s="376" t="n">
        <v>72.7410996049056</v>
      </c>
      <c r="E962" s="376" t="n">
        <v>73.45377349853516</v>
      </c>
      <c r="F962" s="93" t="n">
        <v>7208400</v>
      </c>
      <c r="G962" s="94" t="n">
        <v>0.01127017712214018</v>
      </c>
      <c r="H962" s="95" t="n">
        <v>54.3787518453874</v>
      </c>
      <c r="I962" s="376" t="n">
        <v>64.06948471069336</v>
      </c>
      <c r="J962" s="376" t="n">
        <v>67.59088191986083</v>
      </c>
      <c r="K962" s="94" t="n">
        <v>0.6058554913201585</v>
      </c>
      <c r="L962" s="94" t="n">
        <v>-0.006254125455122495</v>
      </c>
      <c r="M962" s="94" t="n">
        <v>-0.1441259670293688</v>
      </c>
      <c r="N962" t="n">
        <v>65.88951480889924</v>
      </c>
      <c r="O962" t="n">
        <v>-0.06457807642631863</v>
      </c>
      <c r="P962" s="143">
        <f>MAX($E$2:E962)</f>
        <v/>
      </c>
      <c r="Q962" s="144">
        <f>E962/P962-1</f>
        <v/>
      </c>
      <c r="R962" s="94" t="n">
        <v>0.004224296491786017</v>
      </c>
    </row>
    <row r="963">
      <c r="A963" s="375" t="n">
        <v>45866</v>
      </c>
      <c r="B963" s="376" t="n">
        <v>76.08298131789995</v>
      </c>
      <c r="C963" s="376" t="n">
        <v>77.03642421630423</v>
      </c>
      <c r="D963" s="376" t="n">
        <v>74.69614994008677</v>
      </c>
      <c r="E963" s="376" t="n">
        <v>76.31411743164062</v>
      </c>
      <c r="F963" s="93" t="n">
        <v>22631100</v>
      </c>
      <c r="G963" s="94" t="n">
        <v>0.03894073506192997</v>
      </c>
      <c r="H963" s="95" t="n">
        <v>56.49630041399706</v>
      </c>
      <c r="I963" s="376" t="n">
        <v>64.41460350036621</v>
      </c>
      <c r="J963" s="376" t="n">
        <v>67.58969585418701</v>
      </c>
      <c r="K963" s="94" t="n">
        <v>0.3232464276915724</v>
      </c>
      <c r="L963" s="94" t="n">
        <v>0</v>
      </c>
      <c r="M963" s="94" t="n">
        <v>-0.1107976030650739</v>
      </c>
      <c r="N963" t="n">
        <v>71.31617842303586</v>
      </c>
      <c r="O963" t="n">
        <v>0.1079806655261533</v>
      </c>
      <c r="P963" s="143">
        <f>MAX($E$2:E963)</f>
        <v/>
      </c>
      <c r="Q963" s="144">
        <f>E963/P963-1</f>
        <v/>
      </c>
      <c r="R963" s="94" t="n">
        <v>-0.0002511098453120697</v>
      </c>
    </row>
    <row r="964">
      <c r="A964" s="375" t="n">
        <v>45867</v>
      </c>
      <c r="B964" s="376" t="n">
        <v>75.85183642556687</v>
      </c>
      <c r="C964" s="376" t="n">
        <v>76.4393131302507</v>
      </c>
      <c r="D964" s="376" t="n">
        <v>74.8887608241421</v>
      </c>
      <c r="E964" s="376" t="n">
        <v>75.43771362304688</v>
      </c>
      <c r="F964" s="93" t="n">
        <v>12885500</v>
      </c>
      <c r="G964" s="94" t="n">
        <v>-0.01148416358714754</v>
      </c>
      <c r="H964" s="95" t="n">
        <v>55.84748765797409</v>
      </c>
      <c r="I964" s="376" t="n">
        <v>64.72937423706054</v>
      </c>
      <c r="J964" s="376" t="n">
        <v>67.58441188812256</v>
      </c>
      <c r="K964" s="94" t="n">
        <v>0.3214996251158634</v>
      </c>
      <c r="L964" s="94" t="n">
        <v>-0.01148416358714743</v>
      </c>
      <c r="M964" s="94" t="n">
        <v>-0.1210093488535583</v>
      </c>
      <c r="N964" t="n">
        <v>67.75917878148316</v>
      </c>
      <c r="O964" t="n">
        <v>0.1300943883530157</v>
      </c>
      <c r="P964" s="143">
        <f>MAX($E$2:E964)</f>
        <v/>
      </c>
      <c r="Q964" s="144">
        <f>E964/P964-1</f>
        <v/>
      </c>
      <c r="R964" s="94" t="n">
        <v>-0.002637607015591792</v>
      </c>
    </row>
    <row r="965">
      <c r="A965" s="375" t="n">
        <v>45868</v>
      </c>
      <c r="B965" s="376" t="n">
        <v>74.90800669972074</v>
      </c>
      <c r="C965" s="376" t="n">
        <v>75.40881004424016</v>
      </c>
      <c r="D965" s="376" t="n">
        <v>73.15520968926783</v>
      </c>
      <c r="E965" s="376" t="n">
        <v>73.84862518310547</v>
      </c>
      <c r="F965" s="93" t="n">
        <v>14601700</v>
      </c>
      <c r="G965" s="94" t="n">
        <v>-0.02106490724098409</v>
      </c>
      <c r="H965" s="95" t="n">
        <v>54.67106551081685</v>
      </c>
      <c r="I965" s="376" t="n">
        <v>64.9987777709961</v>
      </c>
      <c r="J965" s="376" t="n">
        <v>67.56322715759278</v>
      </c>
      <c r="K965" s="94" t="n">
        <v>0.3160221444563565</v>
      </c>
      <c r="L965" s="94" t="n">
        <v>-0.03230715798742811</v>
      </c>
      <c r="M965" s="94" t="n">
        <v>-0.1395252053856504</v>
      </c>
      <c r="N965" t="n">
        <v>61.7456345180547</v>
      </c>
      <c r="O965" t="n">
        <v>0.01097447026670562</v>
      </c>
      <c r="P965" s="143">
        <f>MAX($E$2:E965)</f>
        <v/>
      </c>
      <c r="Q965" s="144">
        <f>E965/P965-1</f>
        <v/>
      </c>
      <c r="R965" s="94" t="n">
        <v>-0.0012591858238854</v>
      </c>
    </row>
    <row r="966">
      <c r="A966" s="375" t="n">
        <v>45869</v>
      </c>
      <c r="B966" s="376" t="n">
        <v>73.53082300454676</v>
      </c>
      <c r="C966" s="376" t="n">
        <v>73.57897972520128</v>
      </c>
      <c r="D966" s="376" t="n">
        <v>71.56614783432265</v>
      </c>
      <c r="E966" s="376" t="n">
        <v>71.93212127685547</v>
      </c>
      <c r="F966" s="93" t="n">
        <v>16700000</v>
      </c>
      <c r="G966" s="94" t="n">
        <v>-0.02595178856069547</v>
      </c>
      <c r="H966" s="95" t="n">
        <v>53.2522535782922</v>
      </c>
      <c r="I966" s="376" t="n">
        <v>65.24955970764159</v>
      </c>
      <c r="J966" s="376" t="n">
        <v>67.53411727905274</v>
      </c>
      <c r="K966" s="94" t="n">
        <v>0.2969707551007461</v>
      </c>
      <c r="L966" s="94" t="n">
        <v>-0.05742051801503678</v>
      </c>
      <c r="M966" s="94" t="n">
        <v>-0.1618560653172898</v>
      </c>
      <c r="N966" t="n">
        <v>55.3639442170547</v>
      </c>
      <c r="O966" t="n">
        <v>-0.2113433980464698</v>
      </c>
      <c r="P966" s="143">
        <f>MAX($E$2:E966)</f>
        <v/>
      </c>
      <c r="Q966" s="144">
        <f>E966/P966-1</f>
        <v/>
      </c>
      <c r="R966" s="94" t="n">
        <v>-0.003751215188565138</v>
      </c>
    </row>
    <row r="967">
      <c r="A967" s="375" t="n">
        <v>45870</v>
      </c>
      <c r="B967" s="376" t="n">
        <v>70.72827087240049</v>
      </c>
      <c r="C967" s="376" t="n">
        <v>71.94174077728415</v>
      </c>
      <c r="D967" s="376" t="n">
        <v>69.85186859341228</v>
      </c>
      <c r="E967" s="376" t="n">
        <v>71.86470031738281</v>
      </c>
      <c r="F967" s="93" t="n">
        <v>11911600</v>
      </c>
      <c r="G967" s="94" t="n">
        <v>-0.0009372858505474202</v>
      </c>
      <c r="H967" s="95" t="n">
        <v>53.20234099450352</v>
      </c>
      <c r="I967" s="376" t="n">
        <v>65.48980857849121</v>
      </c>
      <c r="J967" s="376" t="n">
        <v>67.50443347930909</v>
      </c>
      <c r="K967" s="94" t="n">
        <v>0.2969492710235498</v>
      </c>
      <c r="L967" s="94" t="n">
        <v>-0.05830398442651752</v>
      </c>
      <c r="M967" s="94" t="n">
        <v>-0.16264164576799</v>
      </c>
      <c r="N967" t="n">
        <v>55.14800616210641</v>
      </c>
      <c r="O967" t="n">
        <v>-0.3682036240425566</v>
      </c>
      <c r="P967" s="143">
        <f>MAX($E$2:E967)</f>
        <v/>
      </c>
      <c r="Q967" s="144">
        <f>E967/P967-1</f>
        <v/>
      </c>
      <c r="R967" s="94" t="n">
        <v>-0.01639049835771056</v>
      </c>
    </row>
    <row r="968">
      <c r="A968" s="375" t="n">
        <v>45873</v>
      </c>
      <c r="B968" s="376" t="n">
        <v>72.25955699452739</v>
      </c>
      <c r="C968" s="376" t="n">
        <v>72.48106760294634</v>
      </c>
      <c r="D968" s="376" t="n">
        <v>71.42168597256067</v>
      </c>
      <c r="E968" s="376" t="n">
        <v>72.05731201171875</v>
      </c>
      <c r="F968" s="93" t="n">
        <v>8839000</v>
      </c>
      <c r="G968" s="94" t="n">
        <v>0.002680198950044899</v>
      </c>
      <c r="H968" s="95" t="n">
        <v>53.34493385297692</v>
      </c>
      <c r="I968" s="376" t="n">
        <v>65.78327644348144</v>
      </c>
      <c r="J968" s="376" t="n">
        <v>67.47831722259521</v>
      </c>
      <c r="K968" s="94" t="n">
        <v>0.2970719047838397</v>
      </c>
      <c r="L968" s="94" t="n">
        <v>-0.055780051754316</v>
      </c>
      <c r="M968" s="94" t="n">
        <v>-0.1603973587861661</v>
      </c>
      <c r="N968" t="n">
        <v>55.67983990654089</v>
      </c>
      <c r="O968" t="n">
        <v>-0.4583795086921034</v>
      </c>
      <c r="P968" s="143">
        <f>MAX($E$2:E968)</f>
        <v/>
      </c>
      <c r="Q968" s="144">
        <f>E968/P968-1</f>
        <v/>
      </c>
      <c r="R968" s="94" t="n">
        <v>0.01519979501824675</v>
      </c>
    </row>
    <row r="969">
      <c r="A969" s="375" t="n">
        <v>45874</v>
      </c>
      <c r="B969" s="376" t="n">
        <v>72.14400410232422</v>
      </c>
      <c r="C969" s="376" t="n">
        <v>72.91446025252209</v>
      </c>
      <c r="D969" s="376" t="n">
        <v>71.49873780008186</v>
      </c>
      <c r="E969" s="376" t="n">
        <v>71.63356781005859</v>
      </c>
      <c r="F969" s="93" t="n">
        <v>6533800</v>
      </c>
      <c r="G969" s="94" t="n">
        <v>-0.005880655131726864</v>
      </c>
      <c r="H969" s="95" t="n">
        <v>53.03123069396278</v>
      </c>
      <c r="I969" s="376" t="n">
        <v>66.04262939453125</v>
      </c>
      <c r="J969" s="376" t="n">
        <v>67.44761978149414</v>
      </c>
      <c r="K969" s="94" t="n">
        <v>0.2710657711999138</v>
      </c>
      <c r="L969" s="94" t="n">
        <v>-0.06133268363844568</v>
      </c>
      <c r="M969" s="94" t="n">
        <v>-0.1653347723668316</v>
      </c>
      <c r="N969" t="n">
        <v>54.15836265938241</v>
      </c>
      <c r="O969" t="n">
        <v>-0.5403214249358705</v>
      </c>
      <c r="P969" s="143">
        <f>MAX($E$2:E969)</f>
        <v/>
      </c>
      <c r="Q969" s="144">
        <f>E969/P969-1</f>
        <v/>
      </c>
      <c r="R969" s="94" t="n">
        <v>-0.005070067634880604</v>
      </c>
    </row>
    <row r="970">
      <c r="A970" s="375" t="n">
        <v>45875</v>
      </c>
      <c r="B970" s="376" t="n">
        <v>71.72023900288949</v>
      </c>
      <c r="C970" s="376" t="n">
        <v>73.17448517356385</v>
      </c>
      <c r="D970" s="376" t="n">
        <v>71.50836120147797</v>
      </c>
      <c r="E970" s="376" t="n">
        <v>72.69294738769531</v>
      </c>
      <c r="F970" s="93" t="n">
        <v>7579800</v>
      </c>
      <c r="G970" s="94" t="n">
        <v>0.0147888707769761</v>
      </c>
      <c r="H970" s="95" t="n">
        <v>53.81550271183981</v>
      </c>
      <c r="I970" s="376" t="n">
        <v>66.3480445098877</v>
      </c>
      <c r="J970" s="376" t="n">
        <v>67.41360095977784</v>
      </c>
      <c r="K970" s="94" t="n">
        <v>0.2749050832629851</v>
      </c>
      <c r="L970" s="94" t="n">
        <v>-0.04745085399420379</v>
      </c>
      <c r="M970" s="94" t="n">
        <v>-0.1529910161733293</v>
      </c>
      <c r="N970" t="n">
        <v>57.29981012722391</v>
      </c>
      <c r="O970" t="n">
        <v>-0.5169259220789075</v>
      </c>
      <c r="P970" s="143">
        <f>MAX($E$2:E970)</f>
        <v/>
      </c>
      <c r="Q970" s="144">
        <f>E970/P970-1</f>
        <v/>
      </c>
      <c r="R970" s="94" t="n">
        <v>0.007659668036719802</v>
      </c>
    </row>
    <row r="971">
      <c r="A971" s="375" t="n">
        <v>45876</v>
      </c>
      <c r="B971" s="376" t="n">
        <v>73.50193555699281</v>
      </c>
      <c r="C971" s="376" t="n">
        <v>73.53082665174496</v>
      </c>
      <c r="D971" s="376" t="n">
        <v>71.26760027471978</v>
      </c>
      <c r="E971" s="376" t="n">
        <v>71.60467529296875</v>
      </c>
      <c r="F971" s="93" t="n">
        <v>8717600</v>
      </c>
      <c r="G971" s="94" t="n">
        <v>-0.01497080712551724</v>
      </c>
      <c r="H971" s="95" t="n">
        <v>53.00984120037809</v>
      </c>
      <c r="I971" s="376" t="n">
        <v>66.57792663574219</v>
      </c>
      <c r="J971" s="376" t="n">
        <v>67.37669780731201</v>
      </c>
      <c r="K971" s="94" t="n">
        <v>0.2762866789769571</v>
      </c>
      <c r="L971" s="94" t="n">
        <v>-0.06171128353663291</v>
      </c>
      <c r="M971" s="94" t="n">
        <v>-0.1656714243037788</v>
      </c>
      <c r="N971" t="n">
        <v>53.26189769167359</v>
      </c>
      <c r="O971" t="n">
        <v>-0.5646133302580632</v>
      </c>
      <c r="P971" s="143">
        <f>MAX($E$2:E971)</f>
        <v/>
      </c>
      <c r="Q971" s="144">
        <f>E971/P971-1</f>
        <v/>
      </c>
      <c r="R971" s="94" t="n">
        <v>-0.0008375656453195601</v>
      </c>
    </row>
    <row r="972">
      <c r="A972" s="375" t="n">
        <v>45877</v>
      </c>
      <c r="B972" s="376" t="n">
        <v>71.46020224731056</v>
      </c>
      <c r="C972" s="376" t="n">
        <v>72.19214171627443</v>
      </c>
      <c r="D972" s="376" t="n">
        <v>70.68011340987688</v>
      </c>
      <c r="E972" s="376" t="n">
        <v>71.45057678222656</v>
      </c>
      <c r="F972" s="93" t="n">
        <v>6739000</v>
      </c>
      <c r="G972" s="94" t="n">
        <v>-0.002152073312415625</v>
      </c>
      <c r="H972" s="95" t="n">
        <v>52.89576013583537</v>
      </c>
      <c r="I972" s="376" t="n">
        <v>66.82481796264648</v>
      </c>
      <c r="J972" s="376" t="n">
        <v>67.34129722595215</v>
      </c>
      <c r="K972" s="94" t="n">
        <v>0.2580483079295984</v>
      </c>
      <c r="L972" s="94" t="n">
        <v>-0.06373054964267444</v>
      </c>
      <c r="M972" s="94" t="n">
        <v>-0.1674669605653204</v>
      </c>
      <c r="N972" t="n">
        <v>52.69562720968519</v>
      </c>
      <c r="O972" t="n">
        <v>-0.5934506335141529</v>
      </c>
      <c r="P972" s="143">
        <f>MAX($E$2:E972)</f>
        <v/>
      </c>
      <c r="Q972" s="144">
        <f>E972/P972-1</f>
        <v/>
      </c>
      <c r="R972" s="94" t="n">
        <v>0.007797641558588975</v>
      </c>
    </row>
    <row r="973">
      <c r="A973" s="375" t="n">
        <v>45880</v>
      </c>
      <c r="B973" s="376" t="n">
        <v>71.57577558370241</v>
      </c>
      <c r="C973" s="376" t="n">
        <v>72.02842227416595</v>
      </c>
      <c r="D973" s="376" t="n">
        <v>70.35267285106734</v>
      </c>
      <c r="E973" s="376" t="n">
        <v>71.28684997558594</v>
      </c>
      <c r="F973" s="93" t="n">
        <v>6985700</v>
      </c>
      <c r="G973" s="94" t="n">
        <v>-0.00229146934866109</v>
      </c>
      <c r="H973" s="95" t="n">
        <v>52.77455112280997</v>
      </c>
      <c r="I973" s="376" t="n">
        <v>67.07494033813477</v>
      </c>
      <c r="J973" s="376" t="n">
        <v>67.31189685821533</v>
      </c>
      <c r="K973" s="94" t="n">
        <v>0.2572879982427245</v>
      </c>
      <c r="L973" s="94" t="n">
        <v>-0.06587598239025594</v>
      </c>
      <c r="M973" s="94" t="n">
        <v>-0.1693746845069326</v>
      </c>
      <c r="N973" t="n">
        <v>52.06228771860346</v>
      </c>
      <c r="O973" t="n">
        <v>-0.6082232184178686</v>
      </c>
      <c r="P973" s="143">
        <f>MAX($E$2:E973)</f>
        <v/>
      </c>
      <c r="Q973" s="144">
        <f>E973/P973-1</f>
        <v/>
      </c>
      <c r="R973" s="94" t="n">
        <v>-0.001977460043015355</v>
      </c>
    </row>
    <row r="974">
      <c r="A974" s="375" t="n">
        <v>45881</v>
      </c>
      <c r="B974" s="376" t="n">
        <v>71.96100737153284</v>
      </c>
      <c r="C974" s="376" t="n">
        <v>72.92408293625319</v>
      </c>
      <c r="D974" s="376" t="n">
        <v>71.59503395442171</v>
      </c>
      <c r="E974" s="376" t="n">
        <v>72.13436126708984</v>
      </c>
      <c r="F974" s="93" t="n">
        <v>6397700</v>
      </c>
      <c r="G974" s="94" t="n">
        <v>0.01188874654714245</v>
      </c>
      <c r="H974" s="95" t="n">
        <v>53.40197438524827</v>
      </c>
      <c r="I974" s="376" t="n">
        <v>67.35827720642089</v>
      </c>
      <c r="J974" s="376" t="n">
        <v>67.2870181274414</v>
      </c>
      <c r="K974" s="94" t="n">
        <v>0.2592151021870375</v>
      </c>
      <c r="L974" s="94" t="n">
        <v>-0.05477041870129529</v>
      </c>
      <c r="M974" s="94" t="n">
        <v>-0.1594995906553953</v>
      </c>
      <c r="N974" t="n">
        <v>55.07241883546401</v>
      </c>
      <c r="O974" t="n">
        <v>-0.547484790293316</v>
      </c>
      <c r="P974" s="143">
        <f>MAX($E$2:E974)</f>
        <v/>
      </c>
      <c r="Q974" s="144">
        <f>E974/P974-1</f>
        <v/>
      </c>
      <c r="R974" s="94" t="n">
        <v>0.01064585806164664</v>
      </c>
    </row>
    <row r="975">
      <c r="A975" s="375" t="n">
        <v>45882</v>
      </c>
      <c r="B975" s="376" t="n">
        <v>72.6929425680254</v>
      </c>
      <c r="C975" s="376" t="n">
        <v>74.82133855872593</v>
      </c>
      <c r="D975" s="376" t="n">
        <v>72.41364978901723</v>
      </c>
      <c r="E975" s="376" t="n">
        <v>74.34942626953125</v>
      </c>
      <c r="F975" s="93" t="n">
        <v>13472600</v>
      </c>
      <c r="G975" s="94" t="n">
        <v>0.03070748757640973</v>
      </c>
      <c r="H975" s="95" t="n">
        <v>55.04181485023904</v>
      </c>
      <c r="I975" s="376" t="n">
        <v>67.65933448791503</v>
      </c>
      <c r="J975" s="376" t="n">
        <v>67.27970218658447</v>
      </c>
      <c r="K975" s="94" t="n">
        <v>0.2783354593188108</v>
      </c>
      <c r="L975" s="94" t="n">
        <v>-0.0257447930767104</v>
      </c>
      <c r="M975" s="94" t="n">
        <v>-0.1336899347774786</v>
      </c>
      <c r="N975" t="n">
        <v>61.82028495134404</v>
      </c>
      <c r="O975" t="n">
        <v>-0.3540796193027902</v>
      </c>
      <c r="P975" s="143">
        <f>MAX($E$2:E975)</f>
        <v/>
      </c>
      <c r="Q975" s="144">
        <f>E975/P975-1</f>
        <v/>
      </c>
      <c r="R975" s="94" t="n">
        <v>0.003423258482342151</v>
      </c>
    </row>
    <row r="976">
      <c r="A976" s="375" t="n">
        <v>45883</v>
      </c>
      <c r="B976" s="376" t="n">
        <v>73.10707139943661</v>
      </c>
      <c r="C976" s="376" t="n">
        <v>73.77158855861784</v>
      </c>
      <c r="D976" s="376" t="n">
        <v>72.56774407382419</v>
      </c>
      <c r="E976" s="376" t="n">
        <v>73.56934356689453</v>
      </c>
      <c r="F976" s="93" t="n">
        <v>7990500</v>
      </c>
      <c r="G976" s="94" t="n">
        <v>-0.01049211462384081</v>
      </c>
      <c r="H976" s="95" t="n">
        <v>54.46430981972611</v>
      </c>
      <c r="I976" s="376" t="n">
        <v>67.92938087463379</v>
      </c>
      <c r="J976" s="376" t="n">
        <v>67.27326847076417</v>
      </c>
      <c r="K976" s="94" t="n">
        <v>0.2806451163014282</v>
      </c>
      <c r="L976" s="94" t="n">
        <v>-0.03596679038062311</v>
      </c>
      <c r="M976" s="94" t="n">
        <v>-0.1427793592815803</v>
      </c>
      <c r="N976" t="n">
        <v>58.4886030869248</v>
      </c>
      <c r="O976" t="n">
        <v>-0.277996432967583</v>
      </c>
      <c r="P976" s="143">
        <f>MAX($E$2:E976)</f>
        <v/>
      </c>
      <c r="Q976" s="144">
        <f>E976/P976-1</f>
        <v/>
      </c>
      <c r="R976" s="94" t="n">
        <v>9.295674690901201e-05</v>
      </c>
    </row>
    <row r="977">
      <c r="A977" s="375" t="n">
        <v>45884</v>
      </c>
      <c r="B977" s="376" t="n">
        <v>73.90641906777461</v>
      </c>
      <c r="C977" s="376" t="n">
        <v>74.63835857697769</v>
      </c>
      <c r="D977" s="376" t="n">
        <v>73.34784080718005</v>
      </c>
      <c r="E977" s="376" t="n">
        <v>74.1279296875</v>
      </c>
      <c r="F977" s="93" t="n">
        <v>9767700</v>
      </c>
      <c r="G977" s="94" t="n">
        <v>0.007592647881893289</v>
      </c>
      <c r="H977" s="95" t="n">
        <v>54.87783814631764</v>
      </c>
      <c r="I977" s="376" t="n">
        <v>68.20289443969726</v>
      </c>
      <c r="J977" s="376" t="n">
        <v>67.27052738189697</v>
      </c>
      <c r="K977" s="94" t="n">
        <v>0.2789200162342102</v>
      </c>
      <c r="L977" s="94" t="n">
        <v>-0.02864722567353173</v>
      </c>
      <c r="M977" s="94" t="n">
        <v>-0.1362707847995143</v>
      </c>
      <c r="N977" t="n">
        <v>60.14494543623694</v>
      </c>
      <c r="O977" t="n">
        <v>-0.19337247303049</v>
      </c>
      <c r="P977" s="143">
        <f>MAX($E$2:E977)</f>
        <v/>
      </c>
      <c r="Q977" s="144">
        <f>E977/P977-1</f>
        <v/>
      </c>
      <c r="R977" s="94" t="n">
        <v>-0.002341160414427668</v>
      </c>
    </row>
    <row r="978">
      <c r="A978" s="375" t="n">
        <v>45887</v>
      </c>
      <c r="B978" s="376" t="n">
        <v>74.26276183447138</v>
      </c>
      <c r="C978" s="376" t="n">
        <v>75.37030026981874</v>
      </c>
      <c r="D978" s="376" t="n">
        <v>74.01236011528445</v>
      </c>
      <c r="E978" s="376" t="n">
        <v>74.57094573974609</v>
      </c>
      <c r="F978" s="93" t="n">
        <v>9069100</v>
      </c>
      <c r="G978" s="94" t="n">
        <v>0.005976371579696105</v>
      </c>
      <c r="H978" s="95" t="n">
        <v>55.20580849857046</v>
      </c>
      <c r="I978" s="376" t="n">
        <v>68.48719436645507</v>
      </c>
      <c r="J978" s="376" t="n">
        <v>67.26971725463868</v>
      </c>
      <c r="K978" s="94" t="n">
        <v>0.270810378193087</v>
      </c>
      <c r="L978" s="94" t="n">
        <v>-0.02284206055918803</v>
      </c>
      <c r="M978" s="94" t="n">
        <v>-0.1311088180652368</v>
      </c>
      <c r="N978" t="n">
        <v>61.45843348631742</v>
      </c>
      <c r="O978" t="n">
        <v>-0.1147661262650648</v>
      </c>
      <c r="P978" s="143">
        <f>MAX($E$2:E978)</f>
        <v/>
      </c>
      <c r="Q978" s="144">
        <f>E978/P978-1</f>
        <v/>
      </c>
      <c r="R978" s="94" t="n">
        <v>-0.0002177724427001593</v>
      </c>
    </row>
    <row r="979">
      <c r="A979" s="375" t="n">
        <v>45888</v>
      </c>
      <c r="B979" s="376" t="n">
        <v>75.31250391949263</v>
      </c>
      <c r="C979" s="376" t="n">
        <v>75.88072230610062</v>
      </c>
      <c r="D979" s="376" t="n">
        <v>73.84863233885406</v>
      </c>
      <c r="E979" s="376" t="n">
        <v>74.04124450683594</v>
      </c>
      <c r="F979" s="93" t="n">
        <v>7684800</v>
      </c>
      <c r="G979" s="94" t="n">
        <v>-0.007103319230506</v>
      </c>
      <c r="H979" s="95" t="n">
        <v>54.81366401742692</v>
      </c>
      <c r="I979" s="376" t="n">
        <v>68.75839637756347</v>
      </c>
      <c r="J979" s="376" t="n">
        <v>67.26867362976074</v>
      </c>
      <c r="K979" s="94" t="n">
        <v>0.2658082070008383</v>
      </c>
      <c r="L979" s="94" t="n">
        <v>-0.02978312534165961</v>
      </c>
      <c r="M979" s="94" t="n">
        <v>-0.1372808295070911</v>
      </c>
      <c r="N979" t="n">
        <v>58.95652842806868</v>
      </c>
      <c r="O979" t="n">
        <v>-0.1058671469205346</v>
      </c>
      <c r="P979" s="143">
        <f>MAX($E$2:E979)</f>
        <v/>
      </c>
      <c r="Q979" s="144">
        <f>E979/P979-1</f>
        <v/>
      </c>
      <c r="R979" s="94" t="n">
        <v>-0.00542510939077756</v>
      </c>
    </row>
    <row r="980">
      <c r="A980" s="375" t="n">
        <v>45889</v>
      </c>
      <c r="B980" s="376" t="n">
        <v>73.85826799264258</v>
      </c>
      <c r="C980" s="376" t="n">
        <v>74.69613903804539</v>
      </c>
      <c r="D980" s="376" t="n">
        <v>73.34783911494121</v>
      </c>
      <c r="E980" s="376" t="n">
        <v>73.44414520263672</v>
      </c>
      <c r="F980" s="93" t="n">
        <v>6282600</v>
      </c>
      <c r="G980" s="94" t="n">
        <v>-0.008064414748513493</v>
      </c>
      <c r="H980" s="95" t="n">
        <v>54.37162389690472</v>
      </c>
      <c r="I980" s="376" t="n">
        <v>69.03479904174804</v>
      </c>
      <c r="J980" s="376" t="n">
        <v>67.27387847900391</v>
      </c>
      <c r="K980" s="94" t="n">
        <v>0.2598423944176539</v>
      </c>
      <c r="L980" s="94" t="n">
        <v>-0.03760735661491099</v>
      </c>
      <c r="M980" s="94" t="n">
        <v>-0.1442381547094393</v>
      </c>
      <c r="N980" t="n">
        <v>56.18018754605375</v>
      </c>
      <c r="O980" t="n">
        <v>-0.145185789034352</v>
      </c>
      <c r="P980" s="143">
        <f>MAX($E$2:E980)</f>
        <v/>
      </c>
      <c r="Q980" s="144">
        <f>E980/P980-1</f>
        <v/>
      </c>
      <c r="R980" s="94" t="n">
        <v>-0.002656910544264424</v>
      </c>
    </row>
    <row r="981">
      <c r="A981" s="375" t="n">
        <v>45890</v>
      </c>
      <c r="B981" s="376" t="n">
        <v>72.90481644868227</v>
      </c>
      <c r="C981" s="376" t="n">
        <v>73.41525266400592</v>
      </c>
      <c r="D981" s="376" t="n">
        <v>72.35586367718642</v>
      </c>
      <c r="E981" s="376" t="n">
        <v>73.36709594726562</v>
      </c>
      <c r="F981" s="93" t="n">
        <v>6354900</v>
      </c>
      <c r="G981" s="94" t="n">
        <v>-0.001049086420143008</v>
      </c>
      <c r="H981" s="95" t="n">
        <v>54.31458336463335</v>
      </c>
      <c r="I981" s="376" t="n">
        <v>69.27190818786622</v>
      </c>
      <c r="J981" s="376" t="n">
        <v>67.2754780960083</v>
      </c>
      <c r="K981" s="94" t="n">
        <v>0.2519082457271505</v>
      </c>
      <c r="L981" s="94" t="n">
        <v>-0.03861698966793192</v>
      </c>
      <c r="M981" s="94" t="n">
        <v>-0.1451359228402102</v>
      </c>
      <c r="N981" t="n">
        <v>55.81493113890463</v>
      </c>
      <c r="O981" t="n">
        <v>-0.1791458669913664</v>
      </c>
      <c r="P981" s="143">
        <f>MAX($E$2:E981)</f>
        <v/>
      </c>
      <c r="Q981" s="144">
        <f>E981/P981-1</f>
        <v/>
      </c>
      <c r="R981" s="94" t="n">
        <v>-0.004011979513716901</v>
      </c>
    </row>
    <row r="982">
      <c r="A982" s="375" t="n">
        <v>45891</v>
      </c>
      <c r="B982" s="376" t="n">
        <v>73.71380715836422</v>
      </c>
      <c r="C982" s="376" t="n">
        <v>76.21780224382185</v>
      </c>
      <c r="D982" s="376" t="n">
        <v>73.43451435320048</v>
      </c>
      <c r="E982" s="376" t="n">
        <v>75.48586273193359</v>
      </c>
      <c r="F982" s="93" t="n">
        <v>10985900</v>
      </c>
      <c r="G982" s="94" t="n">
        <v>0.02887897847545839</v>
      </c>
      <c r="H982" s="95" t="n">
        <v>55.88313304852409</v>
      </c>
      <c r="I982" s="376" t="n">
        <v>69.56603149414063</v>
      </c>
      <c r="J982" s="376" t="n">
        <v>67.28326763153076</v>
      </c>
      <c r="K982" s="94" t="n">
        <v>0.2689595379157964</v>
      </c>
      <c r="L982" s="94" t="n">
        <v>-0.01085323040588071</v>
      </c>
      <c r="M982" s="94" t="n">
        <v>-0.12044832155647</v>
      </c>
      <c r="N982" t="n">
        <v>62.94867890220895</v>
      </c>
      <c r="O982" t="n">
        <v>-0.06742689782766176</v>
      </c>
      <c r="P982" s="143">
        <f>MAX($E$2:E982)</f>
        <v/>
      </c>
      <c r="Q982" s="144">
        <f>E982/P982-1</f>
        <v/>
      </c>
      <c r="R982" s="94" t="n">
        <v>0.01535690781484722</v>
      </c>
    </row>
    <row r="983">
      <c r="A983" s="375" t="n">
        <v>45894</v>
      </c>
      <c r="B983" s="376" t="n">
        <v>75.57253890292351</v>
      </c>
      <c r="C983" s="376" t="n">
        <v>77.20976438409234</v>
      </c>
      <c r="D983" s="376" t="n">
        <v>75.49549109617402</v>
      </c>
      <c r="E983" s="376" t="n">
        <v>76.24668884277344</v>
      </c>
      <c r="F983" s="93" t="n">
        <v>12488900</v>
      </c>
      <c r="G983" s="94" t="n">
        <v>0.0100790543196374</v>
      </c>
      <c r="H983" s="95" t="n">
        <v>56.44638218207169</v>
      </c>
      <c r="I983" s="376" t="n">
        <v>69.88134239196778</v>
      </c>
      <c r="J983" s="376" t="n">
        <v>67.29898105621338</v>
      </c>
      <c r="K983" s="94" t="n">
        <v>0.232746737076129</v>
      </c>
      <c r="L983" s="94" t="n">
        <v>-0.0008835663850477182</v>
      </c>
      <c r="M983" s="94" t="n">
        <v>-0.1115832724125095</v>
      </c>
      <c r="N983" t="n">
        <v>65.12603978855284</v>
      </c>
      <c r="O983" t="n">
        <v>0.04323746096128822</v>
      </c>
      <c r="P983" s="143">
        <f>MAX($E$2:E983)</f>
        <v/>
      </c>
      <c r="Q983" s="144">
        <f>E983/P983-1</f>
        <v/>
      </c>
      <c r="R983" s="94" t="n">
        <v>-0.004401115445204051</v>
      </c>
    </row>
    <row r="984">
      <c r="A984" s="375" t="n">
        <v>45895</v>
      </c>
      <c r="B984" s="376" t="n">
        <v>76.08297036719941</v>
      </c>
      <c r="C984" s="376" t="n">
        <v>76.54524987582896</v>
      </c>
      <c r="D984" s="376" t="n">
        <v>75.48586086598696</v>
      </c>
      <c r="E984" s="376" t="n">
        <v>75.74589538574219</v>
      </c>
      <c r="F984" s="93" t="n">
        <v>6874800</v>
      </c>
      <c r="G984" s="94" t="n">
        <v>-0.006568068261481153</v>
      </c>
      <c r="H984" s="95" t="n">
        <v>56.07563849078618</v>
      </c>
      <c r="I984" s="376" t="n">
        <v>70.23036102294923</v>
      </c>
      <c r="J984" s="376" t="n">
        <v>67.30844955444336</v>
      </c>
      <c r="K984" s="94" t="n">
        <v>0.2301531176725238</v>
      </c>
      <c r="L984" s="94" t="n">
        <v>-0.007445831322198448</v>
      </c>
      <c r="M984" s="94" t="n">
        <v>-0.1174184541239459</v>
      </c>
      <c r="N984" t="n">
        <v>62.52159768512777</v>
      </c>
      <c r="O984" t="n">
        <v>0.06682744147887676</v>
      </c>
      <c r="P984" s="143">
        <f>MAX($E$2:E984)</f>
        <v/>
      </c>
      <c r="Q984" s="144">
        <f>E984/P984-1</f>
        <v/>
      </c>
      <c r="R984" s="94" t="n">
        <v>0.004186966614810217</v>
      </c>
    </row>
    <row r="985">
      <c r="A985" s="375" t="n">
        <v>45896</v>
      </c>
      <c r="B985" s="376" t="n">
        <v>76.0444505016555</v>
      </c>
      <c r="C985" s="376" t="n">
        <v>76.57414503471156</v>
      </c>
      <c r="D985" s="376" t="n">
        <v>74.7828237836106</v>
      </c>
      <c r="E985" s="376" t="n">
        <v>75.17768096923828</v>
      </c>
      <c r="F985" s="93" t="n">
        <v>12636700</v>
      </c>
      <c r="G985" s="94" t="n">
        <v>-0.007501586899332668</v>
      </c>
      <c r="H985" s="95" t="n">
        <v>55.65498221571199</v>
      </c>
      <c r="I985" s="376" t="n">
        <v>70.54162704467774</v>
      </c>
      <c r="J985" s="376" t="n">
        <v>67.32767295837402</v>
      </c>
      <c r="K985" s="94" t="n">
        <v>0.2181752377879104</v>
      </c>
      <c r="L985" s="94" t="n">
        <v>-0.01489156267082981</v>
      </c>
      <c r="M985" s="94" t="n">
        <v>-0.1240392162860825</v>
      </c>
      <c r="N985" t="n">
        <v>59.60881035195909</v>
      </c>
      <c r="O985" t="n">
        <v>0.03014930146488126</v>
      </c>
      <c r="P985" s="143">
        <f>MAX($E$2:E985)</f>
        <v/>
      </c>
      <c r="Q985" s="144">
        <f>E985/P985-1</f>
        <v/>
      </c>
      <c r="R985" s="94" t="n">
        <v>0.00227864502176045</v>
      </c>
    </row>
    <row r="986">
      <c r="A986" s="375" t="n">
        <v>45897</v>
      </c>
      <c r="B986" s="376" t="n">
        <v>75.67848008301894</v>
      </c>
      <c r="C986" s="376" t="n">
        <v>75.75552789209247</v>
      </c>
      <c r="D986" s="376" t="n">
        <v>74.85023450468715</v>
      </c>
      <c r="E986" s="376" t="n">
        <v>75.0428466796875</v>
      </c>
      <c r="F986" s="93" t="n">
        <v>7478600</v>
      </c>
      <c r="G986" s="94" t="n">
        <v>-0.001793541484818584</v>
      </c>
      <c r="H986" s="95" t="n">
        <v>55.55516269627127</v>
      </c>
      <c r="I986" s="376" t="n">
        <v>70.88679321289062</v>
      </c>
      <c r="J986" s="376" t="n">
        <v>67.34338096618653</v>
      </c>
      <c r="K986" s="94" t="n">
        <v>0.1941505281462814</v>
      </c>
      <c r="L986" s="94" t="n">
        <v>-0.01665839552022452</v>
      </c>
      <c r="M986" s="94" t="n">
        <v>-0.1256102882907475</v>
      </c>
      <c r="N986" t="n">
        <v>58.90748110756358</v>
      </c>
      <c r="O986" t="n">
        <v>-0.01479240931300319</v>
      </c>
      <c r="P986" s="143">
        <f>MAX($E$2:E986)</f>
        <v/>
      </c>
      <c r="Q986" s="144">
        <f>E986/P986-1</f>
        <v/>
      </c>
      <c r="R986" s="94" t="n">
        <v>0.003541316007178885</v>
      </c>
    </row>
    <row r="987">
      <c r="A987" s="375" t="n">
        <v>45898</v>
      </c>
      <c r="B987" s="376" t="n">
        <v>74.87911911607496</v>
      </c>
      <c r="C987" s="376" t="n">
        <v>76.20816064300153</v>
      </c>
      <c r="D987" s="376" t="n">
        <v>74.272384204416</v>
      </c>
      <c r="E987" s="376" t="n">
        <v>74.51315307617188</v>
      </c>
      <c r="F987" s="93" t="n">
        <v>14208800</v>
      </c>
      <c r="G987" s="94" t="n">
        <v>-0.007058548908419837</v>
      </c>
      <c r="H987" s="95" t="n">
        <v>55.16302386326441</v>
      </c>
      <c r="I987" s="376" t="n">
        <v>71.23080375671387</v>
      </c>
      <c r="J987" s="376" t="n">
        <v>67.35663002014161</v>
      </c>
      <c r="K987" s="94" t="n">
        <v>0.1966576759866249</v>
      </c>
      <c r="L987" s="94" t="n">
        <v>-0.02359936032912913</v>
      </c>
      <c r="M987" s="94" t="n">
        <v>-0.1317822108358664</v>
      </c>
      <c r="N987" t="n">
        <v>56.11433057922319</v>
      </c>
      <c r="O987" t="n">
        <v>-0.08772293147294508</v>
      </c>
      <c r="P987" s="143">
        <f>MAX($E$2:E987)</f>
        <v/>
      </c>
      <c r="Q987" s="144">
        <f>E987/P987-1</f>
        <v/>
      </c>
      <c r="R987" s="94" t="n">
        <v>-0.005963861991750918</v>
      </c>
    </row>
    <row r="988">
      <c r="A988" s="375" t="n">
        <v>45902</v>
      </c>
      <c r="B988" s="376" t="n">
        <v>73.22560836862144</v>
      </c>
      <c r="C988" s="376" t="n">
        <v>73.62252491851012</v>
      </c>
      <c r="D988" s="376" t="n">
        <v>71.63795694080282</v>
      </c>
      <c r="E988" s="376" t="n">
        <v>71.918701171875</v>
      </c>
      <c r="F988" s="93" t="n">
        <v>15078700</v>
      </c>
      <c r="G988" s="94" t="n">
        <v>-0.0348187104851766</v>
      </c>
      <c r="H988" s="95" t="n">
        <v>53.24231850588252</v>
      </c>
      <c r="I988" s="376" t="n">
        <v>71.51753196716308</v>
      </c>
      <c r="J988" s="376" t="n">
        <v>67.35349727630616</v>
      </c>
      <c r="K988" s="94" t="n">
        <v>0.2357950648700184</v>
      </c>
      <c r="L988" s="94" t="n">
        <v>-0.05759637151937036</v>
      </c>
      <c r="M988" s="94" t="n">
        <v>-0.1620124346748525</v>
      </c>
      <c r="N988" t="n">
        <v>44.88754720990607</v>
      </c>
      <c r="O988" t="n">
        <v>-0.3059412726887949</v>
      </c>
      <c r="P988" s="143">
        <f>MAX($E$2:E988)</f>
        <v/>
      </c>
      <c r="Q988" s="144">
        <f>E988/P988-1</f>
        <v/>
      </c>
      <c r="R988" s="94" t="n">
        <v>-0.007410144659136142</v>
      </c>
    </row>
    <row r="989">
      <c r="A989" s="375" t="n">
        <v>45903</v>
      </c>
      <c r="B989" s="376" t="n">
        <v>72.02519575163655</v>
      </c>
      <c r="C989" s="376" t="n">
        <v>72.78029741309759</v>
      </c>
      <c r="D989" s="376" t="n">
        <v>71.55083834125924</v>
      </c>
      <c r="E989" s="376" t="n">
        <v>72.35433959960938</v>
      </c>
      <c r="F989" s="93" t="n">
        <v>8300100</v>
      </c>
      <c r="G989" s="94" t="n">
        <v>0.006057373404078303</v>
      </c>
      <c r="H989" s="95" t="n">
        <v>53.56482710997152</v>
      </c>
      <c r="I989" s="376" t="n">
        <v>71.79390419006347</v>
      </c>
      <c r="J989" s="376" t="n">
        <v>67.35225860595703</v>
      </c>
      <c r="K989" s="94" t="n">
        <v>0.2356483105230185</v>
      </c>
      <c r="L989" s="94" t="n">
        <v>-0.05188788084430485</v>
      </c>
      <c r="M989" s="94" t="n">
        <v>-0.1569364310837036</v>
      </c>
      <c r="N989" t="n">
        <v>46.81179985301943</v>
      </c>
      <c r="O989" t="n">
        <v>-0.4097132499681237</v>
      </c>
      <c r="P989" s="143">
        <f>MAX($E$2:E989)</f>
        <v/>
      </c>
      <c r="Q989" s="144">
        <f>E989/P989-1</f>
        <v/>
      </c>
      <c r="R989" s="94" t="n">
        <v>0.005419573443143255</v>
      </c>
    </row>
    <row r="990">
      <c r="A990" s="375" t="n">
        <v>45904</v>
      </c>
      <c r="B990" s="376" t="n">
        <v>72.36402312612802</v>
      </c>
      <c r="C990" s="376" t="n">
        <v>73.35146206482274</v>
      </c>
      <c r="D990" s="376" t="n">
        <v>72.13168585570608</v>
      </c>
      <c r="E990" s="376" t="n">
        <v>72.94486999511719</v>
      </c>
      <c r="F990" s="93" t="n">
        <v>11096200</v>
      </c>
      <c r="G990" s="94" t="n">
        <v>0.008161644467707951</v>
      </c>
      <c r="H990" s="95" t="n">
        <v>54.00200418481735</v>
      </c>
      <c r="I990" s="376" t="n">
        <v>72.06975959777832</v>
      </c>
      <c r="J990" s="376" t="n">
        <v>67.35463558197021</v>
      </c>
      <c r="K990" s="94" t="n">
        <v>0.2314953659660521</v>
      </c>
      <c r="L990" s="94" t="n">
        <v>-0.04414972681223095</v>
      </c>
      <c r="M990" s="94" t="n">
        <v>-0.1500556459705318</v>
      </c>
      <c r="N990" t="n">
        <v>49.39131545313511</v>
      </c>
      <c r="O990" t="n">
        <v>-0.425493902101939</v>
      </c>
      <c r="P990" s="143">
        <f>MAX($E$2:E990)</f>
        <v/>
      </c>
      <c r="Q990" s="144">
        <f>E990/P990-1</f>
        <v/>
      </c>
      <c r="R990" s="94" t="n">
        <v>0.008357412484973237</v>
      </c>
    </row>
    <row r="991">
      <c r="A991" s="375" t="n">
        <v>45905</v>
      </c>
      <c r="B991" s="376" t="n">
        <v>72.41241800495015</v>
      </c>
      <c r="C991" s="376" t="n">
        <v>73.00294764903971</v>
      </c>
      <c r="D991" s="376" t="n">
        <v>71.27975830600634</v>
      </c>
      <c r="E991" s="376" t="n">
        <v>71.55082702636719</v>
      </c>
      <c r="F991" s="93" t="n">
        <v>13758400</v>
      </c>
      <c r="G991" s="94" t="n">
        <v>-0.01911091169047685</v>
      </c>
      <c r="H991" s="95" t="n">
        <v>52.96997665173255</v>
      </c>
      <c r="I991" s="376" t="n">
        <v>72.32909828186035</v>
      </c>
      <c r="J991" s="376" t="n">
        <v>67.35402004241944</v>
      </c>
      <c r="K991" s="94" t="n">
        <v>0.2355425171825753</v>
      </c>
      <c r="L991" s="94" t="n">
        <v>-0.06241689697244057</v>
      </c>
      <c r="M991" s="94" t="n">
        <v>-0.1662988574622083</v>
      </c>
      <c r="N991" t="n">
        <v>43.9700751364684</v>
      </c>
      <c r="O991" t="n">
        <v>-0.5109770975588886</v>
      </c>
      <c r="P991" s="143">
        <f>MAX($E$2:E991)</f>
        <v/>
      </c>
      <c r="Q991" s="144">
        <f>E991/P991-1</f>
        <v/>
      </c>
      <c r="R991" s="94" t="n">
        <v>-0.002896237978525229</v>
      </c>
    </row>
    <row r="992">
      <c r="A992" s="375" t="n">
        <v>45908</v>
      </c>
      <c r="B992" s="376" t="n">
        <v>71.88966205634026</v>
      </c>
      <c r="C992" s="376" t="n">
        <v>72.1994475297751</v>
      </c>
      <c r="D992" s="376" t="n">
        <v>71.35721481174835</v>
      </c>
      <c r="E992" s="376" t="n">
        <v>71.78317260742188</v>
      </c>
      <c r="F992" s="93" t="n">
        <v>13793300</v>
      </c>
      <c r="G992" s="94" t="n">
        <v>0.003247280160284749</v>
      </c>
      <c r="H992" s="95" t="n">
        <v>53.14198500600447</v>
      </c>
      <c r="I992" s="376" t="n">
        <v>72.56014678955079</v>
      </c>
      <c r="J992" s="376" t="n">
        <v>67.34992553710937</v>
      </c>
      <c r="K992" s="94" t="n">
        <v>0.2356475966082665</v>
      </c>
      <c r="L992" s="94" t="n">
        <v>-0.05937230196336096</v>
      </c>
      <c r="M992" s="94" t="n">
        <v>-0.1635915962824387</v>
      </c>
      <c r="N992" t="n">
        <v>45.05260066948509</v>
      </c>
      <c r="O992" t="n">
        <v>-0.5307103885742742</v>
      </c>
      <c r="P992" s="143">
        <f>MAX($E$2:E992)</f>
        <v/>
      </c>
      <c r="Q992" s="144">
        <f>E992/P992-1</f>
        <v/>
      </c>
      <c r="R992" s="94" t="n">
        <v>0.002456656294075321</v>
      </c>
    </row>
    <row r="993">
      <c r="A993" s="375" t="n">
        <v>45909</v>
      </c>
      <c r="B993" s="376" t="n">
        <v>71.62827560439858</v>
      </c>
      <c r="C993" s="376" t="n">
        <v>72.17040571797112</v>
      </c>
      <c r="D993" s="376" t="n">
        <v>70.71828493801893</v>
      </c>
      <c r="E993" s="376" t="n">
        <v>71.25072479248047</v>
      </c>
      <c r="F993" s="93" t="n">
        <v>8740200</v>
      </c>
      <c r="G993" s="94" t="n">
        <v>-0.007417446117258364</v>
      </c>
      <c r="H993" s="95" t="n">
        <v>52.74780719565828</v>
      </c>
      <c r="I993" s="376" t="n">
        <v>72.5975619506836</v>
      </c>
      <c r="J993" s="376" t="n">
        <v>67.3515503692627</v>
      </c>
      <c r="K993" s="94" t="n">
        <v>0.2371038792287717</v>
      </c>
      <c r="L993" s="94" t="n">
        <v>-0.06634935722994839</v>
      </c>
      <c r="M993" s="94" t="n">
        <v>-0.1697956105490357</v>
      </c>
      <c r="N993" t="n">
        <v>43.00221188009289</v>
      </c>
      <c r="O993" t="n">
        <v>-0.5557961930586743</v>
      </c>
      <c r="P993" s="143">
        <f>MAX($E$2:E993)</f>
        <v/>
      </c>
      <c r="Q993" s="144">
        <f>E993/P993-1</f>
        <v/>
      </c>
      <c r="R993" s="94" t="n">
        <v>0.002311904491751893</v>
      </c>
    </row>
    <row r="994">
      <c r="A994" s="375" t="n">
        <v>45910</v>
      </c>
      <c r="B994" s="376" t="n">
        <v>72.84805482806581</v>
      </c>
      <c r="C994" s="376" t="n">
        <v>73.05135083895628</v>
      </c>
      <c r="D994" s="376" t="n">
        <v>70.98934211203772</v>
      </c>
      <c r="E994" s="376" t="n">
        <v>71.87997436523438</v>
      </c>
      <c r="F994" s="93" t="n">
        <v>11359300</v>
      </c>
      <c r="G994" s="94" t="n">
        <v>0.008831483112440086</v>
      </c>
      <c r="H994" s="95" t="n">
        <v>53.21364856412498</v>
      </c>
      <c r="I994" s="376" t="n">
        <v>72.66682357788086</v>
      </c>
      <c r="J994" s="376" t="n">
        <v>67.36096210479737</v>
      </c>
      <c r="K994" s="94" t="n">
        <v>0.2353261630288336</v>
      </c>
      <c r="L994" s="94" t="n">
        <v>-0.05810383734540592</v>
      </c>
      <c r="M994" s="94" t="n">
        <v>-0.1624636745037259</v>
      </c>
      <c r="N994" t="n">
        <v>46.1229051627256</v>
      </c>
      <c r="O994" t="n">
        <v>-0.5075182246708483</v>
      </c>
      <c r="P994" s="143">
        <f>MAX($E$2:E994)</f>
        <v/>
      </c>
      <c r="Q994" s="144">
        <f>E994/P994-1</f>
        <v/>
      </c>
      <c r="R994" s="94" t="n">
        <v>0.002890753802009982</v>
      </c>
    </row>
    <row r="995">
      <c r="A995" s="375" t="n">
        <v>45911</v>
      </c>
      <c r="B995" s="376" t="n">
        <v>72.03487619396638</v>
      </c>
      <c r="C995" s="376" t="n">
        <v>73.11912166680368</v>
      </c>
      <c r="D995" s="376" t="n">
        <v>71.64764250258092</v>
      </c>
      <c r="E995" s="376" t="n">
        <v>71.95742797851562</v>
      </c>
      <c r="F995" s="93" t="n">
        <v>9803400</v>
      </c>
      <c r="G995" s="94" t="n">
        <v>0.001077540914075747</v>
      </c>
      <c r="H995" s="95" t="n">
        <v>53.27098844764008</v>
      </c>
      <c r="I995" s="376" t="n">
        <v>72.69198455810547</v>
      </c>
      <c r="J995" s="376" t="n">
        <v>67.3733655166626</v>
      </c>
      <c r="K995" s="94" t="n">
        <v>0.2055439094486466</v>
      </c>
      <c r="L995" s="94" t="n">
        <v>-0.05708890569333458</v>
      </c>
      <c r="M995" s="94" t="n">
        <v>-0.1615611948459791</v>
      </c>
      <c r="N995" t="n">
        <v>46.51110925741474</v>
      </c>
      <c r="O995" t="n">
        <v>-0.4498456679607913</v>
      </c>
      <c r="P995" s="143">
        <f>MAX($E$2:E995)</f>
        <v/>
      </c>
      <c r="Q995" s="144">
        <f>E995/P995-1</f>
        <v/>
      </c>
      <c r="R995" s="94" t="n">
        <v>0.008310248256466091</v>
      </c>
    </row>
    <row r="996">
      <c r="A996" s="375" t="n">
        <v>45912</v>
      </c>
      <c r="B996" s="376" t="n">
        <v>71.87029384377202</v>
      </c>
      <c r="C996" s="376" t="n">
        <v>71.90901794985625</v>
      </c>
      <c r="D996" s="376" t="n">
        <v>69.63403026495058</v>
      </c>
      <c r="E996" s="376" t="n">
        <v>70.66987609863281</v>
      </c>
      <c r="F996" s="93" t="n">
        <v>11806000</v>
      </c>
      <c r="G996" s="94" t="n">
        <v>-0.01789324488178257</v>
      </c>
      <c r="H996" s="95" t="n">
        <v>52.31779760625185</v>
      </c>
      <c r="I996" s="376" t="n">
        <v>72.63399520874023</v>
      </c>
      <c r="J996" s="376" t="n">
        <v>67.3710916519165</v>
      </c>
      <c r="K996" s="94" t="n">
        <v>0.2114079084122327</v>
      </c>
      <c r="L996" s="94" t="n">
        <v>-0.07396064480551323</v>
      </c>
      <c r="M996" s="94" t="n">
        <v>-0.1765635857049892</v>
      </c>
      <c r="N996" t="n">
        <v>41.19701308789412</v>
      </c>
      <c r="O996" t="n">
        <v>-0.4753942284162043</v>
      </c>
      <c r="P996" s="143">
        <f>MAX($E$2:E996)</f>
        <v/>
      </c>
      <c r="Q996" s="144">
        <f>E996/P996-1</f>
        <v/>
      </c>
      <c r="R996" s="94" t="n">
        <v>-0.0003346147217683226</v>
      </c>
    </row>
    <row r="997">
      <c r="A997" s="375" t="n">
        <v>45915</v>
      </c>
      <c r="B997" s="376" t="n">
        <v>70.8441347629149</v>
      </c>
      <c r="C997" s="376" t="n">
        <v>70.87317599760154</v>
      </c>
      <c r="D997" s="376" t="n">
        <v>70.26328791157687</v>
      </c>
      <c r="E997" s="376" t="n">
        <v>70.69892120361328</v>
      </c>
      <c r="F997" s="93" t="n">
        <v>10323800</v>
      </c>
      <c r="G997" s="94" t="n">
        <v>0.0004109969704761962</v>
      </c>
      <c r="H997" s="95" t="n">
        <v>52.33930006257</v>
      </c>
      <c r="I997" s="376" t="n">
        <v>72.57658676147462</v>
      </c>
      <c r="J997" s="376" t="n">
        <v>67.3580717086792</v>
      </c>
      <c r="K997" s="94" t="n">
        <v>0.2086390388163984</v>
      </c>
      <c r="L997" s="94" t="n">
        <v>-0.07358004543598662</v>
      </c>
      <c r="M997" s="94" t="n">
        <v>-0.1762251558333341</v>
      </c>
      <c r="N997" t="n">
        <v>41.35977815948875</v>
      </c>
      <c r="O997" t="n">
        <v>-0.4666592117216265</v>
      </c>
      <c r="P997" s="143">
        <f>MAX($E$2:E997)</f>
        <v/>
      </c>
      <c r="Q997" s="144">
        <f>E997/P997-1</f>
        <v/>
      </c>
      <c r="R997" s="94" t="n">
        <v>0.005324008789658441</v>
      </c>
    </row>
    <row r="998">
      <c r="A998" s="375" t="n">
        <v>45916</v>
      </c>
      <c r="B998" s="376" t="n">
        <v>70.47626342470807</v>
      </c>
      <c r="C998" s="376" t="n">
        <v>71.03774450200889</v>
      </c>
      <c r="D998" s="376" t="n">
        <v>69.78891976945793</v>
      </c>
      <c r="E998" s="376" t="n">
        <v>70.4278564453125</v>
      </c>
      <c r="F998" s="93" t="n">
        <v>8813600</v>
      </c>
      <c r="G998" s="94" t="n">
        <v>-0.003834072057763316</v>
      </c>
      <c r="H998" s="95" t="n">
        <v>52.13862741467722</v>
      </c>
      <c r="I998" s="376" t="n">
        <v>72.51106033325195</v>
      </c>
      <c r="J998" s="376" t="n">
        <v>67.33488872528076</v>
      </c>
      <c r="K998" s="94" t="n">
        <v>0.2063821215583589</v>
      </c>
      <c r="L998" s="94" t="n">
        <v>-0.07713200629753481</v>
      </c>
      <c r="M998" s="94" t="n">
        <v>-0.1793835679452418</v>
      </c>
      <c r="N998" t="n">
        <v>40.24031955636746</v>
      </c>
      <c r="O998" t="n">
        <v>-0.4549825166860441</v>
      </c>
      <c r="P998" s="143">
        <f>MAX($E$2:E998)</f>
        <v/>
      </c>
      <c r="Q998" s="144">
        <f>E998/P998-1</f>
        <v/>
      </c>
      <c r="R998" s="94" t="n">
        <v>-0.001376840455839079</v>
      </c>
    </row>
    <row r="999">
      <c r="A999" s="375" t="n">
        <v>45917</v>
      </c>
      <c r="B999" s="376" t="n">
        <v>70.73765068871602</v>
      </c>
      <c r="C999" s="376" t="n">
        <v>70.9796708439923</v>
      </c>
      <c r="D999" s="376" t="n">
        <v>69.32425386820684</v>
      </c>
      <c r="E999" s="376" t="n">
        <v>70.00190734863281</v>
      </c>
      <c r="F999" s="93" t="n">
        <v>11108700</v>
      </c>
      <c r="G999" s="94" t="n">
        <v>-0.006048020175233315</v>
      </c>
      <c r="H999" s="95" t="n">
        <v>51.82329194416427</v>
      </c>
      <c r="I999" s="376" t="n">
        <v>72.48728744506836</v>
      </c>
      <c r="J999" s="376" t="n">
        <v>67.31738937377929</v>
      </c>
      <c r="K999" s="94" t="n">
        <v>0.2061223052631388</v>
      </c>
      <c r="L999" s="94" t="n">
        <v>-0.08271353054252439</v>
      </c>
      <c r="M999" s="94" t="n">
        <v>-0.184346672682437</v>
      </c>
      <c r="N999" t="n">
        <v>38.47789525351607</v>
      </c>
      <c r="O999" t="n">
        <v>-0.4509215057529443</v>
      </c>
      <c r="P999" s="143">
        <f>MAX($E$2:E999)</f>
        <v/>
      </c>
      <c r="Q999" s="144">
        <f>E999/P999-1</f>
        <v/>
      </c>
      <c r="R999" s="94" t="n">
        <v>-0.001242542728341123</v>
      </c>
    </row>
    <row r="1000">
      <c r="A1000" s="375" t="n">
        <v>45918</v>
      </c>
      <c r="B1000" s="376" t="n">
        <v>71.09583089193251</v>
      </c>
      <c r="C1000" s="376" t="n">
        <v>71.25071992389231</v>
      </c>
      <c r="D1000" s="376" t="n">
        <v>69.34360024813037</v>
      </c>
      <c r="E1000" s="376" t="n">
        <v>69.79859924316406</v>
      </c>
      <c r="F1000" s="93" t="n">
        <v>14918400</v>
      </c>
      <c r="G1000" s="94" t="n">
        <v>-0.002904322370192114</v>
      </c>
      <c r="H1000" s="95" t="n">
        <v>51.67278039807384</v>
      </c>
      <c r="I1000" s="376" t="n">
        <v>72.46638259887695</v>
      </c>
      <c r="J1000" s="376" t="n">
        <v>67.29541671752929</v>
      </c>
      <c r="K1000" s="94" t="n">
        <v>0.2051595872513099</v>
      </c>
      <c r="L1000" s="94" t="n">
        <v>-0.08537762615564437</v>
      </c>
      <c r="M1000" s="94" t="n">
        <v>-0.186715592887287</v>
      </c>
      <c r="N1000" t="n">
        <v>37.63072001185532</v>
      </c>
      <c r="O1000" t="n">
        <v>-0.4366105737257838</v>
      </c>
      <c r="P1000" s="143">
        <f>MAX($E$2:E1000)</f>
        <v/>
      </c>
      <c r="Q1000" s="144">
        <f>E1000/P1000-1</f>
        <v/>
      </c>
      <c r="R1000" s="94" t="n">
        <v>0.004672464780074215</v>
      </c>
    </row>
    <row r="1001">
      <c r="A1001" s="375" t="n">
        <v>45919</v>
      </c>
      <c r="B1001" s="376" t="n">
        <v>69.71148062943352</v>
      </c>
      <c r="C1001" s="376" t="n">
        <v>69.94381788724424</v>
      </c>
      <c r="D1001" s="376" t="n">
        <v>68.48201422737083</v>
      </c>
      <c r="E1001" s="376" t="n">
        <v>68.62722778320312</v>
      </c>
      <c r="F1001" s="93" t="n">
        <v>33415600</v>
      </c>
      <c r="G1001" s="94" t="n">
        <v>-0.0167821628608924</v>
      </c>
      <c r="H1001" s="95" t="n">
        <v>50.80559938195823</v>
      </c>
      <c r="I1001" s="376" t="n">
        <v>72.40163314819335</v>
      </c>
      <c r="J1001" s="376" t="n">
        <v>67.26555099487305</v>
      </c>
      <c r="K1001" s="94" t="n">
        <v>0.2112330197739171</v>
      </c>
      <c r="L1001" s="94" t="n">
        <v>-0.1007269677897165</v>
      </c>
      <c r="M1001" s="94" t="n">
        <v>-0.2003642642596768</v>
      </c>
      <c r="N1001" t="n">
        <v>33.10781840532962</v>
      </c>
      <c r="O1001" t="n">
        <v>-0.4774098103318213</v>
      </c>
      <c r="P1001" s="143">
        <f>MAX($E$2:E1001)</f>
        <v/>
      </c>
      <c r="Q1001" s="144">
        <f>E1001/P1001-1</f>
        <v/>
      </c>
      <c r="R1001" s="94" t="n">
        <v>0.004952836886322753</v>
      </c>
    </row>
    <row r="1002">
      <c r="A1002" s="375" t="n">
        <v>45922</v>
      </c>
      <c r="B1002" s="376" t="n">
        <v>68.53041862991283</v>
      </c>
      <c r="C1002" s="376" t="n">
        <v>70.17615250511973</v>
      </c>
      <c r="D1002" s="376" t="n">
        <v>68.18190906337311</v>
      </c>
      <c r="E1002" s="376" t="n">
        <v>69.00477600097656</v>
      </c>
      <c r="F1002" s="93" t="n">
        <v>12336300</v>
      </c>
      <c r="G1002" s="94" t="n">
        <v>0.005501434779882519</v>
      </c>
      <c r="H1002" s="95" t="n">
        <v>51.08510307341092</v>
      </c>
      <c r="I1002" s="376" t="n">
        <v>72.38276504516601</v>
      </c>
      <c r="J1002" s="376" t="n">
        <v>67.23414619445801</v>
      </c>
      <c r="K1002" s="94" t="n">
        <v>0.1777132765940314</v>
      </c>
      <c r="L1002" s="94" t="n">
        <v>-0.09577967585370428</v>
      </c>
      <c r="M1002" s="94" t="n">
        <v>-0.195965120411838</v>
      </c>
      <c r="N1002" t="n">
        <v>35.78675064228121</v>
      </c>
      <c r="O1002" t="n">
        <v>-0.4506757207732906</v>
      </c>
      <c r="P1002" s="143">
        <f>MAX($E$2:E1002)</f>
        <v/>
      </c>
      <c r="Q1002" s="144">
        <f>E1002/P1002-1</f>
        <v/>
      </c>
      <c r="R1002" s="94" t="n">
        <v>0.004731085603675522</v>
      </c>
    </row>
    <row r="1003">
      <c r="A1003" s="375" t="n">
        <v>45923</v>
      </c>
      <c r="B1003" s="376" t="n">
        <v>69.28551786070639</v>
      </c>
      <c r="C1003" s="376" t="n">
        <v>70.10838477018535</v>
      </c>
      <c r="D1003" s="376" t="n">
        <v>68.47233382381926</v>
      </c>
      <c r="E1003" s="376" t="n">
        <v>68.66594696044922</v>
      </c>
      <c r="F1003" s="93" t="n">
        <v>10432400</v>
      </c>
      <c r="G1003" s="94" t="n">
        <v>-0.004910225931644918</v>
      </c>
      <c r="H1003" s="95" t="n">
        <v>50.83426367557911</v>
      </c>
      <c r="I1003" s="376" t="n">
        <v>72.36443969726562</v>
      </c>
      <c r="J1003" s="376" t="n">
        <v>67.20214191436767</v>
      </c>
      <c r="K1003" s="94" t="n">
        <v>0.1692592764356751</v>
      </c>
      <c r="L1003" s="94" t="n">
        <v>-0.1002196019372477</v>
      </c>
      <c r="M1003" s="94" t="n">
        <v>-0.1999131133275388</v>
      </c>
      <c r="N1003" t="n">
        <v>34.45320205327248</v>
      </c>
      <c r="O1003" t="n">
        <v>-0.4277048377702957</v>
      </c>
      <c r="P1003" s="143">
        <f>MAX($E$2:E1003)</f>
        <v/>
      </c>
      <c r="Q1003" s="144">
        <f>E1003/P1003-1</f>
        <v/>
      </c>
      <c r="R1003" s="94" t="n">
        <v>-0.005443573176272531</v>
      </c>
    </row>
    <row r="1004">
      <c r="A1004" s="375" t="n">
        <v>45924</v>
      </c>
      <c r="B1004" s="376" t="n">
        <v>68.41425376903993</v>
      </c>
      <c r="C1004" s="376" t="n">
        <v>69.2468036703073</v>
      </c>
      <c r="D1004" s="376" t="n">
        <v>68.20127485673403</v>
      </c>
      <c r="E1004" s="376" t="n">
        <v>68.94670104980469</v>
      </c>
      <c r="F1004" s="93" t="n">
        <v>10024500</v>
      </c>
      <c r="G1004" s="94" t="n">
        <v>0.004088694640986823</v>
      </c>
      <c r="H1004" s="95" t="n">
        <v>51.04210945704796</v>
      </c>
      <c r="I1004" s="376" t="n">
        <v>72.35673751831055</v>
      </c>
      <c r="J1004" s="376" t="n">
        <v>67.17387351989746</v>
      </c>
      <c r="K1004" s="94" t="n">
        <v>0.1722897749060225</v>
      </c>
      <c r="L1004" s="94" t="n">
        <v>-0.09654067464562355</v>
      </c>
      <c r="M1004" s="94" t="n">
        <v>-0.1966418023616774</v>
      </c>
      <c r="N1004" t="n">
        <v>36.56261683443383</v>
      </c>
      <c r="O1004" t="n">
        <v>-0.3677816576444481</v>
      </c>
      <c r="P1004" s="143">
        <f>MAX($E$2:E1004)</f>
        <v/>
      </c>
      <c r="Q1004" s="144">
        <f>E1004/P1004-1</f>
        <v/>
      </c>
      <c r="R1004" s="94" t="n">
        <v>-0.00318147239074329</v>
      </c>
    </row>
    <row r="1005">
      <c r="A1005" s="375" t="n">
        <v>45925</v>
      </c>
      <c r="B1005" s="376" t="n">
        <v>68.88861998797321</v>
      </c>
      <c r="C1005" s="376" t="n">
        <v>68.88861998797321</v>
      </c>
      <c r="D1005" s="376" t="n">
        <v>66.84596930303097</v>
      </c>
      <c r="E1005" s="376" t="n">
        <v>67.02989959716797</v>
      </c>
      <c r="F1005" s="93" t="n">
        <v>13075300</v>
      </c>
      <c r="G1005" s="94" t="n">
        <v>-0.02780120619914928</v>
      </c>
      <c r="H1005" s="95" t="n">
        <v>49.62307724719302</v>
      </c>
      <c r="I1005" s="376" t="n">
        <v>72.3085806274414</v>
      </c>
      <c r="J1005" s="376" t="n">
        <v>67.13502166748047</v>
      </c>
      <c r="K1005" s="94" t="n">
        <v>0.190839165314632</v>
      </c>
      <c r="L1005" s="94" t="n">
        <v>-0.1216579336423448</v>
      </c>
      <c r="M1005" s="94" t="n">
        <v>-0.2189761292659973</v>
      </c>
      <c r="N1005" t="n">
        <v>29.56664211844249</v>
      </c>
      <c r="O1005" t="n">
        <v>-0.4272433776946669</v>
      </c>
      <c r="P1005" s="143">
        <f>MAX($E$2:E1005)</f>
        <v/>
      </c>
      <c r="Q1005" s="144">
        <f>E1005/P1005-1</f>
        <v/>
      </c>
      <c r="R1005" s="94" t="n">
        <v>-0.004613445145244199</v>
      </c>
    </row>
    <row r="1006">
      <c r="A1006" s="375" t="n">
        <v>45926</v>
      </c>
      <c r="B1006" s="376" t="n">
        <v>67.16542158871538</v>
      </c>
      <c r="C1006" s="376" t="n">
        <v>67.22351144037712</v>
      </c>
      <c r="D1006" s="376" t="n">
        <v>65.8585144072799</v>
      </c>
      <c r="E1006" s="376" t="n">
        <v>67.09765625</v>
      </c>
      <c r="F1006" s="93" t="n">
        <v>15627600</v>
      </c>
      <c r="G1006" s="94" t="n">
        <v>0.001010842224727027</v>
      </c>
      <c r="H1006" s="95" t="n">
        <v>49.67323834899538</v>
      </c>
      <c r="I1006" s="376" t="n">
        <v>72.24482864379883</v>
      </c>
      <c r="J1006" s="376" t="n">
        <v>67.0950330734253</v>
      </c>
      <c r="K1006" s="94" t="n">
        <v>0.1918477192735761</v>
      </c>
      <c r="L1006" s="94" t="n">
        <v>-0.1207700683939166</v>
      </c>
      <c r="M1006" s="94" t="n">
        <v>-0.2181866373589396</v>
      </c>
      <c r="N1006" t="n">
        <v>30.07596936766632</v>
      </c>
      <c r="O1006" t="n">
        <v>-0.4307925226028726</v>
      </c>
      <c r="P1006" s="143">
        <f>MAX($E$2:E1006)</f>
        <v/>
      </c>
      <c r="Q1006" s="144">
        <f>E1006/P1006-1</f>
        <v/>
      </c>
      <c r="R1006" s="94" t="n">
        <v>0.005729009631726401</v>
      </c>
    </row>
    <row r="1007">
      <c r="A1007" s="375" t="n">
        <v>45929</v>
      </c>
      <c r="B1007" s="376" t="n">
        <v>67.54298099077428</v>
      </c>
      <c r="C1007" s="376" t="n">
        <v>67.72691867037253</v>
      </c>
      <c r="D1007" s="376" t="n">
        <v>66.54585914301964</v>
      </c>
      <c r="E1007" s="376" t="n">
        <v>67.33000946044922</v>
      </c>
      <c r="F1007" s="93" t="n">
        <v>18479300</v>
      </c>
      <c r="G1007" s="94" t="n">
        <v>0.003462910978343059</v>
      </c>
      <c r="H1007" s="95" t="n">
        <v>49.84525235140396</v>
      </c>
      <c r="I1007" s="376" t="n">
        <v>72.19554702758789</v>
      </c>
      <c r="J1007" s="376" t="n">
        <v>67.0621556854248</v>
      </c>
      <c r="K1007" s="94" t="n">
        <v>0.1943400907108018</v>
      </c>
      <c r="L1007" s="94" t="n">
        <v>-0.11772537341127</v>
      </c>
      <c r="M1007" s="94" t="n">
        <v>-0.2154792872824345</v>
      </c>
      <c r="N1007" t="n">
        <v>31.8947508393652</v>
      </c>
      <c r="O1007" t="n">
        <v>-0.3876246654989481</v>
      </c>
      <c r="P1007" s="143">
        <f>MAX($E$2:E1007)</f>
        <v/>
      </c>
      <c r="Q1007" s="144">
        <f>E1007/P1007-1</f>
        <v/>
      </c>
      <c r="R1007" s="94" t="n">
        <v>0.002810340950996748</v>
      </c>
    </row>
    <row r="1008">
      <c r="A1008" s="375" t="n">
        <v>45930</v>
      </c>
      <c r="B1008" s="376" t="n">
        <v>67.83340103028328</v>
      </c>
      <c r="C1008" s="376" t="n">
        <v>67.9689317107939</v>
      </c>
      <c r="D1008" s="376" t="n">
        <v>66.62330039296135</v>
      </c>
      <c r="E1008" s="376" t="n">
        <v>67.50425720214844</v>
      </c>
      <c r="F1008" s="93" t="n">
        <v>40567700</v>
      </c>
      <c r="G1008" s="94" t="n">
        <v>0.002587965501498646</v>
      </c>
      <c r="H1008" s="95" t="n">
        <v>49.97425014490289</v>
      </c>
      <c r="I1008" s="376" t="n">
        <v>72.11989517211914</v>
      </c>
      <c r="J1008" s="376" t="n">
        <v>67.03443309783935</v>
      </c>
      <c r="K1008" s="94" t="n">
        <v>0.1606064154210682</v>
      </c>
      <c r="L1008" s="94" t="n">
        <v>-0.1154420771148108</v>
      </c>
      <c r="M1008" s="94" t="n">
        <v>-0.2103118232868614</v>
      </c>
      <c r="N1008" t="n">
        <v>33.29598022823309</v>
      </c>
      <c r="O1008" t="n">
        <v>-0.3202631072430229</v>
      </c>
      <c r="P1008" s="143">
        <f>MAX($E$2:E1008)</f>
        <v/>
      </c>
      <c r="Q1008" s="144">
        <f>E1008/P1008-1</f>
        <v/>
      </c>
      <c r="R1008" s="94" t="n">
        <v>0.003766893060134224</v>
      </c>
    </row>
    <row r="1009">
      <c r="A1009" s="375" t="n">
        <v>45931</v>
      </c>
      <c r="B1009" s="376" t="n">
        <v>71.97678704525519</v>
      </c>
      <c r="C1009" s="376" t="n">
        <v>72.30593827121446</v>
      </c>
      <c r="D1009" s="376" t="n">
        <v>69.32424841993648</v>
      </c>
      <c r="E1009" s="376" t="n">
        <v>71.83157348632812</v>
      </c>
      <c r="F1009" s="93" t="n">
        <v>57921900</v>
      </c>
      <c r="G1009" s="94" t="n">
        <v>0.06410434635583195</v>
      </c>
      <c r="H1009" s="95" t="n">
        <v>53.17781678506472</v>
      </c>
      <c r="I1009" s="376" t="n">
        <v>72.10440124511719</v>
      </c>
      <c r="J1009" s="376" t="n">
        <v>67.01830451965333</v>
      </c>
      <c r="K1009" s="94" t="n">
        <v>0.2870018408448994</v>
      </c>
      <c r="L1009" s="94" t="n">
        <v>-0.05873806965438355</v>
      </c>
      <c r="M1009" s="94" t="n">
        <v>-0.1549143566636221</v>
      </c>
      <c r="N1009" t="n">
        <v>56.97225606143486</v>
      </c>
      <c r="O1009" t="n">
        <v>0.02450046645135395</v>
      </c>
      <c r="P1009" s="143">
        <f>MAX($E$2:E1009)</f>
        <v/>
      </c>
      <c r="Q1009" s="144">
        <f>E1009/P1009-1</f>
        <v/>
      </c>
      <c r="R1009" s="94" t="n">
        <v>0.003407606549057585</v>
      </c>
    </row>
    <row r="1010">
      <c r="A1010" s="375" t="n">
        <v>45932</v>
      </c>
      <c r="B1010" s="376" t="n">
        <v>72.6060408598738</v>
      </c>
      <c r="C1010" s="376" t="n">
        <v>74.51316071486542</v>
      </c>
      <c r="D1010" s="376" t="n">
        <v>71.52178799078705</v>
      </c>
      <c r="E1010" s="376" t="n">
        <v>72.18976593017578</v>
      </c>
      <c r="F1010" s="93" t="n">
        <v>26254400</v>
      </c>
      <c r="G1010" s="94" t="n">
        <v>0.004986559899259779</v>
      </c>
      <c r="H1010" s="95" t="n">
        <v>53.44299115377531</v>
      </c>
      <c r="I1010" s="376" t="n">
        <v>72.06987548828126</v>
      </c>
      <c r="J1010" s="376" t="n">
        <v>67.00820289611816</v>
      </c>
      <c r="K1010" s="94" t="n">
        <v>0.2859928712981624</v>
      </c>
      <c r="L1010" s="94" t="n">
        <v>-0.05404441065782217</v>
      </c>
      <c r="M1010" s="94" t="n">
        <v>-0.1496581435193906</v>
      </c>
      <c r="N1010" t="n">
        <v>58.29192205451516</v>
      </c>
      <c r="O1010" t="n">
        <v>0.2717051206126231</v>
      </c>
      <c r="P1010" s="143">
        <f>MAX($E$2:E1010)</f>
        <v/>
      </c>
      <c r="Q1010" s="144">
        <f>E1010/P1010-1</f>
        <v/>
      </c>
      <c r="R1010" s="94" t="n">
        <v>0.001151731459675398</v>
      </c>
    </row>
    <row r="1011">
      <c r="A1011" s="375" t="n">
        <v>45933</v>
      </c>
      <c r="B1011" s="376" t="n">
        <v>72.39306125169745</v>
      </c>
      <c r="C1011" s="376" t="n">
        <v>72.39306125169745</v>
      </c>
      <c r="D1011" s="376" t="n">
        <v>69.62435032972837</v>
      </c>
      <c r="E1011" s="376" t="n">
        <v>69.634033203125</v>
      </c>
      <c r="F1011" s="93" t="n">
        <v>18794900</v>
      </c>
      <c r="G1011" s="94" t="n">
        <v>-0.03540297844327089</v>
      </c>
      <c r="H1011" s="95" t="n">
        <v>51.55095009001428</v>
      </c>
      <c r="I1011" s="376" t="n">
        <v>72.00985290527343</v>
      </c>
      <c r="J1011" s="376" t="n">
        <v>66.98870178222656</v>
      </c>
      <c r="K1011" s="94" t="n">
        <v>0.305345333755919</v>
      </c>
      <c r="L1011" s="94" t="n">
        <v>-0.08753405599559494</v>
      </c>
      <c r="M1011" s="94" t="n">
        <v>-0.1373218083934813</v>
      </c>
      <c r="N1011" t="n">
        <v>47.1744511073147</v>
      </c>
      <c r="O1011" t="n">
        <v>0.2582236897070518</v>
      </c>
      <c r="P1011" s="143">
        <f>MAX($E$2:E1011)</f>
        <v/>
      </c>
      <c r="Q1011" s="144">
        <f>E1011/P1011-1</f>
        <v/>
      </c>
      <c r="R1011" s="94" t="n">
        <v>-1.48421705706836e-05</v>
      </c>
    </row>
    <row r="1012">
      <c r="A1012" s="375" t="n">
        <v>45936</v>
      </c>
      <c r="B1012" s="376" t="n">
        <v>69.72115955058837</v>
      </c>
      <c r="C1012" s="376" t="n">
        <v>70.07935202116641</v>
      </c>
      <c r="D1012" s="376" t="n">
        <v>68.74340349062464</v>
      </c>
      <c r="E1012" s="376" t="n">
        <v>68.89829254150391</v>
      </c>
      <c r="F1012" s="93" t="n">
        <v>14039600</v>
      </c>
      <c r="G1012" s="94" t="n">
        <v>-0.0105658200132529</v>
      </c>
      <c r="H1012" s="95" t="n">
        <v>51.006272029851</v>
      </c>
      <c r="I1012" s="376" t="n">
        <v>71.91874328613281</v>
      </c>
      <c r="J1012" s="376" t="n">
        <v>66.96575996398926</v>
      </c>
      <c r="K1012" s="94" t="n">
        <v>0.3066205147488422</v>
      </c>
      <c r="L1012" s="94" t="n">
        <v>-0.09717500692816849</v>
      </c>
      <c r="M1012" s="94" t="n">
        <v>-0.1417036710461853</v>
      </c>
      <c r="N1012" t="n">
        <v>44.54084919930549</v>
      </c>
      <c r="O1012" t="n">
        <v>0.1976150876556405</v>
      </c>
      <c r="P1012" s="143">
        <f>MAX($E$2:E1012)</f>
        <v/>
      </c>
      <c r="Q1012" s="144">
        <f>E1012/P1012-1</f>
        <v/>
      </c>
      <c r="R1012" s="94" t="n">
        <v>0.003586235074523936</v>
      </c>
    </row>
    <row r="1013">
      <c r="A1013" s="375" t="n">
        <v>45937</v>
      </c>
      <c r="B1013" s="376" t="n">
        <v>68.95638053090563</v>
      </c>
      <c r="C1013" s="376" t="n">
        <v>69.29520724478057</v>
      </c>
      <c r="D1013" s="376" t="n">
        <v>66.70075108645925</v>
      </c>
      <c r="E1013" s="376" t="n">
        <v>66.71043395996094</v>
      </c>
      <c r="F1013" s="93" t="n">
        <v>17368000</v>
      </c>
      <c r="G1013" s="94" t="n">
        <v>-0.03175490278260551</v>
      </c>
      <c r="H1013" s="95" t="n">
        <v>49.38657282023996</v>
      </c>
      <c r="I1013" s="376" t="n">
        <v>71.72666961669921</v>
      </c>
      <c r="J1013" s="376" t="n">
        <v>66.92807125091552</v>
      </c>
      <c r="K1013" s="94" t="n">
        <v>0.3241257222024004</v>
      </c>
      <c r="L1013" s="94" t="n">
        <v>-0.1258441268128708</v>
      </c>
      <c r="M1013" s="94" t="n">
        <v>-0.1689587875307809</v>
      </c>
      <c r="N1013" t="n">
        <v>37.78550245611991</v>
      </c>
      <c r="O1013" t="n">
        <v>0.01752411281019495</v>
      </c>
      <c r="P1013" s="143">
        <f>MAX($E$2:E1013)</f>
        <v/>
      </c>
      <c r="Q1013" s="144">
        <f>E1013/P1013-1</f>
        <v/>
      </c>
      <c r="R1013" s="94" t="n">
        <v>-0.003707442718815845</v>
      </c>
    </row>
    <row r="1014">
      <c r="A1014" s="375" t="n">
        <v>45938</v>
      </c>
      <c r="B1014" s="376" t="n">
        <v>66.71043429297045</v>
      </c>
      <c r="C1014" s="376" t="n">
        <v>67.21383292954491</v>
      </c>
      <c r="D1014" s="376" t="n">
        <v>66.47808964298058</v>
      </c>
      <c r="E1014" s="376" t="n">
        <v>66.88468170166016</v>
      </c>
      <c r="F1014" s="93" t="n">
        <v>13051800</v>
      </c>
      <c r="G1014" s="94" t="n">
        <v>0.002612001322068958</v>
      </c>
      <c r="H1014" s="95" t="n">
        <v>49.51557061373888</v>
      </c>
      <c r="I1014" s="376" t="n">
        <v>71.55560897827148</v>
      </c>
      <c r="J1014" s="376" t="n">
        <v>66.89648921966553</v>
      </c>
      <c r="K1014" s="94" t="n">
        <v>0.3218350336925435</v>
      </c>
      <c r="L1014" s="94" t="n">
        <v>-0.1235608305164118</v>
      </c>
      <c r="M1014" s="94" t="n">
        <v>-0.1667881067851175</v>
      </c>
      <c r="N1014" t="n">
        <v>38.58441699851222</v>
      </c>
      <c r="O1014" t="n">
        <v>-0.07731126581632974</v>
      </c>
      <c r="P1014" s="143">
        <f>MAX($E$2:E1014)</f>
        <v/>
      </c>
      <c r="Q1014" s="144">
        <f>E1014/P1014-1</f>
        <v/>
      </c>
      <c r="R1014" s="94" t="n">
        <v>0.005963018112918661</v>
      </c>
    </row>
    <row r="1015">
      <c r="A1015" s="375" t="n">
        <v>45939</v>
      </c>
      <c r="B1015" s="376" t="n">
        <v>67.33000327943171</v>
      </c>
      <c r="C1015" s="376" t="n">
        <v>67.43649272775278</v>
      </c>
      <c r="D1015" s="376" t="n">
        <v>65.72298606721797</v>
      </c>
      <c r="E1015" s="376" t="n">
        <v>65.88755798339844</v>
      </c>
      <c r="F1015" s="93" t="n">
        <v>13410900</v>
      </c>
      <c r="G1015" s="94" t="n">
        <v>-0.01490810291524447</v>
      </c>
      <c r="H1015" s="95" t="n">
        <v>48.7773873911222</v>
      </c>
      <c r="I1015" s="376" t="n">
        <v>71.39638763427735</v>
      </c>
      <c r="J1015" s="376" t="n">
        <v>66.85896968841553</v>
      </c>
      <c r="K1015" s="94" t="n">
        <v>0.3238793106209774</v>
      </c>
      <c r="L1015" s="94" t="n">
        <v>-0.1366268758540246</v>
      </c>
      <c r="M1015" s="94" t="n">
        <v>-0.1792097154393706</v>
      </c>
      <c r="N1015" t="n">
        <v>35.75490868856807</v>
      </c>
      <c r="O1015" t="n">
        <v>-0.1883166431767073</v>
      </c>
      <c r="P1015" s="143">
        <f>MAX($E$2:E1015)</f>
        <v/>
      </c>
      <c r="Q1015" s="144">
        <f>E1015/P1015-1</f>
        <v/>
      </c>
      <c r="R1015" s="94" t="n">
        <v>-0.002896927773588187</v>
      </c>
    </row>
    <row r="1016">
      <c r="A1016" s="375" t="n">
        <v>45940</v>
      </c>
      <c r="B1016" s="376" t="n">
        <v>66.00372764062539</v>
      </c>
      <c r="C1016" s="376" t="n">
        <v>66.30383022694244</v>
      </c>
      <c r="D1016" s="376" t="n">
        <v>62.80905909168846</v>
      </c>
      <c r="E1016" s="376" t="n">
        <v>63.13821029663086</v>
      </c>
      <c r="F1016" s="93" t="n">
        <v>18806100</v>
      </c>
      <c r="G1016" s="94" t="n">
        <v>-0.04172787353054319</v>
      </c>
      <c r="H1016" s="95" t="n">
        <v>46.74201073891515</v>
      </c>
      <c r="I1016" s="376" t="n">
        <v>71.22050941467285</v>
      </c>
      <c r="J1016" s="376" t="n">
        <v>66.80846490859986</v>
      </c>
      <c r="K1016" s="94" t="n">
        <v>0.3474362924900024</v>
      </c>
      <c r="L1016" s="94" t="n">
        <v>-0.1726536003880577</v>
      </c>
      <c r="M1016" s="94" t="n">
        <v>-0.213459548628615</v>
      </c>
      <c r="N1016" t="n">
        <v>29.36137784601118</v>
      </c>
      <c r="O1016" t="n">
        <v>-0.4150316056026229</v>
      </c>
      <c r="P1016" s="143">
        <f>MAX($E$2:E1016)</f>
        <v/>
      </c>
      <c r="Q1016" s="144">
        <f>E1016/P1016-1</f>
        <v/>
      </c>
      <c r="R1016" s="94" t="n">
        <v>-0.02702787419005037</v>
      </c>
    </row>
    <row r="1017">
      <c r="A1017" s="375" t="n">
        <v>45943</v>
      </c>
      <c r="B1017" s="376" t="n">
        <v>63.60288772349011</v>
      </c>
      <c r="C1017" s="376" t="n">
        <v>65.36479398868953</v>
      </c>
      <c r="D1017" s="376" t="n">
        <v>63.45768155301159</v>
      </c>
      <c r="E1017" s="376" t="n">
        <v>65.22926330566406</v>
      </c>
      <c r="F1017" s="93" t="n">
        <v>13191200</v>
      </c>
      <c r="G1017" s="94" t="n">
        <v>0.03311866141294129</v>
      </c>
      <c r="H1017" s="95" t="n">
        <v>48.29004356633735</v>
      </c>
      <c r="I1017" s="376" t="n">
        <v>71.08780067443848</v>
      </c>
      <c r="J1017" s="376" t="n">
        <v>66.76927209854126</v>
      </c>
      <c r="K1017" s="94" t="n">
        <v>0.3731321219803751</v>
      </c>
      <c r="L1017" s="94" t="n">
        <v>-0.1452529951080938</v>
      </c>
      <c r="M1017" s="94" t="n">
        <v>-0.1874103817320641</v>
      </c>
      <c r="N1017" t="n">
        <v>38.38555646426698</v>
      </c>
      <c r="O1017" t="n">
        <v>-0.3925373159925369</v>
      </c>
      <c r="P1017" s="143">
        <f>MAX($E$2:E1017)</f>
        <v/>
      </c>
      <c r="Q1017" s="144">
        <f>E1017/P1017-1</f>
        <v/>
      </c>
      <c r="R1017" s="94" t="n">
        <v>0.01534405245669701</v>
      </c>
    </row>
    <row r="1018">
      <c r="A1018" s="375" t="n">
        <v>45944</v>
      </c>
      <c r="B1018" s="376" t="n">
        <v>64.34831224424828</v>
      </c>
      <c r="C1018" s="376" t="n">
        <v>65.82947423274616</v>
      </c>
      <c r="D1018" s="376" t="n">
        <v>63.95139569262827</v>
      </c>
      <c r="E1018" s="376" t="n">
        <v>65.48096466064453</v>
      </c>
      <c r="F1018" s="93" t="n">
        <v>9483700</v>
      </c>
      <c r="G1018" s="94" t="n">
        <v>0.003858718345491674</v>
      </c>
      <c r="H1018" s="95" t="n">
        <v>48.47638124335136</v>
      </c>
      <c r="I1018" s="376" t="n">
        <v>70.956273727417</v>
      </c>
      <c r="J1018" s="376" t="n">
        <v>66.73119504928589</v>
      </c>
      <c r="K1018" s="94" t="n">
        <v>0.3741093112495495</v>
      </c>
      <c r="L1018" s="94" t="n">
        <v>-0.1419547671595633</v>
      </c>
      <c r="M1018" s="94" t="n">
        <v>-0.1842748272646976</v>
      </c>
      <c r="N1018" t="n">
        <v>39.38929362519515</v>
      </c>
      <c r="O1018" t="n">
        <v>-0.3315111365787251</v>
      </c>
      <c r="P1018" s="143">
        <f>MAX($E$2:E1018)</f>
        <v/>
      </c>
      <c r="Q1018" s="144">
        <f>E1018/P1018-1</f>
        <v/>
      </c>
      <c r="R1018" s="94" t="n">
        <v>-0.001221609375677501</v>
      </c>
    </row>
    <row r="1019">
      <c r="A1019" s="375" t="n">
        <v>45945</v>
      </c>
      <c r="B1019" s="376" t="n">
        <v>66.39096021781656</v>
      </c>
      <c r="C1019" s="376" t="n">
        <v>67.3106337073736</v>
      </c>
      <c r="D1019" s="376" t="n">
        <v>65.95531957602546</v>
      </c>
      <c r="E1019" s="376" t="n">
        <v>66.27478790283203</v>
      </c>
      <c r="F1019" s="93" t="n">
        <v>13001500</v>
      </c>
      <c r="G1019" s="94" t="n">
        <v>0.01212296193712925</v>
      </c>
      <c r="H1019" s="95" t="n">
        <v>49.06405856801428</v>
      </c>
      <c r="I1019" s="376" t="n">
        <v>70.84909812927246</v>
      </c>
      <c r="J1019" s="376" t="n">
        <v>66.69637315750123</v>
      </c>
      <c r="K1019" s="94" t="n">
        <v>0.377927298719089</v>
      </c>
      <c r="L1019" s="94" t="n">
        <v>-0.1315527174615034</v>
      </c>
      <c r="M1019" s="94" t="n">
        <v>-0.1743858220444694</v>
      </c>
      <c r="N1019" t="n">
        <v>42.56705650562746</v>
      </c>
      <c r="O1019" t="n">
        <v>-0.2141804750045018</v>
      </c>
      <c r="P1019" s="143">
        <f>MAX($E$2:E1019)</f>
        <v/>
      </c>
      <c r="Q1019" s="144">
        <f>E1019/P1019-1</f>
        <v/>
      </c>
      <c r="R1019" s="94" t="n">
        <v>0.004439561180749063</v>
      </c>
    </row>
    <row r="1020">
      <c r="A1020" s="375" t="n">
        <v>45946</v>
      </c>
      <c r="B1020" s="376" t="n">
        <v>66.41032877381093</v>
      </c>
      <c r="C1020" s="376" t="n">
        <v>66.83628660828657</v>
      </c>
      <c r="D1020" s="376" t="n">
        <v>64.45480917946807</v>
      </c>
      <c r="E1020" s="376" t="n">
        <v>64.70650482177734</v>
      </c>
      <c r="F1020" s="93" t="n">
        <v>15349700</v>
      </c>
      <c r="G1020" s="94" t="n">
        <v>-0.0236633436436493</v>
      </c>
      <c r="H1020" s="95" t="n">
        <v>47.90303888956722</v>
      </c>
      <c r="I1020" s="376" t="n">
        <v>70.6893692779541</v>
      </c>
      <c r="J1020" s="376" t="n">
        <v>66.65618486404419</v>
      </c>
      <c r="K1020" s="94" t="n">
        <v>0.3853578823774315</v>
      </c>
      <c r="L1020" s="94" t="n">
        <v>-0.1521030839446054</v>
      </c>
      <c r="M1020" s="94" t="n">
        <v>-0.1939226140545001</v>
      </c>
      <c r="N1020" t="n">
        <v>38.2953313334902</v>
      </c>
      <c r="O1020" t="n">
        <v>-0.2179658685821135</v>
      </c>
      <c r="P1020" s="143">
        <f>MAX($E$2:E1020)</f>
        <v/>
      </c>
      <c r="Q1020" s="144">
        <f>E1020/P1020-1</f>
        <v/>
      </c>
      <c r="R1020" s="94" t="n">
        <v>-0.00681025770778676</v>
      </c>
    </row>
    <row r="1021">
      <c r="A1021" s="375" t="n">
        <v>45947</v>
      </c>
      <c r="B1021" s="376" t="n">
        <v>64.50320430944106</v>
      </c>
      <c r="C1021" s="376" t="n">
        <v>65.60681554423455</v>
      </c>
      <c r="D1021" s="376" t="n">
        <v>64.20310170278255</v>
      </c>
      <c r="E1021" s="376" t="n">
        <v>65.21958923339844</v>
      </c>
      <c r="F1021" s="93" t="n">
        <v>10054000</v>
      </c>
      <c r="G1021" s="94" t="n">
        <v>0.007929410080706578</v>
      </c>
      <c r="H1021" s="95" t="n">
        <v>48.28288172903464</v>
      </c>
      <c r="I1021" s="376" t="n">
        <v>70.5616675567627</v>
      </c>
      <c r="J1021" s="376" t="n">
        <v>66.62698625564575</v>
      </c>
      <c r="K1021" s="94" t="n">
        <v>0.3840449223716327</v>
      </c>
      <c r="L1021" s="94" t="n">
        <v>-0.1453797615910356</v>
      </c>
      <c r="M1021" s="94" t="n">
        <v>-0.1875308959045542</v>
      </c>
      <c r="N1021" t="n">
        <v>40.40253502045199</v>
      </c>
      <c r="O1021" t="n">
        <v>-0.1641412233015338</v>
      </c>
      <c r="P1021" s="143">
        <f>MAX($E$2:E1021)</f>
        <v/>
      </c>
      <c r="Q1021" s="144">
        <f>E1021/P1021-1</f>
        <v/>
      </c>
      <c r="R1021" s="94" t="n">
        <v>0.005676199715046071</v>
      </c>
    </row>
    <row r="1022">
      <c r="A1022" s="375" t="n">
        <v>45950</v>
      </c>
      <c r="B1022" s="376" t="n">
        <v>65.40351140920367</v>
      </c>
      <c r="C1022" s="376" t="n">
        <v>66.00372393399908</v>
      </c>
      <c r="D1022" s="376" t="n">
        <v>65.31638771582415</v>
      </c>
      <c r="E1022" s="376" t="n">
        <v>65.46160125732422</v>
      </c>
      <c r="F1022" s="93" t="n">
        <v>9670000</v>
      </c>
      <c r="G1022" s="94" t="n">
        <v>0.003710725976204809</v>
      </c>
      <c r="H1022" s="95" t="n">
        <v>48.46204627247259</v>
      </c>
      <c r="I1022" s="376" t="n">
        <v>70.44188804626465</v>
      </c>
      <c r="J1022" s="376" t="n">
        <v>66.59414300918579</v>
      </c>
      <c r="K1022" s="94" t="n">
        <v>0.3836168332029409</v>
      </c>
      <c r="L1022" s="94" t="n">
        <v>-0.1422085000725811</v>
      </c>
      <c r="M1022" s="94" t="n">
        <v>-0.1845160456951234</v>
      </c>
      <c r="N1022" t="n">
        <v>41.4187369857407</v>
      </c>
      <c r="O1022" t="n">
        <v>-0.09395439406109118</v>
      </c>
      <c r="P1022" s="143">
        <f>MAX($E$2:E1022)</f>
        <v/>
      </c>
      <c r="Q1022" s="144">
        <f>E1022/P1022-1</f>
        <v/>
      </c>
      <c r="R1022" s="94" t="n">
        <v>0.01040060617428629</v>
      </c>
    </row>
    <row r="1023">
      <c r="A1023" s="375" t="n">
        <v>45951</v>
      </c>
      <c r="B1023" s="376" t="n">
        <v>65.58745642618003</v>
      </c>
      <c r="C1023" s="376" t="n">
        <v>67.07830134047416</v>
      </c>
      <c r="D1023" s="376" t="n">
        <v>65.25831258859388</v>
      </c>
      <c r="E1023" s="376" t="n">
        <v>66.17798614501953</v>
      </c>
      <c r="F1023" s="93" t="n">
        <v>9659200</v>
      </c>
      <c r="G1023" s="94" t="n">
        <v>0.01094358943160079</v>
      </c>
      <c r="H1023" s="95" t="n">
        <v>48.99239500989377</v>
      </c>
      <c r="I1023" s="376" t="n">
        <v>70.33971076965332</v>
      </c>
      <c r="J1023" s="376" t="n">
        <v>66.57440065383911</v>
      </c>
      <c r="K1023" s="94" t="n">
        <v>0.3863354423413801</v>
      </c>
      <c r="L1023" s="94" t="n">
        <v>-0.1320542944299702</v>
      </c>
      <c r="M1023" s="94" t="n">
        <v>-0.1676370974494882</v>
      </c>
      <c r="N1023" t="n">
        <v>44.43881326417491</v>
      </c>
      <c r="O1023" t="n">
        <v>0.01329613454352785</v>
      </c>
      <c r="P1023" s="143">
        <f>MAX($E$2:E1023)</f>
        <v/>
      </c>
      <c r="Q1023" s="144">
        <f>E1023/P1023-1</f>
        <v/>
      </c>
      <c r="R1023" s="94" t="n">
        <v>-1.4979984718555e-05</v>
      </c>
    </row>
    <row r="1024">
      <c r="A1024" s="375" t="n">
        <v>45952</v>
      </c>
      <c r="B1024" s="376" t="n">
        <v>66.04245774731433</v>
      </c>
      <c r="C1024" s="376" t="n">
        <v>67.14606900758463</v>
      </c>
      <c r="D1024" s="376" t="n">
        <v>65.79075473076556</v>
      </c>
      <c r="E1024" s="376" t="n">
        <v>66.87500762939453</v>
      </c>
      <c r="F1024" s="93" t="n">
        <v>8096100</v>
      </c>
      <c r="G1024" s="94" t="n">
        <v>0.01053252788393366</v>
      </c>
      <c r="H1024" s="95" t="n">
        <v>49.50840877643617</v>
      </c>
      <c r="I1024" s="376" t="n">
        <v>70.23452369689942</v>
      </c>
      <c r="J1024" s="376" t="n">
        <v>66.55985689163208</v>
      </c>
      <c r="K1024" s="94" t="n">
        <v>0.3882583466246988</v>
      </c>
      <c r="L1024" s="94" t="n">
        <v>-0.1229126320843134</v>
      </c>
      <c r="M1024" s="94" t="n">
        <v>-0.1501643279501308</v>
      </c>
      <c r="N1024" t="n">
        <v>47.28633361874137</v>
      </c>
      <c r="O1024" t="n">
        <v>0.1368891901902693</v>
      </c>
      <c r="P1024" s="143">
        <f>MAX($E$2:E1024)</f>
        <v/>
      </c>
      <c r="Q1024" s="144">
        <f>E1024/P1024-1</f>
        <v/>
      </c>
      <c r="R1024" s="94" t="n">
        <v>-0.005198867790280337</v>
      </c>
    </row>
    <row r="1025">
      <c r="A1025" s="375" t="n">
        <v>45953</v>
      </c>
      <c r="B1025" s="376" t="n">
        <v>66.88468493011614</v>
      </c>
      <c r="C1025" s="376" t="n">
        <v>67.65915236239486</v>
      </c>
      <c r="D1025" s="376" t="n">
        <v>66.54585819819501</v>
      </c>
      <c r="E1025" s="376" t="n">
        <v>67.45585632324219</v>
      </c>
      <c r="F1025" s="93" t="n">
        <v>9124900</v>
      </c>
      <c r="G1025" s="94" t="n">
        <v>0.008685586954495506</v>
      </c>
      <c r="H1025" s="95" t="n">
        <v>49.93841836584262</v>
      </c>
      <c r="I1025" s="376" t="n">
        <v>70.09665229797363</v>
      </c>
      <c r="J1025" s="376" t="n">
        <v>66.55445226669312</v>
      </c>
      <c r="K1025" s="94" t="n">
        <v>0.3765810605820474</v>
      </c>
      <c r="L1025" s="94" t="n">
        <v>-0.115294613483592</v>
      </c>
      <c r="M1025" s="94" t="n">
        <v>-0.1404117917272859</v>
      </c>
      <c r="N1025" t="n">
        <v>49.60421432260595</v>
      </c>
      <c r="O1025" t="n">
        <v>0.2565205987298971</v>
      </c>
      <c r="P1025" s="143">
        <f>MAX($E$2:E1025)</f>
        <v/>
      </c>
      <c r="Q1025" s="144">
        <f>E1025/P1025-1</f>
        <v/>
      </c>
      <c r="R1025" s="94" t="n">
        <v>0.00592981410424942</v>
      </c>
    </row>
    <row r="1026">
      <c r="A1026" s="375" t="n">
        <v>45954</v>
      </c>
      <c r="B1026" s="376" t="n">
        <v>67.48489193787002</v>
      </c>
      <c r="C1026" s="376" t="n">
        <v>67.8430843879882</v>
      </c>
      <c r="D1026" s="376" t="n">
        <v>66.71043195597335</v>
      </c>
      <c r="E1026" s="376" t="n">
        <v>66.90404510498047</v>
      </c>
      <c r="F1026" s="93" t="n">
        <v>7102900</v>
      </c>
      <c r="G1026" s="94" t="n">
        <v>-0.008180330787255774</v>
      </c>
      <c r="H1026" s="95" t="n">
        <v>49.52990558461765</v>
      </c>
      <c r="I1026" s="376" t="n">
        <v>69.96334632873535</v>
      </c>
      <c r="J1026" s="376" t="n">
        <v>66.54586023330688</v>
      </c>
      <c r="K1026" s="94" t="n">
        <v>0.3778534170014219</v>
      </c>
      <c r="L1026" s="94" t="n">
        <v>-0.1225317961945632</v>
      </c>
      <c r="M1026" s="94" t="n">
        <v>-0.1474435076117813</v>
      </c>
      <c r="N1026" t="n">
        <v>47.46877106331964</v>
      </c>
      <c r="O1026" t="n">
        <v>0.2945292756714291</v>
      </c>
      <c r="P1026" s="143">
        <f>MAX($E$2:E1026)</f>
        <v/>
      </c>
      <c r="Q1026" s="144">
        <f>E1026/P1026-1</f>
        <v/>
      </c>
      <c r="R1026" s="94" t="n">
        <v>0.008172553397618687</v>
      </c>
    </row>
    <row r="1027">
      <c r="A1027" s="375" t="n">
        <v>45957</v>
      </c>
      <c r="B1027" s="376" t="n">
        <v>67.80436364551345</v>
      </c>
      <c r="C1027" s="376" t="n">
        <v>68.19159734861069</v>
      </c>
      <c r="D1027" s="376" t="n">
        <v>66.08118142189274</v>
      </c>
      <c r="E1027" s="376" t="n">
        <v>66.40064239501953</v>
      </c>
      <c r="F1027" s="93" t="n">
        <v>9838100</v>
      </c>
      <c r="G1027" s="94" t="n">
        <v>-0.007524249231433466</v>
      </c>
      <c r="H1027" s="95" t="n">
        <v>49.15723023058962</v>
      </c>
      <c r="I1027" s="376" t="n">
        <v>69.80880058288574</v>
      </c>
      <c r="J1027" s="376" t="n">
        <v>66.53855878829955</v>
      </c>
      <c r="K1027" s="94" t="n">
        <v>0.3785772400395695</v>
      </c>
      <c r="L1027" s="94" t="n">
        <v>-0.1291340856526536</v>
      </c>
      <c r="M1027" s="94" t="n">
        <v>-0.1538583551443868</v>
      </c>
      <c r="N1027" t="n">
        <v>45.54259091698168</v>
      </c>
      <c r="O1027" t="n">
        <v>0.2818039542029904</v>
      </c>
      <c r="P1027" s="143">
        <f>MAX($E$2:E1027)</f>
        <v/>
      </c>
      <c r="Q1027" s="144">
        <f>E1027/P1027-1</f>
        <v/>
      </c>
      <c r="R1027" s="94" t="n">
        <v>0.01179772061890594</v>
      </c>
    </row>
    <row r="1028">
      <c r="A1028" s="375" t="n">
        <v>45958</v>
      </c>
      <c r="B1028" s="376" t="n">
        <v>65.9359668837226</v>
      </c>
      <c r="C1028" s="376" t="n">
        <v>66.4200071589601</v>
      </c>
      <c r="D1028" s="376" t="n">
        <v>64.90980386369699</v>
      </c>
      <c r="E1028" s="376" t="n">
        <v>65.27767181396484</v>
      </c>
      <c r="F1028" s="93" t="n">
        <v>11262400</v>
      </c>
      <c r="G1028" s="94" t="n">
        <v>-0.01691204392834178</v>
      </c>
      <c r="H1028" s="95" t="n">
        <v>48.32588099353428</v>
      </c>
      <c r="I1028" s="376" t="n">
        <v>69.62293510437011</v>
      </c>
      <c r="J1028" s="376" t="n">
        <v>66.52607088088989</v>
      </c>
      <c r="K1028" s="94" t="n">
        <v>0.3828217483774401</v>
      </c>
      <c r="L1028" s="94" t="n">
        <v>-0.1438622082517914</v>
      </c>
      <c r="M1028" s="94" t="n">
        <v>-0.1681683398117845</v>
      </c>
      <c r="N1028" t="n">
        <v>41.49732963506017</v>
      </c>
      <c r="O1028" t="n">
        <v>0.1977649654666309</v>
      </c>
      <c r="P1028" s="143">
        <f>MAX($E$2:E1028)</f>
        <v/>
      </c>
      <c r="Q1028" s="144">
        <f>E1028/P1028-1</f>
        <v/>
      </c>
      <c r="R1028" s="94" t="n">
        <v>0.002656039268434496</v>
      </c>
    </row>
    <row r="1029">
      <c r="A1029" s="375" t="n">
        <v>45959</v>
      </c>
      <c r="B1029" s="376" t="n">
        <v>64.87108210605597</v>
      </c>
      <c r="C1029" s="376" t="n">
        <v>65.04533690689054</v>
      </c>
      <c r="D1029" s="376" t="n">
        <v>62.87683107742279</v>
      </c>
      <c r="E1029" s="376" t="n">
        <v>63.26406478881836</v>
      </c>
      <c r="F1029" s="93" t="n">
        <v>15143100</v>
      </c>
      <c r="G1029" s="94" t="n">
        <v>-0.03084679598998374</v>
      </c>
      <c r="H1029" s="95" t="n">
        <v>46.83518240149049</v>
      </c>
      <c r="I1029" s="376" t="n">
        <v>69.40739151000976</v>
      </c>
      <c r="J1029" s="376" t="n">
        <v>66.49932655334473</v>
      </c>
      <c r="K1029" s="94" t="n">
        <v>0.3084803815681806</v>
      </c>
      <c r="L1029" s="94" t="n">
        <v>-0.1702713160531637</v>
      </c>
      <c r="M1029" s="94" t="n">
        <v>-0.1938276813316198</v>
      </c>
      <c r="N1029" t="n">
        <v>35.42172418604719</v>
      </c>
      <c r="O1029" t="n">
        <v>0.01614433078662958</v>
      </c>
      <c r="P1029" s="143">
        <f>MAX($E$2:E1029)</f>
        <v/>
      </c>
      <c r="Q1029" s="144">
        <f>E1029/P1029-1</f>
        <v/>
      </c>
      <c r="R1029" s="94" t="n">
        <v>0.0004803961984587435</v>
      </c>
    </row>
    <row r="1030">
      <c r="A1030" s="375" t="n">
        <v>45960</v>
      </c>
      <c r="B1030" s="376" t="n">
        <v>63.09948772121712</v>
      </c>
      <c r="C1030" s="376" t="n">
        <v>63.89331344126477</v>
      </c>
      <c r="D1030" s="376" t="n">
        <v>62.50895802126931</v>
      </c>
      <c r="E1030" s="376" t="n">
        <v>62.82842636108398</v>
      </c>
      <c r="F1030" s="93" t="n">
        <v>13895200</v>
      </c>
      <c r="G1030" s="94" t="n">
        <v>-0.006886032840105694</v>
      </c>
      <c r="H1030" s="95" t="n">
        <v>46.51267379740149</v>
      </c>
      <c r="I1030" s="376" t="n">
        <v>69.19507713317871</v>
      </c>
      <c r="J1030" s="376" t="n">
        <v>66.4747352027893</v>
      </c>
      <c r="K1030" s="94" t="n">
        <v>0.3056618104431723</v>
      </c>
      <c r="L1030" s="94" t="n">
        <v>-0.1759848550191992</v>
      </c>
      <c r="M1030" s="94" t="n">
        <v>-0.1993790103927544</v>
      </c>
      <c r="N1030" t="n">
        <v>34.25328064360906</v>
      </c>
      <c r="O1030" t="n">
        <v>-0.1164522620474835</v>
      </c>
      <c r="P1030" s="143">
        <f>MAX($E$2:E1030)</f>
        <v/>
      </c>
      <c r="Q1030" s="144">
        <f>E1030/P1030-1</f>
        <v/>
      </c>
      <c r="R1030" s="94" t="n">
        <v>-0.01099812412341739</v>
      </c>
    </row>
    <row r="1031">
      <c r="A1031" s="375" t="n">
        <v>45961</v>
      </c>
      <c r="B1031" s="376" t="n">
        <v>62.92523689041028</v>
      </c>
      <c r="C1031" s="376" t="n">
        <v>63.16725703229648</v>
      </c>
      <c r="D1031" s="376" t="n">
        <v>62.1991764647517</v>
      </c>
      <c r="E1031" s="376" t="n">
        <v>62.5283203125</v>
      </c>
      <c r="F1031" s="93" t="n">
        <v>17822500</v>
      </c>
      <c r="G1031" s="94" t="n">
        <v>-0.004776596613437878</v>
      </c>
      <c r="H1031" s="95" t="n">
        <v>46.29050151725888</v>
      </c>
      <c r="I1031" s="376" t="n">
        <v>68.97830162048339</v>
      </c>
      <c r="J1031" s="376" t="n">
        <v>66.4491192817688</v>
      </c>
      <c r="K1031" s="94" t="n">
        <v>0.2862936417338157</v>
      </c>
      <c r="L1031" s="94" t="n">
        <v>-0.179920842970136</v>
      </c>
      <c r="M1031" s="94" t="n">
        <v>-0.2032032539003596</v>
      </c>
      <c r="N1031" t="n">
        <v>33.43505455628383</v>
      </c>
      <c r="O1031" t="n">
        <v>-0.2024558246341559</v>
      </c>
      <c r="P1031" s="143">
        <f>MAX($E$2:E1031)</f>
        <v/>
      </c>
      <c r="Q1031" s="144">
        <f>E1031/P1031-1</f>
        <v/>
      </c>
      <c r="R1031" s="94" t="n">
        <v>0.003280200009982304</v>
      </c>
    </row>
    <row r="1032">
      <c r="A1032" s="375" t="n">
        <v>45964</v>
      </c>
      <c r="B1032" s="376" t="n">
        <v>62.65417203462726</v>
      </c>
      <c r="C1032" s="376" t="n">
        <v>62.78001984250822</v>
      </c>
      <c r="D1032" s="376" t="n">
        <v>60.35013937777082</v>
      </c>
      <c r="E1032" s="376" t="n">
        <v>60.65024566650391</v>
      </c>
      <c r="F1032" s="93" t="n">
        <v>22633300</v>
      </c>
      <c r="G1032" s="94" t="n">
        <v>-0.03003558446172827</v>
      </c>
      <c r="H1032" s="95" t="n">
        <v>44.90013924916149</v>
      </c>
      <c r="I1032" s="376" t="n">
        <v>68.6815892791748</v>
      </c>
      <c r="J1032" s="376" t="n">
        <v>66.41392259597778</v>
      </c>
      <c r="K1032" s="94" t="n">
        <v>0.2991748684013806</v>
      </c>
      <c r="L1032" s="94" t="n">
        <v>-0.2045523997564095</v>
      </c>
      <c r="M1032" s="94" t="n">
        <v>-0.2271355098666656</v>
      </c>
      <c r="N1032" t="n">
        <v>28.79879032499147</v>
      </c>
      <c r="O1032" t="n">
        <v>-0.3549881613413155</v>
      </c>
      <c r="P1032" s="143">
        <f>MAX($E$2:E1032)</f>
        <v/>
      </c>
      <c r="Q1032" s="144">
        <f>E1032/P1032-1</f>
        <v/>
      </c>
      <c r="R1032" s="94" t="n">
        <v>0.001876606200154285</v>
      </c>
    </row>
    <row r="1033">
      <c r="A1033" s="375" t="n">
        <v>45965</v>
      </c>
      <c r="B1033" s="376" t="n">
        <v>60.42758440743425</v>
      </c>
      <c r="C1033" s="376" t="n">
        <v>60.59216001649128</v>
      </c>
      <c r="D1033" s="376" t="n">
        <v>59.16908046748766</v>
      </c>
      <c r="E1033" s="376" t="n">
        <v>59.27556991577148</v>
      </c>
      <c r="F1033" s="93" t="n">
        <v>13725400</v>
      </c>
      <c r="G1033" s="94" t="n">
        <v>-0.02266562543359374</v>
      </c>
      <c r="H1033" s="95" t="n">
        <v>43.88244951102379</v>
      </c>
      <c r="I1033" s="376" t="n">
        <v>68.34216690063477</v>
      </c>
      <c r="J1033" s="376" t="n">
        <v>66.37313766479492</v>
      </c>
      <c r="K1033" s="94" t="n">
        <v>0.2904850049847644</v>
      </c>
      <c r="L1033" s="94" t="n">
        <v>-0.2225817171155817</v>
      </c>
      <c r="M1033" s="94" t="n">
        <v>-0.2446529669109532</v>
      </c>
      <c r="N1033" t="n">
        <v>25.96112156258181</v>
      </c>
      <c r="O1033" t="n">
        <v>-0.5082886163621918</v>
      </c>
      <c r="P1033" s="143">
        <f>MAX($E$2:E1033)</f>
        <v/>
      </c>
      <c r="Q1033" s="144">
        <f>E1033/P1033-1</f>
        <v/>
      </c>
      <c r="R1033" s="94" t="n">
        <v>-0.01185355130298871</v>
      </c>
    </row>
    <row r="1034">
      <c r="A1034" s="375" t="n">
        <v>45966</v>
      </c>
      <c r="B1034" s="376" t="n">
        <v>59.32397474126301</v>
      </c>
      <c r="C1034" s="376" t="n">
        <v>60.84386090469108</v>
      </c>
      <c r="D1034" s="376" t="n">
        <v>58.91738268411196</v>
      </c>
      <c r="E1034" s="376" t="n">
        <v>60.12748336791992</v>
      </c>
      <c r="F1034" s="93" t="n">
        <v>20979800</v>
      </c>
      <c r="G1034" s="94" t="n">
        <v>0.01437208369922005</v>
      </c>
      <c r="H1034" s="95" t="n">
        <v>44.51313174832303</v>
      </c>
      <c r="I1034" s="376" t="n">
        <v>68.02979866027832</v>
      </c>
      <c r="J1034" s="376" t="n">
        <v>66.32552251815795</v>
      </c>
      <c r="K1034" s="94" t="n">
        <v>0.2978701173202083</v>
      </c>
      <c r="L1034" s="94" t="n">
        <v>-0.2114085964846629</v>
      </c>
      <c r="M1034" s="94" t="n">
        <v>-0.2337970561294399</v>
      </c>
      <c r="N1034" t="n">
        <v>30.5295561882033</v>
      </c>
      <c r="O1034" t="n">
        <v>-0.510780036109604</v>
      </c>
      <c r="P1034" s="143">
        <f>MAX($E$2:E1034)</f>
        <v/>
      </c>
      <c r="Q1034" s="144">
        <f>E1034/P1034-1</f>
        <v/>
      </c>
      <c r="R1034" s="94" t="n">
        <v>0.003465493850233203</v>
      </c>
    </row>
    <row r="1035">
      <c r="A1035" s="375" t="n">
        <v>45967</v>
      </c>
      <c r="B1035" s="376" t="n">
        <v>59.90482582421632</v>
      </c>
      <c r="C1035" s="376" t="n">
        <v>60.48567268049635</v>
      </c>
      <c r="D1035" s="376" t="n">
        <v>59.70152610087748</v>
      </c>
      <c r="E1035" s="376" t="n">
        <v>59.91450500488281</v>
      </c>
      <c r="F1035" s="93" t="n">
        <v>15164600</v>
      </c>
      <c r="G1035" s="94" t="n">
        <v>-0.003542113374908729</v>
      </c>
      <c r="H1035" s="95" t="n">
        <v>44.35546118899822</v>
      </c>
      <c r="I1035" s="376" t="n">
        <v>67.72453514099121</v>
      </c>
      <c r="J1035" s="376" t="n">
        <v>66.27270177841187</v>
      </c>
      <c r="K1035" s="94" t="n">
        <v>0.2956519468124169</v>
      </c>
      <c r="L1035" s="94" t="n">
        <v>-0.2142018766423927</v>
      </c>
      <c r="M1035" s="94" t="n">
        <v>-0.2365110338248182</v>
      </c>
      <c r="N1035" t="n">
        <v>30.03067472730829</v>
      </c>
      <c r="O1035" t="n">
        <v>-0.4854114067053181</v>
      </c>
      <c r="P1035" s="143">
        <f>MAX($E$2:E1035)</f>
        <v/>
      </c>
      <c r="Q1035" s="144">
        <f>E1035/P1035-1</f>
        <v/>
      </c>
      <c r="R1035" s="94" t="n">
        <v>-0.01072932944695604</v>
      </c>
    </row>
    <row r="1036">
      <c r="A1036" s="375" t="n">
        <v>45968</v>
      </c>
      <c r="B1036" s="376" t="n">
        <v>59.76929519029171</v>
      </c>
      <c r="C1036" s="376" t="n">
        <v>60.19524930574592</v>
      </c>
      <c r="D1036" s="376" t="n">
        <v>58.36557764461334</v>
      </c>
      <c r="E1036" s="376" t="n">
        <v>59.14004135131836</v>
      </c>
      <c r="F1036" s="93" t="n">
        <v>15504800</v>
      </c>
      <c r="G1036" s="94" t="n">
        <v>-0.01292614623956811</v>
      </c>
      <c r="H1036" s="95" t="n">
        <v>43.78211601114574</v>
      </c>
      <c r="I1036" s="376" t="n">
        <v>67.40647903442382</v>
      </c>
      <c r="J1036" s="376" t="n">
        <v>66.21481884002685</v>
      </c>
      <c r="K1036" s="94" t="n">
        <v>0.263584551003912</v>
      </c>
      <c r="L1036" s="94" t="n">
        <v>-0.2243592180996913</v>
      </c>
      <c r="M1036" s="94" t="n">
        <v>-0.2463800038538954</v>
      </c>
      <c r="N1036" t="n">
        <v>28.22452497837618</v>
      </c>
      <c r="O1036" t="n">
        <v>-0.4786368324295613</v>
      </c>
      <c r="P1036" s="143">
        <f>MAX($E$2:E1036)</f>
        <v/>
      </c>
      <c r="Q1036" s="144">
        <f>E1036/P1036-1</f>
        <v/>
      </c>
      <c r="R1036" s="94" t="n">
        <v>0.0009844328728789709</v>
      </c>
    </row>
    <row r="1037">
      <c r="A1037" s="375" t="n">
        <v>45971</v>
      </c>
      <c r="B1037" s="376" t="n">
        <v>59.77897599846408</v>
      </c>
      <c r="C1037" s="376" t="n">
        <v>60.10812354439162</v>
      </c>
      <c r="D1037" s="376" t="n">
        <v>58.55919608881164</v>
      </c>
      <c r="E1037" s="376" t="n">
        <v>58.85929870605469</v>
      </c>
      <c r="F1037" s="93" t="n">
        <v>13063100</v>
      </c>
      <c r="G1037" s="94" t="n">
        <v>-0.004747082329481844</v>
      </c>
      <c r="H1037" s="95" t="n">
        <v>43.5742787018819</v>
      </c>
      <c r="I1037" s="376" t="n">
        <v>67.09340194702149</v>
      </c>
      <c r="J1037" s="376" t="n">
        <v>66.15895904541016</v>
      </c>
      <c r="K1037" s="94" t="n">
        <v>0.2261173871043068</v>
      </c>
      <c r="L1037" s="94" t="n">
        <v>-0.2280412487494757</v>
      </c>
      <c r="M1037" s="94" t="n">
        <v>-0.2499575000207447</v>
      </c>
      <c r="N1037" t="n">
        <v>27.57704197050612</v>
      </c>
      <c r="O1037" t="n">
        <v>-0.4512727545728037</v>
      </c>
      <c r="P1037" s="143">
        <f>MAX($E$2:E1037)</f>
        <v/>
      </c>
      <c r="Q1037" s="144">
        <f>E1037/P1037-1</f>
        <v/>
      </c>
      <c r="R1037" s="94" t="n">
        <v>0.01560431911664706</v>
      </c>
    </row>
    <row r="1038">
      <c r="A1038" s="375" t="n">
        <v>45972</v>
      </c>
      <c r="B1038" s="376" t="n">
        <v>59.7596124735152</v>
      </c>
      <c r="C1038" s="376" t="n">
        <v>61.56992208511435</v>
      </c>
      <c r="D1038" s="376" t="n">
        <v>59.28525506757222</v>
      </c>
      <c r="E1038" s="376" t="n">
        <v>61.1342887878418</v>
      </c>
      <c r="F1038" s="93" t="n">
        <v>17646400</v>
      </c>
      <c r="G1038" s="94" t="n">
        <v>0.03865132836781648</v>
      </c>
      <c r="H1038" s="95" t="n">
        <v>45.25848245637909</v>
      </c>
      <c r="I1038" s="376" t="n">
        <v>66.87771369934082</v>
      </c>
      <c r="J1038" s="376" t="n">
        <v>66.10490762710572</v>
      </c>
      <c r="K1038" s="94" t="n">
        <v>0.2730988446475949</v>
      </c>
      <c r="L1038" s="94" t="n">
        <v>-0.1982040175684822</v>
      </c>
      <c r="M1038" s="94" t="n">
        <v>-0.2209673610642287</v>
      </c>
      <c r="N1038" t="n">
        <v>39.65744056871367</v>
      </c>
      <c r="O1038" t="n">
        <v>-0.2483086110612005</v>
      </c>
      <c r="P1038" s="143">
        <f>MAX($E$2:E1038)</f>
        <v/>
      </c>
      <c r="Q1038" s="144">
        <f>E1038/P1038-1</f>
        <v/>
      </c>
      <c r="R1038" s="94" t="n">
        <v>0.002289429810842236</v>
      </c>
    </row>
    <row r="1039">
      <c r="A1039" s="375" t="n">
        <v>45973</v>
      </c>
      <c r="B1039" s="376" t="n">
        <v>62.05395789356532</v>
      </c>
      <c r="C1039" s="376" t="n">
        <v>63.10916946766606</v>
      </c>
      <c r="D1039" s="376" t="n">
        <v>61.70545201944476</v>
      </c>
      <c r="E1039" s="376" t="n">
        <v>62.15076446533203</v>
      </c>
      <c r="F1039" s="93" t="n">
        <v>14812200</v>
      </c>
      <c r="G1039" s="94" t="n">
        <v>0.01662693224448519</v>
      </c>
      <c r="H1039" s="95" t="n">
        <v>46.01099217766952</v>
      </c>
      <c r="I1039" s="376" t="n">
        <v>66.67364219665528</v>
      </c>
      <c r="J1039" s="376" t="n">
        <v>66.06160238265991</v>
      </c>
      <c r="K1039" s="94" t="n">
        <v>0.2769111248425529</v>
      </c>
      <c r="L1039" s="94" t="n">
        <v>-0.184872610094693</v>
      </c>
      <c r="M1039" s="94" t="n">
        <v>-0.2080144381604011</v>
      </c>
      <c r="N1039" t="n">
        <v>44.14078400271997</v>
      </c>
      <c r="O1039" t="n">
        <v>-0.02567096773178923</v>
      </c>
      <c r="P1039" s="143">
        <f>MAX($E$2:E1039)</f>
        <v/>
      </c>
      <c r="Q1039" s="144">
        <f>E1039/P1039-1</f>
        <v/>
      </c>
      <c r="R1039" s="94" t="n">
        <v>0.0005564170284204639</v>
      </c>
    </row>
    <row r="1040">
      <c r="A1040" s="375" t="n">
        <v>45974</v>
      </c>
      <c r="B1040" s="376" t="n">
        <v>63.61257397662547</v>
      </c>
      <c r="C1040" s="376" t="n">
        <v>64.1450212495639</v>
      </c>
      <c r="D1040" s="376" t="n">
        <v>62.80906532323429</v>
      </c>
      <c r="E1040" s="376" t="n">
        <v>63.92235946655273</v>
      </c>
      <c r="F1040" s="93" t="n">
        <v>21923600</v>
      </c>
      <c r="G1040" s="94" t="n">
        <v>0.02850479823476526</v>
      </c>
      <c r="H1040" s="95" t="n">
        <v>47.32252622627536</v>
      </c>
      <c r="I1040" s="376" t="n">
        <v>66.49319198608399</v>
      </c>
      <c r="J1040" s="376" t="n">
        <v>66.01673179626465</v>
      </c>
      <c r="K1040" s="94" t="n">
        <v>0.2871638623581825</v>
      </c>
      <c r="L1040" s="94" t="n">
        <v>-0.1616375683098114</v>
      </c>
      <c r="M1040" s="94" t="n">
        <v>-0.1854390495153162</v>
      </c>
      <c r="N1040" t="n">
        <v>50.97720070116381</v>
      </c>
      <c r="O1040" t="n">
        <v>0.2458750714620255</v>
      </c>
      <c r="P1040" s="143">
        <f>MAX($E$2:E1040)</f>
        <v/>
      </c>
      <c r="Q1040" s="144">
        <f>E1040/P1040-1</f>
        <v/>
      </c>
      <c r="R1040" s="94" t="n">
        <v>-0.01659403413904836</v>
      </c>
    </row>
    <row r="1041">
      <c r="A1041" s="375" t="n">
        <v>45975</v>
      </c>
      <c r="B1041" s="376" t="n">
        <v>62.86714928728725</v>
      </c>
      <c r="C1041" s="376" t="n">
        <v>62.98331421895288</v>
      </c>
      <c r="D1041" s="376" t="n">
        <v>61.71513114248314</v>
      </c>
      <c r="E1041" s="376" t="n">
        <v>62.12172317504883</v>
      </c>
      <c r="F1041" s="93" t="n">
        <v>17760100</v>
      </c>
      <c r="G1041" s="94" t="n">
        <v>-0.0281691149471115</v>
      </c>
      <c r="H1041" s="95" t="n">
        <v>45.98949254541971</v>
      </c>
      <c r="I1041" s="376" t="n">
        <v>66.30460990905762</v>
      </c>
      <c r="J1041" s="376" t="n">
        <v>65.95452890396118</v>
      </c>
      <c r="K1041" s="94" t="n">
        <v>0.3014204597845734</v>
      </c>
      <c r="L1041" s="94" t="n">
        <v>-0.1852534960154322</v>
      </c>
      <c r="M1041" s="94" t="n">
        <v>-0.2083845105609476</v>
      </c>
      <c r="N1041" t="n">
        <v>44.95496694064431</v>
      </c>
      <c r="O1041" t="n">
        <v>0.3053091988461589</v>
      </c>
      <c r="P1041" s="143">
        <f>MAX($E$2:E1041)</f>
        <v/>
      </c>
      <c r="Q1041" s="144">
        <f>E1041/P1041-1</f>
        <v/>
      </c>
      <c r="R1041" s="94" t="n">
        <v>-0.000163772180045485</v>
      </c>
    </row>
    <row r="1042">
      <c r="A1042" s="375" t="n">
        <v>45978</v>
      </c>
      <c r="B1042" s="376" t="n">
        <v>61.05683723327709</v>
      </c>
      <c r="C1042" s="376" t="n">
        <v>61.51183625294994</v>
      </c>
      <c r="D1042" s="376" t="n">
        <v>60.27269069376444</v>
      </c>
      <c r="E1042" s="376" t="n">
        <v>60.89226531982422</v>
      </c>
      <c r="F1042" s="93" t="n">
        <v>17064700</v>
      </c>
      <c r="G1042" s="94" t="n">
        <v>-0.01979110997549438</v>
      </c>
      <c r="H1042" s="95" t="n">
        <v>45.07930944073613</v>
      </c>
      <c r="I1042" s="376" t="n">
        <v>66.08679176330567</v>
      </c>
      <c r="J1042" s="376" t="n">
        <v>65.892984790802</v>
      </c>
      <c r="K1042" s="94" t="n">
        <v>0.3067441479950945</v>
      </c>
      <c r="L1042" s="94" t="n">
        <v>-0.2013782336779404</v>
      </c>
      <c r="M1042" s="94" t="n">
        <v>-0.2240514597707407</v>
      </c>
      <c r="N1042" t="n">
        <v>41.36198275756144</v>
      </c>
      <c r="O1042" t="n">
        <v>0.2644354660353647</v>
      </c>
      <c r="P1042" s="143">
        <f>MAX($E$2:E1042)</f>
        <v/>
      </c>
      <c r="Q1042" s="144">
        <f>E1042/P1042-1</f>
        <v/>
      </c>
      <c r="R1042" s="94" t="n">
        <v>-0.009316527530857655</v>
      </c>
    </row>
    <row r="1043">
      <c r="A1043" s="375" t="n">
        <v>45979</v>
      </c>
      <c r="B1043" s="376" t="n">
        <v>60.4082263036672</v>
      </c>
      <c r="C1043" s="376" t="n">
        <v>60.75673219098614</v>
      </c>
      <c r="D1043" s="376" t="n">
        <v>59.71120714316104</v>
      </c>
      <c r="E1043" s="376" t="n">
        <v>60.49535369873047</v>
      </c>
      <c r="F1043" s="93" t="n">
        <v>14614600</v>
      </c>
      <c r="G1043" s="94" t="n">
        <v>-0.006518260061586734</v>
      </c>
      <c r="H1043" s="95" t="n">
        <v>44.78547077840467</v>
      </c>
      <c r="I1043" s="376" t="n">
        <v>65.87168434143067</v>
      </c>
      <c r="J1043" s="376" t="n">
        <v>65.83093160629272</v>
      </c>
      <c r="K1043" s="94" t="n">
        <v>0.3021160364288362</v>
      </c>
      <c r="L1043" s="94" t="n">
        <v>-0.2013381927739728</v>
      </c>
      <c r="M1043" s="94" t="n">
        <v>-0.2291092941503636</v>
      </c>
      <c r="N1043" t="n">
        <v>40.24372818730868</v>
      </c>
      <c r="O1043" t="n">
        <v>0.2153618321206971</v>
      </c>
      <c r="P1043" s="143">
        <f>MAX($E$2:E1043)</f>
        <v/>
      </c>
      <c r="Q1043" s="144">
        <f>E1043/P1043-1</f>
        <v/>
      </c>
      <c r="R1043" s="94" t="n">
        <v>-0.008397369138827382</v>
      </c>
    </row>
    <row r="1044">
      <c r="A1044" s="375" t="n">
        <v>45980</v>
      </c>
      <c r="B1044" s="376" t="n">
        <v>60.43727174123183</v>
      </c>
      <c r="C1044" s="376" t="n">
        <v>61.20205629631999</v>
      </c>
      <c r="D1044" s="376" t="n">
        <v>60.03067597167905</v>
      </c>
      <c r="E1044" s="376" t="n">
        <v>60.64056777954102</v>
      </c>
      <c r="F1044" s="93" t="n">
        <v>11732100</v>
      </c>
      <c r="G1044" s="94" t="n">
        <v>0.002400417088785245</v>
      </c>
      <c r="H1044" s="95" t="n">
        <v>44.89297458779044</v>
      </c>
      <c r="I1044" s="376" t="n">
        <v>65.6468962097168</v>
      </c>
      <c r="J1044" s="376" t="n">
        <v>65.76898571014404</v>
      </c>
      <c r="K1044" s="94" t="n">
        <v>0.2981713611717656</v>
      </c>
      <c r="L1044" s="94" t="n">
        <v>-0.1933700667841256</v>
      </c>
      <c r="M1044" s="94" t="n">
        <v>-0.2272588349264564</v>
      </c>
      <c r="N1044" t="n">
        <v>40.87355435965895</v>
      </c>
      <c r="O1044" t="n">
        <v>0.1978275226451542</v>
      </c>
      <c r="P1044" s="143">
        <f>MAX($E$2:E1044)</f>
        <v/>
      </c>
      <c r="Q1044" s="144">
        <f>E1044/P1044-1</f>
        <v/>
      </c>
      <c r="R1044" s="94" t="n">
        <v>0.00386314270439625</v>
      </c>
    </row>
    <row r="1045">
      <c r="A1045" s="375" t="n">
        <v>45981</v>
      </c>
      <c r="B1045" s="376" t="n">
        <v>60.94066766540385</v>
      </c>
      <c r="C1045" s="376" t="n">
        <v>61.79257953176214</v>
      </c>
      <c r="D1045" s="376" t="n">
        <v>59.44982282251036</v>
      </c>
      <c r="E1045" s="376" t="n">
        <v>59.46918487548828</v>
      </c>
      <c r="F1045" s="93" t="n">
        <v>13886600</v>
      </c>
      <c r="G1045" s="94" t="n">
        <v>-0.01931681953096642</v>
      </c>
      <c r="H1045" s="95" t="n">
        <v>44.02578509946984</v>
      </c>
      <c r="I1045" s="376" t="n">
        <v>65.39713134765626</v>
      </c>
      <c r="J1045" s="376" t="n">
        <v>65.71141582489014</v>
      </c>
      <c r="K1045" s="94" t="n">
        <v>0.2980487186504303</v>
      </c>
      <c r="L1045" s="94" t="n">
        <v>-0.2075302642858655</v>
      </c>
      <c r="M1045" s="94" t="n">
        <v>-0.2421857365563308</v>
      </c>
      <c r="N1045" t="n">
        <v>37.44503732171568</v>
      </c>
      <c r="O1045" t="n">
        <v>0.1165075954827319</v>
      </c>
      <c r="P1045" s="143">
        <f>MAX($E$2:E1045)</f>
        <v/>
      </c>
      <c r="Q1045" s="144">
        <f>E1045/P1045-1</f>
        <v/>
      </c>
      <c r="R1045" s="94" t="n">
        <v>-0.01524227623776697</v>
      </c>
    </row>
    <row r="1046">
      <c r="A1046" s="375" t="n">
        <v>45982</v>
      </c>
      <c r="B1046" s="376" t="n">
        <v>60.03067143532174</v>
      </c>
      <c r="C1046" s="376" t="n">
        <v>61.47311303537349</v>
      </c>
      <c r="D1046" s="376" t="n">
        <v>59.57567610200315</v>
      </c>
      <c r="E1046" s="376" t="n">
        <v>60.79545593261719</v>
      </c>
      <c r="F1046" s="93" t="n">
        <v>12476900</v>
      </c>
      <c r="G1046" s="94" t="n">
        <v>0.02230182000822345</v>
      </c>
      <c r="H1046" s="95" t="n">
        <v>45.00764023447893</v>
      </c>
      <c r="I1046" s="376" t="n">
        <v>65.19964294433593</v>
      </c>
      <c r="J1046" s="376" t="n">
        <v>65.67394668579101</v>
      </c>
      <c r="K1046" s="94" t="n">
        <v>0.3144356478639823</v>
      </c>
      <c r="L1046" s="94" t="n">
        <v>-0.1840976603088</v>
      </c>
      <c r="M1046" s="94" t="n">
        <v>-0.2252850992533456</v>
      </c>
      <c r="N1046" t="n">
        <v>43.24937474706062</v>
      </c>
      <c r="O1046" t="n">
        <v>0.1585999002939802</v>
      </c>
      <c r="P1046" s="143">
        <f>MAX($E$2:E1046)</f>
        <v/>
      </c>
      <c r="Q1046" s="144">
        <f>E1046/P1046-1</f>
        <v/>
      </c>
      <c r="R1046" s="94" t="n">
        <v>0.00996129221104658</v>
      </c>
    </row>
    <row r="1047">
      <c r="A1047" s="375" t="n">
        <v>45985</v>
      </c>
      <c r="B1047" s="376" t="n">
        <v>60.51471278838167</v>
      </c>
      <c r="C1047" s="376" t="n">
        <v>61.05683921896471</v>
      </c>
      <c r="D1047" s="376" t="n">
        <v>59.95322799682617</v>
      </c>
      <c r="E1047" s="376" t="n">
        <v>59.95322799682617</v>
      </c>
      <c r="F1047" s="93" t="n">
        <v>16681700</v>
      </c>
      <c r="G1047" s="94" t="n">
        <v>-0.01385346853430136</v>
      </c>
      <c r="H1047" s="95" t="n">
        <v>44.38412830668742</v>
      </c>
      <c r="I1047" s="376" t="n">
        <v>64.9847290802002</v>
      </c>
      <c r="J1047" s="376" t="n">
        <v>65.64683050155639</v>
      </c>
      <c r="K1047" s="94" t="n">
        <v>0.3160176455170114</v>
      </c>
      <c r="L1047" s="94" t="n">
        <v>-0.1781022023777775</v>
      </c>
      <c r="M1047" s="94" t="n">
        <v>-0.2360175877538937</v>
      </c>
      <c r="N1047" t="n">
        <v>40.66870037022491</v>
      </c>
      <c r="O1047" t="n">
        <v>0.137088032068307</v>
      </c>
      <c r="P1047" s="143">
        <f>MAX($E$2:E1047)</f>
        <v/>
      </c>
      <c r="Q1047" s="144">
        <f>E1047/P1047-1</f>
        <v/>
      </c>
      <c r="R1047" s="94" t="n">
        <v>0.0147183645171578</v>
      </c>
    </row>
    <row r="1048">
      <c r="A1048" s="375" t="n">
        <v>45986</v>
      </c>
      <c r="B1048" s="376" t="n">
        <v>60.35013757266493</v>
      </c>
      <c r="C1048" s="376" t="n">
        <v>62.07332334687586</v>
      </c>
      <c r="D1048" s="376" t="n">
        <v>59.89513856305108</v>
      </c>
      <c r="E1048" s="376" t="n">
        <v>61.64736557006836</v>
      </c>
      <c r="F1048" s="93" t="n">
        <v>11527200</v>
      </c>
      <c r="G1048" s="94" t="n">
        <v>0.02825765400541691</v>
      </c>
      <c r="H1048" s="95" t="n">
        <v>45.63831964770983</v>
      </c>
      <c r="I1048" s="376" t="n">
        <v>64.80911926269532</v>
      </c>
      <c r="J1048" s="376" t="n">
        <v>65.61742851257324</v>
      </c>
      <c r="K1048" s="94" t="n">
        <v>0.3334517158430336</v>
      </c>
      <c r="L1048" s="94" t="n">
        <v>-0.1548772987847545</v>
      </c>
      <c r="M1048" s="94" t="n">
        <v>-0.2144292370824195</v>
      </c>
      <c r="N1048" t="n">
        <v>47.45992063460917</v>
      </c>
      <c r="O1048" t="n">
        <v>0.2383904580988099</v>
      </c>
      <c r="P1048" s="143">
        <f>MAX($E$2:E1048)</f>
        <v/>
      </c>
      <c r="Q1048" s="144">
        <f>E1048/P1048-1</f>
        <v/>
      </c>
      <c r="R1048" s="94" t="n">
        <v>0.009406037735779416</v>
      </c>
    </row>
    <row r="1049">
      <c r="A1049" s="375" t="n">
        <v>45987</v>
      </c>
      <c r="B1049" s="376" t="n">
        <v>61.47311415319653</v>
      </c>
      <c r="C1049" s="376" t="n">
        <v>62.79938714895763</v>
      </c>
      <c r="D1049" s="376" t="n">
        <v>60.96003264987729</v>
      </c>
      <c r="E1049" s="376" t="n">
        <v>62.2766227722168</v>
      </c>
      <c r="F1049" s="93" t="n">
        <v>13791000</v>
      </c>
      <c r="G1049" s="94" t="n">
        <v>0.01020736565674052</v>
      </c>
      <c r="H1049" s="95" t="n">
        <v>46.1041666643132</v>
      </c>
      <c r="I1049" s="376" t="n">
        <v>64.65461357116699</v>
      </c>
      <c r="J1049" s="376" t="n">
        <v>65.58926904678344</v>
      </c>
      <c r="K1049" s="94" t="n">
        <v>0.3189321210302956</v>
      </c>
      <c r="L1049" s="94" t="n">
        <v>-0.1462508223486384</v>
      </c>
      <c r="M1049" s="94" t="n">
        <v>-0.2064106290560752</v>
      </c>
      <c r="N1049" t="n">
        <v>49.76017709255283</v>
      </c>
      <c r="O1049" t="n">
        <v>0.3428585462900489</v>
      </c>
      <c r="P1049" s="143">
        <f>MAX($E$2:E1049)</f>
        <v/>
      </c>
      <c r="Q1049" s="144">
        <f>E1049/P1049-1</f>
        <v/>
      </c>
      <c r="R1049" s="94" t="n">
        <v>0.006903542517632921</v>
      </c>
    </row>
    <row r="1050">
      <c r="A1050" s="375" t="n">
        <v>45989</v>
      </c>
      <c r="B1050" s="376" t="n">
        <v>62.41215806230695</v>
      </c>
      <c r="C1050" s="376" t="n">
        <v>62.71226068770707</v>
      </c>
      <c r="D1050" s="376" t="n">
        <v>61.92811775766473</v>
      </c>
      <c r="E1050" s="376" t="n">
        <v>62.56704711914062</v>
      </c>
      <c r="F1050" s="93" t="n">
        <v>4941400</v>
      </c>
      <c r="G1050" s="94" t="n">
        <v>0.004663456912011421</v>
      </c>
      <c r="H1050" s="95" t="n">
        <v>46.31917145901642</v>
      </c>
      <c r="I1050" s="376" t="n">
        <v>64.50998252868652</v>
      </c>
      <c r="J1050" s="376" t="n">
        <v>65.55818292617798</v>
      </c>
      <c r="K1050" s="94" t="n">
        <v>0.3185453673162862</v>
      </c>
      <c r="L1050" s="94" t="n">
        <v>-0.1332975483026579</v>
      </c>
      <c r="M1050" s="94" t="n">
        <v>-0.2027097592188479</v>
      </c>
      <c r="N1050" t="n">
        <v>50.83015276396132</v>
      </c>
      <c r="O1050" t="n">
        <v>0.4214294551610036</v>
      </c>
      <c r="P1050" s="143">
        <f>MAX($E$2:E1050)</f>
        <v/>
      </c>
      <c r="Q1050" s="144">
        <f>E1050/P1050-1</f>
        <v/>
      </c>
      <c r="R1050" s="94" t="n">
        <v>0.005458373086222323</v>
      </c>
    </row>
    <row r="1051">
      <c r="A1051" s="375" t="n">
        <v>45992</v>
      </c>
      <c r="B1051" s="376" t="n">
        <v>62.12862270262529</v>
      </c>
      <c r="C1051" s="376" t="n">
        <v>64.29147953575165</v>
      </c>
      <c r="D1051" s="376" t="n">
        <v>61.94351445567401</v>
      </c>
      <c r="E1051" s="376" t="n">
        <v>63.70692443847656</v>
      </c>
      <c r="F1051" s="93" t="n">
        <v>12047300</v>
      </c>
      <c r="G1051" s="94" t="n">
        <v>0.01821849314968271</v>
      </c>
      <c r="H1051" s="95" t="n">
        <v>47.16303696694149</v>
      </c>
      <c r="I1051" s="376" t="n">
        <v>64.411576461792</v>
      </c>
      <c r="J1051" s="376" t="n">
        <v>65.52827466964722</v>
      </c>
      <c r="K1051" s="94" t="n">
        <v>0.3243932186956436</v>
      </c>
      <c r="L1051" s="94" t="n">
        <v>-0.1175075356235967</v>
      </c>
      <c r="M1051" s="94" t="n">
        <v>-0.1881843324288676</v>
      </c>
      <c r="N1051" t="n">
        <v>54.89084666563248</v>
      </c>
      <c r="O1051" t="n">
        <v>0.5328992781180317</v>
      </c>
      <c r="P1051" s="143">
        <f>MAX($E$2:E1051)</f>
        <v/>
      </c>
      <c r="Q1051" s="144">
        <f>E1051/P1051-1</f>
        <v/>
      </c>
      <c r="R1051" s="94" t="n">
        <v>-0.004565432601189801</v>
      </c>
    </row>
    <row r="1052">
      <c r="A1052" s="375" t="n">
        <v>45993</v>
      </c>
      <c r="B1052" s="376" t="n">
        <v>63.76538246220313</v>
      </c>
      <c r="C1052" s="376" t="n">
        <v>63.78487184560765</v>
      </c>
      <c r="D1052" s="376" t="n">
        <v>62.91778010965328</v>
      </c>
      <c r="E1052" s="376" t="n">
        <v>63.25876998901367</v>
      </c>
      <c r="F1052" s="93" t="n">
        <v>9051200</v>
      </c>
      <c r="G1052" s="94" t="n">
        <v>-0.007034626979924075</v>
      </c>
      <c r="H1052" s="95" t="n">
        <v>46.83126259463869</v>
      </c>
      <c r="I1052" s="376" t="n">
        <v>64.29665634155273</v>
      </c>
      <c r="J1052" s="376" t="n">
        <v>65.49693473815918</v>
      </c>
      <c r="K1052" s="94" t="n">
        <v>0.3047632624426607</v>
      </c>
      <c r="L1052" s="94" t="n">
        <v>-0.1237155409230787</v>
      </c>
      <c r="M1052" s="94" t="n">
        <v>-0.1938951528266886</v>
      </c>
      <c r="N1052" t="n">
        <v>53.0363365948433</v>
      </c>
      <c r="O1052" t="n">
        <v>0.5565870079495381</v>
      </c>
      <c r="P1052" s="143">
        <f>MAX($E$2:E1052)</f>
        <v/>
      </c>
      <c r="Q1052" s="144">
        <f>E1052/P1052-1</f>
        <v/>
      </c>
      <c r="R1052" s="94" t="n">
        <v>0.001852160533517999</v>
      </c>
    </row>
    <row r="1053">
      <c r="A1053" s="375" t="n">
        <v>45994</v>
      </c>
      <c r="B1053" s="376" t="n">
        <v>63.40490712772031</v>
      </c>
      <c r="C1053" s="376" t="n">
        <v>64.94424127862759</v>
      </c>
      <c r="D1053" s="376" t="n">
        <v>63.30748251514852</v>
      </c>
      <c r="E1053" s="376" t="n">
        <v>63.96023559570312</v>
      </c>
      <c r="F1053" s="93" t="n">
        <v>12028300</v>
      </c>
      <c r="G1053" s="94" t="n">
        <v>0.01108882779117071</v>
      </c>
      <c r="H1053" s="95" t="n">
        <v>47.35056640079373</v>
      </c>
      <c r="I1053" s="376" t="n">
        <v>64.20254211425781</v>
      </c>
      <c r="J1053" s="376" t="n">
        <v>65.44744644165038</v>
      </c>
      <c r="K1053" s="94" t="n">
        <v>0.2913743043370923</v>
      </c>
      <c r="L1053" s="94" t="n">
        <v>-0.1139985734602955</v>
      </c>
      <c r="M1053" s="94" t="n">
        <v>-0.1849563949947557</v>
      </c>
      <c r="N1053" t="n">
        <v>55.56680082565794</v>
      </c>
      <c r="O1053" t="n">
        <v>0.5961103643763066</v>
      </c>
      <c r="P1053" s="143">
        <f>MAX($E$2:E1053)</f>
        <v/>
      </c>
      <c r="Q1053" s="144">
        <f>E1053/P1053-1</f>
        <v/>
      </c>
      <c r="R1053" s="94" t="n">
        <v>0.00346274850061179</v>
      </c>
    </row>
    <row r="1054">
      <c r="A1054" s="375" t="n">
        <v>45995</v>
      </c>
      <c r="B1054" s="376" t="n">
        <v>63.91151918906574</v>
      </c>
      <c r="C1054" s="376" t="n">
        <v>64.39864968202055</v>
      </c>
      <c r="D1054" s="376" t="n">
        <v>63.33670877522936</v>
      </c>
      <c r="E1054" s="376" t="n">
        <v>63.99920654296875</v>
      </c>
      <c r="F1054" s="93" t="n">
        <v>10619500</v>
      </c>
      <c r="G1054" s="94" t="n">
        <v>0.0006092996203448386</v>
      </c>
      <c r="H1054" s="95" t="n">
        <v>47.37941708292485</v>
      </c>
      <c r="I1054" s="376" t="n">
        <v>64.10359222412109</v>
      </c>
      <c r="J1054" s="376" t="n">
        <v>65.40200820922851</v>
      </c>
      <c r="K1054" s="94" t="n">
        <v>0.2889428182775593</v>
      </c>
      <c r="L1054" s="94" t="n">
        <v>-0.1134587331274799</v>
      </c>
      <c r="M1054" s="94" t="n">
        <v>-0.1844597892356615</v>
      </c>
      <c r="N1054" t="n">
        <v>55.70958079697535</v>
      </c>
      <c r="O1054" t="n">
        <v>0.5998497875555233</v>
      </c>
      <c r="P1054" s="143">
        <f>MAX($E$2:E1054)</f>
        <v/>
      </c>
      <c r="Q1054" s="144">
        <f>E1054/P1054-1</f>
        <v/>
      </c>
      <c r="R1054" s="94" t="n">
        <v>0.0007311512280543386</v>
      </c>
    </row>
    <row r="1055">
      <c r="A1055" s="375" t="n">
        <v>45996</v>
      </c>
      <c r="B1055" s="376" t="n">
        <v>64.00894012281516</v>
      </c>
      <c r="C1055" s="376" t="n">
        <v>64.37916403331982</v>
      </c>
      <c r="D1055" s="376" t="n">
        <v>63.21004645759811</v>
      </c>
      <c r="E1055" s="376" t="n">
        <v>64.16482543945312</v>
      </c>
      <c r="F1055" s="93" t="n">
        <v>10917900</v>
      </c>
      <c r="G1055" s="94" t="n">
        <v>0.002587827340846394</v>
      </c>
      <c r="H1055" s="95" t="n">
        <v>47.50202683384541</v>
      </c>
      <c r="I1055" s="376" t="n">
        <v>64.0462907409668</v>
      </c>
      <c r="J1055" s="376" t="n">
        <v>65.35525623321533</v>
      </c>
      <c r="K1055" s="94" t="n">
        <v>0.2878399671550911</v>
      </c>
      <c r="L1055" s="94" t="n">
        <v>-0.1111645173982786</v>
      </c>
      <c r="M1055" s="94" t="n">
        <v>-0.1823493119806859</v>
      </c>
      <c r="N1055" t="n">
        <v>56.35150330722341</v>
      </c>
      <c r="O1055" t="n">
        <v>0.5876797051264671</v>
      </c>
      <c r="P1055" s="143">
        <f>MAX($E$2:E1055)</f>
        <v/>
      </c>
      <c r="Q1055" s="144">
        <f>E1055/P1055-1</f>
        <v/>
      </c>
      <c r="R1055" s="94" t="n">
        <v>0.001899514150938808</v>
      </c>
    </row>
    <row r="1056">
      <c r="A1056" s="375" t="n">
        <v>45999</v>
      </c>
      <c r="B1056" s="376" t="n">
        <v>63.91152405007379</v>
      </c>
      <c r="C1056" s="376" t="n">
        <v>64.10638072188905</v>
      </c>
      <c r="D1056" s="376" t="n">
        <v>61.64149771283542</v>
      </c>
      <c r="E1056" s="376" t="n">
        <v>61.90454864501953</v>
      </c>
      <c r="F1056" s="93" t="n">
        <v>12867300</v>
      </c>
      <c r="G1056" s="94" t="n">
        <v>-0.03522610369393775</v>
      </c>
      <c r="H1056" s="95" t="n">
        <v>45.82871551092416</v>
      </c>
      <c r="I1056" s="376" t="n">
        <v>63.94242858886719</v>
      </c>
      <c r="J1056" s="376" t="n">
        <v>65.30067729949951</v>
      </c>
      <c r="K1056" s="94" t="n">
        <v>0.314462129902793</v>
      </c>
      <c r="L1056" s="94" t="n">
        <v>-0.142474728275258</v>
      </c>
      <c r="M1056" s="94" t="n">
        <v>-0.2111519599022739</v>
      </c>
      <c r="N1056" t="n">
        <v>46.45575275668893</v>
      </c>
      <c r="O1056" t="n">
        <v>0.4100213920484507</v>
      </c>
      <c r="P1056" s="143">
        <f>MAX($E$2:E1056)</f>
        <v/>
      </c>
      <c r="Q1056" s="144">
        <f>E1056/P1056-1</f>
        <v/>
      </c>
      <c r="R1056" s="94" t="n">
        <v>-0.003004201293183129</v>
      </c>
    </row>
    <row r="1057">
      <c r="A1057" s="375" t="n">
        <v>46000</v>
      </c>
      <c r="B1057" s="376" t="n">
        <v>61.87531855895763</v>
      </c>
      <c r="C1057" s="376" t="n">
        <v>62.30399580582035</v>
      </c>
      <c r="D1057" s="376" t="n">
        <v>61.3492204087795</v>
      </c>
      <c r="E1057" s="376" t="n">
        <v>61.69995498657227</v>
      </c>
      <c r="F1057" s="93" t="n">
        <v>9300200</v>
      </c>
      <c r="G1057" s="94" t="n">
        <v>-0.003304985868170518</v>
      </c>
      <c r="H1057" s="95" t="n">
        <v>45.67725225380415</v>
      </c>
      <c r="I1057" s="376" t="n">
        <v>63.82982749938965</v>
      </c>
      <c r="J1057" s="376" t="n">
        <v>65.22708452224731</v>
      </c>
      <c r="K1057" s="94" t="n">
        <v>0.3140643851905083</v>
      </c>
      <c r="L1057" s="94" t="n">
        <v>-0.1453088371799073</v>
      </c>
      <c r="M1057" s="94" t="n">
        <v>-0.2137590915269308</v>
      </c>
      <c r="N1057" t="n">
        <v>45.67389719790508</v>
      </c>
      <c r="O1057" t="n">
        <v>0.2682057779741808</v>
      </c>
      <c r="P1057" s="143">
        <f>MAX($E$2:E1057)</f>
        <v/>
      </c>
      <c r="Q1057" s="144">
        <f>E1057/P1057-1</f>
        <v/>
      </c>
      <c r="R1057" s="94" t="n">
        <v>-0.0008630954932499213</v>
      </c>
    </row>
    <row r="1058">
      <c r="A1058" s="375" t="n">
        <v>46001</v>
      </c>
      <c r="B1058" s="376" t="n">
        <v>62.33322011286516</v>
      </c>
      <c r="C1058" s="376" t="n">
        <v>64.44736847578369</v>
      </c>
      <c r="D1058" s="376" t="n">
        <v>62.11888149746499</v>
      </c>
      <c r="E1058" s="376" t="n">
        <v>64.09663391113281</v>
      </c>
      <c r="F1058" s="93" t="n">
        <v>20302100</v>
      </c>
      <c r="G1058" s="94" t="n">
        <v>0.03884409518746224</v>
      </c>
      <c r="H1058" s="95" t="n">
        <v>47.45154378825264</v>
      </c>
      <c r="I1058" s="376" t="n">
        <v>63.76167503356933</v>
      </c>
      <c r="J1058" s="376" t="n">
        <v>65.15862146377563</v>
      </c>
      <c r="K1058" s="94" t="n">
        <v>0.3143589209186676</v>
      </c>
      <c r="L1058" s="94" t="n">
        <v>-0.1121091322954409</v>
      </c>
      <c r="M1058" s="94" t="n">
        <v>-0.1832182748379262</v>
      </c>
      <c r="N1058" t="n">
        <v>55.18828707257366</v>
      </c>
      <c r="O1058" t="n">
        <v>0.3216857260560116</v>
      </c>
      <c r="P1058" s="143">
        <f>MAX($E$2:E1058)</f>
        <v/>
      </c>
      <c r="Q1058" s="144">
        <f>E1058/P1058-1</f>
        <v/>
      </c>
      <c r="R1058" s="94" t="n">
        <v>0.006632175045054867</v>
      </c>
    </row>
    <row r="1059">
      <c r="A1059" s="375" t="n">
        <v>46002</v>
      </c>
      <c r="B1059" s="376" t="n">
        <v>64.13560987000258</v>
      </c>
      <c r="C1059" s="376" t="n">
        <v>66.07438737391955</v>
      </c>
      <c r="D1059" s="376" t="n">
        <v>63.87255521103067</v>
      </c>
      <c r="E1059" s="376" t="n">
        <v>65.99644470214844</v>
      </c>
      <c r="F1059" s="93" t="n">
        <v>16153500</v>
      </c>
      <c r="G1059" s="94" t="n">
        <v>0.02963979034608322</v>
      </c>
      <c r="H1059" s="95" t="n">
        <v>48.85799759773443</v>
      </c>
      <c r="I1059" s="376" t="n">
        <v>63.64497245788574</v>
      </c>
      <c r="J1059" s="376" t="n">
        <v>65.10227518081665</v>
      </c>
      <c r="K1059" s="94" t="n">
        <v>0.3252884879207241</v>
      </c>
      <c r="L1059" s="94" t="n">
        <v>-0.08579223312647588</v>
      </c>
      <c r="M1059" s="94" t="n">
        <v>-0.1590090357456102</v>
      </c>
      <c r="N1059" t="n">
        <v>61.01653487821027</v>
      </c>
      <c r="O1059" t="n">
        <v>0.4623274913953377</v>
      </c>
      <c r="P1059" s="143">
        <f>MAX($E$2:E1059)</f>
        <v/>
      </c>
      <c r="Q1059" s="144">
        <f>E1059/P1059-1</f>
        <v/>
      </c>
      <c r="R1059" s="94" t="n">
        <v>0.002326892036534245</v>
      </c>
    </row>
    <row r="1060">
      <c r="A1060" s="375" t="n">
        <v>46003</v>
      </c>
      <c r="B1060" s="376" t="n">
        <v>66.41537053436588</v>
      </c>
      <c r="C1060" s="376" t="n">
        <v>67.36040489291355</v>
      </c>
      <c r="D1060" s="376" t="n">
        <v>65.39240094497526</v>
      </c>
      <c r="E1060" s="376" t="n">
        <v>65.73339080810547</v>
      </c>
      <c r="F1060" s="93" t="n">
        <v>14829200</v>
      </c>
      <c r="G1060" s="94" t="n">
        <v>-0.003985879773223733</v>
      </c>
      <c r="H1060" s="95" t="n">
        <v>48.6632554933494</v>
      </c>
      <c r="I1060" s="376" t="n">
        <v>63.51584495544434</v>
      </c>
      <c r="J1060" s="376" t="n">
        <v>65.05008710861206</v>
      </c>
      <c r="K1060" s="94" t="n">
        <v>0.3119443649029967</v>
      </c>
      <c r="L1060" s="94" t="n">
        <v>-0.08943615537298122</v>
      </c>
      <c r="M1060" s="94" t="n">
        <v>-0.1623611246194956</v>
      </c>
      <c r="N1060" t="n">
        <v>59.85569843238459</v>
      </c>
      <c r="O1060" t="n">
        <v>0.5111452122217789</v>
      </c>
      <c r="P1060" s="143">
        <f>MAX($E$2:E1060)</f>
        <v/>
      </c>
      <c r="Q1060" s="144">
        <f>E1060/P1060-1</f>
        <v/>
      </c>
      <c r="R1060" s="94" t="n">
        <v>-0.01075200956203659</v>
      </c>
    </row>
    <row r="1061">
      <c r="A1061" s="375" t="n">
        <v>46006</v>
      </c>
      <c r="B1061" s="376" t="n">
        <v>65.67493621463564</v>
      </c>
      <c r="C1061" s="376" t="n">
        <v>66.59073648117172</v>
      </c>
      <c r="D1061" s="376" t="n">
        <v>64.97346711991258</v>
      </c>
      <c r="E1061" s="376" t="n">
        <v>66.03540802001953</v>
      </c>
      <c r="F1061" s="93" t="n">
        <v>15287500</v>
      </c>
      <c r="G1061" s="94" t="n">
        <v>0.004594578314022213</v>
      </c>
      <c r="H1061" s="95" t="n">
        <v>48.88684263172888</v>
      </c>
      <c r="I1061" s="376" t="n">
        <v>63.44387245178223</v>
      </c>
      <c r="J1061" s="376" t="n">
        <v>65.00221715927124</v>
      </c>
      <c r="K1061" s="94" t="n">
        <v>0.2915117631694074</v>
      </c>
      <c r="L1061" s="94" t="n">
        <v>-0.08525249847892502</v>
      </c>
      <c r="M1061" s="94" t="n">
        <v>-0.1585125272076905</v>
      </c>
      <c r="N1061" t="n">
        <v>60.77831528020058</v>
      </c>
      <c r="O1061" t="n">
        <v>0.5347468098220718</v>
      </c>
      <c r="P1061" s="143">
        <f>MAX($E$2:E1061)</f>
        <v/>
      </c>
      <c r="Q1061" s="144">
        <f>E1061/P1061-1</f>
        <v/>
      </c>
      <c r="R1061" s="94" t="n">
        <v>-0.001510850004248554</v>
      </c>
    </row>
    <row r="1062">
      <c r="A1062" s="375" t="n">
        <v>46007</v>
      </c>
      <c r="B1062" s="376" t="n">
        <v>65.55802523918734</v>
      </c>
      <c r="C1062" s="376" t="n">
        <v>66.44459890642761</v>
      </c>
      <c r="D1062" s="376" t="n">
        <v>65.02217870243319</v>
      </c>
      <c r="E1062" s="376" t="n">
        <v>65.39240264892578</v>
      </c>
      <c r="F1062" s="93" t="n">
        <v>16376700</v>
      </c>
      <c r="G1062" s="94" t="n">
        <v>-0.009737281715573198</v>
      </c>
      <c r="H1062" s="95" t="n">
        <v>48.41081767283883</v>
      </c>
      <c r="I1062" s="376" t="n">
        <v>63.37375465393066</v>
      </c>
      <c r="J1062" s="376" t="n">
        <v>64.95409799575806</v>
      </c>
      <c r="K1062" s="94" t="n">
        <v>0.2830478544410246</v>
      </c>
      <c r="L1062" s="94" t="n">
        <v>-0.09415965259985259</v>
      </c>
      <c r="M1062" s="94" t="n">
        <v>-0.166706327790395</v>
      </c>
      <c r="N1062" t="n">
        <v>57.73594983720695</v>
      </c>
      <c r="O1062" t="n">
        <v>0.479778265505454</v>
      </c>
      <c r="P1062" s="143">
        <f>MAX($E$2:E1062)</f>
        <v/>
      </c>
      <c r="Q1062" s="144">
        <f>E1062/P1062-1</f>
        <v/>
      </c>
      <c r="R1062" s="94" t="n">
        <v>-0.002732182246624748</v>
      </c>
    </row>
    <row r="1063">
      <c r="A1063" s="375" t="n">
        <v>46008</v>
      </c>
      <c r="B1063" s="376" t="n">
        <v>64.84680884357638</v>
      </c>
      <c r="C1063" s="376" t="n">
        <v>65.10986347226398</v>
      </c>
      <c r="D1063" s="376" t="n">
        <v>63.93100857127594</v>
      </c>
      <c r="E1063" s="376" t="n">
        <v>63.99920654296875</v>
      </c>
      <c r="F1063" s="93" t="n">
        <v>13205500</v>
      </c>
      <c r="G1063" s="94" t="n">
        <v>-0.02130516771859148</v>
      </c>
      <c r="H1063" s="95" t="n">
        <v>47.37941708292485</v>
      </c>
      <c r="I1063" s="376" t="n">
        <v>63.31953010559082</v>
      </c>
      <c r="J1063" s="376" t="n">
        <v>64.90422704696655</v>
      </c>
      <c r="K1063" s="94" t="n">
        <v>0.2947671938227349</v>
      </c>
      <c r="L1063" s="94" t="n">
        <v>-0.1134587331274798</v>
      </c>
      <c r="M1063" s="94" t="n">
        <v>-0.1844597892356615</v>
      </c>
      <c r="N1063" t="n">
        <v>51.69763526074269</v>
      </c>
      <c r="O1063" t="n">
        <v>0.3294760884833254</v>
      </c>
      <c r="P1063" s="143">
        <f>MAX($E$2:E1063)</f>
        <v/>
      </c>
      <c r="Q1063" s="144">
        <f>E1063/P1063-1</f>
        <v/>
      </c>
      <c r="R1063" s="94" t="n">
        <v>-0.01100374503925428</v>
      </c>
    </row>
    <row r="1064">
      <c r="A1064" s="375" t="n">
        <v>46009</v>
      </c>
      <c r="B1064" s="376" t="n">
        <v>64.31097407870494</v>
      </c>
      <c r="C1064" s="376" t="n">
        <v>65.27549043826299</v>
      </c>
      <c r="D1064" s="376" t="n">
        <v>63.7166742427596</v>
      </c>
      <c r="E1064" s="376" t="n">
        <v>63.94075012207031</v>
      </c>
      <c r="F1064" s="93" t="n">
        <v>35650000</v>
      </c>
      <c r="G1064" s="94" t="n">
        <v>-0.0009133929005696872</v>
      </c>
      <c r="H1064" s="95" t="n">
        <v>47.33614105972818</v>
      </c>
      <c r="I1064" s="376" t="n">
        <v>63.26065147399903</v>
      </c>
      <c r="J1064" s="376" t="n">
        <v>64.85171976089478</v>
      </c>
      <c r="K1064" s="94" t="n">
        <v>0.29508850742718</v>
      </c>
      <c r="L1064" s="94" t="n">
        <v>-0.1142684936267032</v>
      </c>
      <c r="M1064" s="94" t="n">
        <v>-0.1852046978743027</v>
      </c>
      <c r="N1064" t="n">
        <v>51.4544724235267</v>
      </c>
      <c r="O1064" t="n">
        <v>0.2117287517361832</v>
      </c>
      <c r="P1064" s="143">
        <f>MAX($E$2:E1064)</f>
        <v/>
      </c>
      <c r="Q1064" s="144">
        <f>E1064/P1064-1</f>
        <v/>
      </c>
      <c r="R1064" s="94" t="n">
        <v>0.007551453182203183</v>
      </c>
    </row>
    <row r="1065">
      <c r="A1065" s="375" t="n">
        <v>46010</v>
      </c>
      <c r="B1065" s="376" t="n">
        <v>57.67625352148171</v>
      </c>
      <c r="C1065" s="376" t="n">
        <v>58.82588183025954</v>
      </c>
      <c r="D1065" s="376" t="n">
        <v>56.72147816133775</v>
      </c>
      <c r="E1065" s="376" t="n">
        <v>57.1988639831543</v>
      </c>
      <c r="F1065" s="93" t="n">
        <v>108652700</v>
      </c>
      <c r="G1065" s="94" t="n">
        <v>-0.1054395847099849</v>
      </c>
      <c r="H1065" s="95" t="n">
        <v>42.34503800461717</v>
      </c>
      <c r="I1065" s="376" t="n">
        <v>63.08687759399414</v>
      </c>
      <c r="J1065" s="376" t="n">
        <v>64.76598144531251</v>
      </c>
      <c r="K1065" s="94" t="n">
        <v>0.4807262252996334</v>
      </c>
      <c r="L1065" s="94" t="n">
        <v>-0.2076596558232532</v>
      </c>
      <c r="M1065" s="94" t="n">
        <v>-0.271116376154083</v>
      </c>
      <c r="N1065" t="n">
        <v>32.47981492452462</v>
      </c>
      <c r="O1065" t="n">
        <v>-0.3064447754050763</v>
      </c>
      <c r="P1065" s="143">
        <f>MAX($E$2:E1065)</f>
        <v/>
      </c>
      <c r="Q1065" s="144">
        <f>E1065/P1065-1</f>
        <v/>
      </c>
      <c r="R1065" s="94" t="n">
        <v>0.009063394238406408</v>
      </c>
    </row>
    <row r="1066">
      <c r="A1066" s="375" t="n">
        <v>46013</v>
      </c>
      <c r="B1066" s="376" t="n">
        <v>57.4716616092113</v>
      </c>
      <c r="C1066" s="376" t="n">
        <v>57.55934525333971</v>
      </c>
      <c r="D1066" s="376" t="n">
        <v>55.66927641690766</v>
      </c>
      <c r="E1066" s="376" t="n">
        <v>55.74721908569336</v>
      </c>
      <c r="F1066" s="93" t="n">
        <v>38695900</v>
      </c>
      <c r="G1066" s="94" t="n">
        <v>-0.02537891133447101</v>
      </c>
      <c r="H1066" s="95" t="n">
        <v>41.27036703964318</v>
      </c>
      <c r="I1066" s="376" t="n">
        <v>62.93905776977539</v>
      </c>
      <c r="J1066" s="376" t="n">
        <v>64.6687753868103</v>
      </c>
      <c r="K1066" s="94" t="n">
        <v>0.4792204611750721</v>
      </c>
      <c r="L1066" s="94" t="n">
        <v>-0.227768391164839</v>
      </c>
      <c r="M1066" s="94" t="n">
        <v>-0.2896146490168164</v>
      </c>
      <c r="N1066" t="n">
        <v>29.92126211124898</v>
      </c>
      <c r="O1066" t="n">
        <v>-0.7101248819149761</v>
      </c>
      <c r="P1066" s="143">
        <f>MAX($E$2:E1066)</f>
        <v/>
      </c>
      <c r="Q1066" s="144">
        <f>E1066/P1066-1</f>
        <v/>
      </c>
      <c r="R1066" s="94" t="n">
        <v>0.006229818660208997</v>
      </c>
    </row>
    <row r="1067">
      <c r="A1067" s="375" t="n">
        <v>46014</v>
      </c>
      <c r="B1067" s="376" t="n">
        <v>55.70824649524724</v>
      </c>
      <c r="C1067" s="376" t="n">
        <v>56.11743434761318</v>
      </c>
      <c r="D1067" s="376" t="n">
        <v>55.52313823582136</v>
      </c>
      <c r="E1067" s="376" t="n">
        <v>55.86412811279297</v>
      </c>
      <c r="F1067" s="93" t="n">
        <v>23276700</v>
      </c>
      <c r="G1067" s="94" t="n">
        <v>0.002097127516260455</v>
      </c>
      <c r="H1067" s="95" t="n">
        <v>41.35691626196819</v>
      </c>
      <c r="I1067" s="376" t="n">
        <v>62.75175506591797</v>
      </c>
      <c r="J1067" s="376" t="n">
        <v>64.58262987136841</v>
      </c>
      <c r="K1067" s="94" t="n">
        <v>0.4781582264689239</v>
      </c>
      <c r="L1067" s="94" t="n">
        <v>-0.2261489230090248</v>
      </c>
      <c r="M1067" s="94" t="n">
        <v>-0.2881248803501213</v>
      </c>
      <c r="N1067" t="n">
        <v>30.39679701953384</v>
      </c>
      <c r="O1067" t="n">
        <v>-0.9191611869594318</v>
      </c>
      <c r="P1067" s="143">
        <f>MAX($E$2:E1067)</f>
        <v/>
      </c>
      <c r="Q1067" s="144">
        <f>E1067/P1067-1</f>
        <v/>
      </c>
      <c r="R1067" s="94" t="n">
        <v>0.004570524308344925</v>
      </c>
    </row>
    <row r="1068">
      <c r="A1068" s="375" t="n">
        <v>46015</v>
      </c>
      <c r="B1068" s="376" t="n">
        <v>57.36449420468562</v>
      </c>
      <c r="C1068" s="376" t="n">
        <v>59.02073880632525</v>
      </c>
      <c r="D1068" s="376" t="n">
        <v>57.36449420468562</v>
      </c>
      <c r="E1068" s="376" t="n">
        <v>58.45566558837891</v>
      </c>
      <c r="F1068" s="93" t="n">
        <v>36073300</v>
      </c>
      <c r="G1068" s="94" t="n">
        <v>0.04639001024688816</v>
      </c>
      <c r="H1068" s="95" t="n">
        <v>43.27546403114059</v>
      </c>
      <c r="I1068" s="376" t="n">
        <v>62.61124908447265</v>
      </c>
      <c r="J1068" s="376" t="n">
        <v>64.52010953903198</v>
      </c>
      <c r="K1068" s="94" t="n">
        <v>0.4978442429757419</v>
      </c>
      <c r="L1068" s="94" t="n">
        <v>-0.1902499636178479</v>
      </c>
      <c r="M1068" s="94" t="n">
        <v>-0.2551009862550586</v>
      </c>
      <c r="N1068" t="n">
        <v>40.10003784172777</v>
      </c>
      <c r="O1068" t="n">
        <v>-0.835220538924463</v>
      </c>
      <c r="P1068" s="143">
        <f>MAX($E$2:E1068)</f>
        <v/>
      </c>
      <c r="Q1068" s="144">
        <f>E1068/P1068-1</f>
        <v/>
      </c>
      <c r="R1068" s="94" t="n">
        <v>0.003517646933646645</v>
      </c>
    </row>
    <row r="1069">
      <c r="A1069" s="375" t="n">
        <v>46017</v>
      </c>
      <c r="B1069" s="376" t="n">
        <v>58.45566179832078</v>
      </c>
      <c r="C1069" s="376" t="n">
        <v>59.36172485351562</v>
      </c>
      <c r="D1069" s="376" t="n">
        <v>58.31926584876644</v>
      </c>
      <c r="E1069" s="376" t="n">
        <v>59.36172485351562</v>
      </c>
      <c r="F1069" s="93" t="n">
        <v>22303600</v>
      </c>
      <c r="G1069" s="94" t="n">
        <v>0.01549993924484272</v>
      </c>
      <c r="H1069" s="95" t="n">
        <v>43.94623109441565</v>
      </c>
      <c r="I1069" s="376" t="n">
        <v>62.47298782348633</v>
      </c>
      <c r="J1069" s="376" t="n">
        <v>64.46494176864624</v>
      </c>
      <c r="K1069" s="94" t="n">
        <v>0.4999394136017088</v>
      </c>
      <c r="L1069" s="94" t="n">
        <v>-0.1776988872504153</v>
      </c>
      <c r="M1069" s="94" t="n">
        <v>-0.2435550967984688</v>
      </c>
      <c r="N1069" t="n">
        <v>43.08734726809261</v>
      </c>
      <c r="O1069" t="n">
        <v>-0.6777075653319309</v>
      </c>
      <c r="P1069" s="143">
        <f>MAX($E$2:E1069)</f>
        <v/>
      </c>
      <c r="Q1069" s="144">
        <f>E1069/P1069-1</f>
        <v/>
      </c>
      <c r="R1069" s="94" t="n">
        <v>-0.0001014832864867365</v>
      </c>
    </row>
    <row r="1070">
      <c r="A1070" s="375" t="n">
        <v>46020</v>
      </c>
      <c r="B1070" s="376" t="n">
        <v>58.98176455348374</v>
      </c>
      <c r="C1070" s="376" t="n">
        <v>60.16061952591558</v>
      </c>
      <c r="D1070" s="376" t="n">
        <v>58.95253419490768</v>
      </c>
      <c r="E1070" s="376" t="n">
        <v>59.63451766967773</v>
      </c>
      <c r="F1070" s="93" t="n">
        <v>18062100</v>
      </c>
      <c r="G1070" s="94" t="n">
        <v>0.004595432778196296</v>
      </c>
      <c r="H1070" s="95" t="n">
        <v>44.14818304526511</v>
      </c>
      <c r="I1070" s="376" t="n">
        <v>62.37154808044433</v>
      </c>
      <c r="J1070" s="376" t="n">
        <v>64.41563453674317</v>
      </c>
      <c r="K1070" s="94" t="n">
        <v>0.4999276186963428</v>
      </c>
      <c r="L1070" s="94" t="n">
        <v>-0.1436009817825478</v>
      </c>
      <c r="M1070" s="94" t="n">
        <v>-0.240078905095397</v>
      </c>
      <c r="N1070" t="n">
        <v>43.99299030786278</v>
      </c>
      <c r="O1070" t="n">
        <v>-0.521206926486413</v>
      </c>
      <c r="P1070" s="143">
        <f>MAX($E$2:E1070)</f>
        <v/>
      </c>
      <c r="Q1070" s="144">
        <f>E1070/P1070-1</f>
        <v/>
      </c>
      <c r="R1070" s="94" t="n">
        <v>-0.003563592192175946</v>
      </c>
    </row>
    <row r="1071">
      <c r="A1071" s="375" t="n">
        <v>46021</v>
      </c>
      <c r="B1071" s="376" t="n">
        <v>59.72219768442412</v>
      </c>
      <c r="C1071" s="376" t="n">
        <v>59.72219768442412</v>
      </c>
      <c r="D1071" s="376" t="n">
        <v>59.07918558247607</v>
      </c>
      <c r="E1071" s="376" t="n">
        <v>59.61502838134766</v>
      </c>
      <c r="F1071" s="93" t="n">
        <v>13507800</v>
      </c>
      <c r="G1071" s="94" t="n">
        <v>-0.000326812206950855</v>
      </c>
      <c r="H1071" s="95" t="n">
        <v>44.13375488013122</v>
      </c>
      <c r="I1071" s="376" t="n">
        <v>62.25945686340332</v>
      </c>
      <c r="J1071" s="376" t="n">
        <v>64.37091773986816</v>
      </c>
      <c r="K1071" s="94" t="n">
        <v>0.4943279368401533</v>
      </c>
      <c r="L1071" s="94" t="n">
        <v>-0.1347386679367137</v>
      </c>
      <c r="M1071" s="94" t="n">
        <v>-0.2403272565855313</v>
      </c>
      <c r="N1071" t="n">
        <v>43.93919454736989</v>
      </c>
      <c r="O1071" t="n">
        <v>-0.3910096466110919</v>
      </c>
      <c r="P1071" s="143">
        <f>MAX($E$2:E1071)</f>
        <v/>
      </c>
      <c r="Q1071" s="144">
        <f>E1071/P1071-1</f>
        <v/>
      </c>
      <c r="R1071" s="94" t="n">
        <v>-0.001221205623984534</v>
      </c>
    </row>
    <row r="1072">
      <c r="A1072" s="375" t="n">
        <v>46022</v>
      </c>
      <c r="B1072" s="376" t="n">
        <v>60.64774737063709</v>
      </c>
      <c r="C1072" s="376" t="n">
        <v>62.54755335120746</v>
      </c>
      <c r="D1072" s="376" t="n">
        <v>60.3262394560724</v>
      </c>
      <c r="E1072" s="376" t="n">
        <v>62.07016754150391</v>
      </c>
      <c r="F1072" s="93" t="n">
        <v>35457400</v>
      </c>
      <c r="G1072" s="94" t="n">
        <v>0.04118322555264298</v>
      </c>
      <c r="H1072" s="95" t="n">
        <v>45.95132526184472</v>
      </c>
      <c r="I1072" s="376" t="n">
        <v>62.19162818908691</v>
      </c>
      <c r="J1072" s="376" t="n">
        <v>64.3287181854248</v>
      </c>
      <c r="K1072" s="94" t="n">
        <v>0.5179609004960856</v>
      </c>
      <c r="L1072" s="94" t="n">
        <v>-0.07984019587462599</v>
      </c>
      <c r="M1072" s="94" t="n">
        <v>-0.2090414826472982</v>
      </c>
      <c r="N1072" t="n">
        <v>51.91601532607459</v>
      </c>
      <c r="O1072" t="n">
        <v>-0.1253077626325334</v>
      </c>
      <c r="P1072" s="143">
        <f>MAX($E$2:E1072)</f>
        <v/>
      </c>
      <c r="Q1072" s="144">
        <f>E1072/P1072-1</f>
        <v/>
      </c>
      <c r="R1072" s="94" t="n">
        <v>-0.007408895688822748</v>
      </c>
    </row>
    <row r="1073">
      <c r="A1073" s="375" t="n">
        <v>46024</v>
      </c>
      <c r="B1073" s="376" t="n">
        <v>62.35270662662601</v>
      </c>
      <c r="C1073" s="376" t="n">
        <v>62.47935788607347</v>
      </c>
      <c r="D1073" s="376" t="n">
        <v>60.94002737381433</v>
      </c>
      <c r="E1073" s="376" t="n">
        <v>61.65123748779297</v>
      </c>
      <c r="F1073" s="93" t="n">
        <v>22284100</v>
      </c>
      <c r="G1073" s="94" t="n">
        <v>-0.006749297936578191</v>
      </c>
      <c r="H1073" s="95" t="n">
        <v>45.64118607707192</v>
      </c>
      <c r="I1073" s="376" t="n">
        <v>62.10109321594238</v>
      </c>
      <c r="J1073" s="376" t="n">
        <v>64.28628959655762</v>
      </c>
      <c r="K1073" s="94" t="n">
        <v>0.5165703949320742</v>
      </c>
      <c r="L1073" s="94" t="n">
        <v>-0.08605062854193157</v>
      </c>
      <c r="M1073" s="94" t="n">
        <v>-0.2143798973363857</v>
      </c>
      <c r="N1073" t="n">
        <v>50.59315986844017</v>
      </c>
      <c r="O1073" t="n">
        <v>0.02826646908672859</v>
      </c>
      <c r="P1073" s="143">
        <f>MAX($E$2:E1073)</f>
        <v/>
      </c>
      <c r="Q1073" s="144">
        <f>E1073/P1073-1</f>
        <v/>
      </c>
      <c r="R1073" s="94" t="n">
        <v>0.001833034637959141</v>
      </c>
    </row>
    <row r="1074">
      <c r="A1074" s="375" t="n">
        <v>46027</v>
      </c>
      <c r="B1074" s="376" t="n">
        <v>62.09940092654573</v>
      </c>
      <c r="C1074" s="376" t="n">
        <v>63.68744747775536</v>
      </c>
      <c r="D1074" s="376" t="n">
        <v>61.75840732933528</v>
      </c>
      <c r="E1074" s="376" t="n">
        <v>62.86906433105469</v>
      </c>
      <c r="F1074" s="93" t="n">
        <v>23482500</v>
      </c>
      <c r="G1074" s="94" t="n">
        <v>0.01975348578368519</v>
      </c>
      <c r="H1074" s="95" t="n">
        <v>46.54275859739589</v>
      </c>
      <c r="I1074" s="376" t="n">
        <v>62.02097434997559</v>
      </c>
      <c r="J1074" s="376" t="n">
        <v>64.25148086547851</v>
      </c>
      <c r="K1074" s="94" t="n">
        <v>0.5219585621832235</v>
      </c>
      <c r="L1074" s="94" t="n">
        <v>-0.06799694262582667</v>
      </c>
      <c r="M1074" s="94" t="n">
        <v>-0.1988611618070427</v>
      </c>
      <c r="N1074" t="n">
        <v>54.24318252509251</v>
      </c>
      <c r="O1074" t="n">
        <v>0.2079002220488332</v>
      </c>
      <c r="P1074" s="143">
        <f>MAX($E$2:E1074)</f>
        <v/>
      </c>
      <c r="Q1074" s="144">
        <f>E1074/P1074-1</f>
        <v/>
      </c>
      <c r="R1074" s="94" t="n">
        <v>0.006660178462529753</v>
      </c>
    </row>
    <row r="1075">
      <c r="A1075" s="375" t="n">
        <v>46028</v>
      </c>
      <c r="B1075" s="376" t="n">
        <v>62.41115967573072</v>
      </c>
      <c r="C1075" s="376" t="n">
        <v>63.74589997282351</v>
      </c>
      <c r="D1075" s="376" t="n">
        <v>61.77789223134296</v>
      </c>
      <c r="E1075" s="376" t="n">
        <v>63.6679573059082</v>
      </c>
      <c r="F1075" s="93" t="n">
        <v>19973200</v>
      </c>
      <c r="G1075" s="94" t="n">
        <v>0.01270725090875735</v>
      </c>
      <c r="H1075" s="95" t="n">
        <v>47.13418910887872</v>
      </c>
      <c r="I1075" s="376" t="n">
        <v>61.94521636962891</v>
      </c>
      <c r="J1075" s="376" t="n">
        <v>64.22607202529908</v>
      </c>
      <c r="K1075" s="94" t="n">
        <v>0.5239485285178763</v>
      </c>
      <c r="L1075" s="94" t="n">
        <v>-0.05615374592804401</v>
      </c>
      <c r="M1075" s="94" t="n">
        <v>-0.1886808895773745</v>
      </c>
      <c r="N1075" t="n">
        <v>56.51282485069283</v>
      </c>
      <c r="O1075" t="n">
        <v>0.3672416524723063</v>
      </c>
      <c r="P1075" s="143">
        <f>MAX($E$2:E1075)</f>
        <v/>
      </c>
      <c r="Q1075" s="144">
        <f>E1075/P1075-1</f>
        <v/>
      </c>
      <c r="R1075" s="94" t="n">
        <v>0.005947257666825578</v>
      </c>
    </row>
    <row r="1076">
      <c r="A1076" s="375" t="n">
        <v>46029</v>
      </c>
      <c r="B1076" s="376" t="n">
        <v>63.83357688734905</v>
      </c>
      <c r="C1076" s="376" t="n">
        <v>63.92126424174808</v>
      </c>
      <c r="D1076" s="376" t="n">
        <v>61.56355070992461</v>
      </c>
      <c r="E1076" s="376" t="n">
        <v>61.59278106689453</v>
      </c>
      <c r="F1076" s="93" t="n">
        <v>18284100</v>
      </c>
      <c r="G1076" s="94" t="n">
        <v>-0.03259373045444169</v>
      </c>
      <c r="H1076" s="95" t="n">
        <v>45.59791005387525</v>
      </c>
      <c r="I1076" s="376" t="n">
        <v>61.83899108886719</v>
      </c>
      <c r="J1076" s="376" t="n">
        <v>64.20903898239136</v>
      </c>
      <c r="K1076" s="94" t="n">
        <v>0.5216697959386</v>
      </c>
      <c r="L1076" s="94" t="n">
        <v>-0.08691721632369986</v>
      </c>
      <c r="M1076" s="94" t="n">
        <v>-0.215124805975027</v>
      </c>
      <c r="N1076" t="n">
        <v>49.62679491354088</v>
      </c>
      <c r="O1076" t="n">
        <v>0.3212579062835496</v>
      </c>
      <c r="P1076" s="143">
        <f>MAX($E$2:E1076)</f>
        <v/>
      </c>
      <c r="Q1076" s="144">
        <f>E1076/P1076-1</f>
        <v/>
      </c>
      <c r="R1076" s="94" t="n">
        <v>-0.003223502994770699</v>
      </c>
    </row>
    <row r="1077">
      <c r="A1077" s="375" t="n">
        <v>46030</v>
      </c>
      <c r="B1077" s="376" t="n">
        <v>60.57955438693225</v>
      </c>
      <c r="C1077" s="376" t="n">
        <v>64.04792146090644</v>
      </c>
      <c r="D1077" s="376" t="n">
        <v>60.11190951346981</v>
      </c>
      <c r="E1077" s="376" t="n">
        <v>63.58028030395508</v>
      </c>
      <c r="F1077" s="93" t="n">
        <v>21573900</v>
      </c>
      <c r="G1077" s="94" t="n">
        <v>0.0322683795508758</v>
      </c>
      <c r="H1077" s="95" t="n">
        <v>47.06928072222038</v>
      </c>
      <c r="I1077" s="376" t="n">
        <v>61.7825838470459</v>
      </c>
      <c r="J1077" s="376" t="n">
        <v>64.20457439422607</v>
      </c>
      <c r="K1077" s="94" t="n">
        <v>0.533575435823852</v>
      </c>
      <c r="L1077" s="94" t="n">
        <v>-0.05745351449866287</v>
      </c>
      <c r="M1077" s="94" t="n">
        <v>-0.1897981553141619</v>
      </c>
      <c r="N1077" t="n">
        <v>55.25077847368662</v>
      </c>
      <c r="O1077" t="n">
        <v>0.4075291071438364</v>
      </c>
      <c r="P1077" s="143">
        <f>MAX($E$2:E1077)</f>
        <v/>
      </c>
      <c r="Q1077" s="144">
        <f>E1077/P1077-1</f>
        <v/>
      </c>
      <c r="R1077" s="94" t="n">
        <v>-0.0001015118214441335</v>
      </c>
    </row>
    <row r="1078">
      <c r="A1078" s="375" t="n">
        <v>46031</v>
      </c>
      <c r="B1078" s="376" t="n">
        <v>63.43413284705153</v>
      </c>
      <c r="C1078" s="376" t="n">
        <v>64.82732634235958</v>
      </c>
      <c r="D1078" s="376" t="n">
        <v>62.74240844490857</v>
      </c>
      <c r="E1078" s="376" t="n">
        <v>64.22328186035156</v>
      </c>
      <c r="F1078" s="93" t="n">
        <v>18470400</v>
      </c>
      <c r="G1078" s="94" t="n">
        <v>0.01011322305158946</v>
      </c>
      <c r="H1078" s="95" t="n">
        <v>47.54530285704208</v>
      </c>
      <c r="I1078" s="376" t="n">
        <v>61.76149604797363</v>
      </c>
      <c r="J1078" s="376" t="n">
        <v>64.20739086151123</v>
      </c>
      <c r="K1078" s="94" t="n">
        <v>0.5167856119980618</v>
      </c>
      <c r="L1078" s="94" t="n">
        <v>-0.04792133165429602</v>
      </c>
      <c r="M1078" s="94" t="n">
        <v>-0.1816044033420446</v>
      </c>
      <c r="N1078" t="n">
        <v>56.9262864901222</v>
      </c>
      <c r="O1078" t="n">
        <v>0.4854411254467885</v>
      </c>
      <c r="P1078" s="143">
        <f>MAX($E$2:E1078)</f>
        <v/>
      </c>
      <c r="Q1078" s="144">
        <f>E1078/P1078-1</f>
        <v/>
      </c>
      <c r="R1078" s="94" t="n">
        <v>0.006613390447410161</v>
      </c>
    </row>
    <row r="1079">
      <c r="A1079" s="375" t="n">
        <v>46034</v>
      </c>
      <c r="B1079" s="376" t="n">
        <v>63.57053544716226</v>
      </c>
      <c r="C1079" s="376" t="n">
        <v>64.63247645613012</v>
      </c>
      <c r="D1079" s="376" t="n">
        <v>62.58652967546956</v>
      </c>
      <c r="E1079" s="376" t="n">
        <v>63.95049667358398</v>
      </c>
      <c r="F1079" s="93" t="n">
        <v>13901100</v>
      </c>
      <c r="G1079" s="94" t="n">
        <v>-0.004247450128143981</v>
      </c>
      <c r="H1079" s="95" t="n">
        <v>47.3433565543293</v>
      </c>
      <c r="I1079" s="376" t="n">
        <v>61.77522468566895</v>
      </c>
      <c r="J1079" s="376" t="n">
        <v>64.21267024993897</v>
      </c>
      <c r="K1079" s="94" t="n">
        <v>0.5054216833533464</v>
      </c>
      <c r="L1079" s="94" t="n">
        <v>-0.05196523831616406</v>
      </c>
      <c r="M1079" s="94" t="n">
        <v>-0.185080497823942</v>
      </c>
      <c r="N1079" t="n">
        <v>55.968869776919</v>
      </c>
      <c r="O1079" t="n">
        <v>0.4944797043006686</v>
      </c>
      <c r="P1079" s="143">
        <f>MAX($E$2:E1079)</f>
        <v/>
      </c>
      <c r="Q1079" s="144">
        <f>E1079/P1079-1</f>
        <v/>
      </c>
      <c r="R1079" s="94" t="n">
        <v>0.001570433174567842</v>
      </c>
    </row>
    <row r="1080">
      <c r="A1080" s="375" t="n">
        <v>46035</v>
      </c>
      <c r="B1080" s="376" t="n">
        <v>64.54478983723268</v>
      </c>
      <c r="C1080" s="376" t="n">
        <v>65.35342823345825</v>
      </c>
      <c r="D1080" s="376" t="n">
        <v>64.15508395915832</v>
      </c>
      <c r="E1080" s="376" t="n">
        <v>64.593505859375</v>
      </c>
      <c r="F1080" s="93" t="n">
        <v>13685200</v>
      </c>
      <c r="G1080" s="94" t="n">
        <v>0.01005479580671698</v>
      </c>
      <c r="H1080" s="95" t="n">
        <v>47.81938433728767</v>
      </c>
      <c r="I1080" s="376" t="n">
        <v>61.81052627563476</v>
      </c>
      <c r="J1080" s="376" t="n">
        <v>64.22087768554688</v>
      </c>
      <c r="K1080" s="94" t="n">
        <v>0.506804135111551</v>
      </c>
      <c r="L1080" s="94" t="n">
        <v>-0.04243294236976358</v>
      </c>
      <c r="M1080" s="94" t="n">
        <v>-0.1768866486306504</v>
      </c>
      <c r="N1080" t="n">
        <v>57.77177164785579</v>
      </c>
      <c r="O1080" t="n">
        <v>0.5171927664940562</v>
      </c>
      <c r="P1080" s="143">
        <f>MAX($E$2:E1080)</f>
        <v/>
      </c>
      <c r="Q1080" s="144">
        <f>E1080/P1080-1</f>
        <v/>
      </c>
      <c r="R1080" s="94" t="n">
        <v>-0.001999428203883324</v>
      </c>
    </row>
    <row r="1081">
      <c r="A1081" s="375" t="n">
        <v>46036</v>
      </c>
      <c r="B1081" s="376" t="n">
        <v>64.5837589563792</v>
      </c>
      <c r="C1081" s="376" t="n">
        <v>65.40213458258714</v>
      </c>
      <c r="D1081" s="376" t="n">
        <v>63.36593277474515</v>
      </c>
      <c r="E1081" s="376" t="n">
        <v>63.88228988647461</v>
      </c>
      <c r="F1081" s="93" t="n">
        <v>15939100</v>
      </c>
      <c r="G1081" s="94" t="n">
        <v>-0.01101064206746671</v>
      </c>
      <c r="H1081" s="95" t="n">
        <v>47.29286221246318</v>
      </c>
      <c r="I1081" s="376" t="n">
        <v>61.83760566711426</v>
      </c>
      <c r="J1081" s="376" t="n">
        <v>64.23753583908081</v>
      </c>
      <c r="K1081" s="94" t="n">
        <v>0.5078021566047297</v>
      </c>
      <c r="L1081" s="94" t="n">
        <v>-0.05297637049692727</v>
      </c>
      <c r="M1081" s="94" t="n">
        <v>-0.1859496551235312</v>
      </c>
      <c r="N1081" t="n">
        <v>55.08509519939044</v>
      </c>
      <c r="O1081" t="n">
        <v>0.4596838008311698</v>
      </c>
      <c r="P1081" s="143">
        <f>MAX($E$2:E1081)</f>
        <v/>
      </c>
      <c r="Q1081" s="144">
        <f>E1081/P1081-1</f>
        <v/>
      </c>
      <c r="R1081" s="94" t="n">
        <v>-0.004915399780203944</v>
      </c>
    </row>
    <row r="1082">
      <c r="A1082" s="375" t="n">
        <v>46037</v>
      </c>
      <c r="B1082" s="376" t="n">
        <v>64.06740800191174</v>
      </c>
      <c r="C1082" s="376" t="n">
        <v>64.06740800191174</v>
      </c>
      <c r="D1082" s="376" t="n">
        <v>62.55730041834668</v>
      </c>
      <c r="E1082" s="376" t="n">
        <v>62.92751693725586</v>
      </c>
      <c r="F1082" s="93" t="n">
        <v>13295300</v>
      </c>
      <c r="G1082" s="94" t="n">
        <v>-0.01494581598304445</v>
      </c>
      <c r="H1082" s="95" t="n">
        <v>46.58603179652422</v>
      </c>
      <c r="I1082" s="376" t="n">
        <v>61.8831510925293</v>
      </c>
      <c r="J1082" s="376" t="n">
        <v>64.24851123809815</v>
      </c>
      <c r="K1082" s="94" t="n">
        <v>0.5093044549656212</v>
      </c>
      <c r="L1082" s="94" t="n">
        <v>-0.06713041139507514</v>
      </c>
      <c r="M1082" s="94" t="n">
        <v>-0.1981163017789888</v>
      </c>
      <c r="N1082" t="n">
        <v>51.61486888663017</v>
      </c>
      <c r="O1082" t="n">
        <v>0.3383169876743334</v>
      </c>
      <c r="P1082" s="143">
        <f>MAX($E$2:E1082)</f>
        <v/>
      </c>
      <c r="Q1082" s="144">
        <f>E1082/P1082-1</f>
        <v/>
      </c>
      <c r="R1082" s="94" t="n">
        <v>0.002723377547714678</v>
      </c>
    </row>
    <row r="1083">
      <c r="A1083" s="375" t="n">
        <v>46038</v>
      </c>
      <c r="B1083" s="376" t="n">
        <v>62.73266415519578</v>
      </c>
      <c r="C1083" s="376" t="n">
        <v>62.92751337875639</v>
      </c>
      <c r="D1083" s="376" t="n">
        <v>62.04093974862777</v>
      </c>
      <c r="E1083" s="376" t="n">
        <v>62.72291946411133</v>
      </c>
      <c r="F1083" s="93" t="n">
        <v>15903000</v>
      </c>
      <c r="G1083" s="94" t="n">
        <v>-0.003251319662724517</v>
      </c>
      <c r="H1083" s="95" t="n">
        <v>46.43456571533587</v>
      </c>
      <c r="I1083" s="376" t="n">
        <v>61.9520980834961</v>
      </c>
      <c r="J1083" s="376" t="n">
        <v>64.25234066009521</v>
      </c>
      <c r="K1083" s="94" t="n">
        <v>0.5039555541630654</v>
      </c>
      <c r="L1083" s="94" t="n">
        <v>-0.0701634686312641</v>
      </c>
      <c r="M1083" s="94" t="n">
        <v>-0.200723482014233</v>
      </c>
      <c r="N1083" t="n">
        <v>50.87523808000347</v>
      </c>
      <c r="O1083" t="n">
        <v>0.2303909152221658</v>
      </c>
      <c r="P1083" s="143">
        <f>MAX($E$2:E1083)</f>
        <v/>
      </c>
      <c r="Q1083" s="144">
        <f>E1083/P1083-1</f>
        <v/>
      </c>
      <c r="R1083" s="94" t="n">
        <v>-0.0008379420888714462</v>
      </c>
    </row>
    <row r="1084">
      <c r="A1084" s="375" t="n">
        <v>46042</v>
      </c>
      <c r="B1084" s="376" t="n">
        <v>61.85583351413113</v>
      </c>
      <c r="C1084" s="376" t="n">
        <v>62.91777816976848</v>
      </c>
      <c r="D1084" s="376" t="n">
        <v>61.39792964752734</v>
      </c>
      <c r="E1084" s="376" t="n">
        <v>61.99222946166992</v>
      </c>
      <c r="F1084" s="93" t="n">
        <v>20406000</v>
      </c>
      <c r="G1084" s="94" t="n">
        <v>-0.01164948967114787</v>
      </c>
      <c r="H1084" s="95" t="n">
        <v>45.89362672165083</v>
      </c>
      <c r="I1084" s="376" t="n">
        <v>61.98939300537109</v>
      </c>
      <c r="J1084" s="376" t="n">
        <v>64.25155996322631</v>
      </c>
      <c r="K1084" s="94" t="n">
        <v>0.5055081504977077</v>
      </c>
      <c r="L1084" s="94" t="n">
        <v>-0.0809955896993001</v>
      </c>
      <c r="M1084" s="94" t="n">
        <v>-0.2100346455548993</v>
      </c>
      <c r="N1084" t="n">
        <v>48.21778849701857</v>
      </c>
      <c r="O1084" t="n">
        <v>0.1024477980398553</v>
      </c>
      <c r="P1084" s="143">
        <f>MAX($E$2:E1084)</f>
        <v/>
      </c>
      <c r="Q1084" s="144">
        <f>E1084/P1084-1</f>
        <v/>
      </c>
      <c r="R1084" s="94" t="n">
        <v>-0.02035674687982769</v>
      </c>
    </row>
    <row r="1085">
      <c r="A1085" s="375" t="n">
        <v>46043</v>
      </c>
      <c r="B1085" s="376" t="n">
        <v>62.23579563834485</v>
      </c>
      <c r="C1085" s="376" t="n">
        <v>63.73615480002844</v>
      </c>
      <c r="D1085" s="376" t="n">
        <v>61.97274471425795</v>
      </c>
      <c r="E1085" s="376" t="n">
        <v>63.72641754150391</v>
      </c>
      <c r="F1085" s="93" t="n">
        <v>17166400</v>
      </c>
      <c r="G1085" s="94" t="n">
        <v>0.02797428153324022</v>
      </c>
      <c r="H1085" s="95" t="n">
        <v>47.17746795614373</v>
      </c>
      <c r="I1085" s="376" t="n">
        <v>62.06563125610352</v>
      </c>
      <c r="J1085" s="376" t="n">
        <v>64.30432024002076</v>
      </c>
      <c r="K1085" s="94" t="n">
        <v>0.3322112711708112</v>
      </c>
      <c r="L1085" s="94" t="n">
        <v>-0.0474952980569483</v>
      </c>
      <c r="M1085" s="94" t="n">
        <v>-0.1879359323281461</v>
      </c>
      <c r="N1085" t="n">
        <v>54.31684161968379</v>
      </c>
      <c r="O1085" t="n">
        <v>0.1257346361853429</v>
      </c>
      <c r="P1085" s="143">
        <f>MAX($E$2:E1085)</f>
        <v/>
      </c>
      <c r="Q1085" s="144">
        <f>E1085/P1085-1</f>
        <v/>
      </c>
      <c r="R1085" s="94" t="n">
        <v>0.01154108059120329</v>
      </c>
    </row>
    <row r="1086">
      <c r="A1086" s="375" t="n">
        <v>46044</v>
      </c>
      <c r="B1086" s="376" t="n">
        <v>63.72642263000862</v>
      </c>
      <c r="C1086" s="376" t="n">
        <v>64.83707969827556</v>
      </c>
      <c r="D1086" s="376" t="n">
        <v>63.57053728490754</v>
      </c>
      <c r="E1086" s="376" t="n">
        <v>63.77513122558594</v>
      </c>
      <c r="F1086" s="93" t="n">
        <v>11853700</v>
      </c>
      <c r="G1086" s="94" t="n">
        <v>0.0007644189954707503</v>
      </c>
      <c r="H1086" s="95" t="n">
        <v>47.21353130880762</v>
      </c>
      <c r="I1086" s="376" t="n">
        <v>62.15833305358887</v>
      </c>
      <c r="J1086" s="376" t="n">
        <v>64.34933547973633</v>
      </c>
      <c r="K1086" s="94" t="n">
        <v>0.3122112707686653</v>
      </c>
      <c r="L1086" s="94" t="n">
        <v>-0.03954044832600179</v>
      </c>
      <c r="M1086" s="94" t="n">
        <v>-0.1873151751292784</v>
      </c>
      <c r="N1086" t="n">
        <v>54.47903485812171</v>
      </c>
      <c r="O1086" t="n">
        <v>0.1347391329531951</v>
      </c>
      <c r="P1086" s="143">
        <f>MAX($E$2:E1086)</f>
        <v/>
      </c>
      <c r="Q1086" s="144">
        <f>E1086/P1086-1</f>
        <v/>
      </c>
      <c r="R1086" s="94" t="n">
        <v>0.005223125056595945</v>
      </c>
    </row>
    <row r="1087">
      <c r="A1087" s="375" t="n">
        <v>46045</v>
      </c>
      <c r="B1087" s="376" t="n">
        <v>63.57053402417828</v>
      </c>
      <c r="C1087" s="376" t="n">
        <v>63.76538326253785</v>
      </c>
      <c r="D1087" s="376" t="n">
        <v>62.78138494589345</v>
      </c>
      <c r="E1087" s="376" t="n">
        <v>63.36594009399414</v>
      </c>
      <c r="F1087" s="93" t="n">
        <v>11243900</v>
      </c>
      <c r="G1087" s="94" t="n">
        <v>-0.006416155070608998</v>
      </c>
      <c r="H1087" s="95" t="n">
        <v>46.91060197049926</v>
      </c>
      <c r="I1087" s="376" t="n">
        <v>62.24846588134766</v>
      </c>
      <c r="J1087" s="376" t="n">
        <v>64.40014986038209</v>
      </c>
      <c r="K1087" s="94" t="n">
        <v>0.31540572018862</v>
      </c>
      <c r="L1087" s="94" t="n">
        <v>-0.04042479642461061</v>
      </c>
      <c r="M1087" s="94" t="n">
        <v>-0.1925294869891797</v>
      </c>
      <c r="N1087" t="n">
        <v>52.78377230545993</v>
      </c>
      <c r="O1087" t="n">
        <v>0.1047901909145951</v>
      </c>
      <c r="P1087" s="143">
        <f>MAX($E$2:E1087)</f>
        <v/>
      </c>
      <c r="Q1087" s="144">
        <f>E1087/P1087-1</f>
        <v/>
      </c>
      <c r="R1087" s="94" t="n">
        <v>0.0003629217369318649</v>
      </c>
    </row>
    <row r="1088">
      <c r="A1088" s="375" t="n">
        <v>46048</v>
      </c>
      <c r="B1088" s="376" t="n">
        <v>63.14185150742941</v>
      </c>
      <c r="C1088" s="376" t="n">
        <v>63.95048990183714</v>
      </c>
      <c r="D1088" s="376" t="n">
        <v>63.11262486741828</v>
      </c>
      <c r="E1088" s="376" t="n">
        <v>63.31721878051758</v>
      </c>
      <c r="F1088" s="93" t="n">
        <v>14765900</v>
      </c>
      <c r="G1088" s="94" t="n">
        <v>-0.0007688880399200348</v>
      </c>
      <c r="H1088" s="95" t="n">
        <v>46.87453296969869</v>
      </c>
      <c r="I1088" s="376" t="n">
        <v>62.29212448120117</v>
      </c>
      <c r="J1088" s="376" t="n">
        <v>64.46191421508789</v>
      </c>
      <c r="K1088" s="94" t="n">
        <v>0.2785844896966025</v>
      </c>
      <c r="L1088" s="94" t="n">
        <v>-0.04116260232204361</v>
      </c>
      <c r="M1088" s="94" t="n">
        <v>-0.1931503414092218</v>
      </c>
      <c r="N1088" t="n">
        <v>52.57399620317889</v>
      </c>
      <c r="O1088" t="n">
        <v>0.07476146474248491</v>
      </c>
      <c r="P1088" s="143">
        <f>MAX($E$2:E1088)</f>
        <v/>
      </c>
      <c r="Q1088" s="144">
        <f>E1088/P1088-1</f>
        <v/>
      </c>
      <c r="R1088" s="94" t="n">
        <v>0.005078079295646409</v>
      </c>
    </row>
    <row r="1089">
      <c r="A1089" s="375" t="n">
        <v>46049</v>
      </c>
      <c r="B1089" s="376" t="n">
        <v>63.0834024844206</v>
      </c>
      <c r="C1089" s="376" t="n">
        <v>63.16134515172428</v>
      </c>
      <c r="D1089" s="376" t="n">
        <v>61.26153537607275</v>
      </c>
      <c r="E1089" s="376" t="n">
        <v>61.46612930297852</v>
      </c>
      <c r="F1089" s="93" t="n">
        <v>13536700</v>
      </c>
      <c r="G1089" s="94" t="n">
        <v>-0.02923516719765706</v>
      </c>
      <c r="H1089" s="95" t="n">
        <v>45.50414816101746</v>
      </c>
      <c r="I1089" s="376" t="n">
        <v>62.2784317779541</v>
      </c>
      <c r="J1089" s="376" t="n">
        <v>64.48548240661621</v>
      </c>
      <c r="K1089" s="94" t="n">
        <v>0.2989207948047096</v>
      </c>
      <c r="L1089" s="94" t="n">
        <v>-0.06919437395852512</v>
      </c>
      <c r="M1089" s="94" t="n">
        <v>-0.2167387260814957</v>
      </c>
      <c r="N1089" t="n">
        <v>45.22064298535675</v>
      </c>
      <c r="O1089" t="n">
        <v>-0.06893643520341619</v>
      </c>
      <c r="P1089" s="143">
        <f>MAX($E$2:E1089)</f>
        <v/>
      </c>
      <c r="Q1089" s="144">
        <f>E1089/P1089-1</f>
        <v/>
      </c>
      <c r="R1089" s="94" t="n">
        <v>0.0039842915730679</v>
      </c>
    </row>
    <row r="1090">
      <c r="A1090" s="375" t="n">
        <v>46050</v>
      </c>
      <c r="B1090" s="376" t="n">
        <v>61.42715717308621</v>
      </c>
      <c r="C1090" s="376" t="n">
        <v>61.84608971313582</v>
      </c>
      <c r="D1090" s="376" t="n">
        <v>60.37495719370201</v>
      </c>
      <c r="E1090" s="376" t="n">
        <v>60.63800811767578</v>
      </c>
      <c r="F1090" s="93" t="n">
        <v>10363600</v>
      </c>
      <c r="G1090" s="94" t="n">
        <v>-0.0134728051805697</v>
      </c>
      <c r="H1090" s="95" t="n">
        <v>44.89107963793629</v>
      </c>
      <c r="I1090" s="376" t="n">
        <v>62.21274475097656</v>
      </c>
      <c r="J1090" s="376" t="n">
        <v>64.52844526290893</v>
      </c>
      <c r="K1090" s="94" t="n">
        <v>0.303612320721179</v>
      </c>
      <c r="L1090" s="94" t="n">
        <v>-0.08173493681916011</v>
      </c>
      <c r="M1090" s="94" t="n">
        <v>-0.2272914526304846</v>
      </c>
      <c r="N1090" t="n">
        <v>42.36580745762171</v>
      </c>
      <c r="O1090" t="n">
        <v>-0.2109065231178966</v>
      </c>
      <c r="P1090" s="143">
        <f>MAX($E$2:E1090)</f>
        <v/>
      </c>
      <c r="Q1090" s="144">
        <f>E1090/P1090-1</f>
        <v/>
      </c>
      <c r="R1090" s="94" t="n">
        <v>-0.0001007376579122976</v>
      </c>
    </row>
    <row r="1091">
      <c r="A1091" s="375" t="n">
        <v>46051</v>
      </c>
      <c r="B1091" s="376" t="n">
        <v>60.33598590725868</v>
      </c>
      <c r="C1091" s="376" t="n">
        <v>61.3199879126533</v>
      </c>
      <c r="D1091" s="376" t="n">
        <v>59.87808203370795</v>
      </c>
      <c r="E1091" s="376" t="n">
        <v>60.98873901367188</v>
      </c>
      <c r="F1091" s="93" t="n">
        <v>12739400</v>
      </c>
      <c r="G1091" s="94" t="n">
        <v>0.005784010835505171</v>
      </c>
      <c r="H1091" s="95" t="n">
        <v>45.15073012897965</v>
      </c>
      <c r="I1091" s="376" t="n">
        <v>62.19008506774902</v>
      </c>
      <c r="J1091" s="376" t="n">
        <v>64.57320964813232</v>
      </c>
      <c r="K1091" s="94" t="n">
        <v>0.3040306754187972</v>
      </c>
      <c r="L1091" s="94" t="n">
        <v>-0.07642368174385616</v>
      </c>
      <c r="M1091" s="94" t="n">
        <v>-0.2228220980198117</v>
      </c>
      <c r="N1091" t="n">
        <v>43.97890549262447</v>
      </c>
      <c r="O1091" t="n">
        <v>-0.2686390608781647</v>
      </c>
      <c r="P1091" s="143">
        <f>MAX($E$2:E1091)</f>
        <v/>
      </c>
      <c r="Q1091" s="144">
        <f>E1091/P1091-1</f>
        <v/>
      </c>
      <c r="R1091" s="94" t="n">
        <v>-0.001984351450808219</v>
      </c>
    </row>
    <row r="1092">
      <c r="A1092" s="375" t="n">
        <v>46052</v>
      </c>
      <c r="B1092" s="376" t="n">
        <v>60.63800678007605</v>
      </c>
      <c r="C1092" s="376" t="n">
        <v>60.9107986730636</v>
      </c>
      <c r="D1092" s="376" t="n">
        <v>59.44940716089751</v>
      </c>
      <c r="E1092" s="376" t="n">
        <v>60.21907424926758</v>
      </c>
      <c r="F1092" s="93" t="n">
        <v>14309200</v>
      </c>
      <c r="G1092" s="94" t="n">
        <v>-0.01261978484637571</v>
      </c>
      <c r="H1092" s="95" t="n">
        <v>44.58093762909515</v>
      </c>
      <c r="I1092" s="376" t="n">
        <v>62.17662124633789</v>
      </c>
      <c r="J1092" s="376" t="n">
        <v>64.60924642562867</v>
      </c>
      <c r="K1092" s="94" t="n">
        <v>0.268339765464251</v>
      </c>
      <c r="L1092" s="94" t="n">
        <v>-0.08807901616945657</v>
      </c>
      <c r="M1092" s="94" t="n">
        <v>-0.2326299159301594</v>
      </c>
      <c r="N1092" t="n">
        <v>41.2504227201997</v>
      </c>
      <c r="O1092" t="n">
        <v>-0.3414354499647854</v>
      </c>
      <c r="P1092" s="143">
        <f>MAX($E$2:E1092)</f>
        <v/>
      </c>
      <c r="Q1092" s="144">
        <f>E1092/P1092-1</f>
        <v/>
      </c>
      <c r="R1092" s="94" t="n">
        <v>-0.002982534024791095</v>
      </c>
    </row>
    <row r="1093">
      <c r="A1093" s="375" t="n">
        <v>46055</v>
      </c>
      <c r="B1093" s="376" t="n">
        <v>60.07293551056256</v>
      </c>
      <c r="C1093" s="376" t="n">
        <v>60.9595129073107</v>
      </c>
      <c r="D1093" s="376" t="n">
        <v>59.57606401598299</v>
      </c>
      <c r="E1093" s="376" t="n">
        <v>60.57955169677734</v>
      </c>
      <c r="F1093" s="93" t="n">
        <v>11006300</v>
      </c>
      <c r="G1093" s="94" t="n">
        <v>0.005986100782911841</v>
      </c>
      <c r="H1093" s="95" t="n">
        <v>44.84780361473962</v>
      </c>
      <c r="I1093" s="376" t="n">
        <v>62.17830520629883</v>
      </c>
      <c r="J1093" s="376" t="n">
        <v>64.64986003875732</v>
      </c>
      <c r="K1093" s="94" t="n">
        <v>0.2687656105610156</v>
      </c>
      <c r="L1093" s="94" t="n">
        <v>-0.0826201652541948</v>
      </c>
      <c r="M1093" s="94" t="n">
        <v>-0.2280363612691257</v>
      </c>
      <c r="N1093" t="n">
        <v>43.03305157875351</v>
      </c>
      <c r="O1093" t="n">
        <v>-0.3469562260193764</v>
      </c>
      <c r="P1093" s="143">
        <f>MAX($E$2:E1093)</f>
        <v/>
      </c>
      <c r="Q1093" s="144">
        <f>E1093/P1093-1</f>
        <v/>
      </c>
      <c r="R1093" s="94" t="n">
        <v>0.004971300173138626</v>
      </c>
    </row>
    <row r="1094">
      <c r="A1094" s="375" t="n">
        <v>46056</v>
      </c>
      <c r="B1094" s="376" t="n">
        <v>60.18984524238748</v>
      </c>
      <c r="C1094" s="376" t="n">
        <v>60.92054101486649</v>
      </c>
      <c r="D1094" s="376" t="n">
        <v>58.87459433852962</v>
      </c>
      <c r="E1094" s="376" t="n">
        <v>59.36172485351562</v>
      </c>
      <c r="F1094" s="93" t="n">
        <v>17322100</v>
      </c>
      <c r="G1094" s="94" t="n">
        <v>-0.02010293587772627</v>
      </c>
      <c r="H1094" s="95" t="n">
        <v>43.94623109441564</v>
      </c>
      <c r="I1094" s="376" t="n">
        <v>62.15272834777832</v>
      </c>
      <c r="J1094" s="376" t="n">
        <v>64.69050754547119</v>
      </c>
      <c r="K1094" s="94" t="n">
        <v>0.2656757243961143</v>
      </c>
      <c r="L1094" s="94" t="n">
        <v>-0.1010621932476089</v>
      </c>
      <c r="M1094" s="94" t="n">
        <v>-0.2435550967984688</v>
      </c>
      <c r="N1094" t="n">
        <v>38.75473351319188</v>
      </c>
      <c r="O1094" t="n">
        <v>-0.4099534521765777</v>
      </c>
      <c r="P1094" s="143">
        <f>MAX($E$2:E1094)</f>
        <v/>
      </c>
      <c r="Q1094" s="144">
        <f>E1094/P1094-1</f>
        <v/>
      </c>
      <c r="R1094" s="94" t="n">
        <v>-0.008455418456572827</v>
      </c>
    </row>
    <row r="1095">
      <c r="A1095" s="375" t="n">
        <v>46057</v>
      </c>
      <c r="B1095" s="376" t="n">
        <v>60.13139444357783</v>
      </c>
      <c r="C1095" s="376" t="n">
        <v>62.75215910105046</v>
      </c>
      <c r="D1095" s="376" t="n">
        <v>59.92679679428216</v>
      </c>
      <c r="E1095" s="376" t="n">
        <v>62.56704711914062</v>
      </c>
      <c r="F1095" s="93" t="n">
        <v>20957700</v>
      </c>
      <c r="G1095" s="94" t="n">
        <v>0.05399644760213151</v>
      </c>
      <c r="H1095" s="95" t="n">
        <v>46.31917145901642</v>
      </c>
      <c r="I1095" s="376" t="n">
        <v>62.21468559265136</v>
      </c>
      <c r="J1095" s="376" t="n">
        <v>64.7366099357605</v>
      </c>
      <c r="K1095" s="94" t="n">
        <v>0.330113731423349</v>
      </c>
      <c r="L1095" s="94" t="n">
        <v>-0.05252274506772836</v>
      </c>
      <c r="M1095" s="94" t="n">
        <v>-0.2027097592188479</v>
      </c>
      <c r="N1095" t="n">
        <v>52.2193459180332</v>
      </c>
      <c r="O1095" t="n">
        <v>-0.2224639753721739</v>
      </c>
      <c r="P1095" s="143">
        <f>MAX($E$2:E1095)</f>
        <v/>
      </c>
      <c r="Q1095" s="144">
        <f>E1095/P1095-1</f>
        <v/>
      </c>
      <c r="R1095" s="94" t="n">
        <v>-0.00484383887388995</v>
      </c>
    </row>
    <row r="1096">
      <c r="A1096" s="375" t="n">
        <v>46058</v>
      </c>
      <c r="B1096" s="376" t="n">
        <v>62.53782083475364</v>
      </c>
      <c r="C1096" s="376" t="n">
        <v>62.91778205967742</v>
      </c>
      <c r="D1096" s="376" t="n">
        <v>60.49187034564788</v>
      </c>
      <c r="E1096" s="376" t="n">
        <v>61.0861701965332</v>
      </c>
      <c r="F1096" s="93" t="n">
        <v>12506200</v>
      </c>
      <c r="G1096" s="94" t="n">
        <v>-0.02366864013555769</v>
      </c>
      <c r="H1096" s="95" t="n">
        <v>45.22285965837577</v>
      </c>
      <c r="I1096" s="376" t="n">
        <v>62.22049987792969</v>
      </c>
      <c r="J1096" s="376" t="n">
        <v>64.77358585357666</v>
      </c>
      <c r="K1096" s="94" t="n">
        <v>0.3200320233680638</v>
      </c>
      <c r="L1096" s="94" t="n">
        <v>-0.07494824325134641</v>
      </c>
      <c r="M1096" s="94" t="n">
        <v>-0.2215805350114891</v>
      </c>
      <c r="N1096" t="n">
        <v>47.07058344176432</v>
      </c>
      <c r="O1096" t="n">
        <v>-0.1863580380485604</v>
      </c>
      <c r="P1096" s="143">
        <f>MAX($E$2:E1096)</f>
        <v/>
      </c>
      <c r="Q1096" s="144">
        <f>E1096/P1096-1</f>
        <v/>
      </c>
      <c r="R1096" s="94" t="n">
        <v>-0.0124893706244309</v>
      </c>
    </row>
    <row r="1097">
      <c r="A1097" s="375" t="n">
        <v>46059</v>
      </c>
      <c r="B1097" s="376" t="n">
        <v>61.38818384054953</v>
      </c>
      <c r="C1097" s="376" t="n">
        <v>62.58652442194884</v>
      </c>
      <c r="D1097" s="376" t="n">
        <v>61.37844286583557</v>
      </c>
      <c r="E1097" s="376" t="n">
        <v>62.27476119995117</v>
      </c>
      <c r="F1097" s="93" t="n">
        <v>11961500</v>
      </c>
      <c r="G1097" s="94" t="n">
        <v>0.01945761208459951</v>
      </c>
      <c r="H1097" s="95" t="n">
        <v>46.10278851896473</v>
      </c>
      <c r="I1097" s="376" t="n">
        <v>62.26693054199219</v>
      </c>
      <c r="J1097" s="376" t="n">
        <v>64.81200815200806</v>
      </c>
      <c r="K1097" s="94" t="n">
        <v>0.3056914579143745</v>
      </c>
      <c r="L1097" s="94" t="n">
        <v>-0.05694894501035375</v>
      </c>
      <c r="M1097" s="94" t="n">
        <v>-0.2064343510226412</v>
      </c>
      <c r="N1097" t="n">
        <v>51.22726448595395</v>
      </c>
      <c r="O1097" t="n">
        <v>-0.07624514904152896</v>
      </c>
      <c r="P1097" s="143">
        <f>MAX($E$2:E1097)</f>
        <v/>
      </c>
      <c r="Q1097" s="144">
        <f>E1097/P1097-1</f>
        <v/>
      </c>
      <c r="R1097" s="94" t="n">
        <v>0.01918495160075961</v>
      </c>
    </row>
    <row r="1098">
      <c r="A1098" s="375" t="n">
        <v>46062</v>
      </c>
      <c r="B1098" s="376" t="n">
        <v>61.93377347676677</v>
      </c>
      <c r="C1098" s="376" t="n">
        <v>62.26502237614594</v>
      </c>
      <c r="D1098" s="376" t="n">
        <v>60.76465949563378</v>
      </c>
      <c r="E1098" s="376" t="n">
        <v>60.80363082885742</v>
      </c>
      <c r="F1098" s="93" t="n">
        <v>12920800</v>
      </c>
      <c r="G1098" s="94" t="n">
        <v>-0.02362321978835469</v>
      </c>
      <c r="H1098" s="95" t="n">
        <v>45.01369221292519</v>
      </c>
      <c r="I1098" s="376" t="n">
        <v>62.25005584716797</v>
      </c>
      <c r="J1098" s="376" t="n">
        <v>64.841496219635</v>
      </c>
      <c r="K1098" s="94" t="n">
        <v>0.3129941636317335</v>
      </c>
      <c r="L1098" s="94" t="n">
        <v>-0.07922684735401408</v>
      </c>
      <c r="M1098" s="94" t="n">
        <v>-0.2251809267649216</v>
      </c>
      <c r="N1098" t="n">
        <v>46.37305304409687</v>
      </c>
      <c r="O1098" t="n">
        <v>-0.09508186247668635</v>
      </c>
      <c r="P1098" s="143">
        <f>MAX($E$2:E1098)</f>
        <v/>
      </c>
      <c r="Q1098" s="144">
        <f>E1098/P1098-1</f>
        <v/>
      </c>
      <c r="R1098" s="94" t="n">
        <v>0.004821764563112119</v>
      </c>
    </row>
    <row r="1099">
      <c r="A1099" s="375" t="n">
        <v>46063</v>
      </c>
      <c r="B1099" s="376" t="n">
        <v>61.37844809839402</v>
      </c>
      <c r="C1099" s="376" t="n">
        <v>62.53782116326411</v>
      </c>
      <c r="D1099" s="376" t="n">
        <v>60.68672362289858</v>
      </c>
      <c r="E1099" s="376" t="n">
        <v>61.41741943359375</v>
      </c>
      <c r="F1099" s="93" t="n">
        <v>13003400</v>
      </c>
      <c r="G1099" s="94" t="n">
        <v>0.01009460448939214</v>
      </c>
      <c r="H1099" s="95" t="n">
        <v>45.4680876324219</v>
      </c>
      <c r="I1099" s="376" t="n">
        <v>62.23287178039551</v>
      </c>
      <c r="J1099" s="376" t="n">
        <v>64.86883909225463</v>
      </c>
      <c r="K1099" s="94" t="n">
        <v>0.3160873528138855</v>
      </c>
      <c r="L1099" s="94" t="n">
        <v>-0.0699320065536021</v>
      </c>
      <c r="M1099" s="94" t="n">
        <v>-0.2173594346697761</v>
      </c>
      <c r="N1099" t="n">
        <v>48.56305756981914</v>
      </c>
      <c r="O1099" t="n">
        <v>-0.06048286782493362</v>
      </c>
      <c r="P1099" s="143">
        <f>MAX($E$2:E1099)</f>
        <v/>
      </c>
      <c r="Q1099" s="144">
        <f>E1099/P1099-1</f>
        <v/>
      </c>
      <c r="R1099" s="94" t="n">
        <v>-0.002637135056044126</v>
      </c>
    </row>
    <row r="1100">
      <c r="A1100" s="375" t="n">
        <v>46064</v>
      </c>
      <c r="B1100" s="376" t="n">
        <v>62.25527808489517</v>
      </c>
      <c r="C1100" s="376" t="n">
        <v>62.36244738729607</v>
      </c>
      <c r="D1100" s="376" t="n">
        <v>60.09241752083545</v>
      </c>
      <c r="E1100" s="376" t="n">
        <v>60.74517059326172</v>
      </c>
      <c r="F1100" s="93" t="n">
        <v>15511900</v>
      </c>
      <c r="G1100" s="94" t="n">
        <v>-0.01094557287707087</v>
      </c>
      <c r="H1100" s="95" t="n">
        <v>44.97041336566019</v>
      </c>
      <c r="I1100" s="376" t="n">
        <v>62.19643424987793</v>
      </c>
      <c r="J1100" s="376" t="n">
        <v>64.89693462371827</v>
      </c>
      <c r="K1100" s="94" t="n">
        <v>0.3143977924105046</v>
      </c>
      <c r="L1100" s="94" t="n">
        <v>-0.0801121335565006</v>
      </c>
      <c r="M1100" s="94" t="n">
        <v>-0.2259258840141501</v>
      </c>
      <c r="N1100" t="n">
        <v>46.33137190627186</v>
      </c>
      <c r="O1100" t="n">
        <v>-0.07613919567388872</v>
      </c>
      <c r="P1100" s="143">
        <f>MAX($E$2:E1100)</f>
        <v/>
      </c>
      <c r="Q1100" s="144">
        <f>E1100/P1100-1</f>
        <v/>
      </c>
      <c r="R1100" s="94" t="n">
        <v>-0.0002311628084725736</v>
      </c>
    </row>
    <row r="1101">
      <c r="A1101" s="375" t="n">
        <v>46065</v>
      </c>
      <c r="B1101" s="376" t="n">
        <v>60.72569190450837</v>
      </c>
      <c r="C1101" s="376" t="n">
        <v>61.10565311232175</v>
      </c>
      <c r="D1101" s="376" t="n">
        <v>59.28378230671321</v>
      </c>
      <c r="E1101" s="376" t="n">
        <v>59.52734756469727</v>
      </c>
      <c r="F1101" s="93" t="n">
        <v>13602400</v>
      </c>
      <c r="G1101" s="94" t="n">
        <v>-0.02004806335500753</v>
      </c>
      <c r="H1101" s="95" t="n">
        <v>44.06884366940455</v>
      </c>
      <c r="I1101" s="376" t="n">
        <v>62.11284271240234</v>
      </c>
      <c r="J1101" s="376" t="n">
        <v>64.92042396545411</v>
      </c>
      <c r="K1101" s="94" t="n">
        <v>0.3190980986229313</v>
      </c>
      <c r="L1101" s="94" t="n">
        <v>-0.09855410378246254</v>
      </c>
      <c r="M1101" s="94" t="n">
        <v>-0.2414445709329059</v>
      </c>
      <c r="N1101" t="n">
        <v>42.51937389269908</v>
      </c>
      <c r="O1101" t="n">
        <v>-0.1571175889860907</v>
      </c>
      <c r="P1101" s="143">
        <f>MAX($E$2:E1101)</f>
        <v/>
      </c>
      <c r="Q1101" s="144">
        <f>E1101/P1101-1</f>
        <v/>
      </c>
      <c r="R1101" s="94" t="n">
        <v>-0.01544890845214097</v>
      </c>
    </row>
    <row r="1102">
      <c r="A1102" s="375" t="n">
        <v>46066</v>
      </c>
      <c r="B1102" s="376" t="n">
        <v>60.0047373626722</v>
      </c>
      <c r="C1102" s="376" t="n">
        <v>61.74866550927162</v>
      </c>
      <c r="D1102" s="376" t="n">
        <v>60.0047373626722</v>
      </c>
      <c r="E1102" s="376" t="n">
        <v>61.50510025024414</v>
      </c>
      <c r="F1102" s="93" t="n">
        <v>20180900</v>
      </c>
      <c r="G1102" s="94" t="n">
        <v>0.03322427029689767</v>
      </c>
      <c r="H1102" s="95" t="n">
        <v>45.53299884314858</v>
      </c>
      <c r="I1102" s="376" t="n">
        <v>62.07776931762695</v>
      </c>
      <c r="J1102" s="376" t="n">
        <v>64.95270181655884</v>
      </c>
      <c r="K1102" s="94" t="n">
        <v>0.3409156397542322</v>
      </c>
      <c r="L1102" s="94" t="n">
        <v>-0.068604221668502</v>
      </c>
      <c r="M1102" s="94" t="n">
        <v>-0.2162421203224015</v>
      </c>
      <c r="N1102" t="n">
        <v>49.75014774392951</v>
      </c>
      <c r="O1102" t="n">
        <v>-0.07050128685011803</v>
      </c>
      <c r="P1102" s="143">
        <f>MAX($E$2:E1102)</f>
        <v/>
      </c>
      <c r="Q1102" s="144">
        <f>E1102/P1102-1</f>
        <v/>
      </c>
      <c r="R1102" s="94" t="n">
        <v>0.0007046233276368774</v>
      </c>
    </row>
    <row r="1103">
      <c r="A1103" s="375" t="n">
        <v>46070</v>
      </c>
      <c r="B1103" s="376" t="n">
        <v>61.31998810072355</v>
      </c>
      <c r="C1103" s="376" t="n">
        <v>63.1515998840332</v>
      </c>
      <c r="D1103" s="376" t="n">
        <v>61.31998810072355</v>
      </c>
      <c r="E1103" s="376" t="n">
        <v>63.1515998840332</v>
      </c>
      <c r="F1103" s="93" t="n">
        <v>12347500</v>
      </c>
      <c r="G1103" s="94" t="n">
        <v>0.02677013169785902</v>
      </c>
      <c r="H1103" s="95" t="n">
        <v>46.75192321877812</v>
      </c>
      <c r="I1103" s="376" t="n">
        <v>62.06159660339355</v>
      </c>
      <c r="J1103" s="376" t="n">
        <v>64.99866542816162</v>
      </c>
      <c r="K1103" s="94" t="n">
        <v>0.3545813307668064</v>
      </c>
      <c r="L1103" s="94" t="n">
        <v>-0.04367063401973792</v>
      </c>
      <c r="M1103" s="94" t="n">
        <v>-0.1952608186641974</v>
      </c>
      <c r="N1103" t="n">
        <v>54.84301719993327</v>
      </c>
      <c r="O1103" t="n">
        <v>0.09564044465737925</v>
      </c>
      <c r="P1103" s="143">
        <f>MAX($E$2:E1103)</f>
        <v/>
      </c>
      <c r="Q1103" s="144">
        <f>E1103/P1103-1</f>
        <v/>
      </c>
      <c r="R1103" s="94" t="n">
        <v>0.001613429304196279</v>
      </c>
    </row>
    <row r="1104">
      <c r="A1104" s="375" t="n">
        <v>46071</v>
      </c>
      <c r="B1104" s="376" t="n">
        <v>62.65472678317727</v>
      </c>
      <c r="C1104" s="376" t="n">
        <v>64.44737100999714</v>
      </c>
      <c r="D1104" s="376" t="n">
        <v>62.65472678317727</v>
      </c>
      <c r="E1104" s="376" t="n">
        <v>63.86281585693359</v>
      </c>
      <c r="F1104" s="93" t="n">
        <v>11211500</v>
      </c>
      <c r="G1104" s="94" t="n">
        <v>0.01126204204179171</v>
      </c>
      <c r="H1104" s="95" t="n">
        <v>47.27844534360262</v>
      </c>
      <c r="I1104" s="376" t="n">
        <v>62.05886878967285</v>
      </c>
      <c r="J1104" s="376" t="n">
        <v>65.04646306991577</v>
      </c>
      <c r="K1104" s="94" t="n">
        <v>0.3534297236667511</v>
      </c>
      <c r="L1104" s="94" t="n">
        <v>-0.03290041249426823</v>
      </c>
      <c r="M1104" s="94" t="n">
        <v>-0.1861978121713166</v>
      </c>
      <c r="N1104" t="n">
        <v>56.87616824748577</v>
      </c>
      <c r="O1104" t="n">
        <v>0.2430121483653426</v>
      </c>
      <c r="P1104" s="143">
        <f>MAX($E$2:E1104)</f>
        <v/>
      </c>
      <c r="Q1104" s="144">
        <f>E1104/P1104-1</f>
        <v/>
      </c>
      <c r="R1104" s="94" t="n">
        <v>0.00503778587126491</v>
      </c>
    </row>
    <row r="1105">
      <c r="A1105" s="375" t="n">
        <v>46072</v>
      </c>
      <c r="B1105" s="376" t="n">
        <v>63.52181028070446</v>
      </c>
      <c r="C1105" s="376" t="n">
        <v>64.14533668732818</v>
      </c>
      <c r="D1105" s="376" t="n">
        <v>62.59626536140957</v>
      </c>
      <c r="E1105" s="376" t="n">
        <v>63.92126083374023</v>
      </c>
      <c r="F1105" s="93" t="n">
        <v>10778300</v>
      </c>
      <c r="G1105" s="94" t="n">
        <v>0.0009151644195828368</v>
      </c>
      <c r="H1105" s="95" t="n">
        <v>47.32171289459428</v>
      </c>
      <c r="I1105" s="376" t="n">
        <v>62.05399749755859</v>
      </c>
      <c r="J1105" s="376" t="n">
        <v>65.08579895019531</v>
      </c>
      <c r="K1105" s="94" t="n">
        <v>0.3395495966127788</v>
      </c>
      <c r="L1105" s="94" t="n">
        <v>-0.03201535736158967</v>
      </c>
      <c r="M1105" s="94" t="n">
        <v>-0.1854530493644371</v>
      </c>
      <c r="N1105" t="n">
        <v>57.04731372611636</v>
      </c>
      <c r="O1105" t="n">
        <v>0.3286815002348001</v>
      </c>
      <c r="P1105" s="143">
        <f>MAX($E$2:E1105)</f>
        <v/>
      </c>
      <c r="Q1105" s="144">
        <f>E1105/P1105-1</f>
        <v/>
      </c>
      <c r="R1105" s="94" t="n">
        <v>-0.002637439777890771</v>
      </c>
    </row>
    <row r="1106">
      <c r="A1106" s="375" t="n">
        <v>46073</v>
      </c>
      <c r="B1106" s="376" t="n">
        <v>63.61924637643646</v>
      </c>
      <c r="C1106" s="376" t="n">
        <v>66.72713391702463</v>
      </c>
      <c r="D1106" s="376" t="n">
        <v>61.69995101403879</v>
      </c>
      <c r="E1106" s="376" t="n">
        <v>63.71667098999023</v>
      </c>
      <c r="F1106" s="93" t="n">
        <v>33436800</v>
      </c>
      <c r="G1106" s="94" t="n">
        <v>-0.003200654071610742</v>
      </c>
      <c r="H1106" s="95" t="n">
        <v>47.1702524615426</v>
      </c>
      <c r="I1106" s="376" t="n">
        <v>62.09023994445801</v>
      </c>
      <c r="J1106" s="376" t="n">
        <v>65.13004354476929</v>
      </c>
      <c r="K1106" s="94" t="n">
        <v>0.3397797737048026</v>
      </c>
      <c r="L1106" s="94" t="n">
        <v>-0.03511354134930689</v>
      </c>
      <c r="M1106" s="94" t="n">
        <v>-0.1880601323785068</v>
      </c>
      <c r="N1106" t="n">
        <v>56.20639240898063</v>
      </c>
      <c r="O1106" t="n">
        <v>0.3536506849831023</v>
      </c>
      <c r="P1106" s="143">
        <f>MAX($E$2:E1106)</f>
        <v/>
      </c>
      <c r="Q1106" s="144">
        <f>E1106/P1106-1</f>
        <v/>
      </c>
      <c r="R1106" s="94" t="n">
        <v>0.007231744186485312</v>
      </c>
    </row>
    <row r="1107">
      <c r="A1107" s="375" t="n">
        <v>46076</v>
      </c>
      <c r="B1107" s="376" t="n">
        <v>62.93726184148166</v>
      </c>
      <c r="C1107" s="376" t="n">
        <v>63.29774110299479</v>
      </c>
      <c r="D1107" s="376" t="n">
        <v>60.45289692709624</v>
      </c>
      <c r="E1107" s="376" t="n">
        <v>61.46612930297852</v>
      </c>
      <c r="F1107" s="93" t="n">
        <v>17748800</v>
      </c>
      <c r="G1107" s="94" t="n">
        <v>-0.03532108084186125</v>
      </c>
      <c r="H1107" s="95" t="n">
        <v>45.50414816101745</v>
      </c>
      <c r="I1107" s="376" t="n">
        <v>62.08556343078613</v>
      </c>
      <c r="J1107" s="376" t="n">
        <v>65.16451835632324</v>
      </c>
      <c r="K1107" s="94" t="n">
        <v>0.3619764683983492</v>
      </c>
      <c r="L1107" s="94" t="n">
        <v>-0.06919437395852535</v>
      </c>
      <c r="M1107" s="94" t="n">
        <v>-0.2167387260814957</v>
      </c>
      <c r="N1107" t="n">
        <v>47.85047578579925</v>
      </c>
      <c r="O1107" t="n">
        <v>0.207891346645733</v>
      </c>
      <c r="P1107" s="143">
        <f>MAX($E$2:E1107)</f>
        <v/>
      </c>
      <c r="Q1107" s="144">
        <f>E1107/P1107-1</f>
        <v/>
      </c>
      <c r="R1107" s="94" t="n">
        <v>-0.01021129581717761</v>
      </c>
    </row>
    <row r="1108">
      <c r="A1108" s="375" t="n">
        <v>46077</v>
      </c>
      <c r="B1108" s="376" t="n">
        <v>61.65123487983895</v>
      </c>
      <c r="C1108" s="376" t="n">
        <v>63.03468371566968</v>
      </c>
      <c r="D1108" s="376" t="n">
        <v>60.98873710263497</v>
      </c>
      <c r="E1108" s="376" t="n">
        <v>62.44038391113281</v>
      </c>
      <c r="F1108" s="93" t="n">
        <v>14296100</v>
      </c>
      <c r="G1108" s="94" t="n">
        <v>0.01585026776864384</v>
      </c>
      <c r="H1108" s="95" t="n">
        <v>46.22540109395361</v>
      </c>
      <c r="I1108" s="376" t="n">
        <v>62.05243843078613</v>
      </c>
      <c r="J1108" s="376" t="n">
        <v>65.1963063621521</v>
      </c>
      <c r="K1108" s="94" t="n">
        <v>0.3670565577389213</v>
      </c>
      <c r="L1108" s="94" t="n">
        <v>-0.05444085554520783</v>
      </c>
      <c r="M1108" s="94" t="n">
        <v>-0.2043238251570783</v>
      </c>
      <c r="N1108" t="n">
        <v>51.23055071952164</v>
      </c>
      <c r="O1108" t="n">
        <v>0.1680887623851749</v>
      </c>
      <c r="P1108" s="143">
        <f>MAX($E$2:E1108)</f>
        <v/>
      </c>
      <c r="Q1108" s="144">
        <f>E1108/P1108-1</f>
        <v/>
      </c>
      <c r="R1108" s="94" t="n">
        <v>0.007268496179203332</v>
      </c>
    </row>
    <row r="1109">
      <c r="A1109" s="375" t="n">
        <v>46078</v>
      </c>
      <c r="B1109" s="376" t="n">
        <v>62.24553614949617</v>
      </c>
      <c r="C1109" s="376" t="n">
        <v>62.5670440709322</v>
      </c>
      <c r="D1109" s="376" t="n">
        <v>61.63175066453432</v>
      </c>
      <c r="E1109" s="376" t="n">
        <v>61.76815032958984</v>
      </c>
      <c r="F1109" s="93" t="n">
        <v>9500800</v>
      </c>
      <c r="G1109" s="94" t="n">
        <v>-0.01076600653992954</v>
      </c>
      <c r="H1109" s="95" t="n">
        <v>45.72773812346524</v>
      </c>
      <c r="I1109" s="376" t="n">
        <v>61.96787254333496</v>
      </c>
      <c r="J1109" s="376" t="n">
        <v>65.22334592819215</v>
      </c>
      <c r="K1109" s="94" t="n">
        <v>0.3534453148946561</v>
      </c>
      <c r="L1109" s="94" t="n">
        <v>-0.06462075147829838</v>
      </c>
      <c r="M1109" s="94" t="n">
        <v>-0.2128900800591034</v>
      </c>
      <c r="N1109" t="n">
        <v>48.87653785547803</v>
      </c>
      <c r="O1109" t="n">
        <v>0.09132619803392029</v>
      </c>
      <c r="P1109" s="143">
        <f>MAX($E$2:E1109)</f>
        <v/>
      </c>
      <c r="Q1109" s="144">
        <f>E1109/P1109-1</f>
        <v/>
      </c>
      <c r="R1109" s="94" t="n">
        <v>0.00843831937730477</v>
      </c>
    </row>
    <row r="1110">
      <c r="A1110" s="375" t="n">
        <v>46079</v>
      </c>
      <c r="B1110" s="376" t="n">
        <v>62.55730328626715</v>
      </c>
      <c r="C1110" s="376" t="n">
        <v>63.38542372072634</v>
      </c>
      <c r="D1110" s="376" t="n">
        <v>62.13837072299643</v>
      </c>
      <c r="E1110" s="376" t="n">
        <v>62.30399703979492</v>
      </c>
      <c r="F1110" s="93" t="n">
        <v>10319100</v>
      </c>
      <c r="G1110" s="94" t="n">
        <v>0.0086751296152765</v>
      </c>
      <c r="H1110" s="95" t="n">
        <v>46.12443217869973</v>
      </c>
      <c r="I1110" s="376" t="n">
        <v>61.89928466796875</v>
      </c>
      <c r="J1110" s="376" t="n">
        <v>65.25598274230957</v>
      </c>
      <c r="K1110" s="94" t="n">
        <v>0.3505820741669476</v>
      </c>
      <c r="L1110" s="94" t="n">
        <v>-0.05650621525793253</v>
      </c>
      <c r="M1110" s="94" t="n">
        <v>-0.2060617994821461</v>
      </c>
      <c r="N1110" t="n">
        <v>50.81654740499411</v>
      </c>
      <c r="O1110" t="n">
        <v>0.07231056570784197</v>
      </c>
      <c r="P1110" s="143">
        <f>MAX($E$2:E1110)</f>
        <v/>
      </c>
      <c r="Q1110" s="144">
        <f>E1110/P1110-1</f>
        <v/>
      </c>
      <c r="R1110" s="94" t="n">
        <v>-0.0055543945075478</v>
      </c>
    </row>
    <row r="1111">
      <c r="A1111" s="375" t="n">
        <v>46080</v>
      </c>
      <c r="B1111" s="376" t="n">
        <v>61.10565354975165</v>
      </c>
      <c r="C1111" s="376" t="n">
        <v>61.10565354975165</v>
      </c>
      <c r="D1111" s="376" t="n">
        <v>59.93653955975683</v>
      </c>
      <c r="E1111" s="376" t="n">
        <v>60.57955169677734</v>
      </c>
      <c r="F1111" s="93" t="n">
        <v>18017400</v>
      </c>
      <c r="G1111" s="94" t="n">
        <v>-0.02767792477128128</v>
      </c>
      <c r="H1111" s="95" t="n">
        <v>44.84780361473961</v>
      </c>
      <c r="I1111" s="376" t="n">
        <v>61.79016754150391</v>
      </c>
      <c r="J1111" s="376" t="n">
        <v>65.25952356338502</v>
      </c>
      <c r="K1111" s="94" t="n">
        <v>0.3650887165455625</v>
      </c>
      <c r="L1111" s="94" t="n">
        <v>-0.08262016525419502</v>
      </c>
      <c r="M1111" s="94" t="n">
        <v>-0.2190367630294308</v>
      </c>
      <c r="N1111" t="n">
        <v>44.91016201893328</v>
      </c>
      <c r="O1111" t="n">
        <v>-0.05392494628892684</v>
      </c>
      <c r="P1111" s="143">
        <f>MAX($E$2:E1111)</f>
        <v/>
      </c>
      <c r="Q1111" s="144">
        <f>E1111/P1111-1</f>
        <v/>
      </c>
      <c r="R1111" s="94" t="n">
        <v>-0.004801996079766391</v>
      </c>
    </row>
    <row r="1112">
      <c r="A1112" s="375" t="n">
        <v>46083</v>
      </c>
      <c r="B1112" s="376" t="n">
        <v>58.74558959981803</v>
      </c>
      <c r="C1112" s="376" t="n">
        <v>60.34417302651048</v>
      </c>
      <c r="D1112" s="376" t="n">
        <v>58.00023446705245</v>
      </c>
      <c r="E1112" s="376" t="n">
        <v>59.83419418334961</v>
      </c>
      <c r="F1112" s="93" t="n">
        <v>15335000</v>
      </c>
      <c r="G1112" s="94" t="n">
        <v>-0.01230378060832338</v>
      </c>
      <c r="H1112" s="95" t="n">
        <v>44.29600607829868</v>
      </c>
      <c r="I1112" s="376" t="n">
        <v>61.67900337219238</v>
      </c>
      <c r="J1112" s="376" t="n">
        <v>65.2602465057373</v>
      </c>
      <c r="K1112" s="94" t="n">
        <v>0.3649465370219436</v>
      </c>
      <c r="L1112" s="94" t="n">
        <v>-0.09390740547540732</v>
      </c>
      <c r="M1112" s="94" t="n">
        <v>-0.2275059188065334</v>
      </c>
      <c r="N1112" t="n">
        <v>42.60512274112408</v>
      </c>
      <c r="O1112" t="n">
        <v>-0.178140323718654</v>
      </c>
      <c r="P1112" s="143">
        <f>MAX($E$2:E1112)</f>
        <v/>
      </c>
      <c r="Q1112" s="144">
        <f>E1112/P1112-1</f>
        <v/>
      </c>
      <c r="R1112" s="94" t="n">
        <v>0.0005685897092166936</v>
      </c>
    </row>
    <row r="1113">
      <c r="A1113" s="375" t="n">
        <v>46084</v>
      </c>
      <c r="B1113" s="376" t="n">
        <v>58.29445418622719</v>
      </c>
      <c r="C1113" s="376" t="n">
        <v>58.95154370242014</v>
      </c>
      <c r="D1113" s="376" t="n">
        <v>57.49025775710461</v>
      </c>
      <c r="E1113" s="376" t="n">
        <v>58.24541854858398</v>
      </c>
      <c r="F1113" s="93" t="n">
        <v>17438600</v>
      </c>
      <c r="G1113" s="94" t="n">
        <v>-0.02655297119732491</v>
      </c>
      <c r="H1113" s="95" t="n">
        <v>43.11981550474509</v>
      </c>
      <c r="I1113" s="376" t="n">
        <v>61.56392761230469</v>
      </c>
      <c r="J1113" s="376" t="n">
        <v>65.25618270874024</v>
      </c>
      <c r="K1113" s="94" t="n">
        <v>0.37589672013108</v>
      </c>
      <c r="L1113" s="94" t="n">
        <v>-0.1179668560399282</v>
      </c>
      <c r="M1113" s="94" t="n">
        <v>-0.2480179318945674</v>
      </c>
      <c r="N1113" t="n">
        <v>38.11450014313049</v>
      </c>
      <c r="O1113" t="n">
        <v>-0.3479969008906518</v>
      </c>
      <c r="P1113" s="143">
        <f>MAX($E$2:E1113)</f>
        <v/>
      </c>
      <c r="Q1113" s="144">
        <f>E1113/P1113-1</f>
        <v/>
      </c>
      <c r="R1113" s="94" t="n">
        <v>-0.008814450335820401</v>
      </c>
    </row>
    <row r="1114">
      <c r="A1114" s="375" t="n">
        <v>46085</v>
      </c>
      <c r="B1114" s="376" t="n">
        <v>58.04927192991976</v>
      </c>
      <c r="C1114" s="376" t="n">
        <v>58.34349323648078</v>
      </c>
      <c r="D1114" s="376" t="n">
        <v>57.48045180233907</v>
      </c>
      <c r="E1114" s="376" t="n">
        <v>57.50987243652344</v>
      </c>
      <c r="F1114" s="93" t="n">
        <v>15971300</v>
      </c>
      <c r="G1114" s="94" t="n">
        <v>-0.01262839430790608</v>
      </c>
      <c r="H1114" s="95" t="n">
        <v>42.575281472067</v>
      </c>
      <c r="I1114" s="376" t="n">
        <v>61.43531005859375</v>
      </c>
      <c r="J1114" s="376" t="n">
        <v>65.2452361869812</v>
      </c>
      <c r="K1114" s="94" t="n">
        <v>0.371958543003984</v>
      </c>
      <c r="L1114" s="94" t="n">
        <v>-0.1291055183744981</v>
      </c>
      <c r="M1114" s="94" t="n">
        <v>-0.25514767600596</v>
      </c>
      <c r="N1114" t="n">
        <v>36.21156474448699</v>
      </c>
      <c r="O1114" t="n">
        <v>-0.4823120652251267</v>
      </c>
      <c r="P1114" s="143">
        <f>MAX($E$2:E1114)</f>
        <v/>
      </c>
      <c r="Q1114" s="144">
        <f>E1114/P1114-1</f>
        <v/>
      </c>
      <c r="R1114" s="94" t="n">
        <v>0.007055426699429379</v>
      </c>
    </row>
    <row r="1115">
      <c r="A1115" s="375" t="n">
        <v>46086</v>
      </c>
      <c r="B1115" s="376" t="n">
        <v>57.4706451052293</v>
      </c>
      <c r="C1115" s="376" t="n">
        <v>57.65698577354873</v>
      </c>
      <c r="D1115" s="376" t="n">
        <v>56.32319542447685</v>
      </c>
      <c r="E1115" s="376" t="n">
        <v>56.90182495117188</v>
      </c>
      <c r="F1115" s="93" t="n">
        <v>22040200</v>
      </c>
      <c r="G1115" s="94" t="n">
        <v>-0.01057292356234485</v>
      </c>
      <c r="H1115" s="95" t="n">
        <v>42.12513627541752</v>
      </c>
      <c r="I1115" s="376" t="n">
        <v>61.4293692779541</v>
      </c>
      <c r="J1115" s="376" t="n">
        <v>65.22785306930543</v>
      </c>
      <c r="K1115" s="94" t="n">
        <v>0.3100516737086963</v>
      </c>
      <c r="L1115" s="94" t="n">
        <v>-0.1383134191595925</v>
      </c>
      <c r="M1115" s="94" t="n">
        <v>-0.2630229426927838</v>
      </c>
      <c r="N1115" t="n">
        <v>34.67054990000626</v>
      </c>
      <c r="O1115" t="n">
        <v>-0.5780735864300508</v>
      </c>
      <c r="P1115" s="143">
        <f>MAX($E$2:E1115)</f>
        <v/>
      </c>
      <c r="Q1115" s="144">
        <f>E1115/P1115-1</f>
        <v/>
      </c>
      <c r="R1115" s="94" t="n">
        <v>-0.005575600235334877</v>
      </c>
    </row>
    <row r="1116">
      <c r="A1116" s="375" t="n">
        <v>46087</v>
      </c>
      <c r="B1116" s="376" t="n">
        <v>56.36242299270278</v>
      </c>
      <c r="C1116" s="376" t="n">
        <v>56.44087926450968</v>
      </c>
      <c r="D1116" s="376" t="n">
        <v>55.66610347157766</v>
      </c>
      <c r="E1116" s="376" t="n">
        <v>55.91128540039062</v>
      </c>
      <c r="F1116" s="93" t="n">
        <v>16323700</v>
      </c>
      <c r="G1116" s="94" t="n">
        <v>-0.01740786963566188</v>
      </c>
      <c r="H1116" s="95" t="n">
        <v>41.39182739475056</v>
      </c>
      <c r="I1116" s="376" t="n">
        <v>61.43265060424805</v>
      </c>
      <c r="J1116" s="376" t="n">
        <v>65.21044437408447</v>
      </c>
      <c r="K1116" s="94" t="n">
        <v>0.3056980413369922</v>
      </c>
      <c r="L1116" s="94" t="n">
        <v>-0.1533135468256616</v>
      </c>
      <c r="M1116" s="94" t="n">
        <v>-0.2758521432308616</v>
      </c>
      <c r="N1116" t="n">
        <v>32.26192683832285</v>
      </c>
      <c r="O1116" t="n">
        <v>-0.6677426572583668</v>
      </c>
      <c r="P1116" s="143">
        <f>MAX($E$2:E1116)</f>
        <v/>
      </c>
      <c r="Q1116" s="144">
        <f>E1116/P1116-1</f>
        <v/>
      </c>
      <c r="R1116" s="94" t="n">
        <v>-0.01310708463317001</v>
      </c>
    </row>
    <row r="1117">
      <c r="A1117" s="375" t="n">
        <v>46090</v>
      </c>
      <c r="B1117" s="376" t="n">
        <v>54.66576444792739</v>
      </c>
      <c r="C1117" s="376" t="n">
        <v>55.61706778691351</v>
      </c>
      <c r="D1117" s="376" t="n">
        <v>54.32250750317256</v>
      </c>
      <c r="E1117" s="376" t="n">
        <v>55.44053649902344</v>
      </c>
      <c r="F1117" s="93" t="n">
        <v>18053100</v>
      </c>
      <c r="G1117" s="94" t="n">
        <v>-0.008419568571820024</v>
      </c>
      <c r="H1117" s="95" t="n">
        <v>41.04332606568752</v>
      </c>
      <c r="I1117" s="376" t="n">
        <v>61.42417877197266</v>
      </c>
      <c r="J1117" s="376" t="n">
        <v>65.18838577270508</v>
      </c>
      <c r="K1117" s="94" t="n">
        <v>0.2927786967840449</v>
      </c>
      <c r="L1117" s="94" t="n">
        <v>-0.1604422814769939</v>
      </c>
      <c r="M1117" s="94" t="n">
        <v>-0.2819491557670658</v>
      </c>
      <c r="N1117" t="n">
        <v>31.15421425260317</v>
      </c>
      <c r="O1117" t="n">
        <v>-0.7141987518508481</v>
      </c>
      <c r="P1117" s="143">
        <f>MAX($E$2:E1117)</f>
        <v/>
      </c>
      <c r="Q1117" s="144">
        <f>E1117/P1117-1</f>
        <v/>
      </c>
      <c r="R1117" s="94" t="n">
        <v>0.008759940630667318</v>
      </c>
    </row>
    <row r="1118">
      <c r="A1118" s="375" t="n">
        <v>46091</v>
      </c>
      <c r="B1118" s="376" t="n">
        <v>55.60726433156431</v>
      </c>
      <c r="C1118" s="376" t="n">
        <v>56.13685821595527</v>
      </c>
      <c r="D1118" s="376" t="n">
        <v>54.72460785757936</v>
      </c>
      <c r="E1118" s="376" t="n">
        <v>54.99921417236328</v>
      </c>
      <c r="F1118" s="93" t="n">
        <v>15706400</v>
      </c>
      <c r="G1118" s="94" t="n">
        <v>-0.007960282394957163</v>
      </c>
      <c r="H1118" s="95" t="n">
        <v>40.71660959977634</v>
      </c>
      <c r="I1118" s="376" t="n">
        <v>61.35504974365234</v>
      </c>
      <c r="J1118" s="376" t="n">
        <v>65.17646224975586</v>
      </c>
      <c r="K1118" s="94" t="n">
        <v>0.2851951214754836</v>
      </c>
      <c r="L1118" s="94" t="n">
        <v>-0.1671253980033031</v>
      </c>
      <c r="M1118" s="94" t="n">
        <v>-0.2876650432610973</v>
      </c>
      <c r="N1118" t="n">
        <v>30.11044330377055</v>
      </c>
      <c r="O1118" t="n">
        <v>-0.7276287461946113</v>
      </c>
      <c r="P1118" s="143">
        <f>MAX($E$2:E1118)</f>
        <v/>
      </c>
      <c r="Q1118" s="144">
        <f>E1118/P1118-1</f>
        <v/>
      </c>
      <c r="R1118" s="94" t="n">
        <v>-0.001607106419447391</v>
      </c>
    </row>
    <row r="1119">
      <c r="A1119" s="375" t="n">
        <v>46092</v>
      </c>
      <c r="B1119" s="376" t="n">
        <v>56.4899178339824</v>
      </c>
      <c r="C1119" s="376" t="n">
        <v>56.4899178339824</v>
      </c>
      <c r="D1119" s="376" t="n">
        <v>54.34212537293038</v>
      </c>
      <c r="E1119" s="376" t="n">
        <v>54.62653732299805</v>
      </c>
      <c r="F1119" s="93" t="n">
        <v>20245300</v>
      </c>
      <c r="G1119" s="94" t="n">
        <v>-0.00677603953026118</v>
      </c>
      <c r="H1119" s="95" t="n">
        <v>40.44071224359005</v>
      </c>
      <c r="I1119" s="376" t="n">
        <v>61.26034599304199</v>
      </c>
      <c r="J1119" s="376" t="n">
        <v>65.15626533508301</v>
      </c>
      <c r="K1119" s="94" t="n">
        <v>0.2797037723801671</v>
      </c>
      <c r="L1119" s="94" t="n">
        <v>-0.1727689892301831</v>
      </c>
      <c r="M1119" s="94" t="n">
        <v>-0.2924918530867471</v>
      </c>
      <c r="N1119" t="n">
        <v>29.22015211591382</v>
      </c>
      <c r="O1119" t="n">
        <v>-0.71361539113949</v>
      </c>
      <c r="P1119" s="143">
        <f>MAX($E$2:E1119)</f>
        <v/>
      </c>
      <c r="Q1119" s="144">
        <f>E1119/P1119-1</f>
        <v/>
      </c>
      <c r="R1119" s="94" t="n">
        <v>-0.001255072132811508</v>
      </c>
    </row>
    <row r="1120">
      <c r="A1120" s="375" t="n">
        <v>46093</v>
      </c>
      <c r="B1120" s="376" t="n">
        <v>54.21462661403</v>
      </c>
      <c r="C1120" s="376" t="n">
        <v>54.39115790113217</v>
      </c>
      <c r="D1120" s="376" t="n">
        <v>52.98871697647556</v>
      </c>
      <c r="E1120" s="376" t="n">
        <v>53.0867919921875</v>
      </c>
      <c r="F1120" s="93" t="n">
        <v>18611800</v>
      </c>
      <c r="G1120" s="94" t="n">
        <v>-0.02818676427733791</v>
      </c>
      <c r="H1120" s="95" t="n">
        <v>39.30081942037232</v>
      </c>
      <c r="I1120" s="376" t="n">
        <v>61.12939147949218</v>
      </c>
      <c r="J1120" s="376" t="n">
        <v>65.13458833694457</v>
      </c>
      <c r="K1120" s="94" t="n">
        <v>0.2904846767235256</v>
      </c>
      <c r="L1120" s="94" t="n">
        <v>-0.1960859547336561</v>
      </c>
      <c r="M1120" s="94" t="n">
        <v>-0.3124342184480871</v>
      </c>
      <c r="N1120" t="n">
        <v>25.8229461457792</v>
      </c>
      <c r="O1120" t="n">
        <v>-0.7559887897502551</v>
      </c>
      <c r="P1120" s="143">
        <f>MAX($E$2:E1120)</f>
        <v/>
      </c>
      <c r="Q1120" s="144">
        <f>E1120/P1120-1</f>
        <v/>
      </c>
      <c r="R1120" s="94" t="n">
        <v>-0.01518492944864958</v>
      </c>
    </row>
    <row r="1121">
      <c r="A1121" s="375" t="n">
        <v>46094</v>
      </c>
      <c r="B1121" s="376" t="n">
        <v>53.29274458549281</v>
      </c>
      <c r="C1121" s="376" t="n">
        <v>53.81252908119355</v>
      </c>
      <c r="D1121" s="376" t="n">
        <v>52.7043094485176</v>
      </c>
      <c r="E1121" s="376" t="n">
        <v>52.93968200683594</v>
      </c>
      <c r="F1121" s="93" t="n">
        <v>14377100</v>
      </c>
      <c r="G1121" s="94" t="n">
        <v>-0.002771122153570893</v>
      </c>
      <c r="H1121" s="95" t="n">
        <v>39.19191204902305</v>
      </c>
      <c r="I1121" s="376" t="n">
        <v>60.99588455200195</v>
      </c>
      <c r="J1121" s="376" t="n">
        <v>65.09873390197754</v>
      </c>
      <c r="K1121" s="94" t="n">
        <v>0.2862850869172733</v>
      </c>
      <c r="L1121" s="94" t="n">
        <v>-0.1904306943567307</v>
      </c>
      <c r="M1121" s="94" t="n">
        <v>-0.3143395472173829</v>
      </c>
      <c r="N1121" t="n">
        <v>25.5176939682853</v>
      </c>
      <c r="O1121" t="n">
        <v>-0.7408852439221905</v>
      </c>
      <c r="P1121" s="143">
        <f>MAX($E$2:E1121)</f>
        <v/>
      </c>
      <c r="Q1121" s="144">
        <f>E1121/P1121-1</f>
        <v/>
      </c>
      <c r="R1121" s="94" t="n">
        <v>-0.005660153274538393</v>
      </c>
    </row>
    <row r="1122">
      <c r="A1122" s="375" t="n">
        <v>46097</v>
      </c>
      <c r="B1122" s="376" t="n">
        <v>53.22409476644214</v>
      </c>
      <c r="C1122" s="376" t="n">
        <v>54.00867620825602</v>
      </c>
      <c r="D1122" s="376" t="n">
        <v>52.93968282466604</v>
      </c>
      <c r="E1122" s="376" t="n">
        <v>53.73407363891602</v>
      </c>
      <c r="F1122" s="93" t="n">
        <v>13115200</v>
      </c>
      <c r="G1122" s="94" t="n">
        <v>0.0150055988620692</v>
      </c>
      <c r="H1122" s="95" t="n">
        <v>39.78001015986818</v>
      </c>
      <c r="I1122" s="376" t="n">
        <v>60.82916267395019</v>
      </c>
      <c r="J1122" s="376" t="n">
        <v>65.07187421798706</v>
      </c>
      <c r="K1122" s="94" t="n">
        <v>0.259487783547324</v>
      </c>
      <c r="L1122" s="94" t="n">
        <v>-0.1681195667580084</v>
      </c>
      <c r="M1122" s="94" t="n">
        <v>-0.3040508015073422</v>
      </c>
      <c r="N1122" t="n">
        <v>30.30851442436222</v>
      </c>
      <c r="O1122" t="n">
        <v>-0.6287749546214549</v>
      </c>
      <c r="P1122" s="143">
        <f>MAX($E$2:E1122)</f>
        <v/>
      </c>
      <c r="Q1122" s="144">
        <f>E1122/P1122-1</f>
        <v/>
      </c>
      <c r="R1122" s="94" t="n">
        <v>0.01017687324525252</v>
      </c>
    </row>
    <row r="1123">
      <c r="A1123" s="375" t="n">
        <v>46098</v>
      </c>
      <c r="B1123" s="376" t="n">
        <v>54.38135450833227</v>
      </c>
      <c r="C1123" s="376" t="n">
        <v>54.60692144198445</v>
      </c>
      <c r="D1123" s="376" t="n">
        <v>53.94002627241299</v>
      </c>
      <c r="E1123" s="376" t="n">
        <v>54.05771255493164</v>
      </c>
      <c r="F1123" s="93" t="n">
        <v>9861400</v>
      </c>
      <c r="G1123" s="94" t="n">
        <v>0.00602297376875649</v>
      </c>
      <c r="H1123" s="95" t="n">
        <v>40.01960411758193</v>
      </c>
      <c r="I1123" s="376" t="n">
        <v>60.67729217529297</v>
      </c>
      <c r="J1123" s="376" t="n">
        <v>65.04825912475586</v>
      </c>
      <c r="K1123" s="94" t="n">
        <v>0.2332178360683697</v>
      </c>
      <c r="L1123" s="94" t="n">
        <v>-0.1631091727298501</v>
      </c>
      <c r="M1123" s="94" t="n">
        <v>-0.2998591177404338</v>
      </c>
      <c r="N1123" t="n">
        <v>32.22127639036658</v>
      </c>
      <c r="O1123" t="n">
        <v>-0.4903489577289515</v>
      </c>
      <c r="P1123" s="143">
        <f>MAX($E$2:E1123)</f>
        <v/>
      </c>
      <c r="Q1123" s="144">
        <f>E1123/P1123-1</f>
        <v/>
      </c>
      <c r="R1123" s="94" t="n">
        <v>0.002630549198285204</v>
      </c>
    </row>
    <row r="1124">
      <c r="A1124" s="375" t="n">
        <v>46099</v>
      </c>
      <c r="B1124" s="376" t="n">
        <v>53.44966254876277</v>
      </c>
      <c r="C1124" s="376" t="n">
        <v>53.90079641734632</v>
      </c>
      <c r="D1124" s="376" t="n">
        <v>52.2335584886903</v>
      </c>
      <c r="E1124" s="376" t="n">
        <v>52.43951416015625</v>
      </c>
      <c r="F1124" s="93" t="n">
        <v>16861300</v>
      </c>
      <c r="G1124" s="94" t="n">
        <v>-0.02993464425878234</v>
      </c>
      <c r="H1124" s="95" t="n">
        <v>38.82163150494481</v>
      </c>
      <c r="I1124" s="376" t="n">
        <v>60.468701171875</v>
      </c>
      <c r="J1124" s="376" t="n">
        <v>65.02061910629273</v>
      </c>
      <c r="K1124" s="94" t="n">
        <v>0.2347722402046574</v>
      </c>
      <c r="L1124" s="94" t="n">
        <v>-0.1881612019276201</v>
      </c>
      <c r="M1124" s="94" t="n">
        <v>-0.3208175859819039</v>
      </c>
      <c r="N1124" t="n">
        <v>28.07251681773997</v>
      </c>
      <c r="O1124" t="n">
        <v>-0.4654912208597211</v>
      </c>
      <c r="P1124" s="143">
        <f>MAX($E$2:E1124)</f>
        <v/>
      </c>
      <c r="Q1124" s="144">
        <f>E1124/P1124-1</f>
        <v/>
      </c>
      <c r="R1124" s="94" t="n">
        <v>-0.01395363082800105</v>
      </c>
    </row>
    <row r="1125">
      <c r="A1125" s="375" t="n">
        <v>46100</v>
      </c>
      <c r="B1125" s="376" t="n">
        <v>51.88049746423525</v>
      </c>
      <c r="C1125" s="376" t="n">
        <v>52.59642824509463</v>
      </c>
      <c r="D1125" s="376" t="n">
        <v>51.57647052667333</v>
      </c>
      <c r="E1125" s="376" t="n">
        <v>52.41008758544922</v>
      </c>
      <c r="F1125" s="93" t="n">
        <v>12307700</v>
      </c>
      <c r="G1125" s="94" t="n">
        <v>-0.0005611526952206125</v>
      </c>
      <c r="H1125" s="95" t="n">
        <v>38.79984664179295</v>
      </c>
      <c r="I1125" s="376" t="n">
        <v>60.24354377746582</v>
      </c>
      <c r="J1125" s="376" t="n">
        <v>64.98618673324584</v>
      </c>
      <c r="K1125" s="94" t="n">
        <v>0.2339438867483728</v>
      </c>
      <c r="L1125" s="94" t="n">
        <v>-0.1886167674572431</v>
      </c>
      <c r="M1125" s="94" t="n">
        <v>-0.3211987110240766</v>
      </c>
      <c r="N1125" t="n">
        <v>28.00190851218456</v>
      </c>
      <c r="O1125" t="n">
        <v>-0.4106662982847773</v>
      </c>
      <c r="P1125" s="143">
        <f>MAX($E$2:E1125)</f>
        <v/>
      </c>
      <c r="Q1125" s="144">
        <f>E1125/P1125-1</f>
        <v/>
      </c>
      <c r="R1125" s="94" t="n">
        <v>-0.002464362577400125</v>
      </c>
    </row>
    <row r="1126">
      <c r="A1126" s="375" t="n">
        <v>46101</v>
      </c>
      <c r="B1126" s="376" t="n">
        <v>51.91972465053813</v>
      </c>
      <c r="C1126" s="376" t="n">
        <v>52.57681417468645</v>
      </c>
      <c r="D1126" s="376" t="n">
        <v>51.17437322227104</v>
      </c>
      <c r="E1126" s="376" t="n">
        <v>51.36071014404297</v>
      </c>
      <c r="F1126" s="93" t="n">
        <v>19566100</v>
      </c>
      <c r="G1126" s="94" t="n">
        <v>-0.02002243250777536</v>
      </c>
      <c r="H1126" s="95" t="n">
        <v>38.02297933109562</v>
      </c>
      <c r="I1126" s="376" t="n">
        <v>60.03890235900879</v>
      </c>
      <c r="J1126" s="376" t="n">
        <v>64.94265516281128</v>
      </c>
      <c r="K1126" s="94" t="n">
        <v>0.2352910415672868</v>
      </c>
      <c r="L1126" s="94" t="n">
        <v>-0.204862633468771</v>
      </c>
      <c r="M1126" s="94" t="n">
        <v>-0.3347899640187879</v>
      </c>
      <c r="N1126" t="n">
        <v>25.535342096346</v>
      </c>
      <c r="O1126" t="n">
        <v>-0.4040874272641388</v>
      </c>
      <c r="P1126" s="143">
        <f>MAX($E$2:E1126)</f>
        <v/>
      </c>
      <c r="Q1126" s="144">
        <f>E1126/P1126-1</f>
        <v/>
      </c>
      <c r="R1126" s="94" t="n">
        <v>-0.01433586699262934</v>
      </c>
    </row>
    <row r="1127">
      <c r="A1127" s="375" t="n">
        <v>46104</v>
      </c>
      <c r="B1127" s="376" t="n">
        <v>52.25317114159901</v>
      </c>
      <c r="C1127" s="376" t="n">
        <v>52.52777744413805</v>
      </c>
      <c r="D1127" s="376" t="n">
        <v>51.51762535980317</v>
      </c>
      <c r="E1127" s="376" t="n">
        <v>51.69415664672852</v>
      </c>
      <c r="F1127" s="93" t="n">
        <v>15242700</v>
      </c>
      <c r="G1127" s="94" t="n">
        <v>0.006492248680954438</v>
      </c>
      <c r="H1127" s="95" t="n">
        <v>38.26983396850388</v>
      </c>
      <c r="I1127" s="376" t="n">
        <v>59.80117988586426</v>
      </c>
      <c r="J1127" s="376" t="n">
        <v>64.89886468887329</v>
      </c>
      <c r="K1127" s="94" t="n">
        <v>0.2235817560100321</v>
      </c>
      <c r="L1127" s="94" t="n">
        <v>-0.1997004039497311</v>
      </c>
      <c r="M1127" s="94" t="n">
        <v>-0.3304712550401313</v>
      </c>
      <c r="N1127" t="n">
        <v>27.71424086823613</v>
      </c>
      <c r="O1127" t="n">
        <v>-0.3389235313980703</v>
      </c>
      <c r="P1127" s="143">
        <f>MAX($E$2:E1127)</f>
        <v/>
      </c>
      <c r="Q1127" s="144">
        <f>E1127/P1127-1</f>
        <v/>
      </c>
      <c r="R1127" s="94" t="n">
        <v>0.01050005528435682</v>
      </c>
    </row>
    <row r="1128">
      <c r="A1128" s="375" t="n">
        <v>46105</v>
      </c>
      <c r="B1128" s="376" t="n">
        <v>51.35090592128578</v>
      </c>
      <c r="C1128" s="376" t="n">
        <v>53.03775885939215</v>
      </c>
      <c r="D1128" s="376" t="n">
        <v>51.26264027356674</v>
      </c>
      <c r="E1128" s="376" t="n">
        <v>52.45912933349609</v>
      </c>
      <c r="F1128" s="93" t="n">
        <v>12073800</v>
      </c>
      <c r="G1128" s="94" t="n">
        <v>0.01479804945838081</v>
      </c>
      <c r="H1128" s="95" t="n">
        <v>38.83615286433383</v>
      </c>
      <c r="I1128" s="376" t="n">
        <v>59.56589683532715</v>
      </c>
      <c r="J1128" s="376" t="n">
        <v>64.85938058853149</v>
      </c>
      <c r="K1128" s="94" t="n">
        <v>0.2220864882357593</v>
      </c>
      <c r="L1128" s="94" t="n">
        <v>-0.187857530945857</v>
      </c>
      <c r="M1128" s="94" t="n">
        <v>-0.3205635355584074</v>
      </c>
      <c r="N1128" t="n">
        <v>32.58762797441508</v>
      </c>
      <c r="O1128" t="n">
        <v>-0.2121442078094535</v>
      </c>
      <c r="P1128" s="143">
        <f>MAX($E$2:E1128)</f>
        <v/>
      </c>
      <c r="Q1128" s="144">
        <f>E1128/P1128-1</f>
        <v/>
      </c>
      <c r="R1128" s="94" t="n">
        <v>-0.003356819745809148</v>
      </c>
    </row>
    <row r="1129">
      <c r="A1129" s="375" t="n">
        <v>46106</v>
      </c>
      <c r="B1129" s="376" t="n">
        <v>52.72392027743897</v>
      </c>
      <c r="C1129" s="376" t="n">
        <v>53.17505786933713</v>
      </c>
      <c r="D1129" s="376" t="n">
        <v>51.54705001316016</v>
      </c>
      <c r="E1129" s="376" t="n">
        <v>51.95895385742188</v>
      </c>
      <c r="F1129" s="93" t="n">
        <v>13427100</v>
      </c>
      <c r="G1129" s="94" t="n">
        <v>-0.009534574485490888</v>
      </c>
      <c r="H1129" s="95" t="n">
        <v>38.46586667211892</v>
      </c>
      <c r="I1129" s="376" t="n">
        <v>59.32606597900391</v>
      </c>
      <c r="J1129" s="376" t="n">
        <v>64.81676963806153</v>
      </c>
      <c r="K1129" s="94" t="n">
        <v>0.2219685189354695</v>
      </c>
      <c r="L1129" s="94" t="n">
        <v>-0.1956009638098842</v>
      </c>
      <c r="M1129" s="94" t="n">
        <v>-0.3270416731367843</v>
      </c>
      <c r="N1129" t="n">
        <v>31.11073318451524</v>
      </c>
      <c r="O1129" t="n">
        <v>-0.1336467900227785</v>
      </c>
      <c r="P1129" s="143">
        <f>MAX($E$2:E1129)</f>
        <v/>
      </c>
      <c r="Q1129" s="144">
        <f>E1129/P1129-1</f>
        <v/>
      </c>
      <c r="R1129" s="94" t="n">
        <v>0.005572814791767078</v>
      </c>
    </row>
    <row r="1130">
      <c r="A1130" s="375" t="n">
        <v>46107</v>
      </c>
      <c r="B1130" s="376" t="n">
        <v>51.74319092803478</v>
      </c>
      <c r="C1130" s="376" t="n">
        <v>52.58661733431435</v>
      </c>
      <c r="D1130" s="376" t="n">
        <v>50.8703438884317</v>
      </c>
      <c r="E1130" s="376" t="n">
        <v>51.06649017333984</v>
      </c>
      <c r="F1130" s="93" t="n">
        <v>14486700</v>
      </c>
      <c r="G1130" s="94" t="n">
        <v>-0.0171763212656475</v>
      </c>
      <c r="H1130" s="95" t="n">
        <v>37.80516458839705</v>
      </c>
      <c r="I1130" s="376" t="n">
        <v>59.05552566528321</v>
      </c>
      <c r="J1130" s="376" t="n">
        <v>64.77398202896119</v>
      </c>
      <c r="K1130" s="94" t="n">
        <v>0.2142474837185075</v>
      </c>
      <c r="L1130" s="94" t="n">
        <v>-0.2094175800812628</v>
      </c>
      <c r="M1130" s="94" t="n">
        <v>-0.3386006215573796</v>
      </c>
      <c r="N1130" t="n">
        <v>28.61845859492051</v>
      </c>
      <c r="O1130" t="n">
        <v>-0.1142568086778608</v>
      </c>
      <c r="P1130" s="143">
        <f>MAX($E$2:E1130)</f>
        <v/>
      </c>
      <c r="Q1130" s="144">
        <f>E1130/P1130-1</f>
        <v/>
      </c>
      <c r="R1130" s="94" t="n">
        <v>-0.0178587122431576</v>
      </c>
    </row>
    <row r="1131">
      <c r="A1131" s="375" t="n">
        <v>46108</v>
      </c>
      <c r="B1131" s="376" t="n">
        <v>50.71342956951131</v>
      </c>
      <c r="C1131" s="376" t="n">
        <v>51.1057221544951</v>
      </c>
      <c r="D1131" s="376" t="n">
        <v>50.21326007777738</v>
      </c>
      <c r="E1131" s="376" t="n">
        <v>50.37998199462891</v>
      </c>
      <c r="F1131" s="93" t="n">
        <v>13077800</v>
      </c>
      <c r="G1131" s="94" t="n">
        <v>-0.01344341810805205</v>
      </c>
      <c r="H1131" s="95" t="n">
        <v>37.29693395419149</v>
      </c>
      <c r="I1131" s="376" t="n">
        <v>58.78547950744629</v>
      </c>
      <c r="J1131" s="376" t="n">
        <v>64.71832374572755</v>
      </c>
      <c r="K1131" s="94" t="n">
        <v>0.2042245647502562</v>
      </c>
      <c r="L1131" s="94" t="n">
        <v>-0.2200457101011061</v>
      </c>
      <c r="M1131" s="94" t="n">
        <v>-0.3474920899381895</v>
      </c>
      <c r="N1131" t="n">
        <v>26.83744722195425</v>
      </c>
      <c r="O1131" t="n">
        <v>-0.1195266646739035</v>
      </c>
      <c r="P1131" s="143">
        <f>MAX($E$2:E1131)</f>
        <v/>
      </c>
      <c r="Q1131" s="144">
        <f>E1131/P1131-1</f>
        <v/>
      </c>
      <c r="R1131" s="94" t="n">
        <v>-0.01705191879256185</v>
      </c>
    </row>
    <row r="1132">
      <c r="A1132" s="375" t="n">
        <v>46111</v>
      </c>
      <c r="B1132" s="376" t="n">
        <v>50.43882792091779</v>
      </c>
      <c r="C1132" s="376" t="n">
        <v>51.18417935651056</v>
      </c>
      <c r="D1132" s="376" t="n">
        <v>49.96807905509402</v>
      </c>
      <c r="E1132" s="376" t="n">
        <v>50.25249099731445</v>
      </c>
      <c r="F1132" s="93" t="n">
        <v>16869200</v>
      </c>
      <c r="G1132" s="94" t="n">
        <v>-0.002530588385840304</v>
      </c>
      <c r="H1132" s="95" t="n">
        <v>37.20255076629957</v>
      </c>
      <c r="I1132" s="376" t="n">
        <v>58.53197898864746</v>
      </c>
      <c r="J1132" s="376" t="n">
        <v>64.66568771362304</v>
      </c>
      <c r="K1132" s="94" t="n">
        <v>0.2051334497345766</v>
      </c>
      <c r="L1132" s="94" t="n">
        <v>-0.2220194533686105</v>
      </c>
      <c r="M1132" s="94" t="n">
        <v>-0.3491433188770608</v>
      </c>
      <c r="N1132" t="n">
        <v>26.50752758755407</v>
      </c>
      <c r="O1132" t="n">
        <v>-0.1040289784182882</v>
      </c>
      <c r="P1132" s="143">
        <f>MAX($E$2:E1132)</f>
        <v/>
      </c>
      <c r="Q1132" s="144">
        <f>E1132/P1132-1</f>
        <v/>
      </c>
      <c r="R1132" s="94" t="n">
        <v>-0.003343469515220132</v>
      </c>
    </row>
    <row r="1133">
      <c r="A1133" s="375" t="n">
        <v>46112</v>
      </c>
      <c r="B1133" s="376" t="n">
        <v>50.92918923990769</v>
      </c>
      <c r="C1133" s="376" t="n">
        <v>52.08644821337734</v>
      </c>
      <c r="D1133" s="376" t="n">
        <v>50.69381294819385</v>
      </c>
      <c r="E1133" s="376" t="n">
        <v>51.80203628540039</v>
      </c>
      <c r="F1133" s="93" t="n">
        <v>36422800</v>
      </c>
      <c r="G1133" s="94" t="n">
        <v>0.03083519358609998</v>
      </c>
      <c r="H1133" s="95" t="n">
        <v>38.34969862107513</v>
      </c>
      <c r="I1133" s="376" t="n">
        <v>58.31356132507324</v>
      </c>
      <c r="J1133" s="376" t="n">
        <v>64.62229217529297</v>
      </c>
      <c r="K1133" s="94" t="n">
        <v>0.2371898758622627</v>
      </c>
      <c r="L1133" s="94" t="n">
        <v>-0.1980302726070118</v>
      </c>
      <c r="M1133" s="94" t="n">
        <v>-0.3290740271178284</v>
      </c>
      <c r="N1133" t="n">
        <v>36.69394863525427</v>
      </c>
      <c r="O1133" t="n">
        <v>0.03093462762071519</v>
      </c>
      <c r="P1133" s="143">
        <f>MAX($E$2:E1133)</f>
        <v/>
      </c>
      <c r="Q1133" s="144">
        <f>E1133/P1133-1</f>
        <v/>
      </c>
      <c r="R1133" s="94" t="n">
        <v>0.02906792539862124</v>
      </c>
    </row>
    <row r="1134">
      <c r="A1134" s="375" t="n">
        <v>46113</v>
      </c>
      <c r="B1134" s="376" t="n">
        <v>45.66268315159085</v>
      </c>
      <c r="C1134" s="376" t="n">
        <v>45.92748008007032</v>
      </c>
      <c r="D1134" s="376" t="n">
        <v>43.70122774760605</v>
      </c>
      <c r="E1134" s="376" t="n">
        <v>43.76987838745117</v>
      </c>
      <c r="F1134" s="93" t="n">
        <v>114225700</v>
      </c>
      <c r="G1134" s="94" t="n">
        <v>-0.1550548679919935</v>
      </c>
      <c r="H1134" s="95" t="n">
        <v>32.40339116385159</v>
      </c>
      <c r="I1134" s="376" t="n">
        <v>57.94911430358886</v>
      </c>
      <c r="J1134" s="376" t="n">
        <v>64.54966674804687</v>
      </c>
      <c r="K1134" s="94" t="n">
        <v>0.5812777314462093</v>
      </c>
      <c r="L1134" s="94" t="n">
        <v>-0.3223795828215066</v>
      </c>
      <c r="M1134" s="94" t="n">
        <v>-0.4331043652754735</v>
      </c>
      <c r="N1134" t="n">
        <v>20.68740777934302</v>
      </c>
      <c r="O1134" t="n">
        <v>-0.3778502765056895</v>
      </c>
      <c r="P1134" s="143">
        <f>MAX($E$2:E1134)</f>
        <v/>
      </c>
      <c r="Q1134" s="144">
        <f>E1134/P1134-1</f>
        <v/>
      </c>
      <c r="R1134" s="94" t="n">
        <v>0.00753442967227369</v>
      </c>
    </row>
    <row r="1135">
      <c r="A1135" s="375" t="n">
        <v>46114</v>
      </c>
      <c r="B1135" s="376" t="n">
        <v>42.91664280483445</v>
      </c>
      <c r="C1135" s="376" t="n">
        <v>43.48546667056288</v>
      </c>
      <c r="D1135" s="376" t="n">
        <v>42.3380133081566</v>
      </c>
      <c r="E1135" s="376" t="n">
        <v>43.33835601806641</v>
      </c>
      <c r="F1135" s="93" t="n">
        <v>63242600</v>
      </c>
      <c r="G1135" s="94" t="n">
        <v>-0.00985888892733322</v>
      </c>
      <c r="H1135" s="95" t="n">
        <v>32.08392972949824</v>
      </c>
      <c r="I1135" s="376" t="n">
        <v>57.54135307312012</v>
      </c>
      <c r="J1135" s="376" t="n">
        <v>64.46828662872315</v>
      </c>
      <c r="K1135" s="94" t="n">
        <v>0.5813205162043908</v>
      </c>
      <c r="L1135" s="94" t="n">
        <v>-0.3290601672493625</v>
      </c>
      <c r="M1135" s="94" t="n">
        <v>-0.4386933263716126</v>
      </c>
      <c r="N1135" t="n">
        <v>20.17814717179155</v>
      </c>
      <c r="O1135" t="n">
        <v>-0.620101032311339</v>
      </c>
      <c r="P1135" s="143">
        <f>MAX($E$2:E1135)</f>
        <v/>
      </c>
      <c r="Q1135" s="144">
        <f>E1135/P1135-1</f>
        <v/>
      </c>
      <c r="R1135" s="94" t="n">
        <v>0.0009005422726844348</v>
      </c>
    </row>
    <row r="1136">
      <c r="A1136" s="375" t="n">
        <v>46118</v>
      </c>
      <c r="B1136" s="376" t="n">
        <v>43.30893409165865</v>
      </c>
      <c r="C1136" s="376" t="n">
        <v>43.52469537790046</v>
      </c>
      <c r="D1136" s="376" t="n">
        <v>42.72049898159084</v>
      </c>
      <c r="E1136" s="376" t="n">
        <v>43.18143844604492</v>
      </c>
      <c r="F1136" s="93" t="n">
        <v>26999600</v>
      </c>
      <c r="G1136" s="94" t="n">
        <v>-0.00362075506408388</v>
      </c>
      <c r="H1136" s="95" t="n">
        <v>31.96776167845445</v>
      </c>
      <c r="I1136" s="376" t="n">
        <v>57.12947921752929</v>
      </c>
      <c r="J1136" s="376" t="n">
        <v>64.39527112960815</v>
      </c>
      <c r="K1136" s="94" t="n">
        <v>0.5819383733312942</v>
      </c>
      <c r="L1136" s="94" t="n">
        <v>-0.3314894760464899</v>
      </c>
      <c r="M1136" s="94" t="n">
        <v>-0.4407256803526567</v>
      </c>
      <c r="N1136" t="n">
        <v>19.98548271585004</v>
      </c>
      <c r="O1136" t="n">
        <v>-0.7263342530053758</v>
      </c>
      <c r="P1136" s="143">
        <f>MAX($E$2:E1136)</f>
        <v/>
      </c>
      <c r="Q1136" s="144">
        <f>E1136/P1136-1</f>
        <v/>
      </c>
      <c r="R1136" s="94" t="n">
        <v>0.004726703240241825</v>
      </c>
    </row>
    <row r="1137">
      <c r="A1137" s="375" t="n">
        <v>46119</v>
      </c>
      <c r="B1137" s="376" t="n">
        <v>42.85780085719912</v>
      </c>
      <c r="C1137" s="376" t="n">
        <v>43.02452276895079</v>
      </c>
      <c r="D1137" s="376" t="n">
        <v>41.54362560123591</v>
      </c>
      <c r="E1137" s="376" t="n">
        <v>41.86726379394531</v>
      </c>
      <c r="F1137" s="93" t="n">
        <v>38253000</v>
      </c>
      <c r="G1137" s="94" t="n">
        <v>-0.03043378589024237</v>
      </c>
      <c r="H1137" s="95" t="n">
        <v>30.99486166414207</v>
      </c>
      <c r="I1137" s="376" t="n">
        <v>56.69950569152832</v>
      </c>
      <c r="J1137" s="376" t="n">
        <v>64.31804431915283</v>
      </c>
      <c r="K1137" s="94" t="n">
        <v>0.5853110142488775</v>
      </c>
      <c r="L1137" s="94" t="n">
        <v>-0.3518347821978648</v>
      </c>
      <c r="M1137" s="94" t="n">
        <v>-0.4577465152507149</v>
      </c>
      <c r="N1137" t="n">
        <v>18.40086420329763</v>
      </c>
      <c r="O1137" t="n">
        <v>-0.813943377420264</v>
      </c>
      <c r="P1137" s="143">
        <f>MAX($E$2:E1137)</f>
        <v/>
      </c>
      <c r="Q1137" s="144">
        <f>E1137/P1137-1</f>
        <v/>
      </c>
      <c r="R1137" s="94" t="n">
        <v>0.0004400691374961685</v>
      </c>
    </row>
    <row r="1138">
      <c r="A1138" s="375" t="n">
        <v>46120</v>
      </c>
      <c r="B1138" s="376" t="n">
        <v>43.06375644525488</v>
      </c>
      <c r="C1138" s="376" t="n">
        <v>43.44623967886866</v>
      </c>
      <c r="D1138" s="376" t="n">
        <v>41.93591800767312</v>
      </c>
      <c r="E1138" s="376" t="n">
        <v>42.29878997802734</v>
      </c>
      <c r="F1138" s="93" t="n">
        <v>29462900</v>
      </c>
      <c r="G1138" s="94" t="n">
        <v>0.01030700707373278</v>
      </c>
      <c r="H1138" s="95" t="n">
        <v>31.31432592256376</v>
      </c>
      <c r="I1138" s="376" t="n">
        <v>56.27913711547851</v>
      </c>
      <c r="J1138" s="376" t="n">
        <v>64.2416268157959</v>
      </c>
      <c r="K1138" s="94" t="n">
        <v>0.591058156341264</v>
      </c>
      <c r="L1138" s="94" t="n">
        <v>-0.3451541387130307</v>
      </c>
      <c r="M1138" s="94" t="n">
        <v>-0.4521575047476477</v>
      </c>
      <c r="N1138" t="n">
        <v>20.62635178400576</v>
      </c>
      <c r="O1138" t="n">
        <v>-0.7720249733364413</v>
      </c>
      <c r="P1138" s="143">
        <f>MAX($E$2:E1138)</f>
        <v/>
      </c>
      <c r="Q1138" s="144">
        <f>E1138/P1138-1</f>
        <v/>
      </c>
      <c r="R1138" s="94" t="n">
        <v>0.0254696046172882</v>
      </c>
    </row>
    <row r="1139">
      <c r="A1139" s="375" t="n">
        <v>46121</v>
      </c>
      <c r="B1139" s="376" t="n">
        <v>42.38705307948774</v>
      </c>
      <c r="C1139" s="376" t="n">
        <v>43.36778079541347</v>
      </c>
      <c r="D1139" s="376" t="n">
        <v>41.89668922152487</v>
      </c>
      <c r="E1139" s="376" t="n">
        <v>43.15201950073242</v>
      </c>
      <c r="F1139" s="93" t="n">
        <v>24147400</v>
      </c>
      <c r="G1139" s="94" t="n">
        <v>0.02017148772218547</v>
      </c>
      <c r="H1139" s="95" t="n">
        <v>31.94598246343926</v>
      </c>
      <c r="I1139" s="376" t="n">
        <v>55.91285491943359</v>
      </c>
      <c r="J1139" s="376" t="n">
        <v>64.16470827102661</v>
      </c>
      <c r="K1139" s="94" t="n">
        <v>0.6020498196390621</v>
      </c>
      <c r="L1139" s="94" t="n">
        <v>-0.3319449234621566</v>
      </c>
      <c r="M1139" s="94" t="n">
        <v>-0.4411067065809735</v>
      </c>
      <c r="N1139" t="n">
        <v>24.98290726893872</v>
      </c>
      <c r="O1139" t="n">
        <v>-0.6224469327899316</v>
      </c>
      <c r="P1139" s="143">
        <f>MAX($E$2:E1139)</f>
        <v/>
      </c>
      <c r="Q1139" s="144">
        <f>E1139/P1139-1</f>
        <v/>
      </c>
      <c r="R1139" s="94" t="n">
        <v>0.005769096571727417</v>
      </c>
    </row>
    <row r="1140">
      <c r="A1140" s="375" t="n">
        <v>46122</v>
      </c>
      <c r="B1140" s="376" t="n">
        <v>42.98529788994383</v>
      </c>
      <c r="C1140" s="376" t="n">
        <v>43.11278980027012</v>
      </c>
      <c r="D1140" s="376" t="n">
        <v>41.58285694691975</v>
      </c>
      <c r="E1140" s="376" t="n">
        <v>41.79861450195312</v>
      </c>
      <c r="F1140" s="93" t="n">
        <v>26094800</v>
      </c>
      <c r="G1140" s="94" t="n">
        <v>-0.0313636537626315</v>
      </c>
      <c r="H1140" s="95" t="n">
        <v>30.94403973034886</v>
      </c>
      <c r="I1140" s="376" t="n">
        <v>55.53606704711914</v>
      </c>
      <c r="J1140" s="376" t="n">
        <v>64.07794084548951</v>
      </c>
      <c r="K1140" s="94" t="n">
        <v>0.6033586177951331</v>
      </c>
      <c r="L1140" s="94" t="n">
        <v>-0.346092145918841</v>
      </c>
      <c r="M1140" s="94" t="n">
        <v>-0.4586356423260247</v>
      </c>
      <c r="N1140" t="n">
        <v>22.84132489297514</v>
      </c>
      <c r="O1140" t="n">
        <v>-0.552634623466461</v>
      </c>
      <c r="P1140" s="143">
        <f>MAX($E$2:E1140)</f>
        <v/>
      </c>
      <c r="Q1140" s="144">
        <f>E1140/P1140-1</f>
        <v/>
      </c>
      <c r="R1140" s="94" t="n">
        <v>-0.0006617946789001516</v>
      </c>
    </row>
    <row r="1141">
      <c r="A1141" s="375" t="n">
        <v>46125</v>
      </c>
      <c r="B1141" s="376" t="n">
        <v>41.41613172805225</v>
      </c>
      <c r="C1141" s="376" t="n">
        <v>42.15167752802254</v>
      </c>
      <c r="D1141" s="376" t="n">
        <v>41.27883044397983</v>
      </c>
      <c r="E1141" s="376" t="n">
        <v>42.08302688598633</v>
      </c>
      <c r="F1141" s="93" t="n">
        <v>21236700</v>
      </c>
      <c r="G1141" s="94" t="n">
        <v>0.006804349556129852</v>
      </c>
      <c r="H1141" s="95" t="n">
        <v>31.15459379335292</v>
      </c>
      <c r="I1141" s="376" t="n">
        <v>55.15795280456543</v>
      </c>
      <c r="J1141" s="376" t="n">
        <v>63.99543651580811</v>
      </c>
      <c r="K1141" s="94" t="n">
        <v>0.6060701430175285</v>
      </c>
      <c r="L1141" s="94" t="n">
        <v>-0.3416427283021739</v>
      </c>
      <c r="M1141" s="94" t="n">
        <v>-0.4549520099991813</v>
      </c>
      <c r="N1141" t="n">
        <v>24.30970143047661</v>
      </c>
      <c r="O1141" t="n">
        <v>-0.4306963605442551</v>
      </c>
      <c r="P1141" s="143">
        <f>MAX($E$2:E1141)</f>
        <v/>
      </c>
      <c r="Q1141" s="144">
        <f>E1141/P1141-1</f>
        <v/>
      </c>
      <c r="R1141" s="94" t="n">
        <v>0.009772337225445238</v>
      </c>
    </row>
    <row r="1142">
      <c r="A1142" s="375" t="n">
        <v>46126</v>
      </c>
      <c r="B1142" s="376" t="n">
        <v>42.16148402623096</v>
      </c>
      <c r="C1142" s="376" t="n">
        <v>43.35796923528187</v>
      </c>
      <c r="D1142" s="376" t="n">
        <v>42.1222540216905</v>
      </c>
      <c r="E1142" s="376" t="n">
        <v>43.34816360473633</v>
      </c>
      <c r="F1142" s="93" t="n">
        <v>22554100</v>
      </c>
      <c r="G1142" s="94" t="n">
        <v>0.03006287361832549</v>
      </c>
      <c r="H1142" s="95" t="n">
        <v>32.09119040919276</v>
      </c>
      <c r="I1142" s="376" t="n">
        <v>54.82053459167481</v>
      </c>
      <c r="J1142" s="376" t="n">
        <v>63.91102359771728</v>
      </c>
      <c r="K1142" s="94" t="n">
        <v>0.616787545328744</v>
      </c>
      <c r="L1142" s="94" t="n">
        <v>-0.3218506168474166</v>
      </c>
      <c r="M1142" s="94" t="n">
        <v>-0.4385663011598644</v>
      </c>
      <c r="N1142" t="n">
        <v>30.63347424595283</v>
      </c>
      <c r="O1142" t="n">
        <v>-0.218909584972347</v>
      </c>
      <c r="P1142" s="143">
        <f>MAX($E$2:E1142)</f>
        <v/>
      </c>
      <c r="Q1142" s="144">
        <f>E1142/P1142-1</f>
        <v/>
      </c>
      <c r="R1142" s="94" t="n">
        <v>0.01218491501066254</v>
      </c>
    </row>
    <row r="1143">
      <c r="A1143" s="375" t="n">
        <v>46127</v>
      </c>
      <c r="B1143" s="376" t="n">
        <v>44.22101299965342</v>
      </c>
      <c r="C1143" s="376" t="n">
        <v>45.01540379887331</v>
      </c>
      <c r="D1143" s="376" t="n">
        <v>43.84833541890071</v>
      </c>
      <c r="E1143" s="376" t="n">
        <v>44.56426620483398</v>
      </c>
      <c r="F1143" s="93" t="n">
        <v>31523500</v>
      </c>
      <c r="G1143" s="94" t="n">
        <v>0.02805430493403382</v>
      </c>
      <c r="H1143" s="95" t="n">
        <v>32.99148645062839</v>
      </c>
      <c r="I1143" s="376" t="n">
        <v>54.50022888183594</v>
      </c>
      <c r="J1143" s="376" t="n">
        <v>63.78694509506226</v>
      </c>
      <c r="K1143" s="94" t="n">
        <v>0.629165637503302</v>
      </c>
      <c r="L1143" s="94" t="n">
        <v>-0.3028256072616271</v>
      </c>
      <c r="M1143" s="94" t="n">
        <v>-0.4228156689723608</v>
      </c>
      <c r="N1143" t="n">
        <v>36.15524889914989</v>
      </c>
      <c r="O1143" t="n">
        <v>0.03545998126217409</v>
      </c>
      <c r="P1143" s="143">
        <f>MAX($E$2:E1143)</f>
        <v/>
      </c>
      <c r="Q1143" s="144">
        <f>E1143/P1143-1</f>
        <v/>
      </c>
      <c r="R1143" s="94" t="n">
        <v>0.007891042626046341</v>
      </c>
    </row>
    <row r="1144">
      <c r="A1144" s="375" t="n">
        <v>46128</v>
      </c>
      <c r="B1144" s="376" t="n">
        <v>44.91732710061467</v>
      </c>
      <c r="C1144" s="376" t="n">
        <v>45.59403159574899</v>
      </c>
      <c r="D1144" s="376" t="n">
        <v>44.67214518004234</v>
      </c>
      <c r="E1144" s="376" t="n">
        <v>44.81925582885742</v>
      </c>
      <c r="F1144" s="93" t="n">
        <v>21766300</v>
      </c>
      <c r="G1144" s="94" t="n">
        <v>0.005721840517947996</v>
      </c>
      <c r="H1144" s="95" t="n">
        <v>33.18025847454893</v>
      </c>
      <c r="I1144" s="376" t="n">
        <v>54.20937950134277</v>
      </c>
      <c r="J1144" s="376" t="n">
        <v>63.66895690917968</v>
      </c>
      <c r="K1144" s="94" t="n">
        <v>0.6260027250787136</v>
      </c>
      <c r="L1144" s="94" t="n">
        <v>-0.298836486573181</v>
      </c>
      <c r="M1144" s="94" t="n">
        <v>-0.4195131122807622</v>
      </c>
      <c r="N1144" t="n">
        <v>37.28258613658532</v>
      </c>
      <c r="O1144" t="n">
        <v>0.2417683374624597</v>
      </c>
      <c r="P1144" s="143">
        <f>MAX($E$2:E1144)</f>
        <v/>
      </c>
      <c r="Q1144" s="144">
        <f>E1144/P1144-1</f>
        <v/>
      </c>
      <c r="R1144" s="94" t="n">
        <v>0.002457314696140633</v>
      </c>
    </row>
    <row r="1145">
      <c r="A1145" s="375" t="n">
        <v>46129</v>
      </c>
      <c r="B1145" s="376" t="n">
        <v>45.48615168390426</v>
      </c>
      <c r="C1145" s="376" t="n">
        <v>45.87844051842373</v>
      </c>
      <c r="D1145" s="376" t="n">
        <v>44.89771282035615</v>
      </c>
      <c r="E1145" s="376" t="n">
        <v>45.14289474487305</v>
      </c>
      <c r="F1145" s="93" t="n">
        <v>31290400</v>
      </c>
      <c r="G1145" s="94" t="n">
        <v>0.007220979242748671</v>
      </c>
      <c r="H1145" s="95" t="n">
        <v>33.41985243226268</v>
      </c>
      <c r="I1145" s="376" t="n">
        <v>53.86089645385742</v>
      </c>
      <c r="J1145" s="376" t="n">
        <v>63.54117448806763</v>
      </c>
      <c r="K1145" s="94" t="n">
        <v>0.6276745268145196</v>
      </c>
      <c r="L1145" s="94" t="n">
        <v>-0.2937733993969532</v>
      </c>
      <c r="M1145" s="94" t="n">
        <v>-0.4153214285138537</v>
      </c>
      <c r="N1145" t="n">
        <v>38.76061324696969</v>
      </c>
      <c r="O1145" t="n">
        <v>0.4109678318651446</v>
      </c>
      <c r="P1145" s="143">
        <f>MAX($E$2:E1145)</f>
        <v/>
      </c>
      <c r="Q1145" s="144">
        <f>E1145/P1145-1</f>
        <v/>
      </c>
      <c r="R1145" s="94" t="n">
        <v>0.01208570968453193</v>
      </c>
    </row>
    <row r="1146">
      <c r="A1146" s="375" t="n">
        <v>46132</v>
      </c>
      <c r="B1146" s="376" t="n">
        <v>45.09386083313655</v>
      </c>
      <c r="C1146" s="376" t="n">
        <v>45.66268471554044</v>
      </c>
      <c r="D1146" s="376" t="n">
        <v>44.69176261119495</v>
      </c>
      <c r="E1146" s="376" t="n">
        <v>45.58422470092773</v>
      </c>
      <c r="F1146" s="93" t="n">
        <v>19003100</v>
      </c>
      <c r="G1146" s="94" t="n">
        <v>0.009776288351663887</v>
      </c>
      <c r="H1146" s="95" t="n">
        <v>33.74657454631054</v>
      </c>
      <c r="I1146" s="376" t="n">
        <v>53.55085754394531</v>
      </c>
      <c r="J1146" s="376" t="n">
        <v>63.40124889373779</v>
      </c>
      <c r="K1146" s="94" t="n">
        <v>0.6281532097969247</v>
      </c>
      <c r="L1146" s="94" t="n">
        <v>-0.2868691245078424</v>
      </c>
      <c r="M1146" s="94" t="n">
        <v>-0.4096054422059662</v>
      </c>
      <c r="N1146" t="n">
        <v>40.80911547405897</v>
      </c>
      <c r="O1146" t="n">
        <v>0.5546125819342094</v>
      </c>
      <c r="P1146" s="143">
        <f>MAX($E$2:E1146)</f>
        <v/>
      </c>
      <c r="Q1146" s="144">
        <f>E1146/P1146-1</f>
        <v/>
      </c>
      <c r="R1146" s="94" t="n">
        <v>-0.001999776957921973</v>
      </c>
    </row>
    <row r="1147">
      <c r="A1147" s="375" t="n">
        <v>46133</v>
      </c>
      <c r="B1147" s="376" t="n">
        <v>45.86863398637225</v>
      </c>
      <c r="C1147" s="376" t="n">
        <v>46.06478027036789</v>
      </c>
      <c r="D1147" s="376" t="n">
        <v>45.04482258653389</v>
      </c>
      <c r="E1147" s="376" t="n">
        <v>45.49595642089844</v>
      </c>
      <c r="F1147" s="93" t="n">
        <v>22194000</v>
      </c>
      <c r="G1147" s="94" t="n">
        <v>-0.001936377784385157</v>
      </c>
      <c r="H1147" s="95" t="n">
        <v>33.68122842905996</v>
      </c>
      <c r="I1147" s="376" t="n">
        <v>53.21528144836426</v>
      </c>
      <c r="J1147" s="376" t="n">
        <v>63.26088195800781</v>
      </c>
      <c r="K1147" s="94" t="n">
        <v>0.626794343054086</v>
      </c>
      <c r="L1147" s="94" t="n">
        <v>-0.2882500152925046</v>
      </c>
      <c r="M1147" s="94" t="n">
        <v>-0.4107486691117005</v>
      </c>
      <c r="N1147" t="n">
        <v>40.51719075293813</v>
      </c>
      <c r="O1147" t="n">
        <v>0.6396482217226565</v>
      </c>
      <c r="P1147" s="143">
        <f>MAX($E$2:E1147)</f>
        <v/>
      </c>
      <c r="Q1147" s="144">
        <f>E1147/P1147-1</f>
        <v/>
      </c>
      <c r="R1147" s="94" t="n">
        <v>-0.006546877598048839</v>
      </c>
    </row>
    <row r="1148">
      <c r="A1148" s="375" t="n">
        <v>46134</v>
      </c>
      <c r="B1148" s="376" t="n">
        <v>45.41750014053507</v>
      </c>
      <c r="C1148" s="376" t="n">
        <v>46.04516525621923</v>
      </c>
      <c r="D1148" s="376" t="n">
        <v>44.62310937408401</v>
      </c>
      <c r="E1148" s="376" t="n">
        <v>44.79964065551758</v>
      </c>
      <c r="F1148" s="93" t="n">
        <v>17985200</v>
      </c>
      <c r="G1148" s="94" t="n">
        <v>-0.01530500334884721</v>
      </c>
      <c r="H1148" s="95" t="n">
        <v>33.16573711515991</v>
      </c>
      <c r="I1148" s="376" t="n">
        <v>52.89520164489746</v>
      </c>
      <c r="J1148" s="376" t="n">
        <v>63.11635927200317</v>
      </c>
      <c r="K1148" s="94" t="n">
        <v>0.6229227749236668</v>
      </c>
      <c r="L1148" s="94" t="n">
        <v>-0.2991433511919948</v>
      </c>
      <c r="M1148" s="94" t="n">
        <v>-0.4197671627042586</v>
      </c>
      <c r="N1148" t="n">
        <v>38.19596476685634</v>
      </c>
      <c r="O1148" t="n">
        <v>0.6432290401917475</v>
      </c>
      <c r="P1148" s="143">
        <f>MAX($E$2:E1148)</f>
        <v/>
      </c>
      <c r="Q1148" s="144">
        <f>E1148/P1148-1</f>
        <v/>
      </c>
      <c r="R1148" s="94" t="n">
        <v>0.01012667911071952</v>
      </c>
    </row>
    <row r="1149">
      <c r="A1149" s="375" t="n">
        <v>46135</v>
      </c>
      <c r="B1149" s="376" t="n">
        <v>44.70157358227125</v>
      </c>
      <c r="C1149" s="376" t="n">
        <v>44.86829550751661</v>
      </c>
      <c r="D1149" s="376" t="n">
        <v>43.3873982199449</v>
      </c>
      <c r="E1149" s="376" t="n">
        <v>43.91698837280273</v>
      </c>
      <c r="F1149" s="93" t="n">
        <v>17457500</v>
      </c>
      <c r="G1149" s="94" t="n">
        <v>-0.01970221791513715</v>
      </c>
      <c r="H1149" s="95" t="n">
        <v>32.51229853520088</v>
      </c>
      <c r="I1149" s="376" t="n">
        <v>52.54519302368164</v>
      </c>
      <c r="J1149" s="376" t="n">
        <v>62.97999145507813</v>
      </c>
      <c r="K1149" s="94" t="n">
        <v>0.6245009209563733</v>
      </c>
      <c r="L1149" s="94" t="n">
        <v>-0.3129517816140829</v>
      </c>
      <c r="M1149" s="94" t="n">
        <v>-0.4311990365061776</v>
      </c>
      <c r="N1149" t="n">
        <v>35.4254434440634</v>
      </c>
      <c r="O1149" t="n">
        <v>0.582210231964182</v>
      </c>
      <c r="P1149" s="143">
        <f>MAX($E$2:E1149)</f>
        <v/>
      </c>
      <c r="Q1149" s="144">
        <f>E1149/P1149-1</f>
        <v/>
      </c>
      <c r="R1149" s="94" t="n">
        <v>-0.003880717280620449</v>
      </c>
    </row>
    <row r="1150">
      <c r="A1150" s="375" t="n">
        <v>46136</v>
      </c>
      <c r="B1150" s="376" t="n">
        <v>44.11313202707365</v>
      </c>
      <c r="C1150" s="376" t="n">
        <v>44.54465087343377</v>
      </c>
      <c r="D1150" s="376" t="n">
        <v>43.73064881806683</v>
      </c>
      <c r="E1150" s="376" t="n">
        <v>43.82872009277344</v>
      </c>
      <c r="F1150" s="93" t="n">
        <v>15885000</v>
      </c>
      <c r="G1150" s="94" t="n">
        <v>-0.002009889186389668</v>
      </c>
      <c r="H1150" s="95" t="n">
        <v>32.4469524179503</v>
      </c>
      <c r="I1150" s="376" t="n">
        <v>52.20686401367188</v>
      </c>
      <c r="J1150" s="376" t="n">
        <v>62.84491584777832</v>
      </c>
      <c r="K1150" s="94" t="n">
        <v>0.623727813240839</v>
      </c>
      <c r="L1150" s="94" t="n">
        <v>-0.3143326723987452</v>
      </c>
      <c r="M1150" s="94" t="n">
        <v>-0.4323422634119118</v>
      </c>
      <c r="N1150" t="n">
        <v>35.15085666335088</v>
      </c>
      <c r="O1150" t="n">
        <v>0.5332690923198293</v>
      </c>
      <c r="P1150" s="143">
        <f>MAX($E$2:E1150)</f>
        <v/>
      </c>
      <c r="Q1150" s="144">
        <f>E1150/P1150-1</f>
        <v/>
      </c>
      <c r="R1150" s="94" t="n">
        <v>0.00774924296942836</v>
      </c>
    </row>
    <row r="1151">
      <c r="A1151" s="375" t="n">
        <v>46139</v>
      </c>
      <c r="B1151" s="376" t="n">
        <v>43.74045616579651</v>
      </c>
      <c r="C1151" s="376" t="n">
        <v>44.53484699034393</v>
      </c>
      <c r="D1151" s="376" t="n">
        <v>43.63257925585701</v>
      </c>
      <c r="E1151" s="376" t="n">
        <v>44.27005004882812</v>
      </c>
      <c r="F1151" s="93" t="n">
        <v>14583100</v>
      </c>
      <c r="G1151" s="94" t="n">
        <v>0.0100694237732819</v>
      </c>
      <c r="H1151" s="95" t="n">
        <v>32.77367453199816</v>
      </c>
      <c r="I1151" s="376" t="n">
        <v>51.90171806335449</v>
      </c>
      <c r="J1151" s="376" t="n">
        <v>62.70694259643555</v>
      </c>
      <c r="K1151" s="94" t="n">
        <v>0.6259938476443491</v>
      </c>
      <c r="L1151" s="94" t="n">
        <v>-0.3074283975096344</v>
      </c>
      <c r="M1151" s="94" t="n">
        <v>-0.4266262771040245</v>
      </c>
      <c r="N1151" t="n">
        <v>37.74894821038939</v>
      </c>
      <c r="O1151" t="n">
        <v>0.5270458708298706</v>
      </c>
      <c r="P1151" s="143">
        <f>MAX($E$2:E1151)</f>
        <v/>
      </c>
      <c r="Q1151" s="144">
        <f>E1151/P1151-1</f>
        <v/>
      </c>
      <c r="R1151" s="94" t="n">
        <v>0.001722941665982747</v>
      </c>
    </row>
    <row r="1152">
      <c r="A1152" s="375" t="n">
        <v>46140</v>
      </c>
      <c r="B1152" s="376" t="n">
        <v>44.5054273753296</v>
      </c>
      <c r="C1152" s="376" t="n">
        <v>44.82906559492667</v>
      </c>
      <c r="D1152" s="376" t="n">
        <v>43.88756783096121</v>
      </c>
      <c r="E1152" s="376" t="n">
        <v>44.16217041015625</v>
      </c>
      <c r="F1152" s="93" t="n">
        <v>12426000</v>
      </c>
      <c r="G1152" s="94" t="n">
        <v>-0.002436853777054382</v>
      </c>
      <c r="H1152" s="95" t="n">
        <v>32.69380987942691</v>
      </c>
      <c r="I1152" s="376" t="n">
        <v>51.55485946655273</v>
      </c>
      <c r="J1152" s="376" t="n">
        <v>62.57801254272461</v>
      </c>
      <c r="K1152" s="94" t="n">
        <v>0.6260001105278379</v>
      </c>
      <c r="L1152" s="94" t="n">
        <v>-0.3091160932350436</v>
      </c>
      <c r="M1152" s="94" t="n">
        <v>-0.4280235050263272</v>
      </c>
      <c r="N1152" t="n">
        <v>37.35498153082948</v>
      </c>
      <c r="O1152" t="n">
        <v>0.5116731269776249</v>
      </c>
      <c r="P1152" s="143">
        <f>MAX($E$2:E1152)</f>
        <v/>
      </c>
      <c r="Q1152" s="144">
        <f>E1152/P1152-1</f>
        <v/>
      </c>
      <c r="R1152" s="94" t="n">
        <v>-0.004865980739709008</v>
      </c>
    </row>
    <row r="1153">
      <c r="A1153" s="375" t="n">
        <v>46141</v>
      </c>
      <c r="B1153" s="376" t="n">
        <v>44.05428844366177</v>
      </c>
      <c r="C1153" s="376" t="n">
        <v>44.28966474822825</v>
      </c>
      <c r="D1153" s="376" t="n">
        <v>43.29913137338055</v>
      </c>
      <c r="E1153" s="376" t="n">
        <v>43.53450393676758</v>
      </c>
      <c r="F1153" s="93" t="n">
        <v>13329700</v>
      </c>
      <c r="G1153" s="94" t="n">
        <v>-0.01421276326682352</v>
      </c>
      <c r="H1153" s="95" t="n">
        <v>32.22914049932008</v>
      </c>
      <c r="I1153" s="376" t="n">
        <v>51.16251754760742</v>
      </c>
      <c r="J1153" s="376" t="n">
        <v>62.44777399063111</v>
      </c>
      <c r="K1153" s="94" t="n">
        <v>0.6114452949332891</v>
      </c>
      <c r="L1153" s="94" t="n">
        <v>-0.318935462646752</v>
      </c>
      <c r="M1153" s="94" t="n">
        <v>-0.4361528715435755</v>
      </c>
      <c r="N1153" t="n">
        <v>35.06217395270332</v>
      </c>
      <c r="O1153" t="n">
        <v>0.4570337163673841</v>
      </c>
      <c r="P1153" s="143">
        <f>MAX($E$2:E1153)</f>
        <v/>
      </c>
      <c r="Q1153" s="144">
        <f>E1153/P1153-1</f>
        <v/>
      </c>
      <c r="R1153" s="94" t="n">
        <v>-0.0001546344034137892</v>
      </c>
    </row>
    <row r="1154">
      <c r="A1154" s="375" t="n">
        <v>46142</v>
      </c>
      <c r="B1154" s="376" t="n">
        <v>43.24028424999607</v>
      </c>
      <c r="C1154" s="376" t="n">
        <v>43.94640938802739</v>
      </c>
      <c r="D1154" s="376" t="n">
        <v>42.67146039076433</v>
      </c>
      <c r="E1154" s="376" t="n">
        <v>43.50508117675781</v>
      </c>
      <c r="F1154" s="93" t="n">
        <v>21679500</v>
      </c>
      <c r="G1154" s="94" t="n">
        <v>-0.0006758492080787271</v>
      </c>
      <c r="H1154" s="95" t="n">
        <v>32.20735846023656</v>
      </c>
      <c r="I1154" s="376" t="n">
        <v>50.75536285400391</v>
      </c>
      <c r="J1154" s="376" t="n">
        <v>62.3186403465271</v>
      </c>
      <c r="K1154" s="94" t="n">
        <v>0.2673815217096753</v>
      </c>
      <c r="L1154" s="94" t="n">
        <v>-0.3193957595749728</v>
      </c>
      <c r="M1154" s="94" t="n">
        <v>-0.4365339471788203</v>
      </c>
      <c r="N1154" t="n">
        <v>34.95386771196577</v>
      </c>
      <c r="O1154" t="n">
        <v>0.4177838518399426</v>
      </c>
      <c r="P1154" s="143">
        <f>MAX($E$2:E1154)</f>
        <v/>
      </c>
      <c r="Q1154" s="144">
        <f>E1154/P1154-1</f>
        <v/>
      </c>
      <c r="R1154" s="94" t="n">
        <v>0.009949685183250345</v>
      </c>
    </row>
    <row r="1155">
      <c r="A1155" s="375" t="n">
        <v>46143</v>
      </c>
      <c r="B1155" s="376" t="n">
        <v>43.95621536306166</v>
      </c>
      <c r="C1155" s="376" t="n">
        <v>44.09351664293638</v>
      </c>
      <c r="D1155" s="376" t="n">
        <v>43.36778023754735</v>
      </c>
      <c r="E1155" s="376" t="n">
        <v>43.5443115234375</v>
      </c>
      <c r="F1155" s="93" t="n">
        <v>11562800</v>
      </c>
      <c r="G1155" s="94" t="n">
        <v>0.0009017417188648125</v>
      </c>
      <c r="H1155" s="95" t="n">
        <v>32.23640117901459</v>
      </c>
      <c r="I1155" s="376" t="n">
        <v>50.34782386779785</v>
      </c>
      <c r="J1155" s="376" t="n">
        <v>62.18917318344116</v>
      </c>
      <c r="K1155" s="94" t="n">
        <v>0.2649260037885192</v>
      </c>
      <c r="L1155" s="94" t="n">
        <v>-0.3187820303373452</v>
      </c>
      <c r="M1155" s="94" t="n">
        <v>-0.4360258463318273</v>
      </c>
      <c r="N1155" t="n">
        <v>35.2411028098328</v>
      </c>
      <c r="O1155" t="n">
        <v>0.3936664663834164</v>
      </c>
      <c r="P1155" s="143">
        <f>MAX($E$2:E1155)</f>
        <v/>
      </c>
      <c r="Q1155" s="144">
        <f>E1155/P1155-1</f>
        <v/>
      </c>
      <c r="R1155" s="94" t="n">
        <v>0.00276905737155686</v>
      </c>
    </row>
    <row r="1156">
      <c r="A1156" s="375" t="n">
        <v>46146</v>
      </c>
      <c r="B1156" s="376" t="n">
        <v>43.33835867861848</v>
      </c>
      <c r="C1156" s="376" t="n">
        <v>43.48546934014611</v>
      </c>
      <c r="D1156" s="376" t="n">
        <v>42.25955963134766</v>
      </c>
      <c r="E1156" s="376" t="n">
        <v>42.25955963134766</v>
      </c>
      <c r="F1156" s="93" t="n">
        <v>33272400</v>
      </c>
      <c r="G1156" s="94" t="n">
        <v>-0.02950447135668532</v>
      </c>
      <c r="H1156" s="95" t="n">
        <v>31.28528320378573</v>
      </c>
      <c r="I1156" s="376" t="n">
        <v>49.918681640625</v>
      </c>
      <c r="J1156" s="376" t="n">
        <v>62.04904470443726</v>
      </c>
      <c r="K1156" s="94" t="n">
        <v>0.2852493373882939</v>
      </c>
      <c r="L1156" s="94" t="n">
        <v>-0.3388810064109163</v>
      </c>
      <c r="M1156" s="94" t="n">
        <v>-0.4526656055946408</v>
      </c>
      <c r="N1156" t="n">
        <v>30.49226329899041</v>
      </c>
      <c r="O1156" t="n">
        <v>0.294907399919647</v>
      </c>
      <c r="P1156" s="143">
        <f>MAX($E$2:E1156)</f>
        <v/>
      </c>
      <c r="Q1156" s="144">
        <f>E1156/P1156-1</f>
        <v/>
      </c>
      <c r="R1156" s="94" t="n">
        <v>-0.003663380950929773</v>
      </c>
    </row>
    <row r="1157">
      <c r="A1157" s="375" t="n">
        <v>46147</v>
      </c>
      <c r="B1157" s="376" t="n">
        <v>42.21052186804221</v>
      </c>
      <c r="C1157" s="376" t="n">
        <v>42.46550942852742</v>
      </c>
      <c r="D1157" s="376" t="n">
        <v>41.82803865672472</v>
      </c>
      <c r="E1157" s="376" t="n">
        <v>42.23013687133789</v>
      </c>
      <c r="F1157" s="93" t="n">
        <v>18589700</v>
      </c>
      <c r="G1157" s="94" t="n">
        <v>-0.0006962391531392109</v>
      </c>
      <c r="H1157" s="95" t="n">
        <v>31.26350116470221</v>
      </c>
      <c r="I1157" s="376" t="n">
        <v>49.53396179199219</v>
      </c>
      <c r="J1157" s="376" t="n">
        <v>61.91122493743897</v>
      </c>
      <c r="K1157" s="94" t="n">
        <v>0.2631195969707769</v>
      </c>
      <c r="L1157" s="94" t="n">
        <v>-0.3393413033391371</v>
      </c>
      <c r="M1157" s="94" t="n">
        <v>-0.4530466812298855</v>
      </c>
      <c r="N1157" t="n">
        <v>30.39126000556521</v>
      </c>
      <c r="O1157" t="n">
        <v>0.2339815062194157</v>
      </c>
      <c r="P1157" s="143">
        <f>MAX($E$2:E1157)</f>
        <v/>
      </c>
      <c r="Q1157" s="144">
        <f>E1157/P1157-1</f>
        <v/>
      </c>
      <c r="R1157" s="94" t="n">
        <v>0.008022242913074518</v>
      </c>
    </row>
    <row r="1158">
      <c r="A1158" s="375" t="n">
        <v>46148</v>
      </c>
      <c r="B1158" s="376" t="n">
        <v>42.78915035180437</v>
      </c>
      <c r="C1158" s="376" t="n">
        <v>43.22066919049166</v>
      </c>
      <c r="D1158" s="376" t="n">
        <v>42.36743714394166</v>
      </c>
      <c r="E1158" s="376" t="n">
        <v>43.03433227539062</v>
      </c>
      <c r="F1158" s="93" t="n">
        <v>19406700</v>
      </c>
      <c r="G1158" s="94" t="n">
        <v>0.0190431635706716</v>
      </c>
      <c r="H1158" s="95" t="n">
        <v>31.85885713117351</v>
      </c>
      <c r="I1158" s="376" t="n">
        <v>49.14584075927734</v>
      </c>
      <c r="J1158" s="376" t="n">
        <v>61.76996234893799</v>
      </c>
      <c r="K1158" s="94" t="n">
        <v>0.2691686604706954</v>
      </c>
      <c r="L1158" s="94" t="n">
        <v>-0.3267602717142376</v>
      </c>
      <c r="M1158" s="94" t="n">
        <v>-0.4426309597150245</v>
      </c>
      <c r="N1158" t="n">
        <v>36.57523339893908</v>
      </c>
      <c r="O1158" t="n">
        <v>0.2526288208442005</v>
      </c>
      <c r="P1158" s="143">
        <f>MAX($E$2:E1158)</f>
        <v/>
      </c>
      <c r="Q1158" s="144">
        <f>E1158/P1158-1</f>
        <v/>
      </c>
      <c r="R1158" s="94" t="n">
        <v>0.01389941873015998</v>
      </c>
    </row>
    <row r="1159">
      <c r="A1159" s="375" t="n">
        <v>46149</v>
      </c>
      <c r="B1159" s="376" t="n">
        <v>43.20105652247319</v>
      </c>
      <c r="C1159" s="376" t="n">
        <v>43.77968604305608</v>
      </c>
      <c r="D1159" s="376" t="n">
        <v>43.16182651469617</v>
      </c>
      <c r="E1159" s="376" t="n">
        <v>43.55411911010742</v>
      </c>
      <c r="F1159" s="93" t="n">
        <v>17177700</v>
      </c>
      <c r="G1159" s="94" t="n">
        <v>0.01207842220928423</v>
      </c>
      <c r="H1159" s="95" t="n">
        <v>32.2436618587091</v>
      </c>
      <c r="I1159" s="376" t="n">
        <v>48.7815601348877</v>
      </c>
      <c r="J1159" s="376" t="n">
        <v>61.6247015953064</v>
      </c>
      <c r="K1159" s="94" t="n">
        <v>0.2629850528341209</v>
      </c>
      <c r="L1159" s="94" t="n">
        <v>-0.3186285980279382</v>
      </c>
      <c r="M1159" s="94" t="n">
        <v>-0.435898821120079</v>
      </c>
      <c r="N1159" t="n">
        <v>40.26886020854854</v>
      </c>
      <c r="O1159" t="n">
        <v>0.3014474751630298</v>
      </c>
      <c r="P1159" s="143">
        <f>MAX($E$2:E1159)</f>
        <v/>
      </c>
      <c r="Q1159" s="144">
        <f>E1159/P1159-1</f>
        <v/>
      </c>
      <c r="R1159" s="94" t="n">
        <v>-0.00306608893764504</v>
      </c>
    </row>
    <row r="1160">
      <c r="A1160" s="375" t="n">
        <v>46150</v>
      </c>
      <c r="B1160" s="376" t="n">
        <v>43.40700818083172</v>
      </c>
      <c r="C1160" s="376" t="n">
        <v>43.7993007737965</v>
      </c>
      <c r="D1160" s="376" t="n">
        <v>42.95587431774783</v>
      </c>
      <c r="E1160" s="376" t="n">
        <v>43.28932189941406</v>
      </c>
      <c r="F1160" s="93" t="n">
        <v>17357100</v>
      </c>
      <c r="G1160" s="94" t="n">
        <v>-0.006079728303629239</v>
      </c>
      <c r="H1160" s="95" t="n">
        <v>32.04762915509405</v>
      </c>
      <c r="I1160" s="376" t="n">
        <v>48.40126663208008</v>
      </c>
      <c r="J1160" s="376" t="n">
        <v>61.4715679359436</v>
      </c>
      <c r="K1160" s="94" t="n">
        <v>0.2361821961793609</v>
      </c>
      <c r="L1160" s="94" t="n">
        <v>-0.3227711510257913</v>
      </c>
      <c r="M1160" s="94" t="n">
        <v>-0.4393284030234259</v>
      </c>
      <c r="N1160" t="n">
        <v>39.02211486991933</v>
      </c>
      <c r="O1160" t="n">
        <v>0.3158604055385692</v>
      </c>
      <c r="P1160" s="143">
        <f>MAX($E$2:E1160)</f>
        <v/>
      </c>
      <c r="Q1160" s="144">
        <f>E1160/P1160-1</f>
        <v/>
      </c>
      <c r="R1160" s="94" t="n">
        <v>0.008256054754597786</v>
      </c>
    </row>
    <row r="1161">
      <c r="A1161" s="375" t="n">
        <v>46153</v>
      </c>
      <c r="B1161" s="376" t="n">
        <v>43.22067051419458</v>
      </c>
      <c r="C1161" s="376" t="n">
        <v>43.22067051419458</v>
      </c>
      <c r="D1161" s="376" t="n">
        <v>41.57304763793945</v>
      </c>
      <c r="E1161" s="376" t="n">
        <v>41.57304763793945</v>
      </c>
      <c r="F1161" s="93" t="n">
        <v>24863800</v>
      </c>
      <c r="G1161" s="94" t="n">
        <v>-0.03964659611583887</v>
      </c>
      <c r="H1161" s="95" t="n">
        <v>30.77704974551185</v>
      </c>
      <c r="I1161" s="376" t="n">
        <v>48.02113655090332</v>
      </c>
      <c r="J1161" s="376" t="n">
        <v>61.31625736236573</v>
      </c>
      <c r="K1161" s="94" t="n">
        <v>0.2772634753157595</v>
      </c>
      <c r="L1161" s="94" t="n">
        <v>-0.3496209696790663</v>
      </c>
      <c r="M1161" s="94" t="n">
        <v>-0.4615571233823785</v>
      </c>
      <c r="N1161" t="n">
        <v>32.08776367328926</v>
      </c>
      <c r="O1161" t="n">
        <v>0.2146031608475516</v>
      </c>
      <c r="P1161" s="143">
        <f>MAX($E$2:E1161)</f>
        <v/>
      </c>
      <c r="Q1161" s="144">
        <f>E1161/P1161-1</f>
        <v/>
      </c>
      <c r="R1161" s="94" t="n">
        <v>0.002277563520993731</v>
      </c>
    </row>
    <row r="1162">
      <c r="A1162" s="375" t="n">
        <v>46154</v>
      </c>
      <c r="B1162" s="376" t="n">
        <v>41.48478165367777</v>
      </c>
      <c r="C1162" s="376" t="n">
        <v>41.69073357622976</v>
      </c>
      <c r="D1162" s="376" t="n">
        <v>41.24940909681245</v>
      </c>
      <c r="E1162" s="376" t="n">
        <v>41.53381729125977</v>
      </c>
      <c r="F1162" s="93" t="n">
        <v>21271300</v>
      </c>
      <c r="G1162" s="94" t="n">
        <v>-0.0009436485633996794</v>
      </c>
      <c r="H1162" s="95" t="n">
        <v>30.74800702673382</v>
      </c>
      <c r="I1162" s="376" t="n">
        <v>47.65512901306153</v>
      </c>
      <c r="J1162" s="376" t="n">
        <v>61.15665758132935</v>
      </c>
      <c r="K1162" s="94" t="n">
        <v>0.2527466006891925</v>
      </c>
      <c r="L1162" s="94" t="n">
        <v>-0.3502346989166939</v>
      </c>
      <c r="M1162" s="94" t="n">
        <v>-0.4620652242293716</v>
      </c>
      <c r="N1162" t="n">
        <v>31.94801136168371</v>
      </c>
      <c r="O1162" t="n">
        <v>0.1526900641633568</v>
      </c>
      <c r="P1162" s="143">
        <f>MAX($E$2:E1162)</f>
        <v/>
      </c>
      <c r="Q1162" s="144">
        <f>E1162/P1162-1</f>
        <v/>
      </c>
      <c r="R1162" s="94" t="n">
        <v>-0.001514897683211336</v>
      </c>
    </row>
    <row r="1163">
      <c r="A1163" s="375" t="n">
        <v>46155</v>
      </c>
      <c r="B1163" s="376" t="n">
        <v>41.38671223143866</v>
      </c>
      <c r="C1163" s="376" t="n">
        <v>41.78881046350033</v>
      </c>
      <c r="D1163" s="376" t="n">
        <v>40.89634835130593</v>
      </c>
      <c r="E1163" s="376" t="n">
        <v>41.52401351928711</v>
      </c>
      <c r="F1163" s="93" t="n">
        <v>21325200</v>
      </c>
      <c r="G1163" s="94" t="n">
        <v>-0.0002360431237010685</v>
      </c>
      <c r="H1163" s="95" t="n">
        <v>30.74074917110764</v>
      </c>
      <c r="I1163" s="376" t="n">
        <v>47.32070091247559</v>
      </c>
      <c r="J1163" s="376" t="n">
        <v>60.98270706176758</v>
      </c>
      <c r="K1163" s="94" t="n">
        <v>0.2267170610222991</v>
      </c>
      <c r="L1163" s="94" t="n">
        <v>-0.3503880715480342</v>
      </c>
      <c r="M1163" s="94" t="n">
        <v>-0.4621922000341918</v>
      </c>
      <c r="N1163" t="n">
        <v>31.91060802317035</v>
      </c>
      <c r="O1163" t="n">
        <v>0.1202126277714668</v>
      </c>
      <c r="P1163" s="143">
        <f>MAX($E$2:E1163)</f>
        <v/>
      </c>
      <c r="Q1163" s="144">
        <f>E1163/P1163-1</f>
        <v/>
      </c>
      <c r="R1163" s="94" t="n">
        <v>0.005594852718878274</v>
      </c>
    </row>
    <row r="1164">
      <c r="A1164" s="375" t="n">
        <v>46156</v>
      </c>
      <c r="B1164" s="376" t="n">
        <v>41.73977223077123</v>
      </c>
      <c r="C1164" s="376" t="n">
        <v>42.00456915853477</v>
      </c>
      <c r="D1164" s="376" t="n">
        <v>41.18075774144128</v>
      </c>
      <c r="E1164" s="376" t="n">
        <v>41.21017837524414</v>
      </c>
      <c r="F1164" s="93" t="n">
        <v>19146900</v>
      </c>
      <c r="G1164" s="94" t="n">
        <v>-0.007557919320520412</v>
      </c>
      <c r="H1164" s="95" t="n">
        <v>30.50841306902006</v>
      </c>
      <c r="I1164" s="376" t="n">
        <v>46.99470703125</v>
      </c>
      <c r="J1164" s="376" t="n">
        <v>60.81156938552856</v>
      </c>
      <c r="K1164" s="94" t="n">
        <v>0.2244978097224355</v>
      </c>
      <c r="L1164" s="94" t="n">
        <v>-0.3552977860929218</v>
      </c>
      <c r="M1164" s="94" t="n">
        <v>-0.4662569079962799</v>
      </c>
      <c r="N1164" t="n">
        <v>30.67263636855765</v>
      </c>
      <c r="O1164" t="n">
        <v>0.08821085308136523</v>
      </c>
      <c r="P1164" s="143">
        <f>MAX($E$2:E1164)</f>
        <v/>
      </c>
      <c r="Q1164" s="144">
        <f>E1164/P1164-1</f>
        <v/>
      </c>
      <c r="R1164" s="94" t="n">
        <v>0.007894249484761584</v>
      </c>
    </row>
    <row r="1165">
      <c r="A1165" s="375" t="n">
        <v>46157</v>
      </c>
      <c r="B1165" s="376" t="n">
        <v>41.19056224974589</v>
      </c>
      <c r="C1165" s="376" t="n">
        <v>41.9555286372067</v>
      </c>
      <c r="D1165" s="376" t="n">
        <v>41.03364597177498</v>
      </c>
      <c r="E1165" s="376" t="n">
        <v>41.0728759765625</v>
      </c>
      <c r="F1165" s="93" t="n">
        <v>26172600</v>
      </c>
      <c r="G1165" s="94" t="n">
        <v>-0.003331759387970035</v>
      </c>
      <c r="H1165" s="95" t="n">
        <v>30.40676637736528</v>
      </c>
      <c r="I1165" s="376" t="n">
        <v>46.67812805175781</v>
      </c>
      <c r="J1165" s="376" t="n">
        <v>60.64769063949585</v>
      </c>
      <c r="K1165" s="94" t="n">
        <v>0.2205344129918466</v>
      </c>
      <c r="L1165" s="94" t="n">
        <v>-0.3553825813810179</v>
      </c>
      <c r="M1165" s="94" t="n">
        <v>-0.4680352115538275</v>
      </c>
      <c r="N1165" t="n">
        <v>30.12205507433529</v>
      </c>
      <c r="O1165" t="n">
        <v>0.06924965685941076</v>
      </c>
      <c r="P1165" s="143">
        <f>MAX($E$2:E1165)</f>
        <v/>
      </c>
      <c r="Q1165" s="144">
        <f>E1165/P1165-1</f>
        <v/>
      </c>
      <c r="R1165" s="94" t="n">
        <v>-0.01202928805968206</v>
      </c>
    </row>
    <row r="1166">
      <c r="A1166" s="375" t="n">
        <v>46160</v>
      </c>
      <c r="B1166" s="376" t="n">
        <v>41.07287957670772</v>
      </c>
      <c r="C1166" s="376" t="n">
        <v>41.92611167913888</v>
      </c>
      <c r="D1166" s="376" t="n">
        <v>40.5530913206602</v>
      </c>
      <c r="E1166" s="376" t="n">
        <v>41.74958038330078</v>
      </c>
      <c r="F1166" s="93" t="n">
        <v>18694900</v>
      </c>
      <c r="G1166" s="94" t="n">
        <v>0.01647570058460057</v>
      </c>
      <c r="H1166" s="95" t="n">
        <v>30.90773915594465</v>
      </c>
      <c r="I1166" s="376" t="n">
        <v>46.39489395141602</v>
      </c>
      <c r="J1166" s="376" t="n">
        <v>60.49677793502808</v>
      </c>
      <c r="K1166" s="94" t="n">
        <v>0.2275068637880793</v>
      </c>
      <c r="L1166" s="94" t="n">
        <v>-0.3313689351634971</v>
      </c>
      <c r="M1166" s="94" t="n">
        <v>-0.459270718977838</v>
      </c>
      <c r="N1166" t="n">
        <v>36.20050893186085</v>
      </c>
      <c r="O1166" t="n">
        <v>0.1112461984989794</v>
      </c>
      <c r="P1166" s="143">
        <f>MAX($E$2:E1166)</f>
        <v/>
      </c>
      <c r="Q1166" s="144">
        <f>E1166/P1166-1</f>
        <v/>
      </c>
      <c r="R1166" s="94" t="n">
        <v>-0.0007035134425675826</v>
      </c>
    </row>
    <row r="1167">
      <c r="A1167" s="375" t="n">
        <v>46161</v>
      </c>
      <c r="B1167" s="376" t="n">
        <v>41.77899786576702</v>
      </c>
      <c r="C1167" s="376" t="n">
        <v>42.3674367212103</v>
      </c>
      <c r="D1167" s="376" t="n">
        <v>41.00422583826114</v>
      </c>
      <c r="E1167" s="376" t="n">
        <v>41.60246658325195</v>
      </c>
      <c r="F1167" s="93" t="n">
        <v>22957900</v>
      </c>
      <c r="G1167" s="94" t="n">
        <v>-0.003523719249347801</v>
      </c>
      <c r="H1167" s="95" t="n">
        <v>30.79882896052703</v>
      </c>
      <c r="I1167" s="376" t="n">
        <v>46.11813255310059</v>
      </c>
      <c r="J1167" s="376" t="n">
        <v>60.34546676635742</v>
      </c>
      <c r="K1167" s="94" t="n">
        <v>0.2273592186679372</v>
      </c>
      <c r="L1167" s="94" t="n">
        <v>-0.3337250033173734</v>
      </c>
      <c r="M1167" s="94" t="n">
        <v>-0.4611760971540617</v>
      </c>
      <c r="N1167" t="n">
        <v>35.47798695371492</v>
      </c>
      <c r="O1167" t="n">
        <v>0.1364206352169939</v>
      </c>
      <c r="P1167" s="143">
        <f>MAX($E$2:E1167)</f>
        <v/>
      </c>
      <c r="Q1167" s="144">
        <f>E1167/P1167-1</f>
        <v/>
      </c>
      <c r="R1167" s="94" t="n">
        <v>-0.006660884222331576</v>
      </c>
    </row>
    <row r="1168">
      <c r="A1168" s="375" t="n">
        <v>46162</v>
      </c>
      <c r="B1168" s="376" t="n">
        <v>41.39651560748124</v>
      </c>
      <c r="C1168" s="376" t="n">
        <v>43.42662166132843</v>
      </c>
      <c r="D1168" s="376" t="n">
        <v>41.02384177253431</v>
      </c>
      <c r="E1168" s="376" t="n">
        <v>43.33835601806641</v>
      </c>
      <c r="F1168" s="93" t="n">
        <v>27060200</v>
      </c>
      <c r="G1168" s="94" t="n">
        <v>0.04172563738115653</v>
      </c>
      <c r="H1168" s="95" t="n">
        <v>32.08392972949824</v>
      </c>
      <c r="I1168" s="376" t="n">
        <v>45.88491539001465</v>
      </c>
      <c r="J1168" s="376" t="n">
        <v>60.20187198638916</v>
      </c>
      <c r="K1168" s="94" t="n">
        <v>0.2759040169485751</v>
      </c>
      <c r="L1168" s="94" t="n">
        <v>-0.3044048844830092</v>
      </c>
      <c r="M1168" s="94" t="n">
        <v>-0.4386933263716126</v>
      </c>
      <c r="N1168" t="n">
        <v>48.53159157431791</v>
      </c>
      <c r="O1168" t="n">
        <v>0.2695895540843376</v>
      </c>
      <c r="P1168" s="143">
        <f>MAX($E$2:E1168)</f>
        <v/>
      </c>
      <c r="Q1168" s="144">
        <f>E1168/P1168-1</f>
        <v/>
      </c>
      <c r="R1168" s="94" t="n">
        <v>0.01024902933238803</v>
      </c>
    </row>
    <row r="1169">
      <c r="A1169" s="375" t="n">
        <v>46163</v>
      </c>
      <c r="B1169" s="376" t="n">
        <v>43.0441400650019</v>
      </c>
      <c r="C1169" s="376" t="n">
        <v>43.87776089171121</v>
      </c>
      <c r="D1169" s="376" t="n">
        <v>42.32820926116556</v>
      </c>
      <c r="E1169" s="376" t="n">
        <v>43.53450393676758</v>
      </c>
      <c r="F1169" s="93" t="n">
        <v>18428100</v>
      </c>
      <c r="G1169" s="94" t="n">
        <v>0.004525965835423085</v>
      </c>
      <c r="H1169" s="95" t="n">
        <v>32.22914049932007</v>
      </c>
      <c r="I1169" s="376" t="n">
        <v>45.66307472229004</v>
      </c>
      <c r="J1169" s="376" t="n">
        <v>60.06137666702271</v>
      </c>
      <c r="K1169" s="94" t="n">
        <v>0.2680102172460863</v>
      </c>
      <c r="L1169" s="94" t="n">
        <v>-0.3012566447548921</v>
      </c>
      <c r="M1169" s="94" t="n">
        <v>-0.4361528715435755</v>
      </c>
      <c r="N1169" t="n">
        <v>49.7682428330814</v>
      </c>
      <c r="O1169" t="n">
        <v>0.3645892318163109</v>
      </c>
      <c r="P1169" s="143">
        <f>MAX($E$2:E1169)</f>
        <v/>
      </c>
      <c r="Q1169" s="144">
        <f>E1169/P1169-1</f>
        <v/>
      </c>
      <c r="R1169" s="94" t="n">
        <v>0.001983129454913746</v>
      </c>
    </row>
    <row r="1170">
      <c r="A1170" s="375" t="n">
        <v>46164</v>
      </c>
      <c r="B1170" s="376" t="n">
        <v>43.70122801414707</v>
      </c>
      <c r="C1170" s="376" t="n">
        <v>43.85814429777574</v>
      </c>
      <c r="D1170" s="376" t="n">
        <v>43.35797107164858</v>
      </c>
      <c r="E1170" s="376" t="n">
        <v>43.80910491943359</v>
      </c>
      <c r="F1170" s="93" t="n">
        <v>14905100</v>
      </c>
      <c r="G1170" s="94" t="n">
        <v>0.00630766306800834</v>
      </c>
      <c r="H1170" s="95" t="n">
        <v>32.43243105856128</v>
      </c>
      <c r="I1170" s="376" t="n">
        <v>45.47752098083496</v>
      </c>
      <c r="J1170" s="376" t="n">
        <v>59.91695745468139</v>
      </c>
      <c r="K1170" s="94" t="n">
        <v>0.268931769666545</v>
      </c>
      <c r="L1170" s="94" t="n">
        <v>-0.2768334579510581</v>
      </c>
      <c r="M1170" s="94" t="n">
        <v>-0.4325963138354084</v>
      </c>
      <c r="N1170" t="n">
        <v>51.52428053106785</v>
      </c>
      <c r="O1170" t="n">
        <v>0.4348608472329321</v>
      </c>
      <c r="P1170" s="143">
        <f>MAX($E$2:E1170)</f>
        <v/>
      </c>
      <c r="Q1170" s="144">
        <f>E1170/P1170-1</f>
        <v/>
      </c>
      <c r="R1170" s="94" t="n">
        <v>0.003931565762728351</v>
      </c>
    </row>
    <row r="1171">
      <c r="A1171" s="375" t="n">
        <v>46168</v>
      </c>
      <c r="B1171" s="376" t="n">
        <v>43.83852957377508</v>
      </c>
      <c r="C1171" s="376" t="n">
        <v>44.08371150232956</v>
      </c>
      <c r="D1171" s="376" t="n">
        <v>43.25009070053676</v>
      </c>
      <c r="E1171" s="376" t="n">
        <v>44.07390213012695</v>
      </c>
      <c r="F1171" s="93" t="n">
        <v>18667600</v>
      </c>
      <c r="G1171" s="94" t="n">
        <v>0.006044341950841803</v>
      </c>
      <c r="H1171" s="95" t="n">
        <v>32.62846376217633</v>
      </c>
      <c r="I1171" s="376" t="n">
        <v>45.30020538330078</v>
      </c>
      <c r="J1171" s="376" t="n">
        <v>59.77930358886719</v>
      </c>
      <c r="K1171" s="94" t="n">
        <v>0.267330315868098</v>
      </c>
      <c r="L1171" s="94" t="n">
        <v>-0.2633994201531065</v>
      </c>
      <c r="M1171" s="94" t="n">
        <v>-0.4291667319320615</v>
      </c>
      <c r="N1171" t="n">
        <v>53.22247984589586</v>
      </c>
      <c r="O1171" t="n">
        <v>0.4843328483959388</v>
      </c>
      <c r="P1171" s="143">
        <f>MAX($E$2:E1171)</f>
        <v/>
      </c>
      <c r="Q1171" s="144">
        <f>E1171/P1171-1</f>
        <v/>
      </c>
      <c r="R1171" s="94" t="n">
        <v>0.006638589859918387</v>
      </c>
    </row>
    <row r="1172">
      <c r="A1172" s="375" t="n">
        <v>46169</v>
      </c>
      <c r="B1172" s="376" t="n">
        <v>44.82906368988696</v>
      </c>
      <c r="C1172" s="376" t="n">
        <v>45.69210514076958</v>
      </c>
      <c r="D1172" s="376" t="n">
        <v>44.78983368276062</v>
      </c>
      <c r="E1172" s="376" t="n">
        <v>45.0938606262207</v>
      </c>
      <c r="F1172" s="93" t="n">
        <v>24251900</v>
      </c>
      <c r="G1172" s="94" t="n">
        <v>0.0231420057403211</v>
      </c>
      <c r="H1172" s="95" t="n">
        <v>33.38355185785847</v>
      </c>
      <c r="I1172" s="376" t="n">
        <v>45.12740112304687</v>
      </c>
      <c r="J1172" s="376" t="n">
        <v>59.64752000808716</v>
      </c>
      <c r="K1172" s="94" t="n">
        <v>0.2794907787135999</v>
      </c>
      <c r="L1172" s="94" t="n">
        <v>-0.2257955775765135</v>
      </c>
      <c r="M1172" s="94" t="n">
        <v>-0.415956505165667</v>
      </c>
      <c r="N1172" t="n">
        <v>59.15759897283724</v>
      </c>
      <c r="O1172" t="n">
        <v>0.5652633867585466</v>
      </c>
      <c r="P1172" s="143">
        <f>MAX($E$2:E1172)</f>
        <v/>
      </c>
      <c r="Q1172" s="144">
        <f>E1172/P1172-1</f>
        <v/>
      </c>
      <c r="R1172" s="94" t="n">
        <v>-0.000173263723814987</v>
      </c>
    </row>
    <row r="1173">
      <c r="A1173" s="375" t="n">
        <v>46170</v>
      </c>
      <c r="B1173" s="376" t="n">
        <v>45.08405658445701</v>
      </c>
      <c r="C1173" s="376" t="n">
        <v>46.73167953005613</v>
      </c>
      <c r="D1173" s="376" t="n">
        <v>44.68195835018458</v>
      </c>
      <c r="E1173" s="376" t="n">
        <v>46.45707321166992</v>
      </c>
      <c r="F1173" s="93" t="n">
        <v>22871300</v>
      </c>
      <c r="G1173" s="94" t="n">
        <v>0.03023055836245159</v>
      </c>
      <c r="H1173" s="95" t="n">
        <v>34.39275527064339</v>
      </c>
      <c r="I1173" s="376" t="n">
        <v>44.97538833618164</v>
      </c>
      <c r="J1173" s="376" t="n">
        <v>59.52337112426758</v>
      </c>
      <c r="K1173" s="94" t="n">
        <v>0.2912765384024391</v>
      </c>
      <c r="L1173" s="94" t="n">
        <v>-0.1921895973087587</v>
      </c>
      <c r="M1173" s="94" t="n">
        <v>-0.3983005442088675</v>
      </c>
      <c r="N1173" t="n">
        <v>65.46459514888156</v>
      </c>
      <c r="O1173" t="n">
        <v>0.6822863387114536</v>
      </c>
      <c r="P1173" s="143">
        <f>MAX($E$2:E1173)</f>
        <v/>
      </c>
      <c r="Q1173" s="144">
        <f>E1173/P1173-1</f>
        <v/>
      </c>
      <c r="R1173" s="94" t="n">
        <v>0.005516626676954184</v>
      </c>
    </row>
    <row r="1174">
      <c r="A1174" s="375" t="n">
        <v>46171</v>
      </c>
      <c r="B1174" s="376" t="n">
        <v>46.2020841164476</v>
      </c>
      <c r="C1174" s="376" t="n">
        <v>46.29034976209579</v>
      </c>
      <c r="D1174" s="376" t="n">
        <v>45.19193574828019</v>
      </c>
      <c r="E1174" s="376" t="n">
        <v>45.33904266357422</v>
      </c>
      <c r="F1174" s="93" t="n">
        <v>38949100</v>
      </c>
      <c r="G1174" s="94" t="n">
        <v>-0.02406588428422252</v>
      </c>
      <c r="H1174" s="95" t="n">
        <v>33.5650632020845</v>
      </c>
      <c r="I1174" s="376" t="n">
        <v>44.83337890625</v>
      </c>
      <c r="J1174" s="376" t="n">
        <v>59.38939453125</v>
      </c>
      <c r="K1174" s="94" t="n">
        <v>0.307038974506517</v>
      </c>
      <c r="L1174" s="94" t="n">
        <v>-0.2032058250771362</v>
      </c>
      <c r="M1174" s="94" t="n">
        <v>-0.4127809736858166</v>
      </c>
      <c r="N1174" t="n">
        <v>57.60745088802735</v>
      </c>
      <c r="O1174" t="n">
        <v>0.6558945710391674</v>
      </c>
      <c r="P1174" s="143">
        <f>MAX($E$2:E1174)</f>
        <v/>
      </c>
      <c r="Q1174" s="144">
        <f>E1174/P1174-1</f>
        <v/>
      </c>
      <c r="R1174" s="94" t="n">
        <v>0.002491413132097442</v>
      </c>
    </row>
    <row r="1175">
      <c r="A1175" s="375" t="n">
        <v>46174</v>
      </c>
      <c r="B1175" s="376" t="n">
        <v>45.04219121373372</v>
      </c>
      <c r="C1175" s="376" t="n">
        <v>45.7942120699808</v>
      </c>
      <c r="D1175" s="376" t="n">
        <v>44.57712344921906</v>
      </c>
      <c r="E1175" s="376" t="n">
        <v>45.4478874206543</v>
      </c>
      <c r="F1175" s="93" t="n">
        <v>26885100</v>
      </c>
      <c r="G1175" s="94" t="n">
        <v>0.002400684943608677</v>
      </c>
      <c r="H1175" s="95" t="n">
        <v>33.64564234394503</v>
      </c>
      <c r="I1175" s="376" t="n">
        <v>44.6941349029541</v>
      </c>
      <c r="J1175" s="376" t="n">
        <v>59.24488683700562</v>
      </c>
      <c r="K1175" s="94" t="n">
        <v>0.3069981327900793</v>
      </c>
      <c r="L1175" s="94" t="n">
        <v>-0.187142862211199</v>
      </c>
      <c r="M1175" s="94" t="n">
        <v>-0.4113712458107436</v>
      </c>
      <c r="N1175" t="n">
        <v>58.1342627101513</v>
      </c>
      <c r="O1175" t="n">
        <v>0.6177981349530095</v>
      </c>
      <c r="P1175" s="143">
        <f>MAX($E$2:E1175)</f>
        <v/>
      </c>
      <c r="Q1175" s="144">
        <f>E1175/P1175-1</f>
        <v/>
      </c>
      <c r="R1175" s="94" t="n">
        <v>0.002723063766238765</v>
      </c>
    </row>
    <row r="1176">
      <c r="A1176" s="375" t="n">
        <v>46175</v>
      </c>
      <c r="B1176" s="376" t="n">
        <v>45.29946193779872</v>
      </c>
      <c r="C1176" s="376" t="n">
        <v>45.29946193779872</v>
      </c>
      <c r="D1176" s="376" t="n">
        <v>43.05328889111542</v>
      </c>
      <c r="E1176" s="376" t="n">
        <v>43.27098083496094</v>
      </c>
      <c r="F1176" s="93" t="n">
        <v>28345000</v>
      </c>
      <c r="G1176" s="94" t="n">
        <v>-0.04789896096917456</v>
      </c>
      <c r="H1176" s="95" t="n">
        <v>32.0340510345296</v>
      </c>
      <c r="I1176" s="376" t="n">
        <v>44.53234031677246</v>
      </c>
      <c r="J1176" s="376" t="n">
        <v>59.09339502334595</v>
      </c>
      <c r="K1176" s="94" t="n">
        <v>0.3376969581947238</v>
      </c>
      <c r="L1176" s="94" t="n">
        <v>-0.2195064556108122</v>
      </c>
      <c r="M1176" s="94" t="n">
        <v>-0.4395659515329886</v>
      </c>
      <c r="N1176" t="n">
        <v>45.85951889383813</v>
      </c>
      <c r="O1176" t="n">
        <v>0.4270831199120069</v>
      </c>
      <c r="P1176" s="143">
        <f>MAX($E$2:E1176)</f>
        <v/>
      </c>
      <c r="Q1176" s="144">
        <f>E1176/P1176-1</f>
        <v/>
      </c>
      <c r="R1176" s="94" t="n">
        <v>0.001357996156657437</v>
      </c>
    </row>
    <row r="1177">
      <c r="A1177" s="375" t="n">
        <v>46176</v>
      </c>
      <c r="B1177" s="376" t="n">
        <v>43.19182304647038</v>
      </c>
      <c r="C1177" s="376" t="n">
        <v>43.52825433886432</v>
      </c>
      <c r="D1177" s="376" t="n">
        <v>42.70696474065191</v>
      </c>
      <c r="E1177" s="376" t="n">
        <v>43.35014343261719</v>
      </c>
      <c r="F1177" s="93" t="n">
        <v>18940500</v>
      </c>
      <c r="G1177" s="94" t="n">
        <v>0.001829461595940662</v>
      </c>
      <c r="H1177" s="95" t="n">
        <v>32.09265610065967</v>
      </c>
      <c r="I1177" s="376" t="n">
        <v>44.36546005249023</v>
      </c>
      <c r="J1177" s="376" t="n">
        <v>58.93950609207153</v>
      </c>
      <c r="K1177" s="94" t="n">
        <v>0.3376080441492554</v>
      </c>
      <c r="L1177" s="94" t="n">
        <v>-0.2118043123896062</v>
      </c>
      <c r="M1177" s="94" t="n">
        <v>-0.4385406589642605</v>
      </c>
      <c r="N1177" t="n">
        <v>46.3035270570871</v>
      </c>
      <c r="O1177" t="n">
        <v>0.2937109883974598</v>
      </c>
      <c r="P1177" s="143">
        <f>MAX($E$2:E1177)</f>
        <v/>
      </c>
      <c r="Q1177" s="144">
        <f>E1177/P1177-1</f>
        <v/>
      </c>
      <c r="R1177" s="94" t="n">
        <v>-0.00701716271996522</v>
      </c>
    </row>
    <row r="1178">
      <c r="A1178" s="375" t="n">
        <v>46177</v>
      </c>
      <c r="B1178" s="376" t="n">
        <v>44.03289621145981</v>
      </c>
      <c r="C1178" s="376" t="n">
        <v>44.23079762352107</v>
      </c>
      <c r="D1178" s="376" t="n">
        <v>42.67727776702178</v>
      </c>
      <c r="E1178" s="376" t="n">
        <v>43.16213226318359</v>
      </c>
      <c r="F1178" s="93" t="n">
        <v>17350900</v>
      </c>
      <c r="G1178" s="94" t="n">
        <v>-0.004337036848005682</v>
      </c>
      <c r="H1178" s="95" t="n">
        <v>31.95346906860074</v>
      </c>
      <c r="I1178" s="376" t="n">
        <v>44.17952011108398</v>
      </c>
      <c r="J1178" s="376" t="n">
        <v>58.78246202468872</v>
      </c>
      <c r="K1178" s="94" t="n">
        <v>0.3316666653245829</v>
      </c>
      <c r="L1178" s="94" t="n">
        <v>-0.2098687857886222</v>
      </c>
      <c r="M1178" s="94" t="n">
        <v>-0.4409757288149896</v>
      </c>
      <c r="N1178" t="n">
        <v>45.35223078366862</v>
      </c>
      <c r="O1178" t="n">
        <v>0.1855520204788171</v>
      </c>
      <c r="P1178" s="143">
        <f>MAX($E$2:E1178)</f>
        <v/>
      </c>
      <c r="Q1178" s="144">
        <f>E1178/P1178-1</f>
        <v/>
      </c>
      <c r="R1178" s="94" t="n">
        <v>0.003778634283035931</v>
      </c>
    </row>
    <row r="1179">
      <c r="A1179" s="375" t="n">
        <v>46178</v>
      </c>
      <c r="B1179" s="376" t="n">
        <v>42.84549130330046</v>
      </c>
      <c r="C1179" s="376" t="n">
        <v>43.28087516262781</v>
      </c>
      <c r="D1179" s="376" t="n">
        <v>42.34084629094568</v>
      </c>
      <c r="E1179" s="376" t="n">
        <v>42.52885055541992</v>
      </c>
      <c r="F1179" s="93" t="n">
        <v>18406500</v>
      </c>
      <c r="G1179" s="94" t="n">
        <v>-0.01467215993645077</v>
      </c>
      <c r="H1179" s="95" t="n">
        <v>31.48464265990179</v>
      </c>
      <c r="I1179" s="376" t="n">
        <v>43.99091804504395</v>
      </c>
      <c r="J1179" s="376" t="n">
        <v>58.62490005493164</v>
      </c>
      <c r="K1179" s="94" t="n">
        <v>0.3327187567026696</v>
      </c>
      <c r="L1179" s="94" t="n">
        <v>-0.2132695124270468</v>
      </c>
      <c r="M1179" s="94" t="n">
        <v>-0.4491778223301739</v>
      </c>
      <c r="N1179" t="n">
        <v>42.20678657477506</v>
      </c>
      <c r="O1179" t="n">
        <v>0.07002701075339876</v>
      </c>
      <c r="P1179" s="143">
        <f>MAX($E$2:E1179)</f>
        <v/>
      </c>
      <c r="Q1179" s="144">
        <f>E1179/P1179-1</f>
        <v/>
      </c>
      <c r="R1179" s="94" t="n">
        <v>-0.02580936961224445</v>
      </c>
    </row>
    <row r="1180">
      <c r="A1180" s="375" t="n">
        <v>46181</v>
      </c>
      <c r="B1180" s="376" t="n">
        <v>42.60801609880293</v>
      </c>
      <c r="C1180" s="376" t="n">
        <v>43.39961803295542</v>
      </c>
      <c r="D1180" s="376" t="n">
        <v>42.2023198716338</v>
      </c>
      <c r="E1180" s="376" t="n">
        <v>42.77622985839844</v>
      </c>
      <c r="F1180" s="93" t="n">
        <v>18192000</v>
      </c>
      <c r="G1180" s="94" t="n">
        <v>0.00581674086526629</v>
      </c>
      <c r="H1180" s="95" t="n">
        <v>31.66778066748995</v>
      </c>
      <c r="I1180" s="376" t="n">
        <v>43.82511283874512</v>
      </c>
      <c r="J1180" s="376" t="n">
        <v>58.47156047821045</v>
      </c>
      <c r="K1180" s="94" t="n">
        <v>0.3329802699042065</v>
      </c>
      <c r="L1180" s="94" t="n">
        <v>-0.2086933050500303</v>
      </c>
      <c r="M1180" s="94" t="n">
        <v>-0.4459738324598268</v>
      </c>
      <c r="N1180" t="n">
        <v>43.84519201092846</v>
      </c>
      <c r="O1180" t="n">
        <v>0.01198324323162803</v>
      </c>
      <c r="P1180" s="143">
        <f>MAX($E$2:E1180)</f>
        <v/>
      </c>
      <c r="Q1180" s="144">
        <f>E1180/P1180-1</f>
        <v/>
      </c>
      <c r="R1180" s="94" t="n">
        <v>0.002264222440912178</v>
      </c>
    </row>
    <row r="1181">
      <c r="A1181" s="375" t="n">
        <v>46182</v>
      </c>
      <c r="B1181" s="376" t="n">
        <v>43.06318421542051</v>
      </c>
      <c r="C1181" s="376" t="n">
        <v>44.80470836849516</v>
      </c>
      <c r="D1181" s="376" t="n">
        <v>42.81580838957916</v>
      </c>
      <c r="E1181" s="376" t="n">
        <v>44.18132400512695</v>
      </c>
      <c r="F1181" s="93" t="n">
        <v>21505800</v>
      </c>
      <c r="G1181" s="94" t="n">
        <v>0.03284754526941192</v>
      </c>
      <c r="H1181" s="95" t="n">
        <v>32.70798952654714</v>
      </c>
      <c r="I1181" s="376" t="n">
        <v>43.70113967895508</v>
      </c>
      <c r="J1181" s="376" t="n">
        <v>58.32563161849976</v>
      </c>
      <c r="K1181" s="94" t="n">
        <v>0.3187400179268075</v>
      </c>
      <c r="L1181" s="94" t="n">
        <v>-0.1827008225656724</v>
      </c>
      <c r="M1181" s="94" t="n">
        <v>-0.4277754328411122</v>
      </c>
      <c r="N1181" t="n">
        <v>52.14386912443345</v>
      </c>
      <c r="O1181" t="n">
        <v>0.06686569939253284</v>
      </c>
      <c r="P1181" s="143">
        <f>MAX($E$2:E1181)</f>
        <v/>
      </c>
      <c r="Q1181" s="144">
        <f>E1181/P1181-1</f>
        <v/>
      </c>
      <c r="R1181" s="94" t="n">
        <v>-0.002935437064612745</v>
      </c>
    </row>
    <row r="1182">
      <c r="A1182" s="375" t="n">
        <v>46183</v>
      </c>
      <c r="B1182" s="376" t="n">
        <v>43.31056139917023</v>
      </c>
      <c r="C1182" s="376" t="n">
        <v>44.11206045890145</v>
      </c>
      <c r="D1182" s="376" t="n">
        <v>42.8553907712686</v>
      </c>
      <c r="E1182" s="376" t="n">
        <v>43.49856567382812</v>
      </c>
      <c r="F1182" s="93" t="n">
        <v>15335600</v>
      </c>
      <c r="G1182" s="94" t="n">
        <v>-0.01545355071793675</v>
      </c>
      <c r="H1182" s="95" t="n">
        <v>32.2025349515169</v>
      </c>
      <c r="I1182" s="376" t="n">
        <v>43.56606117248535</v>
      </c>
      <c r="J1182" s="376" t="n">
        <v>58.16569513320923</v>
      </c>
      <c r="K1182" s="94" t="n">
        <v>0.3253580027917549</v>
      </c>
      <c r="L1182" s="94" t="n">
        <v>-0.1953309968558818</v>
      </c>
      <c r="M1182" s="94" t="n">
        <v>-0.4366183342117514</v>
      </c>
      <c r="N1182" t="n">
        <v>48.4008569574975</v>
      </c>
      <c r="O1182" t="n">
        <v>0.05625682777423693</v>
      </c>
      <c r="P1182" s="143">
        <f>MAX($E$2:E1182)</f>
        <v/>
      </c>
      <c r="Q1182" s="144">
        <f>E1182/P1182-1</f>
        <v/>
      </c>
      <c r="R1182" s="94" t="n">
        <v>-0.01576559293321111</v>
      </c>
    </row>
    <row r="1183">
      <c r="A1183" s="375" t="n">
        <v>46184</v>
      </c>
      <c r="B1183" s="376" t="n">
        <v>44.052689919165</v>
      </c>
      <c r="C1183" s="376" t="n">
        <v>45.49736391487973</v>
      </c>
      <c r="D1183" s="376" t="n">
        <v>43.75583966691148</v>
      </c>
      <c r="E1183" s="376" t="n">
        <v>45.47757339477539</v>
      </c>
      <c r="F1183" s="93" t="n">
        <v>16647500</v>
      </c>
      <c r="G1183" s="94" t="n">
        <v>0.04549593050462297</v>
      </c>
      <c r="H1183" s="95" t="n">
        <v>33.6676192437438</v>
      </c>
      <c r="I1183" s="376" t="n">
        <v>43.43957191467285</v>
      </c>
      <c r="J1183" s="376" t="n">
        <v>58.01184955596923</v>
      </c>
      <c r="K1183" s="94" t="n">
        <v>0.3589905434000366</v>
      </c>
      <c r="L1183" s="94" t="n">
        <v>-0.1330856235591935</v>
      </c>
      <c r="M1183" s="94" t="n">
        <v>-0.4109867610974706</v>
      </c>
      <c r="N1183" t="n">
        <v>57.84623810288819</v>
      </c>
      <c r="O1183" t="n">
        <v>0.1748948656557864</v>
      </c>
      <c r="P1183" s="143">
        <f>MAX($E$2:E1183)</f>
        <v/>
      </c>
      <c r="Q1183" s="144">
        <f>E1183/P1183-1</f>
        <v/>
      </c>
      <c r="R1183" s="94" t="n">
        <v>0.01699685739483003</v>
      </c>
    </row>
    <row r="1184">
      <c r="A1184" s="375" t="n">
        <v>46185</v>
      </c>
      <c r="B1184" s="376" t="n">
        <v>45.80411061688167</v>
      </c>
      <c r="C1184" s="376" t="n">
        <v>45.82390113668458</v>
      </c>
      <c r="D1184" s="376" t="n">
        <v>44.37922338831766</v>
      </c>
      <c r="E1184" s="376" t="n">
        <v>44.4583854675293</v>
      </c>
      <c r="F1184" s="93" t="n">
        <v>16524300</v>
      </c>
      <c r="G1184" s="94" t="n">
        <v>-0.02241078076877301</v>
      </c>
      <c r="H1184" s="95" t="n">
        <v>32.91310160986573</v>
      </c>
      <c r="I1184" s="376" t="n">
        <v>43.45334205627442</v>
      </c>
      <c r="J1184" s="376" t="n">
        <v>57.85541200637817</v>
      </c>
      <c r="K1184" s="94" t="n">
        <v>0.3694899278134126</v>
      </c>
      <c r="L1184" s="94" t="n">
        <v>-0.1525138515949059</v>
      </c>
      <c r="M1184" s="94" t="n">
        <v>-0.4241870076644201</v>
      </c>
      <c r="N1184" t="n">
        <v>52.51473526789371</v>
      </c>
      <c r="O1184" t="n">
        <v>0.1765866977848753</v>
      </c>
      <c r="P1184" s="143">
        <f>MAX($E$2:E1184)</f>
        <v/>
      </c>
      <c r="Q1184" s="144">
        <f>E1184/P1184-1</f>
        <v/>
      </c>
      <c r="R1184" s="94" t="n">
        <v>0.005408207317551872</v>
      </c>
    </row>
    <row r="1185">
      <c r="A1185" s="375" t="n">
        <v>46188</v>
      </c>
      <c r="B1185" s="376" t="n">
        <v>44.88387198822173</v>
      </c>
      <c r="C1185" s="376" t="n">
        <v>45.60620897156203</v>
      </c>
      <c r="D1185" s="376" t="n">
        <v>44.61670563416616</v>
      </c>
      <c r="E1185" s="376" t="n">
        <v>44.72555160522461</v>
      </c>
      <c r="F1185" s="93" t="n">
        <v>14345100</v>
      </c>
      <c r="G1185" s="94" t="n">
        <v>0.006009353126204653</v>
      </c>
      <c r="H1185" s="95" t="n">
        <v>33.11088805991808</v>
      </c>
      <c r="I1185" s="376" t="n">
        <v>43.48108596801758</v>
      </c>
      <c r="J1185" s="376" t="n">
        <v>57.70315135955811</v>
      </c>
      <c r="K1185" s="94" t="n">
        <v>0.3684987209559703</v>
      </c>
      <c r="L1185" s="94" t="n">
        <v>-0.1474210080595726</v>
      </c>
      <c r="M1185" s="94" t="n">
        <v>-0.4207267440588189</v>
      </c>
      <c r="N1185" t="n">
        <v>53.71891112785937</v>
      </c>
      <c r="O1185" t="n">
        <v>0.1865798595998497</v>
      </c>
      <c r="P1185" s="143">
        <f>MAX($E$2:E1185)</f>
        <v/>
      </c>
      <c r="Q1185" s="144">
        <f>E1185/P1185-1</f>
        <v/>
      </c>
      <c r="R1185" s="94" t="n">
        <v>0.01763400939066839</v>
      </c>
    </row>
    <row r="1186">
      <c r="A1186" s="375" t="n">
        <v>46189</v>
      </c>
      <c r="B1186" s="376" t="n">
        <v>45.03229421600932</v>
      </c>
      <c r="C1186" s="376" t="n">
        <v>45.61610132299084</v>
      </c>
      <c r="D1186" s="376" t="n">
        <v>44.52764918608218</v>
      </c>
      <c r="E1186" s="376" t="n">
        <v>44.56723022460938</v>
      </c>
      <c r="F1186" s="93" t="n">
        <v>19591400</v>
      </c>
      <c r="G1186" s="94" t="n">
        <v>-0.003539841878590466</v>
      </c>
      <c r="H1186" s="95" t="n">
        <v>32.99368075172626</v>
      </c>
      <c r="I1186" s="376" t="n">
        <v>43.50880180358887</v>
      </c>
      <c r="J1186" s="376" t="n">
        <v>57.55077327728272</v>
      </c>
      <c r="K1186" s="94" t="n">
        <v>0.3667339317763947</v>
      </c>
      <c r="L1186" s="94" t="n">
        <v>-0.1504390028800497</v>
      </c>
      <c r="M1186" s="94" t="n">
        <v>-0.422777279789347</v>
      </c>
      <c r="N1186" t="n">
        <v>52.86339356022307</v>
      </c>
      <c r="O1186" t="n">
        <v>0.1736734033397885</v>
      </c>
      <c r="P1186" s="143">
        <f>MAX($E$2:E1186)</f>
        <v/>
      </c>
      <c r="Q1186" s="144">
        <f>E1186/P1186-1</f>
        <v/>
      </c>
      <c r="R1186" s="94" t="n">
        <v>-0.005961575485861181</v>
      </c>
    </row>
    <row r="1187">
      <c r="A1187" s="375" t="n">
        <v>46190</v>
      </c>
      <c r="B1187" s="376" t="n">
        <v>44.4287007412167</v>
      </c>
      <c r="C1187" s="376" t="n">
        <v>45.36872587894847</v>
      </c>
      <c r="D1187" s="376" t="n">
        <v>43.69646662087597</v>
      </c>
      <c r="E1187" s="376" t="n">
        <v>43.72615051269531</v>
      </c>
      <c r="F1187" s="93" t="n">
        <v>20859700</v>
      </c>
      <c r="G1187" s="94" t="n">
        <v>-0.0188721557896957</v>
      </c>
      <c r="H1187" s="95" t="n">
        <v>32.37101886850419</v>
      </c>
      <c r="I1187" s="376" t="n">
        <v>43.54597953796387</v>
      </c>
      <c r="J1187" s="376" t="n">
        <v>57.39683826446533</v>
      </c>
      <c r="K1187" s="94" t="n">
        <v>0.3746081726392764</v>
      </c>
      <c r="L1187" s="94" t="n">
        <v>-0.1664720503705467</v>
      </c>
      <c r="M1187" s="94" t="n">
        <v>-0.4336707168905143</v>
      </c>
      <c r="N1187" t="n">
        <v>48.44902076318222</v>
      </c>
      <c r="O1187" t="n">
        <v>0.1031226094014281</v>
      </c>
      <c r="P1187" s="143">
        <f>MAX($E$2:E1187)</f>
        <v/>
      </c>
      <c r="Q1187" s="144">
        <f>E1187/P1187-1</f>
        <v/>
      </c>
      <c r="R1187" s="94" t="n">
        <v>-0.01248789492983049</v>
      </c>
    </row>
    <row r="1188">
      <c r="A1188" s="375" t="n">
        <v>46191</v>
      </c>
      <c r="B1188" s="376" t="n">
        <v>43.94384306276451</v>
      </c>
      <c r="C1188" s="376" t="n">
        <v>45.23019664644801</v>
      </c>
      <c r="D1188" s="376" t="n">
        <v>43.77562930724194</v>
      </c>
      <c r="E1188" s="376" t="n">
        <v>44.72555160522461</v>
      </c>
      <c r="F1188" s="93" t="n">
        <v>32320300</v>
      </c>
      <c r="G1188" s="94" t="n">
        <v>0.02285591301340673</v>
      </c>
      <c r="H1188" s="95" t="n">
        <v>33.11088805991807</v>
      </c>
      <c r="I1188" s="376" t="n">
        <v>43.59451477050781</v>
      </c>
      <c r="J1188" s="376" t="n">
        <v>57.26087251663208</v>
      </c>
      <c r="K1188" s="94" t="n">
        <v>0.3539941106437071</v>
      </c>
      <c r="L1188" s="94" t="n">
        <v>-0.1392137777070361</v>
      </c>
      <c r="M1188" s="94" t="n">
        <v>-0.4207267440588189</v>
      </c>
      <c r="N1188" t="n">
        <v>53.42578282408861</v>
      </c>
      <c r="O1188" t="n">
        <v>0.1173599985150448</v>
      </c>
      <c r="P1188" s="143">
        <f>MAX($E$2:E1188)</f>
        <v/>
      </c>
      <c r="Q1188" s="144">
        <f>E1188/P1188-1</f>
        <v/>
      </c>
      <c r="R1188" s="94" t="n">
        <v>0.01039697980742971</v>
      </c>
    </row>
    <row r="1189">
      <c r="A1189" s="375" t="n">
        <v>46195</v>
      </c>
      <c r="B1189" s="376" t="n">
        <v>44.1516386597224</v>
      </c>
      <c r="C1189" s="376" t="n">
        <v>44.43859553869719</v>
      </c>
      <c r="D1189" s="376" t="n">
        <v>42.68717414673294</v>
      </c>
      <c r="E1189" s="376" t="n">
        <v>42.73664855957031</v>
      </c>
      <c r="F1189" s="93" t="n">
        <v>25864500</v>
      </c>
      <c r="G1189" s="94" t="n">
        <v>-0.04446905570242232</v>
      </c>
      <c r="H1189" s="95" t="n">
        <v>31.6384781344249</v>
      </c>
      <c r="I1189" s="376" t="n">
        <v>43.58620735168457</v>
      </c>
      <c r="J1189" s="376" t="n">
        <v>57.11278406143188</v>
      </c>
      <c r="K1189" s="94" t="n">
        <v>0.3899129181493106</v>
      </c>
      <c r="L1189" s="94" t="n">
        <v>-0.175000605688256</v>
      </c>
      <c r="M1189" s="94" t="n">
        <v>-0.4464864787441908</v>
      </c>
      <c r="N1189" t="n">
        <v>44.26681190983163</v>
      </c>
      <c r="O1189" t="n">
        <v>-0.00697944536956685</v>
      </c>
      <c r="P1189" s="143">
        <f>MAX($E$2:E1189)</f>
        <v/>
      </c>
      <c r="Q1189" s="144">
        <f>E1189/P1189-1</f>
        <v/>
      </c>
      <c r="R1189" s="94" t="n">
        <v>-0.003146928266652638</v>
      </c>
    </row>
    <row r="1190">
      <c r="A1190" s="375" t="n">
        <v>46196</v>
      </c>
      <c r="B1190" s="376" t="n">
        <v>41.9450435184556</v>
      </c>
      <c r="C1190" s="376" t="n">
        <v>42.7366453890947</v>
      </c>
      <c r="D1190" s="376" t="n">
        <v>41.87577859069064</v>
      </c>
      <c r="E1190" s="376" t="n">
        <v>41.93515014648438</v>
      </c>
      <c r="F1190" s="93" t="n">
        <v>31517900</v>
      </c>
      <c r="G1190" s="94" t="n">
        <v>-0.01875435814693649</v>
      </c>
      <c r="H1190" s="95" t="n">
        <v>31.04511878426788</v>
      </c>
      <c r="I1190" s="376" t="n">
        <v>43.5889380645752</v>
      </c>
      <c r="J1190" s="376" t="n">
        <v>56.95773546218872</v>
      </c>
      <c r="K1190" s="94" t="n">
        <v>0.3941185072523032</v>
      </c>
      <c r="L1190" s="94" t="n">
        <v>-0.1904729398001842</v>
      </c>
      <c r="M1190" s="94" t="n">
        <v>-0.4568672695609942</v>
      </c>
      <c r="N1190" t="n">
        <v>41.201448248124</v>
      </c>
      <c r="O1190" t="n">
        <v>-0.1358647871638883</v>
      </c>
      <c r="P1190" s="143">
        <f>MAX($E$2:E1190)</f>
        <v/>
      </c>
      <c r="Q1190" s="144">
        <f>E1190/P1190-1</f>
        <v/>
      </c>
      <c r="R1190" s="94" t="n">
        <v>-0.01452201222501359</v>
      </c>
    </row>
    <row r="1191">
      <c r="A1191" s="375" t="n">
        <v>46197</v>
      </c>
      <c r="B1191" s="376" t="n">
        <v>41.59871915303199</v>
      </c>
      <c r="C1191" s="376" t="n">
        <v>41.88567601260447</v>
      </c>
      <c r="D1191" s="376" t="n">
        <v>40.87638220541039</v>
      </c>
      <c r="E1191" s="376" t="n">
        <v>41.38102722167969</v>
      </c>
      <c r="F1191" s="93" t="n">
        <v>34384300</v>
      </c>
      <c r="G1191" s="94" t="n">
        <v>-0.01321380567063835</v>
      </c>
      <c r="H1191" s="95" t="n">
        <v>30.63489461763067</v>
      </c>
      <c r="I1191" s="376" t="n">
        <v>43.57489807128906</v>
      </c>
      <c r="J1191" s="376" t="n">
        <v>56.80688646316528</v>
      </c>
      <c r="K1191" s="94" t="n">
        <v>0.3949039961914417</v>
      </c>
      <c r="L1191" s="94" t="n">
        <v>-0.2011698730587878</v>
      </c>
      <c r="M1191" s="94" t="n">
        <v>-0.4640441199143784</v>
      </c>
      <c r="N1191" t="n">
        <v>39.18135531906211</v>
      </c>
      <c r="O1191" t="n">
        <v>-0.2447464380291129</v>
      </c>
      <c r="P1191" s="143">
        <f>MAX($E$2:E1191)</f>
        <v/>
      </c>
      <c r="Q1191" s="144">
        <f>E1191/P1191-1</f>
        <v/>
      </c>
      <c r="R1191" s="94" t="n">
        <v>-0.0004635003677893046</v>
      </c>
    </row>
    <row r="1192">
      <c r="A1192" s="375" t="n">
        <v>46198</v>
      </c>
      <c r="B1192" s="376" t="n">
        <v>41.36123860192399</v>
      </c>
      <c r="C1192" s="376" t="n">
        <v>41.4206101608338</v>
      </c>
      <c r="D1192" s="376" t="n">
        <v>40.01551346388045</v>
      </c>
      <c r="E1192" s="376" t="n">
        <v>40.47068786621094</v>
      </c>
      <c r="F1192" s="93" t="n">
        <v>29228300</v>
      </c>
      <c r="G1192" s="94" t="n">
        <v>-0.02199895499432691</v>
      </c>
      <c r="H1192" s="95" t="n">
        <v>29.96095894968147</v>
      </c>
      <c r="I1192" s="376" t="n">
        <v>43.51734855651856</v>
      </c>
      <c r="J1192" s="376" t="n">
        <v>56.65032403945923</v>
      </c>
      <c r="K1192" s="94" t="n">
        <v>0.3879397820585641</v>
      </c>
      <c r="L1192" s="94" t="n">
        <v>-0.21874330106948</v>
      </c>
      <c r="M1192" s="94" t="n">
        <v>-0.475834589199327</v>
      </c>
      <c r="N1192" t="n">
        <v>36.05388749928083</v>
      </c>
      <c r="O1192" t="n">
        <v>-0.3575574806781917</v>
      </c>
      <c r="P1192" s="143">
        <f>MAX($E$2:E1192)</f>
        <v/>
      </c>
      <c r="Q1192" s="144">
        <f>E1192/P1192-1</f>
        <v/>
      </c>
      <c r="R1192" s="94" t="n">
        <v>0.001445636828724783</v>
      </c>
    </row>
    <row r="1193">
      <c r="A1193" s="375" t="n">
        <v>46199</v>
      </c>
      <c r="B1193" s="376" t="n">
        <v>39.6493992253608</v>
      </c>
      <c r="C1193" s="376" t="n">
        <v>41.03470543545436</v>
      </c>
      <c r="D1193" s="376" t="n">
        <v>39.5801342923217</v>
      </c>
      <c r="E1193" s="376" t="n">
        <v>40.32226181030273</v>
      </c>
      <c r="F1193" s="93" t="n">
        <v>33970700</v>
      </c>
      <c r="G1193" s="94" t="n">
        <v>-0.003667495259751297</v>
      </c>
      <c r="H1193" s="95" t="n">
        <v>29.85107727475591</v>
      </c>
      <c r="I1193" s="376" t="n">
        <v>43.43250846862793</v>
      </c>
      <c r="J1193" s="376" t="n">
        <v>56.49568172454834</v>
      </c>
      <c r="K1193" s="94" t="n">
        <v>0.3649626669143972</v>
      </c>
      <c r="L1193" s="94" t="n">
        <v>-0.1320533339114043</v>
      </c>
      <c r="M1193" s="94" t="n">
        <v>-0.4777569633587639</v>
      </c>
      <c r="N1193" t="n">
        <v>35.55556274193434</v>
      </c>
      <c r="O1193" t="n">
        <v>-0.4174791760708753</v>
      </c>
      <c r="P1193" s="143">
        <f>MAX($E$2:E1193)</f>
        <v/>
      </c>
      <c r="Q1193" s="144">
        <f>E1193/P1193-1</f>
        <v/>
      </c>
      <c r="R1193" s="94" t="n">
        <v>-0.007231332133985857</v>
      </c>
    </row>
    <row r="1194">
      <c r="A1194" s="375" t="n">
        <v>46202</v>
      </c>
      <c r="B1194" s="376" t="n">
        <v>40.70816634295365</v>
      </c>
      <c r="C1194" s="376" t="n">
        <v>41.25239241886341</v>
      </c>
      <c r="D1194" s="376" t="n">
        <v>40.34205116820063</v>
      </c>
      <c r="E1194" s="376" t="n">
        <v>41.04459762573242</v>
      </c>
      <c r="F1194" s="93" t="n">
        <v>27824700</v>
      </c>
      <c r="G1194" s="94" t="n">
        <v>0.01791406987107869</v>
      </c>
      <c r="H1194" s="95" t="n">
        <v>30.38583155878285</v>
      </c>
      <c r="I1194" s="376" t="n">
        <v>43.35701530456543</v>
      </c>
      <c r="J1194" s="376" t="n">
        <v>56.34150484085083</v>
      </c>
      <c r="K1194" s="94" t="n">
        <v>0.3690278914410152</v>
      </c>
      <c r="L1194" s="94" t="n">
        <v>-0.1165048766907234</v>
      </c>
      <c r="M1194" s="94" t="n">
        <v>-0.4684014651106886</v>
      </c>
      <c r="N1194" t="n">
        <v>39.90854380843998</v>
      </c>
      <c r="O1194" t="n">
        <v>-0.3845881510918772</v>
      </c>
      <c r="P1194" s="143">
        <f>MAX($E$2:E1194)</f>
        <v/>
      </c>
      <c r="Q1194" s="144">
        <f>E1194/P1194-1</f>
        <v/>
      </c>
      <c r="R1194" s="94" t="n">
        <v>0.01647481275894025</v>
      </c>
    </row>
    <row r="1195">
      <c r="A1195" s="375" t="n">
        <v>46203</v>
      </c>
      <c r="B1195" s="376" t="n">
        <v>40.94564801145086</v>
      </c>
      <c r="C1195" s="376" t="n">
        <v>41.20291721111914</v>
      </c>
      <c r="D1195" s="376" t="n">
        <v>40.46078972885934</v>
      </c>
      <c r="E1195" s="376" t="n">
        <v>40.61911010742188</v>
      </c>
      <c r="F1195" s="93" t="n">
        <v>73891500</v>
      </c>
      <c r="G1195" s="94" t="n">
        <v>-0.01036646825461363</v>
      </c>
      <c r="H1195" s="95" t="n">
        <v>30.0708378005387</v>
      </c>
      <c r="I1195" s="376" t="n">
        <v>43.26653961181641</v>
      </c>
      <c r="J1195" s="376" t="n">
        <v>56.18481325149536</v>
      </c>
      <c r="K1195" s="94" t="n">
        <v>0.3685493508812142</v>
      </c>
      <c r="L1195" s="94" t="n">
        <v>-0.1256636008396149</v>
      </c>
      <c r="M1195" s="94" t="n">
        <v>-0.4739122644468178</v>
      </c>
      <c r="N1195" t="n">
        <v>38.26879078218671</v>
      </c>
      <c r="O1195" t="n">
        <v>-0.3676229623885273</v>
      </c>
      <c r="P1195" s="143">
        <f>MAX($E$2:E1195)</f>
        <v/>
      </c>
      <c r="Q1195" s="144">
        <f>E1195/P1195-1</f>
        <v/>
      </c>
      <c r="R1195" s="94" t="n">
        <v>0.007786815227913024</v>
      </c>
    </row>
    <row r="1196">
      <c r="A1196" s="375" t="n">
        <v>46204</v>
      </c>
      <c r="B1196" s="376" t="n">
        <v>40.96543783777414</v>
      </c>
      <c r="C1196" s="376" t="n">
        <v>42.82570131075827</v>
      </c>
      <c r="D1196" s="376" t="n">
        <v>39.68897768395811</v>
      </c>
      <c r="E1196" s="376" t="n">
        <v>42.60801315307617</v>
      </c>
      <c r="F1196" s="93" t="n">
        <v>80185700</v>
      </c>
      <c r="G1196" s="94" t="n">
        <v>0.04896471243201583</v>
      </c>
      <c r="H1196" s="95" t="n">
        <v>31.54324772603186</v>
      </c>
      <c r="I1196" s="376" t="n">
        <v>43.20701538085937</v>
      </c>
      <c r="J1196" s="376" t="n">
        <v>56.04450393676758</v>
      </c>
      <c r="K1196" s="94" t="n">
        <v>0.3804043598974506</v>
      </c>
      <c r="L1196" s="94" t="n">
        <v>-0.08285197048588255</v>
      </c>
      <c r="M1196" s="94" t="n">
        <v>-0.4481525297614459</v>
      </c>
      <c r="N1196" t="n">
        <v>48.84867508559027</v>
      </c>
      <c r="O1196" t="n">
        <v>-0.2066104701241076</v>
      </c>
      <c r="P1196" s="143">
        <f>MAX($E$2:E1196)</f>
        <v/>
      </c>
      <c r="Q1196" s="144">
        <f>E1196/P1196-1</f>
        <v/>
      </c>
      <c r="R1196" s="94" t="n">
        <v>-0.001352503647548353</v>
      </c>
    </row>
    <row r="1197">
      <c r="A1197" s="375" t="n">
        <v>46205</v>
      </c>
      <c r="B1197" s="376" t="n">
        <v>43.64699159947705</v>
      </c>
      <c r="C1197" s="376" t="n">
        <v>44.56722997956886</v>
      </c>
      <c r="D1197" s="376" t="n">
        <v>43.142342797669</v>
      </c>
      <c r="E1197" s="376" t="n">
        <v>43.62720108032227</v>
      </c>
      <c r="F1197" s="93" t="n">
        <v>34233400</v>
      </c>
      <c r="G1197" s="94" t="n">
        <v>0.0239200998080924</v>
      </c>
      <c r="H1197" s="95" t="n">
        <v>32.29776535990993</v>
      </c>
      <c r="I1197" s="376" t="n">
        <v>43.16964027404785</v>
      </c>
      <c r="J1197" s="376" t="n">
        <v>55.90914533615112</v>
      </c>
      <c r="K1197" s="94" t="n">
        <v>0.3901562489262496</v>
      </c>
      <c r="L1197" s="94" t="n">
        <v>-0.06091369808110958</v>
      </c>
      <c r="M1197" s="94" t="n">
        <v>-0.4349522831944964</v>
      </c>
      <c r="N1197" t="n">
        <v>53.26855700539146</v>
      </c>
      <c r="O1197" t="n">
        <v>-0.02516650592370651</v>
      </c>
      <c r="P1197" s="143">
        <f>MAX($E$2:E1197)</f>
        <v/>
      </c>
      <c r="Q1197" s="144">
        <f>E1197/P1197-1</f>
        <v/>
      </c>
      <c r="R1197" s="94" t="n">
        <v>-0.001314050743559392</v>
      </c>
    </row>
    <row r="1198">
      <c r="A1198" s="375" t="n">
        <v>46209</v>
      </c>
      <c r="B1198" s="376" t="n">
        <v>43.43919784099312</v>
      </c>
      <c r="C1198" s="376" t="n">
        <v>43.64699263506523</v>
      </c>
      <c r="D1198" s="376" t="n">
        <v>41.40081961555377</v>
      </c>
      <c r="E1198" s="376" t="n">
        <v>42.88507461547852</v>
      </c>
      <c r="F1198" s="93" t="n">
        <v>21979100</v>
      </c>
      <c r="G1198" s="94" t="n">
        <v>-0.01701063663188973</v>
      </c>
      <c r="H1198" s="95" t="n">
        <v>31.74835980935047</v>
      </c>
      <c r="I1198" s="376" t="n">
        <v>43.13134895324707</v>
      </c>
      <c r="J1198" s="376" t="n">
        <v>55.77143142700195</v>
      </c>
      <c r="K1198" s="94" t="n">
        <v>0.3948501226943721</v>
      </c>
      <c r="L1198" s="94" t="n">
        <v>-0.07688815392903692</v>
      </c>
      <c r="M1198" s="94" t="n">
        <v>-0.4445641045847538</v>
      </c>
      <c r="N1198" t="n">
        <v>49.88821912048753</v>
      </c>
      <c r="O1198" t="n">
        <v>0.04722630644351433</v>
      </c>
      <c r="P1198" s="143">
        <f>MAX($E$2:E1198)</f>
        <v/>
      </c>
      <c r="Q1198" s="144">
        <f>E1198/P1198-1</f>
        <v/>
      </c>
      <c r="R1198" s="94" t="n">
        <v>0.008727392224116226</v>
      </c>
    </row>
    <row r="1199">
      <c r="A1199" s="375" t="n">
        <v>46210</v>
      </c>
      <c r="B1199" s="376" t="n">
        <v>43.26108803555716</v>
      </c>
      <c r="C1199" s="376" t="n">
        <v>43.57772880826113</v>
      </c>
      <c r="D1199" s="376" t="n">
        <v>42.4299050635453</v>
      </c>
      <c r="E1199" s="376" t="n">
        <v>42.75643920898438</v>
      </c>
      <c r="F1199" s="93" t="n">
        <v>17784900</v>
      </c>
      <c r="G1199" s="94" t="n">
        <v>-0.002999537896285043</v>
      </c>
      <c r="H1199" s="95" t="n">
        <v>31.65312940095743</v>
      </c>
      <c r="I1199" s="376" t="n">
        <v>43.10813796997071</v>
      </c>
      <c r="J1199" s="376" t="n">
        <v>55.63520408630371</v>
      </c>
      <c r="K1199" s="94" t="n">
        <v>0.3912668786109402</v>
      </c>
      <c r="L1199" s="94" t="n">
        <v>-0.07965706289383634</v>
      </c>
      <c r="M1199" s="94" t="n">
        <v>-0.4462301556020088</v>
      </c>
      <c r="N1199" t="n">
        <v>49.30418229944117</v>
      </c>
      <c r="O1199" t="n">
        <v>0.08651694647745817</v>
      </c>
      <c r="P1199" s="143">
        <f>MAX($E$2:E1199)</f>
        <v/>
      </c>
      <c r="Q1199" s="144">
        <f>E1199/P1199-1</f>
        <v/>
      </c>
      <c r="R1199" s="94" t="n">
        <v>-0.004751890339538711</v>
      </c>
    </row>
    <row r="1200">
      <c r="A1200" s="375" t="n">
        <v>46211</v>
      </c>
      <c r="B1200" s="376" t="n">
        <v>42.25179217734983</v>
      </c>
      <c r="C1200" s="376" t="n">
        <v>42.80591161629051</v>
      </c>
      <c r="D1200" s="376" t="n">
        <v>41.62840403388599</v>
      </c>
      <c r="E1200" s="376" t="n">
        <v>42.43979644775391</v>
      </c>
      <c r="F1200" s="93" t="n">
        <v>21101500</v>
      </c>
      <c r="G1200" s="94" t="n">
        <v>-0.007405732729116821</v>
      </c>
      <c r="H1200" s="95" t="n">
        <v>31.41871478457379</v>
      </c>
      <c r="I1200" s="376" t="n">
        <v>43.08035949707031</v>
      </c>
      <c r="J1200" s="376" t="n">
        <v>55.49841007232666</v>
      </c>
      <c r="K1200" s="94" t="n">
        <v>0.3917225916048935</v>
      </c>
      <c r="L1200" s="94" t="n">
        <v>-0.08647287670517478</v>
      </c>
      <c r="M1200" s="94" t="n">
        <v>-0.4503312270630649</v>
      </c>
      <c r="N1200" t="n">
        <v>47.82013829296473</v>
      </c>
      <c r="O1200" t="n">
        <v>0.09080472613185753</v>
      </c>
      <c r="P1200" s="143">
        <f>MAX($E$2:E1200)</f>
        <v/>
      </c>
      <c r="Q1200" s="144">
        <f>E1200/P1200-1</f>
        <v/>
      </c>
      <c r="R1200" s="94" t="n">
        <v>-0.003089409152238543</v>
      </c>
    </row>
    <row r="1201">
      <c r="A1201" s="375" t="n">
        <v>46212</v>
      </c>
      <c r="B1201" s="376" t="n">
        <v>42.24189623905949</v>
      </c>
      <c r="C1201" s="376" t="n">
        <v>42.60801519272716</v>
      </c>
      <c r="D1201" s="376" t="n">
        <v>41.68777678426419</v>
      </c>
      <c r="E1201" s="376" t="n">
        <v>42.33095169067383</v>
      </c>
      <c r="F1201" s="93" t="n">
        <v>19647000</v>
      </c>
      <c r="G1201" s="94" t="n">
        <v>-0.002564686124592375</v>
      </c>
      <c r="H1201" s="95" t="n">
        <v>31.33813564271327</v>
      </c>
      <c r="I1201" s="376" t="n">
        <v>43.04157752990723</v>
      </c>
      <c r="J1201" s="376" t="n">
        <v>55.36692869186401</v>
      </c>
      <c r="K1201" s="94" t="n">
        <v>0.371874406675321</v>
      </c>
      <c r="L1201" s="94" t="n">
        <v>-0.08881578704272786</v>
      </c>
      <c r="M1201" s="94" t="n">
        <v>-0.451740954938138</v>
      </c>
      <c r="N1201" t="n">
        <v>47.29317048877181</v>
      </c>
      <c r="O1201" t="n">
        <v>0.08598283935583051</v>
      </c>
      <c r="P1201" s="143">
        <f>MAX($E$2:E1201)</f>
        <v/>
      </c>
      <c r="Q1201" s="144">
        <f>E1201/P1201-1</f>
        <v/>
      </c>
      <c r="R1201" s="94" t="n">
        <v>0.008465256756416295</v>
      </c>
    </row>
    <row r="1202">
      <c r="A1202" s="375" t="n">
        <v>46213</v>
      </c>
      <c r="B1202" s="376" t="n">
        <v>42.96423360614715</v>
      </c>
      <c r="C1202" s="376" t="n">
        <v>44.16153552729817</v>
      </c>
      <c r="D1202" s="376" t="n">
        <v>42.60801557118147</v>
      </c>
      <c r="E1202" s="376" t="n">
        <v>43.90426254272461</v>
      </c>
      <c r="F1202" s="93" t="n">
        <v>23313500</v>
      </c>
      <c r="G1202" s="94" t="n">
        <v>0.03716691426045604</v>
      </c>
      <c r="H1202" s="95" t="n">
        <v>32.50287744322854</v>
      </c>
      <c r="I1202" s="376" t="n">
        <v>43.03641937255859</v>
      </c>
      <c r="J1202" s="376" t="n">
        <v>55.24142612457275</v>
      </c>
      <c r="K1202" s="94" t="n">
        <v>0.3927215914988973</v>
      </c>
      <c r="L1202" s="94" t="n">
        <v>-0.05494988152426372</v>
      </c>
      <c r="M1202" s="94" t="n">
        <v>-0.4313638580178043</v>
      </c>
      <c r="N1202" t="n">
        <v>55.01063779088743</v>
      </c>
      <c r="O1202" t="n">
        <v>0.1828592302864492</v>
      </c>
      <c r="P1202" s="143">
        <f>MAX($E$2:E1202)</f>
        <v/>
      </c>
      <c r="Q1202" s="144">
        <f>E1202/P1202-1</f>
        <v/>
      </c>
      <c r="R1202" s="94" t="n">
        <v>0.004310118179872147</v>
      </c>
    </row>
    <row r="1203">
      <c r="A1203" s="375" t="n">
        <v>46216</v>
      </c>
      <c r="B1203" s="376" t="n">
        <v>44.29016630003452</v>
      </c>
      <c r="C1203" s="376" t="n">
        <v>44.42869993353615</v>
      </c>
      <c r="D1203" s="376" t="n">
        <v>43.21160754589007</v>
      </c>
      <c r="E1203" s="376" t="n">
        <v>43.30066299438477</v>
      </c>
      <c r="F1203" s="93" t="n">
        <v>13665500</v>
      </c>
      <c r="G1203" s="94" t="n">
        <v>-0.013748085342567</v>
      </c>
      <c r="H1203" s="95" t="n">
        <v>32.05602511026004</v>
      </c>
      <c r="I1203" s="376" t="n">
        <v>43.03174255371093</v>
      </c>
      <c r="J1203" s="376" t="n">
        <v>55.11459970474243</v>
      </c>
      <c r="K1203" s="94" t="n">
        <v>0.3579654094309566</v>
      </c>
      <c r="L1203" s="94" t="n">
        <v>-0.0679425112060712</v>
      </c>
      <c r="M1203" s="94" t="n">
        <v>-0.4391815162266435</v>
      </c>
      <c r="N1203" t="n">
        <v>51.87255364276092</v>
      </c>
      <c r="O1203" t="n">
        <v>0.1990576016995783</v>
      </c>
      <c r="P1203" s="143">
        <f>MAX($E$2:E1203)</f>
        <v/>
      </c>
      <c r="Q1203" s="144">
        <f>E1203/P1203-1</f>
        <v/>
      </c>
      <c r="R1203" s="94" t="n">
        <v>-0.007656140611366324</v>
      </c>
    </row>
    <row r="1204">
      <c r="A1204" s="375" t="n">
        <v>46217</v>
      </c>
      <c r="B1204" s="376" t="n">
        <v>43.84489490425886</v>
      </c>
      <c r="C1204" s="376" t="n">
        <v>44.02300580966551</v>
      </c>
      <c r="D1204" s="376" t="n">
        <v>42.02420858483426</v>
      </c>
      <c r="E1204" s="376" t="n">
        <v>42.41011428833008</v>
      </c>
      <c r="F1204" s="93" t="n">
        <v>13090200</v>
      </c>
      <c r="G1204" s="94" t="n">
        <v>-0.02056662980357071</v>
      </c>
      <c r="H1204" s="95" t="n">
        <v>31.39674070884335</v>
      </c>
      <c r="I1204" s="376" t="n">
        <v>43.00984321594238</v>
      </c>
      <c r="J1204" s="376" t="n">
        <v>54.98191677093506</v>
      </c>
      <c r="K1204" s="94" t="n">
        <v>0.3566424959594643</v>
      </c>
      <c r="L1204" s="94" t="n">
        <v>-0.08711179253374168</v>
      </c>
      <c r="M1204" s="94" t="n">
        <v>-0.45071566236941</v>
      </c>
      <c r="N1204" t="n">
        <v>47.56165039904766</v>
      </c>
      <c r="O1204" t="n">
        <v>0.1450732906568016</v>
      </c>
      <c r="P1204" s="143">
        <f>MAX($E$2:E1204)</f>
        <v/>
      </c>
      <c r="Q1204" s="144">
        <f>E1204/P1204-1</f>
        <v/>
      </c>
      <c r="R1204" s="94" t="n">
        <v>0.00355063791668675</v>
      </c>
    </row>
    <row r="1205">
      <c r="A1205" s="375" t="n">
        <v>46218</v>
      </c>
      <c r="B1205" s="376" t="n">
        <v>42.54864167078208</v>
      </c>
      <c r="C1205" s="376" t="n">
        <v>43.12255539352496</v>
      </c>
      <c r="D1205" s="376" t="n">
        <v>42.03409950459536</v>
      </c>
      <c r="E1205" s="376" t="n">
        <v>42.3210563659668</v>
      </c>
      <c r="F1205" s="93" t="n">
        <v>14388200</v>
      </c>
      <c r="G1205" s="94" t="n">
        <v>-0.002099921772382163</v>
      </c>
      <c r="H1205" s="95" t="n">
        <v>31.33081000944701</v>
      </c>
      <c r="I1205" s="376" t="n">
        <v>42.98537811279297</v>
      </c>
      <c r="J1205" s="376" t="n">
        <v>54.85837255477905</v>
      </c>
      <c r="K1205" s="94" t="n">
        <v>0.3553509931738457</v>
      </c>
      <c r="L1205" s="94" t="n">
        <v>-0.08902878635635103</v>
      </c>
      <c r="M1205" s="94" t="n">
        <v>-0.451869116509229</v>
      </c>
      <c r="N1205" t="n">
        <v>47.13974272911737</v>
      </c>
      <c r="O1205" t="n">
        <v>0.1007483987167332</v>
      </c>
      <c r="P1205" s="143">
        <f>MAX($E$2:E1205)</f>
        <v/>
      </c>
      <c r="Q1205" s="144">
        <f>E1205/P1205-1</f>
        <v/>
      </c>
      <c r="R1205" s="94" t="n">
        <v>0.003963630921285599</v>
      </c>
    </row>
    <row r="1206">
      <c r="A1206" s="375" t="n">
        <v>46219</v>
      </c>
      <c r="B1206" s="376" t="n">
        <v>42.44969272222726</v>
      </c>
      <c r="C1206" s="376" t="n">
        <v>44.20111022677485</v>
      </c>
      <c r="D1206" s="376" t="n">
        <v>42.44969272222726</v>
      </c>
      <c r="E1206" s="376" t="n">
        <v>44.1021614074707</v>
      </c>
      <c r="F1206" s="93" t="n">
        <v>15944700</v>
      </c>
      <c r="G1206" s="94" t="n">
        <v>0.04208555254627844</v>
      </c>
      <c r="H1206" s="95" t="n">
        <v>32.64938446041706</v>
      </c>
      <c r="I1206" s="376" t="n">
        <v>43.02223014831543</v>
      </c>
      <c r="J1206" s="376" t="n">
        <v>54.74339508056641</v>
      </c>
      <c r="K1206" s="94" t="n">
        <v>0.3889376993559561</v>
      </c>
      <c r="L1206" s="94" t="n">
        <v>-0.05069005947640426</v>
      </c>
      <c r="M1206" s="94" t="n">
        <v>-0.4288007254098402</v>
      </c>
      <c r="N1206" t="n">
        <v>55.61902348113774</v>
      </c>
      <c r="O1206" t="n">
        <v>0.1839212329474389</v>
      </c>
      <c r="P1206" s="143">
        <f>MAX($E$2:E1206)</f>
        <v/>
      </c>
      <c r="Q1206" s="144">
        <f>E1206/P1206-1</f>
        <v/>
      </c>
      <c r="R1206" s="94" t="n">
        <v>-0.005418616825605738</v>
      </c>
    </row>
    <row r="1207">
      <c r="A1207" s="375" t="n">
        <v>46220</v>
      </c>
      <c r="B1207" s="376" t="n">
        <v>44.05268762048569</v>
      </c>
      <c r="C1207" s="376" t="n">
        <v>44.50785823516724</v>
      </c>
      <c r="D1207" s="376" t="n">
        <v>43.06318431483594</v>
      </c>
      <c r="E1207" s="376" t="n">
        <v>43.30066299438477</v>
      </c>
      <c r="F1207" s="93" t="n">
        <v>15825100</v>
      </c>
      <c r="G1207" s="94" t="n">
        <v>-0.01817367647088075</v>
      </c>
      <c r="H1207" s="95" t="n">
        <v>32.05602511026004</v>
      </c>
      <c r="I1207" s="376" t="n">
        <v>43.04364067077637</v>
      </c>
      <c r="J1207" s="376" t="n">
        <v>54.62324834823608</v>
      </c>
      <c r="K1207" s="94" t="n">
        <v>0.388501597282446</v>
      </c>
      <c r="L1207" s="94" t="n">
        <v>-0.06794251120607098</v>
      </c>
      <c r="M1207" s="94" t="n">
        <v>-0.4391815162266435</v>
      </c>
      <c r="N1207" t="n">
        <v>51.60723393728002</v>
      </c>
      <c r="O1207" t="n">
        <v>0.1774122017609316</v>
      </c>
      <c r="P1207" s="143">
        <f>MAX($E$2:E1207)</f>
        <v/>
      </c>
      <c r="Q1207" s="144">
        <f>E1207/P1207-1</f>
        <v/>
      </c>
      <c r="R1207" s="94" t="n">
        <v>-0.009897199757215702</v>
      </c>
    </row>
    <row r="1208">
      <c r="A1208" s="375" t="n">
        <v>46223</v>
      </c>
      <c r="B1208" s="376" t="n">
        <v>43.37982518915952</v>
      </c>
      <c r="C1208" s="376" t="n">
        <v>43.37982518915952</v>
      </c>
      <c r="D1208" s="376" t="n">
        <v>42.38042850857195</v>
      </c>
      <c r="E1208" s="376" t="n">
        <v>43.01371002197266</v>
      </c>
      <c r="F1208" s="93" t="n">
        <v>11926900</v>
      </c>
      <c r="G1208" s="94" t="n">
        <v>-0.00662698796203931</v>
      </c>
      <c r="H1208" s="95" t="n">
        <v>31.84359021774352</v>
      </c>
      <c r="I1208" s="376" t="n">
        <v>43.04322822570801</v>
      </c>
      <c r="J1208" s="376" t="n">
        <v>54.5007956123352</v>
      </c>
      <c r="K1208" s="94" t="n">
        <v>0.379274806794048</v>
      </c>
      <c r="L1208" s="94" t="n">
        <v>-0.07411924496423694</v>
      </c>
      <c r="M1208" s="94" t="n">
        <v>-0.4428980535674987</v>
      </c>
      <c r="N1208" t="n">
        <v>50.21084919961005</v>
      </c>
      <c r="O1208" t="n">
        <v>0.1474662585850536</v>
      </c>
      <c r="P1208" s="143">
        <f>MAX($E$2:E1208)</f>
        <v/>
      </c>
      <c r="Q1208" s="144">
        <f>E1208/P1208-1</f>
        <v/>
      </c>
      <c r="R1208" s="94" t="n">
        <v>-0.001614353496740994</v>
      </c>
    </row>
    <row r="1209">
      <c r="A1209" s="375" t="n">
        <v>46224</v>
      </c>
      <c r="B1209" s="376" t="n">
        <v>42.60801632215075</v>
      </c>
      <c r="C1209" s="376" t="n">
        <v>43.10276800542147</v>
      </c>
      <c r="D1209" s="376" t="n">
        <v>42.30126891964681</v>
      </c>
      <c r="E1209" s="376" t="n">
        <v>42.50906372070312</v>
      </c>
      <c r="F1209" s="93" t="n">
        <v>11859000</v>
      </c>
      <c r="G1209" s="94" t="n">
        <v>-0.01173221982041872</v>
      </c>
      <c r="H1209" s="95" t="n">
        <v>31.46999421743762</v>
      </c>
      <c r="I1209" s="376" t="n">
        <v>43.02232711791992</v>
      </c>
      <c r="J1209" s="376" t="n">
        <v>54.35418306350708</v>
      </c>
      <c r="K1209" s="94" t="n">
        <v>0.3466928822305441</v>
      </c>
      <c r="L1209" s="94" t="n">
        <v>-0.08498188150981179</v>
      </c>
      <c r="M1209" s="94" t="n">
        <v>-0.4494340960654279</v>
      </c>
      <c r="N1209" t="n">
        <v>47.76320105824395</v>
      </c>
      <c r="O1209" t="n">
        <v>0.0901715437382323</v>
      </c>
      <c r="P1209" s="143">
        <f>MAX($E$2:E1209)</f>
        <v/>
      </c>
      <c r="Q1209" s="144">
        <f>E1209/P1209-1</f>
        <v/>
      </c>
      <c r="R1209" s="94" t="n">
        <v>0.008341327043244195</v>
      </c>
    </row>
    <row r="1210">
      <c r="A1210" s="375" t="n">
        <v>46225</v>
      </c>
      <c r="B1210" s="376" t="n">
        <v>42.00441589431804</v>
      </c>
      <c r="C1210" s="376" t="n">
        <v>42.45958650699006</v>
      </c>
      <c r="D1210" s="376" t="n">
        <v>41.13365193228703</v>
      </c>
      <c r="E1210" s="376" t="n">
        <v>41.76693344116211</v>
      </c>
      <c r="F1210" s="93" t="n">
        <v>18990000</v>
      </c>
      <c r="G1210" s="94" t="n">
        <v>-0.01745816573183134</v>
      </c>
      <c r="H1210" s="95" t="n">
        <v>30.92058584280982</v>
      </c>
      <c r="I1210" s="376" t="n">
        <v>42.99187934875489</v>
      </c>
      <c r="J1210" s="376" t="n">
        <v>54.20206890106201</v>
      </c>
      <c r="K1210" s="94" t="n">
        <v>0.3457944449742709</v>
      </c>
      <c r="L1210" s="94" t="n">
        <v>-0.1009564194700421</v>
      </c>
      <c r="M1210" s="94" t="n">
        <v>-0.4590459668626132</v>
      </c>
      <c r="N1210" t="n">
        <v>44.34005530790786</v>
      </c>
      <c r="O1210" t="n">
        <v>0.003377440393696918</v>
      </c>
      <c r="P1210" s="143">
        <f>MAX($E$2:E1210)</f>
        <v/>
      </c>
      <c r="Q1210" s="144">
        <f>E1210/P1210-1</f>
        <v/>
      </c>
      <c r="R1210" s="94" t="n">
        <v>-0.001162766737217713</v>
      </c>
    </row>
    <row r="1211">
      <c r="A1211" s="375" t="n">
        <v>46226</v>
      </c>
      <c r="B1211" s="376" t="n">
        <v>41.36123723200697</v>
      </c>
      <c r="C1211" s="376" t="n">
        <v>41.63830072308716</v>
      </c>
      <c r="D1211" s="376" t="n">
        <v>40.26288796381564</v>
      </c>
      <c r="E1211" s="376" t="n">
        <v>40.55974197387695</v>
      </c>
      <c r="F1211" s="93" t="n">
        <v>18156200</v>
      </c>
      <c r="G1211" s="94" t="n">
        <v>-0.02890304285771306</v>
      </c>
      <c r="H1211" s="95" t="n">
        <v>30.02688682500949</v>
      </c>
      <c r="I1211" s="376" t="n">
        <v>42.97161323547363</v>
      </c>
      <c r="J1211" s="376" t="n">
        <v>54.05669744491577</v>
      </c>
      <c r="K1211" s="94" t="n">
        <v>0.35802697027094</v>
      </c>
      <c r="L1211" s="94" t="n">
        <v>-0.1269415146090512</v>
      </c>
      <c r="M1211" s="94" t="n">
        <v>-0.4746811844664358</v>
      </c>
      <c r="N1211" t="n">
        <v>39.39416425123471</v>
      </c>
      <c r="O1211" t="n">
        <v>-0.1270432342492556</v>
      </c>
      <c r="P1211" s="143">
        <f>MAX($E$2:E1211)</f>
        <v/>
      </c>
      <c r="Q1211" s="144">
        <f>E1211/P1211-1</f>
        <v/>
      </c>
      <c r="R1211" s="94" t="n">
        <v>-0.01234925378412788</v>
      </c>
    </row>
    <row r="1212">
      <c r="A1212" s="375" t="n">
        <v>46227</v>
      </c>
      <c r="B1212" s="376" t="n">
        <v>40.75764212611053</v>
      </c>
      <c r="C1212" s="376" t="n">
        <v>41.70756822246695</v>
      </c>
      <c r="D1212" s="376" t="n">
        <v>40.46079187241104</v>
      </c>
      <c r="E1212" s="376" t="n">
        <v>41.26229095458984</v>
      </c>
      <c r="F1212" s="93" t="n">
        <v>26175200</v>
      </c>
      <c r="G1212" s="94" t="n">
        <v>0.01732133752639187</v>
      </c>
      <c r="H1212" s="95" t="n">
        <v>30.54699266657225</v>
      </c>
      <c r="I1212" s="376" t="n">
        <v>42.96618270874023</v>
      </c>
      <c r="J1212" s="376" t="n">
        <v>53.9185174369812</v>
      </c>
      <c r="K1212" s="94" t="n">
        <v>0.3542809292196276</v>
      </c>
      <c r="L1212" s="94" t="n">
        <v>-0.1118189739033142</v>
      </c>
      <c r="M1212" s="94" t="n">
        <v>-0.4655819599536145</v>
      </c>
      <c r="N1212" t="n">
        <v>43.35421753843111</v>
      </c>
      <c r="O1212" t="n">
        <v>-0.1558066002017927</v>
      </c>
      <c r="P1212" s="143">
        <f>MAX($E$2:E1212)</f>
        <v/>
      </c>
      <c r="Q1212" s="144">
        <f>E1212/P1212-1</f>
        <v/>
      </c>
      <c r="R1212" s="94" t="n">
        <v>0.001015965756392179</v>
      </c>
    </row>
    <row r="1213">
      <c r="A1213" s="375" t="n">
        <v>46230</v>
      </c>
      <c r="B1213" s="376" t="n">
        <v>41.70756713007918</v>
      </c>
      <c r="C1213" s="376" t="n">
        <v>42.1528406116381</v>
      </c>
      <c r="D1213" s="376" t="n">
        <v>41.14355053042593</v>
      </c>
      <c r="E1213" s="376" t="n">
        <v>41.69766998291016</v>
      </c>
      <c r="F1213" s="93" t="n">
        <v>16996900</v>
      </c>
      <c r="G1213" s="94" t="n">
        <v>0.0105514991593525</v>
      </c>
      <c r="H1213" s="95" t="n">
        <v>30.86930923401433</v>
      </c>
      <c r="I1213" s="376" t="n">
        <v>42.9696558380127</v>
      </c>
      <c r="J1213" s="376" t="n">
        <v>53.79345361709595</v>
      </c>
      <c r="K1213" s="94" t="n">
        <v>0.3552824240286878</v>
      </c>
      <c r="L1213" s="94" t="n">
        <v>-0.1024473325531021</v>
      </c>
      <c r="M1213" s="94" t="n">
        <v>-0.4599430484533223</v>
      </c>
      <c r="N1213" t="n">
        <v>45.7211862348986</v>
      </c>
      <c r="O1213" t="n">
        <v>-0.1360403587697478</v>
      </c>
      <c r="P1213" s="143">
        <f>MAX($E$2:E1213)</f>
        <v/>
      </c>
      <c r="Q1213" s="144">
        <f>E1213/P1213-1</f>
        <v/>
      </c>
      <c r="R1213" s="94" t="n">
        <v>0.0002166165423496125</v>
      </c>
    </row>
    <row r="1214">
      <c r="A1214" s="375" t="n">
        <v>46231</v>
      </c>
      <c r="B1214" s="376" t="n">
        <v>42.30126758271978</v>
      </c>
      <c r="C1214" s="376" t="n">
        <v>42.81580977001798</v>
      </c>
      <c r="D1214" s="376" t="n">
        <v>42.07368226856676</v>
      </c>
      <c r="E1214" s="376" t="n">
        <v>42.59811782836914</v>
      </c>
      <c r="F1214" s="93" t="n">
        <v>23601400</v>
      </c>
      <c r="G1214" s="94" t="n">
        <v>0.02159468013028154</v>
      </c>
      <c r="H1214" s="95" t="n">
        <v>31.53592209276562</v>
      </c>
      <c r="I1214" s="376" t="n">
        <v>42.99741462707519</v>
      </c>
      <c r="J1214" s="376" t="n">
        <v>53.67202079772949</v>
      </c>
      <c r="K1214" s="94" t="n">
        <v>0.3577128507883043</v>
      </c>
      <c r="L1214" s="94" t="n">
        <v>-0.08306496979950539</v>
      </c>
      <c r="M1214" s="94" t="n">
        <v>-0.4482806913325369</v>
      </c>
      <c r="N1214" t="n">
        <v>50.34269538760493</v>
      </c>
      <c r="O1214" t="n">
        <v>-0.05690320972181001</v>
      </c>
      <c r="P1214" s="143">
        <f>MAX($E$2:E1214)</f>
        <v/>
      </c>
      <c r="Q1214" s="144">
        <f>E1214/P1214-1</f>
        <v/>
      </c>
      <c r="R1214" s="94" t="n">
        <v>0.002394766697551676</v>
      </c>
    </row>
    <row r="1215">
      <c r="A1215" s="375" t="n">
        <v>46232</v>
      </c>
      <c r="B1215" s="376" t="n">
        <v>42.15283975990057</v>
      </c>
      <c r="C1215" s="376" t="n">
        <v>43.23139852553566</v>
      </c>
      <c r="D1215" s="376" t="n">
        <v>41.95494211638673</v>
      </c>
      <c r="E1215" s="376" t="n">
        <v>42.76633453369141</v>
      </c>
      <c r="F1215" s="93" t="n">
        <v>15029100</v>
      </c>
      <c r="G1215" s="94" t="n">
        <v>0.003948923424270223</v>
      </c>
      <c r="H1215" s="95" t="n">
        <v>31.6604550342237</v>
      </c>
      <c r="I1215" s="376" t="n">
        <v>43.03128379821777</v>
      </c>
      <c r="J1215" s="376" t="n">
        <v>53.55641468048096</v>
      </c>
      <c r="K1215" s="94" t="n">
        <v>0.3546937073699265</v>
      </c>
      <c r="L1215" s="94" t="n">
        <v>-0.07944406358021272</v>
      </c>
      <c r="M1215" s="94" t="n">
        <v>-0.4461019940309178</v>
      </c>
      <c r="N1215" t="n">
        <v>51.17898275520157</v>
      </c>
      <c r="O1215" t="n">
        <v>0.008698387080340708</v>
      </c>
      <c r="P1215" s="143">
        <f>MAX($E$2:E1215)</f>
        <v/>
      </c>
      <c r="Q1215" s="144">
        <f>E1215/P1215-1</f>
        <v/>
      </c>
      <c r="R1215" s="94" t="n">
        <v>-0.01538744500310241</v>
      </c>
    </row>
    <row r="1216">
      <c r="A1216" s="375" t="n">
        <v>46233</v>
      </c>
      <c r="B1216" s="376" t="n">
        <v>42.05389082876078</v>
      </c>
      <c r="C1216" s="376" t="n">
        <v>42.05389082876078</v>
      </c>
      <c r="D1216" s="376" t="n">
        <v>40.79722116750737</v>
      </c>
      <c r="E1216" s="376" t="n">
        <v>41.84609603881836</v>
      </c>
      <c r="F1216" s="93" t="n">
        <v>16977600</v>
      </c>
      <c r="G1216" s="94" t="n">
        <v>-0.0215178248242921</v>
      </c>
      <c r="H1216" s="95" t="n">
        <v>30.97919090893989</v>
      </c>
      <c r="I1216" s="376" t="n">
        <v>43.03321411132813</v>
      </c>
      <c r="J1216" s="376" t="n">
        <v>53.44995410919189</v>
      </c>
      <c r="K1216" s="94" t="n">
        <v>0.3195543533076478</v>
      </c>
      <c r="L1216" s="94" t="n">
        <v>-0.09925242496105602</v>
      </c>
      <c r="M1216" s="94" t="n">
        <v>-0.4580206742938853</v>
      </c>
      <c r="N1216" t="n">
        <v>46.55946797999468</v>
      </c>
      <c r="O1216" t="n">
        <v>-0.007105275574118719</v>
      </c>
      <c r="P1216" s="143">
        <f>MAX($E$2:E1216)</f>
        <v/>
      </c>
      <c r="Q1216" s="144">
        <f>E1216/P1216-1</f>
        <v/>
      </c>
      <c r="R1216" s="94" t="n">
        <v>0.01676574369337569</v>
      </c>
    </row>
    <row r="1217">
      <c r="A1217" s="375" t="n">
        <v>46234</v>
      </c>
      <c r="B1217" s="376" t="n">
        <v>41.57892985188273</v>
      </c>
      <c r="C1217" s="376" t="n">
        <v>41.63830140980528</v>
      </c>
      <c r="D1217" s="376" t="n">
        <v>41.05449430152812</v>
      </c>
      <c r="E1217" s="376" t="n">
        <v>41.27218246459961</v>
      </c>
      <c r="F1217" s="93" t="n">
        <v>22622400</v>
      </c>
      <c r="G1217" s="94" t="n">
        <v>-0.01371486538878952</v>
      </c>
      <c r="H1217" s="95" t="n">
        <v>30.55431547577017</v>
      </c>
      <c r="I1217" s="376" t="n">
        <v>43.02660842895508</v>
      </c>
      <c r="J1217" s="376" t="n">
        <v>53.33016870498657</v>
      </c>
      <c r="K1217" s="94" t="n">
        <v>0.3088235000245499</v>
      </c>
      <c r="L1217" s="94" t="n">
        <v>-0.1116060567019937</v>
      </c>
      <c r="M1217" s="94" t="n">
        <v>-0.4654538477894515</v>
      </c>
      <c r="N1217" t="n">
        <v>43.89823698226623</v>
      </c>
      <c r="O1217" t="n">
        <v>-0.05098588194509218</v>
      </c>
      <c r="P1217" s="143">
        <f>MAX($E$2:E1217)</f>
        <v/>
      </c>
      <c r="Q1217" s="144">
        <f>E1217/P1217-1</f>
        <v/>
      </c>
      <c r="R1217" s="94" t="n">
        <v>0.007199869193782904</v>
      </c>
    </row>
    <row r="1218">
      <c r="A1218" s="375" t="n">
        <v>46237</v>
      </c>
      <c r="B1218" s="376" t="n">
        <v>42.12315602904737</v>
      </c>
      <c r="C1218" s="376" t="n">
        <v>42.75643754988173</v>
      </c>
      <c r="D1218" s="376" t="n">
        <v>41.61851099671238</v>
      </c>
      <c r="E1218" s="376" t="n">
        <v>42.19242095947266</v>
      </c>
      <c r="F1218" s="93" t="n">
        <v>21329900</v>
      </c>
      <c r="G1218" s="94" t="n">
        <v>0.02229682173125602</v>
      </c>
      <c r="H1218" s="95" t="n">
        <v>31.23557960105397</v>
      </c>
      <c r="I1218" s="376" t="n">
        <v>43.0036897277832</v>
      </c>
      <c r="J1218" s="376" t="n">
        <v>53.21372598648071</v>
      </c>
      <c r="K1218" s="94" t="n">
        <v>0.3159217386753043</v>
      </c>
      <c r="L1218" s="94" t="n">
        <v>-0.09179769532115056</v>
      </c>
      <c r="M1218" s="94" t="n">
        <v>-0.453535167526484</v>
      </c>
      <c r="N1218" t="n">
        <v>48.9380090123071</v>
      </c>
      <c r="O1218" t="n">
        <v>-0.01469477722546081</v>
      </c>
      <c r="P1218" s="143">
        <f>MAX($E$2:E1218)</f>
        <v/>
      </c>
      <c r="Q1218" s="144">
        <f>E1218/P1218-1</f>
        <v/>
      </c>
      <c r="R1218" s="94" t="n">
        <v>0.0142429906144006</v>
      </c>
    </row>
    <row r="1219">
      <c r="A1219" s="375" t="n">
        <v>46238</v>
      </c>
      <c r="B1219" s="376" t="n">
        <v>40.9159595403599</v>
      </c>
      <c r="C1219" s="376" t="n">
        <v>41.64819363596441</v>
      </c>
      <c r="D1219" s="376" t="n">
        <v>40.48057945154307</v>
      </c>
      <c r="E1219" s="376" t="n">
        <v>41.09407043457031</v>
      </c>
      <c r="F1219" s="93" t="n">
        <v>27802800</v>
      </c>
      <c r="G1219" s="94" t="n">
        <v>-0.02603193891048228</v>
      </c>
      <c r="H1219" s="95" t="n">
        <v>30.42245690104583</v>
      </c>
      <c r="I1219" s="376" t="n">
        <v>42.95488105773926</v>
      </c>
      <c r="J1219" s="376" t="n">
        <v>53.08782239913941</v>
      </c>
      <c r="K1219" s="94" t="n">
        <v>0.3285423904061578</v>
      </c>
      <c r="L1219" s="94" t="n">
        <v>-0.1154399622349096</v>
      </c>
      <c r="M1219" s="94" t="n">
        <v>-0.4677607066621615</v>
      </c>
      <c r="N1219" t="n">
        <v>43.8721975731743</v>
      </c>
      <c r="O1219" t="n">
        <v>-0.05884417993629781</v>
      </c>
      <c r="P1219" s="143">
        <f>MAX($E$2:E1219)</f>
        <v/>
      </c>
      <c r="Q1219" s="144">
        <f>E1219/P1219-1</f>
        <v/>
      </c>
      <c r="R1219" s="94" t="n">
        <v>0.01802895214665101</v>
      </c>
    </row>
    <row r="1220">
      <c r="A1220" s="375" t="n">
        <v>46239</v>
      </c>
      <c r="B1220" s="376" t="n">
        <v>41.2128155045979</v>
      </c>
      <c r="C1220" s="376" t="n">
        <v>42.03410131166003</v>
      </c>
      <c r="D1220" s="376" t="n">
        <v>40.92585863089005</v>
      </c>
      <c r="E1220" s="376" t="n">
        <v>42.00441741943359</v>
      </c>
      <c r="F1220" s="93" t="n">
        <v>22088600</v>
      </c>
      <c r="G1220" s="94" t="n">
        <v>0.02215275769074099</v>
      </c>
      <c r="H1220" s="95" t="n">
        <v>31.09639821713171</v>
      </c>
      <c r="I1220" s="376" t="n">
        <v>42.91878730773926</v>
      </c>
      <c r="J1220" s="376" t="n">
        <v>52.97431196212769</v>
      </c>
      <c r="K1220" s="94" t="n">
        <v>0.3384330128439387</v>
      </c>
      <c r="L1220" s="94" t="n">
        <v>-0.09584451805538685</v>
      </c>
      <c r="M1220" s="94" t="n">
        <v>-0.4559701385633572</v>
      </c>
      <c r="N1220" t="n">
        <v>48.6195483339165</v>
      </c>
      <c r="O1220" t="n">
        <v>-0.02277324949079423</v>
      </c>
      <c r="P1220" s="143">
        <f>MAX($E$2:E1220)</f>
        <v/>
      </c>
      <c r="Q1220" s="144">
        <f>E1220/P1220-1</f>
        <v/>
      </c>
      <c r="R1220" s="94" t="n">
        <v>-0.001996562476127783</v>
      </c>
    </row>
    <row r="1221">
      <c r="A1221" s="375" t="n">
        <v>46240</v>
      </c>
      <c r="B1221" s="376" t="n">
        <v>42.07368142873643</v>
      </c>
      <c r="C1221" s="376" t="n">
        <v>42.19242076969489</v>
      </c>
      <c r="D1221" s="376" t="n">
        <v>41.41071224451921</v>
      </c>
      <c r="E1221" s="376" t="n">
        <v>41.55913925170898</v>
      </c>
      <c r="F1221" s="93" t="n">
        <v>18150300</v>
      </c>
      <c r="G1221" s="94" t="n">
        <v>-0.01060074618529527</v>
      </c>
      <c r="H1221" s="95" t="n">
        <v>30.76675319235503</v>
      </c>
      <c r="I1221" s="376" t="n">
        <v>42.8684920501709</v>
      </c>
      <c r="J1221" s="376" t="n">
        <v>52.85600971221924</v>
      </c>
      <c r="K1221" s="94" t="n">
        <v>0.3403426777701089</v>
      </c>
      <c r="L1221" s="94" t="n">
        <v>-0.1054292408315249</v>
      </c>
      <c r="M1221" s="94" t="n">
        <v>-0.4617372610416683</v>
      </c>
      <c r="N1221" t="n">
        <v>46.54576864732308</v>
      </c>
      <c r="O1221" t="n">
        <v>-0.02477359153582842</v>
      </c>
      <c r="P1221" s="143">
        <f>MAX($E$2:E1221)</f>
        <v/>
      </c>
      <c r="Q1221" s="144">
        <f>E1221/P1221-1</f>
        <v/>
      </c>
      <c r="R1221" s="94" t="n">
        <v>-0.001597806469725183</v>
      </c>
    </row>
    <row r="1222">
      <c r="A1222" s="375" t="n">
        <v>46241</v>
      </c>
      <c r="B1222" s="376" t="n">
        <v>41.57893172849006</v>
      </c>
      <c r="C1222" s="376" t="n">
        <v>41.9252563953635</v>
      </c>
      <c r="D1222" s="376" t="n">
        <v>41.17323550101442</v>
      </c>
      <c r="E1222" s="376" t="n">
        <v>41.26229095458984</v>
      </c>
      <c r="F1222" s="93" t="n">
        <v>22042300</v>
      </c>
      <c r="G1222" s="94" t="n">
        <v>-0.00714279223448866</v>
      </c>
      <c r="H1222" s="95" t="n">
        <v>30.54699266657225</v>
      </c>
      <c r="I1222" s="376" t="n">
        <v>42.79186065673828</v>
      </c>
      <c r="J1222" s="376" t="n">
        <v>52.73501316070556</v>
      </c>
      <c r="K1222" s="94" t="n">
        <v>0.3099359967546084</v>
      </c>
      <c r="L1222" s="94" t="n">
        <v>-0.1118189739033142</v>
      </c>
      <c r="M1222" s="94" t="n">
        <v>-0.4655819599536145</v>
      </c>
      <c r="N1222" t="n">
        <v>45.16277508254878</v>
      </c>
      <c r="O1222" t="n">
        <v>-0.0410024967703197</v>
      </c>
      <c r="P1222" s="143">
        <f>MAX($E$2:E1222)</f>
        <v/>
      </c>
      <c r="Q1222" s="144">
        <f>E1222/P1222-1</f>
        <v/>
      </c>
      <c r="R1222" s="94" t="n">
        <v>0.006115328078506455</v>
      </c>
    </row>
    <row r="1223">
      <c r="A1223" s="375" t="n">
        <v>46244</v>
      </c>
      <c r="B1223" s="376" t="n">
        <v>41.30186884959684</v>
      </c>
      <c r="C1223" s="376" t="n">
        <v>41.78672334629496</v>
      </c>
      <c r="D1223" s="376" t="n">
        <v>40.70816461275638</v>
      </c>
      <c r="E1223" s="376" t="n">
        <v>41.66798400878906</v>
      </c>
      <c r="F1223" s="93" t="n">
        <v>21664600</v>
      </c>
      <c r="G1223" s="94" t="n">
        <v>0.009832053548497699</v>
      </c>
      <c r="H1223" s="95" t="n">
        <v>30.84733233421555</v>
      </c>
      <c r="I1223" s="376" t="n">
        <v>42.69607887268067</v>
      </c>
      <c r="J1223" s="376" t="n">
        <v>52.61246315002441</v>
      </c>
      <c r="K1223" s="94" t="n">
        <v>0.31030988078813</v>
      </c>
      <c r="L1223" s="94" t="n">
        <v>-0.1030863304939719</v>
      </c>
      <c r="M1223" s="94" t="n">
        <v>-0.4603275331665954</v>
      </c>
      <c r="N1223" t="n">
        <v>47.46037605540022</v>
      </c>
      <c r="O1223" t="n">
        <v>-0.02037084296896546</v>
      </c>
      <c r="P1223" s="143">
        <f>MAX($E$2:E1223)</f>
        <v/>
      </c>
      <c r="Q1223" s="144">
        <f>E1223/P1223-1</f>
        <v/>
      </c>
      <c r="R1223" s="94" t="n">
        <v>-0.0002974431285415191</v>
      </c>
    </row>
    <row r="1224">
      <c r="A1224" s="375" t="n">
        <v>46245</v>
      </c>
      <c r="B1224" s="376" t="n">
        <v>41.04459662287091</v>
      </c>
      <c r="C1224" s="376" t="n">
        <v>41.09407103317103</v>
      </c>
      <c r="D1224" s="376" t="n">
        <v>40.40142173965823</v>
      </c>
      <c r="E1224" s="376" t="n">
        <v>40.88627624511719</v>
      </c>
      <c r="F1224" s="93" t="n">
        <v>25538000</v>
      </c>
      <c r="G1224" s="94" t="n">
        <v>-0.01876039319557643</v>
      </c>
      <c r="H1224" s="95" t="n">
        <v>30.26862425059105</v>
      </c>
      <c r="I1224" s="376" t="n">
        <v>42.60702354431152</v>
      </c>
      <c r="J1224" s="376" t="n">
        <v>52.48251949310303</v>
      </c>
      <c r="K1224" s="94" t="n">
        <v>0.3089194998869763</v>
      </c>
      <c r="L1224" s="94" t="n">
        <v>-0.1199127835963922</v>
      </c>
      <c r="M1224" s="94" t="n">
        <v>-0.4704520008412166</v>
      </c>
      <c r="N1224" t="n">
        <v>43.66412089949299</v>
      </c>
      <c r="O1224" t="n">
        <v>-0.05344796719609229</v>
      </c>
      <c r="P1224" s="143">
        <f>MAX($E$2:E1224)</f>
        <v/>
      </c>
      <c r="Q1224" s="144">
        <f>E1224/P1224-1</f>
        <v/>
      </c>
      <c r="R1224" s="94" t="n">
        <v>-0.003195199981383512</v>
      </c>
    </row>
    <row r="1225">
      <c r="A1225" s="375" t="n">
        <v>46246</v>
      </c>
      <c r="B1225" s="376" t="n">
        <v>40.59932001138581</v>
      </c>
      <c r="C1225" s="376" t="n">
        <v>40.81701194967387</v>
      </c>
      <c r="D1225" s="376" t="n">
        <v>40.02541004861131</v>
      </c>
      <c r="E1225" s="376" t="n">
        <v>40.08477783203125</v>
      </c>
      <c r="F1225" s="93" t="n">
        <v>28760300</v>
      </c>
      <c r="G1225" s="94" t="n">
        <v>-0.0196031159277229</v>
      </c>
      <c r="H1225" s="95" t="n">
        <v>29.67526490043403</v>
      </c>
      <c r="I1225" s="376" t="n">
        <v>42.49976135253906</v>
      </c>
      <c r="J1225" s="376" t="n">
        <v>52.34566410064697</v>
      </c>
      <c r="K1225" s="94" t="n">
        <v>0.3154374761911549</v>
      </c>
      <c r="L1225" s="94" t="n">
        <v>-0.1371652353260591</v>
      </c>
      <c r="M1225" s="94" t="n">
        <v>-0.4808327916580201</v>
      </c>
      <c r="N1225" t="n">
        <v>40.12060325877876</v>
      </c>
      <c r="O1225" t="n">
        <v>-0.1195959297525689</v>
      </c>
      <c r="P1225" s="143">
        <f>MAX($E$2:E1225)</f>
        <v/>
      </c>
      <c r="Q1225" s="144">
        <f>E1225/P1225-1</f>
        <v/>
      </c>
      <c r="R1225" s="94" t="n">
        <v>0.002504608894863258</v>
      </c>
    </row>
    <row r="1226">
      <c r="A1226" s="375" t="n">
        <v>46247</v>
      </c>
      <c r="B1226" s="376" t="n">
        <v>40.31236761605823</v>
      </c>
      <c r="C1226" s="376" t="n">
        <v>41.03470459921401</v>
      </c>
      <c r="D1226" s="376" t="n">
        <v>40.05509463459385</v>
      </c>
      <c r="E1226" s="376" t="n">
        <v>40.79722213745117</v>
      </c>
      <c r="F1226" s="93" t="n">
        <v>23641700</v>
      </c>
      <c r="G1226" s="94" t="n">
        <v>0.01777343779739282</v>
      </c>
      <c r="H1226" s="95" t="n">
        <v>30.20269637526306</v>
      </c>
      <c r="I1226" s="376" t="n">
        <v>42.45028617858887</v>
      </c>
      <c r="J1226" s="376" t="n">
        <v>52.21512998580933</v>
      </c>
      <c r="K1226" s="94" t="n">
        <v>0.2796053343353548</v>
      </c>
      <c r="L1226" s="94" t="n">
        <v>-0.1218296953066985</v>
      </c>
      <c r="M1226" s="94" t="n">
        <v>-0.4716054055741078</v>
      </c>
      <c r="N1226" t="n">
        <v>44.43706589337141</v>
      </c>
      <c r="O1226" t="n">
        <v>-0.1061155968192667</v>
      </c>
      <c r="P1226" s="143">
        <f>MAX($E$2:E1226)</f>
        <v/>
      </c>
      <c r="Q1226" s="144">
        <f>E1226/P1226-1</f>
        <v/>
      </c>
      <c r="R1226" s="94" t="n">
        <v>0.006977515074108265</v>
      </c>
    </row>
    <row r="1227">
      <c r="A1227" s="375" t="n">
        <v>46248</v>
      </c>
      <c r="B1227" s="376" t="n">
        <v>40.7972228379553</v>
      </c>
      <c r="C1227" s="376" t="n">
        <v>40.89617543816207</v>
      </c>
      <c r="D1227" s="376" t="n">
        <v>40.28268064084732</v>
      </c>
      <c r="E1227" s="376" t="n">
        <v>40.30247116088867</v>
      </c>
      <c r="F1227" s="93" t="n">
        <v>23639800</v>
      </c>
      <c r="G1227" s="94" t="n">
        <v>-0.0121270750958391</v>
      </c>
      <c r="H1227" s="95" t="n">
        <v>29.83642600822341</v>
      </c>
      <c r="I1227" s="376" t="n">
        <v>42.3893327331543</v>
      </c>
      <c r="J1227" s="376" t="n">
        <v>52.08463912963867</v>
      </c>
      <c r="K1227" s="94" t="n">
        <v>0.2762692427698869</v>
      </c>
      <c r="L1227" s="94" t="n">
        <v>-0.1324793325386503</v>
      </c>
      <c r="M1227" s="94" t="n">
        <v>-0.478013286500946</v>
      </c>
      <c r="N1227" t="n">
        <v>42.1639961635559</v>
      </c>
      <c r="O1227" t="n">
        <v>-0.1202309760146604</v>
      </c>
      <c r="P1227" s="143">
        <f>MAX($E$2:E1227)</f>
        <v/>
      </c>
      <c r="Q1227" s="144">
        <f>E1227/P1227-1</f>
        <v/>
      </c>
      <c r="R1227" s="94" t="n">
        <v>-0.001979750679941938</v>
      </c>
    </row>
    <row r="1228">
      <c r="A1228" s="375" t="n">
        <v>46251</v>
      </c>
      <c r="B1228" s="376" t="n">
        <v>39.9264561675405</v>
      </c>
      <c r="C1228" s="376" t="n">
        <v>40.17383198958141</v>
      </c>
      <c r="D1228" s="376" t="n">
        <v>38.45209838198375</v>
      </c>
      <c r="E1228" s="376" t="n">
        <v>38.67968368530273</v>
      </c>
      <c r="F1228" s="93" t="n">
        <v>58659900</v>
      </c>
      <c r="G1228" s="94" t="n">
        <v>-0.04026521026732388</v>
      </c>
      <c r="H1228" s="95" t="n">
        <v>28.63505604137685</v>
      </c>
      <c r="I1228" s="376" t="n">
        <v>42.29968376159668</v>
      </c>
      <c r="J1228" s="376" t="n">
        <v>51.95164918899536</v>
      </c>
      <c r="K1228" s="94" t="n">
        <v>0.3056600253521591</v>
      </c>
      <c r="L1228" s="94" t="n">
        <v>-0.1674102346252306</v>
      </c>
      <c r="M1228" s="94" t="n">
        <v>-0.4990311912767347</v>
      </c>
      <c r="N1228" t="n">
        <v>35.71140699353029</v>
      </c>
      <c r="O1228" t="n">
        <v>-0.2226174848067159</v>
      </c>
      <c r="P1228" s="143">
        <f>MAX($E$2:E1228)</f>
        <v/>
      </c>
      <c r="Q1228" s="144">
        <f>E1228/P1228-1</f>
        <v/>
      </c>
      <c r="R1228" s="94" t="n">
        <v>-0.004727362317670902</v>
      </c>
    </row>
    <row r="1229">
      <c r="A1229" s="375" t="n">
        <v>46252</v>
      </c>
      <c r="B1229" s="376" t="n">
        <v>39.23380727778712</v>
      </c>
      <c r="C1229" s="376" t="n">
        <v>40.21341342905558</v>
      </c>
      <c r="D1229" s="376" t="n">
        <v>38.81821392978268</v>
      </c>
      <c r="E1229" s="376" t="n">
        <v>39.63950347900391</v>
      </c>
      <c r="F1229" s="93" t="n">
        <v>39173300</v>
      </c>
      <c r="G1229" s="94" t="n">
        <v>0.02481457194712999</v>
      </c>
      <c r="H1229" s="95" t="n">
        <v>29.34562269972569</v>
      </c>
      <c r="I1229" s="376" t="n">
        <v>42.24189682006836</v>
      </c>
      <c r="J1229" s="376" t="n">
        <v>51.83352638244629</v>
      </c>
      <c r="K1229" s="94" t="n">
        <v>0.3222523161839617</v>
      </c>
      <c r="L1229" s="94" t="n">
        <v>-0.1467498759898944</v>
      </c>
      <c r="M1229" s="94" t="n">
        <v>-0.4865998647294033</v>
      </c>
      <c r="N1229" t="n">
        <v>41.42150062602638</v>
      </c>
      <c r="O1229" t="n">
        <v>-0.2096400047942641</v>
      </c>
      <c r="P1229" s="143">
        <f>MAX($E$2:E1229)</f>
        <v/>
      </c>
      <c r="Q1229" s="144">
        <f>E1229/P1229-1</f>
        <v/>
      </c>
      <c r="R1229" s="94" t="n">
        <v>-0.00675574496080833</v>
      </c>
    </row>
    <row r="1230">
      <c r="A1230" s="375" t="n">
        <v>46253</v>
      </c>
      <c r="B1230" s="376" t="n">
        <v>40.10456793342975</v>
      </c>
      <c r="C1230" s="376" t="n">
        <v>40.87638308174572</v>
      </c>
      <c r="D1230" s="376" t="n">
        <v>39.94624755486721</v>
      </c>
      <c r="E1230" s="376" t="n">
        <v>40.61911010742188</v>
      </c>
      <c r="F1230" s="93" t="n">
        <v>22055700</v>
      </c>
      <c r="G1230" s="94" t="n">
        <v>0.0247128884683645</v>
      </c>
      <c r="H1230" s="95" t="n">
        <v>30.07083780053871</v>
      </c>
      <c r="I1230" s="376" t="n">
        <v>42.19875442504883</v>
      </c>
      <c r="J1230" s="376" t="n">
        <v>51.72247980117798</v>
      </c>
      <c r="K1230" s="94" t="n">
        <v>0.3322761484025162</v>
      </c>
      <c r="L1230" s="94" t="n">
        <v>-0.1256636008396145</v>
      </c>
      <c r="M1230" s="94" t="n">
        <v>-0.4739122644468178</v>
      </c>
      <c r="N1230" t="n">
        <v>46.63153640238836</v>
      </c>
      <c r="O1230" t="n">
        <v>-0.1232943509748091</v>
      </c>
      <c r="P1230" s="143">
        <f>MAX($E$2:E1230)</f>
        <v/>
      </c>
      <c r="Q1230" s="144">
        <f>E1230/P1230-1</f>
        <v/>
      </c>
      <c r="R1230" s="94" t="n">
        <v>0.002097784737085329</v>
      </c>
    </row>
    <row r="1231">
      <c r="A1231" s="375" t="n">
        <v>46254</v>
      </c>
      <c r="B1231" s="376" t="n">
        <v>40.0649930448124</v>
      </c>
      <c r="C1231" s="376" t="n">
        <v>40.21341628526947</v>
      </c>
      <c r="D1231" s="376" t="n">
        <v>39.3921304523708</v>
      </c>
      <c r="E1231" s="376" t="n">
        <v>39.78792953491211</v>
      </c>
      <c r="F1231" s="93" t="n">
        <v>16662100</v>
      </c>
      <c r="G1231" s="94" t="n">
        <v>-0.02046279621369385</v>
      </c>
      <c r="H1231" s="95" t="n">
        <v>29.45550437465125</v>
      </c>
      <c r="I1231" s="376" t="n">
        <v>42.11088653564453</v>
      </c>
      <c r="J1231" s="376" t="n">
        <v>51.60877784729004</v>
      </c>
      <c r="K1231" s="94" t="n">
        <v>0.3241896383805849</v>
      </c>
      <c r="L1231" s="94" t="n">
        <v>-0.1435549683978483</v>
      </c>
      <c r="M1231" s="94" t="n">
        <v>-0.4846774905699662</v>
      </c>
      <c r="N1231" t="n">
        <v>43.12663064440817</v>
      </c>
      <c r="O1231" t="n">
        <v>-0.1107685251118876</v>
      </c>
      <c r="P1231" s="143">
        <f>MAX($E$2:E1231)</f>
        <v/>
      </c>
      <c r="Q1231" s="144">
        <f>E1231/P1231-1</f>
        <v/>
      </c>
      <c r="R1231" s="94" t="n">
        <v>-0.008399827926766523</v>
      </c>
    </row>
    <row r="1232">
      <c r="A1232" s="375" t="n">
        <v>46255</v>
      </c>
      <c r="B1232" s="376" t="n">
        <v>39.83740166450827</v>
      </c>
      <c r="C1232" s="376" t="n">
        <v>40.69827226335965</v>
      </c>
      <c r="D1232" s="376" t="n">
        <v>39.81761491997301</v>
      </c>
      <c r="E1232" s="376" t="n">
        <v>40.3321533203125</v>
      </c>
      <c r="F1232" s="93" t="n">
        <v>14707800</v>
      </c>
      <c r="G1232" s="94" t="n">
        <v>0.01367811272820463</v>
      </c>
      <c r="H1232" s="95" t="n">
        <v>29.85840008395385</v>
      </c>
      <c r="I1232" s="376" t="n">
        <v>42.04755828857422</v>
      </c>
      <c r="J1232" s="376" t="n">
        <v>51.50718738555909</v>
      </c>
      <c r="K1232" s="94" t="n">
        <v>0.3217431020662954</v>
      </c>
      <c r="L1232" s="94" t="n">
        <v>-0.1318404167100834</v>
      </c>
      <c r="M1232" s="94" t="n">
        <v>-0.477628851194601</v>
      </c>
      <c r="N1232" t="n">
        <v>45.98912507956145</v>
      </c>
      <c r="O1232" t="n">
        <v>-0.05714060497271667</v>
      </c>
      <c r="P1232" s="143">
        <f>MAX($E$2:E1232)</f>
        <v/>
      </c>
      <c r="Q1232" s="144">
        <f>E1232/P1232-1</f>
        <v/>
      </c>
      <c r="R1232" s="94" t="n">
        <v>0.004091229991858514</v>
      </c>
    </row>
    <row r="1233">
      <c r="A1233" s="375" t="n">
        <v>46258</v>
      </c>
      <c r="B1233" s="376" t="n">
        <v>40.56963764962974</v>
      </c>
      <c r="C1233" s="376" t="n">
        <v>40.90606894210071</v>
      </c>
      <c r="D1233" s="376" t="n">
        <v>40.25299687726363</v>
      </c>
      <c r="E1233" s="376" t="n">
        <v>40.32226181030273</v>
      </c>
      <c r="F1233" s="93" t="n">
        <v>18839100</v>
      </c>
      <c r="G1233" s="94" t="n">
        <v>-0.0002452512250266103</v>
      </c>
      <c r="H1233" s="95" t="n">
        <v>29.85107727475593</v>
      </c>
      <c r="I1233" s="376" t="n">
        <v>41.94445205688476</v>
      </c>
      <c r="J1233" s="376" t="n">
        <v>51.41242084503174</v>
      </c>
      <c r="K1233" s="94" t="n">
        <v>0.318896917627306</v>
      </c>
      <c r="L1233" s="94" t="n">
        <v>-0.1133594253088469</v>
      </c>
      <c r="M1233" s="94" t="n">
        <v>-0.4777569633587639</v>
      </c>
      <c r="N1233" t="n">
        <v>45.94386316064679</v>
      </c>
      <c r="O1233" t="n">
        <v>-0.01579406125233673</v>
      </c>
      <c r="P1233" s="143">
        <f>MAX($E$2:E1233)</f>
        <v/>
      </c>
      <c r="Q1233" s="144">
        <f>E1233/P1233-1</f>
        <v/>
      </c>
      <c r="R1233" s="94" t="n">
        <v>-0.002938436115603738</v>
      </c>
    </row>
    <row r="1234">
      <c r="A1234" s="375" t="n">
        <v>46259</v>
      </c>
      <c r="B1234" s="376" t="n">
        <v>39.1051709427772</v>
      </c>
      <c r="C1234" s="376" t="n">
        <v>39.45149558856874</v>
      </c>
      <c r="D1234" s="376" t="n">
        <v>38.6203126640135</v>
      </c>
      <c r="E1234" s="376" t="n">
        <v>39.06558990478516</v>
      </c>
      <c r="F1234" s="93" t="n">
        <v>41525000</v>
      </c>
      <c r="G1234" s="94" t="n">
        <v>-0.03116570968735899</v>
      </c>
      <c r="H1234" s="95" t="n">
        <v>28.92074726655596</v>
      </c>
      <c r="I1234" s="376" t="n">
        <v>41.83659614562988</v>
      </c>
      <c r="J1234" s="376" t="n">
        <v>51.30711137771606</v>
      </c>
      <c r="K1234" s="94" t="n">
        <v>0.3232192647235681</v>
      </c>
      <c r="L1234" s="94" t="n">
        <v>-0.1409922080567045</v>
      </c>
      <c r="M1234" s="94" t="n">
        <v>-0.4940330382249696</v>
      </c>
      <c r="N1234" t="n">
        <v>40.49149004148965</v>
      </c>
      <c r="O1234" t="n">
        <v>-0.06384331475977134</v>
      </c>
      <c r="P1234" s="143">
        <f>MAX($E$2:E1234)</f>
        <v/>
      </c>
      <c r="Q1234" s="144">
        <f>E1234/P1234-1</f>
        <v/>
      </c>
      <c r="R1234" s="94" t="n">
        <v>0.003195939766817757</v>
      </c>
    </row>
    <row r="1235">
      <c r="A1235" s="375" t="n">
        <v>46260</v>
      </c>
      <c r="B1235" s="376" t="n">
        <v>38.98643174503994</v>
      </c>
      <c r="C1235" s="376" t="n">
        <v>39.06559004665596</v>
      </c>
      <c r="D1235" s="376" t="n">
        <v>38.00682181178475</v>
      </c>
      <c r="E1235" s="376" t="n">
        <v>38.18493270874023</v>
      </c>
      <c r="F1235" s="93" t="n">
        <v>38604300</v>
      </c>
      <c r="G1235" s="94" t="n">
        <v>-0.02254304102898108</v>
      </c>
      <c r="H1235" s="95" t="n">
        <v>28.2687856743372</v>
      </c>
      <c r="I1235" s="376" t="n">
        <v>41.7057837677002</v>
      </c>
      <c r="J1235" s="376" t="n">
        <v>51.19846351623535</v>
      </c>
      <c r="K1235" s="94" t="n">
        <v>0.3280889818834802</v>
      </c>
      <c r="L1235" s="94" t="n">
        <v>-0.1603568559546967</v>
      </c>
      <c r="M1235" s="94" t="n">
        <v>-0.5013338680904533</v>
      </c>
      <c r="N1235" t="n">
        <v>37.16306170833319</v>
      </c>
      <c r="O1235" t="n">
        <v>-0.1412634086705842</v>
      </c>
      <c r="P1235" s="143">
        <f>MAX($E$2:E1235)</f>
        <v/>
      </c>
      <c r="Q1235" s="144">
        <f>E1235/P1235-1</f>
        <v/>
      </c>
      <c r="R1235" s="94" t="n">
        <v>0.0002220076795962367</v>
      </c>
    </row>
    <row r="1236">
      <c r="A1236" s="375" t="n">
        <v>46261</v>
      </c>
      <c r="B1236" s="376" t="n">
        <v>38.09587821151822</v>
      </c>
      <c r="C1236" s="376" t="n">
        <v>38.39272845563789</v>
      </c>
      <c r="D1236" s="376" t="n">
        <v>37.76934030072764</v>
      </c>
      <c r="E1236" s="376" t="n">
        <v>38.03650665283203</v>
      </c>
      <c r="F1236" s="93" t="n">
        <v>36573800</v>
      </c>
      <c r="G1236" s="94" t="n">
        <v>-0.003887032014442404</v>
      </c>
      <c r="H1236" s="95" t="n">
        <v>28.15890399941164</v>
      </c>
      <c r="I1236" s="376" t="n">
        <v>41.57516929626465</v>
      </c>
      <c r="J1236" s="376" t="n">
        <v>51.09294584274292</v>
      </c>
      <c r="K1236" s="94" t="n">
        <v>0.3225562854003515</v>
      </c>
      <c r="L1236" s="94" t="n">
        <v>-0.1636205757363079</v>
      </c>
      <c r="M1236" s="94" t="n">
        <v>-0.5032721993097039</v>
      </c>
      <c r="N1236" t="n">
        <v>36.61674667738078</v>
      </c>
      <c r="O1236" t="n">
        <v>-0.18598283846397</v>
      </c>
      <c r="P1236" s="143">
        <f>MAX($E$2:E1236)</f>
        <v/>
      </c>
      <c r="Q1236" s="144">
        <f>E1236/P1236-1</f>
        <v/>
      </c>
      <c r="R1236" s="94" t="n">
        <v>0.006552844629756693</v>
      </c>
    </row>
    <row r="1237">
      <c r="A1237" s="375" t="n">
        <v>46262</v>
      </c>
      <c r="B1237" s="376" t="n">
        <v>38.30367263516801</v>
      </c>
      <c r="C1237" s="376" t="n">
        <v>39.34265036688477</v>
      </c>
      <c r="D1237" s="376" t="n">
        <v>38.15524940186882</v>
      </c>
      <c r="E1237" s="376" t="n">
        <v>39.18432998657227</v>
      </c>
      <c r="F1237" s="93" t="n">
        <v>28437400</v>
      </c>
      <c r="G1237" s="94" t="n">
        <v>0.03017688622713655</v>
      </c>
      <c r="H1237" s="95" t="n">
        <v>29.00865204168274</v>
      </c>
      <c r="I1237" s="376" t="n">
        <v>41.48433288574219</v>
      </c>
      <c r="J1237" s="376" t="n">
        <v>50.99457099914551</v>
      </c>
      <c r="K1237" s="94" t="n">
        <v>0.343019814500575</v>
      </c>
      <c r="L1237" s="94" t="n">
        <v>-0.1383812490075846</v>
      </c>
      <c r="M1237" s="94" t="n">
        <v>-0.4858250132799826</v>
      </c>
      <c r="N1237" t="n">
        <v>43.53023493168629</v>
      </c>
      <c r="O1237" t="n">
        <v>-0.1247143588188226</v>
      </c>
      <c r="P1237" s="143">
        <f>MAX($E$2:E1237)</f>
        <v/>
      </c>
      <c r="Q1237" s="144">
        <f>E1237/P1237-1</f>
        <v/>
      </c>
      <c r="R1237" s="94" t="n">
        <v>-0.002269486910755458</v>
      </c>
    </row>
    <row r="1238">
      <c r="A1238" s="375" t="n">
        <v>46265</v>
      </c>
      <c r="B1238" s="376" t="n">
        <v>38.99632618238763</v>
      </c>
      <c r="C1238" s="376" t="n">
        <v>39.46139395654706</v>
      </c>
      <c r="D1238" s="376" t="n">
        <v>38.6203138591384</v>
      </c>
      <c r="E1238" s="376" t="n">
        <v>38.65000152587891</v>
      </c>
      <c r="F1238" s="93" t="n">
        <v>23905300</v>
      </c>
      <c r="G1238" s="94" t="n">
        <v>-0.01363627911658727</v>
      </c>
      <c r="H1238" s="95" t="n">
        <v>28.6130819656464</v>
      </c>
      <c r="I1238" s="376" t="n">
        <v>41.36282188415527</v>
      </c>
      <c r="J1238" s="376" t="n">
        <v>50.88214956283569</v>
      </c>
      <c r="K1238" s="94" t="n">
        <v>0.3322949462300506</v>
      </c>
      <c r="L1238" s="94" t="n">
        <v>-0.1501305227882025</v>
      </c>
      <c r="M1238" s="94" t="n">
        <v>-0.4928364469136643</v>
      </c>
      <c r="N1238" t="n">
        <v>41.27334533193979</v>
      </c>
      <c r="O1238" t="n">
        <v>-0.1072932542655521</v>
      </c>
      <c r="P1238" s="143">
        <f>MAX($E$2:E1238)</f>
        <v/>
      </c>
      <c r="Q1238" s="144">
        <f>E1238/P1238-1</f>
        <v/>
      </c>
      <c r="R1238" s="94" t="n">
        <v>-0.002989548034258882</v>
      </c>
    </row>
    <row r="1239">
      <c r="A1239" s="375" t="n">
        <v>46266</v>
      </c>
      <c r="B1239" s="376" t="n">
        <v>38.36000061035156</v>
      </c>
      <c r="C1239" s="376" t="n">
        <v>38.56999969482422</v>
      </c>
      <c r="D1239" s="376" t="n">
        <v>37.97000122070312</v>
      </c>
      <c r="E1239" s="376" t="n">
        <v>38.11999893188477</v>
      </c>
      <c r="F1239" s="93" t="n">
        <v>22241100</v>
      </c>
      <c r="G1239" s="94" t="n">
        <v>-0.01371287381811015</v>
      </c>
      <c r="H1239" s="95" t="n">
        <v>28.22071438310424</v>
      </c>
      <c r="I1239" s="376" t="n">
        <v>41.27048889160156</v>
      </c>
      <c r="J1239" s="376" t="n">
        <v>50.76199573516845</v>
      </c>
      <c r="K1239" s="94" t="n">
        <v>0.3243253536673046</v>
      </c>
      <c r="L1239" s="94" t="n">
        <v>-0.1617846756910711</v>
      </c>
      <c r="M1239" s="94" t="n">
        <v>-0.4884125359041467</v>
      </c>
      <c r="N1239" t="n">
        <v>39.1074702771929</v>
      </c>
      <c r="O1239" t="n">
        <v>-0.1177474683063586</v>
      </c>
      <c r="P1239" s="143">
        <f>MAX($E$2:E1239)</f>
        <v/>
      </c>
      <c r="Q1239" s="144">
        <f>E1239/P1239-1</f>
        <v/>
      </c>
      <c r="R1239" s="94" t="n">
        <v>-0.006870413937474118</v>
      </c>
    </row>
    <row r="1240">
      <c r="A1240" s="375" t="n">
        <v>46267</v>
      </c>
      <c r="B1240" s="376" t="n">
        <v>38.06000137329102</v>
      </c>
      <c r="C1240" s="376" t="n">
        <v>38.72999954223633</v>
      </c>
      <c r="D1240" s="376" t="n">
        <v>38.0099983215332</v>
      </c>
      <c r="E1240" s="376" t="n">
        <v>38.2400016784668</v>
      </c>
      <c r="F1240" s="93" t="n">
        <v>20727200</v>
      </c>
      <c r="G1240" s="94" t="n">
        <v>0.003148025969162749</v>
      </c>
      <c r="H1240" s="95" t="n">
        <v>28.30955392485058</v>
      </c>
      <c r="I1240" s="376" t="n">
        <v>41.19658592224121</v>
      </c>
      <c r="J1240" s="376" t="n">
        <v>50.63358394622803</v>
      </c>
      <c r="K1240" s="94" t="n">
        <v>0.3110949892171068</v>
      </c>
      <c r="L1240" s="94" t="n">
        <v>-0.1591459520823963</v>
      </c>
      <c r="M1240" s="94" t="n">
        <v>-0.4868020452816747</v>
      </c>
      <c r="N1240" t="n">
        <v>39.87678457052186</v>
      </c>
      <c r="O1240" t="n">
        <v>-0.1033751722297637</v>
      </c>
      <c r="P1240" s="143">
        <f>MAX($E$2:E1240)</f>
        <v/>
      </c>
      <c r="Q1240" s="144">
        <f>E1240/P1240-1</f>
        <v/>
      </c>
      <c r="R1240" s="94" t="n">
        <v>0.004436916429827686</v>
      </c>
    </row>
    <row r="1241">
      <c r="A1241" s="375" t="n">
        <v>46268</v>
      </c>
      <c r="B1241" s="376" t="n">
        <v>38.52000045776367</v>
      </c>
      <c r="C1241" s="376" t="n">
        <v>38.93000030517578</v>
      </c>
      <c r="D1241" s="376" t="n">
        <v>37.95000076293945</v>
      </c>
      <c r="E1241" s="376" t="n">
        <v>38.77000045776367</v>
      </c>
      <c r="F1241" s="93" t="n">
        <v>29597500</v>
      </c>
      <c r="G1241" s="94" t="n">
        <v>0.01385980010548282</v>
      </c>
      <c r="H1241" s="95" t="n">
        <v>28.7019186833244</v>
      </c>
      <c r="I1241" s="376" t="n">
        <v>41.14436538696289</v>
      </c>
      <c r="J1241" s="376" t="n">
        <v>50.5168253326416</v>
      </c>
      <c r="K1241" s="94" t="n">
        <v>0.316798003885463</v>
      </c>
      <c r="L1241" s="94" t="n">
        <v>-0.1474918830603723</v>
      </c>
      <c r="M1241" s="94" t="n">
        <v>-0.4796892242147361</v>
      </c>
      <c r="N1241" t="n">
        <v>43.28484490905112</v>
      </c>
      <c r="O1241" t="n">
        <v>-0.04779491817990544</v>
      </c>
      <c r="P1241" s="143">
        <f>MAX($E$2:E1241)</f>
        <v/>
      </c>
      <c r="Q1241" s="144">
        <f>E1241/P1241-1</f>
        <v/>
      </c>
      <c r="R1241" s="94" t="n">
        <v>0.01046841794153663</v>
      </c>
    </row>
    <row r="1242">
      <c r="A1242" s="375" t="n">
        <v>46269</v>
      </c>
      <c r="B1242" s="376" t="n">
        <v>38.22000122070312</v>
      </c>
      <c r="C1242" s="376" t="n">
        <v>38.65999984741211</v>
      </c>
      <c r="D1242" s="376" t="n">
        <v>37.97999954223633</v>
      </c>
      <c r="E1242" s="376" t="n">
        <v>38.40000152587891</v>
      </c>
      <c r="F1242" s="93" t="n">
        <v>20631600</v>
      </c>
      <c r="G1242" s="94" t="n">
        <v>-0.009543433776531551</v>
      </c>
      <c r="H1242" s="95" t="n">
        <v>28.4280038231107</v>
      </c>
      <c r="I1242" s="376" t="n">
        <v>41.10295166015625</v>
      </c>
      <c r="J1242" s="376" t="n">
        <v>50.40436401367187</v>
      </c>
      <c r="K1242" s="94" t="n">
        <v>0.3173006683175915</v>
      </c>
      <c r="L1242" s="94" t="n">
        <v>-0.1556277378183412</v>
      </c>
      <c r="M1242" s="94" t="n">
        <v>-0.4846547756466586</v>
      </c>
      <c r="N1242" t="n">
        <v>41.515604981889</v>
      </c>
      <c r="O1242" t="n">
        <v>-0.02662674024493461</v>
      </c>
      <c r="P1242" s="143">
        <f>MAX($E$2:E1242)</f>
        <v/>
      </c>
      <c r="Q1242" s="144">
        <f>E1242/P1242-1</f>
        <v/>
      </c>
      <c r="R1242" s="94" t="n">
        <v>-0.003854232260089407</v>
      </c>
    </row>
    <row r="1243">
      <c r="A1243" s="375" t="n">
        <v>46273</v>
      </c>
      <c r="B1243" s="376" t="n">
        <v>38.52000045776367</v>
      </c>
      <c r="C1243" s="376" t="n">
        <v>38.7400016784668</v>
      </c>
      <c r="D1243" s="376" t="n">
        <v>37.90000152587891</v>
      </c>
      <c r="E1243" s="376" t="n">
        <v>38.09999847412109</v>
      </c>
      <c r="F1243" s="93" t="n">
        <v>31672300</v>
      </c>
      <c r="G1243" s="94" t="n">
        <v>-0.007812579162415734</v>
      </c>
      <c r="H1243" s="95" t="n">
        <v>28.2059077928132</v>
      </c>
      <c r="I1243" s="376" t="n">
        <v>41.05850639343262</v>
      </c>
      <c r="J1243" s="376" t="n">
        <v>50.29238723754883</v>
      </c>
      <c r="K1243" s="94" t="n">
        <v>0.3137041695093817</v>
      </c>
      <c r="L1243" s="94" t="n">
        <v>-0.1481379858561551</v>
      </c>
      <c r="M1243" s="94" t="n">
        <v>-0.488680951007892</v>
      </c>
      <c r="N1243" t="n">
        <v>40.08492714266873</v>
      </c>
      <c r="O1243" t="n">
        <v>-0.02360939453856647</v>
      </c>
      <c r="P1243" s="143">
        <f>MAX($E$2:E1243)</f>
        <v/>
      </c>
      <c r="Q1243" s="144">
        <f>E1243/P1243-1</f>
        <v/>
      </c>
      <c r="R1243" s="94" t="n">
        <v>-0.005492178930014524</v>
      </c>
    </row>
    <row r="1244">
      <c r="A1244" s="375" t="n">
        <v>46274</v>
      </c>
      <c r="B1244" s="376" t="n">
        <v>37.79000091552734</v>
      </c>
      <c r="C1244" s="376" t="n">
        <v>37.84999847412109</v>
      </c>
      <c r="D1244" s="376" t="n">
        <v>36.84999847412109</v>
      </c>
      <c r="E1244" s="376" t="n">
        <v>37.34999847412109</v>
      </c>
      <c r="F1244" s="93" t="n">
        <v>41088800</v>
      </c>
      <c r="G1244" s="94" t="n">
        <v>-0.01968504015845107</v>
      </c>
      <c r="H1244" s="95" t="n">
        <v>27.6506733652061</v>
      </c>
      <c r="I1244" s="376" t="n">
        <v>40.98461441040039</v>
      </c>
      <c r="J1244" s="376" t="n">
        <v>50.17593439102173</v>
      </c>
      <c r="K1244" s="94" t="n">
        <v>0.3142868829935505</v>
      </c>
      <c r="L1244" s="94" t="n">
        <v>-0.1649069238140356</v>
      </c>
      <c r="M1244" s="94" t="n">
        <v>-0.4987462870210826</v>
      </c>
      <c r="N1244" t="n">
        <v>36.68163351310157</v>
      </c>
      <c r="O1244" t="n">
        <v>-0.06079075645694076</v>
      </c>
      <c r="P1244" s="143">
        <f>MAX($E$2:E1244)</f>
        <v/>
      </c>
      <c r="Q1244" s="144">
        <f>E1244/P1244-1</f>
        <v/>
      </c>
      <c r="R1244" s="94" t="n">
        <v>-0.004647717444469568</v>
      </c>
    </row>
    <row r="1245">
      <c r="A1245" s="375" t="n">
        <v>46275</v>
      </c>
      <c r="B1245" s="376" t="n">
        <v>36.95999908447266</v>
      </c>
      <c r="C1245" s="376" t="n">
        <v>37.15999984741211</v>
      </c>
      <c r="D1245" s="376" t="n">
        <v>36.54999923706055</v>
      </c>
      <c r="E1245" s="376" t="n">
        <v>36.61999893188477</v>
      </c>
      <c r="F1245" s="93" t="n">
        <v>29961000</v>
      </c>
      <c r="G1245" s="94" t="n">
        <v>-0.01954483459328993</v>
      </c>
      <c r="H1245" s="95" t="n">
        <v>27.11024552789006</v>
      </c>
      <c r="I1245" s="376" t="n">
        <v>40.90463218688965</v>
      </c>
      <c r="J1245" s="376" t="n">
        <v>50.06168846130371</v>
      </c>
      <c r="K1245" s="94" t="n">
        <v>0.3142493751905961</v>
      </c>
      <c r="L1245" s="94" t="n">
        <v>-0.1812286798580919</v>
      </c>
      <c r="M1245" s="94" t="n">
        <v>-0.508543207930528</v>
      </c>
      <c r="N1245" t="n">
        <v>33.68394008265606</v>
      </c>
      <c r="O1245" t="n">
        <v>-0.1198038441846294</v>
      </c>
      <c r="P1245" s="143">
        <f>MAX($E$2:E1245)</f>
        <v/>
      </c>
      <c r="Q1245" s="144">
        <f>E1245/P1245-1</f>
        <v/>
      </c>
      <c r="R1245" s="94" t="n">
        <v>-0.005994275703456675</v>
      </c>
    </row>
    <row r="1246">
      <c r="A1246" s="375" t="n">
        <v>46276</v>
      </c>
      <c r="B1246" s="376" t="n">
        <v>36.79999923706055</v>
      </c>
      <c r="C1246" s="376" t="n">
        <v>37.04999923706055</v>
      </c>
      <c r="D1246" s="376" t="n">
        <v>36.61999893188477</v>
      </c>
      <c r="E1246" s="376" t="n">
        <v>36.79999923706055</v>
      </c>
      <c r="F1246" s="93" t="n">
        <v>19974900</v>
      </c>
      <c r="G1246" s="94" t="n">
        <v>0.00491535528197562</v>
      </c>
      <c r="H1246" s="95" t="n">
        <v>27.24350201644123</v>
      </c>
      <c r="I1246" s="376" t="n">
        <v>40.78847190856933</v>
      </c>
      <c r="J1246" s="376" t="n">
        <v>49.94171117782593</v>
      </c>
      <c r="K1246" s="94" t="n">
        <v>0.305449022953145</v>
      </c>
      <c r="L1246" s="94" t="n">
        <v>-0.1772041279249021</v>
      </c>
      <c r="M1246" s="94" t="n">
        <v>-0.5061275231917666</v>
      </c>
      <c r="N1246" t="n">
        <v>35.09247918189226</v>
      </c>
      <c r="O1246" t="n">
        <v>-0.1310599495946111</v>
      </c>
      <c r="P1246" s="143">
        <f>MAX($E$2:E1246)</f>
        <v/>
      </c>
      <c r="Q1246" s="144">
        <f>E1246/P1246-1</f>
        <v/>
      </c>
      <c r="R1246" s="94" t="n">
        <v>0.008524301461116268</v>
      </c>
    </row>
    <row r="1247">
      <c r="A1247" s="375" t="n">
        <v>46279</v>
      </c>
      <c r="B1247" s="376" t="n">
        <v>36.7599983215332</v>
      </c>
      <c r="C1247" s="376" t="n">
        <v>37.40999984741211</v>
      </c>
      <c r="D1247" s="376" t="n">
        <v>36.58000183105469</v>
      </c>
      <c r="E1247" s="376" t="n">
        <v>37.04999923706055</v>
      </c>
      <c r="F1247" s="93" t="n">
        <v>30513500</v>
      </c>
      <c r="G1247" s="94" t="n">
        <v>0.006793478401712294</v>
      </c>
      <c r="H1247" s="95" t="n">
        <v>27.42858015897693</v>
      </c>
      <c r="I1247" s="376" t="n">
        <v>40.6569278717041</v>
      </c>
      <c r="J1247" s="376" t="n">
        <v>49.8271950340271</v>
      </c>
      <c r="K1247" s="94" t="n">
        <v>0.3069459140296516</v>
      </c>
      <c r="L1247" s="94" t="n">
        <v>-0.171614481938942</v>
      </c>
      <c r="M1247" s="94" t="n">
        <v>-0.5027724111873697</v>
      </c>
      <c r="N1247" t="n">
        <v>37.09102563423297</v>
      </c>
      <c r="O1247" t="n">
        <v>-0.1070269109214532</v>
      </c>
      <c r="P1247" s="143">
        <f>MAX($E$2:E1247)</f>
        <v/>
      </c>
      <c r="Q1247" s="144">
        <f>E1247/P1247-1</f>
        <v/>
      </c>
      <c r="R1247" s="94" t="n">
        <v>-0.004461653484890693</v>
      </c>
    </row>
    <row r="1248">
      <c r="A1248" s="375" t="n">
        <v>46280</v>
      </c>
      <c r="B1248" s="376" t="n">
        <v>36.84999847412109</v>
      </c>
      <c r="C1248" s="376" t="n">
        <v>36.88000106811523</v>
      </c>
      <c r="D1248" s="376" t="n">
        <v>36.16999816894531</v>
      </c>
      <c r="E1248" s="376" t="n">
        <v>36.22000122070312</v>
      </c>
      <c r="F1248" s="93" t="n">
        <v>29693100</v>
      </c>
      <c r="G1248" s="94" t="n">
        <v>-0.0224021061659615</v>
      </c>
      <c r="H1248" s="95" t="n">
        <v>26.81412219427394</v>
      </c>
      <c r="I1248" s="376" t="n">
        <v>40.52362640380859</v>
      </c>
      <c r="J1248" s="376" t="n">
        <v>49.70005821228028</v>
      </c>
      <c r="K1248" s="94" t="n">
        <v>0.2847137801166849</v>
      </c>
      <c r="L1248" s="94" t="n">
        <v>-0.1787250314999838</v>
      </c>
      <c r="M1248" s="94" t="n">
        <v>-0.5139113564205953</v>
      </c>
      <c r="N1248" t="n">
        <v>33.41268205126185</v>
      </c>
      <c r="O1248" t="n">
        <v>-0.1308141863536193</v>
      </c>
      <c r="P1248" s="143">
        <f>MAX($E$2:E1248)</f>
        <v/>
      </c>
      <c r="Q1248" s="144">
        <f>E1248/P1248-1</f>
        <v/>
      </c>
      <c r="R1248" s="94" t="n">
        <v>-0.004586752409134642</v>
      </c>
    </row>
    <row r="1249">
      <c r="A1249" s="375" t="n">
        <v>46281</v>
      </c>
      <c r="B1249" s="376" t="n">
        <v>36.38000106811523</v>
      </c>
      <c r="C1249" s="376" t="n">
        <v>36.5099983215332</v>
      </c>
      <c r="D1249" s="376" t="n">
        <v>35.7599983215332</v>
      </c>
      <c r="E1249" s="376" t="n">
        <v>35.77999877929688</v>
      </c>
      <c r="F1249" s="93" t="n">
        <v>30717000</v>
      </c>
      <c r="G1249" s="94" t="n">
        <v>-0.01214805153443088</v>
      </c>
      <c r="H1249" s="95" t="n">
        <v>26.48838285600738</v>
      </c>
      <c r="I1249" s="376" t="n">
        <v>40.38409759521485</v>
      </c>
      <c r="J1249" s="376" t="n">
        <v>49.56757509231567</v>
      </c>
      <c r="K1249" s="94" t="n">
        <v>0.2662333537947128</v>
      </c>
      <c r="L1249" s="94" t="n">
        <v>-0.18870192214126</v>
      </c>
      <c r="M1249" s="94" t="n">
        <v>-0.5198163863130993</v>
      </c>
      <c r="N1249" t="n">
        <v>31.62232378133527</v>
      </c>
      <c r="O1249" t="n">
        <v>-0.1581405814645005</v>
      </c>
      <c r="P1249" s="143">
        <f>MAX($E$2:E1249)</f>
        <v/>
      </c>
      <c r="Q1249" s="144">
        <f>E1249/P1249-1</f>
        <v/>
      </c>
      <c r="R1249" s="94" t="n">
        <v>-0.004409880484782303</v>
      </c>
    </row>
    <row r="1250">
      <c r="A1250" s="375" t="n">
        <v>46282</v>
      </c>
      <c r="B1250" s="376" t="n">
        <v>36.5</v>
      </c>
      <c r="C1250" s="376" t="n">
        <v>36.79999923706055</v>
      </c>
      <c r="D1250" s="376" t="n">
        <v>35.72000122070312</v>
      </c>
      <c r="E1250" s="376" t="n">
        <v>36.36000061035156</v>
      </c>
      <c r="F1250" s="93" t="n">
        <v>45453300</v>
      </c>
      <c r="G1250" s="94" t="n">
        <v>0.01621022500957414</v>
      </c>
      <c r="H1250" s="95" t="n">
        <v>26.917765502243</v>
      </c>
      <c r="I1250" s="376" t="n">
        <v>40.2625016784668</v>
      </c>
      <c r="J1250" s="376" t="n">
        <v>49.43653985977173</v>
      </c>
      <c r="K1250" s="94" t="n">
        <v>0.2551374798959583</v>
      </c>
      <c r="L1250" s="94" t="n">
        <v>-0.1755505977493349</v>
      </c>
      <c r="M1250" s="94" t="n">
        <v>-0.5120325018893244</v>
      </c>
      <c r="N1250" t="n">
        <v>36.45584034402152</v>
      </c>
      <c r="O1250" t="n">
        <v>-0.1207980093132217</v>
      </c>
      <c r="P1250" s="143">
        <f>MAX($E$2:E1250)</f>
        <v/>
      </c>
      <c r="Q1250" s="144">
        <f>E1250/P1250-1</f>
        <v/>
      </c>
      <c r="R1250" s="94" t="n">
        <v>0.01133875370595305</v>
      </c>
    </row>
    <row r="1251">
      <c r="A1251" s="375" t="n">
        <v>46283</v>
      </c>
      <c r="B1251" s="376" t="n">
        <v>36.27000045776367</v>
      </c>
      <c r="C1251" s="376" t="n">
        <v>36.68000030517578</v>
      </c>
      <c r="D1251" s="376" t="n">
        <v>35.5</v>
      </c>
      <c r="E1251" s="376" t="n">
        <v>35.5099983215332</v>
      </c>
      <c r="F1251" s="93" t="n">
        <v>52053600</v>
      </c>
      <c r="G1251" s="94" t="n">
        <v>-0.02337740029015201</v>
      </c>
      <c r="H1251" s="95" t="n">
        <v>26.28849812318062</v>
      </c>
      <c r="I1251" s="376" t="n">
        <v>40.12608261108399</v>
      </c>
      <c r="J1251" s="376" t="n">
        <v>49.29555522918701</v>
      </c>
      <c r="K1251" s="94" t="n">
        <v>0.2576173569687837</v>
      </c>
      <c r="L1251" s="94" t="n">
        <v>-0.1948240814447253</v>
      </c>
      <c r="M1251" s="94" t="n">
        <v>-0.5234399134212416</v>
      </c>
      <c r="N1251" t="n">
        <v>32.79688670202169</v>
      </c>
      <c r="O1251" t="n">
        <v>-0.1358639397477324</v>
      </c>
      <c r="P1251" s="143">
        <f>MAX($E$2:E1251)</f>
        <v/>
      </c>
      <c r="Q1251" s="144">
        <f>E1251/P1251-1</f>
        <v/>
      </c>
      <c r="R1251" s="94" t="n">
        <v>0.001286959052958503</v>
      </c>
    </row>
    <row r="1252">
      <c r="A1252" s="375" t="n">
        <v>46286</v>
      </c>
      <c r="B1252" s="376" t="n">
        <v>35.52000045776367</v>
      </c>
      <c r="C1252" s="376" t="n">
        <v>36.36000061035156</v>
      </c>
      <c r="D1252" s="376" t="n">
        <v>35.34999847412109</v>
      </c>
      <c r="E1252" s="376" t="n">
        <v>36.09999847412109</v>
      </c>
      <c r="F1252" s="93" t="n">
        <v>42128800</v>
      </c>
      <c r="G1252" s="94" t="n">
        <v>0.0166150430998504</v>
      </c>
      <c r="H1252" s="95" t="n">
        <v>26.7252826525276</v>
      </c>
      <c r="I1252" s="376" t="n">
        <v>39.96999732971192</v>
      </c>
      <c r="J1252" s="376" t="n">
        <v>49.15976137161255</v>
      </c>
      <c r="K1252" s="94" t="n">
        <v>0.2607164438630406</v>
      </c>
      <c r="L1252" s="94" t="n">
        <v>-0.1814460488549677</v>
      </c>
      <c r="M1252" s="94" t="n">
        <v>-0.5155218470430671</v>
      </c>
      <c r="N1252" t="n">
        <v>37.48693483300487</v>
      </c>
      <c r="O1252" t="n">
        <v>-0.09078147020954042</v>
      </c>
      <c r="P1252" s="143">
        <f>MAX($E$2:E1252)</f>
        <v/>
      </c>
      <c r="Q1252" s="144">
        <f>E1252/P1252-1</f>
        <v/>
      </c>
      <c r="R1252" s="94" t="n">
        <v>0.01550499221565182</v>
      </c>
    </row>
    <row r="1253">
      <c r="A1253" s="375" t="n">
        <v>46287</v>
      </c>
      <c r="B1253" s="376" t="n">
        <v>36.95000076293945</v>
      </c>
      <c r="C1253" s="376" t="n">
        <v>37.04000091552734</v>
      </c>
      <c r="D1253" s="376" t="n">
        <v>35.93999862670898</v>
      </c>
      <c r="E1253" s="376" t="n">
        <v>36.09999847412109</v>
      </c>
      <c r="F1253" s="93" t="n">
        <v>31524800</v>
      </c>
      <c r="G1253" s="94" t="n">
        <v>0</v>
      </c>
      <c r="H1253" s="95" t="n">
        <v>26.7252826525276</v>
      </c>
      <c r="I1253" s="376" t="n">
        <v>39.82598403930664</v>
      </c>
      <c r="J1253" s="376" t="n">
        <v>49.02046018600464</v>
      </c>
      <c r="K1253" s="94" t="n">
        <v>0.2607821923019463</v>
      </c>
      <c r="L1253" s="94" t="n">
        <v>-0.1814460488549677</v>
      </c>
      <c r="M1253" s="94" t="n">
        <v>-0.5155218470430671</v>
      </c>
      <c r="N1253" t="n">
        <v>37.48693483300487</v>
      </c>
      <c r="O1253" t="n">
        <v>-0.04780796844146229</v>
      </c>
      <c r="P1253" s="143">
        <f>MAX($E$2:E1253)</f>
        <v/>
      </c>
      <c r="Q1253" s="144">
        <f>E1253/P1253-1</f>
        <v/>
      </c>
      <c r="R1253" s="94" t="n">
        <v>-0.0001551326660471641</v>
      </c>
    </row>
    <row r="1254">
      <c r="A1254" s="375" t="n">
        <v>46288</v>
      </c>
      <c r="B1254" s="376" t="n">
        <v>36.41999816894531</v>
      </c>
      <c r="C1254" s="376" t="n">
        <v>36.61999893188477</v>
      </c>
      <c r="D1254" s="376" t="n">
        <v>35.61000061035156</v>
      </c>
      <c r="E1254" s="376" t="n">
        <v>36.04999923706055</v>
      </c>
      <c r="F1254" s="93" t="n">
        <v>40509200</v>
      </c>
      <c r="G1254" s="94" t="n">
        <v>-0.001385020475731857</v>
      </c>
      <c r="H1254" s="95" t="n">
        <v>26.68826758883413</v>
      </c>
      <c r="I1254" s="376" t="n">
        <v>39.69878173828125</v>
      </c>
      <c r="J1254" s="376" t="n">
        <v>48.8807141494751</v>
      </c>
      <c r="K1254" s="94" t="n">
        <v>0.2425235737272413</v>
      </c>
      <c r="L1254" s="94" t="n">
        <v>-0.1825797628377949</v>
      </c>
      <c r="M1254" s="94" t="n">
        <v>-0.5161928592049572</v>
      </c>
      <c r="N1254" t="n">
        <v>37.23155902772547</v>
      </c>
      <c r="O1254" t="n">
        <v>-0.01149093925845457</v>
      </c>
      <c r="P1254" s="143">
        <f>MAX($E$2:E1254)</f>
        <v/>
      </c>
      <c r="Q1254" s="144">
        <f>E1254/P1254-1</f>
        <v/>
      </c>
      <c r="R1254" s="94" t="n">
        <v>-0.007202161019229769</v>
      </c>
    </row>
  </sheetData>
  <autoFilter ref="A1:Q1"/>
  <conditionalFormatting sqref="G2:G1254">
    <cfRule type="colorScale" priority="1">
      <colorScale>
        <cfvo type="num" val="-0.05"/>
        <cfvo type="num" val="0"/>
        <cfvo type="num" val="0.05"/>
        <color rgb="FFFFAAAA"/>
        <color rgb="FFFFFFFF"/>
        <color rgb="FFAAFFAA"/>
      </colorScale>
    </cfRule>
  </conditionalFormatting>
  <conditionalFormatting sqref="N2:N1254">
    <cfRule type="cellIs" priority="2" operator="greaterThan" dxfId="3">
      <formula>70</formula>
    </cfRule>
    <cfRule type="cellIs" priority="3" operator="lessThan" dxfId="2">
      <formula>30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A6A6A6"/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8" customWidth="1" style="252" min="1" max="1"/>
    <col width="74" customWidth="1" style="252" min="2" max="2"/>
    <col width="20" customWidth="1" style="252" min="3" max="3"/>
    <col width="12" customWidth="1" style="252" min="4" max="4"/>
    <col width="11" customWidth="1" style="252" min="5" max="6"/>
    <col width="14" customWidth="1" style="252" min="7" max="7"/>
  </cols>
  <sheetData>
    <row r="1">
      <c r="A1" s="90" t="inlineStr">
        <is>
          <t>Date</t>
        </is>
      </c>
      <c r="B1" s="90" t="inlineStr">
        <is>
          <t>Headline</t>
        </is>
      </c>
      <c r="C1" s="90" t="inlineStr">
        <is>
          <t>Publisher</t>
        </is>
      </c>
      <c r="D1" s="90" t="inlineStr">
        <is>
          <t>Sentiment</t>
        </is>
      </c>
      <c r="E1" s="90" t="inlineStr">
        <is>
          <t>Theme</t>
        </is>
      </c>
      <c r="F1" s="90" t="inlineStr">
        <is>
          <t>Relevance</t>
        </is>
      </c>
      <c r="G1" s="90" t="inlineStr">
        <is>
          <t>URL</t>
        </is>
      </c>
    </row>
    <row r="2">
      <c r="A2" s="377" t="inlineStr">
        <is>
          <t>2026-09-16</t>
        </is>
      </c>
      <c r="B2" s="12" t="inlineStr">
        <is>
          <t>8-K filing — 8-K</t>
        </is>
      </c>
      <c r="C2" s="12" t="inlineStr">
        <is>
          <t>SEC EDGAR</t>
        </is>
      </c>
      <c r="D2" s="12" t="inlineStr">
        <is>
          <t>Neutral</t>
        </is>
      </c>
      <c r="E2" s="97" t="inlineStr">
        <is>
          <t>General</t>
        </is>
      </c>
      <c r="F2" s="98" t="inlineStr">
        <is>
          <t>High</t>
        </is>
      </c>
      <c r="G2" s="99" t="inlineStr">
        <is>
          <t>https://www.sec.gov/Archives/edgar/data/320187/000032018726000170/nke-20260915.htm</t>
        </is>
      </c>
    </row>
    <row r="3">
      <c r="A3" s="378" t="inlineStr">
        <is>
          <t>2026-09-23</t>
        </is>
      </c>
      <c r="B3" s="24" t="inlineStr">
        <is>
          <t>Don’t Buy Nike Stock Yet</t>
        </is>
      </c>
      <c r="C3" s="24" t="inlineStr">
        <is>
          <t>Yahoo</t>
        </is>
      </c>
      <c r="D3" s="24" t="inlineStr">
        <is>
          <t>Neutral</t>
        </is>
      </c>
      <c r="E3" s="97" t="inlineStr">
        <is>
          <t>General</t>
        </is>
      </c>
      <c r="F3" s="101" t="inlineStr">
        <is>
          <t>High</t>
        </is>
      </c>
      <c r="G3" s="102" t="inlineStr">
        <is>
          <t>https://finnhub.io/api/news?id=58f91ab5438b1da9a2fff9bb25a1722146434f6a8f09476ef8c17e15771457a7</t>
        </is>
      </c>
    </row>
    <row r="4">
      <c r="A4" s="377" t="inlineStr">
        <is>
          <t>2026-09-23</t>
        </is>
      </c>
      <c r="B4" s="12" t="inlineStr">
        <is>
          <t>Nike Stock: Buy or Sell?</t>
        </is>
      </c>
      <c r="C4" s="12" t="inlineStr">
        <is>
          <t>The Motley Fool</t>
        </is>
      </c>
      <c r="D4" s="12" t="inlineStr">
        <is>
          <t>Neutral</t>
        </is>
      </c>
      <c r="E4" s="97" t="inlineStr">
        <is>
          <t>General</t>
        </is>
      </c>
      <c r="F4" s="98" t="inlineStr">
        <is>
          <t>High</t>
        </is>
      </c>
      <c r="G4" s="99" t="inlineStr">
        <is>
          <t>https://news.google.com/rss/articles/CBMic0FVX3lxTE5faEhJY2FERFpaelYtMVdJZ2JGb1FURjBtUE82aHl2RWFnclVFYnpkX2dsLTdJUXBuLWZaaWZzWGZ1cjlBNnRfaFdDVF9yQkhNdlFha21hWHFzalNKRlNLdlVKMl9vcGxYaHdMTmIxTm1fZ1k?oc=5</t>
        </is>
      </c>
    </row>
    <row r="5">
      <c r="A5" s="378" t="inlineStr">
        <is>
          <t>2026-09-23</t>
        </is>
      </c>
      <c r="B5" s="24" t="inlineStr">
        <is>
          <t>Barclays Maintains Overweight on Nike, Lowers Price Target to $48</t>
        </is>
      </c>
      <c r="C5" s="24" t="inlineStr">
        <is>
          <t>Benzinga</t>
        </is>
      </c>
      <c r="D5" s="24" t="inlineStr">
        <is>
          <t>Neutral</t>
        </is>
      </c>
      <c r="E5" s="103" t="inlineStr">
        <is>
          <t>Analyst</t>
        </is>
      </c>
      <c r="F5" s="101" t="inlineStr">
        <is>
          <t>High</t>
        </is>
      </c>
      <c r="G5" s="102" t="inlineStr">
        <is>
          <t>https://finnhub.io/api/news?id=240d1439ab4b7b7adecbdf40a94a3dd033290cc1377db2df7757757b755f2a23</t>
        </is>
      </c>
    </row>
    <row r="6">
      <c r="A6" s="377" t="inlineStr">
        <is>
          <t>2026-09-21</t>
        </is>
      </c>
      <c r="B6" s="12" t="inlineStr">
        <is>
          <t>NIKE's Marketplace Strategy: Balancing Reach and Profitability?</t>
        </is>
      </c>
      <c r="C6" s="12" t="inlineStr">
        <is>
          <t>Zacks Investment Research</t>
        </is>
      </c>
      <c r="D6" s="12" t="inlineStr">
        <is>
          <t>Neutral</t>
        </is>
      </c>
      <c r="E6" s="104" t="inlineStr">
        <is>
          <t>Earnings</t>
        </is>
      </c>
      <c r="F6" s="98" t="inlineStr">
        <is>
          <t>High</t>
        </is>
      </c>
      <c r="G6" s="99" t="inlineStr">
        <is>
          <t>https://www.zacks.com/stock/news/2993031/nike-s-marketplace-strategy-balancing-reach-and-profitability?cid=CS-ZC-FT-analyst_blog|quick_take-2993031</t>
        </is>
      </c>
    </row>
    <row r="7">
      <c r="A7" s="378" t="inlineStr">
        <is>
          <t>2026-09-20</t>
        </is>
      </c>
      <c r="B7" s="24" t="inlineStr">
        <is>
          <t>Converse reviews ad approvals after campaign draws racism backlash (NKE:NYSE)</t>
        </is>
      </c>
      <c r="C7" s="24" t="inlineStr">
        <is>
          <t>Seeking Alpha</t>
        </is>
      </c>
      <c r="D7" s="24" t="inlineStr">
        <is>
          <t>Positive</t>
        </is>
      </c>
      <c r="E7" s="97" t="inlineStr">
        <is>
          <t>Product</t>
        </is>
      </c>
      <c r="F7" s="101" t="inlineStr">
        <is>
          <t>High</t>
        </is>
      </c>
      <c r="G7" s="102" t="inlineStr">
        <is>
          <t>https://news.google.com/rss/articles/CBMipwFBVV95cUxPOUtUb0lXSWFXR2hacEVCMEl3VUR6QXVNLVlGZ0FjX1pGb2FTWW5mOUw4S2NuRUlfekhKQ3lVQkdJOUtGUl9KRGVlOUlKWmVoM01CdXlRR243V0pVdDBpR2JfejMxWHdDRWtDYW9VRmx6dUtPaUtINW5VdkVoaU9UcHlpQ1BGU1BJSzFsQ0h4ZW9hZVlJUmcwdHdfblFxTG91VlJfdXhZZw?oc=5</t>
        </is>
      </c>
    </row>
    <row r="8">
      <c r="A8" s="377" t="inlineStr">
        <is>
          <t>2026-09-24</t>
        </is>
      </c>
      <c r="B8" s="12" t="inlineStr">
        <is>
          <t>NKE, OWL, SMR Stocks Hit 52-Week Lows Last Week: What Drove The Selloff?</t>
        </is>
      </c>
      <c r="C8" s="12" t="inlineStr">
        <is>
          <t>Stocktwits</t>
        </is>
      </c>
      <c r="D8" s="12" t="inlineStr">
        <is>
          <t>Negative</t>
        </is>
      </c>
      <c r="E8" s="104" t="inlineStr">
        <is>
          <t>General</t>
        </is>
      </c>
      <c r="F8" s="98" t="inlineStr">
        <is>
          <t>High</t>
        </is>
      </c>
      <c r="G8" s="99" t="inlineStr">
        <is>
          <t>https://news.google.com/rss/articles/CBMirgFBVV95cUxPMkNRWkx0MG1tWVVhckZES0VJNk56UE1hbjNLbzRhcWNEa3V0aGZvWF9rODNmcnZvX2FXdm9iYWlIblNKOGt4U2dSWGRBc2g5VGdvenFLWFlFZ0tzV2lMNDR3aDE1TkN1cUFxcWIxVjJnQ09HeVVkX2p1eVNTV2tHcEpsM0tVaTFTY3pZNkNCOGhwNEdGU1hwQy1DUW9pX1RUV3VIbVhuYlZ0V2JKbVE?oc=5</t>
        </is>
      </c>
    </row>
    <row r="9">
      <c r="A9" s="378" t="inlineStr">
        <is>
          <t>2026-09-22</t>
        </is>
      </c>
      <c r="B9" s="24" t="inlineStr">
        <is>
          <t>Nike Beat Last Quarter's EPS Estimate by 54% — Can It Repeat That Oct. 1?</t>
        </is>
      </c>
      <c r="C9" s="24" t="inlineStr">
        <is>
          <t>TradingView</t>
        </is>
      </c>
      <c r="D9" s="24" t="inlineStr">
        <is>
          <t>Positive</t>
        </is>
      </c>
      <c r="E9" s="103" t="inlineStr">
        <is>
          <t>Earnings</t>
        </is>
      </c>
      <c r="F9" s="101" t="inlineStr">
        <is>
          <t>High</t>
        </is>
      </c>
      <c r="G9" s="102" t="inlineStr">
        <is>
          <t>https://news.google.com/rss/articles/CBMixgFBVV95cUxQLTFkSXBZVlFHcDhMZXo5LXZod3VDMnVCenBVWmZobXpOVXY2bVJwNm92NTBqUmxHbjdFUkxMWTQycDdFU1BWS1NiMjNSSFUwSnVEcGRqdEMycm5nU0FoSEs3OWtUV0RkRzZSMmhiWEZPRnl2UmdxTFVrMmZial9FRlZReUhncFdCVUxLdTI4akxRZ094WkNIQjZtTHZkbFNDWVgyZzJHTWVtZHVzX1dhX1dqaFhpV3hCVHRVcF9YTXNfNV8tN0E?oc=5</t>
        </is>
      </c>
    </row>
    <row r="10">
      <c r="A10" s="377" t="inlineStr">
        <is>
          <t>2026-09-22</t>
        </is>
      </c>
      <c r="B10" s="12" t="inlineStr">
        <is>
          <t>Nike (NKE) Stock May Be 12% Undervalued Following Earnings Forecast Cuts</t>
        </is>
      </c>
      <c r="C10" s="12" t="inlineStr">
        <is>
          <t>simplywall.st</t>
        </is>
      </c>
      <c r="D10" s="12" t="inlineStr">
        <is>
          <t>Negative</t>
        </is>
      </c>
      <c r="E10" s="103" t="inlineStr">
        <is>
          <t>Earnings</t>
        </is>
      </c>
      <c r="F10" s="98" t="inlineStr">
        <is>
          <t>High</t>
        </is>
      </c>
      <c r="G10" s="99" t="inlineStr">
        <is>
          <t>https://news.google.com/rss/articles/CBMiyAFBVV95cUxOTHlvUmhodUF2bW5acUFMS3JaejVTeGZjVGxCS1lpT0N3VXRKZG5qUXFtS0RtcUI1VE9xNFZvZ2JLbm0xeHRvdDJ5MUppdHhLNWptcTBSUzhpNHZwSzM2SV9lYTUyWEU2SHBRbkxfNkZjZUpMQmxuUXRVZFV2bGtJYTQybmpQaGNoYTNsZFBLU2xYRHkxSENBSUQzbDB5VzZhX1pZMGpsVFZITWxveHRNbzlqRkNpUTBNQlNtVzRZNlpzVDFLYUdYMtIBzgFBVV95cUxPOUc2MjZQQ0dSZkF6a2Z0b0hFQUozQ1JKNFNkcEtpWUlrR1paS0E3YTN3NDFuUk9wc1M0bUExY0FIam85RVVNR2k1UG5NRUc5VVNSNjM4TEhzVjZqR1E3X1hpNDBsRnFEVUV0ZVF5NEZRd2lZMXczd3h5YnlUamFrdGJtempFc1kzQlIzYm04OEpTWmhUTmZNcGlNaklxRFpSNEh3c2N6VVRCZkYtLTd1LXdmUGJvTHEtaFNpNVdPaDRVZWMxZXQ2QTN2V0pDZw?oc=5</t>
        </is>
      </c>
    </row>
    <row r="11">
      <c r="A11" s="378" t="inlineStr">
        <is>
          <t>2026-09-21</t>
        </is>
      </c>
      <c r="B11" s="24" t="inlineStr">
        <is>
          <t>EXEC: Nike Inc. Faces Stock Price Target Cuts Amid Concerns Over Upcoming Fiscal Q1 Report</t>
        </is>
      </c>
      <c r="C11" s="24" t="inlineStr">
        <is>
          <t>SGB Media Online</t>
        </is>
      </c>
      <c r="D11" s="24" t="inlineStr">
        <is>
          <t>Negative</t>
        </is>
      </c>
      <c r="E11" s="103" t="inlineStr">
        <is>
          <t>Analyst</t>
        </is>
      </c>
      <c r="F11" s="101" t="inlineStr">
        <is>
          <t>High</t>
        </is>
      </c>
      <c r="G11" s="102" t="inlineStr">
        <is>
          <t>https://news.google.com/rss/articles/CBMimwFBVV95cUxOR0IxWFV1ZWtvZmplek5qSTVVUDhyY0hXWmtkbmV0NldNYTBRM0NlY3duWkdWRVhXcWI1SWtBWXc2VHVfeVpDcXN3Rm0yTjFNV1lvRXF4QXN5Tk1FZVJOVy05ZTFEWi1jN0NkZzJVSFdScnpLVTVTUE5vVnIwUEhnSkJsNHFoN3IwX1lscFBFOUpnNkhEdG5wcXMydw?oc=5</t>
        </is>
      </c>
    </row>
    <row r="12">
      <c r="A12" s="377" t="inlineStr">
        <is>
          <t>2026-09-21</t>
        </is>
      </c>
      <c r="B12" s="12" t="inlineStr">
        <is>
          <t>NKE Maintained by Stifel -- Price Target Lowered to $40</t>
        </is>
      </c>
      <c r="C12" s="12" t="inlineStr">
        <is>
          <t>GuruFocus</t>
        </is>
      </c>
      <c r="D12" s="12" t="inlineStr">
        <is>
          <t>Neutral</t>
        </is>
      </c>
      <c r="E12" s="103" t="inlineStr">
        <is>
          <t>Analyst</t>
        </is>
      </c>
      <c r="F12" s="98" t="inlineStr">
        <is>
          <t>High</t>
        </is>
      </c>
      <c r="G12" s="99" t="inlineStr">
        <is>
          <t>https://news.google.com/rss/articles/CBMilAFBVV95cUxObzFWVXYzeHcwRFlWOGJDbHFNeGVXOHJHWW1EcE1mMFRTaGRfSllxOFQ5eWtBVlVDS2w5VUpNd2FYOUtfUVI4WGhwX0R3RXIya294VjR1cHZIZmEtWEx5NFRFNVlqMzFEMTRpXzJrakM3eHFsM0tRQU9NRVpReEtQdTRTbVQyYTYwemR5NTNSS0FLZzZ5?oc=5</t>
        </is>
      </c>
    </row>
    <row r="13">
      <c r="A13" s="378" t="inlineStr">
        <is>
          <t>2026-09-21</t>
        </is>
      </c>
      <c r="B13" s="24" t="inlineStr">
        <is>
          <t>Nike to pay dividends next month; Here’s how much 100 NKE shares will earn</t>
        </is>
      </c>
      <c r="C13" s="24" t="inlineStr">
        <is>
          <t>finbold.com</t>
        </is>
      </c>
      <c r="D13" s="24" t="inlineStr">
        <is>
          <t>Neutral</t>
        </is>
      </c>
      <c r="E13" s="104" t="inlineStr">
        <is>
          <t>Capital Return</t>
        </is>
      </c>
      <c r="F13" s="101" t="inlineStr">
        <is>
          <t>High</t>
        </is>
      </c>
      <c r="G13" s="102" t="inlineStr">
        <is>
          <t>https://news.google.com/rss/articles/CBMimAFBVV95cUxPXzlBQldQYU05bHo5Mmw2c2h3SzdhOGJUeE1nNUh3U3YxeWVQbi1vVHg3Z0tmNEV5MHZsSXN5N0c4M3Vvc1pKOUpYRVJ1VUdSa0o3eXpnQTN3c1JKc09Pc1ZFMndIN1JKVFZOb25yQ2hmLW5PNEY3NGU2UjZXNlMzU3BKWEwwXzJ3MVF3aUxqQkRiZ2dSTGlURA?oc=5</t>
        </is>
      </c>
    </row>
    <row r="14">
      <c r="A14" s="377" t="inlineStr">
        <is>
          <t>2026-09-20</t>
        </is>
      </c>
      <c r="B14" s="12" t="inlineStr">
        <is>
          <t>The $986 Million Reason Nike’s Comeback Story Doesn’t Add Up</t>
        </is>
      </c>
      <c r="C14" s="12" t="inlineStr">
        <is>
          <t>TIKR.com</t>
        </is>
      </c>
      <c r="D14" s="12" t="inlineStr">
        <is>
          <t>Neutral</t>
        </is>
      </c>
      <c r="E14" s="97" t="inlineStr">
        <is>
          <t>General</t>
        </is>
      </c>
      <c r="F14" s="98" t="inlineStr">
        <is>
          <t>High</t>
        </is>
      </c>
      <c r="G14" s="99" t="inlineStr">
        <is>
          <t>https://news.google.com/rss/articles/CBMiiwFBVV95cUxPVDVCMW8yUFc5c3kzZGJjdnJQdGVaVnI0QmxIZjNSb2cxdXJ5UkdnWlNyc25ObFVZbTljUGZjSzUwZmYwcWlJOXl5UTR2WFlUdDE2dXptTVBxdEZNZnJxSmIxQ2V3ckF1UVV1Nmo0TUZUQUF2OW1nMGF5emZ3LXJ0TTRjemJBcEQ4X29V?oc=5</t>
        </is>
      </c>
    </row>
    <row r="15">
      <c r="A15" s="378" t="inlineStr">
        <is>
          <t>2026-09-20</t>
        </is>
      </c>
      <c r="B15" s="24" t="inlineStr">
        <is>
          <t>Why Is Everyone Talking About Nike Stock?</t>
        </is>
      </c>
      <c r="C15" s="24" t="inlineStr">
        <is>
          <t>The Globe and Mail</t>
        </is>
      </c>
      <c r="D15" s="24" t="inlineStr">
        <is>
          <t>Neutral</t>
        </is>
      </c>
      <c r="E15" s="97" t="inlineStr">
        <is>
          <t>General</t>
        </is>
      </c>
      <c r="F15" s="101" t="inlineStr">
        <is>
          <t>High</t>
        </is>
      </c>
      <c r="G15" s="102" t="inlineStr">
        <is>
          <t>https://news.google.com/rss/articles/CBMiwgFBVV95cUxPVDVRU2Fudk85REZEbDNrcWJBWjRvdnp6MzhPQS0yQ2dOdmpQUXlWNHJWSjltc19pa0NTN1ZHR0xBaWRrbFJqRDVCeUFuR0ZXTDN5VGZKdFRUTkpnNmszeWFJV1BoSEZ3OV80UUdiaFlBTFpod1BBLTN5a1BfMFE5Wjh6cnVCeHJNaXg2dEZCTm05dEtmdG9vbVM3cDRkajF2OVFVZWIxYTFsUmk3bTQ0X0hpa0U0TWd3MnRIaHBZclFIdw?oc=5</t>
        </is>
      </c>
    </row>
  </sheetData>
  <autoFilter ref="A1:G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A6A6A6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9" customWidth="1" style="252" min="1" max="1"/>
    <col width="28" customWidth="1" style="252" min="2" max="2"/>
    <col width="11" customWidth="1" style="252" min="3" max="3"/>
    <col width="18" customWidth="1" style="252" min="4" max="4"/>
    <col width="12" customWidth="1" style="252" min="5" max="5"/>
    <col width="10" customWidth="1" style="252" min="6" max="6"/>
  </cols>
  <sheetData>
    <row r="1">
      <c r="A1" s="25" t="inlineStr">
        <is>
          <t>Ticker</t>
        </is>
      </c>
      <c r="B1" s="25" t="inlineStr">
        <is>
          <t>Company</t>
        </is>
      </c>
      <c r="C1" s="25" t="inlineStr">
        <is>
          <t>Exchange</t>
        </is>
      </c>
      <c r="D1" s="25" t="inlineStr">
        <is>
          <t>Market Cap ($B)</t>
        </is>
      </c>
      <c r="E1" s="25" t="inlineStr">
        <is>
          <t>Employees</t>
        </is>
      </c>
      <c r="F1" s="25" t="inlineStr">
        <is>
          <t>Country</t>
        </is>
      </c>
    </row>
    <row r="2">
      <c r="A2" s="105" t="inlineStr">
        <is>
          <t>NKE</t>
        </is>
      </c>
      <c r="B2" s="105" t="inlineStr">
        <is>
          <t>NIKE, Inc.</t>
        </is>
      </c>
      <c r="C2" s="105" t="inlineStr">
        <is>
          <t>NYSE</t>
        </is>
      </c>
      <c r="D2" s="105" t="n">
        <v>53.48</v>
      </c>
      <c r="E2" s="105" t="n">
        <v>73000</v>
      </c>
      <c r="F2" s="105" t="inlineStr">
        <is>
          <t>United States</t>
        </is>
      </c>
    </row>
    <row r="3">
      <c r="A3" s="9" t="inlineStr">
        <is>
          <t>ADDYY</t>
        </is>
      </c>
      <c r="B3" s="9" t="inlineStr">
        <is>
          <t>adidas AG</t>
        </is>
      </c>
      <c r="C3" s="9" t="inlineStr">
        <is>
          <t>OQX</t>
        </is>
      </c>
      <c r="D3" s="9" t="n">
        <v>28.72</v>
      </c>
      <c r="E3" s="9" t="n">
        <v>64394</v>
      </c>
      <c r="F3" s="9" t="inlineStr">
        <is>
          <t>Germany</t>
        </is>
      </c>
    </row>
    <row r="4">
      <c r="A4" s="12" t="inlineStr">
        <is>
          <t>UAA</t>
        </is>
      </c>
      <c r="B4" s="12" t="inlineStr">
        <is>
          <t>Under Armour, Inc.</t>
        </is>
      </c>
      <c r="C4" s="12" t="inlineStr">
        <is>
          <t>NYSE</t>
        </is>
      </c>
      <c r="D4" s="12" t="n">
        <v>1.95</v>
      </c>
      <c r="E4" s="12" t="n">
        <v>6200</v>
      </c>
      <c r="F4" s="12" t="inlineStr">
        <is>
          <t>United States</t>
        </is>
      </c>
    </row>
    <row r="5">
      <c r="A5" s="9" t="inlineStr">
        <is>
          <t>LULU</t>
        </is>
      </c>
      <c r="B5" s="9" t="inlineStr">
        <is>
          <t>lululemon athletica inc.</t>
        </is>
      </c>
      <c r="C5" s="9" t="inlineStr">
        <is>
          <t>Nasdaq</t>
        </is>
      </c>
      <c r="D5" s="9" t="n">
        <v>11.32</v>
      </c>
      <c r="E5" s="9" t="n">
        <v>39000</v>
      </c>
      <c r="F5" s="9" t="inlineStr">
        <is>
          <t>Canada</t>
        </is>
      </c>
    </row>
    <row r="6">
      <c r="A6" s="12" t="n"/>
      <c r="B6" s="12" t="n"/>
      <c r="C6" s="12" t="n"/>
      <c r="D6" s="12" t="n"/>
      <c r="E6" s="12" t="n"/>
      <c r="F6" s="12" t="n"/>
    </row>
  </sheetData>
  <autoFilter ref="A1:F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A6A6A6"/>
    <outlinePr summaryBelow="1" summaryRight="1"/>
    <pageSetUpPr/>
  </sheetPr>
  <dimension ref="A1:F276"/>
  <sheetViews>
    <sheetView workbookViewId="0">
      <selection activeCell="A1" sqref="A1"/>
    </sheetView>
  </sheetViews>
  <sheetFormatPr baseColWidth="8" defaultRowHeight="14.5"/>
  <cols>
    <col width="28" customWidth="1" style="252" min="1" max="1"/>
    <col width="16" customWidth="1" style="252" min="2" max="6"/>
  </cols>
  <sheetData>
    <row r="1" ht="17" customHeight="1" s="252">
      <c r="A1" s="385" t="inlineStr">
        <is>
          <t>Monte Carlo Simulation Summary</t>
        </is>
      </c>
    </row>
    <row r="2">
      <c r="A2" s="386" t="inlineStr">
        <is>
          <t>Field</t>
        </is>
      </c>
      <c r="B2" s="386" t="inlineStr">
        <is>
          <t>Value</t>
        </is>
      </c>
    </row>
    <row r="3">
      <c r="A3" s="107" t="inlineStr">
        <is>
          <t>Last Price</t>
        </is>
      </c>
      <c r="B3" s="387" t="n">
        <v>36.05</v>
      </c>
    </row>
    <row r="4">
      <c r="A4" s="107" t="inlineStr">
        <is>
          <t>Forecast Horizon (days)</t>
        </is>
      </c>
      <c r="B4" s="109" t="n">
        <v>252</v>
      </c>
    </row>
    <row r="5">
      <c r="A5" s="107" t="inlineStr">
        <is>
          <t>Simulations</t>
        </is>
      </c>
      <c r="B5" s="109" t="n">
        <v>1000</v>
      </c>
    </row>
    <row r="6">
      <c r="A6" s="107" t="inlineStr">
        <is>
          <t>Mean Forecast</t>
        </is>
      </c>
      <c r="B6" s="387" t="n">
        <v>40.05</v>
      </c>
    </row>
    <row r="7">
      <c r="A7" s="107" t="inlineStr">
        <is>
          <t>Median (P50)</t>
        </is>
      </c>
      <c r="B7" s="387" t="n">
        <v>37.15</v>
      </c>
    </row>
    <row r="8">
      <c r="A8" s="107" t="inlineStr">
        <is>
          <t>Bear Case (P5)</t>
        </is>
      </c>
      <c r="B8" s="387" t="n">
        <v>21.05</v>
      </c>
    </row>
    <row r="9">
      <c r="A9" s="107" t="inlineStr">
        <is>
          <t>Low Case (P25)</t>
        </is>
      </c>
      <c r="B9" s="387" t="n">
        <v>29.34</v>
      </c>
    </row>
    <row r="10">
      <c r="A10" s="107" t="inlineStr">
        <is>
          <t>Bull Case (P75)</t>
        </is>
      </c>
      <c r="B10" s="387" t="n">
        <v>48.65</v>
      </c>
    </row>
    <row r="11">
      <c r="A11" s="107" t="inlineStr">
        <is>
          <t>Best Case (P95)</t>
        </is>
      </c>
      <c r="B11" s="387" t="n">
        <v>66.51000000000001</v>
      </c>
    </row>
    <row r="12">
      <c r="A12" s="107" t="inlineStr">
        <is>
          <t>Prob. of Gain</t>
        </is>
      </c>
      <c r="B12" s="110" t="n">
        <v>0.536</v>
      </c>
    </row>
    <row r="13">
      <c r="A13" s="107" t="inlineStr">
        <is>
          <t>Ann. Volatility</t>
        </is>
      </c>
      <c r="B13" s="110" t="n">
        <v>0.3571</v>
      </c>
    </row>
    <row r="14">
      <c r="A14" s="107" t="inlineStr">
        <is>
          <t>Expected Return (CAPM)</t>
        </is>
      </c>
      <c r="B14" s="110" t="n">
        <v>0.102</v>
      </c>
    </row>
    <row r="15">
      <c r="A15" s="107" t="inlineStr">
        <is>
          <t>Beta (vs benchmark)</t>
        </is>
      </c>
      <c r="B15" s="387" t="n">
        <v>1.07</v>
      </c>
    </row>
    <row r="16">
      <c r="A16" s="107" t="inlineStr">
        <is>
          <t>Drift basis</t>
        </is>
      </c>
      <c r="B16" s="112" t="inlineStr">
        <is>
          <t>CAPM, beta measured vs benchmark</t>
        </is>
      </c>
    </row>
    <row r="17">
      <c r="A17" t="inlineStr">
        <is>
          <t>Beta (adjusted, used)</t>
        </is>
      </c>
      <c r="B17" s="95" t="n">
        <v>1.05</v>
      </c>
    </row>
    <row r="18">
      <c r="A18" t="inlineStr">
        <is>
          <t>Risk-free (10Y)</t>
        </is>
      </c>
      <c r="B18" s="144" t="n">
        <v>0.0496</v>
      </c>
    </row>
    <row r="19">
      <c r="A19" s="70" t="inlineStr">
        <is>
          <t>Equity risk premium</t>
        </is>
      </c>
      <c r="B19" s="144" t="n">
        <v>0.05</v>
      </c>
    </row>
    <row r="20">
      <c r="A20" s="25" t="n"/>
      <c r="B20" s="25" t="n"/>
      <c r="C20" s="25" t="n"/>
      <c r="D20" s="25" t="n"/>
      <c r="E20" s="25" t="n"/>
      <c r="F20" s="25" t="n"/>
    </row>
    <row r="21">
      <c r="B21" s="113" t="n"/>
      <c r="C21" s="113" t="n"/>
      <c r="D21" s="113" t="n"/>
      <c r="E21" s="113" t="n"/>
      <c r="F21" s="113" t="n"/>
    </row>
    <row r="22">
      <c r="A22" s="388" t="inlineStr">
        <is>
          <t>Percentile price paths across all 1,000 simulations</t>
        </is>
      </c>
      <c r="B22" s="113" t="n"/>
      <c r="C22" s="113" t="n"/>
      <c r="D22" s="113" t="n"/>
      <c r="E22" s="113" t="n"/>
      <c r="F22" s="113" t="n"/>
    </row>
    <row r="23">
      <c r="A23" s="389" t="inlineStr">
        <is>
          <t>Day</t>
        </is>
      </c>
      <c r="B23" s="390" t="inlineStr">
        <is>
          <t>P5 (Bear)</t>
        </is>
      </c>
      <c r="C23" s="390" t="inlineStr">
        <is>
          <t>P25 (Low)</t>
        </is>
      </c>
      <c r="D23" s="390" t="inlineStr">
        <is>
          <t>P50 (Median)</t>
        </is>
      </c>
      <c r="E23" s="390" t="inlineStr">
        <is>
          <t>P75 (Bull)</t>
        </is>
      </c>
      <c r="F23" s="390" t="inlineStr">
        <is>
          <t>P95 (Best)</t>
        </is>
      </c>
    </row>
    <row r="24">
      <c r="A24" t="n">
        <v>0</v>
      </c>
      <c r="B24" s="95" t="n">
        <v>36.05</v>
      </c>
      <c r="C24" s="95" t="n">
        <v>36.05</v>
      </c>
      <c r="D24" s="95" t="n">
        <v>36.05</v>
      </c>
      <c r="E24" s="95" t="n">
        <v>36.05</v>
      </c>
      <c r="F24" s="95" t="n">
        <v>36.05</v>
      </c>
    </row>
    <row r="25">
      <c r="A25" t="n">
        <v>1</v>
      </c>
      <c r="B25" s="95" t="n">
        <v>34.71</v>
      </c>
      <c r="C25" s="95" t="n">
        <v>35.5</v>
      </c>
      <c r="D25" s="95" t="n">
        <v>36.06</v>
      </c>
      <c r="E25" s="95" t="n">
        <v>36.54</v>
      </c>
      <c r="F25" s="95" t="n">
        <v>37.39</v>
      </c>
    </row>
    <row r="26">
      <c r="A26" t="n">
        <v>2</v>
      </c>
      <c r="B26" s="95" t="n">
        <v>34.07</v>
      </c>
      <c r="C26" s="95" t="n">
        <v>35.22</v>
      </c>
      <c r="D26" s="95" t="n">
        <v>36</v>
      </c>
      <c r="E26" s="95" t="n">
        <v>36.71</v>
      </c>
      <c r="F26" s="95" t="n">
        <v>37.87</v>
      </c>
    </row>
    <row r="27">
      <c r="A27" t="n">
        <v>3</v>
      </c>
      <c r="B27" s="95" t="n">
        <v>33.83</v>
      </c>
      <c r="C27" s="95" t="n">
        <v>35.05</v>
      </c>
      <c r="D27" s="95" t="n">
        <v>36.04</v>
      </c>
      <c r="E27" s="95" t="n">
        <v>36.93</v>
      </c>
      <c r="F27" s="95" t="n">
        <v>38.31</v>
      </c>
    </row>
    <row r="28">
      <c r="A28" t="n">
        <v>4</v>
      </c>
      <c r="B28" s="95" t="n">
        <v>33.35</v>
      </c>
      <c r="C28" s="95" t="n">
        <v>34.91</v>
      </c>
      <c r="D28" s="95" t="n">
        <v>35.97</v>
      </c>
      <c r="E28" s="95" t="n">
        <v>37.11</v>
      </c>
      <c r="F28" s="95" t="n">
        <v>38.86</v>
      </c>
    </row>
    <row r="29">
      <c r="A29" t="n">
        <v>5</v>
      </c>
      <c r="B29" s="95" t="n">
        <v>33.13</v>
      </c>
      <c r="C29" s="95" t="n">
        <v>34.82</v>
      </c>
      <c r="D29" s="95" t="n">
        <v>35.99</v>
      </c>
      <c r="E29" s="95" t="n">
        <v>37.22</v>
      </c>
      <c r="F29" s="95" t="n">
        <v>39.09</v>
      </c>
    </row>
    <row r="30">
      <c r="A30" t="n">
        <v>6</v>
      </c>
      <c r="B30" s="95" t="n">
        <v>32.9</v>
      </c>
      <c r="C30" s="95" t="n">
        <v>34.76</v>
      </c>
      <c r="D30" s="95" t="n">
        <v>36.05</v>
      </c>
      <c r="E30" s="95" t="n">
        <v>37.34</v>
      </c>
      <c r="F30" s="95" t="n">
        <v>39.57</v>
      </c>
    </row>
    <row r="31">
      <c r="A31" t="n">
        <v>7</v>
      </c>
      <c r="B31" s="95" t="n">
        <v>32.76</v>
      </c>
      <c r="C31" s="95" t="n">
        <v>34.65</v>
      </c>
      <c r="D31" s="95" t="n">
        <v>36.08</v>
      </c>
      <c r="E31" s="95" t="n">
        <v>37.36</v>
      </c>
      <c r="F31" s="95" t="n">
        <v>40.03</v>
      </c>
    </row>
    <row r="32">
      <c r="A32" t="n">
        <v>8</v>
      </c>
      <c r="B32" s="95" t="n">
        <v>32.36</v>
      </c>
      <c r="C32" s="95" t="n">
        <v>34.62</v>
      </c>
      <c r="D32" s="95" t="n">
        <v>36</v>
      </c>
      <c r="E32" s="95" t="n">
        <v>37.53</v>
      </c>
      <c r="F32" s="95" t="n">
        <v>40.17</v>
      </c>
    </row>
    <row r="33">
      <c r="A33" t="n">
        <v>9</v>
      </c>
      <c r="B33" s="95" t="n">
        <v>32.35</v>
      </c>
      <c r="C33" s="95" t="n">
        <v>34.49</v>
      </c>
      <c r="D33" s="95" t="n">
        <v>36.05</v>
      </c>
      <c r="E33" s="95" t="n">
        <v>37.58</v>
      </c>
      <c r="F33" s="95" t="n">
        <v>40.17</v>
      </c>
    </row>
    <row r="34">
      <c r="A34" t="n">
        <v>10</v>
      </c>
      <c r="B34" s="95" t="n">
        <v>32.04</v>
      </c>
      <c r="C34" s="95" t="n">
        <v>34.39</v>
      </c>
      <c r="D34" s="95" t="n">
        <v>36.03</v>
      </c>
      <c r="E34" s="95" t="n">
        <v>37.81</v>
      </c>
      <c r="F34" s="95" t="n">
        <v>40.32</v>
      </c>
    </row>
    <row r="35">
      <c r="A35" t="n">
        <v>11</v>
      </c>
      <c r="B35" s="95" t="n">
        <v>31.89</v>
      </c>
      <c r="C35" s="95" t="n">
        <v>34.3</v>
      </c>
      <c r="D35" s="95" t="n">
        <v>36.01</v>
      </c>
      <c r="E35" s="95" t="n">
        <v>37.85</v>
      </c>
      <c r="F35" s="95" t="n">
        <v>40.53</v>
      </c>
    </row>
    <row r="36">
      <c r="A36" t="n">
        <v>12</v>
      </c>
      <c r="B36" s="95" t="n">
        <v>31.76</v>
      </c>
      <c r="C36" s="95" t="n">
        <v>34.26</v>
      </c>
      <c r="D36" s="95" t="n">
        <v>36.03</v>
      </c>
      <c r="E36" s="95" t="n">
        <v>37.9</v>
      </c>
      <c r="F36" s="95" t="n">
        <v>40.76</v>
      </c>
    </row>
    <row r="37">
      <c r="A37" t="n">
        <v>13</v>
      </c>
      <c r="B37" s="95" t="n">
        <v>31.51</v>
      </c>
      <c r="C37" s="95" t="n">
        <v>34.1</v>
      </c>
      <c r="D37" s="95" t="n">
        <v>36.02</v>
      </c>
      <c r="E37" s="95" t="n">
        <v>37.91</v>
      </c>
      <c r="F37" s="95" t="n">
        <v>41.04</v>
      </c>
    </row>
    <row r="38">
      <c r="A38" t="n">
        <v>14</v>
      </c>
      <c r="B38" s="95" t="n">
        <v>31.48</v>
      </c>
      <c r="C38" s="95" t="n">
        <v>34.03</v>
      </c>
      <c r="D38" s="95" t="n">
        <v>35.97</v>
      </c>
      <c r="E38" s="95" t="n">
        <v>38.06</v>
      </c>
      <c r="F38" s="95" t="n">
        <v>41.49</v>
      </c>
    </row>
    <row r="39">
      <c r="A39" t="n">
        <v>15</v>
      </c>
      <c r="B39" s="95" t="n">
        <v>31.51</v>
      </c>
      <c r="C39" s="95" t="n">
        <v>33.93</v>
      </c>
      <c r="D39" s="95" t="n">
        <v>36.01</v>
      </c>
      <c r="E39" s="95" t="n">
        <v>38.07</v>
      </c>
      <c r="F39" s="95" t="n">
        <v>41.52</v>
      </c>
    </row>
    <row r="40">
      <c r="A40" t="n">
        <v>16</v>
      </c>
      <c r="B40" s="95" t="n">
        <v>31.15</v>
      </c>
      <c r="C40" s="95" t="n">
        <v>33.96</v>
      </c>
      <c r="D40" s="95" t="n">
        <v>36.04</v>
      </c>
      <c r="E40" s="95" t="n">
        <v>38.18</v>
      </c>
      <c r="F40" s="95" t="n">
        <v>41.55</v>
      </c>
    </row>
    <row r="41">
      <c r="A41" t="n">
        <v>17</v>
      </c>
      <c r="B41" s="95" t="n">
        <v>31.15</v>
      </c>
      <c r="C41" s="95" t="n">
        <v>33.95</v>
      </c>
      <c r="D41" s="95" t="n">
        <v>36.08</v>
      </c>
      <c r="E41" s="95" t="n">
        <v>38.28</v>
      </c>
      <c r="F41" s="95" t="n">
        <v>42.06</v>
      </c>
    </row>
    <row r="42">
      <c r="A42" t="n">
        <v>18</v>
      </c>
      <c r="B42" s="95" t="n">
        <v>31.05</v>
      </c>
      <c r="C42" s="95" t="n">
        <v>33.91</v>
      </c>
      <c r="D42" s="95" t="n">
        <v>36.13</v>
      </c>
      <c r="E42" s="95" t="n">
        <v>38.45</v>
      </c>
      <c r="F42" s="95" t="n">
        <v>42.23</v>
      </c>
    </row>
    <row r="43">
      <c r="A43" t="n">
        <v>19</v>
      </c>
      <c r="B43" s="95" t="n">
        <v>30.87</v>
      </c>
      <c r="C43" s="95" t="n">
        <v>33.89</v>
      </c>
      <c r="D43" s="95" t="n">
        <v>36.2</v>
      </c>
      <c r="E43" s="95" t="n">
        <v>38.57</v>
      </c>
      <c r="F43" s="95" t="n">
        <v>42.27</v>
      </c>
    </row>
    <row r="44">
      <c r="A44" t="n">
        <v>20</v>
      </c>
      <c r="B44" s="95" t="n">
        <v>30.67</v>
      </c>
      <c r="C44" s="95" t="n">
        <v>33.98</v>
      </c>
      <c r="D44" s="95" t="n">
        <v>36.23</v>
      </c>
      <c r="E44" s="95" t="n">
        <v>38.75</v>
      </c>
      <c r="F44" s="95" t="n">
        <v>42.61</v>
      </c>
    </row>
    <row r="45">
      <c r="A45" t="n">
        <v>21</v>
      </c>
      <c r="B45" s="95" t="n">
        <v>30.76</v>
      </c>
      <c r="C45" s="95" t="n">
        <v>33.73</v>
      </c>
      <c r="D45" s="95" t="n">
        <v>36.23</v>
      </c>
      <c r="E45" s="95" t="n">
        <v>38.79</v>
      </c>
      <c r="F45" s="95" t="n">
        <v>42.94</v>
      </c>
    </row>
    <row r="46">
      <c r="A46" t="n">
        <v>22</v>
      </c>
      <c r="B46" s="95" t="n">
        <v>30.69</v>
      </c>
      <c r="C46" s="95" t="n">
        <v>33.75</v>
      </c>
      <c r="D46" s="95" t="n">
        <v>36.28</v>
      </c>
      <c r="E46" s="95" t="n">
        <v>38.93</v>
      </c>
      <c r="F46" s="95" t="n">
        <v>42.83</v>
      </c>
    </row>
    <row r="47">
      <c r="A47" t="n">
        <v>23</v>
      </c>
      <c r="B47" s="95" t="n">
        <v>30.69</v>
      </c>
      <c r="C47" s="95" t="n">
        <v>33.72</v>
      </c>
      <c r="D47" s="95" t="n">
        <v>36.19</v>
      </c>
      <c r="E47" s="95" t="n">
        <v>38.84</v>
      </c>
      <c r="F47" s="95" t="n">
        <v>43.27</v>
      </c>
    </row>
    <row r="48">
      <c r="A48" t="n">
        <v>24</v>
      </c>
      <c r="B48" s="95" t="n">
        <v>30.78</v>
      </c>
      <c r="C48" s="95" t="n">
        <v>33.66</v>
      </c>
      <c r="D48" s="95" t="n">
        <v>36.17</v>
      </c>
      <c r="E48" s="95" t="n">
        <v>39.02</v>
      </c>
      <c r="F48" s="95" t="n">
        <v>43.41</v>
      </c>
    </row>
    <row r="49">
      <c r="A49" t="n">
        <v>25</v>
      </c>
      <c r="B49" s="95" t="n">
        <v>30.41</v>
      </c>
      <c r="C49" s="95" t="n">
        <v>33.77</v>
      </c>
      <c r="D49" s="95" t="n">
        <v>36.17</v>
      </c>
      <c r="E49" s="95" t="n">
        <v>39.28</v>
      </c>
      <c r="F49" s="95" t="n">
        <v>43.44</v>
      </c>
    </row>
    <row r="50">
      <c r="A50" t="n">
        <v>26</v>
      </c>
      <c r="B50" s="95" t="n">
        <v>30.23</v>
      </c>
      <c r="C50" s="95" t="n">
        <v>33.8</v>
      </c>
      <c r="D50" s="95" t="n">
        <v>36.11</v>
      </c>
      <c r="E50" s="95" t="n">
        <v>39.33</v>
      </c>
      <c r="F50" s="95" t="n">
        <v>43.54</v>
      </c>
    </row>
    <row r="51">
      <c r="A51" t="n">
        <v>27</v>
      </c>
      <c r="B51" s="95" t="n">
        <v>30.17</v>
      </c>
      <c r="C51" s="95" t="n">
        <v>33.77</v>
      </c>
      <c r="D51" s="95" t="n">
        <v>36.33</v>
      </c>
      <c r="E51" s="95" t="n">
        <v>39.39</v>
      </c>
      <c r="F51" s="95" t="n">
        <v>43.79</v>
      </c>
    </row>
    <row r="52">
      <c r="A52" t="n">
        <v>28</v>
      </c>
      <c r="B52" s="95" t="n">
        <v>30.17</v>
      </c>
      <c r="C52" s="95" t="n">
        <v>33.7</v>
      </c>
      <c r="D52" s="95" t="n">
        <v>36.31</v>
      </c>
      <c r="E52" s="95" t="n">
        <v>39.63</v>
      </c>
      <c r="F52" s="95" t="n">
        <v>44.02</v>
      </c>
    </row>
    <row r="53">
      <c r="A53" t="n">
        <v>29</v>
      </c>
      <c r="B53" s="95" t="n">
        <v>30.02</v>
      </c>
      <c r="C53" s="95" t="n">
        <v>33.76</v>
      </c>
      <c r="D53" s="95" t="n">
        <v>36.39</v>
      </c>
      <c r="E53" s="95" t="n">
        <v>39.57</v>
      </c>
      <c r="F53" s="95" t="n">
        <v>44.02</v>
      </c>
    </row>
    <row r="54">
      <c r="A54" t="n">
        <v>30</v>
      </c>
      <c r="B54" s="95" t="n">
        <v>30.04</v>
      </c>
      <c r="C54" s="95" t="n">
        <v>33.67</v>
      </c>
      <c r="D54" s="95" t="n">
        <v>36.42</v>
      </c>
      <c r="E54" s="95" t="n">
        <v>39.48</v>
      </c>
      <c r="F54" s="95" t="n">
        <v>44.23</v>
      </c>
    </row>
    <row r="55">
      <c r="A55" t="n">
        <v>31</v>
      </c>
      <c r="B55" s="95" t="n">
        <v>29.98</v>
      </c>
      <c r="C55" s="95" t="n">
        <v>33.66</v>
      </c>
      <c r="D55" s="95" t="n">
        <v>36.38</v>
      </c>
      <c r="E55" s="95" t="n">
        <v>39.64</v>
      </c>
      <c r="F55" s="95" t="n">
        <v>44.61</v>
      </c>
    </row>
    <row r="56">
      <c r="A56" t="n">
        <v>32</v>
      </c>
      <c r="B56" s="95" t="n">
        <v>29.73</v>
      </c>
      <c r="C56" s="95" t="n">
        <v>33.62</v>
      </c>
      <c r="D56" s="95" t="n">
        <v>36.32</v>
      </c>
      <c r="E56" s="95" t="n">
        <v>39.78</v>
      </c>
      <c r="F56" s="95" t="n">
        <v>44.41</v>
      </c>
    </row>
    <row r="57">
      <c r="A57" t="n">
        <v>33</v>
      </c>
      <c r="B57" s="95" t="n">
        <v>29.75</v>
      </c>
      <c r="C57" s="95" t="n">
        <v>33.45</v>
      </c>
      <c r="D57" s="95" t="n">
        <v>36.36</v>
      </c>
      <c r="E57" s="95" t="n">
        <v>39.94</v>
      </c>
      <c r="F57" s="95" t="n">
        <v>44.79</v>
      </c>
    </row>
    <row r="58">
      <c r="A58" t="n">
        <v>34</v>
      </c>
      <c r="B58" s="95" t="n">
        <v>29.53</v>
      </c>
      <c r="C58" s="95" t="n">
        <v>33.55</v>
      </c>
      <c r="D58" s="95" t="n">
        <v>36.41</v>
      </c>
      <c r="E58" s="95" t="n">
        <v>39.9</v>
      </c>
      <c r="F58" s="95" t="n">
        <v>44.99</v>
      </c>
    </row>
    <row r="59">
      <c r="A59" t="n">
        <v>35</v>
      </c>
      <c r="B59" s="95" t="n">
        <v>29.35</v>
      </c>
      <c r="C59" s="95" t="n">
        <v>33.58</v>
      </c>
      <c r="D59" s="95" t="n">
        <v>36.37</v>
      </c>
      <c r="E59" s="95" t="n">
        <v>39.83</v>
      </c>
      <c r="F59" s="95" t="n">
        <v>44.92</v>
      </c>
    </row>
    <row r="60">
      <c r="A60" t="n">
        <v>36</v>
      </c>
      <c r="B60" s="95" t="n">
        <v>29.24</v>
      </c>
      <c r="C60" s="95" t="n">
        <v>33.52</v>
      </c>
      <c r="D60" s="95" t="n">
        <v>36.44</v>
      </c>
      <c r="E60" s="95" t="n">
        <v>39.93</v>
      </c>
      <c r="F60" s="95" t="n">
        <v>45.14</v>
      </c>
    </row>
    <row r="61">
      <c r="A61" t="n">
        <v>37</v>
      </c>
      <c r="B61" s="95" t="n">
        <v>28.95</v>
      </c>
      <c r="C61" s="95" t="n">
        <v>33.49</v>
      </c>
      <c r="D61" s="95" t="n">
        <v>36.53</v>
      </c>
      <c r="E61" s="95" t="n">
        <v>40.1</v>
      </c>
      <c r="F61" s="95" t="n">
        <v>45.15</v>
      </c>
    </row>
    <row r="62">
      <c r="A62" t="n">
        <v>38</v>
      </c>
      <c r="B62" s="95" t="n">
        <v>29.12</v>
      </c>
      <c r="C62" s="95" t="n">
        <v>33.48</v>
      </c>
      <c r="D62" s="95" t="n">
        <v>36.57</v>
      </c>
      <c r="E62" s="95" t="n">
        <v>40.16</v>
      </c>
      <c r="F62" s="95" t="n">
        <v>45.18</v>
      </c>
    </row>
    <row r="63">
      <c r="A63" t="n">
        <v>39</v>
      </c>
      <c r="B63" s="95" t="n">
        <v>29.06</v>
      </c>
      <c r="C63" s="95" t="n">
        <v>33.43</v>
      </c>
      <c r="D63" s="95" t="n">
        <v>36.48</v>
      </c>
      <c r="E63" s="95" t="n">
        <v>40.21</v>
      </c>
      <c r="F63" s="95" t="n">
        <v>45.62</v>
      </c>
    </row>
    <row r="64">
      <c r="A64" t="n">
        <v>40</v>
      </c>
      <c r="B64" s="95" t="n">
        <v>28.88</v>
      </c>
      <c r="C64" s="95" t="n">
        <v>33.25</v>
      </c>
      <c r="D64" s="95" t="n">
        <v>36.34</v>
      </c>
      <c r="E64" s="95" t="n">
        <v>40.09</v>
      </c>
      <c r="F64" s="95" t="n">
        <v>45.92</v>
      </c>
    </row>
    <row r="65">
      <c r="A65" t="n">
        <v>41</v>
      </c>
      <c r="B65" s="95" t="n">
        <v>28.86</v>
      </c>
      <c r="C65" s="95" t="n">
        <v>33.13</v>
      </c>
      <c r="D65" s="95" t="n">
        <v>36.34</v>
      </c>
      <c r="E65" s="95" t="n">
        <v>40.27</v>
      </c>
      <c r="F65" s="95" t="n">
        <v>46.23</v>
      </c>
    </row>
    <row r="66">
      <c r="A66" t="n">
        <v>42</v>
      </c>
      <c r="B66" s="95" t="n">
        <v>28.76</v>
      </c>
      <c r="C66" s="95" t="n">
        <v>33.1</v>
      </c>
      <c r="D66" s="95" t="n">
        <v>36.32</v>
      </c>
      <c r="E66" s="95" t="n">
        <v>40.14</v>
      </c>
      <c r="F66" s="95" t="n">
        <v>46.23</v>
      </c>
    </row>
    <row r="67">
      <c r="A67" t="n">
        <v>43</v>
      </c>
      <c r="B67" s="95" t="n">
        <v>28.48</v>
      </c>
      <c r="C67" s="95" t="n">
        <v>33.03</v>
      </c>
      <c r="D67" s="95" t="n">
        <v>36.37</v>
      </c>
      <c r="E67" s="95" t="n">
        <v>40.27</v>
      </c>
      <c r="F67" s="95" t="n">
        <v>45.89</v>
      </c>
    </row>
    <row r="68">
      <c r="A68" t="n">
        <v>44</v>
      </c>
      <c r="B68" s="95" t="n">
        <v>28.57</v>
      </c>
      <c r="C68" s="95" t="n">
        <v>32.92</v>
      </c>
      <c r="D68" s="95" t="n">
        <v>36.36</v>
      </c>
      <c r="E68" s="95" t="n">
        <v>40.37</v>
      </c>
      <c r="F68" s="95" t="n">
        <v>45.92</v>
      </c>
    </row>
    <row r="69">
      <c r="A69" t="n">
        <v>45</v>
      </c>
      <c r="B69" s="95" t="n">
        <v>28.35</v>
      </c>
      <c r="C69" s="95" t="n">
        <v>32.84</v>
      </c>
      <c r="D69" s="95" t="n">
        <v>36.39</v>
      </c>
      <c r="E69" s="95" t="n">
        <v>40.27</v>
      </c>
      <c r="F69" s="95" t="n">
        <v>45.55</v>
      </c>
    </row>
    <row r="70">
      <c r="A70" t="n">
        <v>46</v>
      </c>
      <c r="B70" s="95" t="n">
        <v>28.2</v>
      </c>
      <c r="C70" s="95" t="n">
        <v>32.68</v>
      </c>
      <c r="D70" s="95" t="n">
        <v>36.56</v>
      </c>
      <c r="E70" s="95" t="n">
        <v>40.54</v>
      </c>
      <c r="F70" s="95" t="n">
        <v>45.91</v>
      </c>
    </row>
    <row r="71">
      <c r="A71" t="n">
        <v>47</v>
      </c>
      <c r="B71" s="95" t="n">
        <v>28.21</v>
      </c>
      <c r="C71" s="95" t="n">
        <v>32.8</v>
      </c>
      <c r="D71" s="95" t="n">
        <v>36.48</v>
      </c>
      <c r="E71" s="95" t="n">
        <v>40.55</v>
      </c>
      <c r="F71" s="95" t="n">
        <v>46.18</v>
      </c>
    </row>
    <row r="72">
      <c r="A72" t="n">
        <v>48</v>
      </c>
      <c r="B72" s="95" t="n">
        <v>28.31</v>
      </c>
      <c r="C72" s="95" t="n">
        <v>32.63</v>
      </c>
      <c r="D72" s="95" t="n">
        <v>36.44</v>
      </c>
      <c r="E72" s="95" t="n">
        <v>40.55</v>
      </c>
      <c r="F72" s="95" t="n">
        <v>46.5</v>
      </c>
    </row>
    <row r="73">
      <c r="A73" t="n">
        <v>49</v>
      </c>
      <c r="B73" s="95" t="n">
        <v>28.18</v>
      </c>
      <c r="C73" s="95" t="n">
        <v>32.66</v>
      </c>
      <c r="D73" s="95" t="n">
        <v>36.43</v>
      </c>
      <c r="E73" s="95" t="n">
        <v>40.54</v>
      </c>
      <c r="F73" s="95" t="n">
        <v>46.5</v>
      </c>
    </row>
    <row r="74">
      <c r="A74" t="n">
        <v>50</v>
      </c>
      <c r="B74" s="95" t="n">
        <v>27.79</v>
      </c>
      <c r="C74" s="95" t="n">
        <v>32.62</v>
      </c>
      <c r="D74" s="95" t="n">
        <v>36.44</v>
      </c>
      <c r="E74" s="95" t="n">
        <v>40.5</v>
      </c>
      <c r="F74" s="95" t="n">
        <v>46.57</v>
      </c>
    </row>
    <row r="75">
      <c r="A75" t="n">
        <v>51</v>
      </c>
      <c r="B75" s="95" t="n">
        <v>27.83</v>
      </c>
      <c r="C75" s="95" t="n">
        <v>32.68</v>
      </c>
      <c r="D75" s="95" t="n">
        <v>36.34</v>
      </c>
      <c r="E75" s="95" t="n">
        <v>40.51</v>
      </c>
      <c r="F75" s="95" t="n">
        <v>47.03</v>
      </c>
    </row>
    <row r="76">
      <c r="A76" t="n">
        <v>52</v>
      </c>
      <c r="B76" s="95" t="n">
        <v>27.74</v>
      </c>
      <c r="C76" s="95" t="n">
        <v>32.55</v>
      </c>
      <c r="D76" s="95" t="n">
        <v>36.37</v>
      </c>
      <c r="E76" s="95" t="n">
        <v>40.63</v>
      </c>
      <c r="F76" s="95" t="n">
        <v>46.95</v>
      </c>
    </row>
    <row r="77">
      <c r="A77" t="n">
        <v>53</v>
      </c>
      <c r="B77" s="95" t="n">
        <v>27.7</v>
      </c>
      <c r="C77" s="95" t="n">
        <v>32.48</v>
      </c>
      <c r="D77" s="95" t="n">
        <v>36.38</v>
      </c>
      <c r="E77" s="95" t="n">
        <v>40.87</v>
      </c>
      <c r="F77" s="95" t="n">
        <v>46.75</v>
      </c>
    </row>
    <row r="78">
      <c r="A78" t="n">
        <v>54</v>
      </c>
      <c r="B78" s="95" t="n">
        <v>27.83</v>
      </c>
      <c r="C78" s="95" t="n">
        <v>32.45</v>
      </c>
      <c r="D78" s="95" t="n">
        <v>36.45</v>
      </c>
      <c r="E78" s="95" t="n">
        <v>41</v>
      </c>
      <c r="F78" s="95" t="n">
        <v>46.75</v>
      </c>
    </row>
    <row r="79">
      <c r="A79" t="n">
        <v>55</v>
      </c>
      <c r="B79" s="95" t="n">
        <v>27.53</v>
      </c>
      <c r="C79" s="95" t="n">
        <v>32.25</v>
      </c>
      <c r="D79" s="95" t="n">
        <v>36.47</v>
      </c>
      <c r="E79" s="95" t="n">
        <v>40.96</v>
      </c>
      <c r="F79" s="95" t="n">
        <v>46.79</v>
      </c>
    </row>
    <row r="80">
      <c r="A80" t="n">
        <v>56</v>
      </c>
      <c r="B80" s="95" t="n">
        <v>27.61</v>
      </c>
      <c r="C80" s="95" t="n">
        <v>32.29</v>
      </c>
      <c r="D80" s="95" t="n">
        <v>36.48</v>
      </c>
      <c r="E80" s="95" t="n">
        <v>40.84</v>
      </c>
      <c r="F80" s="95" t="n">
        <v>47.04</v>
      </c>
    </row>
    <row r="81">
      <c r="A81" t="n">
        <v>57</v>
      </c>
      <c r="B81" s="95" t="n">
        <v>27.48</v>
      </c>
      <c r="C81" s="95" t="n">
        <v>32.32</v>
      </c>
      <c r="D81" s="95" t="n">
        <v>36.49</v>
      </c>
      <c r="E81" s="95" t="n">
        <v>40.89</v>
      </c>
      <c r="F81" s="95" t="n">
        <v>47.24</v>
      </c>
    </row>
    <row r="82">
      <c r="A82" t="n">
        <v>58</v>
      </c>
      <c r="B82" s="95" t="n">
        <v>27.16</v>
      </c>
      <c r="C82" s="95" t="n">
        <v>32.25</v>
      </c>
      <c r="D82" s="95" t="n">
        <v>36.62</v>
      </c>
      <c r="E82" s="95" t="n">
        <v>40.96</v>
      </c>
      <c r="F82" s="95" t="n">
        <v>47.32</v>
      </c>
    </row>
    <row r="83">
      <c r="A83" t="n">
        <v>59</v>
      </c>
      <c r="B83" s="95" t="n">
        <v>27.27</v>
      </c>
      <c r="C83" s="95" t="n">
        <v>32.36</v>
      </c>
      <c r="D83" s="95" t="n">
        <v>36.55</v>
      </c>
      <c r="E83" s="95" t="n">
        <v>40.99</v>
      </c>
      <c r="F83" s="95" t="n">
        <v>47.59</v>
      </c>
    </row>
    <row r="84">
      <c r="A84" t="n">
        <v>60</v>
      </c>
      <c r="B84" s="95" t="n">
        <v>27.02</v>
      </c>
      <c r="C84" s="95" t="n">
        <v>32.21</v>
      </c>
      <c r="D84" s="95" t="n">
        <v>36.7</v>
      </c>
      <c r="E84" s="95" t="n">
        <v>41.06</v>
      </c>
      <c r="F84" s="95" t="n">
        <v>47.63</v>
      </c>
    </row>
    <row r="85">
      <c r="A85" t="n">
        <v>61</v>
      </c>
      <c r="B85" s="95" t="n">
        <v>26.89</v>
      </c>
      <c r="C85" s="95" t="n">
        <v>32.25</v>
      </c>
      <c r="D85" s="95" t="n">
        <v>36.66</v>
      </c>
      <c r="E85" s="95" t="n">
        <v>41.04</v>
      </c>
      <c r="F85" s="95" t="n">
        <v>47.73</v>
      </c>
    </row>
    <row r="86">
      <c r="A86" t="n">
        <v>62</v>
      </c>
      <c r="B86" s="95" t="n">
        <v>27.02</v>
      </c>
      <c r="C86" s="95" t="n">
        <v>32.19</v>
      </c>
      <c r="D86" s="95" t="n">
        <v>36.71</v>
      </c>
      <c r="E86" s="95" t="n">
        <v>40.93</v>
      </c>
      <c r="F86" s="95" t="n">
        <v>47.57</v>
      </c>
    </row>
    <row r="87">
      <c r="A87" t="n">
        <v>63</v>
      </c>
      <c r="B87" s="95" t="n">
        <v>26.77</v>
      </c>
      <c r="C87" s="95" t="n">
        <v>32.05</v>
      </c>
      <c r="D87" s="95" t="n">
        <v>36.58</v>
      </c>
      <c r="E87" s="95" t="n">
        <v>41.16</v>
      </c>
      <c r="F87" s="95" t="n">
        <v>47.83</v>
      </c>
    </row>
    <row r="88">
      <c r="A88" t="n">
        <v>64</v>
      </c>
      <c r="B88" s="95" t="n">
        <v>26.61</v>
      </c>
      <c r="C88" s="95" t="n">
        <v>32.15</v>
      </c>
      <c r="D88" s="95" t="n">
        <v>36.46</v>
      </c>
      <c r="E88" s="95" t="n">
        <v>41.31</v>
      </c>
      <c r="F88" s="95" t="n">
        <v>48.15</v>
      </c>
    </row>
    <row r="89">
      <c r="A89" t="n">
        <v>65</v>
      </c>
      <c r="B89" s="95" t="n">
        <v>26.7</v>
      </c>
      <c r="C89" s="95" t="n">
        <v>32.15</v>
      </c>
      <c r="D89" s="95" t="n">
        <v>36.56</v>
      </c>
      <c r="E89" s="95" t="n">
        <v>41.21</v>
      </c>
      <c r="F89" s="95" t="n">
        <v>47.88</v>
      </c>
    </row>
    <row r="90">
      <c r="A90" t="n">
        <v>66</v>
      </c>
      <c r="B90" s="95" t="n">
        <v>26.82</v>
      </c>
      <c r="C90" s="95" t="n">
        <v>32.23</v>
      </c>
      <c r="D90" s="95" t="n">
        <v>36.53</v>
      </c>
      <c r="E90" s="95" t="n">
        <v>41.35</v>
      </c>
      <c r="F90" s="95" t="n">
        <v>48.23</v>
      </c>
    </row>
    <row r="91">
      <c r="A91" t="n">
        <v>67</v>
      </c>
      <c r="B91" s="95" t="n">
        <v>26.7</v>
      </c>
      <c r="C91" s="95" t="n">
        <v>32.1</v>
      </c>
      <c r="D91" s="95" t="n">
        <v>36.54</v>
      </c>
      <c r="E91" s="95" t="n">
        <v>41.36</v>
      </c>
      <c r="F91" s="95" t="n">
        <v>48.79</v>
      </c>
    </row>
    <row r="92">
      <c r="A92" t="n">
        <v>68</v>
      </c>
      <c r="B92" s="95" t="n">
        <v>26.58</v>
      </c>
      <c r="C92" s="95" t="n">
        <v>32.11</v>
      </c>
      <c r="D92" s="95" t="n">
        <v>36.47</v>
      </c>
      <c r="E92" s="95" t="n">
        <v>41.25</v>
      </c>
      <c r="F92" s="95" t="n">
        <v>48.75</v>
      </c>
    </row>
    <row r="93">
      <c r="A93" t="n">
        <v>69</v>
      </c>
      <c r="B93" s="95" t="n">
        <v>26.65</v>
      </c>
      <c r="C93" s="95" t="n">
        <v>32.19</v>
      </c>
      <c r="D93" s="95" t="n">
        <v>36.56</v>
      </c>
      <c r="E93" s="95" t="n">
        <v>41.28</v>
      </c>
      <c r="F93" s="95" t="n">
        <v>48.41</v>
      </c>
    </row>
    <row r="94">
      <c r="A94" t="n">
        <v>70</v>
      </c>
      <c r="B94" s="95" t="n">
        <v>26.28</v>
      </c>
      <c r="C94" s="95" t="n">
        <v>32.05</v>
      </c>
      <c r="D94" s="95" t="n">
        <v>36.54</v>
      </c>
      <c r="E94" s="95" t="n">
        <v>41.31</v>
      </c>
      <c r="F94" s="95" t="n">
        <v>48.85</v>
      </c>
    </row>
    <row r="95">
      <c r="A95" t="n">
        <v>71</v>
      </c>
      <c r="B95" s="95" t="n">
        <v>26.24</v>
      </c>
      <c r="C95" s="95" t="n">
        <v>32.03</v>
      </c>
      <c r="D95" s="95" t="n">
        <v>36.52</v>
      </c>
      <c r="E95" s="95" t="n">
        <v>41.4</v>
      </c>
      <c r="F95" s="95" t="n">
        <v>49.22</v>
      </c>
    </row>
    <row r="96">
      <c r="A96" t="n">
        <v>72</v>
      </c>
      <c r="B96" s="95" t="n">
        <v>26.24</v>
      </c>
      <c r="C96" s="95" t="n">
        <v>32.15</v>
      </c>
      <c r="D96" s="95" t="n">
        <v>36.48</v>
      </c>
      <c r="E96" s="95" t="n">
        <v>41.39</v>
      </c>
      <c r="F96" s="95" t="n">
        <v>49.07</v>
      </c>
    </row>
    <row r="97">
      <c r="A97" t="n">
        <v>73</v>
      </c>
      <c r="B97" s="95" t="n">
        <v>26.32</v>
      </c>
      <c r="C97" s="95" t="n">
        <v>32.14</v>
      </c>
      <c r="D97" s="95" t="n">
        <v>36.48</v>
      </c>
      <c r="E97" s="95" t="n">
        <v>41.4</v>
      </c>
      <c r="F97" s="95" t="n">
        <v>49.42</v>
      </c>
    </row>
    <row r="98">
      <c r="A98" t="n">
        <v>74</v>
      </c>
      <c r="B98" s="95" t="n">
        <v>26.4</v>
      </c>
      <c r="C98" s="95" t="n">
        <v>32.16</v>
      </c>
      <c r="D98" s="95" t="n">
        <v>36.45</v>
      </c>
      <c r="E98" s="95" t="n">
        <v>41.51</v>
      </c>
      <c r="F98" s="95" t="n">
        <v>49.63</v>
      </c>
    </row>
    <row r="99">
      <c r="A99" t="n">
        <v>75</v>
      </c>
      <c r="B99" s="95" t="n">
        <v>26.21</v>
      </c>
      <c r="C99" s="95" t="n">
        <v>32.06</v>
      </c>
      <c r="D99" s="95" t="n">
        <v>36.51</v>
      </c>
      <c r="E99" s="95" t="n">
        <v>41.7</v>
      </c>
      <c r="F99" s="95" t="n">
        <v>49.92</v>
      </c>
    </row>
    <row r="100">
      <c r="A100" t="n">
        <v>76</v>
      </c>
      <c r="B100" s="95" t="n">
        <v>26.14</v>
      </c>
      <c r="C100" s="95" t="n">
        <v>31.89</v>
      </c>
      <c r="D100" s="95" t="n">
        <v>36.58</v>
      </c>
      <c r="E100" s="95" t="n">
        <v>41.81</v>
      </c>
      <c r="F100" s="95" t="n">
        <v>49.52</v>
      </c>
    </row>
    <row r="101">
      <c r="A101" t="n">
        <v>77</v>
      </c>
      <c r="B101" s="95" t="n">
        <v>26.21</v>
      </c>
      <c r="C101" s="95" t="n">
        <v>31.86</v>
      </c>
      <c r="D101" s="95" t="n">
        <v>36.47</v>
      </c>
      <c r="E101" s="95" t="n">
        <v>41.67</v>
      </c>
      <c r="F101" s="95" t="n">
        <v>49.9</v>
      </c>
    </row>
    <row r="102">
      <c r="A102" t="n">
        <v>78</v>
      </c>
      <c r="B102" s="95" t="n">
        <v>26.15</v>
      </c>
      <c r="C102" s="95" t="n">
        <v>31.67</v>
      </c>
      <c r="D102" s="95" t="n">
        <v>36.43</v>
      </c>
      <c r="E102" s="95" t="n">
        <v>41.94</v>
      </c>
      <c r="F102" s="95" t="n">
        <v>49.9</v>
      </c>
    </row>
    <row r="103">
      <c r="A103" t="n">
        <v>79</v>
      </c>
      <c r="B103" s="95" t="n">
        <v>26.05</v>
      </c>
      <c r="C103" s="95" t="n">
        <v>31.68</v>
      </c>
      <c r="D103" s="95" t="n">
        <v>36.42</v>
      </c>
      <c r="E103" s="95" t="n">
        <v>42.02</v>
      </c>
      <c r="F103" s="95" t="n">
        <v>49.89</v>
      </c>
    </row>
    <row r="104">
      <c r="A104" t="n">
        <v>80</v>
      </c>
      <c r="B104" s="95" t="n">
        <v>25.96</v>
      </c>
      <c r="C104" s="95" t="n">
        <v>31.6</v>
      </c>
      <c r="D104" s="95" t="n">
        <v>36.37</v>
      </c>
      <c r="E104" s="95" t="n">
        <v>42.21</v>
      </c>
      <c r="F104" s="95" t="n">
        <v>50.15</v>
      </c>
    </row>
    <row r="105">
      <c r="A105" t="n">
        <v>81</v>
      </c>
      <c r="B105" s="95" t="n">
        <v>25.75</v>
      </c>
      <c r="C105" s="95" t="n">
        <v>31.73</v>
      </c>
      <c r="D105" s="95" t="n">
        <v>36.22</v>
      </c>
      <c r="E105" s="95" t="n">
        <v>42.01</v>
      </c>
      <c r="F105" s="95" t="n">
        <v>49.58</v>
      </c>
    </row>
    <row r="106">
      <c r="A106" t="n">
        <v>82</v>
      </c>
      <c r="B106" s="95" t="n">
        <v>25.71</v>
      </c>
      <c r="C106" s="95" t="n">
        <v>31.66</v>
      </c>
      <c r="D106" s="95" t="n">
        <v>36.26</v>
      </c>
      <c r="E106" s="95" t="n">
        <v>42.24</v>
      </c>
      <c r="F106" s="95" t="n">
        <v>49.57</v>
      </c>
    </row>
    <row r="107">
      <c r="A107" t="n">
        <v>83</v>
      </c>
      <c r="B107" s="95" t="n">
        <v>25.42</v>
      </c>
      <c r="C107" s="95" t="n">
        <v>31.51</v>
      </c>
      <c r="D107" s="95" t="n">
        <v>36.27</v>
      </c>
      <c r="E107" s="95" t="n">
        <v>42.18</v>
      </c>
      <c r="F107" s="95" t="n">
        <v>49.95</v>
      </c>
    </row>
    <row r="108">
      <c r="A108" t="n">
        <v>84</v>
      </c>
      <c r="B108" s="95" t="n">
        <v>25.52</v>
      </c>
      <c r="C108" s="95" t="n">
        <v>31.49</v>
      </c>
      <c r="D108" s="95" t="n">
        <v>36.36</v>
      </c>
      <c r="E108" s="95" t="n">
        <v>42.32</v>
      </c>
      <c r="F108" s="95" t="n">
        <v>50</v>
      </c>
    </row>
    <row r="109">
      <c r="A109" t="n">
        <v>85</v>
      </c>
      <c r="B109" s="95" t="n">
        <v>25.66</v>
      </c>
      <c r="C109" s="95" t="n">
        <v>31.7</v>
      </c>
      <c r="D109" s="95" t="n">
        <v>36.36</v>
      </c>
      <c r="E109" s="95" t="n">
        <v>42.2</v>
      </c>
      <c r="F109" s="95" t="n">
        <v>50.55</v>
      </c>
    </row>
    <row r="110">
      <c r="A110" t="n">
        <v>86</v>
      </c>
      <c r="B110" s="95" t="n">
        <v>25.43</v>
      </c>
      <c r="C110" s="95" t="n">
        <v>31.59</v>
      </c>
      <c r="D110" s="95" t="n">
        <v>36.35</v>
      </c>
      <c r="E110" s="95" t="n">
        <v>42.13</v>
      </c>
      <c r="F110" s="95" t="n">
        <v>50.46</v>
      </c>
    </row>
    <row r="111">
      <c r="A111" t="n">
        <v>87</v>
      </c>
      <c r="B111" s="95" t="n">
        <v>25.34</v>
      </c>
      <c r="C111" s="95" t="n">
        <v>31.42</v>
      </c>
      <c r="D111" s="95" t="n">
        <v>36.35</v>
      </c>
      <c r="E111" s="95" t="n">
        <v>42.46</v>
      </c>
      <c r="F111" s="95" t="n">
        <v>50.92</v>
      </c>
    </row>
    <row r="112">
      <c r="A112" t="n">
        <v>88</v>
      </c>
      <c r="B112" s="95" t="n">
        <v>25.2</v>
      </c>
      <c r="C112" s="95" t="n">
        <v>31.41</v>
      </c>
      <c r="D112" s="95" t="n">
        <v>36.43</v>
      </c>
      <c r="E112" s="95" t="n">
        <v>42.72</v>
      </c>
      <c r="F112" s="95" t="n">
        <v>51.25</v>
      </c>
    </row>
    <row r="113">
      <c r="A113" t="n">
        <v>89</v>
      </c>
      <c r="B113" s="95" t="n">
        <v>25.42</v>
      </c>
      <c r="C113" s="95" t="n">
        <v>31.34</v>
      </c>
      <c r="D113" s="95" t="n">
        <v>36.44</v>
      </c>
      <c r="E113" s="95" t="n">
        <v>42.72</v>
      </c>
      <c r="F113" s="95" t="n">
        <v>51.29</v>
      </c>
    </row>
    <row r="114">
      <c r="A114" t="n">
        <v>90</v>
      </c>
      <c r="B114" s="95" t="n">
        <v>25.38</v>
      </c>
      <c r="C114" s="95" t="n">
        <v>31.41</v>
      </c>
      <c r="D114" s="95" t="n">
        <v>36.43</v>
      </c>
      <c r="E114" s="95" t="n">
        <v>42.79</v>
      </c>
      <c r="F114" s="95" t="n">
        <v>51.49</v>
      </c>
    </row>
    <row r="115">
      <c r="A115" t="n">
        <v>91</v>
      </c>
      <c r="B115" s="95" t="n">
        <v>25.44</v>
      </c>
      <c r="C115" s="95" t="n">
        <v>31.3</v>
      </c>
      <c r="D115" s="95" t="n">
        <v>36.41</v>
      </c>
      <c r="E115" s="95" t="n">
        <v>42.73</v>
      </c>
      <c r="F115" s="95" t="n">
        <v>51.69</v>
      </c>
    </row>
    <row r="116">
      <c r="A116" t="n">
        <v>92</v>
      </c>
      <c r="B116" s="95" t="n">
        <v>25.24</v>
      </c>
      <c r="C116" s="95" t="n">
        <v>31.26</v>
      </c>
      <c r="D116" s="95" t="n">
        <v>36.43</v>
      </c>
      <c r="E116" s="95" t="n">
        <v>42.64</v>
      </c>
      <c r="F116" s="95" t="n">
        <v>52.08</v>
      </c>
    </row>
    <row r="117">
      <c r="A117" t="n">
        <v>93</v>
      </c>
      <c r="B117" s="95" t="n">
        <v>25.33</v>
      </c>
      <c r="C117" s="95" t="n">
        <v>31.27</v>
      </c>
      <c r="D117" s="95" t="n">
        <v>36.44</v>
      </c>
      <c r="E117" s="95" t="n">
        <v>42.77</v>
      </c>
      <c r="F117" s="95" t="n">
        <v>51.84</v>
      </c>
    </row>
    <row r="118">
      <c r="A118" t="n">
        <v>94</v>
      </c>
      <c r="B118" s="95" t="n">
        <v>24.92</v>
      </c>
      <c r="C118" s="95" t="n">
        <v>31.21</v>
      </c>
      <c r="D118" s="95" t="n">
        <v>36.6</v>
      </c>
      <c r="E118" s="95" t="n">
        <v>42.7</v>
      </c>
      <c r="F118" s="95" t="n">
        <v>51.91</v>
      </c>
    </row>
    <row r="119">
      <c r="A119" t="n">
        <v>95</v>
      </c>
      <c r="B119" s="95" t="n">
        <v>24.78</v>
      </c>
      <c r="C119" s="95" t="n">
        <v>31.17</v>
      </c>
      <c r="D119" s="95" t="n">
        <v>36.71</v>
      </c>
      <c r="E119" s="95" t="n">
        <v>42.96</v>
      </c>
      <c r="F119" s="95" t="n">
        <v>51.52</v>
      </c>
    </row>
    <row r="120">
      <c r="A120" t="n">
        <v>96</v>
      </c>
      <c r="B120" s="95" t="n">
        <v>24.68</v>
      </c>
      <c r="C120" s="95" t="n">
        <v>31.09</v>
      </c>
      <c r="D120" s="95" t="n">
        <v>36.64</v>
      </c>
      <c r="E120" s="95" t="n">
        <v>42.74</v>
      </c>
      <c r="F120" s="95" t="n">
        <v>51.55</v>
      </c>
    </row>
    <row r="121">
      <c r="A121" t="n">
        <v>97</v>
      </c>
      <c r="B121" s="95" t="n">
        <v>24.96</v>
      </c>
      <c r="C121" s="95" t="n">
        <v>31.22</v>
      </c>
      <c r="D121" s="95" t="n">
        <v>36.57</v>
      </c>
      <c r="E121" s="95" t="n">
        <v>42.86</v>
      </c>
      <c r="F121" s="95" t="n">
        <v>51.83</v>
      </c>
    </row>
    <row r="122">
      <c r="A122" t="n">
        <v>98</v>
      </c>
      <c r="B122" s="95" t="n">
        <v>24.68</v>
      </c>
      <c r="C122" s="95" t="n">
        <v>31.17</v>
      </c>
      <c r="D122" s="95" t="n">
        <v>36.47</v>
      </c>
      <c r="E122" s="95" t="n">
        <v>42.83</v>
      </c>
      <c r="F122" s="95" t="n">
        <v>51.55</v>
      </c>
    </row>
    <row r="123">
      <c r="A123" t="n">
        <v>99</v>
      </c>
      <c r="B123" s="95" t="n">
        <v>24.52</v>
      </c>
      <c r="C123" s="95" t="n">
        <v>31.02</v>
      </c>
      <c r="D123" s="95" t="n">
        <v>36.41</v>
      </c>
      <c r="E123" s="95" t="n">
        <v>42.92</v>
      </c>
      <c r="F123" s="95" t="n">
        <v>51.77</v>
      </c>
    </row>
    <row r="124">
      <c r="A124" t="n">
        <v>100</v>
      </c>
      <c r="B124" s="95" t="n">
        <v>24.53</v>
      </c>
      <c r="C124" s="95" t="n">
        <v>31.01</v>
      </c>
      <c r="D124" s="95" t="n">
        <v>36.42</v>
      </c>
      <c r="E124" s="95" t="n">
        <v>42.82</v>
      </c>
      <c r="F124" s="95" t="n">
        <v>51.75</v>
      </c>
    </row>
    <row r="125">
      <c r="A125" t="n">
        <v>101</v>
      </c>
      <c r="B125" s="95" t="n">
        <v>24.42</v>
      </c>
      <c r="C125" s="95" t="n">
        <v>30.97</v>
      </c>
      <c r="D125" s="95" t="n">
        <v>36.42</v>
      </c>
      <c r="E125" s="95" t="n">
        <v>42.92</v>
      </c>
      <c r="F125" s="95" t="n">
        <v>52.28</v>
      </c>
    </row>
    <row r="126">
      <c r="A126" t="n">
        <v>102</v>
      </c>
      <c r="B126" s="95" t="n">
        <v>24.39</v>
      </c>
      <c r="C126" s="95" t="n">
        <v>31</v>
      </c>
      <c r="D126" s="95" t="n">
        <v>36.27</v>
      </c>
      <c r="E126" s="95" t="n">
        <v>42.82</v>
      </c>
      <c r="F126" s="95" t="n">
        <v>52.29</v>
      </c>
    </row>
    <row r="127">
      <c r="A127" t="n">
        <v>103</v>
      </c>
      <c r="B127" s="95" t="n">
        <v>24.48</v>
      </c>
      <c r="C127" s="95" t="n">
        <v>30.99</v>
      </c>
      <c r="D127" s="95" t="n">
        <v>36.16</v>
      </c>
      <c r="E127" s="95" t="n">
        <v>42.87</v>
      </c>
      <c r="F127" s="95" t="n">
        <v>53.05</v>
      </c>
    </row>
    <row r="128">
      <c r="A128" t="n">
        <v>104</v>
      </c>
      <c r="B128" s="95" t="n">
        <v>24.29</v>
      </c>
      <c r="C128" s="95" t="n">
        <v>30.96</v>
      </c>
      <c r="D128" s="95" t="n">
        <v>36.41</v>
      </c>
      <c r="E128" s="95" t="n">
        <v>42.78</v>
      </c>
      <c r="F128" s="95" t="n">
        <v>53.18</v>
      </c>
    </row>
    <row r="129">
      <c r="A129" t="n">
        <v>105</v>
      </c>
      <c r="B129" s="95" t="n">
        <v>24.13</v>
      </c>
      <c r="C129" s="95" t="n">
        <v>30.92</v>
      </c>
      <c r="D129" s="95" t="n">
        <v>36.39</v>
      </c>
      <c r="E129" s="95" t="n">
        <v>42.87</v>
      </c>
      <c r="F129" s="95" t="n">
        <v>53.07</v>
      </c>
    </row>
    <row r="130">
      <c r="A130" t="n">
        <v>106</v>
      </c>
      <c r="B130" s="95" t="n">
        <v>24.25</v>
      </c>
      <c r="C130" s="95" t="n">
        <v>30.98</v>
      </c>
      <c r="D130" s="95" t="n">
        <v>36.43</v>
      </c>
      <c r="E130" s="95" t="n">
        <v>42.72</v>
      </c>
      <c r="F130" s="95" t="n">
        <v>52.93</v>
      </c>
    </row>
    <row r="131">
      <c r="A131" t="n">
        <v>107</v>
      </c>
      <c r="B131" s="95" t="n">
        <v>24.1</v>
      </c>
      <c r="C131" s="95" t="n">
        <v>31.07</v>
      </c>
      <c r="D131" s="95" t="n">
        <v>36.47</v>
      </c>
      <c r="E131" s="95" t="n">
        <v>42.58</v>
      </c>
      <c r="F131" s="95" t="n">
        <v>53.2</v>
      </c>
    </row>
    <row r="132">
      <c r="A132" t="n">
        <v>108</v>
      </c>
      <c r="B132" s="95" t="n">
        <v>24.04</v>
      </c>
      <c r="C132" s="95" t="n">
        <v>31.19</v>
      </c>
      <c r="D132" s="95" t="n">
        <v>36.55</v>
      </c>
      <c r="E132" s="95" t="n">
        <v>42.75</v>
      </c>
      <c r="F132" s="95" t="n">
        <v>52.68</v>
      </c>
    </row>
    <row r="133">
      <c r="A133" t="n">
        <v>109</v>
      </c>
      <c r="B133" s="95" t="n">
        <v>23.97</v>
      </c>
      <c r="C133" s="95" t="n">
        <v>31.26</v>
      </c>
      <c r="D133" s="95" t="n">
        <v>36.42</v>
      </c>
      <c r="E133" s="95" t="n">
        <v>42.71</v>
      </c>
      <c r="F133" s="95" t="n">
        <v>53.32</v>
      </c>
    </row>
    <row r="134">
      <c r="A134" t="n">
        <v>110</v>
      </c>
      <c r="B134" s="95" t="n">
        <v>23.89</v>
      </c>
      <c r="C134" s="95" t="n">
        <v>31.09</v>
      </c>
      <c r="D134" s="95" t="n">
        <v>36.41</v>
      </c>
      <c r="E134" s="95" t="n">
        <v>42.83</v>
      </c>
      <c r="F134" s="95" t="n">
        <v>53.66</v>
      </c>
    </row>
    <row r="135">
      <c r="A135" t="n">
        <v>111</v>
      </c>
      <c r="B135" s="95" t="n">
        <v>23.88</v>
      </c>
      <c r="C135" s="95" t="n">
        <v>31.07</v>
      </c>
      <c r="D135" s="95" t="n">
        <v>36.42</v>
      </c>
      <c r="E135" s="95" t="n">
        <v>42.81</v>
      </c>
      <c r="F135" s="95" t="n">
        <v>53.77</v>
      </c>
    </row>
    <row r="136">
      <c r="A136" t="n">
        <v>112</v>
      </c>
      <c r="B136" s="95" t="n">
        <v>23.9</v>
      </c>
      <c r="C136" s="95" t="n">
        <v>31.13</v>
      </c>
      <c r="D136" s="95" t="n">
        <v>36.43</v>
      </c>
      <c r="E136" s="95" t="n">
        <v>42.87</v>
      </c>
      <c r="F136" s="95" t="n">
        <v>53.13</v>
      </c>
    </row>
    <row r="137">
      <c r="A137" t="n">
        <v>113</v>
      </c>
      <c r="B137" s="95" t="n">
        <v>24.02</v>
      </c>
      <c r="C137" s="95" t="n">
        <v>31</v>
      </c>
      <c r="D137" s="95" t="n">
        <v>36.68</v>
      </c>
      <c r="E137" s="95" t="n">
        <v>42.84</v>
      </c>
      <c r="F137" s="95" t="n">
        <v>54.33</v>
      </c>
    </row>
    <row r="138">
      <c r="A138" t="n">
        <v>114</v>
      </c>
      <c r="B138" s="95" t="n">
        <v>23.8</v>
      </c>
      <c r="C138" s="95" t="n">
        <v>31.03</v>
      </c>
      <c r="D138" s="95" t="n">
        <v>36.49</v>
      </c>
      <c r="E138" s="95" t="n">
        <v>42.94</v>
      </c>
      <c r="F138" s="95" t="n">
        <v>54.44</v>
      </c>
    </row>
    <row r="139">
      <c r="A139" t="n">
        <v>115</v>
      </c>
      <c r="B139" s="95" t="n">
        <v>23.58</v>
      </c>
      <c r="C139" s="95" t="n">
        <v>30.98</v>
      </c>
      <c r="D139" s="95" t="n">
        <v>36.53</v>
      </c>
      <c r="E139" s="95" t="n">
        <v>42.92</v>
      </c>
      <c r="F139" s="95" t="n">
        <v>54.35</v>
      </c>
    </row>
    <row r="140">
      <c r="A140" t="n">
        <v>116</v>
      </c>
      <c r="B140" s="95" t="n">
        <v>23.69</v>
      </c>
      <c r="C140" s="95" t="n">
        <v>30.86</v>
      </c>
      <c r="D140" s="95" t="n">
        <v>36.65</v>
      </c>
      <c r="E140" s="95" t="n">
        <v>42.99</v>
      </c>
      <c r="F140" s="95" t="n">
        <v>54.74</v>
      </c>
    </row>
    <row r="141">
      <c r="A141" t="n">
        <v>117</v>
      </c>
      <c r="B141" s="95" t="n">
        <v>23.52</v>
      </c>
      <c r="C141" s="95" t="n">
        <v>30.98</v>
      </c>
      <c r="D141" s="95" t="n">
        <v>36.72</v>
      </c>
      <c r="E141" s="95" t="n">
        <v>43.49</v>
      </c>
      <c r="F141" s="95" t="n">
        <v>54.61</v>
      </c>
    </row>
    <row r="142">
      <c r="A142" t="n">
        <v>118</v>
      </c>
      <c r="B142" s="95" t="n">
        <v>23.29</v>
      </c>
      <c r="C142" s="95" t="n">
        <v>30.92</v>
      </c>
      <c r="D142" s="95" t="n">
        <v>36.55</v>
      </c>
      <c r="E142" s="95" t="n">
        <v>43.23</v>
      </c>
      <c r="F142" s="95" t="n">
        <v>54.3</v>
      </c>
    </row>
    <row r="143">
      <c r="A143" t="n">
        <v>119</v>
      </c>
      <c r="B143" s="95" t="n">
        <v>23.56</v>
      </c>
      <c r="C143" s="95" t="n">
        <v>30.81</v>
      </c>
      <c r="D143" s="95" t="n">
        <v>36.38</v>
      </c>
      <c r="E143" s="95" t="n">
        <v>43.39</v>
      </c>
      <c r="F143" s="95" t="n">
        <v>55.7</v>
      </c>
    </row>
    <row r="144">
      <c r="A144" t="n">
        <v>120</v>
      </c>
      <c r="B144" s="95" t="n">
        <v>23.35</v>
      </c>
      <c r="C144" s="95" t="n">
        <v>30.64</v>
      </c>
      <c r="D144" s="95" t="n">
        <v>36.47</v>
      </c>
      <c r="E144" s="95" t="n">
        <v>43.44</v>
      </c>
      <c r="F144" s="95" t="n">
        <v>55.04</v>
      </c>
    </row>
    <row r="145">
      <c r="A145" t="n">
        <v>121</v>
      </c>
      <c r="B145" s="95" t="n">
        <v>23.15</v>
      </c>
      <c r="C145" s="95" t="n">
        <v>30.52</v>
      </c>
      <c r="D145" s="95" t="n">
        <v>36.48</v>
      </c>
      <c r="E145" s="95" t="n">
        <v>43.55</v>
      </c>
      <c r="F145" s="95" t="n">
        <v>55.04</v>
      </c>
    </row>
    <row r="146">
      <c r="A146" t="n">
        <v>122</v>
      </c>
      <c r="B146" s="95" t="n">
        <v>23.24</v>
      </c>
      <c r="C146" s="95" t="n">
        <v>30.61</v>
      </c>
      <c r="D146" s="95" t="n">
        <v>36.53</v>
      </c>
      <c r="E146" s="95" t="n">
        <v>43.53</v>
      </c>
      <c r="F146" s="95" t="n">
        <v>54.94</v>
      </c>
    </row>
    <row r="147">
      <c r="A147" t="n">
        <v>123</v>
      </c>
      <c r="B147" s="95" t="n">
        <v>23.21</v>
      </c>
      <c r="C147" s="95" t="n">
        <v>30.6</v>
      </c>
      <c r="D147" s="95" t="n">
        <v>36.48</v>
      </c>
      <c r="E147" s="95" t="n">
        <v>43.49</v>
      </c>
      <c r="F147" s="95" t="n">
        <v>55.3</v>
      </c>
    </row>
    <row r="148">
      <c r="A148" t="n">
        <v>124</v>
      </c>
      <c r="B148" s="95" t="n">
        <v>23.1</v>
      </c>
      <c r="C148" s="95" t="n">
        <v>30.51</v>
      </c>
      <c r="D148" s="95" t="n">
        <v>36.51</v>
      </c>
      <c r="E148" s="95" t="n">
        <v>43.55</v>
      </c>
      <c r="F148" s="95" t="n">
        <v>55.4</v>
      </c>
    </row>
    <row r="149">
      <c r="A149" t="n">
        <v>125</v>
      </c>
      <c r="B149" s="95" t="n">
        <v>22.89</v>
      </c>
      <c r="C149" s="95" t="n">
        <v>30.63</v>
      </c>
      <c r="D149" s="95" t="n">
        <v>36.57</v>
      </c>
      <c r="E149" s="95" t="n">
        <v>43.68</v>
      </c>
      <c r="F149" s="95" t="n">
        <v>55.79</v>
      </c>
    </row>
    <row r="150">
      <c r="A150" t="n">
        <v>126</v>
      </c>
      <c r="B150" s="95" t="n">
        <v>23.2</v>
      </c>
      <c r="C150" s="95" t="n">
        <v>30.42</v>
      </c>
      <c r="D150" s="95" t="n">
        <v>36.69</v>
      </c>
      <c r="E150" s="95" t="n">
        <v>43.97</v>
      </c>
      <c r="F150" s="95" t="n">
        <v>55.98</v>
      </c>
    </row>
    <row r="151">
      <c r="A151" t="n">
        <v>127</v>
      </c>
      <c r="B151" s="95" t="n">
        <v>23.11</v>
      </c>
      <c r="C151" s="95" t="n">
        <v>30.39</v>
      </c>
      <c r="D151" s="95" t="n">
        <v>36.56</v>
      </c>
      <c r="E151" s="95" t="n">
        <v>44.13</v>
      </c>
      <c r="F151" s="95" t="n">
        <v>56.22</v>
      </c>
    </row>
    <row r="152">
      <c r="A152" t="n">
        <v>128</v>
      </c>
      <c r="B152" s="95" t="n">
        <v>23.11</v>
      </c>
      <c r="C152" s="95" t="n">
        <v>30.31</v>
      </c>
      <c r="D152" s="95" t="n">
        <v>36.34</v>
      </c>
      <c r="E152" s="95" t="n">
        <v>43.96</v>
      </c>
      <c r="F152" s="95" t="n">
        <v>55.82</v>
      </c>
    </row>
    <row r="153">
      <c r="A153" t="n">
        <v>129</v>
      </c>
      <c r="B153" s="95" t="n">
        <v>23.09</v>
      </c>
      <c r="C153" s="95" t="n">
        <v>30.22</v>
      </c>
      <c r="D153" s="95" t="n">
        <v>36.5</v>
      </c>
      <c r="E153" s="95" t="n">
        <v>44</v>
      </c>
      <c r="F153" s="95" t="n">
        <v>55.67</v>
      </c>
    </row>
    <row r="154">
      <c r="A154" t="n">
        <v>130</v>
      </c>
      <c r="B154" s="95" t="n">
        <v>23.05</v>
      </c>
      <c r="C154" s="95" t="n">
        <v>30.3</v>
      </c>
      <c r="D154" s="95" t="n">
        <v>36.51</v>
      </c>
      <c r="E154" s="95" t="n">
        <v>43.71</v>
      </c>
      <c r="F154" s="95" t="n">
        <v>55.8</v>
      </c>
    </row>
    <row r="155">
      <c r="A155" t="n">
        <v>131</v>
      </c>
      <c r="B155" s="95" t="n">
        <v>23.22</v>
      </c>
      <c r="C155" s="95" t="n">
        <v>30.15</v>
      </c>
      <c r="D155" s="95" t="n">
        <v>36.75</v>
      </c>
      <c r="E155" s="95" t="n">
        <v>43.82</v>
      </c>
      <c r="F155" s="95" t="n">
        <v>55.4</v>
      </c>
    </row>
    <row r="156">
      <c r="A156" t="n">
        <v>132</v>
      </c>
      <c r="B156" s="95" t="n">
        <v>23.42</v>
      </c>
      <c r="C156" s="95" t="n">
        <v>30.14</v>
      </c>
      <c r="D156" s="95" t="n">
        <v>36.53</v>
      </c>
      <c r="E156" s="95" t="n">
        <v>43.79</v>
      </c>
      <c r="F156" s="95" t="n">
        <v>56.26</v>
      </c>
    </row>
    <row r="157">
      <c r="A157" t="n">
        <v>133</v>
      </c>
      <c r="B157" s="95" t="n">
        <v>23.26</v>
      </c>
      <c r="C157" s="95" t="n">
        <v>30.2</v>
      </c>
      <c r="D157" s="95" t="n">
        <v>36.55</v>
      </c>
      <c r="E157" s="95" t="n">
        <v>43.7</v>
      </c>
      <c r="F157" s="95" t="n">
        <v>56.2</v>
      </c>
    </row>
    <row r="158">
      <c r="A158" t="n">
        <v>134</v>
      </c>
      <c r="B158" s="95" t="n">
        <v>22.98</v>
      </c>
      <c r="C158" s="95" t="n">
        <v>30.27</v>
      </c>
      <c r="D158" s="95" t="n">
        <v>36.59</v>
      </c>
      <c r="E158" s="95" t="n">
        <v>43.54</v>
      </c>
      <c r="F158" s="95" t="n">
        <v>56.79</v>
      </c>
    </row>
    <row r="159">
      <c r="A159" t="n">
        <v>135</v>
      </c>
      <c r="B159" s="95" t="n">
        <v>23.05</v>
      </c>
      <c r="C159" s="95" t="n">
        <v>30.27</v>
      </c>
      <c r="D159" s="95" t="n">
        <v>36.68</v>
      </c>
      <c r="E159" s="95" t="n">
        <v>43.71</v>
      </c>
      <c r="F159" s="95" t="n">
        <v>56.68</v>
      </c>
    </row>
    <row r="160">
      <c r="A160" t="n">
        <v>136</v>
      </c>
      <c r="B160" s="95" t="n">
        <v>22.95</v>
      </c>
      <c r="C160" s="95" t="n">
        <v>30.32</v>
      </c>
      <c r="D160" s="95" t="n">
        <v>36.76</v>
      </c>
      <c r="E160" s="95" t="n">
        <v>43.87</v>
      </c>
      <c r="F160" s="95" t="n">
        <v>56.78</v>
      </c>
    </row>
    <row r="161">
      <c r="A161" t="n">
        <v>137</v>
      </c>
      <c r="B161" s="95" t="n">
        <v>22.74</v>
      </c>
      <c r="C161" s="95" t="n">
        <v>30.29</v>
      </c>
      <c r="D161" s="95" t="n">
        <v>36.71</v>
      </c>
      <c r="E161" s="95" t="n">
        <v>43.91</v>
      </c>
      <c r="F161" s="95" t="n">
        <v>57.24</v>
      </c>
    </row>
    <row r="162">
      <c r="A162" t="n">
        <v>138</v>
      </c>
      <c r="B162" s="95" t="n">
        <v>22.89</v>
      </c>
      <c r="C162" s="95" t="n">
        <v>30.4</v>
      </c>
      <c r="D162" s="95" t="n">
        <v>36.64</v>
      </c>
      <c r="E162" s="95" t="n">
        <v>43.86</v>
      </c>
      <c r="F162" s="95" t="n">
        <v>57.46</v>
      </c>
    </row>
    <row r="163">
      <c r="A163" t="n">
        <v>139</v>
      </c>
      <c r="B163" s="95" t="n">
        <v>22.92</v>
      </c>
      <c r="C163" s="95" t="n">
        <v>30.14</v>
      </c>
      <c r="D163" s="95" t="n">
        <v>36.7</v>
      </c>
      <c r="E163" s="95" t="n">
        <v>43.86</v>
      </c>
      <c r="F163" s="95" t="n">
        <v>57.95</v>
      </c>
    </row>
    <row r="164">
      <c r="A164" t="n">
        <v>140</v>
      </c>
      <c r="B164" s="95" t="n">
        <v>23</v>
      </c>
      <c r="C164" s="95" t="n">
        <v>30.22</v>
      </c>
      <c r="D164" s="95" t="n">
        <v>36.79</v>
      </c>
      <c r="E164" s="95" t="n">
        <v>43.73</v>
      </c>
      <c r="F164" s="95" t="n">
        <v>57.92</v>
      </c>
    </row>
    <row r="165">
      <c r="A165" t="n">
        <v>141</v>
      </c>
      <c r="B165" s="95" t="n">
        <v>22.78</v>
      </c>
      <c r="C165" s="95" t="n">
        <v>30.08</v>
      </c>
      <c r="D165" s="95" t="n">
        <v>36.58</v>
      </c>
      <c r="E165" s="95" t="n">
        <v>43.7</v>
      </c>
      <c r="F165" s="95" t="n">
        <v>57.75</v>
      </c>
    </row>
    <row r="166">
      <c r="A166" t="n">
        <v>142</v>
      </c>
      <c r="B166" s="95" t="n">
        <v>22.76</v>
      </c>
      <c r="C166" s="95" t="n">
        <v>30.22</v>
      </c>
      <c r="D166" s="95" t="n">
        <v>36.69</v>
      </c>
      <c r="E166" s="95" t="n">
        <v>43.76</v>
      </c>
      <c r="F166" s="95" t="n">
        <v>57.62</v>
      </c>
    </row>
    <row r="167">
      <c r="A167" t="n">
        <v>143</v>
      </c>
      <c r="B167" s="95" t="n">
        <v>22.93</v>
      </c>
      <c r="C167" s="95" t="n">
        <v>30.16</v>
      </c>
      <c r="D167" s="95" t="n">
        <v>36.85</v>
      </c>
      <c r="E167" s="95" t="n">
        <v>43.76</v>
      </c>
      <c r="F167" s="95" t="n">
        <v>57.97</v>
      </c>
    </row>
    <row r="168">
      <c r="A168" t="n">
        <v>144</v>
      </c>
      <c r="B168" s="95" t="n">
        <v>22.91</v>
      </c>
      <c r="C168" s="95" t="n">
        <v>30.03</v>
      </c>
      <c r="D168" s="95" t="n">
        <v>36.77</v>
      </c>
      <c r="E168" s="95" t="n">
        <v>43.83</v>
      </c>
      <c r="F168" s="95" t="n">
        <v>57.75</v>
      </c>
    </row>
    <row r="169">
      <c r="A169" t="n">
        <v>145</v>
      </c>
      <c r="B169" s="95" t="n">
        <v>22.78</v>
      </c>
      <c r="C169" s="95" t="n">
        <v>30.01</v>
      </c>
      <c r="D169" s="95" t="n">
        <v>36.73</v>
      </c>
      <c r="E169" s="95" t="n">
        <v>43.84</v>
      </c>
      <c r="F169" s="95" t="n">
        <v>57.37</v>
      </c>
    </row>
    <row r="170">
      <c r="A170" t="n">
        <v>146</v>
      </c>
      <c r="B170" s="95" t="n">
        <v>22.95</v>
      </c>
      <c r="C170" s="95" t="n">
        <v>30.09</v>
      </c>
      <c r="D170" s="95" t="n">
        <v>36.67</v>
      </c>
      <c r="E170" s="95" t="n">
        <v>44.05</v>
      </c>
      <c r="F170" s="95" t="n">
        <v>58.07</v>
      </c>
    </row>
    <row r="171">
      <c r="A171" t="n">
        <v>147</v>
      </c>
      <c r="B171" s="95" t="n">
        <v>22.9</v>
      </c>
      <c r="C171" s="95" t="n">
        <v>29.94</v>
      </c>
      <c r="D171" s="95" t="n">
        <v>36.63</v>
      </c>
      <c r="E171" s="95" t="n">
        <v>44.01</v>
      </c>
      <c r="F171" s="95" t="n">
        <v>58.76</v>
      </c>
    </row>
    <row r="172">
      <c r="A172" t="n">
        <v>148</v>
      </c>
      <c r="B172" s="95" t="n">
        <v>22.79</v>
      </c>
      <c r="C172" s="95" t="n">
        <v>30.15</v>
      </c>
      <c r="D172" s="95" t="n">
        <v>36.51</v>
      </c>
      <c r="E172" s="95" t="n">
        <v>43.96</v>
      </c>
      <c r="F172" s="95" t="n">
        <v>58.27</v>
      </c>
    </row>
    <row r="173">
      <c r="A173" t="n">
        <v>149</v>
      </c>
      <c r="B173" s="95" t="n">
        <v>22.88</v>
      </c>
      <c r="C173" s="95" t="n">
        <v>30.02</v>
      </c>
      <c r="D173" s="95" t="n">
        <v>36.52</v>
      </c>
      <c r="E173" s="95" t="n">
        <v>43.92</v>
      </c>
      <c r="F173" s="95" t="n">
        <v>58.63</v>
      </c>
    </row>
    <row r="174">
      <c r="A174" t="n">
        <v>150</v>
      </c>
      <c r="B174" s="95" t="n">
        <v>22.82</v>
      </c>
      <c r="C174" s="95" t="n">
        <v>29.86</v>
      </c>
      <c r="D174" s="95" t="n">
        <v>36.57</v>
      </c>
      <c r="E174" s="95" t="n">
        <v>43.77</v>
      </c>
      <c r="F174" s="95" t="n">
        <v>58.61</v>
      </c>
    </row>
    <row r="175">
      <c r="A175" t="n">
        <v>151</v>
      </c>
      <c r="B175" s="95" t="n">
        <v>22.92</v>
      </c>
      <c r="C175" s="95" t="n">
        <v>29.89</v>
      </c>
      <c r="D175" s="95" t="n">
        <v>36.66</v>
      </c>
      <c r="E175" s="95" t="n">
        <v>43.95</v>
      </c>
      <c r="F175" s="95" t="n">
        <v>58.7</v>
      </c>
    </row>
    <row r="176">
      <c r="A176" t="n">
        <v>152</v>
      </c>
      <c r="B176" s="95" t="n">
        <v>22.86</v>
      </c>
      <c r="C176" s="95" t="n">
        <v>29.76</v>
      </c>
      <c r="D176" s="95" t="n">
        <v>36.61</v>
      </c>
      <c r="E176" s="95" t="n">
        <v>43.96</v>
      </c>
      <c r="F176" s="95" t="n">
        <v>58.27</v>
      </c>
    </row>
    <row r="177">
      <c r="A177" t="n">
        <v>153</v>
      </c>
      <c r="B177" s="95" t="n">
        <v>22.76</v>
      </c>
      <c r="C177" s="95" t="n">
        <v>30.08</v>
      </c>
      <c r="D177" s="95" t="n">
        <v>36.71</v>
      </c>
      <c r="E177" s="95" t="n">
        <v>44.22</v>
      </c>
      <c r="F177" s="95" t="n">
        <v>58.59</v>
      </c>
    </row>
    <row r="178">
      <c r="A178" t="n">
        <v>154</v>
      </c>
      <c r="B178" s="95" t="n">
        <v>22.5</v>
      </c>
      <c r="C178" s="95" t="n">
        <v>30.05</v>
      </c>
      <c r="D178" s="95" t="n">
        <v>36.61</v>
      </c>
      <c r="E178" s="95" t="n">
        <v>44.62</v>
      </c>
      <c r="F178" s="95" t="n">
        <v>58.17</v>
      </c>
    </row>
    <row r="179">
      <c r="A179" t="n">
        <v>155</v>
      </c>
      <c r="B179" s="95" t="n">
        <v>22.48</v>
      </c>
      <c r="C179" s="95" t="n">
        <v>29.98</v>
      </c>
      <c r="D179" s="95" t="n">
        <v>36.43</v>
      </c>
      <c r="E179" s="95" t="n">
        <v>44.22</v>
      </c>
      <c r="F179" s="95" t="n">
        <v>58.81</v>
      </c>
    </row>
    <row r="180">
      <c r="A180" t="n">
        <v>156</v>
      </c>
      <c r="B180" s="95" t="n">
        <v>22.64</v>
      </c>
      <c r="C180" s="95" t="n">
        <v>29.81</v>
      </c>
      <c r="D180" s="95" t="n">
        <v>36.53</v>
      </c>
      <c r="E180" s="95" t="n">
        <v>44.53</v>
      </c>
      <c r="F180" s="95" t="n">
        <v>58.85</v>
      </c>
    </row>
    <row r="181">
      <c r="A181" t="n">
        <v>157</v>
      </c>
      <c r="B181" s="95" t="n">
        <v>22.64</v>
      </c>
      <c r="C181" s="95" t="n">
        <v>29.74</v>
      </c>
      <c r="D181" s="95" t="n">
        <v>36.19</v>
      </c>
      <c r="E181" s="95" t="n">
        <v>45.04</v>
      </c>
      <c r="F181" s="95" t="n">
        <v>58.72</v>
      </c>
    </row>
    <row r="182">
      <c r="A182" t="n">
        <v>158</v>
      </c>
      <c r="B182" s="95" t="n">
        <v>22.68</v>
      </c>
      <c r="C182" s="95" t="n">
        <v>29.73</v>
      </c>
      <c r="D182" s="95" t="n">
        <v>36.41</v>
      </c>
      <c r="E182" s="95" t="n">
        <v>44.92</v>
      </c>
      <c r="F182" s="95" t="n">
        <v>58.55</v>
      </c>
    </row>
    <row r="183">
      <c r="A183" t="n">
        <v>159</v>
      </c>
      <c r="B183" s="95" t="n">
        <v>22.78</v>
      </c>
      <c r="C183" s="95" t="n">
        <v>29.79</v>
      </c>
      <c r="D183" s="95" t="n">
        <v>36.52</v>
      </c>
      <c r="E183" s="95" t="n">
        <v>45.06</v>
      </c>
      <c r="F183" s="95" t="n">
        <v>58.58</v>
      </c>
    </row>
    <row r="184">
      <c r="A184" t="n">
        <v>160</v>
      </c>
      <c r="B184" s="95" t="n">
        <v>22.72</v>
      </c>
      <c r="C184" s="95" t="n">
        <v>29.78</v>
      </c>
      <c r="D184" s="95" t="n">
        <v>36.46</v>
      </c>
      <c r="E184" s="95" t="n">
        <v>45.05</v>
      </c>
      <c r="F184" s="95" t="n">
        <v>59.28</v>
      </c>
    </row>
    <row r="185">
      <c r="A185" t="n">
        <v>161</v>
      </c>
      <c r="B185" s="95" t="n">
        <v>22.64</v>
      </c>
      <c r="C185" s="95" t="n">
        <v>29.73</v>
      </c>
      <c r="D185" s="95" t="n">
        <v>36.38</v>
      </c>
      <c r="E185" s="95" t="n">
        <v>45.21</v>
      </c>
      <c r="F185" s="95" t="n">
        <v>59.17</v>
      </c>
    </row>
    <row r="186">
      <c r="A186" t="n">
        <v>162</v>
      </c>
      <c r="B186" s="95" t="n">
        <v>22.66</v>
      </c>
      <c r="C186" s="95" t="n">
        <v>29.57</v>
      </c>
      <c r="D186" s="95" t="n">
        <v>36.52</v>
      </c>
      <c r="E186" s="95" t="n">
        <v>45.01</v>
      </c>
      <c r="F186" s="95" t="n">
        <v>59.24</v>
      </c>
    </row>
    <row r="187">
      <c r="A187" t="n">
        <v>163</v>
      </c>
      <c r="B187" s="95" t="n">
        <v>22.56</v>
      </c>
      <c r="C187" s="95" t="n">
        <v>29.6</v>
      </c>
      <c r="D187" s="95" t="n">
        <v>36.5</v>
      </c>
      <c r="E187" s="95" t="n">
        <v>45.04</v>
      </c>
      <c r="F187" s="95" t="n">
        <v>59.33</v>
      </c>
    </row>
    <row r="188">
      <c r="A188" t="n">
        <v>164</v>
      </c>
      <c r="B188" s="95" t="n">
        <v>22.59</v>
      </c>
      <c r="C188" s="95" t="n">
        <v>29.77</v>
      </c>
      <c r="D188" s="95" t="n">
        <v>36.28</v>
      </c>
      <c r="E188" s="95" t="n">
        <v>45.31</v>
      </c>
      <c r="F188" s="95" t="n">
        <v>59.18</v>
      </c>
    </row>
    <row r="189">
      <c r="A189" t="n">
        <v>165</v>
      </c>
      <c r="B189" s="95" t="n">
        <v>22.51</v>
      </c>
      <c r="C189" s="95" t="n">
        <v>29.74</v>
      </c>
      <c r="D189" s="95" t="n">
        <v>36.4</v>
      </c>
      <c r="E189" s="95" t="n">
        <v>45.33</v>
      </c>
      <c r="F189" s="95" t="n">
        <v>60.4</v>
      </c>
    </row>
    <row r="190">
      <c r="A190" t="n">
        <v>166</v>
      </c>
      <c r="B190" s="95" t="n">
        <v>22.34</v>
      </c>
      <c r="C190" s="95" t="n">
        <v>29.96</v>
      </c>
      <c r="D190" s="95" t="n">
        <v>36.38</v>
      </c>
      <c r="E190" s="95" t="n">
        <v>45.3</v>
      </c>
      <c r="F190" s="95" t="n">
        <v>59.6</v>
      </c>
    </row>
    <row r="191">
      <c r="A191" t="n">
        <v>167</v>
      </c>
      <c r="B191" s="95" t="n">
        <v>22.36</v>
      </c>
      <c r="C191" s="95" t="n">
        <v>29.81</v>
      </c>
      <c r="D191" s="95" t="n">
        <v>36.49</v>
      </c>
      <c r="E191" s="95" t="n">
        <v>45.26</v>
      </c>
      <c r="F191" s="95" t="n">
        <v>59.7</v>
      </c>
    </row>
    <row r="192">
      <c r="A192" t="n">
        <v>168</v>
      </c>
      <c r="B192" s="95" t="n">
        <v>22.21</v>
      </c>
      <c r="C192" s="95" t="n">
        <v>29.79</v>
      </c>
      <c r="D192" s="95" t="n">
        <v>36.53</v>
      </c>
      <c r="E192" s="95" t="n">
        <v>45.27</v>
      </c>
      <c r="F192" s="95" t="n">
        <v>59.68</v>
      </c>
    </row>
    <row r="193">
      <c r="A193" t="n">
        <v>169</v>
      </c>
      <c r="B193" s="95" t="n">
        <v>22.16</v>
      </c>
      <c r="C193" s="95" t="n">
        <v>29.73</v>
      </c>
      <c r="D193" s="95" t="n">
        <v>36.63</v>
      </c>
      <c r="E193" s="95" t="n">
        <v>45.27</v>
      </c>
      <c r="F193" s="95" t="n">
        <v>60.15</v>
      </c>
    </row>
    <row r="194">
      <c r="A194" t="n">
        <v>170</v>
      </c>
      <c r="B194" s="95" t="n">
        <v>22.11</v>
      </c>
      <c r="C194" s="95" t="n">
        <v>29.75</v>
      </c>
      <c r="D194" s="95" t="n">
        <v>36.51</v>
      </c>
      <c r="E194" s="95" t="n">
        <v>45.34</v>
      </c>
      <c r="F194" s="95" t="n">
        <v>59.62</v>
      </c>
    </row>
    <row r="195">
      <c r="A195" t="n">
        <v>171</v>
      </c>
      <c r="B195" s="95" t="n">
        <v>22.03</v>
      </c>
      <c r="C195" s="95" t="n">
        <v>29.87</v>
      </c>
      <c r="D195" s="95" t="n">
        <v>36.52</v>
      </c>
      <c r="E195" s="95" t="n">
        <v>45.63</v>
      </c>
      <c r="F195" s="95" t="n">
        <v>59.49</v>
      </c>
    </row>
    <row r="196">
      <c r="A196" t="n">
        <v>172</v>
      </c>
      <c r="B196" s="95" t="n">
        <v>22.19</v>
      </c>
      <c r="C196" s="95" t="n">
        <v>30.06</v>
      </c>
      <c r="D196" s="95" t="n">
        <v>36.64</v>
      </c>
      <c r="E196" s="95" t="n">
        <v>45.7</v>
      </c>
      <c r="F196" s="95" t="n">
        <v>59.28</v>
      </c>
    </row>
    <row r="197">
      <c r="A197" t="n">
        <v>173</v>
      </c>
      <c r="B197" s="95" t="n">
        <v>22.14</v>
      </c>
      <c r="C197" s="95" t="n">
        <v>30.02</v>
      </c>
      <c r="D197" s="95" t="n">
        <v>36.55</v>
      </c>
      <c r="E197" s="95" t="n">
        <v>45.87</v>
      </c>
      <c r="F197" s="95" t="n">
        <v>59.53</v>
      </c>
    </row>
    <row r="198">
      <c r="A198" t="n">
        <v>174</v>
      </c>
      <c r="B198" s="95" t="n">
        <v>22.27</v>
      </c>
      <c r="C198" s="95" t="n">
        <v>29.9</v>
      </c>
      <c r="D198" s="95" t="n">
        <v>36.51</v>
      </c>
      <c r="E198" s="95" t="n">
        <v>45.86</v>
      </c>
      <c r="F198" s="95" t="n">
        <v>59.61</v>
      </c>
    </row>
    <row r="199">
      <c r="A199" t="n">
        <v>175</v>
      </c>
      <c r="B199" s="95" t="n">
        <v>22.22</v>
      </c>
      <c r="C199" s="95" t="n">
        <v>29.97</v>
      </c>
      <c r="D199" s="95" t="n">
        <v>36.58</v>
      </c>
      <c r="E199" s="95" t="n">
        <v>46.08</v>
      </c>
      <c r="F199" s="95" t="n">
        <v>61.06</v>
      </c>
    </row>
    <row r="200">
      <c r="A200" t="n">
        <v>176</v>
      </c>
      <c r="B200" s="95" t="n">
        <v>22.33</v>
      </c>
      <c r="C200" s="95" t="n">
        <v>30.03</v>
      </c>
      <c r="D200" s="95" t="n">
        <v>36.71</v>
      </c>
      <c r="E200" s="95" t="n">
        <v>46.12</v>
      </c>
      <c r="F200" s="95" t="n">
        <v>60.15</v>
      </c>
    </row>
    <row r="201">
      <c r="A201" t="n">
        <v>177</v>
      </c>
      <c r="B201" s="95" t="n">
        <v>22.62</v>
      </c>
      <c r="C201" s="95" t="n">
        <v>29.96</v>
      </c>
      <c r="D201" s="95" t="n">
        <v>36.75</v>
      </c>
      <c r="E201" s="95" t="n">
        <v>45.79</v>
      </c>
      <c r="F201" s="95" t="n">
        <v>61</v>
      </c>
    </row>
    <row r="202">
      <c r="A202" t="n">
        <v>178</v>
      </c>
      <c r="B202" s="95" t="n">
        <v>22.37</v>
      </c>
      <c r="C202" s="95" t="n">
        <v>29.88</v>
      </c>
      <c r="D202" s="95" t="n">
        <v>36.7</v>
      </c>
      <c r="E202" s="95" t="n">
        <v>45.99</v>
      </c>
      <c r="F202" s="95" t="n">
        <v>60.42</v>
      </c>
    </row>
    <row r="203">
      <c r="A203" t="n">
        <v>179</v>
      </c>
      <c r="B203" s="95" t="n">
        <v>22.45</v>
      </c>
      <c r="C203" s="95" t="n">
        <v>29.77</v>
      </c>
      <c r="D203" s="95" t="n">
        <v>36.81</v>
      </c>
      <c r="E203" s="95" t="n">
        <v>45.87</v>
      </c>
      <c r="F203" s="95" t="n">
        <v>61.39</v>
      </c>
    </row>
    <row r="204">
      <c r="A204" t="n">
        <v>180</v>
      </c>
      <c r="B204" s="95" t="n">
        <v>22.4</v>
      </c>
      <c r="C204" s="95" t="n">
        <v>29.83</v>
      </c>
      <c r="D204" s="95" t="n">
        <v>36.71</v>
      </c>
      <c r="E204" s="95" t="n">
        <v>45.9</v>
      </c>
      <c r="F204" s="95" t="n">
        <v>60.75</v>
      </c>
    </row>
    <row r="205">
      <c r="A205" t="n">
        <v>181</v>
      </c>
      <c r="B205" s="95" t="n">
        <v>22.46</v>
      </c>
      <c r="C205" s="95" t="n">
        <v>29.84</v>
      </c>
      <c r="D205" s="95" t="n">
        <v>36.86</v>
      </c>
      <c r="E205" s="95" t="n">
        <v>46.12</v>
      </c>
      <c r="F205" s="95" t="n">
        <v>61.12</v>
      </c>
    </row>
    <row r="206">
      <c r="A206" t="n">
        <v>182</v>
      </c>
      <c r="B206" s="95" t="n">
        <v>22.28</v>
      </c>
      <c r="C206" s="95" t="n">
        <v>29.79</v>
      </c>
      <c r="D206" s="95" t="n">
        <v>37.17</v>
      </c>
      <c r="E206" s="95" t="n">
        <v>45.96</v>
      </c>
      <c r="F206" s="95" t="n">
        <v>61.27</v>
      </c>
    </row>
    <row r="207">
      <c r="A207" t="n">
        <v>183</v>
      </c>
      <c r="B207" s="95" t="n">
        <v>22.29</v>
      </c>
      <c r="C207" s="95" t="n">
        <v>29.82</v>
      </c>
      <c r="D207" s="95" t="n">
        <v>37.21</v>
      </c>
      <c r="E207" s="95" t="n">
        <v>45.85</v>
      </c>
      <c r="F207" s="95" t="n">
        <v>61.33</v>
      </c>
    </row>
    <row r="208">
      <c r="A208" t="n">
        <v>184</v>
      </c>
      <c r="B208" s="95" t="n">
        <v>22.46</v>
      </c>
      <c r="C208" s="95" t="n">
        <v>29.75</v>
      </c>
      <c r="D208" s="95" t="n">
        <v>37.21</v>
      </c>
      <c r="E208" s="95" t="n">
        <v>45.84</v>
      </c>
      <c r="F208" s="95" t="n">
        <v>61.18</v>
      </c>
    </row>
    <row r="209">
      <c r="A209" t="n">
        <v>185</v>
      </c>
      <c r="B209" s="95" t="n">
        <v>22.49</v>
      </c>
      <c r="C209" s="95" t="n">
        <v>29.85</v>
      </c>
      <c r="D209" s="95" t="n">
        <v>37.26</v>
      </c>
      <c r="E209" s="95" t="n">
        <v>46.01</v>
      </c>
      <c r="F209" s="95" t="n">
        <v>61.19</v>
      </c>
    </row>
    <row r="210">
      <c r="A210" t="n">
        <v>186</v>
      </c>
      <c r="B210" s="95" t="n">
        <v>22.44</v>
      </c>
      <c r="C210" s="95" t="n">
        <v>29.61</v>
      </c>
      <c r="D210" s="95" t="n">
        <v>37.38</v>
      </c>
      <c r="E210" s="95" t="n">
        <v>46.13</v>
      </c>
      <c r="F210" s="95" t="n">
        <v>61.17</v>
      </c>
    </row>
    <row r="211">
      <c r="A211" t="n">
        <v>187</v>
      </c>
      <c r="B211" s="95" t="n">
        <v>22.13</v>
      </c>
      <c r="C211" s="95" t="n">
        <v>29.75</v>
      </c>
      <c r="D211" s="95" t="n">
        <v>37.54</v>
      </c>
      <c r="E211" s="95" t="n">
        <v>45.93</v>
      </c>
      <c r="F211" s="95" t="n">
        <v>61.81</v>
      </c>
    </row>
    <row r="212">
      <c r="A212" t="n">
        <v>188</v>
      </c>
      <c r="B212" s="95" t="n">
        <v>21.99</v>
      </c>
      <c r="C212" s="95" t="n">
        <v>29.76</v>
      </c>
      <c r="D212" s="95" t="n">
        <v>37.26</v>
      </c>
      <c r="E212" s="95" t="n">
        <v>45.95</v>
      </c>
      <c r="F212" s="95" t="n">
        <v>62.3</v>
      </c>
    </row>
    <row r="213">
      <c r="A213" t="n">
        <v>189</v>
      </c>
      <c r="B213" s="95" t="n">
        <v>21.91</v>
      </c>
      <c r="C213" s="95" t="n">
        <v>29.87</v>
      </c>
      <c r="D213" s="95" t="n">
        <v>37.19</v>
      </c>
      <c r="E213" s="95" t="n">
        <v>46.29</v>
      </c>
      <c r="F213" s="95" t="n">
        <v>61.84</v>
      </c>
    </row>
    <row r="214">
      <c r="A214" t="n">
        <v>190</v>
      </c>
      <c r="B214" s="95" t="n">
        <v>22.2</v>
      </c>
      <c r="C214" s="95" t="n">
        <v>29.84</v>
      </c>
      <c r="D214" s="95" t="n">
        <v>36.72</v>
      </c>
      <c r="E214" s="95" t="n">
        <v>45.88</v>
      </c>
      <c r="F214" s="95" t="n">
        <v>62.28</v>
      </c>
    </row>
    <row r="215">
      <c r="A215" t="n">
        <v>191</v>
      </c>
      <c r="B215" s="95" t="n">
        <v>21.97</v>
      </c>
      <c r="C215" s="95" t="n">
        <v>29.91</v>
      </c>
      <c r="D215" s="95" t="n">
        <v>36.85</v>
      </c>
      <c r="E215" s="95" t="n">
        <v>45.79</v>
      </c>
      <c r="F215" s="95" t="n">
        <v>63</v>
      </c>
    </row>
    <row r="216">
      <c r="A216" t="n">
        <v>192</v>
      </c>
      <c r="B216" s="95" t="n">
        <v>22</v>
      </c>
      <c r="C216" s="95" t="n">
        <v>29.88</v>
      </c>
      <c r="D216" s="95" t="n">
        <v>36.65</v>
      </c>
      <c r="E216" s="95" t="n">
        <v>45.51</v>
      </c>
      <c r="F216" s="95" t="n">
        <v>62.81</v>
      </c>
    </row>
    <row r="217">
      <c r="A217" t="n">
        <v>193</v>
      </c>
      <c r="B217" s="95" t="n">
        <v>22.16</v>
      </c>
      <c r="C217" s="95" t="n">
        <v>29.77</v>
      </c>
      <c r="D217" s="95" t="n">
        <v>36.9</v>
      </c>
      <c r="E217" s="95" t="n">
        <v>45.88</v>
      </c>
      <c r="F217" s="95" t="n">
        <v>63.13</v>
      </c>
    </row>
    <row r="218">
      <c r="A218" t="n">
        <v>194</v>
      </c>
      <c r="B218" s="95" t="n">
        <v>22.16</v>
      </c>
      <c r="C218" s="95" t="n">
        <v>29.63</v>
      </c>
      <c r="D218" s="95" t="n">
        <v>36.83</v>
      </c>
      <c r="E218" s="95" t="n">
        <v>45.71</v>
      </c>
      <c r="F218" s="95" t="n">
        <v>63.06</v>
      </c>
    </row>
    <row r="219">
      <c r="A219" t="n">
        <v>195</v>
      </c>
      <c r="B219" s="95" t="n">
        <v>22.05</v>
      </c>
      <c r="C219" s="95" t="n">
        <v>29.65</v>
      </c>
      <c r="D219" s="95" t="n">
        <v>36.81</v>
      </c>
      <c r="E219" s="95" t="n">
        <v>45.59</v>
      </c>
      <c r="F219" s="95" t="n">
        <v>63.36</v>
      </c>
    </row>
    <row r="220">
      <c r="A220" t="n">
        <v>196</v>
      </c>
      <c r="B220" s="95" t="n">
        <v>21.96</v>
      </c>
      <c r="C220" s="95" t="n">
        <v>29.48</v>
      </c>
      <c r="D220" s="95" t="n">
        <v>37.02</v>
      </c>
      <c r="E220" s="95" t="n">
        <v>45.96</v>
      </c>
      <c r="F220" s="95" t="n">
        <v>63.68</v>
      </c>
    </row>
    <row r="221">
      <c r="A221" t="n">
        <v>197</v>
      </c>
      <c r="B221" s="95" t="n">
        <v>22.13</v>
      </c>
      <c r="C221" s="95" t="n">
        <v>29.58</v>
      </c>
      <c r="D221" s="95" t="n">
        <v>36.85</v>
      </c>
      <c r="E221" s="95" t="n">
        <v>45.91</v>
      </c>
      <c r="F221" s="95" t="n">
        <v>64.16</v>
      </c>
    </row>
    <row r="222">
      <c r="A222" t="n">
        <v>198</v>
      </c>
      <c r="B222" s="95" t="n">
        <v>21.93</v>
      </c>
      <c r="C222" s="95" t="n">
        <v>29.77</v>
      </c>
      <c r="D222" s="95" t="n">
        <v>36.97</v>
      </c>
      <c r="E222" s="95" t="n">
        <v>45.96</v>
      </c>
      <c r="F222" s="95" t="n">
        <v>63.99</v>
      </c>
    </row>
    <row r="223">
      <c r="A223" t="n">
        <v>199</v>
      </c>
      <c r="B223" s="95" t="n">
        <v>22.14</v>
      </c>
      <c r="C223" s="95" t="n">
        <v>29.51</v>
      </c>
      <c r="D223" s="95" t="n">
        <v>36.95</v>
      </c>
      <c r="E223" s="95" t="n">
        <v>46.11</v>
      </c>
      <c r="F223" s="95" t="n">
        <v>63.85</v>
      </c>
    </row>
    <row r="224">
      <c r="A224" t="n">
        <v>200</v>
      </c>
      <c r="B224" s="95" t="n">
        <v>21.91</v>
      </c>
      <c r="C224" s="95" t="n">
        <v>29.47</v>
      </c>
      <c r="D224" s="95" t="n">
        <v>36.98</v>
      </c>
      <c r="E224" s="95" t="n">
        <v>45.98</v>
      </c>
      <c r="F224" s="95" t="n">
        <v>64.7</v>
      </c>
    </row>
    <row r="225">
      <c r="A225" t="n">
        <v>201</v>
      </c>
      <c r="B225" s="95" t="n">
        <v>22</v>
      </c>
      <c r="C225" s="95" t="n">
        <v>29.41</v>
      </c>
      <c r="D225" s="95" t="n">
        <v>36.91</v>
      </c>
      <c r="E225" s="95" t="n">
        <v>45.79</v>
      </c>
      <c r="F225" s="95" t="n">
        <v>64.33</v>
      </c>
    </row>
    <row r="226">
      <c r="A226" t="n">
        <v>202</v>
      </c>
      <c r="B226" s="95" t="n">
        <v>21.93</v>
      </c>
      <c r="C226" s="95" t="n">
        <v>29.32</v>
      </c>
      <c r="D226" s="95" t="n">
        <v>36.97</v>
      </c>
      <c r="E226" s="95" t="n">
        <v>45.81</v>
      </c>
      <c r="F226" s="95" t="n">
        <v>63.99</v>
      </c>
    </row>
    <row r="227">
      <c r="A227" t="n">
        <v>203</v>
      </c>
      <c r="B227" s="95" t="n">
        <v>21.94</v>
      </c>
      <c r="C227" s="95" t="n">
        <v>29.38</v>
      </c>
      <c r="D227" s="95" t="n">
        <v>36.9</v>
      </c>
      <c r="E227" s="95" t="n">
        <v>46.09</v>
      </c>
      <c r="F227" s="95" t="n">
        <v>63.45</v>
      </c>
    </row>
    <row r="228">
      <c r="A228" t="n">
        <v>204</v>
      </c>
      <c r="B228" s="95" t="n">
        <v>22.1</v>
      </c>
      <c r="C228" s="95" t="n">
        <v>29.43</v>
      </c>
      <c r="D228" s="95" t="n">
        <v>36.95</v>
      </c>
      <c r="E228" s="95" t="n">
        <v>45.78</v>
      </c>
      <c r="F228" s="95" t="n">
        <v>63.55</v>
      </c>
    </row>
    <row r="229">
      <c r="A229" t="n">
        <v>205</v>
      </c>
      <c r="B229" s="95" t="n">
        <v>22.13</v>
      </c>
      <c r="C229" s="95" t="n">
        <v>29.43</v>
      </c>
      <c r="D229" s="95" t="n">
        <v>37.04</v>
      </c>
      <c r="E229" s="95" t="n">
        <v>45.87</v>
      </c>
      <c r="F229" s="95" t="n">
        <v>63.88</v>
      </c>
    </row>
    <row r="230">
      <c r="A230" t="n">
        <v>206</v>
      </c>
      <c r="B230" s="95" t="n">
        <v>22.04</v>
      </c>
      <c r="C230" s="95" t="n">
        <v>29.53</v>
      </c>
      <c r="D230" s="95" t="n">
        <v>37.02</v>
      </c>
      <c r="E230" s="95" t="n">
        <v>45.79</v>
      </c>
      <c r="F230" s="95" t="n">
        <v>64.7</v>
      </c>
    </row>
    <row r="231">
      <c r="A231" t="n">
        <v>207</v>
      </c>
      <c r="B231" s="95" t="n">
        <v>21.8</v>
      </c>
      <c r="C231" s="95" t="n">
        <v>29.52</v>
      </c>
      <c r="D231" s="95" t="n">
        <v>37.31</v>
      </c>
      <c r="E231" s="95" t="n">
        <v>45.95</v>
      </c>
      <c r="F231" s="95" t="n">
        <v>64.75</v>
      </c>
    </row>
    <row r="232">
      <c r="A232" t="n">
        <v>208</v>
      </c>
      <c r="B232" s="95" t="n">
        <v>21.81</v>
      </c>
      <c r="C232" s="95" t="n">
        <v>29.32</v>
      </c>
      <c r="D232" s="95" t="n">
        <v>37.11</v>
      </c>
      <c r="E232" s="95" t="n">
        <v>46.09</v>
      </c>
      <c r="F232" s="95" t="n">
        <v>64.18000000000001</v>
      </c>
    </row>
    <row r="233">
      <c r="A233" t="n">
        <v>209</v>
      </c>
      <c r="B233" s="95" t="n">
        <v>21.75</v>
      </c>
      <c r="C233" s="95" t="n">
        <v>29.56</v>
      </c>
      <c r="D233" s="95" t="n">
        <v>37.39</v>
      </c>
      <c r="E233" s="95" t="n">
        <v>46.07</v>
      </c>
      <c r="F233" s="95" t="n">
        <v>64.11</v>
      </c>
    </row>
    <row r="234">
      <c r="A234" t="n">
        <v>210</v>
      </c>
      <c r="B234" s="95" t="n">
        <v>21.81</v>
      </c>
      <c r="C234" s="95" t="n">
        <v>29.47</v>
      </c>
      <c r="D234" s="95" t="n">
        <v>37.22</v>
      </c>
      <c r="E234" s="95" t="n">
        <v>45.95</v>
      </c>
      <c r="F234" s="95" t="n">
        <v>64.48999999999999</v>
      </c>
    </row>
    <row r="235">
      <c r="A235" t="n">
        <v>211</v>
      </c>
      <c r="B235" s="95" t="n">
        <v>21.74</v>
      </c>
      <c r="C235" s="95" t="n">
        <v>29.51</v>
      </c>
      <c r="D235" s="95" t="n">
        <v>37.13</v>
      </c>
      <c r="E235" s="95" t="n">
        <v>45.76</v>
      </c>
      <c r="F235" s="95" t="n">
        <v>64.02</v>
      </c>
    </row>
    <row r="236">
      <c r="A236" t="n">
        <v>212</v>
      </c>
      <c r="B236" s="95" t="n">
        <v>21.92</v>
      </c>
      <c r="C236" s="95" t="n">
        <v>29.6</v>
      </c>
      <c r="D236" s="95" t="n">
        <v>37.14</v>
      </c>
      <c r="E236" s="95" t="n">
        <v>46.04</v>
      </c>
      <c r="F236" s="95" t="n">
        <v>64.78</v>
      </c>
    </row>
    <row r="237">
      <c r="A237" t="n">
        <v>213</v>
      </c>
      <c r="B237" s="95" t="n">
        <v>21.79</v>
      </c>
      <c r="C237" s="95" t="n">
        <v>29.83</v>
      </c>
      <c r="D237" s="95" t="n">
        <v>36.99</v>
      </c>
      <c r="E237" s="95" t="n">
        <v>46</v>
      </c>
      <c r="F237" s="95" t="n">
        <v>64.22</v>
      </c>
    </row>
    <row r="238">
      <c r="A238" t="n">
        <v>214</v>
      </c>
      <c r="B238" s="95" t="n">
        <v>21.9</v>
      </c>
      <c r="C238" s="95" t="n">
        <v>29.84</v>
      </c>
      <c r="D238" s="95" t="n">
        <v>37.16</v>
      </c>
      <c r="E238" s="95" t="n">
        <v>45.91</v>
      </c>
      <c r="F238" s="95" t="n">
        <v>64.39</v>
      </c>
    </row>
    <row r="239">
      <c r="A239" t="n">
        <v>215</v>
      </c>
      <c r="B239" s="95" t="n">
        <v>21.91</v>
      </c>
      <c r="C239" s="95" t="n">
        <v>29.72</v>
      </c>
      <c r="D239" s="95" t="n">
        <v>37.1</v>
      </c>
      <c r="E239" s="95" t="n">
        <v>46.04</v>
      </c>
      <c r="F239" s="95" t="n">
        <v>64.7</v>
      </c>
    </row>
    <row r="240">
      <c r="A240" t="n">
        <v>216</v>
      </c>
      <c r="B240" s="95" t="n">
        <v>21.67</v>
      </c>
      <c r="C240" s="95" t="n">
        <v>29.74</v>
      </c>
      <c r="D240" s="95" t="n">
        <v>37.27</v>
      </c>
      <c r="E240" s="95" t="n">
        <v>46.12</v>
      </c>
      <c r="F240" s="95" t="n">
        <v>64.91</v>
      </c>
    </row>
    <row r="241">
      <c r="A241" t="n">
        <v>217</v>
      </c>
      <c r="B241" s="95" t="n">
        <v>21.53</v>
      </c>
      <c r="C241" s="95" t="n">
        <v>29.62</v>
      </c>
      <c r="D241" s="95" t="n">
        <v>36.96</v>
      </c>
      <c r="E241" s="95" t="n">
        <v>46.21</v>
      </c>
      <c r="F241" s="95" t="n">
        <v>65.05</v>
      </c>
    </row>
    <row r="242">
      <c r="A242" t="n">
        <v>218</v>
      </c>
      <c r="B242" s="95" t="n">
        <v>21.22</v>
      </c>
      <c r="C242" s="95" t="n">
        <v>29.55</v>
      </c>
      <c r="D242" s="95" t="n">
        <v>37.1</v>
      </c>
      <c r="E242" s="95" t="n">
        <v>46.27</v>
      </c>
      <c r="F242" s="95" t="n">
        <v>64.78</v>
      </c>
    </row>
    <row r="243">
      <c r="A243" t="n">
        <v>219</v>
      </c>
      <c r="B243" s="95" t="n">
        <v>21.47</v>
      </c>
      <c r="C243" s="95" t="n">
        <v>29.37</v>
      </c>
      <c r="D243" s="95" t="n">
        <v>37.02</v>
      </c>
      <c r="E243" s="95" t="n">
        <v>46.43</v>
      </c>
      <c r="F243" s="95" t="n">
        <v>64.22</v>
      </c>
    </row>
    <row r="244">
      <c r="A244" t="n">
        <v>220</v>
      </c>
      <c r="B244" s="95" t="n">
        <v>21.35</v>
      </c>
      <c r="C244" s="95" t="n">
        <v>29.64</v>
      </c>
      <c r="D244" s="95" t="n">
        <v>37</v>
      </c>
      <c r="E244" s="95" t="n">
        <v>46.47</v>
      </c>
      <c r="F244" s="95" t="n">
        <v>64.64</v>
      </c>
    </row>
    <row r="245">
      <c r="A245" t="n">
        <v>221</v>
      </c>
      <c r="B245" s="95" t="n">
        <v>21.65</v>
      </c>
      <c r="C245" s="95" t="n">
        <v>29.6</v>
      </c>
      <c r="D245" s="95" t="n">
        <v>37.05</v>
      </c>
      <c r="E245" s="95" t="n">
        <v>46.54</v>
      </c>
      <c r="F245" s="95" t="n">
        <v>64.59</v>
      </c>
    </row>
    <row r="246">
      <c r="A246" t="n">
        <v>222</v>
      </c>
      <c r="B246" s="95" t="n">
        <v>21.47</v>
      </c>
      <c r="C246" s="95" t="n">
        <v>29.76</v>
      </c>
      <c r="D246" s="95" t="n">
        <v>36.9</v>
      </c>
      <c r="E246" s="95" t="n">
        <v>46.47</v>
      </c>
      <c r="F246" s="95" t="n">
        <v>64.47</v>
      </c>
    </row>
    <row r="247">
      <c r="A247" t="n">
        <v>223</v>
      </c>
      <c r="B247" s="95" t="n">
        <v>21.31</v>
      </c>
      <c r="C247" s="95" t="n">
        <v>29.68</v>
      </c>
      <c r="D247" s="95" t="n">
        <v>37.13</v>
      </c>
      <c r="E247" s="95" t="n">
        <v>46.69</v>
      </c>
      <c r="F247" s="95" t="n">
        <v>65.11</v>
      </c>
    </row>
    <row r="248">
      <c r="A248" t="n">
        <v>224</v>
      </c>
      <c r="B248" s="95" t="n">
        <v>21.21</v>
      </c>
      <c r="C248" s="95" t="n">
        <v>29.8</v>
      </c>
      <c r="D248" s="95" t="n">
        <v>37.1</v>
      </c>
      <c r="E248" s="95" t="n">
        <v>46.97</v>
      </c>
      <c r="F248" s="95" t="n">
        <v>65.27</v>
      </c>
    </row>
    <row r="249">
      <c r="A249" t="n">
        <v>225</v>
      </c>
      <c r="B249" s="95" t="n">
        <v>21.08</v>
      </c>
      <c r="C249" s="95" t="n">
        <v>29.72</v>
      </c>
      <c r="D249" s="95" t="n">
        <v>36.99</v>
      </c>
      <c r="E249" s="95" t="n">
        <v>46.95</v>
      </c>
      <c r="F249" s="95" t="n">
        <v>64.92</v>
      </c>
    </row>
    <row r="250">
      <c r="A250" t="n">
        <v>226</v>
      </c>
      <c r="B250" s="95" t="n">
        <v>21.34</v>
      </c>
      <c r="C250" s="95" t="n">
        <v>29.85</v>
      </c>
      <c r="D250" s="95" t="n">
        <v>36.97</v>
      </c>
      <c r="E250" s="95" t="n">
        <v>47.04</v>
      </c>
      <c r="F250" s="95" t="n">
        <v>65.37</v>
      </c>
    </row>
    <row r="251">
      <c r="A251" t="n">
        <v>227</v>
      </c>
      <c r="B251" s="95" t="n">
        <v>21.47</v>
      </c>
      <c r="C251" s="95" t="n">
        <v>29.9</v>
      </c>
      <c r="D251" s="95" t="n">
        <v>37.03</v>
      </c>
      <c r="E251" s="95" t="n">
        <v>46.88</v>
      </c>
      <c r="F251" s="95" t="n">
        <v>64.97</v>
      </c>
    </row>
    <row r="252">
      <c r="A252" t="n">
        <v>228</v>
      </c>
      <c r="B252" s="95" t="n">
        <v>21.53</v>
      </c>
      <c r="C252" s="95" t="n">
        <v>29.72</v>
      </c>
      <c r="D252" s="95" t="n">
        <v>37.02</v>
      </c>
      <c r="E252" s="95" t="n">
        <v>46.9</v>
      </c>
      <c r="F252" s="95" t="n">
        <v>65.69</v>
      </c>
    </row>
    <row r="253">
      <c r="A253" t="n">
        <v>229</v>
      </c>
      <c r="B253" s="95" t="n">
        <v>21.74</v>
      </c>
      <c r="C253" s="95" t="n">
        <v>29.76</v>
      </c>
      <c r="D253" s="95" t="n">
        <v>37.14</v>
      </c>
      <c r="E253" s="95" t="n">
        <v>47.08</v>
      </c>
      <c r="F253" s="95" t="n">
        <v>65.95999999999999</v>
      </c>
    </row>
    <row r="254">
      <c r="A254" t="n">
        <v>230</v>
      </c>
      <c r="B254" s="95" t="n">
        <v>21.6</v>
      </c>
      <c r="C254" s="95" t="n">
        <v>29.53</v>
      </c>
      <c r="D254" s="95" t="n">
        <v>37.01</v>
      </c>
      <c r="E254" s="95" t="n">
        <v>46.95</v>
      </c>
      <c r="F254" s="95" t="n">
        <v>65.87</v>
      </c>
    </row>
    <row r="255">
      <c r="A255" t="n">
        <v>231</v>
      </c>
      <c r="B255" s="95" t="n">
        <v>21.62</v>
      </c>
      <c r="C255" s="95" t="n">
        <v>29.61</v>
      </c>
      <c r="D255" s="95" t="n">
        <v>37.14</v>
      </c>
      <c r="E255" s="95" t="n">
        <v>47.15</v>
      </c>
      <c r="F255" s="95" t="n">
        <v>66.11</v>
      </c>
    </row>
    <row r="256">
      <c r="A256" t="n">
        <v>232</v>
      </c>
      <c r="B256" s="95" t="n">
        <v>21.5</v>
      </c>
      <c r="C256" s="95" t="n">
        <v>29.37</v>
      </c>
      <c r="D256" s="95" t="n">
        <v>37.29</v>
      </c>
      <c r="E256" s="95" t="n">
        <v>47.33</v>
      </c>
      <c r="F256" s="95" t="n">
        <v>66.38</v>
      </c>
    </row>
    <row r="257">
      <c r="A257" t="n">
        <v>233</v>
      </c>
      <c r="B257" s="95" t="n">
        <v>21.4</v>
      </c>
      <c r="C257" s="95" t="n">
        <v>29.69</v>
      </c>
      <c r="D257" s="95" t="n">
        <v>37.34</v>
      </c>
      <c r="E257" s="95" t="n">
        <v>47.64</v>
      </c>
      <c r="F257" s="95" t="n">
        <v>67.26000000000001</v>
      </c>
    </row>
    <row r="258">
      <c r="A258" t="n">
        <v>234</v>
      </c>
      <c r="B258" s="95" t="n">
        <v>21.05</v>
      </c>
      <c r="C258" s="95" t="n">
        <v>29.69</v>
      </c>
      <c r="D258" s="95" t="n">
        <v>37.3</v>
      </c>
      <c r="E258" s="95" t="n">
        <v>47.66</v>
      </c>
      <c r="F258" s="95" t="n">
        <v>67</v>
      </c>
    </row>
    <row r="259">
      <c r="A259" t="n">
        <v>235</v>
      </c>
      <c r="B259" s="95" t="n">
        <v>21.13</v>
      </c>
      <c r="C259" s="95" t="n">
        <v>29.68</v>
      </c>
      <c r="D259" s="95" t="n">
        <v>37.11</v>
      </c>
      <c r="E259" s="95" t="n">
        <v>47.57</v>
      </c>
      <c r="F259" s="95" t="n">
        <v>66.36</v>
      </c>
    </row>
    <row r="260">
      <c r="A260" t="n">
        <v>236</v>
      </c>
      <c r="B260" s="95" t="n">
        <v>20.8</v>
      </c>
      <c r="C260" s="95" t="n">
        <v>29.58</v>
      </c>
      <c r="D260" s="95" t="n">
        <v>37.01</v>
      </c>
      <c r="E260" s="95" t="n">
        <v>47.6</v>
      </c>
      <c r="F260" s="95" t="n">
        <v>66.95</v>
      </c>
    </row>
    <row r="261">
      <c r="A261" t="n">
        <v>237</v>
      </c>
      <c r="B261" s="95" t="n">
        <v>20.97</v>
      </c>
      <c r="C261" s="95" t="n">
        <v>29.53</v>
      </c>
      <c r="D261" s="95" t="n">
        <v>37.09</v>
      </c>
      <c r="E261" s="95" t="n">
        <v>47.56</v>
      </c>
      <c r="F261" s="95" t="n">
        <v>66.3</v>
      </c>
    </row>
    <row r="262">
      <c r="A262" t="n">
        <v>238</v>
      </c>
      <c r="B262" s="95" t="n">
        <v>20.83</v>
      </c>
      <c r="C262" s="95" t="n">
        <v>29.5</v>
      </c>
      <c r="D262" s="95" t="n">
        <v>36.99</v>
      </c>
      <c r="E262" s="95" t="n">
        <v>47.57</v>
      </c>
      <c r="F262" s="95" t="n">
        <v>66.59999999999999</v>
      </c>
    </row>
    <row r="263">
      <c r="A263" t="n">
        <v>239</v>
      </c>
      <c r="B263" s="95" t="n">
        <v>21</v>
      </c>
      <c r="C263" s="95" t="n">
        <v>29.48</v>
      </c>
      <c r="D263" s="95" t="n">
        <v>37.34</v>
      </c>
      <c r="E263" s="95" t="n">
        <v>47.35</v>
      </c>
      <c r="F263" s="95" t="n">
        <v>67.73999999999999</v>
      </c>
    </row>
    <row r="264">
      <c r="A264" t="n">
        <v>240</v>
      </c>
      <c r="B264" s="95" t="n">
        <v>20.98</v>
      </c>
      <c r="C264" s="95" t="n">
        <v>29.47</v>
      </c>
      <c r="D264" s="95" t="n">
        <v>37.23</v>
      </c>
      <c r="E264" s="95" t="n">
        <v>47.67</v>
      </c>
      <c r="F264" s="95" t="n">
        <v>67.37</v>
      </c>
    </row>
    <row r="265">
      <c r="A265" t="n">
        <v>241</v>
      </c>
      <c r="B265" s="95" t="n">
        <v>21.11</v>
      </c>
      <c r="C265" s="95" t="n">
        <v>29.57</v>
      </c>
      <c r="D265" s="95" t="n">
        <v>37.28</v>
      </c>
      <c r="E265" s="95" t="n">
        <v>47.46</v>
      </c>
      <c r="F265" s="95" t="n">
        <v>67.45</v>
      </c>
    </row>
    <row r="266">
      <c r="A266" t="n">
        <v>242</v>
      </c>
      <c r="B266" s="95" t="n">
        <v>21.02</v>
      </c>
      <c r="C266" s="95" t="n">
        <v>29.4</v>
      </c>
      <c r="D266" s="95" t="n">
        <v>37.35</v>
      </c>
      <c r="E266" s="95" t="n">
        <v>47.49</v>
      </c>
      <c r="F266" s="95" t="n">
        <v>67.19</v>
      </c>
    </row>
    <row r="267">
      <c r="A267" t="n">
        <v>243</v>
      </c>
      <c r="B267" s="95" t="n">
        <v>21.16</v>
      </c>
      <c r="C267" s="95" t="n">
        <v>29.3</v>
      </c>
      <c r="D267" s="95" t="n">
        <v>37.24</v>
      </c>
      <c r="E267" s="95" t="n">
        <v>47.53</v>
      </c>
      <c r="F267" s="95" t="n">
        <v>66.8</v>
      </c>
    </row>
    <row r="268">
      <c r="A268" t="n">
        <v>244</v>
      </c>
      <c r="B268" s="95" t="n">
        <v>21.01</v>
      </c>
      <c r="C268" s="95" t="n">
        <v>29.5</v>
      </c>
      <c r="D268" s="95" t="n">
        <v>37.41</v>
      </c>
      <c r="E268" s="95" t="n">
        <v>47.61</v>
      </c>
      <c r="F268" s="95" t="n">
        <v>66.86</v>
      </c>
    </row>
    <row r="269">
      <c r="A269" t="n">
        <v>245</v>
      </c>
      <c r="B269" s="95" t="n">
        <v>21.11</v>
      </c>
      <c r="C269" s="95" t="n">
        <v>29.6</v>
      </c>
      <c r="D269" s="95" t="n">
        <v>37.23</v>
      </c>
      <c r="E269" s="95" t="n">
        <v>47.85</v>
      </c>
      <c r="F269" s="95" t="n">
        <v>67.18000000000001</v>
      </c>
    </row>
    <row r="270">
      <c r="A270" t="n">
        <v>246</v>
      </c>
      <c r="B270" s="95" t="n">
        <v>21.09</v>
      </c>
      <c r="C270" s="95" t="n">
        <v>29.44</v>
      </c>
      <c r="D270" s="95" t="n">
        <v>37.21</v>
      </c>
      <c r="E270" s="95" t="n">
        <v>47.97</v>
      </c>
      <c r="F270" s="95" t="n">
        <v>67.48</v>
      </c>
    </row>
    <row r="271">
      <c r="A271" t="n">
        <v>247</v>
      </c>
      <c r="B271" s="95" t="n">
        <v>21.12</v>
      </c>
      <c r="C271" s="95" t="n">
        <v>29.3</v>
      </c>
      <c r="D271" s="95" t="n">
        <v>37.03</v>
      </c>
      <c r="E271" s="95" t="n">
        <v>48.45</v>
      </c>
      <c r="F271" s="95" t="n">
        <v>67.55</v>
      </c>
    </row>
    <row r="272">
      <c r="A272" t="n">
        <v>248</v>
      </c>
      <c r="B272" s="95" t="n">
        <v>21.17</v>
      </c>
      <c r="C272" s="95" t="n">
        <v>29.52</v>
      </c>
      <c r="D272" s="95" t="n">
        <v>36.95</v>
      </c>
      <c r="E272" s="95" t="n">
        <v>48.43</v>
      </c>
      <c r="F272" s="95" t="n">
        <v>67.19</v>
      </c>
    </row>
    <row r="273">
      <c r="A273" t="n">
        <v>249</v>
      </c>
      <c r="B273" s="95" t="n">
        <v>21.07</v>
      </c>
      <c r="C273" s="95" t="n">
        <v>29.41</v>
      </c>
      <c r="D273" s="95" t="n">
        <v>37.28</v>
      </c>
      <c r="E273" s="95" t="n">
        <v>48.21</v>
      </c>
      <c r="F273" s="95" t="n">
        <v>68.09999999999999</v>
      </c>
    </row>
    <row r="274">
      <c r="A274" t="n">
        <v>250</v>
      </c>
      <c r="B274" s="95" t="n">
        <v>21.16</v>
      </c>
      <c r="C274" s="95" t="n">
        <v>29.57</v>
      </c>
      <c r="D274" s="95" t="n">
        <v>36.96</v>
      </c>
      <c r="E274" s="95" t="n">
        <v>48.35</v>
      </c>
      <c r="F274" s="95" t="n">
        <v>67.27</v>
      </c>
    </row>
    <row r="275">
      <c r="A275" t="n">
        <v>251</v>
      </c>
      <c r="B275" s="95" t="n">
        <v>21.19</v>
      </c>
      <c r="C275" s="95" t="n">
        <v>29.24</v>
      </c>
      <c r="D275" s="95" t="n">
        <v>37.22</v>
      </c>
      <c r="E275" s="95" t="n">
        <v>48.19</v>
      </c>
      <c r="F275" s="95" t="n">
        <v>66.48999999999999</v>
      </c>
    </row>
    <row r="276">
      <c r="A276" t="n">
        <v>252</v>
      </c>
      <c r="B276" s="95" t="n">
        <v>21.05</v>
      </c>
      <c r="C276" s="95" t="n">
        <v>29.34</v>
      </c>
      <c r="D276" s="95" t="n">
        <v>37.15</v>
      </c>
      <c r="E276" s="95" t="n">
        <v>48.65</v>
      </c>
      <c r="F276" s="95" t="n">
        <v>66.51000000000001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2026-09-23T18:42:18Z</dcterms:created>
  <dcterms:modified xmlns:dcterms="http://purl.org/dc/terms/" xmlns:xsi="http://www.w3.org/2001/XMLSchema-instance" xsi:type="dcterms:W3CDTF">2026-09-24T06:20:47Z</dcterms:modified>
  <cp:lastModifiedBy>Wyatt Stratton</cp:lastModifiedBy>
</cp:coreProperties>
</file>
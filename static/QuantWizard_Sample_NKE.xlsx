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drawings/drawing3.xml" ContentType="application/vnd.openxmlformats-officedocument.drawing+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drawings/drawing4.xml" ContentType="application/vnd.openxmlformats-officedocument.drawing+xml"/>
  <Override PartName="/xl/worksheets/sheet12.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charts/chart6.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Cover" sheetId="1" state="visible" r:id="rId1"/>
    <sheet xmlns:r="http://schemas.openxmlformats.org/officeDocument/2006/relationships" name="Dashboard" sheetId="2" state="visible" r:id="rId2"/>
    <sheet xmlns:r="http://schemas.openxmlformats.org/officeDocument/2006/relationships" name="Valuation" sheetId="3" state="visible" r:id="rId3"/>
    <sheet xmlns:r="http://schemas.openxmlformats.org/officeDocument/2006/relationships" name="Fundamentals" sheetId="4" state="visible" r:id="rId4"/>
    <sheet xmlns:r="http://schemas.openxmlformats.org/officeDocument/2006/relationships" name="Annual_Summary" sheetId="5" state="visible" r:id="rId5"/>
    <sheet xmlns:r="http://schemas.openxmlformats.org/officeDocument/2006/relationships" name="Price_Indicators" sheetId="6" state="visible" r:id="rId6"/>
    <sheet xmlns:r="http://schemas.openxmlformats.org/officeDocument/2006/relationships" name="News_Headlines" sheetId="7" state="visible" r:id="rId7"/>
    <sheet xmlns:r="http://schemas.openxmlformats.org/officeDocument/2006/relationships" name="Peer_Comparison" sheetId="8" state="visible" r:id="rId8"/>
    <sheet xmlns:r="http://schemas.openxmlformats.org/officeDocument/2006/relationships" name="Correlation_Matrix" sheetId="9" state="visible" r:id="rId9"/>
    <sheet xmlns:r="http://schemas.openxmlformats.org/officeDocument/2006/relationships" name="Monte_Carlo" sheetId="10" state="visible" r:id="rId10"/>
    <sheet xmlns:r="http://schemas.openxmlformats.org/officeDocument/2006/relationships" name="Charts" sheetId="11" state="visible" r:id="rId11"/>
    <sheet xmlns:r="http://schemas.openxmlformats.org/officeDocument/2006/relationships" name="Methodology" sheetId="12" state="visible" r:id="rId12"/>
  </sheets>
  <definedNames>
    <definedName name="_xlnm._FilterDatabase" localSheetId="4" hidden="1">'Annual_Summary'!$A$2:$E$2</definedName>
    <definedName name="_xlnm._FilterDatabase" localSheetId="5" hidden="1">'Price_Indicators'!$A$1:$Q$1</definedName>
    <definedName name="_xlnm._FilterDatabase" localSheetId="6" hidden="1">'News_Headlines'!$A$1:$G$1</definedName>
    <definedName name="_xlnm._FilterDatabase" localSheetId="7" hidden="1">'Peer_Comparison'!$A$1:$F$1</definedName>
  </definedNames>
  <calcPr calcId="124519" fullCalcOnLoad="1"/>
</workbook>
</file>

<file path=xl/styles.xml><?xml version="1.0" encoding="utf-8"?>
<styleSheet xmlns="http://schemas.openxmlformats.org/spreadsheetml/2006/main">
  <numFmts count="14">
    <numFmt numFmtId="164" formatCode="&quot;$&quot;#,##0.00"/>
    <numFmt numFmtId="165" formatCode="0.0000"/>
    <numFmt numFmtId="166" formatCode="+0.0&quot; pts&quot;;-0.0&quot; pts&quot;"/>
    <numFmt numFmtId="167" formatCode="+0.0%;-0.0%"/>
    <numFmt numFmtId="168" formatCode="0.0%"/>
    <numFmt numFmtId="169" formatCode="yyyy-mm-dd h:mm:ss"/>
    <numFmt numFmtId="170" formatCode="yyyy-mm-dd"/>
    <numFmt numFmtId="171" formatCode="_($* #,##0.00_)"/>
    <numFmt numFmtId="172" formatCode="$#,##0.0,,,&quot;B&quot;"/>
    <numFmt numFmtId="173" formatCode="#,##0.00,,,&quot;B&quot;"/>
    <numFmt numFmtId="174" formatCode="0.000"/>
    <numFmt numFmtId="175" formatCode="0.00&quot;x&quot;"/>
    <numFmt numFmtId="176" formatCode="&quot;$&quot;#,##0.0,,,&quot;B&quot;"/>
    <numFmt numFmtId="177" formatCode="0.0"/>
  </numFmts>
  <fonts count="34">
    <font>
      <name val="Calibri"/>
      <family val="2"/>
      <color theme="1"/>
      <sz val="11"/>
      <scheme val="minor"/>
    </font>
    <font>
      <name val="Calibri"/>
      <b val="1"/>
      <color rgb="001F4E79"/>
      <sz val="18"/>
    </font>
    <font>
      <name val="Calibri"/>
      <i val="1"/>
      <color rgb="00888888"/>
      <sz val="9"/>
    </font>
    <font>
      <name val="Calibri"/>
      <b val="1"/>
      <color rgb="00FFFFFF"/>
      <sz val="11"/>
    </font>
    <font>
      <name val="Calibri"/>
      <sz val="10"/>
    </font>
    <font>
      <name val="Calibri"/>
      <b val="1"/>
      <sz val="10"/>
    </font>
    <font>
      <name val="Calibri"/>
      <b val="1"/>
      <color rgb="00FFFFFF"/>
      <sz val="10"/>
    </font>
    <font>
      <name val="Calibri"/>
      <b val="1"/>
      <color rgb="00FFFFFF"/>
      <sz val="12"/>
    </font>
    <font>
      <name val="Calibri"/>
      <i val="1"/>
      <sz val="10"/>
    </font>
    <font>
      <name val="Calibri"/>
      <b val="1"/>
      <color rgb="001F4E79"/>
      <sz val="10"/>
    </font>
    <font>
      <name val="Calibri"/>
      <b val="1"/>
      <color rgb="00FFFFFF"/>
      <sz val="9"/>
    </font>
    <font>
      <name val="Calibri"/>
      <color rgb="00000000"/>
      <sz val="10"/>
    </font>
    <font>
      <name val="Calibri"/>
      <b val="1"/>
      <color rgb="00FF0000"/>
      <sz val="10"/>
    </font>
    <font>
      <name val="Calibri"/>
      <sz val="9"/>
    </font>
    <font>
      <name val="Calibri"/>
      <i val="1"/>
      <color rgb="00888888"/>
      <sz val="8"/>
    </font>
    <font>
      <name val="Calibri"/>
      <b val="1"/>
      <color rgb="00FFFFFF"/>
    </font>
    <font>
      <name val="Calibri"/>
      <b val="1"/>
      <sz val="9"/>
    </font>
    <font>
      <name val="Calibri"/>
      <b val="1"/>
      <color rgb="001F4E79"/>
      <sz val="14"/>
    </font>
    <font>
      <name val="Calibri"/>
      <b val="1"/>
      <color rgb="009C0006"/>
      <sz val="10"/>
    </font>
    <font>
      <name val="Calibri"/>
      <b val="1"/>
      <color rgb="007F6000"/>
      <sz val="10"/>
    </font>
    <font>
      <name val="Calibri"/>
      <color rgb="002E75B6"/>
      <sz val="10"/>
      <u val="single"/>
    </font>
    <font>
      <name val="Calibri"/>
      <b val="1"/>
      <color rgb="00006100"/>
      <sz val="10"/>
    </font>
    <font>
      <name val="Calibri"/>
      <b val="1"/>
      <color rgb="001F4E79"/>
      <sz val="12"/>
    </font>
    <font>
      <name val="Calibri"/>
      <b val="1"/>
      <color rgb="001F4E79"/>
      <sz val="13"/>
    </font>
    <font>
      <name val="Calibri"/>
      <b val="1"/>
      <color rgb="001F4E79"/>
      <sz val="30"/>
    </font>
    <font>
      <name val="Calibri"/>
      <sz val="11"/>
    </font>
    <font>
      <name val="Calibri"/>
      <i val="1"/>
      <sz val="9"/>
    </font>
    <font>
      <name val="Calibri"/>
      <b val="1"/>
      <color rgb="00000000"/>
      <sz val="10"/>
    </font>
    <font>
      <name val="Calibri"/>
      <b val="1"/>
      <color rgb="00999999"/>
      <sz val="10"/>
    </font>
    <font>
      <name val="Calibri"/>
      <b val="1"/>
      <color rgb="00FFFFFF"/>
      <sz val="22"/>
    </font>
    <font>
      <name val="Calibri"/>
      <b val="1"/>
      <color rgb="001F4E79"/>
      <sz val="16"/>
    </font>
    <font>
      <name val="Calibri"/>
      <b val="1"/>
      <color rgb="00808080"/>
      <sz val="8"/>
    </font>
    <font>
      <name val="Calibri"/>
      <b val="1"/>
      <color rgb="00FF0000"/>
      <sz val="16"/>
    </font>
    <font>
      <name val="Calibri"/>
      <b val="1"/>
      <color rgb="002E75B6"/>
      <sz val="10"/>
      <u val="single"/>
    </font>
  </fonts>
  <fills count="16">
    <fill>
      <patternFill/>
    </fill>
    <fill>
      <patternFill patternType="gray125"/>
    </fill>
    <fill>
      <patternFill patternType="solid">
        <fgColor rgb="001F4E79"/>
      </patternFill>
    </fill>
    <fill>
      <patternFill patternType="solid">
        <fgColor rgb="00FFFFFF"/>
      </patternFill>
    </fill>
    <fill>
      <patternFill patternType="solid">
        <fgColor rgb="00FF0000"/>
      </patternFill>
    </fill>
    <fill>
      <patternFill patternType="solid">
        <fgColor rgb="00F2F2F2"/>
      </patternFill>
    </fill>
    <fill>
      <patternFill patternType="solid">
        <fgColor rgb="00F0F5FB"/>
      </patternFill>
    </fill>
    <fill>
      <patternFill patternType="solid">
        <fgColor rgb="00BF8F00"/>
      </patternFill>
    </fill>
    <fill>
      <patternFill patternType="solid">
        <fgColor rgb="002E75B6"/>
      </patternFill>
    </fill>
    <fill>
      <patternFill patternType="solid">
        <fgColor rgb="0070AD47"/>
      </patternFill>
    </fill>
    <fill>
      <patternFill patternType="solid">
        <fgColor rgb="00FFF8E1"/>
      </patternFill>
    </fill>
    <fill>
      <patternFill patternType="solid">
        <fgColor rgb="0016a34a"/>
      </patternFill>
    </fill>
    <fill>
      <patternFill patternType="solid">
        <fgColor rgb="00FFC7CE"/>
      </patternFill>
    </fill>
    <fill>
      <patternFill patternType="solid">
        <fgColor rgb="00FFF2CC"/>
      </patternFill>
    </fill>
    <fill>
      <patternFill patternType="solid">
        <fgColor rgb="00C6EFCE"/>
      </patternFill>
    </fill>
    <fill>
      <patternFill patternType="solid">
        <fgColor rgb="00D6E4F0"/>
      </patternFill>
    </fill>
  </fills>
  <borders count="5">
    <border>
      <left/>
      <right/>
      <top/>
      <bottom/>
      <diagonal/>
    </border>
    <border>
      <left style="thin"/>
      <right style="thin"/>
      <top style="thin"/>
      <bottom style="thin"/>
    </border>
    <border>
      <left/>
      <right/>
      <top style="thin"/>
      <bottom/>
      <diagonal/>
    </border>
    <border>
      <left/>
      <right style="thin"/>
      <top style="thin"/>
      <bottom/>
      <diagonal/>
    </border>
    <border>
      <left/>
      <right style="thin"/>
      <top style="thin"/>
      <bottom style="thin"/>
      <diagonal/>
    </border>
  </borders>
  <cellStyleXfs count="1">
    <xf numFmtId="0" fontId="0" fillId="0" borderId="0"/>
  </cellStyleXfs>
  <cellXfs count="143">
    <xf numFmtId="0" fontId="0" fillId="0" borderId="0" pivotButton="0" quotePrefix="0" xfId="0"/>
    <xf numFmtId="0" fontId="0" fillId="2" borderId="0" pivotButton="0" quotePrefix="0" xfId="0"/>
    <xf numFmtId="0" fontId="29" fillId="2" borderId="0" applyAlignment="1" pivotButton="0" quotePrefix="0" xfId="0">
      <alignment horizontal="left" vertical="center" indent="1"/>
    </xf>
    <xf numFmtId="0" fontId="2" fillId="0" borderId="0" applyAlignment="1" pivotButton="0" quotePrefix="0" xfId="0">
      <alignment horizontal="left" indent="1"/>
    </xf>
    <xf numFmtId="0" fontId="30" fillId="6" borderId="1" applyAlignment="1" pivotButton="0" quotePrefix="0" xfId="0">
      <alignment horizontal="center" vertical="center"/>
    </xf>
    <xf numFmtId="0" fontId="32" fillId="6" borderId="1" applyAlignment="1" pivotButton="0" quotePrefix="0" xfId="0">
      <alignment horizontal="center" vertical="center"/>
    </xf>
    <xf numFmtId="0" fontId="31" fillId="6" borderId="1" applyAlignment="1" pivotButton="0" quotePrefix="0" xfId="0">
      <alignment horizontal="center" vertical="center"/>
    </xf>
    <xf numFmtId="0" fontId="22" fillId="0" borderId="0" pivotButton="0" quotePrefix="0" xfId="0"/>
    <xf numFmtId="0" fontId="20" fillId="0" borderId="0" pivotButton="0" quotePrefix="0" xfId="0"/>
    <xf numFmtId="0" fontId="33" fillId="0" borderId="0" pivotButton="0" quotePrefix="0" xfId="0"/>
    <xf numFmtId="0" fontId="14" fillId="0" borderId="0" pivotButton="0" quotePrefix="0" xfId="0"/>
    <xf numFmtId="0" fontId="1" fillId="0" borderId="0" applyAlignment="1" pivotButton="0" quotePrefix="0" xfId="0">
      <alignment horizontal="center" vertical="center"/>
    </xf>
    <xf numFmtId="0" fontId="2" fillId="0" borderId="0" applyAlignment="1" pivotButton="0" quotePrefix="0" xfId="0">
      <alignment horizontal="center"/>
    </xf>
    <xf numFmtId="0" fontId="3" fillId="2" borderId="0" applyAlignment="1" pivotButton="0" quotePrefix="0" xfId="0">
      <alignment horizontal="left" vertical="center"/>
    </xf>
    <xf numFmtId="0" fontId="15" fillId="8" borderId="0" pivotButton="0" quotePrefix="0" xfId="0"/>
    <xf numFmtId="0" fontId="4" fillId="3" borderId="1" pivotButton="0" quotePrefix="0" xfId="0"/>
    <xf numFmtId="164" fontId="5" fillId="3" borderId="1" applyAlignment="1" pivotButton="0" quotePrefix="0" xfId="0">
      <alignment horizontal="right"/>
    </xf>
    <xf numFmtId="0" fontId="16" fillId="0" borderId="0" pivotButton="0" quotePrefix="0" xfId="0"/>
    <xf numFmtId="0" fontId="4" fillId="5" borderId="1" pivotButton="0" quotePrefix="0" xfId="0"/>
    <xf numFmtId="10" fontId="6" fillId="4" borderId="1" applyAlignment="1" pivotButton="0" quotePrefix="0" xfId="0">
      <alignment horizontal="right"/>
    </xf>
    <xf numFmtId="164" fontId="5" fillId="5" borderId="1" applyAlignment="1" pivotButton="0" quotePrefix="0" xfId="0">
      <alignment horizontal="right"/>
    </xf>
    <xf numFmtId="165" fontId="5" fillId="3" borderId="1" applyAlignment="1" pivotButton="0" quotePrefix="0" xfId="0">
      <alignment horizontal="right"/>
    </xf>
    <xf numFmtId="10" fontId="5" fillId="5" borderId="1" applyAlignment="1" pivotButton="0" quotePrefix="0" xfId="0">
      <alignment horizontal="right"/>
    </xf>
    <xf numFmtId="10" fontId="5" fillId="3" borderId="1" applyAlignment="1" pivotButton="0" quotePrefix="0" xfId="0">
      <alignment horizontal="right"/>
    </xf>
    <xf numFmtId="0" fontId="5" fillId="3" borderId="1" applyAlignment="1" pivotButton="0" quotePrefix="0" xfId="0">
      <alignment horizontal="right"/>
    </xf>
    <xf numFmtId="0" fontId="6" fillId="4" borderId="1" applyAlignment="1" pivotButton="0" quotePrefix="0" xfId="0">
      <alignment horizontal="right"/>
    </xf>
    <xf numFmtId="0" fontId="5" fillId="6" borderId="1" applyAlignment="1" pivotButton="0" quotePrefix="0" xfId="0">
      <alignment vertical="top" wrapText="1"/>
    </xf>
    <xf numFmtId="0" fontId="5" fillId="0" borderId="1" pivotButton="0" quotePrefix="0" xfId="0"/>
    <xf numFmtId="0" fontId="7" fillId="7" borderId="1" applyAlignment="1" pivotButton="0" quotePrefix="0" xfId="0">
      <alignment horizontal="right"/>
    </xf>
    <xf numFmtId="0" fontId="4" fillId="0" borderId="1" pivotButton="0" quotePrefix="0" xfId="0"/>
    <xf numFmtId="0" fontId="6" fillId="7" borderId="1" applyAlignment="1" pivotButton="0" quotePrefix="0" xfId="0">
      <alignment horizontal="right"/>
    </xf>
    <xf numFmtId="0" fontId="6" fillId="8" borderId="1" applyAlignment="1" pivotButton="0" quotePrefix="0" xfId="0">
      <alignment horizontal="center" vertical="center" wrapText="1"/>
    </xf>
    <xf numFmtId="0" fontId="5" fillId="0" borderId="1" applyAlignment="1" pivotButton="0" quotePrefix="0" xfId="0">
      <alignment horizontal="right"/>
    </xf>
    <xf numFmtId="0" fontId="6" fillId="7" borderId="1" applyAlignment="1" pivotButton="0" quotePrefix="0" xfId="0">
      <alignment horizontal="center"/>
    </xf>
    <xf numFmtId="0" fontId="6" fillId="4" borderId="1" applyAlignment="1" pivotButton="0" quotePrefix="0" xfId="0">
      <alignment horizontal="center"/>
    </xf>
    <xf numFmtId="0" fontId="6" fillId="9" borderId="1" applyAlignment="1" pivotButton="0" quotePrefix="0" xfId="0">
      <alignment horizontal="center"/>
    </xf>
    <xf numFmtId="0" fontId="8" fillId="10" borderId="1" applyAlignment="1" pivotButton="0" quotePrefix="0" xfId="0">
      <alignment vertical="top" wrapText="1"/>
    </xf>
    <xf numFmtId="0" fontId="9" fillId="0" borderId="0" pivotButton="0" quotePrefix="0" xfId="0"/>
    <xf numFmtId="0" fontId="4" fillId="0" borderId="1" applyAlignment="1" pivotButton="0" quotePrefix="0" xfId="0">
      <alignment vertical="top" wrapText="1"/>
    </xf>
    <xf numFmtId="166" fontId="6" fillId="4" borderId="1" applyAlignment="1" pivotButton="0" quotePrefix="0" xfId="0">
      <alignment horizontal="right"/>
    </xf>
    <xf numFmtId="0" fontId="10" fillId="2" borderId="1" applyAlignment="1" pivotButton="0" quotePrefix="0" xfId="0">
      <alignment horizontal="left"/>
    </xf>
    <xf numFmtId="0" fontId="10" fillId="2" borderId="1" applyAlignment="1" pivotButton="0" quotePrefix="0" xfId="0">
      <alignment horizontal="center"/>
    </xf>
    <xf numFmtId="0" fontId="11" fillId="0" borderId="1" pivotButton="0" quotePrefix="0" xfId="0"/>
    <xf numFmtId="167" fontId="11" fillId="0" borderId="1" applyAlignment="1" pivotButton="0" quotePrefix="0" xfId="0">
      <alignment horizontal="right"/>
    </xf>
    <xf numFmtId="166" fontId="12" fillId="0" borderId="1" applyAlignment="1" pivotButton="0" quotePrefix="0" xfId="0">
      <alignment horizontal="right"/>
    </xf>
    <xf numFmtId="0" fontId="5" fillId="5" borderId="1" applyAlignment="1" pivotButton="0" quotePrefix="0" xfId="0">
      <alignment horizontal="right"/>
    </xf>
    <xf numFmtId="0" fontId="13" fillId="0" borderId="0" applyAlignment="1" pivotButton="0" quotePrefix="0" xfId="0">
      <alignment vertical="center" wrapText="1"/>
    </xf>
    <xf numFmtId="0" fontId="6" fillId="11" borderId="1" applyAlignment="1" pivotButton="0" quotePrefix="0" xfId="0">
      <alignment horizontal="right"/>
    </xf>
    <xf numFmtId="168" fontId="5" fillId="5" borderId="1" applyAlignment="1" pivotButton="0" quotePrefix="0" xfId="0">
      <alignment horizontal="right"/>
    </xf>
    <xf numFmtId="167" fontId="5" fillId="5" borderId="1" applyAlignment="1" pivotButton="0" quotePrefix="0" xfId="0">
      <alignment horizontal="right"/>
    </xf>
    <xf numFmtId="0" fontId="6" fillId="2" borderId="1" applyAlignment="1" pivotButton="0" quotePrefix="0" xfId="0">
      <alignment horizontal="right"/>
    </xf>
    <xf numFmtId="0" fontId="5" fillId="0" borderId="1" applyAlignment="1" pivotButton="0" quotePrefix="0" xfId="0">
      <alignment horizontal="left"/>
    </xf>
    <xf numFmtId="2" fontId="5" fillId="5" borderId="1" applyAlignment="1" pivotButton="0" quotePrefix="0" xfId="0">
      <alignment horizontal="right"/>
    </xf>
    <xf numFmtId="1" fontId="5" fillId="3" borderId="1" applyAlignment="1" pivotButton="0" quotePrefix="0" xfId="0">
      <alignment horizontal="right"/>
    </xf>
    <xf numFmtId="1" fontId="5" fillId="5" borderId="1" applyAlignment="1" pivotButton="0" quotePrefix="0" xfId="0">
      <alignment horizontal="right"/>
    </xf>
    <xf numFmtId="2" fontId="5" fillId="3" borderId="1" applyAlignment="1" pivotButton="0" quotePrefix="0" xfId="0">
      <alignment horizontal="right"/>
    </xf>
    <xf numFmtId="168" fontId="5" fillId="3" borderId="1" applyAlignment="1" pivotButton="0" quotePrefix="0" xfId="0">
      <alignment horizontal="right"/>
    </xf>
    <xf numFmtId="0" fontId="4" fillId="6" borderId="1" applyAlignment="1" pivotButton="0" quotePrefix="0" xfId="0">
      <alignment vertical="top" wrapText="1"/>
    </xf>
    <xf numFmtId="0" fontId="8" fillId="0" borderId="1" applyAlignment="1" pivotButton="0" quotePrefix="0" xfId="0">
      <alignment vertical="top" wrapText="1"/>
    </xf>
    <xf numFmtId="0" fontId="17" fillId="0" borderId="0" pivotButton="0" quotePrefix="0" xfId="0"/>
    <xf numFmtId="0" fontId="2" fillId="0" borderId="0" applyAlignment="1" pivotButton="0" quotePrefix="0" xfId="0">
      <alignment vertical="top" wrapText="1"/>
    </xf>
    <xf numFmtId="0" fontId="3" fillId="2" borderId="0" pivotButton="0" quotePrefix="0" xfId="0"/>
    <xf numFmtId="168" fontId="24" fillId="6" borderId="1" applyAlignment="1" pivotButton="0" quotePrefix="0" xfId="0">
      <alignment horizontal="center" vertical="center"/>
    </xf>
    <xf numFmtId="0" fontId="25" fillId="6" borderId="1" applyAlignment="1" pivotButton="0" quotePrefix="0" xfId="0">
      <alignment vertical="center" wrapText="1"/>
    </xf>
    <xf numFmtId="171" fontId="5" fillId="0" borderId="1" applyAlignment="1" pivotButton="0" quotePrefix="0" xfId="0">
      <alignment horizontal="right"/>
    </xf>
    <xf numFmtId="0" fontId="2" fillId="0" borderId="0" applyAlignment="1" pivotButton="0" quotePrefix="0" xfId="0">
      <alignment vertical="center"/>
    </xf>
    <xf numFmtId="167" fontId="5" fillId="0" borderId="1" applyAlignment="1" pivotButton="0" quotePrefix="0" xfId="0">
      <alignment horizontal="right"/>
    </xf>
    <xf numFmtId="0" fontId="0" fillId="0" borderId="4" pivotButton="0" quotePrefix="0" xfId="0"/>
    <xf numFmtId="0" fontId="4" fillId="0" borderId="1" applyAlignment="1" pivotButton="0" quotePrefix="0" xfId="0">
      <alignment horizontal="left"/>
    </xf>
    <xf numFmtId="168" fontId="4" fillId="0" borderId="1" applyAlignment="1" pivotButton="0" quotePrefix="0" xfId="0">
      <alignment horizontal="right"/>
    </xf>
    <xf numFmtId="171" fontId="4" fillId="0" borderId="1" applyAlignment="1" pivotButton="0" quotePrefix="0" xfId="0">
      <alignment horizontal="right"/>
    </xf>
    <xf numFmtId="167" fontId="4" fillId="0" borderId="1" applyAlignment="1" pivotButton="0" quotePrefix="0" xfId="0">
      <alignment horizontal="right"/>
    </xf>
    <xf numFmtId="0" fontId="5" fillId="15" borderId="1" applyAlignment="1" pivotButton="0" quotePrefix="0" xfId="0">
      <alignment horizontal="left"/>
    </xf>
    <xf numFmtId="168" fontId="5" fillId="15" borderId="1" applyAlignment="1" pivotButton="0" quotePrefix="0" xfId="0">
      <alignment horizontal="right"/>
    </xf>
    <xf numFmtId="171" fontId="5" fillId="15" borderId="1" applyAlignment="1" pivotButton="0" quotePrefix="0" xfId="0">
      <alignment horizontal="right"/>
    </xf>
    <xf numFmtId="167" fontId="5" fillId="15" borderId="1" applyAlignment="1" pivotButton="0" quotePrefix="0" xfId="0">
      <alignment horizontal="right"/>
    </xf>
    <xf numFmtId="0" fontId="5" fillId="6" borderId="1" applyAlignment="1" pivotButton="0" quotePrefix="0" xfId="0">
      <alignment horizontal="left"/>
    </xf>
    <xf numFmtId="168" fontId="5" fillId="6" borderId="1" applyAlignment="1" pivotButton="0" quotePrefix="0" xfId="0">
      <alignment horizontal="right"/>
    </xf>
    <xf numFmtId="171" fontId="5" fillId="6" borderId="1" applyAlignment="1" pivotButton="0" quotePrefix="0" xfId="0">
      <alignment horizontal="right"/>
    </xf>
    <xf numFmtId="167" fontId="5" fillId="6" borderId="1" applyAlignment="1" pivotButton="0" quotePrefix="0" xfId="0">
      <alignment horizontal="right"/>
    </xf>
    <xf numFmtId="10" fontId="5" fillId="13" borderId="1" applyAlignment="1" pivotButton="0" quotePrefix="0" xfId="0">
      <alignment horizontal="right"/>
    </xf>
    <xf numFmtId="1" fontId="5" fillId="13" borderId="1" applyAlignment="1" pivotButton="0" quotePrefix="0" xfId="0">
      <alignment horizontal="right"/>
    </xf>
    <xf numFmtId="172" fontId="5" fillId="13" borderId="1" applyAlignment="1" pivotButton="0" quotePrefix="0" xfId="0">
      <alignment horizontal="right"/>
    </xf>
    <xf numFmtId="168" fontId="5" fillId="13" borderId="1" applyAlignment="1" pivotButton="0" quotePrefix="0" xfId="0">
      <alignment horizontal="right"/>
    </xf>
    <xf numFmtId="173" fontId="5" fillId="13" borderId="1" applyAlignment="1" pivotButton="0" quotePrefix="0" xfId="0">
      <alignment horizontal="right"/>
    </xf>
    <xf numFmtId="171" fontId="5" fillId="13" borderId="1" applyAlignment="1" pivotButton="0" quotePrefix="0" xfId="0">
      <alignment horizontal="right"/>
    </xf>
    <xf numFmtId="1" fontId="4" fillId="0" borderId="1" applyAlignment="1" pivotButton="0" quotePrefix="0" xfId="0">
      <alignment horizontal="right"/>
    </xf>
    <xf numFmtId="172" fontId="4" fillId="0" borderId="1" applyAlignment="1" pivotButton="0" quotePrefix="0" xfId="0">
      <alignment horizontal="right"/>
    </xf>
    <xf numFmtId="174" fontId="4" fillId="0" borderId="1" applyAlignment="1" pivotButton="0" quotePrefix="0" xfId="0">
      <alignment horizontal="right"/>
    </xf>
    <xf numFmtId="1" fontId="4" fillId="5" borderId="1" applyAlignment="1" pivotButton="0" quotePrefix="0" xfId="0">
      <alignment horizontal="right"/>
    </xf>
    <xf numFmtId="168" fontId="4" fillId="5" borderId="1" applyAlignment="1" pivotButton="0" quotePrefix="0" xfId="0">
      <alignment horizontal="right"/>
    </xf>
    <xf numFmtId="172" fontId="4" fillId="5" borderId="1" applyAlignment="1" pivotButton="0" quotePrefix="0" xfId="0">
      <alignment horizontal="right"/>
    </xf>
    <xf numFmtId="174" fontId="4" fillId="5" borderId="1" applyAlignment="1" pivotButton="0" quotePrefix="0" xfId="0">
      <alignment horizontal="right"/>
    </xf>
    <xf numFmtId="0" fontId="2" fillId="0" borderId="0" pivotButton="0" quotePrefix="0" xfId="0"/>
    <xf numFmtId="172" fontId="5" fillId="15" borderId="1" applyAlignment="1" pivotButton="0" quotePrefix="0" xfId="0">
      <alignment horizontal="right"/>
    </xf>
    <xf numFmtId="0" fontId="16" fillId="0" borderId="1" pivotButton="0" quotePrefix="0" xfId="0"/>
    <xf numFmtId="0" fontId="26" fillId="0" borderId="0" applyAlignment="1" pivotButton="0" quotePrefix="0" xfId="0">
      <alignment vertical="center" wrapText="1"/>
    </xf>
    <xf numFmtId="0" fontId="8" fillId="6" borderId="1" applyAlignment="1" pivotButton="0" quotePrefix="0" xfId="0">
      <alignment vertical="top" wrapText="1"/>
    </xf>
    <xf numFmtId="175" fontId="27" fillId="5" borderId="1" applyAlignment="1" pivotButton="0" quotePrefix="0" xfId="0">
      <alignment horizontal="right"/>
    </xf>
    <xf numFmtId="175" fontId="27" fillId="0" borderId="1" applyAlignment="1" pivotButton="0" quotePrefix="0" xfId="0">
      <alignment horizontal="right"/>
    </xf>
    <xf numFmtId="0" fontId="28" fillId="0" borderId="1" applyAlignment="1" pivotButton="0" quotePrefix="0" xfId="0">
      <alignment horizontal="right"/>
    </xf>
    <xf numFmtId="168" fontId="27" fillId="5" borderId="1" applyAlignment="1" pivotButton="0" quotePrefix="0" xfId="0">
      <alignment horizontal="right"/>
    </xf>
    <xf numFmtId="168" fontId="27" fillId="0" borderId="1" applyAlignment="1" pivotButton="0" quotePrefix="0" xfId="0">
      <alignment horizontal="right"/>
    </xf>
    <xf numFmtId="0" fontId="27" fillId="0" borderId="1" applyAlignment="1" pivotButton="0" quotePrefix="0" xfId="0">
      <alignment horizontal="right"/>
    </xf>
    <xf numFmtId="176" fontId="27" fillId="0" borderId="1" applyAlignment="1" pivotButton="0" quotePrefix="0" xfId="0">
      <alignment horizontal="right"/>
    </xf>
    <xf numFmtId="2" fontId="27" fillId="5" borderId="1" applyAlignment="1" pivotButton="0" quotePrefix="0" xfId="0">
      <alignment horizontal="right"/>
    </xf>
    <xf numFmtId="2" fontId="27" fillId="0" borderId="1" applyAlignment="1" pivotButton="0" quotePrefix="0" xfId="0">
      <alignment horizontal="right"/>
    </xf>
    <xf numFmtId="0" fontId="27" fillId="5" borderId="1" applyAlignment="1" pivotButton="0" quotePrefix="0" xfId="0">
      <alignment horizontal="right"/>
    </xf>
    <xf numFmtId="0" fontId="6" fillId="8" borderId="1" pivotButton="0" quotePrefix="0" xfId="0"/>
    <xf numFmtId="177" fontId="4" fillId="0" borderId="1" pivotButton="0" quotePrefix="0" xfId="0"/>
    <xf numFmtId="0" fontId="17" fillId="0" borderId="0" applyAlignment="1" pivotButton="0" quotePrefix="0" xfId="0">
      <alignment horizontal="center" vertical="center"/>
    </xf>
    <xf numFmtId="1" fontId="4" fillId="3" borderId="1" pivotButton="0" quotePrefix="0" xfId="0"/>
    <xf numFmtId="10" fontId="6" fillId="9" borderId="1" pivotButton="0" quotePrefix="0" xfId="0"/>
    <xf numFmtId="10" fontId="4" fillId="3" borderId="1" pivotButton="0" quotePrefix="0" xfId="0"/>
    <xf numFmtId="1" fontId="4" fillId="5" borderId="1" pivotButton="0" quotePrefix="0" xfId="0"/>
    <xf numFmtId="10" fontId="18" fillId="12" borderId="1" pivotButton="0" quotePrefix="0" xfId="0"/>
    <xf numFmtId="10" fontId="4" fillId="5" borderId="1" pivotButton="0" quotePrefix="0" xfId="0"/>
    <xf numFmtId="0" fontId="6" fillId="2" borderId="1" applyAlignment="1" pivotButton="0" quotePrefix="0" xfId="0">
      <alignment horizontal="center" vertical="center" wrapText="1"/>
    </xf>
    <xf numFmtId="170" fontId="0" fillId="0" borderId="0" pivotButton="0" quotePrefix="0" xfId="0"/>
    <xf numFmtId="171" fontId="0" fillId="0" borderId="0" pivotButton="0" quotePrefix="0" xfId="0"/>
    <xf numFmtId="3" fontId="0" fillId="0" borderId="0" pivotButton="0" quotePrefix="0" xfId="0"/>
    <xf numFmtId="10" fontId="0" fillId="0" borderId="0" pivotButton="0" quotePrefix="0" xfId="0"/>
    <xf numFmtId="4" fontId="0" fillId="0" borderId="0" pivotButton="0" quotePrefix="0" xfId="0"/>
    <xf numFmtId="170" fontId="4" fillId="5" borderId="1" pivotButton="0" quotePrefix="0" xfId="0"/>
    <xf numFmtId="0" fontId="19" fillId="13" borderId="1" applyAlignment="1" pivotButton="0" quotePrefix="0" xfId="0">
      <alignment horizontal="center"/>
    </xf>
    <xf numFmtId="0" fontId="4" fillId="5" borderId="1" applyAlignment="1" pivotButton="0" quotePrefix="0" xfId="0">
      <alignment horizontal="center"/>
    </xf>
    <xf numFmtId="0" fontId="20" fillId="5" borderId="1" pivotButton="0" quotePrefix="0" xfId="0"/>
    <xf numFmtId="170" fontId="4" fillId="0" borderId="1" pivotButton="0" quotePrefix="0" xfId="0"/>
    <xf numFmtId="0" fontId="4" fillId="0" borderId="1" applyAlignment="1" pivotButton="0" quotePrefix="0" xfId="0">
      <alignment horizontal="center"/>
    </xf>
    <xf numFmtId="0" fontId="20" fillId="0" borderId="1" pivotButton="0" quotePrefix="0" xfId="0"/>
    <xf numFmtId="0" fontId="18" fillId="12" borderId="1" applyAlignment="1" pivotButton="0" quotePrefix="0" xfId="0">
      <alignment horizontal="center"/>
    </xf>
    <xf numFmtId="0" fontId="21" fillId="14" borderId="1" applyAlignment="1" pivotButton="0" quotePrefix="0" xfId="0">
      <alignment horizontal="center"/>
    </xf>
    <xf numFmtId="0" fontId="5" fillId="15" borderId="1" pivotButton="0" quotePrefix="0" xfId="0"/>
    <xf numFmtId="165" fontId="4" fillId="0" borderId="1" applyAlignment="1" pivotButton="0" quotePrefix="0" xfId="0">
      <alignment horizontal="center"/>
    </xf>
    <xf numFmtId="0" fontId="23" fillId="0" borderId="0" pivotButton="0" quotePrefix="0" xfId="0"/>
    <xf numFmtId="0" fontId="4" fillId="0" borderId="0" pivotButton="0" quotePrefix="0" xfId="0"/>
    <xf numFmtId="164" fontId="5" fillId="0" borderId="0" applyAlignment="1" pivotButton="0" quotePrefix="0" xfId="0">
      <alignment horizontal="right"/>
    </xf>
    <xf numFmtId="3" fontId="5" fillId="0" borderId="0" applyAlignment="1" pivotButton="0" quotePrefix="0" xfId="0">
      <alignment horizontal="right"/>
    </xf>
    <xf numFmtId="168" fontId="5" fillId="0" borderId="0" applyAlignment="1" pivotButton="0" quotePrefix="0" xfId="0">
      <alignment horizontal="right"/>
    </xf>
    <xf numFmtId="2" fontId="5" fillId="0" borderId="0" applyAlignment="1" pivotButton="0" quotePrefix="0" xfId="0">
      <alignment horizontal="right"/>
    </xf>
    <xf numFmtId="164" fontId="0" fillId="0" borderId="0" pivotButton="0" quotePrefix="0" xfId="0"/>
    <xf numFmtId="0" fontId="5" fillId="0" borderId="1" applyAlignment="1" pivotButton="0" quotePrefix="0" xfId="0">
      <alignment vertical="top" wrapText="1"/>
    </xf>
    <xf numFmtId="0" fontId="13" fillId="0" borderId="1" applyAlignment="1" pivotButton="0" quotePrefix="0" xfId="0">
      <alignment vertical="top" wrapText="1"/>
    </xf>
  </cellXfs>
  <cellStyles count="1">
    <cellStyle name="Normal" xfId="0" builtinId="0" hidden="0"/>
  </cellStyles>
  <dxfs count="4">
    <dxf>
      <font>
        <b val="1"/>
        <color rgb="00006100"/>
      </font>
      <fill>
        <patternFill patternType="solid">
          <bgColor rgb="00C6EFCE"/>
        </patternFill>
      </fill>
    </dxf>
    <dxf>
      <font>
        <color rgb="009C0006"/>
      </font>
      <fill>
        <patternFill patternType="solid">
          <bgColor rgb="00FFC7CE"/>
        </patternFill>
      </fill>
    </dxf>
    <dxf>
      <fill>
        <patternFill patternType="solid">
          <fgColor rgb="00FF9999"/>
        </patternFill>
      </fill>
    </dxf>
    <dxf>
      <fill>
        <patternFill patternType="solid">
          <fgColor rgb="0099FF99"/>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styles" Target="styles.xml" Id="rId13"/><Relationship Type="http://schemas.openxmlformats.org/officeDocument/2006/relationships/theme" Target="theme/theme1.xml" Id="rId14"/></Relationships>
</file>

<file path=xl/charts/chart1.xml><?xml version="1.0" encoding="utf-8"?>
<chartSpace xmlns="http://schemas.openxmlformats.org/drawingml/2006/chart">
  <roundedCorners val="0"/>
  <chart>
    <title>
      <tx>
        <rich>
          <a:bodyPr xmlns:a="http://schemas.openxmlformats.org/drawingml/2006/main"/>
          <a:p xmlns:a="http://schemas.openxmlformats.org/drawingml/2006/main">
            <a:pPr>
              <a:defRPr/>
            </a:pPr>
            <a:r>
              <a:t>Fair value per share — scenarios vs today's price</a:t>
            </a:r>
          </a:p>
        </rich>
      </tx>
    </title>
    <plotArea>
      <barChart>
        <barDir val="bar"/>
        <grouping val="clustered"/>
        <varyColors val="0"/>
        <ser>
          <idx val="0"/>
          <order val="0"/>
          <tx>
            <strRef>
              <f>'Valuation'!C15</f>
            </strRef>
          </tx>
          <spPr>
            <a:ln xmlns:a="http://schemas.openxmlformats.org/drawingml/2006/main">
              <a:prstDash val="solid"/>
            </a:ln>
          </spPr>
          <cat>
            <numRef>
              <f>'Valuation'!$A$16:$A$19</f>
            </numRef>
          </cat>
          <val>
            <numRef>
              <f>'Valuation'!$C$16:$C$19</f>
            </numRef>
          </val>
        </ser>
        <gapWidth val="150"/>
        <axId val="10"/>
        <axId val="100"/>
      </barChart>
      <catAx>
        <axId val="10"/>
        <scaling>
          <orientation val="minMax"/>
        </scaling>
        <delete val="0"/>
        <axPos val="l"/>
        <majorTickMark val="none"/>
        <minorTickMark val="none"/>
        <spPr>
          <a:ln xmlns:a="http://schemas.openxmlformats.org/drawingml/2006/main" w="9525">
            <a:solidFill>
              <a:srgbClr val="D9D9D9"/>
            </a:solidFill>
            <a:prstDash val="solid"/>
          </a:ln>
        </spPr>
        <crossAx val="100"/>
        <lblOffset val="100"/>
      </catAx>
      <valAx>
        <axId val="100"/>
        <scaling>
          <orientation val="minMax"/>
        </scaling>
        <delete val="0"/>
        <axPos val="l"/>
        <majorGridlines>
          <spPr>
            <a:ln xmlns:a="http://schemas.openxmlformats.org/drawingml/2006/main" w="9525">
              <a:solidFill>
                <a:srgbClr val="D9D9D9"/>
              </a:solidFill>
              <a:prstDash val="solid"/>
            </a:ln>
          </spPr>
        </majorGridlines>
        <numFmt formatCode="$#,##0" sourceLinked="0"/>
        <majorTickMark val="none"/>
        <minorTickMark val="none"/>
        <spPr>
          <a:ln xmlns:a="http://schemas.openxmlformats.org/drawingml/2006/main" w="9525">
            <a:solidFill>
              <a:srgbClr val="D9D9D9"/>
            </a:solidFill>
            <a:prstDash val="solid"/>
          </a:ln>
        </spPr>
        <crossAx val="10"/>
      </valAx>
    </plotArea>
    <plotVisOnly val="1"/>
    <dispBlanksAs val="gap"/>
  </chart>
  <spPr>
    <a:ln xmlns:a="http://schemas.openxmlformats.org/drawingml/2006/main">
      <a:noFill/>
      <a:prstDash val="solid"/>
    </a:ln>
  </spPr>
</chartSpace>
</file>

<file path=xl/charts/chart2.xml><?xml version="1.0" encoding="utf-8"?>
<chartSpace xmlns="http://schemas.openxmlformats.org/drawingml/2006/chart">
  <roundedCorners val="0"/>
  <style val="2"/>
  <chart>
    <title>
      <tx>
        <rich>
          <a:bodyPr xmlns:a="http://schemas.openxmlformats.org/drawingml/2006/main"/>
          <a:p xmlns:a="http://schemas.openxmlformats.org/drawingml/2006/main">
            <a:pPr>
              <a:defRPr/>
            </a:pPr>
            <a:r>
              <a:t>NKE — Price &amp; Moving Averages</a:t>
            </a:r>
          </a:p>
        </rich>
      </tx>
    </title>
    <plotArea>
      <lineChart>
        <grouping val="standard"/>
        <varyColors val="0"/>
        <ser>
          <idx val="0"/>
          <order val="0"/>
          <tx>
            <v>NKE</v>
          </tx>
          <spPr>
            <a:ln xmlns:a="http://schemas.openxmlformats.org/drawingml/2006/main" w="20320">
              <a:solidFill>
                <a:srgbClr val="1F4E79"/>
              </a:solidFill>
              <a:prstDash val="solid"/>
            </a:ln>
          </spPr>
          <marker>
            <symbol val="none"/>
            <spPr>
              <a:ln xmlns:a="http://schemas.openxmlformats.org/drawingml/2006/main">
                <a:prstDash val="solid"/>
              </a:ln>
            </spPr>
          </marker>
          <cat>
            <numRef>
              <f>'Price_Indicators'!$A$2:$A$1255</f>
            </numRef>
          </cat>
          <val>
            <numRef>
              <f>'Price_Indicators'!$E$2:$E$1255</f>
            </numRef>
          </val>
          <smooth val="0"/>
        </ser>
        <ser>
          <idx val="1"/>
          <order val="1"/>
          <tx>
            <v>MA 50</v>
          </tx>
          <spPr>
            <a:ln xmlns:a="http://schemas.openxmlformats.org/drawingml/2006/main" w="13970">
              <a:solidFill>
                <a:srgbClr val="70AD47"/>
              </a:solidFill>
              <a:prstDash val="dash"/>
            </a:ln>
          </spPr>
          <marker>
            <symbol val="none"/>
            <spPr>
              <a:ln xmlns:a="http://schemas.openxmlformats.org/drawingml/2006/main">
                <a:prstDash val="solid"/>
              </a:ln>
            </spPr>
          </marker>
          <cat>
            <numRef>
              <f>'Price_Indicators'!$A$2:$A$1255</f>
            </numRef>
          </cat>
          <val>
            <numRef>
              <f>'Price_Indicators'!$I$2:$I$1255</f>
            </numRef>
          </val>
          <smooth val="0"/>
        </ser>
        <ser>
          <idx val="2"/>
          <order val="2"/>
          <tx>
            <v>MA 200</v>
          </tx>
          <spPr>
            <a:ln xmlns:a="http://schemas.openxmlformats.org/drawingml/2006/main" w="13970">
              <a:solidFill>
                <a:srgbClr val="C00000"/>
              </a:solidFill>
              <a:prstDash val="dash"/>
            </a:ln>
          </spPr>
          <marker>
            <symbol val="none"/>
            <spPr>
              <a:ln xmlns:a="http://schemas.openxmlformats.org/drawingml/2006/main">
                <a:prstDash val="solid"/>
              </a:ln>
            </spPr>
          </marker>
          <cat>
            <numRef>
              <f>'Price_Indicators'!$A$2:$A$1255</f>
            </numRef>
          </cat>
          <val>
            <numRef>
              <f>'Price_Indicators'!$J$2:$J$1255</f>
            </numRef>
          </val>
          <smooth val="0"/>
        </ser>
        <axId val="10"/>
        <axId val="100"/>
      </lineChart>
      <catAx>
        <axId val="10"/>
        <scaling>
          <orientation val="minMax"/>
        </scaling>
        <delete val="0"/>
        <axPos val="l"/>
        <numFmt formatCode="mmm yy" sourceLinked="0"/>
        <majorTickMark val="out"/>
        <minorTickMark val="none"/>
        <spPr>
          <a:ln xmlns:a="http://schemas.openxmlformats.org/drawingml/2006/main" w="9525">
            <a:solidFill>
              <a:srgbClr val="D9D9D9"/>
            </a:solidFill>
            <a:prstDash val="solid"/>
          </a:ln>
        </spPr>
        <txPr>
          <a:bodyPr xmlns:a="http://schemas.openxmlformats.org/drawingml/2006/main" rot="-2700000" vert="horz" anchor="ctr"/>
          <a:p xmlns:a="http://schemas.openxmlformats.org/drawingml/2006/main">
            <a:pPr>
              <a:defRPr sz="800"/>
            </a:pPr>
            <a:r>
              <a:t/>
            </a:r>
          </a:p>
        </txPr>
        <crossAx val="100"/>
        <lblOffset val="100"/>
      </catAx>
      <valAx>
        <axId val="100"/>
        <scaling>
          <orientation val="minMax"/>
        </scaling>
        <delete val="0"/>
        <axPos val="l"/>
        <majorGridlines>
          <spPr>
            <a:ln xmlns:a="http://schemas.openxmlformats.org/drawingml/2006/main" w="9525">
              <a:solidFill>
                <a:srgbClr val="D9D9D9"/>
              </a:solidFill>
              <a:prstDash val="solid"/>
            </a:ln>
          </spPr>
        </majorGridlines>
        <majorTickMark val="out"/>
        <minorTickMark val="none"/>
        <spPr>
          <a:ln xmlns:a="http://schemas.openxmlformats.org/drawingml/2006/main" w="9525">
            <a:solidFill>
              <a:srgbClr val="D9D9D9"/>
            </a:solidFill>
            <a:prstDash val="solid"/>
          </a:ln>
        </spPr>
        <crossAx val="10"/>
      </valAx>
    </plotArea>
    <legend>
      <legendPos val="b"/>
      <overlay val="0"/>
    </legend>
    <plotVisOnly val="1"/>
    <dispBlanksAs val="gap"/>
  </chart>
  <spPr>
    <a:ln xmlns:a="http://schemas.openxmlformats.org/drawingml/2006/main">
      <a:noFill/>
      <a:prstDash val="solid"/>
    </a:ln>
  </spPr>
</chartSpace>
</file>

<file path=xl/charts/chart3.xml><?xml version="1.0" encoding="utf-8"?>
<chartSpace xmlns="http://schemas.openxmlformats.org/drawingml/2006/chart">
  <roundedCorners val="0"/>
  <style val="2"/>
  <chart>
    <title>
      <tx>
        <rich>
          <a:bodyPr xmlns:a="http://schemas.openxmlformats.org/drawingml/2006/main"/>
          <a:p xmlns:a="http://schemas.openxmlformats.org/drawingml/2006/main">
            <a:pPr>
              <a:defRPr/>
            </a:pPr>
            <a:r>
              <a:t>NKE — Cumulative Return vs Benchmarks</a:t>
            </a:r>
          </a:p>
        </rich>
      </tx>
    </title>
    <plotArea>
      <lineChart>
        <grouping val="standard"/>
        <varyColors val="0"/>
        <ser>
          <idx val="0"/>
          <order val="0"/>
          <tx>
            <v>NKE</v>
          </tx>
          <spPr>
            <a:ln xmlns:a="http://schemas.openxmlformats.org/drawingml/2006/main" w="20320">
              <a:solidFill>
                <a:srgbClr val="1F4E79"/>
              </a:solidFill>
              <a:prstDash val="solid"/>
            </a:ln>
          </spPr>
          <marker>
            <symbol val="none"/>
            <spPr>
              <a:ln xmlns:a="http://schemas.openxmlformats.org/drawingml/2006/main">
                <a:prstDash val="solid"/>
              </a:ln>
            </spPr>
          </marker>
          <cat>
            <numRef>
              <f>'Price_Indicators'!$A$2:$A$1255</f>
            </numRef>
          </cat>
          <val>
            <numRef>
              <f>'Price_Indicators'!$H$2:$H$1255</f>
            </numRef>
          </val>
          <smooth val="0"/>
        </ser>
        <ser>
          <idx val="1"/>
          <order val="1"/>
          <tx>
            <v>S&amp;P 500</v>
          </tx>
          <spPr>
            <a:ln xmlns:a="http://schemas.openxmlformats.org/drawingml/2006/main" w="13970">
              <a:solidFill>
                <a:srgbClr val="C00000"/>
              </a:solidFill>
              <a:prstDash val="dash"/>
            </a:ln>
          </spPr>
          <marker>
            <symbol val="none"/>
            <spPr>
              <a:ln xmlns:a="http://schemas.openxmlformats.org/drawingml/2006/main">
                <a:prstDash val="solid"/>
              </a:ln>
            </spPr>
          </marker>
          <cat>
            <numRef>
              <f>'Price_Indicators'!$A$2:$A$1255</f>
            </numRef>
          </cat>
          <val>
            <numRef>
              <f>'Price_Indicators'!$P$2:$P$1255</f>
            </numRef>
          </val>
          <smooth val="0"/>
        </ser>
        <ser>
          <idx val="2"/>
          <order val="2"/>
          <tx>
            <v>NASDAQ 100</v>
          </tx>
          <spPr>
            <a:ln xmlns:a="http://schemas.openxmlformats.org/drawingml/2006/main" w="13970">
              <a:solidFill>
                <a:srgbClr val="00B0F0"/>
              </a:solidFill>
              <a:prstDash val="dash"/>
            </a:ln>
          </spPr>
          <marker>
            <symbol val="none"/>
            <spPr>
              <a:ln xmlns:a="http://schemas.openxmlformats.org/drawingml/2006/main">
                <a:prstDash val="solid"/>
              </a:ln>
            </spPr>
          </marker>
          <cat>
            <numRef>
              <f>'Price_Indicators'!$A$2:$A$1255</f>
            </numRef>
          </cat>
          <val>
            <numRef>
              <f>'Price_Indicators'!$Q$2:$Q$1255</f>
            </numRef>
          </val>
          <smooth val="0"/>
        </ser>
        <axId val="10"/>
        <axId val="100"/>
      </lineChart>
      <catAx>
        <axId val="10"/>
        <scaling>
          <orientation val="minMax"/>
        </scaling>
        <delete val="0"/>
        <axPos val="l"/>
        <numFmt formatCode="mmm yy" sourceLinked="0"/>
        <majorTickMark val="out"/>
        <minorTickMark val="none"/>
        <spPr>
          <a:ln xmlns:a="http://schemas.openxmlformats.org/drawingml/2006/main" w="9525">
            <a:solidFill>
              <a:srgbClr val="D9D9D9"/>
            </a:solidFill>
            <a:prstDash val="solid"/>
          </a:ln>
        </spPr>
        <txPr>
          <a:bodyPr xmlns:a="http://schemas.openxmlformats.org/drawingml/2006/main" rot="-2700000" vert="horz" anchor="ctr"/>
          <a:p xmlns:a="http://schemas.openxmlformats.org/drawingml/2006/main">
            <a:pPr>
              <a:defRPr sz="800"/>
            </a:pPr>
            <a:r>
              <a:t/>
            </a:r>
          </a:p>
        </txPr>
        <crossAx val="100"/>
        <lblOffset val="100"/>
      </catAx>
      <valAx>
        <axId val="100"/>
        <scaling>
          <orientation val="minMax"/>
        </scaling>
        <delete val="0"/>
        <axPos val="l"/>
        <majorGridlines>
          <spPr>
            <a:ln xmlns:a="http://schemas.openxmlformats.org/drawingml/2006/main" w="9525">
              <a:solidFill>
                <a:srgbClr val="D9D9D9"/>
              </a:solidFill>
              <a:prstDash val="solid"/>
            </a:ln>
          </spPr>
        </majorGridlines>
        <majorTickMark val="out"/>
        <minorTickMark val="none"/>
        <spPr>
          <a:ln xmlns:a="http://schemas.openxmlformats.org/drawingml/2006/main" w="9525">
            <a:solidFill>
              <a:srgbClr val="D9D9D9"/>
            </a:solidFill>
            <a:prstDash val="solid"/>
          </a:ln>
        </spPr>
        <crossAx val="10"/>
      </valAx>
    </plotArea>
    <legend>
      <legendPos val="b"/>
      <overlay val="0"/>
    </legend>
    <plotVisOnly val="1"/>
    <dispBlanksAs val="gap"/>
  </chart>
  <spPr>
    <a:ln xmlns:a="http://schemas.openxmlformats.org/drawingml/2006/main">
      <a:noFill/>
      <a:prstDash val="solid"/>
    </a:ln>
  </spPr>
</chartSpace>
</file>

<file path=xl/charts/chart4.xml><?xml version="1.0" encoding="utf-8"?>
<chartSpace xmlns="http://schemas.openxmlformats.org/drawingml/2006/chart">
  <roundedCorners val="0"/>
  <style val="2"/>
  <chart>
    <title>
      <tx>
        <rich>
          <a:bodyPr xmlns:a="http://schemas.openxmlformats.org/drawingml/2006/main"/>
          <a:p xmlns:a="http://schemas.openxmlformats.org/drawingml/2006/main">
            <a:pPr>
              <a:defRPr/>
            </a:pPr>
            <a:r>
              <a:t>NKE — Volume</a:t>
            </a:r>
          </a:p>
        </rich>
      </tx>
    </title>
    <plotArea>
      <barChart>
        <barDir val="col"/>
        <grouping val="clustered"/>
        <varyColors val="0"/>
        <ser>
          <idx val="0"/>
          <order val="0"/>
          <tx>
            <strRef>
              <f>'Price_Indicators'!F1</f>
            </strRef>
          </tx>
          <spPr>
            <a:solidFill xmlns:a="http://schemas.openxmlformats.org/drawingml/2006/main">
              <a:srgbClr val="8FAADC"/>
            </a:solidFill>
            <a:ln xmlns:a="http://schemas.openxmlformats.org/drawingml/2006/main">
              <a:noFill/>
              <a:prstDash val="solid"/>
            </a:ln>
          </spPr>
          <cat>
            <numRef>
              <f>'Price_Indicators'!$A$2:$A$1255</f>
            </numRef>
          </cat>
          <val>
            <numRef>
              <f>'Price_Indicators'!$F$2:$F$1255</f>
            </numRef>
          </val>
        </ser>
        <gapWidth val="20"/>
        <axId val="10"/>
        <axId val="100"/>
      </barChart>
      <catAx>
        <axId val="10"/>
        <scaling>
          <orientation val="minMax"/>
        </scaling>
        <delete val="0"/>
        <axPos val="l"/>
        <numFmt formatCode="mmm yy" sourceLinked="0"/>
        <majorTickMark val="none"/>
        <minorTickMark val="none"/>
        <spPr>
          <a:ln xmlns:a="http://schemas.openxmlformats.org/drawingml/2006/main" w="9525">
            <a:solidFill>
              <a:srgbClr val="D9D9D9"/>
            </a:solidFill>
            <a:prstDash val="solid"/>
          </a:ln>
        </spPr>
        <txPr>
          <a:bodyPr xmlns:a="http://schemas.openxmlformats.org/drawingml/2006/main" rot="-2700000" vert="horz" anchor="ctr"/>
          <a:p xmlns:a="http://schemas.openxmlformats.org/drawingml/2006/main">
            <a:pPr>
              <a:defRPr sz="800"/>
            </a:pPr>
            <a:r>
              <a:t/>
            </a:r>
          </a:p>
        </txPr>
        <crossAx val="100"/>
        <lblOffset val="100"/>
      </catAx>
      <valAx>
        <axId val="100"/>
        <scaling>
          <orientation val="minMax"/>
        </scaling>
        <delete val="0"/>
        <axPos val="l"/>
        <majorGridlines>
          <spPr>
            <a:ln xmlns:a="http://schemas.openxmlformats.org/drawingml/2006/main" w="9525">
              <a:solidFill>
                <a:srgbClr val="D9D9D9"/>
              </a:solidFill>
              <a:prstDash val="solid"/>
            </a:ln>
          </spPr>
        </majorGridlines>
        <numFmt formatCode="#,##0,,&quot;M&quot;" sourceLinked="0"/>
        <majorTickMark val="none"/>
        <minorTickMark val="none"/>
        <spPr>
          <a:ln xmlns:a="http://schemas.openxmlformats.org/drawingml/2006/main" w="9525">
            <a:solidFill>
              <a:srgbClr val="D9D9D9"/>
            </a:solidFill>
            <a:prstDash val="solid"/>
          </a:ln>
        </spPr>
        <crossAx val="10"/>
      </valAx>
    </plotArea>
    <plotVisOnly val="1"/>
    <dispBlanksAs val="gap"/>
  </chart>
  <spPr>
    <a:ln xmlns:a="http://schemas.openxmlformats.org/drawingml/2006/main">
      <a:noFill/>
      <a:prstDash val="solid"/>
    </a:ln>
  </spPr>
</chartSpace>
</file>

<file path=xl/charts/chart5.xml><?xml version="1.0" encoding="utf-8"?>
<chartSpace xmlns="http://schemas.openxmlformats.org/drawingml/2006/chart">
  <roundedCorners val="0"/>
  <style val="2"/>
  <chart>
    <title>
      <tx>
        <rich>
          <a:bodyPr xmlns:a="http://schemas.openxmlformats.org/drawingml/2006/main"/>
          <a:p xmlns:a="http://schemas.openxmlformats.org/drawingml/2006/main">
            <a:pPr>
              <a:defRPr/>
            </a:pPr>
            <a:r>
              <a:t>NKE — RSI (14)</a:t>
            </a:r>
          </a:p>
        </rich>
      </tx>
    </title>
    <plotArea>
      <lineChart>
        <grouping val="standard"/>
        <varyColors val="0"/>
        <ser>
          <idx val="0"/>
          <order val="0"/>
          <tx>
            <strRef>
              <f>'Price_Indicators'!N1</f>
            </strRef>
          </tx>
          <spPr>
            <a:ln xmlns:a="http://schemas.openxmlformats.org/drawingml/2006/main" w="16510">
              <a:solidFill>
                <a:srgbClr val="6C3483"/>
              </a:solidFill>
              <a:prstDash val="solid"/>
            </a:ln>
          </spPr>
          <marker>
            <symbol val="none"/>
            <spPr>
              <a:ln xmlns:a="http://schemas.openxmlformats.org/drawingml/2006/main">
                <a:prstDash val="solid"/>
              </a:ln>
            </spPr>
          </marker>
          <cat>
            <numRef>
              <f>'Price_Indicators'!$A$2:$A$1255</f>
            </numRef>
          </cat>
          <val>
            <numRef>
              <f>'Price_Indicators'!$N$2:$N$1255</f>
            </numRef>
          </val>
          <smooth val="0"/>
        </ser>
        <axId val="10"/>
        <axId val="100"/>
      </lineChart>
      <catAx>
        <axId val="10"/>
        <scaling>
          <orientation val="minMax"/>
        </scaling>
        <delete val="0"/>
        <axPos val="l"/>
        <numFmt formatCode="mmm yy" sourceLinked="0"/>
        <majorTickMark val="out"/>
        <minorTickMark val="none"/>
        <spPr>
          <a:ln xmlns:a="http://schemas.openxmlformats.org/drawingml/2006/main" w="9525">
            <a:solidFill>
              <a:srgbClr val="D9D9D9"/>
            </a:solidFill>
            <a:prstDash val="solid"/>
          </a:ln>
        </spPr>
        <txPr>
          <a:bodyPr xmlns:a="http://schemas.openxmlformats.org/drawingml/2006/main" rot="-2700000" vert="horz" anchor="ctr"/>
          <a:p xmlns:a="http://schemas.openxmlformats.org/drawingml/2006/main">
            <a:pPr>
              <a:defRPr sz="800"/>
            </a:pPr>
            <a:r>
              <a:t/>
            </a:r>
          </a:p>
        </txPr>
        <crossAx val="100"/>
        <lblOffset val="100"/>
      </catAx>
      <valAx>
        <axId val="100"/>
        <scaling>
          <orientation val="minMax"/>
          <max val="100"/>
          <min val="0"/>
        </scaling>
        <delete val="0"/>
        <axPos val="l"/>
        <majorGridlines>
          <spPr>
            <a:ln xmlns:a="http://schemas.openxmlformats.org/drawingml/2006/main" w="9525">
              <a:solidFill>
                <a:srgbClr val="D9D9D9"/>
              </a:solidFill>
              <a:prstDash val="solid"/>
            </a:ln>
          </spPr>
        </majorGridlines>
        <majorTickMark val="out"/>
        <minorTickMark val="none"/>
        <spPr>
          <a:ln xmlns:a="http://schemas.openxmlformats.org/drawingml/2006/main" w="9525">
            <a:solidFill>
              <a:srgbClr val="D9D9D9"/>
            </a:solidFill>
            <a:prstDash val="solid"/>
          </a:ln>
        </spPr>
        <crossAx val="10"/>
      </valAx>
    </plotArea>
    <plotVisOnly val="1"/>
    <dispBlanksAs val="gap"/>
  </chart>
  <spPr>
    <a:ln xmlns:a="http://schemas.openxmlformats.org/drawingml/2006/main">
      <a:noFill/>
      <a:prstDash val="solid"/>
    </a:ln>
  </spPr>
</chartSpace>
</file>

<file path=xl/charts/chart6.xml><?xml version="1.0" encoding="utf-8"?>
<chartSpace xmlns="http://schemas.openxmlformats.org/drawingml/2006/chart">
  <roundedCorners val="0"/>
  <style val="2"/>
  <chart>
    <title>
      <tx>
        <rich>
          <a:bodyPr xmlns:a="http://schemas.openxmlformats.org/drawingml/2006/main"/>
          <a:p xmlns:a="http://schemas.openxmlformats.org/drawingml/2006/main">
            <a:pPr>
              <a:defRPr/>
            </a:pPr>
            <a:r>
              <a:t>NKE — Monte Carlo Forecast (252 trading days)</a:t>
            </a:r>
          </a:p>
        </rich>
      </tx>
    </title>
    <plotArea>
      <lineChart>
        <grouping val="standard"/>
        <varyColors val="0"/>
        <ser>
          <idx val="0"/>
          <order val="0"/>
          <tx>
            <strRef>
              <f>'Monte_Carlo'!B20</f>
            </strRef>
          </tx>
          <spPr>
            <a:ln xmlns:a="http://schemas.openxmlformats.org/drawingml/2006/main" w="12700">
              <a:solidFill>
                <a:srgbClr val="C00000"/>
              </a:solidFill>
              <a:prstDash val="dash"/>
            </a:ln>
          </spPr>
          <marker>
            <symbol val="none"/>
            <spPr>
              <a:ln xmlns:a="http://schemas.openxmlformats.org/drawingml/2006/main">
                <a:prstDash val="solid"/>
              </a:ln>
            </spPr>
          </marker>
          <cat>
            <numRef>
              <f>'Monte_Carlo'!$A$21:$A$273</f>
            </numRef>
          </cat>
          <val>
            <numRef>
              <f>'Monte_Carlo'!$B$21:$B$273</f>
            </numRef>
          </val>
          <smooth val="0"/>
        </ser>
        <ser>
          <idx val="1"/>
          <order val="1"/>
          <tx>
            <strRef>
              <f>'Monte_Carlo'!C20</f>
            </strRef>
          </tx>
          <spPr>
            <a:ln xmlns:a="http://schemas.openxmlformats.org/drawingml/2006/main" w="12700">
              <a:solidFill>
                <a:srgbClr val="E8A838"/>
              </a:solidFill>
              <a:prstDash val="dash"/>
            </a:ln>
          </spPr>
          <marker>
            <symbol val="none"/>
            <spPr>
              <a:ln xmlns:a="http://schemas.openxmlformats.org/drawingml/2006/main">
                <a:prstDash val="solid"/>
              </a:ln>
            </spPr>
          </marker>
          <cat>
            <numRef>
              <f>'Monte_Carlo'!$A$21:$A$273</f>
            </numRef>
          </cat>
          <val>
            <numRef>
              <f>'Monte_Carlo'!$C$21:$C$273</f>
            </numRef>
          </val>
          <smooth val="0"/>
        </ser>
        <ser>
          <idx val="2"/>
          <order val="2"/>
          <tx>
            <strRef>
              <f>'Monte_Carlo'!D20</f>
            </strRef>
          </tx>
          <spPr>
            <a:ln xmlns:a="http://schemas.openxmlformats.org/drawingml/2006/main" w="22860">
              <a:solidFill>
                <a:srgbClr val="1F4E79"/>
              </a:solidFill>
              <a:prstDash val="solid"/>
            </a:ln>
          </spPr>
          <marker>
            <symbol val="none"/>
            <spPr>
              <a:ln xmlns:a="http://schemas.openxmlformats.org/drawingml/2006/main">
                <a:prstDash val="solid"/>
              </a:ln>
            </spPr>
          </marker>
          <cat>
            <numRef>
              <f>'Monte_Carlo'!$A$21:$A$273</f>
            </numRef>
          </cat>
          <val>
            <numRef>
              <f>'Monte_Carlo'!$D$21:$D$273</f>
            </numRef>
          </val>
          <smooth val="0"/>
        </ser>
        <ser>
          <idx val="3"/>
          <order val="3"/>
          <tx>
            <strRef>
              <f>'Monte_Carlo'!E20</f>
            </strRef>
          </tx>
          <spPr>
            <a:ln xmlns:a="http://schemas.openxmlformats.org/drawingml/2006/main" w="12700">
              <a:solidFill>
                <a:srgbClr val="92D050"/>
              </a:solidFill>
              <a:prstDash val="dash"/>
            </a:ln>
          </spPr>
          <marker>
            <symbol val="none"/>
            <spPr>
              <a:ln xmlns:a="http://schemas.openxmlformats.org/drawingml/2006/main">
                <a:prstDash val="solid"/>
              </a:ln>
            </spPr>
          </marker>
          <cat>
            <numRef>
              <f>'Monte_Carlo'!$A$21:$A$273</f>
            </numRef>
          </cat>
          <val>
            <numRef>
              <f>'Monte_Carlo'!$E$21:$E$273</f>
            </numRef>
          </val>
          <smooth val="0"/>
        </ser>
        <ser>
          <idx val="4"/>
          <order val="4"/>
          <tx>
            <strRef>
              <f>'Monte_Carlo'!F20</f>
            </strRef>
          </tx>
          <spPr>
            <a:ln xmlns:a="http://schemas.openxmlformats.org/drawingml/2006/main" w="12700">
              <a:solidFill>
                <a:srgbClr val="375623"/>
              </a:solidFill>
              <a:prstDash val="dash"/>
            </a:ln>
          </spPr>
          <marker>
            <symbol val="none"/>
            <spPr>
              <a:ln xmlns:a="http://schemas.openxmlformats.org/drawingml/2006/main">
                <a:prstDash val="solid"/>
              </a:ln>
            </spPr>
          </marker>
          <cat>
            <numRef>
              <f>'Monte_Carlo'!$A$21:$A$273</f>
            </numRef>
          </cat>
          <val>
            <numRef>
              <f>'Monte_Carlo'!$F$21:$F$273</f>
            </numRef>
          </val>
          <smooth val="0"/>
        </ser>
        <axId val="10"/>
        <axId val="100"/>
      </lineChart>
      <catAx>
        <axId val="10"/>
        <scaling>
          <orientation val="minMax"/>
        </scaling>
        <delete val="0"/>
        <axPos val="l"/>
        <majorTickMark val="out"/>
        <minorTickMark val="none"/>
        <spPr>
          <a:ln xmlns:a="http://schemas.openxmlformats.org/drawingml/2006/main" w="9525">
            <a:solidFill>
              <a:srgbClr val="D9D9D9"/>
            </a:solidFill>
            <a:prstDash val="solid"/>
          </a:ln>
        </spPr>
        <txPr>
          <a:bodyPr xmlns:a="http://schemas.openxmlformats.org/drawingml/2006/main" rot="-2700000" vert="horz" anchor="ctr"/>
          <a:p xmlns:a="http://schemas.openxmlformats.org/drawingml/2006/main">
            <a:pPr>
              <a:defRPr sz="800"/>
            </a:pPr>
            <a:r>
              <a:t/>
            </a:r>
          </a:p>
        </txPr>
        <crossAx val="100"/>
        <lblOffset val="100"/>
      </catAx>
      <valAx>
        <axId val="100"/>
        <scaling>
          <orientation val="minMax"/>
        </scaling>
        <delete val="0"/>
        <axPos val="l"/>
        <majorGridlines>
          <spPr>
            <a:ln xmlns:a="http://schemas.openxmlformats.org/drawingml/2006/main" w="9525">
              <a:solidFill>
                <a:srgbClr val="D9D9D9"/>
              </a:solidFill>
              <a:prstDash val="solid"/>
            </a:ln>
          </spPr>
        </majorGridlines>
        <majorTickMark val="out"/>
        <minorTickMark val="none"/>
        <spPr>
          <a:ln xmlns:a="http://schemas.openxmlformats.org/drawingml/2006/main" w="9525">
            <a:solidFill>
              <a:srgbClr val="D9D9D9"/>
            </a:solidFill>
            <a:prstDash val="solid"/>
          </a:ln>
        </spPr>
        <crossAx val="10"/>
      </valAx>
    </plotArea>
    <legend>
      <legendPos val="b"/>
      <overlay val="0"/>
    </legend>
    <plotVisOnly val="1"/>
    <dispBlanksAs val="gap"/>
  </chart>
  <spPr>
    <a:ln xmlns:a="http://schemas.openxmlformats.org/drawingml/2006/main">
      <a:noFill/>
      <a:prstDash val="solid"/>
    </a:ln>
  </spPr>
</chartSpace>
</file>

<file path=xl/drawings/_rels/drawing1.xml.rels><Relationships xmlns="http://schemas.openxmlformats.org/package/2006/relationships"><Relationship Type="http://schemas.openxmlformats.org/officeDocument/2006/relationships/image" Target="/xl/media/image1.png" Id="rId1"/></Relationships>
</file>

<file path=xl/drawings/_rels/drawing2.xml.rels><Relationships xmlns="http://schemas.openxmlformats.org/package/2006/relationships"><Relationship Type="http://schemas.openxmlformats.org/officeDocument/2006/relationships/image" Target="/xl/media/image2.png" Id="rId1"/><Relationship Type="http://schemas.openxmlformats.org/officeDocument/2006/relationships/image" Target="/xl/media/image3.png" Id="rId2"/><Relationship Type="http://schemas.openxmlformats.org/officeDocument/2006/relationships/image" Target="/xl/media/image4.png" Id="rId3"/><Relationship Type="http://schemas.openxmlformats.org/officeDocument/2006/relationships/image" Target="/xl/media/image5.png" Id="rId4"/><Relationship Type="http://schemas.openxmlformats.org/officeDocument/2006/relationships/image" Target="/xl/media/image6.png" Id="rId5"/></Relationships>
</file>

<file path=xl/drawings/_rels/drawing3.xml.rels><Relationships xmlns="http://schemas.openxmlformats.org/package/2006/relationships"><Relationship Type="http://schemas.openxmlformats.org/officeDocument/2006/relationships/chart" Target="/xl/charts/chart1.xml" Id="rId1"/></Relationships>
</file>

<file path=xl/drawings/_rels/drawing4.xml.rels><Relationships xmlns="http://schemas.openxmlformats.org/package/2006/relationships"><Relationship Type="http://schemas.openxmlformats.org/officeDocument/2006/relationships/chart" Target="/xl/charts/chart2.xml" Id="rId1"/><Relationship Type="http://schemas.openxmlformats.org/officeDocument/2006/relationships/chart" Target="/xl/charts/chart3.xml" Id="rId2"/><Relationship Type="http://schemas.openxmlformats.org/officeDocument/2006/relationships/chart" Target="/xl/charts/chart4.xml" Id="rId3"/><Relationship Type="http://schemas.openxmlformats.org/officeDocument/2006/relationships/chart" Target="/xl/charts/chart5.xml" Id="rId4"/><Relationship Type="http://schemas.openxmlformats.org/officeDocument/2006/relationships/chart" Target="/xl/charts/chart6.xml" Id="rId5"/></Relationships>
</file>

<file path=xl/drawings/drawing1.xml><?xml version="1.0" encoding="utf-8"?>
<wsDr xmlns="http://schemas.openxmlformats.org/drawingml/2006/spreadsheetDrawing">
  <oneCellAnchor>
    <from>
      <col>1</col>
      <colOff>0</colOff>
      <row>0</row>
      <rowOff>0</rowOff>
    </from>
    <ext cx="666750" cy="45720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wsDr>
</file>

<file path=xl/drawings/drawing2.xml><?xml version="1.0" encoding="utf-8"?>
<wsDr xmlns="http://schemas.openxmlformats.org/drawingml/2006/spreadsheetDrawing">
  <oneCellAnchor>
    <from>
      <col>4</col>
      <colOff>0</colOff>
      <row>5</row>
      <rowOff>0</rowOff>
    </from>
    <ext cx="1238250" cy="333375"/>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oneCellAnchor>
    <from>
      <col>4</col>
      <colOff>0</colOff>
      <row>8</row>
      <rowOff>0</rowOff>
    </from>
    <ext cx="1238250" cy="333375"/>
    <pic>
      <nvPicPr>
        <cNvPr id="2" name="Image 2" descr="Picture"/>
        <cNvPicPr/>
      </nvPicPr>
      <blipFill>
        <a:blip xmlns:a="http://schemas.openxmlformats.org/drawingml/2006/main" xmlns:r="http://schemas.openxmlformats.org/officeDocument/2006/relationships" cstate="print" r:embed="rId2"/>
        <a:stretch xmlns:a="http://schemas.openxmlformats.org/drawingml/2006/main">
          <a:fillRect/>
        </a:stretch>
      </blipFill>
      <spPr>
        <a:prstGeom xmlns:a="http://schemas.openxmlformats.org/drawingml/2006/main" prst="rect"/>
      </spPr>
    </pic>
    <clientData/>
  </oneCellAnchor>
  <oneCellAnchor>
    <from>
      <col>4</col>
      <colOff>0</colOff>
      <row>11</row>
      <rowOff>0</rowOff>
    </from>
    <ext cx="1238250" cy="333375"/>
    <pic>
      <nvPicPr>
        <cNvPr id="3" name="Image 3" descr="Picture"/>
        <cNvPicPr/>
      </nvPicPr>
      <blipFill>
        <a:blip xmlns:a="http://schemas.openxmlformats.org/drawingml/2006/main" xmlns:r="http://schemas.openxmlformats.org/officeDocument/2006/relationships" cstate="print" r:embed="rId3"/>
        <a:stretch xmlns:a="http://schemas.openxmlformats.org/drawingml/2006/main">
          <a:fillRect/>
        </a:stretch>
      </blipFill>
      <spPr>
        <a:prstGeom xmlns:a="http://schemas.openxmlformats.org/drawingml/2006/main" prst="rect"/>
      </spPr>
    </pic>
    <clientData/>
  </oneCellAnchor>
  <oneCellAnchor>
    <from>
      <col>4</col>
      <colOff>0</colOff>
      <row>14</row>
      <rowOff>0</rowOff>
    </from>
    <ext cx="1238250" cy="333375"/>
    <pic>
      <nvPicPr>
        <cNvPr id="4" name="Image 4" descr="Picture"/>
        <cNvPicPr/>
      </nvPicPr>
      <blipFill>
        <a:blip xmlns:a="http://schemas.openxmlformats.org/drawingml/2006/main" xmlns:r="http://schemas.openxmlformats.org/officeDocument/2006/relationships" cstate="print" r:embed="rId4"/>
        <a:stretch xmlns:a="http://schemas.openxmlformats.org/drawingml/2006/main">
          <a:fillRect/>
        </a:stretch>
      </blipFill>
      <spPr>
        <a:prstGeom xmlns:a="http://schemas.openxmlformats.org/drawingml/2006/main" prst="rect"/>
      </spPr>
    </pic>
    <clientData/>
  </oneCellAnchor>
  <oneCellAnchor>
    <from>
      <col>4</col>
      <colOff>0</colOff>
      <row>17</row>
      <rowOff>0</rowOff>
    </from>
    <ext cx="1238250" cy="333375"/>
    <pic>
      <nvPicPr>
        <cNvPr id="5" name="Image 5" descr="Picture"/>
        <cNvPicPr/>
      </nvPicPr>
      <blipFill>
        <a:blip xmlns:a="http://schemas.openxmlformats.org/drawingml/2006/main" xmlns:r="http://schemas.openxmlformats.org/officeDocument/2006/relationships" cstate="print" r:embed="rId5"/>
        <a:stretch xmlns:a="http://schemas.openxmlformats.org/drawingml/2006/main">
          <a:fillRect/>
        </a:stretch>
      </blipFill>
      <spPr>
        <a:prstGeom xmlns:a="http://schemas.openxmlformats.org/drawingml/2006/main" prst="rect"/>
      </spPr>
    </pic>
    <clientData/>
  </oneCellAnchor>
</wsDr>
</file>

<file path=xl/drawings/drawing3.xml><?xml version="1.0" encoding="utf-8"?>
<wsDr xmlns="http://schemas.openxmlformats.org/drawingml/2006/spreadsheetDrawing">
  <oneCellAnchor>
    <from>
      <col>0</col>
      <colOff>0</colOff>
      <row>65</row>
      <rowOff>0</rowOff>
    </from>
    <ext cx="5400000" cy="252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wsDr>
</file>

<file path=xl/drawings/drawing4.xml><?xml version="1.0" encoding="utf-8"?>
<wsDr xmlns="http://schemas.openxmlformats.org/drawingml/2006/spreadsheetDrawing">
  <oneCellAnchor>
    <from>
      <col>0</col>
      <colOff>0</colOff>
      <row>3</row>
      <rowOff>0</rowOff>
    </from>
    <ext cx="7920000" cy="288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0</col>
      <colOff>0</colOff>
      <row>20</row>
      <rowOff>0</rowOff>
    </from>
    <ext cx="7920000" cy="2880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oneCellAnchor>
    <from>
      <col>0</col>
      <colOff>0</colOff>
      <row>37</row>
      <rowOff>0</rowOff>
    </from>
    <ext cx="7920000" cy="2340000"/>
    <graphicFrame>
      <nvGraphicFramePr>
        <cNvPr id="3" name="Chart 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
        </a:graphicData>
      </a:graphic>
    </graphicFrame>
    <clientData/>
  </oneCellAnchor>
  <oneCellAnchor>
    <from>
      <col>0</col>
      <colOff>0</colOff>
      <row>54</row>
      <rowOff>0</rowOff>
    </from>
    <ext cx="7920000" cy="2340000"/>
    <graphicFrame>
      <nvGraphicFramePr>
        <cNvPr id="4" name="Chart 4"/>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4"/>
        </a:graphicData>
      </a:graphic>
    </graphicFrame>
    <clientData/>
  </oneCellAnchor>
  <oneCellAnchor>
    <from>
      <col>0</col>
      <colOff>0</colOff>
      <row>71</row>
      <rowOff>0</rowOff>
    </from>
    <ext cx="7920000" cy="2880000"/>
    <graphicFrame>
      <nvGraphicFramePr>
        <cNvPr id="5" name="Chart 5"/>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5"/>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Dashboard!A1" TargetMode="External" Id="rId1"/><Relationship Type="http://schemas.openxmlformats.org/officeDocument/2006/relationships/hyperlink" Target="#Valuation!A1" TargetMode="External" Id="rId2"/><Relationship Type="http://schemas.openxmlformats.org/officeDocument/2006/relationships/hyperlink" Target="#Fundamentals!A1" TargetMode="External" Id="rId3"/><Relationship Type="http://schemas.openxmlformats.org/officeDocument/2006/relationships/hyperlink" Target="#Annual_Summary!A1" TargetMode="External" Id="rId4"/><Relationship Type="http://schemas.openxmlformats.org/officeDocument/2006/relationships/hyperlink" Target="#Price_Indicators!A1" TargetMode="External" Id="rId5"/><Relationship Type="http://schemas.openxmlformats.org/officeDocument/2006/relationships/hyperlink" Target="#News_Headlines!A1" TargetMode="External" Id="rId6"/><Relationship Type="http://schemas.openxmlformats.org/officeDocument/2006/relationships/hyperlink" Target="#Peer_Comparison!A1" TargetMode="External" Id="rId7"/><Relationship Type="http://schemas.openxmlformats.org/officeDocument/2006/relationships/hyperlink" Target="#Correlation_Matrix!A1" TargetMode="External" Id="rId8"/><Relationship Type="http://schemas.openxmlformats.org/officeDocument/2006/relationships/hyperlink" Target="#Monte_Carlo!A1" TargetMode="External" Id="rId9"/><Relationship Type="http://schemas.openxmlformats.org/officeDocument/2006/relationships/hyperlink" Target="#Charts!A1" TargetMode="External" Id="rId10"/><Relationship Type="http://schemas.openxmlformats.org/officeDocument/2006/relationships/hyperlink" Target="#Methodology!A1" TargetMode="External" Id="rId11"/><Relationship Type="http://schemas.openxmlformats.org/officeDocument/2006/relationships/hyperlink" Target="https://quantwizard.co/?page=analysis&amp;ticker=NKE" TargetMode="External" Id="rId12"/><Relationship Type="http://schemas.openxmlformats.org/officeDocument/2006/relationships/drawing" Target="/xl/drawings/drawing1.xml" Id="rId13"/></Relationships>
</file>

<file path=xl/worksheets/_rels/sheet2.xml.rels><Relationships xmlns="http://schemas.openxmlformats.org/package/2006/relationships"><Relationship Type="http://schemas.openxmlformats.org/officeDocument/2006/relationships/drawing" Target="/xl/drawings/drawing2.xml" Id="rId1"/></Relationships>
</file>

<file path=xl/worksheets/_rels/sheet3.xml.rels><Relationships xmlns="http://schemas.openxmlformats.org/package/2006/relationships"><Relationship Type="http://schemas.openxmlformats.org/officeDocument/2006/relationships/drawing" Target="/xl/drawings/drawing3.xml" Id="rId1"/></Relationships>
</file>

<file path=xl/worksheets/_rels/sheet7.xml.rels><Relationships xmlns="http://schemas.openxmlformats.org/package/2006/relationships"><Relationship Type="http://schemas.openxmlformats.org/officeDocument/2006/relationships/hyperlink" Target="https://news.google.com/rss/articles/CBMimAFBVV95cUxNcmdIc2wwd2pVd21DbFNvQTY1YU11STM1ejBmdFVqMUloV2RoOU8zRVhuUzhaOXFUUTRDZzFvWTY3cW5reHI4NlFjSV9wMk1reGQ5cXhrV3FLdFVvcnREb0lVS2VKVXhQc1JFdkp1R1JGZFcxM1N0V3R2T3h2WEJmQlVTaXNONW4tWXBsbzJQRmxab0tqVzZ0WQ?oc=5" TargetMode="External" Id="rId1"/><Relationship Type="http://schemas.openxmlformats.org/officeDocument/2006/relationships/hyperlink" Target="https://news.google.com/rss/articles/CBMitgFBVV95cUxQQU1RWTlqczIyQzhiZU5MdFhINXJHVUpjODc1RTR3TTRkUTJ0UUFLbk9Ec2pkaGFjXzROOTRhaFZKMnY4cUFmQ3o1NGpwRW1qWjg1VFcwR21TRDdBeFpzM0Y4bVVVZTAyXzhOcmpnYUlKcjNkQ3p3a3pYcDVmc2NwMWNFLXBZbVk1OFRTMm1kbGxPZnBDT1JQU3FiRkhTd3RmbkFPbkw1ZzV1ZUZUeU84b18xWmFxdw?oc=5" TargetMode="External" Id="rId2"/><Relationship Type="http://schemas.openxmlformats.org/officeDocument/2006/relationships/hyperlink" Target="https://news.google.com/rss/articles/CBMiyAFBVV95cUxNWUtZQW5SVEhwaTZ0OEdmR19rTjFqUVdGTUFndHlnMlN5VkVtdGVmdUx2RklwODByN0Zydi1WSEFuTnZzYTBzTUZEUHppZXBoUXBwMzNFZ0JxZ1dYNjVBZzQyU0RSQmZabGhJTXc1XzlldVlxQmdWWFZtYmhKOS1FUmJhYjhiRHBPMTJPZUVqaE1fQnhMd2hwMnpzNFVQVHFVX3JVT1l1N1hKenhiYmtXSEYtSzJGVHFDdDhuOHQyWGZwNEYxZ3ZPa9IBzgFBVV95cUxOX0k4VDY1d2VDekQ4MW1WSFM4NWhqLTNDQnlpU1F1T0xid25kaFU5SmF1RDFsQTA2NHJRZFVxVGV2TTVVNUMyVjlrM2tDZVR0ZTZfSkhNeERQYnpjUmh4SmNvZ2pkVUZXQy1CWXBsMHVIbFpQbXgxZk1OZ3Bhd3hTVElZVmJ1TTRpZlRNLU1MLXFPbVBPUTdZUU1rWTFzbzlOdVVHb2lqY2xTUEVQX0Nzd19OSWVqVWEtSXhjZ3d0ZjNSLURqT05QV0RXNi1JZw?oc=5" TargetMode="External" Id="rId3"/><Relationship Type="http://schemas.openxmlformats.org/officeDocument/2006/relationships/hyperlink" Target="https://news.google.com/rss/articles/CBMi4wFBVV95cUxNSjRJSG5tbE9PdlpWT2M1NjJ4Rkh5aHpVb3pfVkVpTDk0STZLQ0pKaG5QZmZtSUZ0cEZBV1czRDQ1NnhVS2tEcFdJMmhtVmZ4aVB5NXgxQzN3a0U0cEpBZmVQa1I3QU9POEtyYU5KUVYwTk9SZXBSZnh6TDU5dF80Z0lRNlhSS1dWeTg0MEM1X3BIcFJBckp1Zmw2WjN2eVAweV91TGdwQ0ZrakFFMGVpeksyY3UzdVREdzZBX0wzaUlyVkRFWkkxMVRoZy1BN2FVTE5kWi01Vm5RN0hpWDhHMzNWSQ?oc=5" TargetMode="External" Id="rId4"/><Relationship Type="http://schemas.openxmlformats.org/officeDocument/2006/relationships/hyperlink" Target="https://news.google.com/rss/articles/CBMi_AFBVV95cUxPUEYzY3RiMUhCQkZIQ045Z2xOaU5WcHBGbUltTmFGREZZNFNpbVNXaTEzRlRqZnhPVjVFeTEzZGNQeHJzbVkyNXBLUTZNRE5Hc3dVWjJIcW5HaGI0bUN5SlYxYTFSMng4UUplLW5faVVPRVJvc1ZEQkZiSVJKZkpidXB2TGs2QXl1SEE2QkZZcndTY21jdnhYTXh1M2dQb29nWHlDV29tVTUtVEVGWmhmM3E3ZFJWZnQ4QjZTUU9DV3dpdUtva3Izc0UzNXJrcjZEaU5oSDBWU0duNU1seFVSTkNQZ3VBMUR3ZzNzMW1xSGVqYXloNlpBMkpoZ3c?oc=5" TargetMode="External" Id="rId5"/><Relationship Type="http://schemas.openxmlformats.org/officeDocument/2006/relationships/hyperlink" Target="https://news.google.com/rss/articles/CBMixgFBVV95cUxOLXJLSjEyOUtycDVOVXlxSTY3dlFPTHc1RWhmYmNYQmdGSWdVVHpueVNHZTdCeFBvSXNUVVZ2Qk1BWUVxVmoxUVpuRHFSRnBUczdwVVByTDhlekltM3lzME9INUJjOGNQVjJzM3lZSEdWS19JRVBzTmMzSE04SllQdVJUdGZtU1UwcXhQbjI1aUdIUndaTVlqbm9qd0JsTE5FMUdrQnJ0UnpBYTlfSHRTUGRWT1llTUxzcTdWR2dZMHlSU1Jpd1E?oc=5" TargetMode="External" Id="rId6"/><Relationship Type="http://schemas.openxmlformats.org/officeDocument/2006/relationships/hyperlink" Target="https://news.google.com/rss/articles/CBMisgFBVV95cUxPc1d2T2QxbUNWOHNXTE51MmI0TlNrT3dsSEpwaWpSaElGWk02cThWWHJ5MzRTNmt4UzNwWXZWSUdRMnFKeEhrQzh6dEI1VE1ldXlNY1pTZWN5Sms1OUlDZ1Y1NU50MFNQeEZrZGxVNGpyZVg0WjZMcF9QbVNqUDZzWDJUNFNWMGY0V2ktU2cxZFZPY2IzaUhMdHZON3NZRWxreVo2NXEwd2pOU24tZTl2T2xn?oc=5" TargetMode="External" Id="rId7"/><Relationship Type="http://schemas.openxmlformats.org/officeDocument/2006/relationships/hyperlink" Target="https://news.google.com/rss/articles/CBMimAFBVV95cUxOdGIyQW5HdTh0VHVLNjJYTUNmZ3A5MEJDRGZJU2RxN3lScnEzSTMzMFU4LU40bXBTcm1Nc2taQktqU3JwdWVFUFh4MGRjT0tER01NS1A5V1R4SjFtQ1A0M0dJMGdvbFdGMHVBQzJhdGhjOXNIZDlUQ1FINlVTd0hjOUFuS2lMZnkxWV90S1poc1luQnRYVjB0cA?oc=5" TargetMode="External" Id="rId8"/><Relationship Type="http://schemas.openxmlformats.org/officeDocument/2006/relationships/hyperlink" Target="https://www.fool.com/investing/2026/08/23/why-is-nike-stock-declining-and-is-it-a-generation/?source=iedfolrf0000001" TargetMode="External" Id="rId9"/><Relationship Type="http://schemas.openxmlformats.org/officeDocument/2006/relationships/hyperlink" Target="https://news.google.com/rss/articles/CBMijwFBVV95cUxNYkxjNVV6WGJlMkV2V0phODlkeHF6TWJnY0NhLUVlWjZDdGdjdHU2UFJERTUzUk96WWN0N2RtbjRCXzRtQUh4LW9EV3pVWk5YanFocWtwa0g1WTkxS1UwZUd2NjIxb2wxQjZETGVLYUtoRUNpcTNrcnFmTDVodmZpMlNVVVJuT3VtNUhKNzljQQ?oc=5" TargetMode="External" Id="rId10"/><Relationship Type="http://schemas.openxmlformats.org/officeDocument/2006/relationships/hyperlink" Target="https://news.google.com/rss/articles/CBMikwFBVV95cUxQMDV2Z3k3elN0cXRiYk9oUWRCYUZNeEgycWxsSGV5bnNjMVlaMHNOaVdDZExLZjVPdXlPYmNtbVFONWNwZmdsU0c3V3prRGpfV21IWm02djZuVnp6T1BEUHZXVlpPS2VtT0JWVU05bU4xNjQtSGlkbUJMREROa3VrcEtwbEthWnQ5bjNGZDg1RnRFTm8?oc=5" TargetMode="External" Id="rId11"/><Relationship Type="http://schemas.openxmlformats.org/officeDocument/2006/relationships/hyperlink" Target="https://news.google.com/rss/articles/CBMi2wFBVV95cUxNMVd5RXRIek1ld3oyX01VeFI0S0hTTVN3MWt6b3FMNGtXaVBpd0RjSHhzMUVMWWJKZXczcnhYd20zTkpRcHhVeVh0blg4LXZ2bGZSN2tWTy1ON1JkZ01uWnBFUWltblg2Ykk3THpvQ0VibG9pZjBqUnpWMVI1RGcxM0ZsSWlxcjdMY2JHcEFlaDE1QjJkYXQ5TjRlSmtoWmdjT2p5RUFiakJpU0Q5ZjR2dTlyaHUwNjN2eG0xNkU4Ql9MNVlhVUFkTEYyMkhfSWRQa1F6SERGYUJPcjA?oc=5" TargetMode="External" Id="rId12"/><Relationship Type="http://schemas.openxmlformats.org/officeDocument/2006/relationships/hyperlink" Target="https://www.sec.gov/Archives/edgar/data/320187/000032018726000112/nke-20260804.htm" TargetMode="External" Id="rId13"/><Relationship Type="http://schemas.openxmlformats.org/officeDocument/2006/relationships/hyperlink" Target="https://www.investing.com/analysis/nikes-40-floor-reflects-deep-value-but-not-yet-a-confirmed-recovery-200683845" TargetMode="External" Id="rId14"/></Relationships>
</file>

<file path=xl/worksheets/_rels/sheet11.xml.rels><Relationships xmlns="http://schemas.openxmlformats.org/package/2006/relationships"><Relationship Type="http://schemas.openxmlformats.org/officeDocument/2006/relationships/drawing" Target="/xl/drawings/drawing4.xml" Id="rId1"/></Relationships>
</file>

<file path=xl/worksheets/sheet1.xml><?xml version="1.0" encoding="utf-8"?>
<worksheet xmlns="http://schemas.openxmlformats.org/spreadsheetml/2006/main">
  <sheetPr>
    <outlinePr summaryBelow="1" summaryRight="1"/>
    <pageSetUpPr/>
  </sheetPr>
  <dimension ref="B1:E23"/>
  <sheetViews>
    <sheetView showGridLines="0" workbookViewId="0">
      <selection activeCell="A1" sqref="A1"/>
    </sheetView>
  </sheetViews>
  <sheetFormatPr baseColWidth="8" defaultRowHeight="15"/>
  <cols>
    <col width="4" customWidth="1" min="1" max="1"/>
    <col width="21" customWidth="1" min="2" max="2"/>
    <col width="21" customWidth="1" min="3" max="3"/>
    <col width="21" customWidth="1" min="4" max="4"/>
    <col width="21" customWidth="1" min="5" max="5"/>
  </cols>
  <sheetData>
    <row r="1" ht="54" customHeight="1">
      <c r="B1" s="1" t="n"/>
    </row>
    <row r="2" ht="30" customHeight="1">
      <c r="B2" s="2" t="inlineStr">
        <is>
          <t>NKE  —  Equity Research Report</t>
        </is>
      </c>
    </row>
    <row r="3" ht="14" customHeight="1"/>
    <row r="4">
      <c r="B4" s="3" t="inlineStr">
        <is>
          <t>Period: 5Y    |    Generated: August 25, 2026 19:45    |    Multi-source data: Polygon · Yahoo Finance · Finnhub · SEC EDGAR</t>
        </is>
      </c>
    </row>
    <row r="6" ht="30" customHeight="1">
      <c r="B6" s="4" t="inlineStr">
        <is>
          <t>$39.48</t>
        </is>
      </c>
      <c r="C6" s="5" t="inlineStr">
        <is>
          <t>-74.3%</t>
        </is>
      </c>
      <c r="D6" s="4" t="inlineStr">
        <is>
          <t>-0.69</t>
        </is>
      </c>
      <c r="E6" s="4" t="inlineStr">
        <is>
          <t>35.7%</t>
        </is>
      </c>
    </row>
    <row r="7" ht="16" customHeight="1">
      <c r="B7" s="6" t="inlineStr">
        <is>
          <t>CURRENT PRICE</t>
        </is>
      </c>
      <c r="C7" s="6" t="inlineStr">
        <is>
          <t>PERIOD RETURN</t>
        </is>
      </c>
      <c r="D7" s="6" t="inlineStr">
        <is>
          <t>SHARPE RATIO</t>
        </is>
      </c>
      <c r="E7" s="6" t="inlineStr">
        <is>
          <t>ANN. VOLATILITY</t>
        </is>
      </c>
    </row>
    <row r="9">
      <c r="B9" s="7" t="inlineStr">
        <is>
          <t>TABLE OF CONTENTS</t>
        </is>
      </c>
    </row>
    <row r="10" ht="16" customHeight="1">
      <c r="B10" s="8" t="inlineStr">
        <is>
          <t>Dashboard</t>
        </is>
      </c>
    </row>
    <row r="11" ht="16" customHeight="1">
      <c r="B11" s="8" t="inlineStr">
        <is>
          <t>Valuation</t>
        </is>
      </c>
    </row>
    <row r="12" ht="16" customHeight="1">
      <c r="B12" s="8" t="inlineStr">
        <is>
          <t>Fundamentals</t>
        </is>
      </c>
    </row>
    <row r="13" ht="16" customHeight="1">
      <c r="B13" s="8" t="inlineStr">
        <is>
          <t>Annual Summary</t>
        </is>
      </c>
    </row>
    <row r="14" ht="16" customHeight="1">
      <c r="B14" s="8" t="inlineStr">
        <is>
          <t>Price Indicators</t>
        </is>
      </c>
    </row>
    <row r="15" ht="16" customHeight="1">
      <c r="B15" s="8" t="inlineStr">
        <is>
          <t>News Headlines</t>
        </is>
      </c>
    </row>
    <row r="16" ht="16" customHeight="1">
      <c r="B16" s="8" t="inlineStr">
        <is>
          <t>Peer Comparison</t>
        </is>
      </c>
    </row>
    <row r="17" ht="16" customHeight="1">
      <c r="B17" s="8" t="inlineStr">
        <is>
          <t>Correlation Matrix</t>
        </is>
      </c>
    </row>
    <row r="18" ht="16" customHeight="1">
      <c r="B18" s="8" t="inlineStr">
        <is>
          <t>Monte Carlo</t>
        </is>
      </c>
    </row>
    <row r="19" ht="16" customHeight="1">
      <c r="B19" s="8" t="inlineStr">
        <is>
          <t>Charts</t>
        </is>
      </c>
    </row>
    <row r="20" ht="16" customHeight="1">
      <c r="B20" s="8" t="inlineStr">
        <is>
          <t>Methodology</t>
        </is>
      </c>
    </row>
    <row r="22">
      <c r="B22" s="9" t="inlineStr">
        <is>
          <t>↗  Open NKE live on QuantWizard (refreshes this analysis)</t>
        </is>
      </c>
    </row>
    <row r="23">
      <c r="B23" s="10" t="inlineStr">
        <is>
          <t>Figures below are as of the generation date above.</t>
        </is>
      </c>
    </row>
  </sheetData>
  <mergeCells count="3">
    <mergeCell ref="B2:E3"/>
    <mergeCell ref="B1:E1"/>
    <mergeCell ref="B4:E4"/>
  </mergeCells>
  <hyperlinks>
    <hyperlink xmlns:r="http://schemas.openxmlformats.org/officeDocument/2006/relationships" ref="B10" r:id="rId1"/>
    <hyperlink xmlns:r="http://schemas.openxmlformats.org/officeDocument/2006/relationships" ref="B11" r:id="rId2"/>
    <hyperlink xmlns:r="http://schemas.openxmlformats.org/officeDocument/2006/relationships" ref="B12" r:id="rId3"/>
    <hyperlink xmlns:r="http://schemas.openxmlformats.org/officeDocument/2006/relationships" ref="B13" r:id="rId4"/>
    <hyperlink xmlns:r="http://schemas.openxmlformats.org/officeDocument/2006/relationships" ref="B14" r:id="rId5"/>
    <hyperlink xmlns:r="http://schemas.openxmlformats.org/officeDocument/2006/relationships" ref="B15" r:id="rId6"/>
    <hyperlink xmlns:r="http://schemas.openxmlformats.org/officeDocument/2006/relationships" ref="B16" r:id="rId7"/>
    <hyperlink xmlns:r="http://schemas.openxmlformats.org/officeDocument/2006/relationships" ref="B17" r:id="rId8"/>
    <hyperlink xmlns:r="http://schemas.openxmlformats.org/officeDocument/2006/relationships" ref="B18" r:id="rId9"/>
    <hyperlink xmlns:r="http://schemas.openxmlformats.org/officeDocument/2006/relationships" ref="B19" r:id="rId10"/>
    <hyperlink xmlns:r="http://schemas.openxmlformats.org/officeDocument/2006/relationships" ref="B20" r:id="rId11"/>
    <hyperlink xmlns:r="http://schemas.openxmlformats.org/officeDocument/2006/relationships" ref="B22" r:id="rId12"/>
  </hyperlinks>
  <pageMargins left="0.75" right="0.75" top="1" bottom="1" header="0.5" footer="0.5"/>
  <drawing xmlns:r="http://schemas.openxmlformats.org/officeDocument/2006/relationships" r:id="rId13"/>
</worksheet>
</file>

<file path=xl/worksheets/sheet2.xml><?xml version="1.0" encoding="utf-8"?>
<worksheet xmlns="http://schemas.openxmlformats.org/spreadsheetml/2006/main">
  <sheetPr>
    <outlinePr summaryBelow="1" summaryRight="1"/>
    <pageSetUpPr/>
  </sheetPr>
  <dimension ref="A1:E123"/>
  <sheetViews>
    <sheetView showGridLines="0" workbookViewId="0">
      <selection activeCell="A1" sqref="A1"/>
    </sheetView>
  </sheetViews>
  <sheetFormatPr baseColWidth="8" defaultRowHeight="15"/>
  <cols>
    <col width="34" customWidth="1" min="1" max="1"/>
    <col width="24" customWidth="1" min="2" max="2"/>
    <col width="18" customWidth="1" min="3" max="3"/>
    <col width="10" customWidth="1" min="4" max="4"/>
    <col width="18" customWidth="1" min="5" max="5"/>
  </cols>
  <sheetData>
    <row r="1" ht="34" customHeight="1">
      <c r="A1" s="11" t="inlineStr">
        <is>
          <t>NKE — Equity Research Dashboard</t>
        </is>
      </c>
    </row>
    <row r="2">
      <c r="A2" s="12" t="inlineStr">
        <is>
          <t>Generated: August 25, 2026 19:45  |  Multi-source data: Polygon · Yahoo Finance · Finnhub · SEC EDGAR</t>
        </is>
      </c>
    </row>
    <row r="4" ht="20" customHeight="1">
      <c r="A4" s="13" t="inlineStr">
        <is>
          <t>Price &amp; Performance</t>
        </is>
      </c>
      <c r="E4" s="14" t="inlineStr">
        <is>
          <t>SPARKLINES</t>
        </is>
      </c>
    </row>
    <row r="5">
      <c r="A5" s="15" t="inlineStr">
        <is>
          <t>Current Price ($)</t>
        </is>
      </c>
      <c r="B5" s="16" t="n">
        <v>39.47999954223633</v>
      </c>
      <c r="E5" s="17" t="inlineStr">
        <is>
          <t>Price</t>
        </is>
      </c>
    </row>
    <row r="6">
      <c r="A6" s="18" t="inlineStr">
        <is>
          <t>Period Return</t>
        </is>
      </c>
      <c r="B6" s="19" t="n">
        <v>-0.7430809350865999</v>
      </c>
    </row>
    <row r="7">
      <c r="A7" s="15" t="inlineStr">
        <is>
          <t>52-Week High ($)</t>
        </is>
      </c>
      <c r="B7" s="16" t="n">
        <v>77.05551910400391</v>
      </c>
    </row>
    <row r="8">
      <c r="A8" s="18" t="inlineStr">
        <is>
          <t>52-Week Low ($)</t>
        </is>
      </c>
      <c r="B8" s="20" t="n">
        <v>39.09000015258789</v>
      </c>
      <c r="E8" s="17" t="inlineStr">
        <is>
          <t>Volume</t>
        </is>
      </c>
    </row>
    <row r="9">
      <c r="A9" s="15" t="inlineStr">
        <is>
          <t>% from 52W High</t>
        </is>
      </c>
      <c r="B9" s="19" t="n">
        <v>-0.4876421572223903</v>
      </c>
    </row>
    <row r="10">
      <c r="A10" s="18" t="inlineStr">
        <is>
          <t>20-Day MA ($)</t>
        </is>
      </c>
      <c r="B10" s="20" t="n">
        <v>41.24199981689453</v>
      </c>
    </row>
    <row r="11">
      <c r="A11" s="15" t="inlineStr">
        <is>
          <t>50-Day MA ($)</t>
        </is>
      </c>
      <c r="B11" s="16" t="n">
        <v>42.28039985656739</v>
      </c>
      <c r="E11" s="17" t="inlineStr">
        <is>
          <t>Daily Ret</t>
        </is>
      </c>
    </row>
    <row r="12">
      <c r="A12" s="18" t="inlineStr">
        <is>
          <t>200-Day MA ($)</t>
        </is>
      </c>
      <c r="B12" s="20" t="n">
        <v>51.85137882232666</v>
      </c>
    </row>
    <row r="13">
      <c r="A13" s="15" t="inlineStr">
        <is>
          <t>Price vs 50-Day MA</t>
        </is>
      </c>
      <c r="B13" s="19" t="n">
        <v>-0.0662340073374702</v>
      </c>
    </row>
    <row r="14">
      <c r="E14" s="17" t="inlineStr">
        <is>
          <t>Volatility</t>
        </is>
      </c>
    </row>
    <row r="15" ht="20" customHeight="1">
      <c r="A15" s="13" t="inlineStr">
        <is>
          <t>Bollinger Bands (20-day, 2σ)</t>
        </is>
      </c>
    </row>
    <row r="16">
      <c r="A16" s="18" t="inlineStr">
        <is>
          <t>BB Upper ($)</t>
        </is>
      </c>
      <c r="B16" s="20" t="n">
        <v>43.32898479449719</v>
      </c>
    </row>
    <row r="17">
      <c r="A17" s="15" t="inlineStr">
        <is>
          <t>BB Middle ($)</t>
        </is>
      </c>
      <c r="B17" s="16" t="n">
        <v>41.24199981689453</v>
      </c>
      <c r="E17" s="17" t="inlineStr">
        <is>
          <t>Drawdown</t>
        </is>
      </c>
    </row>
    <row r="18">
      <c r="A18" s="18" t="inlineStr">
        <is>
          <t>BB Lower ($)</t>
        </is>
      </c>
      <c r="B18" s="20" t="n">
        <v>39.15501483929188</v>
      </c>
    </row>
    <row r="19">
      <c r="A19" s="15" t="inlineStr">
        <is>
          <t>BB Width</t>
        </is>
      </c>
      <c r="B19" s="21" t="n">
        <v>0.1012067788598231</v>
      </c>
    </row>
    <row r="20">
      <c r="A20" s="18" t="inlineStr">
        <is>
          <t>BB %B</t>
        </is>
      </c>
      <c r="B20" s="22" t="n">
        <v>0.07785985678674175</v>
      </c>
    </row>
    <row r="22" ht="20" customHeight="1">
      <c r="A22" s="13" t="inlineStr">
        <is>
          <t>Risk &amp; Return Metrics</t>
        </is>
      </c>
    </row>
    <row r="23">
      <c r="A23" s="15" t="inlineStr">
        <is>
          <t>20-Day Ann. Volatility</t>
        </is>
      </c>
      <c r="B23" s="23" t="n">
        <v>0.3232191359149357</v>
      </c>
    </row>
    <row r="24">
      <c r="A24" s="18" t="inlineStr">
        <is>
          <t>60-Day Max Drawdown</t>
        </is>
      </c>
      <c r="B24" s="19" t="n">
        <v>-0.3553826303470415</v>
      </c>
    </row>
    <row r="25">
      <c r="A25" s="15" t="inlineStr">
        <is>
          <t>RSI (14)</t>
        </is>
      </c>
      <c r="B25" s="24" t="n">
        <v>40.5</v>
      </c>
    </row>
    <row r="26">
      <c r="A26" s="18" t="inlineStr">
        <is>
          <t>Sharpe Ratio</t>
        </is>
      </c>
      <c r="B26" s="25" t="n">
        <v>-0.6899999999999999</v>
      </c>
    </row>
    <row r="27">
      <c r="A27" s="15" t="inlineStr">
        <is>
          <t>Sortino Ratio</t>
        </is>
      </c>
      <c r="B27" s="25" t="n">
        <v>-0.93</v>
      </c>
    </row>
    <row r="29" ht="20" customHeight="1">
      <c r="A29" s="13" t="inlineStr">
        <is>
          <t>Investor Takeaway</t>
        </is>
      </c>
    </row>
    <row r="30" ht="58" customHeight="1">
      <c r="A30" s="26" t="inlineStr">
        <is>
          <t>NKE is -74.3% over the period, last $39.48.  Technical posture: Bearish technicals (4/100).  Wall-Street consensus: Buy (46 analysts).  DCF fair value $40 (+2% vs price).</t>
        </is>
      </c>
    </row>
    <row r="31" ht="20" customHeight="1">
      <c r="A31" s="13" t="inlineStr">
        <is>
          <t>Stock Scorecard</t>
        </is>
      </c>
    </row>
    <row r="32">
      <c r="A32" s="27" t="inlineStr">
        <is>
          <t>Composite Score (0–100)</t>
        </is>
      </c>
      <c r="B32" s="28" t="n">
        <v>48</v>
      </c>
    </row>
    <row r="33">
      <c r="A33" s="29" t="inlineStr">
        <is>
          <t>Overall Profile</t>
        </is>
      </c>
      <c r="B33" s="30" t="inlineStr">
        <is>
          <t>Mixed profile</t>
        </is>
      </c>
    </row>
    <row r="34">
      <c r="A34" s="31" t="inlineStr">
        <is>
          <t>Factor</t>
        </is>
      </c>
      <c r="B34" s="31" t="inlineStr">
        <is>
          <t>Score</t>
        </is>
      </c>
      <c r="C34" s="31" t="inlineStr">
        <is>
          <t>Grade</t>
        </is>
      </c>
    </row>
    <row r="35">
      <c r="A35" s="29" t="inlineStr">
        <is>
          <t>Valuation</t>
        </is>
      </c>
      <c r="B35" s="32" t="n">
        <v>61</v>
      </c>
      <c r="C35" s="33" t="inlineStr">
        <is>
          <t>Average</t>
        </is>
      </c>
    </row>
    <row r="36">
      <c r="A36" s="29" t="inlineStr">
        <is>
          <t>Growth</t>
        </is>
      </c>
      <c r="B36" s="32" t="n">
        <v>30</v>
      </c>
      <c r="C36" s="34" t="inlineStr">
        <is>
          <t>Weak</t>
        </is>
      </c>
    </row>
    <row r="37">
      <c r="A37" s="29" t="inlineStr">
        <is>
          <t>Profitability</t>
        </is>
      </c>
      <c r="B37" s="32" t="n">
        <v>72</v>
      </c>
      <c r="C37" s="35" t="inlineStr">
        <is>
          <t>Above-avg</t>
        </is>
      </c>
    </row>
    <row r="38">
      <c r="A38" s="29" t="inlineStr">
        <is>
          <t>Financial Health</t>
        </is>
      </c>
      <c r="B38" s="32" t="n">
        <v>69</v>
      </c>
      <c r="C38" s="35" t="inlineStr">
        <is>
          <t>Above-avg</t>
        </is>
      </c>
    </row>
    <row r="39">
      <c r="A39" s="29" t="inlineStr">
        <is>
          <t>Momentum</t>
        </is>
      </c>
      <c r="B39" s="32" t="n">
        <v>4</v>
      </c>
      <c r="C39" s="34" t="inlineStr">
        <is>
          <t>Weak</t>
        </is>
      </c>
    </row>
    <row r="40">
      <c r="A40" s="29" t="inlineStr">
        <is>
          <t>Risk</t>
        </is>
      </c>
      <c r="B40" s="32" t="n">
        <v>24</v>
      </c>
      <c r="C40" s="34" t="inlineStr">
        <is>
          <t>Weak</t>
        </is>
      </c>
    </row>
    <row r="41">
      <c r="A41" s="29" t="inlineStr">
        <is>
          <t>Sentiment</t>
        </is>
      </c>
      <c r="B41" s="32" t="n">
        <v>62</v>
      </c>
      <c r="C41" s="33" t="inlineStr">
        <is>
          <t>Average</t>
        </is>
      </c>
    </row>
    <row r="42" ht="96" customHeight="1">
      <c r="A42" s="36" t="inlineStr">
        <is>
          <t>Weighted blend of valuation, growth, profitability, financial health, momentum, risk and sentiment — a descriptive profile of the stock's characteristics, not a recommendation.
Valuation: DCF +2%, FCF yield 3.6%   ·   Growth: Rev CAGR 3%, EPS CAGR -2%   ·   Profitability: Net margin 7%, ROE 21%   ·   Financial Health: F-Score 5/9, D/E 0.40   ·   Momentum: Technical posture 4/100   ·   Risk: Sharpe -0.69, Max DD (peak-to-trough) -76%   ·   Sentiment: Analysts: Buy (46)
For informational purposes only. Not investment advice. Past performance does not guarantee future results.</t>
        </is>
      </c>
    </row>
    <row r="44">
      <c r="A44" s="37" t="inlineStr">
        <is>
          <t>What changed recently</t>
        </is>
      </c>
    </row>
    <row r="45" ht="88" customHeight="1">
      <c r="A45" s="38" t="inlineStr">
        <is>
          <t>•  Price -1.4% over the last 5 sessions ($40.06 -&gt; $39.48).
•  Best day +2.5%, worst day -3.1% in that window.
•  Latest volume ran 1.7x its 20-day average (+65%) — heavier trading.
•  RSI moved 41 -&gt; 40.
•  Trailed the S&amp;P 500 by 1.2 pts over the last 5 sessions.</t>
        </is>
      </c>
    </row>
    <row r="47" ht="20" customHeight="1">
      <c r="A47" s="13" t="inlineStr">
        <is>
          <t>Relative Performance</t>
        </is>
      </c>
    </row>
    <row r="48">
      <c r="A48" s="18" t="inlineStr">
        <is>
          <t>vs S&amp;P 500 (SPY) (difference)</t>
        </is>
      </c>
      <c r="B48" s="39" t="n">
        <v>-157.9406577228515</v>
      </c>
    </row>
    <row r="49">
      <c r="A49" s="15" t="inlineStr">
        <is>
          <t>vs NASDAQ 100 (QQQ) (difference)</t>
        </is>
      </c>
      <c r="B49" s="39" t="n">
        <v>-170.9494252292705</v>
      </c>
    </row>
    <row r="50" ht="26" customHeight="1">
      <c r="A50" s="38" t="inlineStr">
        <is>
          <t>Period return:    NKE -74.3%      |      S&amp;P 500 +83.6%      |      NASDAQ 100 +96.6%</t>
        </is>
      </c>
    </row>
    <row r="52">
      <c r="A52" s="40" t="inlineStr">
        <is>
          <t>Window</t>
        </is>
      </c>
      <c r="B52" s="41" t="inlineStr">
        <is>
          <t>NKE</t>
        </is>
      </c>
      <c r="C52" s="41" t="inlineStr">
        <is>
          <t>S&amp;P 500</t>
        </is>
      </c>
      <c r="D52" s="41" t="inlineStr">
        <is>
          <t>Relative (pts)</t>
        </is>
      </c>
    </row>
    <row r="53">
      <c r="A53" s="42" t="inlineStr">
        <is>
          <t>1 month</t>
        </is>
      </c>
      <c r="B53" s="43" t="n">
        <v>-0.06312292088133087</v>
      </c>
      <c r="C53" s="43" t="n">
        <v>0.03628779352248968</v>
      </c>
      <c r="D53" s="44" t="n">
        <v>-9.941071440382053</v>
      </c>
    </row>
    <row r="54">
      <c r="A54" s="42" t="inlineStr">
        <is>
          <t>3 months</t>
        </is>
      </c>
      <c r="B54" s="43" t="n">
        <v>-0.1136343957758432</v>
      </c>
      <c r="C54" s="43" t="n">
        <v>0.02303933281955794</v>
      </c>
      <c r="D54" s="44" t="n">
        <v>-13.66737285954012</v>
      </c>
    </row>
    <row r="55">
      <c r="A55" s="42" t="inlineStr">
        <is>
          <t>6 months</t>
        </is>
      </c>
      <c r="B55" s="43" t="n">
        <v>-0.3743537664834888</v>
      </c>
      <c r="C55" s="43" t="n">
        <v>0.1202157362637826</v>
      </c>
      <c r="D55" s="44" t="n">
        <v>-49.45695027472714</v>
      </c>
    </row>
    <row r="56">
      <c r="A56" s="42" t="inlineStr">
        <is>
          <t>1 year</t>
        </is>
      </c>
      <c r="B56" s="43" t="n">
        <v>-0.4824780161373512</v>
      </c>
      <c r="C56" s="43" t="n">
        <v>0.2000378888798118</v>
      </c>
      <c r="D56" s="44" t="n">
        <v>-68.25159050171629</v>
      </c>
    </row>
    <row r="57">
      <c r="A57" s="42" t="inlineStr">
        <is>
          <t>Full period</t>
        </is>
      </c>
      <c r="B57" s="43" t="n">
        <v>-0.7430809350866006</v>
      </c>
      <c r="C57" s="43" t="n">
        <v>0.8363256421419141</v>
      </c>
      <c r="D57" s="44" t="n">
        <v>-157.9406577228515</v>
      </c>
    </row>
    <row r="59" ht="20" customHeight="1">
      <c r="A59" s="13" t="inlineStr">
        <is>
          <t>Technical Posture</t>
        </is>
      </c>
    </row>
    <row r="60">
      <c r="A60" s="18" t="inlineStr">
        <is>
          <t>Technical Score (0–100)</t>
        </is>
      </c>
      <c r="B60" s="45" t="n">
        <v>4</v>
      </c>
    </row>
    <row r="61">
      <c r="A61" s="29" t="inlineStr">
        <is>
          <t>Reading</t>
        </is>
      </c>
      <c r="B61" s="25" t="inlineStr">
        <is>
          <t>Bearish technicals</t>
        </is>
      </c>
    </row>
    <row r="62">
      <c r="A62" s="46" t="inlineStr">
        <is>
          <t>•  Price is below the 50-day moving average</t>
        </is>
      </c>
    </row>
    <row r="63">
      <c r="A63" s="46" t="inlineStr">
        <is>
          <t>•  Price is below the 200-day moving average</t>
        </is>
      </c>
    </row>
    <row r="64">
      <c r="A64" s="46" t="inlineStr">
        <is>
          <t>•  50-day MA is below the 200-day MA (downtrend structure)</t>
        </is>
      </c>
    </row>
    <row r="65">
      <c r="A65" s="46" t="inlineStr">
        <is>
          <t>•  RSI is 40 — soft momentum</t>
        </is>
      </c>
    </row>
    <row r="66">
      <c r="A66" s="46" t="inlineStr">
        <is>
          <t>•  MACD is below its signal line (bearish momentum)</t>
        </is>
      </c>
    </row>
    <row r="67">
      <c r="A67" s="46" t="inlineStr">
        <is>
          <t>•  Trading 49% below the 52-week high</t>
        </is>
      </c>
    </row>
    <row r="68">
      <c r="A68" s="46" t="inlineStr">
        <is>
          <t>•  Lagging S&amp;P 500 by 157.9 pts over the period</t>
        </is>
      </c>
    </row>
    <row r="69" ht="40" customHeight="1">
      <c r="A69" s="36" t="inlineStr">
        <is>
          <t>Describes what the technical indicators say today — a signal, not a recommendation. For informational purposes only. Not investment advice. Past performance does not guarantee future results.</t>
        </is>
      </c>
    </row>
    <row r="71" ht="20" customHeight="1">
      <c r="A71" s="13" t="inlineStr">
        <is>
          <t>Analyst Consensus</t>
        </is>
      </c>
    </row>
    <row r="72">
      <c r="A72" s="29" t="inlineStr">
        <is>
          <t>Wall-Street Rating</t>
        </is>
      </c>
      <c r="B72" s="47" t="inlineStr">
        <is>
          <t>Buy</t>
        </is>
      </c>
    </row>
    <row r="73">
      <c r="A73" s="15" t="inlineStr">
        <is>
          <t>Buy (Strong Buy + Buy)</t>
        </is>
      </c>
      <c r="B73" s="24" t="n">
        <v>18</v>
      </c>
    </row>
    <row r="74">
      <c r="A74" s="18" t="inlineStr">
        <is>
          <t>Hold</t>
        </is>
      </c>
      <c r="B74" s="45" t="n">
        <v>26</v>
      </c>
    </row>
    <row r="75">
      <c r="A75" s="15" t="inlineStr">
        <is>
          <t>Sell (Sell + Strong Sell)</t>
        </is>
      </c>
      <c r="B75" s="24" t="n">
        <v>2</v>
      </c>
    </row>
    <row r="76">
      <c r="A76" s="18" t="inlineStr">
        <is>
          <t>Analysts covering</t>
        </is>
      </c>
      <c r="B76" s="45" t="n">
        <v>46</v>
      </c>
    </row>
    <row r="77" ht="40" customHeight="1">
      <c r="A77" s="36" t="inlineStr">
        <is>
          <t>Source: 46 Wall-Street analyst ratings aggregated by Finnhub (period 2026-08). This is analysts' consensus, not QuantWizard's opinion. For informational purposes only. Not investment advice. Past performance does not guarantee future results.</t>
        </is>
      </c>
    </row>
    <row r="79" ht="20" customHeight="1">
      <c r="A79" s="13" t="inlineStr">
        <is>
          <t>Valuation — Reverse DCF &amp; Fair Value</t>
        </is>
      </c>
    </row>
    <row r="80">
      <c r="A80" s="18" t="inlineStr">
        <is>
          <t>Market-Implied FCF Growth</t>
        </is>
      </c>
      <c r="B80" s="48" t="n">
        <v>0.02611123176321923</v>
      </c>
    </row>
    <row r="81">
      <c r="A81" s="15" t="inlineStr">
        <is>
          <t>DCF Fair Value / Share</t>
        </is>
      </c>
      <c r="B81" s="16" t="n">
        <v>40.12556243048855</v>
      </c>
    </row>
    <row r="82">
      <c r="A82" s="18" t="inlineStr">
        <is>
          <t>Upside / Downside</t>
        </is>
      </c>
      <c r="B82" s="49" t="n">
        <v>0.01635164376234566</v>
      </c>
    </row>
    <row r="83">
      <c r="A83" s="29" t="inlineStr">
        <is>
          <t>DCF Verdict</t>
        </is>
      </c>
      <c r="B83" s="50" t="inlineStr">
        <is>
          <t>Fairly valued vs DCF</t>
        </is>
      </c>
    </row>
    <row r="84" ht="70" customHeight="1">
      <c r="A84" s="36" t="inlineStr">
        <is>
          <t>Today's $39.48 price implies free cash flow compounding at ~2.6% a year for 10 years. That is the number to argue with. 2-stage FCF DCF at a 9.3% discount rate, 2.5% terminal growth, base case 3.0% stage-1 growth. Bear $35 / Bull $45. The Valuation sheet holds the full model as live formulas — change an assumption there and it recalculates. For informational purposes only. Not investment advice. Past performance does not guarantee future results.</t>
        </is>
      </c>
    </row>
    <row r="86" ht="20" customHeight="1">
      <c r="A86" s="13" t="inlineStr">
        <is>
          <t>Support &amp; Resistance Levels</t>
        </is>
      </c>
    </row>
    <row r="87">
      <c r="A87" s="29" t="inlineStr">
        <is>
          <t>Resistance (above price)</t>
        </is>
      </c>
      <c r="B87" s="51" t="inlineStr">
        <is>
          <t>$40.00   |   $40.98   |   $41.72   |   $47.23</t>
        </is>
      </c>
    </row>
    <row r="88">
      <c r="A88" s="29" t="inlineStr">
        <is>
          <t>Support (below price)</t>
        </is>
      </c>
      <c r="B88" s="51" t="inlineStr">
        <is>
          <t>—</t>
        </is>
      </c>
    </row>
    <row r="89">
      <c r="A89" s="10" t="inlineStr">
        <is>
          <t>Swing highs/lows from the last 12 months, nearest to the current price first.</t>
        </is>
      </c>
    </row>
    <row r="91" ht="20" customHeight="1">
      <c r="A91" s="13" t="inlineStr">
        <is>
          <t>Monte Carlo Forecast</t>
        </is>
      </c>
    </row>
    <row r="92">
      <c r="A92" s="18" t="inlineStr">
        <is>
          <t>Last Price</t>
        </is>
      </c>
      <c r="B92" s="52" t="n">
        <v>39.48</v>
      </c>
    </row>
    <row r="93">
      <c r="A93" s="15" t="inlineStr">
        <is>
          <t>Forecast Horizon (days)</t>
        </is>
      </c>
      <c r="B93" s="53" t="n">
        <v>252</v>
      </c>
    </row>
    <row r="94">
      <c r="A94" s="18" t="inlineStr">
        <is>
          <t>Simulations</t>
        </is>
      </c>
      <c r="B94" s="54" t="n">
        <v>1000</v>
      </c>
    </row>
    <row r="95">
      <c r="A95" s="15" t="inlineStr">
        <is>
          <t>Mean Forecast</t>
        </is>
      </c>
      <c r="B95" s="55" t="n">
        <v>43.74</v>
      </c>
    </row>
    <row r="96">
      <c r="A96" s="18" t="inlineStr">
        <is>
          <t>Median (P50)</t>
        </is>
      </c>
      <c r="B96" s="52" t="n">
        <v>40.56</v>
      </c>
    </row>
    <row r="97">
      <c r="A97" s="15" t="inlineStr">
        <is>
          <t>Bear Case (P5)</t>
        </is>
      </c>
      <c r="B97" s="55" t="n">
        <v>22.97</v>
      </c>
    </row>
    <row r="98">
      <c r="A98" s="18" t="inlineStr">
        <is>
          <t>Low Case (P25)</t>
        </is>
      </c>
      <c r="B98" s="52" t="n">
        <v>32.03</v>
      </c>
    </row>
    <row r="99">
      <c r="A99" s="15" t="inlineStr">
        <is>
          <t>Bull Case (P75)</t>
        </is>
      </c>
      <c r="B99" s="55" t="n">
        <v>53.14</v>
      </c>
    </row>
    <row r="100">
      <c r="A100" s="18" t="inlineStr">
        <is>
          <t>Best Case (P95)</t>
        </is>
      </c>
      <c r="B100" s="52" t="n">
        <v>72.66</v>
      </c>
    </row>
    <row r="101">
      <c r="A101" s="15" t="inlineStr">
        <is>
          <t>Prob. of Gain</t>
        </is>
      </c>
      <c r="B101" s="56" t="n">
        <v>0.53</v>
      </c>
    </row>
    <row r="102">
      <c r="A102" s="18" t="inlineStr">
        <is>
          <t>Ann. Volatility</t>
        </is>
      </c>
      <c r="B102" s="48" t="n">
        <v>0.3573</v>
      </c>
    </row>
    <row r="103">
      <c r="A103" s="15" t="inlineStr">
        <is>
          <t>Expected Return (CAPM)</t>
        </is>
      </c>
      <c r="B103" s="56" t="n">
        <v>0.099</v>
      </c>
    </row>
    <row r="104">
      <c r="A104" s="18" t="inlineStr">
        <is>
          <t>Beta (vs benchmark)</t>
        </is>
      </c>
      <c r="B104" s="52" t="n">
        <v>1.07</v>
      </c>
    </row>
    <row r="105">
      <c r="A105" s="15" t="inlineStr">
        <is>
          <t>Beta (adjusted, used)</t>
        </is>
      </c>
      <c r="B105" s="55" t="n">
        <v>1.04</v>
      </c>
    </row>
    <row r="106" ht="166" customHeight="1">
      <c r="A106" s="57" t="inlineStr">
        <is>
          <t>Monte Carlo in plain English
From today's $39.48 over ~252 trading days:
Median outcome (P50): $40.56 (+2.7% vs today)
Bear case (P5, ~5% chance): $22.97 (-41.8% vs today)
Low case (P25, ~25% chance): $32.03 (-18.9% vs today)
Bull case (P75, ~25% chance): $53.14 (+34.6% vs today)
Best case (P95, ~5% chance): $72.66 (+84.0% vs today)
Probability of finishing above today's price: 53.0%.
Simulated from the historical return distribution — outcomes are probabilities, not guarantees.</t>
        </is>
      </c>
    </row>
    <row r="108" ht="20" customHeight="1">
      <c r="A108" s="13" t="inlineStr">
        <is>
          <t>Company Information</t>
        </is>
      </c>
    </row>
    <row r="109">
      <c r="A109" s="15" t="inlineStr">
        <is>
          <t>Ticker</t>
        </is>
      </c>
      <c r="B109" s="24" t="inlineStr">
        <is>
          <t>NKE</t>
        </is>
      </c>
    </row>
    <row r="110">
      <c r="A110" s="18" t="inlineStr">
        <is>
          <t>Name</t>
        </is>
      </c>
      <c r="B110" s="45" t="inlineStr">
        <is>
          <t>Nike, Inc.</t>
        </is>
      </c>
    </row>
    <row r="111">
      <c r="A111" s="15" t="inlineStr">
        <is>
          <t>Sector</t>
        </is>
      </c>
      <c r="B111" s="24" t="inlineStr">
        <is>
          <t>Rubber &amp; Plastics Footwear</t>
        </is>
      </c>
    </row>
    <row r="112">
      <c r="A112" s="18" t="inlineStr">
        <is>
          <t>Exchange</t>
        </is>
      </c>
      <c r="B112" s="45" t="inlineStr">
        <is>
          <t>XNYS</t>
        </is>
      </c>
    </row>
    <row r="113">
      <c r="A113" s="15" t="inlineStr">
        <is>
          <t>Market Cap</t>
        </is>
      </c>
      <c r="B113" s="24" t="inlineStr">
        <is>
          <t>$60.45B</t>
        </is>
      </c>
    </row>
    <row r="114">
      <c r="A114" s="18" t="inlineStr">
        <is>
          <t>Employees</t>
        </is>
      </c>
      <c r="B114" s="45" t="inlineStr">
        <is>
          <t>73,000</t>
        </is>
      </c>
    </row>
    <row r="115">
      <c r="A115" s="15" t="inlineStr">
        <is>
          <t>Website</t>
        </is>
      </c>
      <c r="B115" s="24" t="inlineStr">
        <is>
          <t>https://www.nike.com</t>
        </is>
      </c>
    </row>
    <row r="116">
      <c r="A116" s="18" t="inlineStr">
        <is>
          <t>Country</t>
        </is>
      </c>
      <c r="B116" s="45" t="inlineStr">
        <is>
          <t>US</t>
        </is>
      </c>
    </row>
    <row r="118" ht="20" customHeight="1">
      <c r="A118" s="13" t="inlineStr">
        <is>
          <t>Automated Analysis Summary</t>
        </is>
      </c>
    </row>
    <row r="119" ht="90" customHeight="1">
      <c r="A119" s="58" t="inlineStr">
        <is>
          <t>NKE delivered a cumulative return of -74.3% over the selected period, most recently closing at $39.48.  Price is currently below its 50-day moving average — cautionary.  RSI 40 — soft momentum  The stock sits 48.8% below its 52-week high of $77.06 (52-week low: $39.09).  20-day annualised volatility: 32.3%. Peak 60-day drawdown: -35.5%.  Sharpe ratio -0.69 (weak risk-adjusted return); Sortino -0.93 (elevated downside risk).  NKE (Nike, Inc.) trades on XNYS.  Monte Carlo (1,000 paths, 252 days): median $40.56 (bear $22.97 / bull $72.66), 53.0% probability of gain.  This report is generated programmatically and does not constitute investment advice.</t>
        </is>
      </c>
    </row>
    <row r="120"/>
    <row r="121"/>
    <row r="122"/>
    <row r="123"/>
  </sheetData>
  <mergeCells count="35">
    <mergeCell ref="A106:D106"/>
    <mergeCell ref="A22:D22"/>
    <mergeCell ref="A91:D91"/>
    <mergeCell ref="A4:D4"/>
    <mergeCell ref="A62:D62"/>
    <mergeCell ref="A29:D29"/>
    <mergeCell ref="B88:D88"/>
    <mergeCell ref="A63:D63"/>
    <mergeCell ref="B87:D87"/>
    <mergeCell ref="A68:D68"/>
    <mergeCell ref="A67:D67"/>
    <mergeCell ref="A31:D31"/>
    <mergeCell ref="A77:D77"/>
    <mergeCell ref="A30:D30"/>
    <mergeCell ref="A15:D15"/>
    <mergeCell ref="A59:D59"/>
    <mergeCell ref="A64:D64"/>
    <mergeCell ref="A1:D1"/>
    <mergeCell ref="A45:D45"/>
    <mergeCell ref="A79:D79"/>
    <mergeCell ref="A69:D69"/>
    <mergeCell ref="A65:D65"/>
    <mergeCell ref="A84:D84"/>
    <mergeCell ref="A108:D108"/>
    <mergeCell ref="A66:D66"/>
    <mergeCell ref="A118:D118"/>
    <mergeCell ref="A119:D123"/>
    <mergeCell ref="A89:D89"/>
    <mergeCell ref="B33:C33"/>
    <mergeCell ref="A50:D50"/>
    <mergeCell ref="A86:D86"/>
    <mergeCell ref="A2:D2"/>
    <mergeCell ref="A71:D71"/>
    <mergeCell ref="A47:D47"/>
    <mergeCell ref="A42:D42"/>
  </mergeCells>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K64"/>
  <sheetViews>
    <sheetView showGridLines="0" workbookViewId="0">
      <selection activeCell="A1" sqref="A1"/>
    </sheetView>
  </sheetViews>
  <sheetFormatPr baseColWidth="8" defaultRowHeight="15"/>
  <cols>
    <col width="34" customWidth="1" min="1" max="1"/>
    <col width="14"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s>
  <sheetData>
    <row r="1">
      <c r="A1" s="59" t="inlineStr">
        <is>
          <t>NKE — Reverse DCF &amp; Fair Value</t>
        </is>
      </c>
    </row>
    <row r="2" ht="26" customHeight="1">
      <c r="A2" s="60" t="inlineStr">
        <is>
          <t>Two-stage unlevered DCF on free cash flow, run both ways: forwards (what is it worth?) and backwards (what does today's price already assume?).  Every shaded cell is an input — change one and the projection, bridge, fair value and scenarios below all recalculate.</t>
        </is>
      </c>
    </row>
    <row r="4" ht="18" customHeight="1">
      <c r="A4" s="61" t="inlineStr">
        <is>
          <t>The Headline — What Today's Price Already Assumes</t>
        </is>
      </c>
    </row>
    <row r="5" ht="30" customHeight="1">
      <c r="A5" s="62" t="n">
        <v>0.02611123176321923</v>
      </c>
      <c r="C5" s="63" t="inlineStr">
        <is>
          <t>At $39.48 the market is pricing NKE's free cash flow to compound at roughly 2.6% a year for 10 years, then 2.5% in perpetuity, discounted at 9.3%.
The reverse DCF asks one question: is that rate plausible for this business?  This model's own base case assumes 3.0%.</t>
        </is>
      </c>
    </row>
    <row r="6" ht="42" customHeight="1"/>
    <row r="8" ht="18" customHeight="1">
      <c r="A8" s="61" t="inlineStr">
        <is>
          <t>Conclusion — Fair Value vs Price</t>
        </is>
      </c>
    </row>
    <row r="9">
      <c r="A9" s="29" t="inlineStr">
        <is>
          <t>Base-case fair value / share</t>
        </is>
      </c>
      <c r="B9" s="64">
        <f>B52/B30</f>
        <v/>
      </c>
      <c r="C9" s="65" t="inlineStr">
        <is>
          <t>Equity value ÷ shares, both computed below</t>
        </is>
      </c>
    </row>
    <row r="10">
      <c r="A10" s="29" t="inlineStr">
        <is>
          <t>Current price</t>
        </is>
      </c>
      <c r="B10" s="64">
        <f>B31</f>
        <v/>
      </c>
    </row>
    <row r="11">
      <c r="A11" s="29" t="inlineStr">
        <is>
          <t>Upside / downside</t>
        </is>
      </c>
      <c r="B11" s="66">
        <f>IF(B10=0,"",B9/B10-1)</f>
        <v/>
      </c>
    </row>
    <row r="12">
      <c r="A12" s="29" t="inlineStr">
        <is>
          <t>Verdict</t>
        </is>
      </c>
      <c r="B12" s="50">
        <f>IF(B11&gt;0.15,"Undervalued vs DCF",IF(B11&lt;-0.15,"Overvalued vs DCF","Fairly valued vs DCF"))</f>
        <v/>
      </c>
      <c r="C12" s="67" t="n"/>
    </row>
    <row r="14" ht="18" customHeight="1">
      <c r="A14" s="61" t="inlineStr">
        <is>
          <t>Scenarios — and What the Market Is Assuming</t>
        </is>
      </c>
    </row>
    <row r="15">
      <c r="A15" s="31" t="inlineStr">
        <is>
          <t>Scenario</t>
        </is>
      </c>
      <c r="B15" s="31" t="inlineStr">
        <is>
          <t>Stage-1 FCF growth</t>
        </is>
      </c>
      <c r="C15" s="31" t="inlineStr">
        <is>
          <t>Fair value / share</t>
        </is>
      </c>
      <c r="D15" s="31" t="inlineStr">
        <is>
          <t>Upside / downside</t>
        </is>
      </c>
    </row>
    <row r="16">
      <c r="A16" s="68" t="inlineStr">
        <is>
          <t>Bear</t>
        </is>
      </c>
      <c r="B16" s="69">
        <f>B27</f>
        <v/>
      </c>
      <c r="C16" s="70">
        <f>((SUM(H35:H44)+G44*(1+B23)/(B22-B23)/(1+B22)^B24)-B29)/B30</f>
        <v/>
      </c>
      <c r="D16" s="71">
        <f>IF(B31=0,"",C16/B31-1)</f>
        <v/>
      </c>
    </row>
    <row r="17">
      <c r="A17" s="72" t="inlineStr">
        <is>
          <t>Base</t>
        </is>
      </c>
      <c r="B17" s="73">
        <f>B26</f>
        <v/>
      </c>
      <c r="C17" s="74">
        <f>B9</f>
        <v/>
      </c>
      <c r="D17" s="75">
        <f>IF(B31=0,"",C17/B31-1)</f>
        <v/>
      </c>
    </row>
    <row r="18">
      <c r="A18" s="68" t="inlineStr">
        <is>
          <t>Bull</t>
        </is>
      </c>
      <c r="B18" s="69">
        <f>B28</f>
        <v/>
      </c>
      <c r="C18" s="70">
        <f>((SUM(K35:K44)+J44*(1+B23)/(B22-B23)/(1+B22)^B24)-B29)/B30</f>
        <v/>
      </c>
      <c r="D18" s="71">
        <f>IF(B31=0,"",C18/B31-1)</f>
        <v/>
      </c>
    </row>
    <row r="19">
      <c r="A19" s="76" t="inlineStr">
        <is>
          <t>Market (today's price)</t>
        </is>
      </c>
      <c r="B19" s="77" t="n">
        <v>0.02611123176321923</v>
      </c>
      <c r="C19" s="78">
        <f>B31</f>
        <v/>
      </c>
      <c r="D19" s="79">
        <f>IF(B31=0,"",C19/B31-1)</f>
        <v/>
      </c>
    </row>
    <row r="21" ht="18" customHeight="1">
      <c r="A21" s="61" t="inlineStr">
        <is>
          <t>Model Inputs — every shaded cell is editable</t>
        </is>
      </c>
    </row>
    <row r="22">
      <c r="A22" s="29" t="inlineStr">
        <is>
          <t>Discount rate (WACC)</t>
        </is>
      </c>
      <c r="B22" s="80" t="n">
        <v>0.0931</v>
      </c>
      <c r="C22" s="65" t="inlineStr">
        <is>
          <t>Company-specific cost of capital. Raise it and fair value falls.</t>
        </is>
      </c>
    </row>
    <row r="23">
      <c r="A23" s="29" t="inlineStr">
        <is>
          <t>Terminal growth rate</t>
        </is>
      </c>
      <c r="B23" s="80" t="n">
        <v>0.025</v>
      </c>
      <c r="C23" s="65" t="inlineStr">
        <is>
          <t>Growth forever after the explicit horizon. Must stay below WACC.</t>
        </is>
      </c>
    </row>
    <row r="24">
      <c r="A24" s="29" t="inlineStr">
        <is>
          <t>Explicit forecast horizon (years)</t>
        </is>
      </c>
      <c r="B24" s="81" t="n">
        <v>10</v>
      </c>
      <c r="C24" s="65" t="inlineStr">
        <is>
          <t>Drives discounting and the terminal year; the projection table is fixed at 10 rows.</t>
        </is>
      </c>
    </row>
    <row r="25">
      <c r="A25" s="29" t="inlineStr">
        <is>
          <t>Normalised base free cash flow</t>
        </is>
      </c>
      <c r="B25" s="82" t="n">
        <v>4023000000</v>
      </c>
      <c r="C25" s="65" t="inlineStr">
        <is>
          <t>Mean of the last three positive annual FCF figures.</t>
        </is>
      </c>
    </row>
    <row r="26">
      <c r="A26" s="29" t="inlineStr">
        <is>
          <t>Stage-1 FCF growth — base case</t>
        </is>
      </c>
      <c r="B26" s="83" t="n">
        <v>0.03</v>
      </c>
      <c r="C26" s="65" t="inlineStr">
        <is>
          <t>Year-1 growth, fading linearly to the terminal rate.</t>
        </is>
      </c>
    </row>
    <row r="27">
      <c r="A27" s="29" t="inlineStr">
        <is>
          <t>Stage-1 FCF growth — bear case</t>
        </is>
      </c>
      <c r="B27" s="83" t="n">
        <v>3.469446951953614e-18</v>
      </c>
    </row>
    <row r="28">
      <c r="A28" s="29" t="inlineStr">
        <is>
          <t>Stage-1 FCF growth — bull case</t>
        </is>
      </c>
      <c r="B28" s="83" t="n">
        <v>0.06</v>
      </c>
    </row>
    <row r="29">
      <c r="A29" s="29" t="inlineStr">
        <is>
          <t>Net debt (total debt − cash)</t>
        </is>
      </c>
      <c r="B29" s="82" t="n">
        <v>379000000</v>
      </c>
      <c r="C29" s="65" t="inlineStr">
        <is>
          <t>Subtracted from enterprise value to reach equity value.</t>
        </is>
      </c>
    </row>
    <row r="30">
      <c r="A30" s="29" t="inlineStr">
        <is>
          <t>Shares outstanding</t>
        </is>
      </c>
      <c r="B30" s="84" t="n">
        <v>1531220183.591362</v>
      </c>
      <c r="C30" s="65" t="inlineStr">
        <is>
          <t>Derived as market cap ÷ price, so the model ties to the quoted price.</t>
        </is>
      </c>
    </row>
    <row r="31">
      <c r="A31" s="29" t="inlineStr">
        <is>
          <t>Current price</t>
        </is>
      </c>
      <c r="B31" s="85" t="n">
        <v>39.47999954223633</v>
      </c>
    </row>
    <row r="33" ht="18" customHeight="1">
      <c r="A33" s="61" t="inlineStr">
        <is>
          <t>Base-Case Projection  (bear and bull run alongside)</t>
        </is>
      </c>
    </row>
    <row r="34">
      <c r="A34" s="31" t="inlineStr">
        <is>
          <t>Year</t>
        </is>
      </c>
      <c r="B34" s="31" t="inlineStr">
        <is>
          <t>Growth</t>
        </is>
      </c>
      <c r="C34" s="31" t="inlineStr">
        <is>
          <t>Projected FCF</t>
        </is>
      </c>
      <c r="D34" s="31" t="inlineStr">
        <is>
          <t>Discount factor</t>
        </is>
      </c>
      <c r="E34" s="31" t="inlineStr">
        <is>
          <t>PV of FCF</t>
        </is>
      </c>
      <c r="F34" s="31" t="inlineStr">
        <is>
          <t>Bear growth</t>
        </is>
      </c>
      <c r="G34" s="31" t="inlineStr">
        <is>
          <t>Bear FCF</t>
        </is>
      </c>
      <c r="H34" s="31" t="inlineStr">
        <is>
          <t>Bear PV</t>
        </is>
      </c>
      <c r="I34" s="31" t="inlineStr">
        <is>
          <t>Bull growth</t>
        </is>
      </c>
      <c r="J34" s="31" t="inlineStr">
        <is>
          <t>Bull FCF</t>
        </is>
      </c>
      <c r="K34" s="31" t="inlineStr">
        <is>
          <t>Bull PV</t>
        </is>
      </c>
    </row>
    <row r="35">
      <c r="A35" s="86" t="n">
        <v>1</v>
      </c>
      <c r="B35" s="69">
        <f>IF($B$24&lt;=1,$B$23,$B$26+($B$23-$B$26)*(A35-1)/($B$24-1))</f>
        <v/>
      </c>
      <c r="C35" s="87">
        <f>$B$25*(1+B35)</f>
        <v/>
      </c>
      <c r="D35" s="88">
        <f>1/(1+$B$22)^A35</f>
        <v/>
      </c>
      <c r="E35" s="87">
        <f>C35*D35</f>
        <v/>
      </c>
      <c r="F35" s="69">
        <f>IF($B$24&lt;=1,$B$23,$B$27+($B$23-$B$27)*(A35-1)/($B$24-1))</f>
        <v/>
      </c>
      <c r="G35" s="87">
        <f>$B$25*(1+F35)</f>
        <v/>
      </c>
      <c r="H35" s="87">
        <f>G35*D35</f>
        <v/>
      </c>
      <c r="I35" s="69">
        <f>IF($B$24&lt;=1,$B$23,$B$28+($B$23-$B$28)*(A35-1)/($B$24-1))</f>
        <v/>
      </c>
      <c r="J35" s="87">
        <f>$B$25*(1+I35)</f>
        <v/>
      </c>
      <c r="K35" s="87">
        <f>J35*D35</f>
        <v/>
      </c>
    </row>
    <row r="36">
      <c r="A36" s="89" t="n">
        <v>2</v>
      </c>
      <c r="B36" s="90">
        <f>IF($B$24&lt;=1,$B$23,$B$26+($B$23-$B$26)*(A36-1)/($B$24-1))</f>
        <v/>
      </c>
      <c r="C36" s="91">
        <f>C35*(1+B36)</f>
        <v/>
      </c>
      <c r="D36" s="92">
        <f>1/(1+$B$22)^A36</f>
        <v/>
      </c>
      <c r="E36" s="91">
        <f>C36*D36</f>
        <v/>
      </c>
      <c r="F36" s="90">
        <f>IF($B$24&lt;=1,$B$23,$B$27+($B$23-$B$27)*(A36-1)/($B$24-1))</f>
        <v/>
      </c>
      <c r="G36" s="91">
        <f>G35*(1+F36)</f>
        <v/>
      </c>
      <c r="H36" s="91">
        <f>G36*D36</f>
        <v/>
      </c>
      <c r="I36" s="90">
        <f>IF($B$24&lt;=1,$B$23,$B$28+($B$23-$B$28)*(A36-1)/($B$24-1))</f>
        <v/>
      </c>
      <c r="J36" s="91">
        <f>J35*(1+I36)</f>
        <v/>
      </c>
      <c r="K36" s="91">
        <f>J36*D36</f>
        <v/>
      </c>
    </row>
    <row r="37">
      <c r="A37" s="86" t="n">
        <v>3</v>
      </c>
      <c r="B37" s="69">
        <f>IF($B$24&lt;=1,$B$23,$B$26+($B$23-$B$26)*(A37-1)/($B$24-1))</f>
        <v/>
      </c>
      <c r="C37" s="87">
        <f>C36*(1+B37)</f>
        <v/>
      </c>
      <c r="D37" s="88">
        <f>1/(1+$B$22)^A37</f>
        <v/>
      </c>
      <c r="E37" s="87">
        <f>C37*D37</f>
        <v/>
      </c>
      <c r="F37" s="69">
        <f>IF($B$24&lt;=1,$B$23,$B$27+($B$23-$B$27)*(A37-1)/($B$24-1))</f>
        <v/>
      </c>
      <c r="G37" s="87">
        <f>G36*(1+F37)</f>
        <v/>
      </c>
      <c r="H37" s="87">
        <f>G37*D37</f>
        <v/>
      </c>
      <c r="I37" s="69">
        <f>IF($B$24&lt;=1,$B$23,$B$28+($B$23-$B$28)*(A37-1)/($B$24-1))</f>
        <v/>
      </c>
      <c r="J37" s="87">
        <f>J36*(1+I37)</f>
        <v/>
      </c>
      <c r="K37" s="87">
        <f>J37*D37</f>
        <v/>
      </c>
    </row>
    <row r="38">
      <c r="A38" s="89" t="n">
        <v>4</v>
      </c>
      <c r="B38" s="90">
        <f>IF($B$24&lt;=1,$B$23,$B$26+($B$23-$B$26)*(A38-1)/($B$24-1))</f>
        <v/>
      </c>
      <c r="C38" s="91">
        <f>C37*(1+B38)</f>
        <v/>
      </c>
      <c r="D38" s="92">
        <f>1/(1+$B$22)^A38</f>
        <v/>
      </c>
      <c r="E38" s="91">
        <f>C38*D38</f>
        <v/>
      </c>
      <c r="F38" s="90">
        <f>IF($B$24&lt;=1,$B$23,$B$27+($B$23-$B$27)*(A38-1)/($B$24-1))</f>
        <v/>
      </c>
      <c r="G38" s="91">
        <f>G37*(1+F38)</f>
        <v/>
      </c>
      <c r="H38" s="91">
        <f>G38*D38</f>
        <v/>
      </c>
      <c r="I38" s="90">
        <f>IF($B$24&lt;=1,$B$23,$B$28+($B$23-$B$28)*(A38-1)/($B$24-1))</f>
        <v/>
      </c>
      <c r="J38" s="91">
        <f>J37*(1+I38)</f>
        <v/>
      </c>
      <c r="K38" s="91">
        <f>J38*D38</f>
        <v/>
      </c>
    </row>
    <row r="39">
      <c r="A39" s="86" t="n">
        <v>5</v>
      </c>
      <c r="B39" s="69">
        <f>IF($B$24&lt;=1,$B$23,$B$26+($B$23-$B$26)*(A39-1)/($B$24-1))</f>
        <v/>
      </c>
      <c r="C39" s="87">
        <f>C38*(1+B39)</f>
        <v/>
      </c>
      <c r="D39" s="88">
        <f>1/(1+$B$22)^A39</f>
        <v/>
      </c>
      <c r="E39" s="87">
        <f>C39*D39</f>
        <v/>
      </c>
      <c r="F39" s="69">
        <f>IF($B$24&lt;=1,$B$23,$B$27+($B$23-$B$27)*(A39-1)/($B$24-1))</f>
        <v/>
      </c>
      <c r="G39" s="87">
        <f>G38*(1+F39)</f>
        <v/>
      </c>
      <c r="H39" s="87">
        <f>G39*D39</f>
        <v/>
      </c>
      <c r="I39" s="69">
        <f>IF($B$24&lt;=1,$B$23,$B$28+($B$23-$B$28)*(A39-1)/($B$24-1))</f>
        <v/>
      </c>
      <c r="J39" s="87">
        <f>J38*(1+I39)</f>
        <v/>
      </c>
      <c r="K39" s="87">
        <f>J39*D39</f>
        <v/>
      </c>
    </row>
    <row r="40">
      <c r="A40" s="89" t="n">
        <v>6</v>
      </c>
      <c r="B40" s="90">
        <f>IF($B$24&lt;=1,$B$23,$B$26+($B$23-$B$26)*(A40-1)/($B$24-1))</f>
        <v/>
      </c>
      <c r="C40" s="91">
        <f>C39*(1+B40)</f>
        <v/>
      </c>
      <c r="D40" s="92">
        <f>1/(1+$B$22)^A40</f>
        <v/>
      </c>
      <c r="E40" s="91">
        <f>C40*D40</f>
        <v/>
      </c>
      <c r="F40" s="90">
        <f>IF($B$24&lt;=1,$B$23,$B$27+($B$23-$B$27)*(A40-1)/($B$24-1))</f>
        <v/>
      </c>
      <c r="G40" s="91">
        <f>G39*(1+F40)</f>
        <v/>
      </c>
      <c r="H40" s="91">
        <f>G40*D40</f>
        <v/>
      </c>
      <c r="I40" s="90">
        <f>IF($B$24&lt;=1,$B$23,$B$28+($B$23-$B$28)*(A40-1)/($B$24-1))</f>
        <v/>
      </c>
      <c r="J40" s="91">
        <f>J39*(1+I40)</f>
        <v/>
      </c>
      <c r="K40" s="91">
        <f>J40*D40</f>
        <v/>
      </c>
    </row>
    <row r="41">
      <c r="A41" s="86" t="n">
        <v>7</v>
      </c>
      <c r="B41" s="69">
        <f>IF($B$24&lt;=1,$B$23,$B$26+($B$23-$B$26)*(A41-1)/($B$24-1))</f>
        <v/>
      </c>
      <c r="C41" s="87">
        <f>C40*(1+B41)</f>
        <v/>
      </c>
      <c r="D41" s="88">
        <f>1/(1+$B$22)^A41</f>
        <v/>
      </c>
      <c r="E41" s="87">
        <f>C41*D41</f>
        <v/>
      </c>
      <c r="F41" s="69">
        <f>IF($B$24&lt;=1,$B$23,$B$27+($B$23-$B$27)*(A41-1)/($B$24-1))</f>
        <v/>
      </c>
      <c r="G41" s="87">
        <f>G40*(1+F41)</f>
        <v/>
      </c>
      <c r="H41" s="87">
        <f>G41*D41</f>
        <v/>
      </c>
      <c r="I41" s="69">
        <f>IF($B$24&lt;=1,$B$23,$B$28+($B$23-$B$28)*(A41-1)/($B$24-1))</f>
        <v/>
      </c>
      <c r="J41" s="87">
        <f>J40*(1+I41)</f>
        <v/>
      </c>
      <c r="K41" s="87">
        <f>J41*D41</f>
        <v/>
      </c>
    </row>
    <row r="42">
      <c r="A42" s="89" t="n">
        <v>8</v>
      </c>
      <c r="B42" s="90">
        <f>IF($B$24&lt;=1,$B$23,$B$26+($B$23-$B$26)*(A42-1)/($B$24-1))</f>
        <v/>
      </c>
      <c r="C42" s="91">
        <f>C41*(1+B42)</f>
        <v/>
      </c>
      <c r="D42" s="92">
        <f>1/(1+$B$22)^A42</f>
        <v/>
      </c>
      <c r="E42" s="91">
        <f>C42*D42</f>
        <v/>
      </c>
      <c r="F42" s="90">
        <f>IF($B$24&lt;=1,$B$23,$B$27+($B$23-$B$27)*(A42-1)/($B$24-1))</f>
        <v/>
      </c>
      <c r="G42" s="91">
        <f>G41*(1+F42)</f>
        <v/>
      </c>
      <c r="H42" s="91">
        <f>G42*D42</f>
        <v/>
      </c>
      <c r="I42" s="90">
        <f>IF($B$24&lt;=1,$B$23,$B$28+($B$23-$B$28)*(A42-1)/($B$24-1))</f>
        <v/>
      </c>
      <c r="J42" s="91">
        <f>J41*(1+I42)</f>
        <v/>
      </c>
      <c r="K42" s="91">
        <f>J42*D42</f>
        <v/>
      </c>
    </row>
    <row r="43">
      <c r="A43" s="86" t="n">
        <v>9</v>
      </c>
      <c r="B43" s="69">
        <f>IF($B$24&lt;=1,$B$23,$B$26+($B$23-$B$26)*(A43-1)/($B$24-1))</f>
        <v/>
      </c>
      <c r="C43" s="87">
        <f>C42*(1+B43)</f>
        <v/>
      </c>
      <c r="D43" s="88">
        <f>1/(1+$B$22)^A43</f>
        <v/>
      </c>
      <c r="E43" s="87">
        <f>C43*D43</f>
        <v/>
      </c>
      <c r="F43" s="69">
        <f>IF($B$24&lt;=1,$B$23,$B$27+($B$23-$B$27)*(A43-1)/($B$24-1))</f>
        <v/>
      </c>
      <c r="G43" s="87">
        <f>G42*(1+F43)</f>
        <v/>
      </c>
      <c r="H43" s="87">
        <f>G43*D43</f>
        <v/>
      </c>
      <c r="I43" s="69">
        <f>IF($B$24&lt;=1,$B$23,$B$28+($B$23-$B$28)*(A43-1)/($B$24-1))</f>
        <v/>
      </c>
      <c r="J43" s="87">
        <f>J42*(1+I43)</f>
        <v/>
      </c>
      <c r="K43" s="87">
        <f>J43*D43</f>
        <v/>
      </c>
    </row>
    <row r="44">
      <c r="A44" s="89" t="n">
        <v>10</v>
      </c>
      <c r="B44" s="90">
        <f>IF($B$24&lt;=1,$B$23,$B$26+($B$23-$B$26)*(A44-1)/($B$24-1))</f>
        <v/>
      </c>
      <c r="C44" s="91">
        <f>C43*(1+B44)</f>
        <v/>
      </c>
      <c r="D44" s="92">
        <f>1/(1+$B$22)^A44</f>
        <v/>
      </c>
      <c r="E44" s="91">
        <f>C44*D44</f>
        <v/>
      </c>
      <c r="F44" s="90">
        <f>IF($B$24&lt;=1,$B$23,$B$27+($B$23-$B$27)*(A44-1)/($B$24-1))</f>
        <v/>
      </c>
      <c r="G44" s="91">
        <f>G43*(1+F44)</f>
        <v/>
      </c>
      <c r="H44" s="91">
        <f>G44*D44</f>
        <v/>
      </c>
      <c r="I44" s="90">
        <f>IF($B$24&lt;=1,$B$23,$B$28+($B$23-$B$28)*(A44-1)/($B$24-1))</f>
        <v/>
      </c>
      <c r="J44" s="91">
        <f>J43*(1+I44)</f>
        <v/>
      </c>
      <c r="K44" s="91">
        <f>J44*D44</f>
        <v/>
      </c>
    </row>
    <row r="46" ht="18" customHeight="1">
      <c r="A46" s="61" t="inlineStr">
        <is>
          <t>Enterprise Value → Equity Bridge</t>
        </is>
      </c>
    </row>
    <row r="47">
      <c r="A47" s="29" t="inlineStr">
        <is>
          <t>PV of explicit FCF</t>
        </is>
      </c>
      <c r="B47" s="87">
        <f>SUM(E35:E44)</f>
        <v/>
      </c>
    </row>
    <row r="48">
      <c r="A48" s="29" t="inlineStr">
        <is>
          <t>Terminal value</t>
        </is>
      </c>
      <c r="B48" s="87">
        <f>C44*(1+B23)/(B22-B23)</f>
        <v/>
      </c>
    </row>
    <row r="49">
      <c r="A49" s="29" t="inlineStr">
        <is>
          <t>PV of terminal value</t>
        </is>
      </c>
      <c r="B49" s="87">
        <f>B48/(1+B22)^B24</f>
        <v/>
      </c>
      <c r="C49" s="93">
        <f>TEXT(B49/B50,"0%")&amp;" of enterprise value — above 85% the terminal assumption is doing nearly all the work"</f>
        <v/>
      </c>
    </row>
    <row r="50">
      <c r="A50" s="29" t="inlineStr">
        <is>
          <t>Enterprise value</t>
        </is>
      </c>
      <c r="B50" s="87">
        <f>B47+B49</f>
        <v/>
      </c>
    </row>
    <row r="51">
      <c r="A51" s="29" t="inlineStr">
        <is>
          <t>Less: net debt</t>
        </is>
      </c>
      <c r="B51" s="87">
        <f>B29</f>
        <v/>
      </c>
    </row>
    <row r="52">
      <c r="A52" s="29" t="inlineStr">
        <is>
          <t>Equity value</t>
        </is>
      </c>
      <c r="B52" s="94">
        <f>B50-B51</f>
        <v/>
      </c>
    </row>
    <row r="54" ht="18" customHeight="1">
      <c r="A54" s="61" t="inlineStr">
        <is>
          <t>Sensitivity — Fair Value / Share  (WACC × Terminal Growth)  ·  snapshot computed at generation</t>
        </is>
      </c>
    </row>
    <row r="55">
      <c r="A55" s="95" t="inlineStr">
        <is>
          <t>WACC ╲ Term. g</t>
        </is>
      </c>
      <c r="B55" s="31" t="inlineStr">
        <is>
          <t>1.5%</t>
        </is>
      </c>
      <c r="C55" s="31" t="inlineStr">
        <is>
          <t>2.0%</t>
        </is>
      </c>
      <c r="D55" s="31" t="inlineStr">
        <is>
          <t>2.5%</t>
        </is>
      </c>
      <c r="E55" s="31" t="inlineStr">
        <is>
          <t>3.0%</t>
        </is>
      </c>
      <c r="F55" s="31" t="inlineStr">
        <is>
          <t>3.5%</t>
        </is>
      </c>
    </row>
    <row r="56">
      <c r="A56" s="31" t="inlineStr">
        <is>
          <t>7.3%</t>
        </is>
      </c>
      <c r="B56" s="70" t="n">
        <v>48.68</v>
      </c>
      <c r="C56" s="70" t="n">
        <v>52.44</v>
      </c>
      <c r="D56" s="70" t="n">
        <v>56.97</v>
      </c>
      <c r="E56" s="70" t="n">
        <v>62.54</v>
      </c>
      <c r="F56" s="70" t="n">
        <v>69.56999999999999</v>
      </c>
    </row>
    <row r="57">
      <c r="A57" s="31" t="inlineStr">
        <is>
          <t>8.3%</t>
        </is>
      </c>
      <c r="B57" s="70" t="n">
        <v>41.44</v>
      </c>
      <c r="C57" s="70" t="n">
        <v>44.05</v>
      </c>
      <c r="D57" s="70" t="n">
        <v>47.1</v>
      </c>
      <c r="E57" s="70" t="n">
        <v>50.72</v>
      </c>
      <c r="F57" s="70" t="n">
        <v>55.08</v>
      </c>
    </row>
    <row r="58">
      <c r="A58" s="31" t="inlineStr">
        <is>
          <t>9.3%</t>
        </is>
      </c>
      <c r="B58" s="70" t="n">
        <v>36.06</v>
      </c>
      <c r="C58" s="70" t="n">
        <v>37.95</v>
      </c>
      <c r="D58" s="70" t="n">
        <v>40.13</v>
      </c>
      <c r="E58" s="70" t="n">
        <v>42.64</v>
      </c>
      <c r="F58" s="70" t="n">
        <v>45.58</v>
      </c>
    </row>
    <row r="59">
      <c r="A59" s="31" t="inlineStr">
        <is>
          <t>10.3%</t>
        </is>
      </c>
      <c r="B59" s="70" t="n">
        <v>31.89</v>
      </c>
      <c r="C59" s="70" t="n">
        <v>33.33</v>
      </c>
      <c r="D59" s="70" t="n">
        <v>34.94</v>
      </c>
      <c r="E59" s="70" t="n">
        <v>36.77</v>
      </c>
      <c r="F59" s="70" t="n">
        <v>38.87</v>
      </c>
    </row>
    <row r="60">
      <c r="A60" s="31" t="inlineStr">
        <is>
          <t>11.3%</t>
        </is>
      </c>
      <c r="B60" s="70" t="n">
        <v>28.58</v>
      </c>
      <c r="C60" s="70" t="n">
        <v>29.7</v>
      </c>
      <c r="D60" s="70" t="n">
        <v>30.93</v>
      </c>
      <c r="E60" s="70" t="n">
        <v>32.32</v>
      </c>
      <c r="F60" s="70" t="n">
        <v>33.88</v>
      </c>
    </row>
    <row r="61">
      <c r="A61" s="96">
        <f>IF(AND(ROUND($B$22,4)=0.0931,ROUND($B$23,4)=0.025),"Grid matches the assumptions above.","Assumptions changed — this grid was computed at 9.3% WACC / 2.5% terminal growth and no longer matches the inputs. Regenerate to refresh it.")</f>
        <v/>
      </c>
    </row>
    <row r="62" ht="44" customHeight="1">
      <c r="A62" s="97" t="inlineStr">
        <is>
          <t>Each cell is base-case fair value per share at that discount rate and terminal growth rate. Green = above today's $39.48 price, red = below. These 25 values are computed once when the report is generated; the rest of this sheet is live formulas, so editing the inputs above moves everything except this grid.</t>
        </is>
      </c>
    </row>
    <row r="64" ht="76" customHeight="1">
      <c r="A64" s="36" t="inlineStr">
        <is>
          <t>How to use this sheet: the reverse DCF is the headline — it converts today's price into the growth rate you would have to believe. Change the discount rate or the terminal growth rate in the shaded input cells and every projection, bridge and scenario figure recalculates, so you can test your own assumptions rather than accept ours. A DCF is a model, not a forecast: base FCF is normalised over recent years, shares are derived from market cap ÷ price, and small changes in WACC or terminal growth move fair value materially. For informational purposes only. Not investment advice. Past performance does not guarantee future results.</t>
        </is>
      </c>
    </row>
  </sheetData>
  <mergeCells count="23">
    <mergeCell ref="C25:K25"/>
    <mergeCell ref="A62:D62"/>
    <mergeCell ref="C22:K22"/>
    <mergeCell ref="C9:K9"/>
    <mergeCell ref="A5:B6"/>
    <mergeCell ref="A1:K1"/>
    <mergeCell ref="B12:C12"/>
    <mergeCell ref="A54:K54"/>
    <mergeCell ref="C5:K6"/>
    <mergeCell ref="A64:D64"/>
    <mergeCell ref="C23:K23"/>
    <mergeCell ref="A46:K46"/>
    <mergeCell ref="A21:K21"/>
    <mergeCell ref="A2:K2"/>
    <mergeCell ref="A33:K33"/>
    <mergeCell ref="A14:K14"/>
    <mergeCell ref="A8:K8"/>
    <mergeCell ref="C24:K24"/>
    <mergeCell ref="C30:K30"/>
    <mergeCell ref="A4:K4"/>
    <mergeCell ref="A61:F61"/>
    <mergeCell ref="C26:K26"/>
    <mergeCell ref="C29:K29"/>
  </mergeCells>
  <conditionalFormatting sqref="B56:F60">
    <cfRule type="cellIs" priority="1" operator="greaterThan" dxfId="0">
      <formula>$B$31</formula>
    </cfRule>
    <cfRule type="cellIs" priority="2" operator="lessThan" dxfId="1">
      <formula>$B$31</formula>
    </cfRule>
  </conditionalFormatting>
  <pageMargins left="0.75" right="0.75" top="1" bottom="1" header="0.5" footer="0.5"/>
  <rowBreaks count="1" manualBreakCount="1">
    <brk id="65" min="0" max="16383" man="1"/>
  </rowBreaks>
  <drawing xmlns:r="http://schemas.openxmlformats.org/officeDocument/2006/relationships" r:id="rId1"/>
</worksheet>
</file>

<file path=xl/worksheets/sheet4.xml><?xml version="1.0" encoding="utf-8"?>
<worksheet xmlns="http://schemas.openxmlformats.org/spreadsheetml/2006/main">
  <sheetPr>
    <outlinePr summaryBelow="1" summaryRight="1"/>
    <pageSetUpPr/>
  </sheetPr>
  <dimension ref="A1:K36"/>
  <sheetViews>
    <sheetView workbookViewId="0">
      <selection activeCell="A1" sqref="A1"/>
    </sheetView>
  </sheetViews>
  <sheetFormatPr baseColWidth="8" defaultRowHeight="15"/>
  <cols>
    <col width="30" customWidth="1" min="1" max="1"/>
    <col width="16" customWidth="1" min="2" max="2"/>
    <col width="12" customWidth="1" min="3" max="3"/>
    <col width="12" customWidth="1" min="4" max="4"/>
    <col width="12" customWidth="1" min="5" max="5"/>
    <col width="12" customWidth="1" min="6" max="6"/>
    <col width="12" customWidth="1" min="7" max="7"/>
    <col width="12" customWidth="1" min="8" max="8"/>
    <col width="12" customWidth="1" min="9" max="9"/>
    <col width="12" customWidth="1" min="10" max="10"/>
    <col width="12" customWidth="1" min="11" max="11"/>
  </cols>
  <sheetData>
    <row r="1">
      <c r="A1" s="59" t="inlineStr">
        <is>
          <t>Fundamentals &amp; Valuation   ·   source: SEC EDGAR   ·   FY ending 2026-05-31</t>
        </is>
      </c>
    </row>
    <row r="3">
      <c r="A3" s="61" t="inlineStr">
        <is>
          <t>Valuation</t>
        </is>
      </c>
      <c r="B3" s="61" t="n"/>
    </row>
    <row r="4">
      <c r="A4" s="18" t="inlineStr">
        <is>
          <t>P/E</t>
        </is>
      </c>
      <c r="B4" s="98" t="n">
        <v>19.45</v>
      </c>
    </row>
    <row r="5">
      <c r="A5" s="29" t="inlineStr">
        <is>
          <t>P/S</t>
        </is>
      </c>
      <c r="B5" s="99" t="n">
        <v>1.3</v>
      </c>
    </row>
    <row r="6">
      <c r="A6" s="18" t="inlineStr">
        <is>
          <t>P/B</t>
        </is>
      </c>
      <c r="B6" s="98" t="n">
        <v>4.07</v>
      </c>
    </row>
    <row r="7">
      <c r="A7" s="29" t="inlineStr">
        <is>
          <t>EV / EBITDA</t>
        </is>
      </c>
      <c r="B7" s="100" t="inlineStr">
        <is>
          <t>N/A</t>
        </is>
      </c>
    </row>
    <row r="8">
      <c r="A8" s="18" t="inlineStr">
        <is>
          <t>Earnings Yield</t>
        </is>
      </c>
      <c r="B8" s="101" t="n">
        <v>0.051</v>
      </c>
    </row>
    <row r="9">
      <c r="A9" s="29" t="inlineStr">
        <is>
          <t>FCF Yield</t>
        </is>
      </c>
      <c r="B9" s="102" t="n">
        <v>0.036</v>
      </c>
    </row>
    <row r="10">
      <c r="A10" s="18" t="inlineStr">
        <is>
          <t>Implied growth — earnings basis, flat 9% discount</t>
        </is>
      </c>
      <c r="B10" s="101" t="n">
        <v>0.0528</v>
      </c>
    </row>
    <row r="11">
      <c r="A11" s="29" t="inlineStr">
        <is>
          <t xml:space="preserve">  (cross-check only; the headline reverse DCF is on the Valuation sheet)</t>
        </is>
      </c>
      <c r="B11" s="103" t="inlineStr"/>
    </row>
    <row r="13">
      <c r="A13" s="61" t="inlineStr">
        <is>
          <t>Profitability &amp; Returns</t>
        </is>
      </c>
      <c r="B13" s="61" t="n"/>
    </row>
    <row r="14">
      <c r="A14" s="18" t="inlineStr">
        <is>
          <t>Gross Margin</t>
        </is>
      </c>
      <c r="B14" s="101" t="n">
        <v>0.429</v>
      </c>
    </row>
    <row r="15">
      <c r="A15" s="29" t="inlineStr">
        <is>
          <t>Operating Margin</t>
        </is>
      </c>
      <c r="B15" s="100" t="inlineStr">
        <is>
          <t>N/A</t>
        </is>
      </c>
    </row>
    <row r="16">
      <c r="A16" s="18" t="inlineStr">
        <is>
          <t>Net Margin</t>
        </is>
      </c>
      <c r="B16" s="101" t="n">
        <v>0.067</v>
      </c>
    </row>
    <row r="17">
      <c r="A17" s="29" t="inlineStr">
        <is>
          <t>Return on Equity</t>
        </is>
      </c>
      <c r="B17" s="102" t="n">
        <v>0.209</v>
      </c>
    </row>
    <row r="18">
      <c r="A18" s="18" t="inlineStr">
        <is>
          <t>Return on Assets</t>
        </is>
      </c>
      <c r="B18" s="101" t="n">
        <v>0.081</v>
      </c>
    </row>
    <row r="19">
      <c r="A19" s="29" t="inlineStr">
        <is>
          <t>Free Cash Flow</t>
        </is>
      </c>
      <c r="B19" s="104" t="n">
        <v>2184000000</v>
      </c>
    </row>
    <row r="21">
      <c r="A21" s="61" t="inlineStr">
        <is>
          <t>Growth</t>
        </is>
      </c>
      <c r="B21" s="61" t="n"/>
    </row>
    <row r="22">
      <c r="A22" s="18" t="inlineStr">
        <is>
          <t>Revenue YoY</t>
        </is>
      </c>
      <c r="B22" s="101" t="n">
        <v>0.002</v>
      </c>
    </row>
    <row r="23">
      <c r="A23" s="29" t="inlineStr">
        <is>
          <t>EPS YoY</t>
        </is>
      </c>
      <c r="B23" s="102" t="n">
        <v>-0.028</v>
      </c>
    </row>
    <row r="24">
      <c r="A24" s="18" t="inlineStr">
        <is>
          <t>Revenue CAGR</t>
        </is>
      </c>
      <c r="B24" s="101" t="n">
        <v>0.034</v>
      </c>
    </row>
    <row r="25">
      <c r="A25" s="29" t="inlineStr">
        <is>
          <t>EPS CAGR</t>
        </is>
      </c>
      <c r="B25" s="102" t="n">
        <v>-0.02</v>
      </c>
    </row>
    <row r="27">
      <c r="A27" s="61" t="inlineStr">
        <is>
          <t>Balance Sheet &amp; Quality</t>
        </is>
      </c>
      <c r="B27" s="61" t="n"/>
    </row>
    <row r="28">
      <c r="A28" s="18" t="inlineStr">
        <is>
          <t>Current Ratio</t>
        </is>
      </c>
      <c r="B28" s="105" t="n">
        <v>1.96</v>
      </c>
    </row>
    <row r="29">
      <c r="A29" s="29" t="inlineStr">
        <is>
          <t>Debt / Equity</t>
        </is>
      </c>
      <c r="B29" s="106" t="n">
        <v>0.4</v>
      </c>
    </row>
    <row r="30">
      <c r="A30" s="18" t="inlineStr">
        <is>
          <t>Piotroski F-Score</t>
        </is>
      </c>
      <c r="B30" s="107" t="inlineStr">
        <is>
          <t>5 / 9</t>
        </is>
      </c>
    </row>
    <row r="31">
      <c r="A31" s="29" t="inlineStr">
        <is>
          <t>Altman Z-Score</t>
        </is>
      </c>
      <c r="B31" s="100" t="inlineStr">
        <is>
          <t>N/A</t>
        </is>
      </c>
    </row>
    <row r="33">
      <c r="A33" s="108" t="inlineStr">
        <is>
          <t>Fiscal Period</t>
        </is>
      </c>
      <c r="B33" s="108" t="inlineStr">
        <is>
          <t>2017-05</t>
        </is>
      </c>
      <c r="C33" s="108" t="inlineStr">
        <is>
          <t>2018-05</t>
        </is>
      </c>
      <c r="D33" s="108" t="inlineStr">
        <is>
          <t>2019-05</t>
        </is>
      </c>
      <c r="E33" s="108" t="inlineStr">
        <is>
          <t>2020-05</t>
        </is>
      </c>
      <c r="F33" s="108" t="inlineStr">
        <is>
          <t>2021-05</t>
        </is>
      </c>
      <c r="G33" s="108" t="inlineStr">
        <is>
          <t>2022-05</t>
        </is>
      </c>
      <c r="H33" s="108" t="inlineStr">
        <is>
          <t>2023-05</t>
        </is>
      </c>
      <c r="I33" s="108" t="inlineStr">
        <is>
          <t>2024-05</t>
        </is>
      </c>
      <c r="J33" s="108" t="inlineStr">
        <is>
          <t>2025-05</t>
        </is>
      </c>
      <c r="K33" s="108" t="inlineStr">
        <is>
          <t>2026-05</t>
        </is>
      </c>
    </row>
    <row r="34">
      <c r="A34" s="27" t="inlineStr">
        <is>
          <t>Revenue ($B)</t>
        </is>
      </c>
      <c r="B34" s="109" t="n">
        <v>34.4</v>
      </c>
      <c r="C34" s="109" t="n">
        <v>36.4</v>
      </c>
      <c r="D34" s="109" t="n">
        <v>39.1</v>
      </c>
      <c r="E34" s="109" t="n">
        <v>37.4</v>
      </c>
      <c r="F34" s="109" t="n">
        <v>44.5</v>
      </c>
      <c r="G34" s="109" t="n">
        <v>46.7</v>
      </c>
      <c r="H34" s="109" t="n">
        <v>51.2</v>
      </c>
      <c r="I34" s="109" t="n">
        <v>51.4</v>
      </c>
      <c r="J34" s="109" t="n">
        <v>46.3</v>
      </c>
      <c r="K34" s="109" t="n">
        <v>46.4</v>
      </c>
    </row>
    <row r="35">
      <c r="A35" s="27" t="inlineStr">
        <is>
          <t>Net Income ($B)</t>
        </is>
      </c>
      <c r="B35" s="109" t="n">
        <v>4.2</v>
      </c>
      <c r="C35" s="109" t="n">
        <v>1.9</v>
      </c>
      <c r="D35" s="109" t="n">
        <v>4</v>
      </c>
      <c r="E35" s="109" t="n">
        <v>2.5</v>
      </c>
      <c r="F35" s="109" t="n">
        <v>5.7</v>
      </c>
      <c r="G35" s="109" t="n">
        <v>6</v>
      </c>
      <c r="H35" s="109" t="n">
        <v>5.1</v>
      </c>
      <c r="I35" s="109" t="n">
        <v>5.7</v>
      </c>
      <c r="J35" s="109" t="n">
        <v>3.2</v>
      </c>
      <c r="K35" s="109" t="n">
        <v>3.1</v>
      </c>
    </row>
    <row r="36">
      <c r="A36" s="27" t="inlineStr">
        <is>
          <t>Free Cash Flow ($B)</t>
        </is>
      </c>
      <c r="B36" s="109" t="n">
        <v>2.5</v>
      </c>
      <c r="C36" s="109" t="n">
        <v>3.9</v>
      </c>
      <c r="D36" s="109" t="n">
        <v>4.8</v>
      </c>
      <c r="E36" s="109" t="n">
        <v>1.4</v>
      </c>
      <c r="F36" s="109" t="n">
        <v>6</v>
      </c>
      <c r="G36" s="109" t="n">
        <v>4.4</v>
      </c>
      <c r="H36" s="109" t="n">
        <v>4.9</v>
      </c>
      <c r="I36" s="109" t="n">
        <v>6.6</v>
      </c>
      <c r="J36" s="109" t="n">
        <v>3.3</v>
      </c>
      <c r="K36" s="109" t="n">
        <v>2.2</v>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H8"/>
  <sheetViews>
    <sheetView showGridLines="0" workbookViewId="0">
      <pane ySplit="2" topLeftCell="A3" activePane="bottomLeft" state="frozen"/>
      <selection pane="bottomLeft" activeCell="A1" sqref="A1"/>
    </sheetView>
  </sheetViews>
  <sheetFormatPr baseColWidth="8" defaultRowHeight="15"/>
  <cols>
    <col width="28" customWidth="1" min="1" max="1"/>
    <col width="24" customWidth="1" min="2" max="2"/>
    <col width="23" customWidth="1" min="3" max="3"/>
    <col width="22" customWidth="1" min="4" max="4"/>
    <col width="9" customWidth="1" min="5" max="5"/>
    <col width="3" customWidth="1" min="6" max="6"/>
    <col width="3" customWidth="1" min="7" max="7"/>
    <col width="3" customWidth="1" min="8" max="8"/>
  </cols>
  <sheetData>
    <row r="1" ht="26" customHeight="1">
      <c r="A1" s="110" t="inlineStr">
        <is>
          <t>Annual Performance Summary</t>
        </is>
      </c>
    </row>
    <row r="2">
      <c r="A2" s="31" t="inlineStr">
        <is>
          <t>Year</t>
        </is>
      </c>
      <c r="B2" s="31" t="inlineStr">
        <is>
          <t>Annual Return</t>
        </is>
      </c>
      <c r="C2" s="31" t="inlineStr">
        <is>
          <t>Max Drawdown (60d)</t>
        </is>
      </c>
      <c r="D2" s="31" t="inlineStr">
        <is>
          <t>Ann. Volatility</t>
        </is>
      </c>
      <c r="E2" s="31" t="inlineStr">
        <is>
          <t>Sharpe</t>
        </is>
      </c>
    </row>
    <row r="3">
      <c r="A3" s="111" t="n">
        <v>2021</v>
      </c>
      <c r="B3" s="112" t="n">
        <v>0.001947724716939936</v>
      </c>
      <c r="C3" s="112" t="n">
        <v>-0.1140660162838387</v>
      </c>
      <c r="D3" s="113" t="n">
        <v>0.2517283690746404</v>
      </c>
      <c r="E3" s="15" t="n">
        <v>-0.01</v>
      </c>
    </row>
    <row r="4">
      <c r="A4" s="114" t="n">
        <v>2022</v>
      </c>
      <c r="B4" s="115" t="n">
        <v>-0.290411125888721</v>
      </c>
      <c r="C4" s="115" t="n">
        <v>-0.3018233560685217</v>
      </c>
      <c r="D4" s="116" t="n">
        <v>0.4227471515262051</v>
      </c>
      <c r="E4" s="18" t="n">
        <v>-0.6899999999999999</v>
      </c>
    </row>
    <row r="5">
      <c r="A5" s="111" t="n">
        <v>2023</v>
      </c>
      <c r="B5" s="115" t="n">
        <v>-0.0601371397988808</v>
      </c>
      <c r="C5" s="115" t="n">
        <v>-0.1959537884048088</v>
      </c>
      <c r="D5" s="113" t="n">
        <v>0.2706323500267068</v>
      </c>
      <c r="E5" s="15" t="n">
        <v>-0.24</v>
      </c>
    </row>
    <row r="6">
      <c r="A6" s="114" t="n">
        <v>2024</v>
      </c>
      <c r="B6" s="115" t="n">
        <v>-0.2910746355754885</v>
      </c>
      <c r="C6" s="115" t="n">
        <v>-0.2684707855293574</v>
      </c>
      <c r="D6" s="116" t="n">
        <v>0.3199282540769809</v>
      </c>
      <c r="E6" s="18" t="n">
        <v>-1.03</v>
      </c>
    </row>
    <row r="7">
      <c r="A7" s="111" t="n">
        <v>2025</v>
      </c>
      <c r="B7" s="115" t="n">
        <v>-0.1382763734211928</v>
      </c>
      <c r="C7" s="115" t="n">
        <v>-0.3448406224676468</v>
      </c>
      <c r="D7" s="113" t="n">
        <v>0.4204945268434374</v>
      </c>
      <c r="E7" s="15" t="n">
        <v>-0.24</v>
      </c>
    </row>
    <row r="8">
      <c r="A8" s="114" t="inlineStr">
        <is>
          <t>2026 (YTD)</t>
        </is>
      </c>
      <c r="B8" s="115" t="n">
        <v>-0.370622130513942</v>
      </c>
      <c r="C8" s="115" t="n">
        <v>-0.3553826303470415</v>
      </c>
      <c r="D8" s="116" t="n">
        <v>0.365475386381293</v>
      </c>
      <c r="E8" s="18" t="n">
        <v>-1.89</v>
      </c>
    </row>
  </sheetData>
  <autoFilter ref="A2:E2"/>
  <mergeCells count="1">
    <mergeCell ref="A1:H1"/>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Q1255"/>
  <sheetViews>
    <sheetView workbookViewId="0">
      <pane ySplit="1" topLeftCell="A2" activePane="bottomLeft" state="frozen"/>
      <selection pane="bottomLeft" activeCell="A1" sqref="A1"/>
    </sheetView>
  </sheetViews>
  <sheetFormatPr baseColWidth="8" defaultRowHeight="15"/>
  <cols>
    <col width="22" customWidth="1" min="1" max="1"/>
    <col width="21" customWidth="1" min="2" max="2"/>
    <col width="21" customWidth="1" min="3" max="3"/>
    <col width="21" customWidth="1" min="4" max="4"/>
    <col width="21" customWidth="1" min="5" max="5"/>
    <col width="14" customWidth="1" min="6" max="6"/>
    <col width="26" customWidth="1" min="7" max="7"/>
    <col width="21" customWidth="1" min="8" max="8"/>
    <col width="21" customWidth="1" min="9" max="9"/>
    <col width="21" customWidth="1" min="10" max="10"/>
    <col width="22" customWidth="1" min="11" max="11"/>
    <col width="26" customWidth="1" min="12" max="12"/>
    <col width="25" customWidth="1" min="13" max="13"/>
    <col width="21" customWidth="1" min="14" max="14"/>
    <col width="25" customWidth="1" min="15" max="15"/>
    <col width="21" customWidth="1" min="16" max="16"/>
    <col width="21" customWidth="1" min="17" max="17"/>
  </cols>
  <sheetData>
    <row r="1">
      <c r="A1" s="117" t="inlineStr">
        <is>
          <t>Date</t>
        </is>
      </c>
      <c r="B1" s="117" t="inlineStr">
        <is>
          <t>Open</t>
        </is>
      </c>
      <c r="C1" s="117" t="inlineStr">
        <is>
          <t>High</t>
        </is>
      </c>
      <c r="D1" s="117" t="inlineStr">
        <is>
          <t>Low</t>
        </is>
      </c>
      <c r="E1" s="117" t="inlineStr">
        <is>
          <t>Close</t>
        </is>
      </c>
      <c r="F1" s="117" t="inlineStr">
        <is>
          <t>Volume</t>
        </is>
      </c>
      <c r="G1" s="117" t="inlineStr">
        <is>
          <t>Daily_Return</t>
        </is>
      </c>
      <c r="H1" s="117" t="inlineStr">
        <is>
          <t>Cumulative_Index</t>
        </is>
      </c>
      <c r="I1" s="117" t="inlineStr">
        <is>
          <t>MA50</t>
        </is>
      </c>
      <c r="J1" s="117" t="inlineStr">
        <is>
          <t>MA200</t>
        </is>
      </c>
      <c r="K1" s="117" t="inlineStr">
        <is>
          <t>Volatility_20d</t>
        </is>
      </c>
      <c r="L1" s="117" t="inlineStr">
        <is>
          <t>Drawdown_60d</t>
        </is>
      </c>
      <c r="M1" s="117" t="inlineStr">
        <is>
          <t>Pct_From_52W_High</t>
        </is>
      </c>
      <c r="N1" s="117" t="inlineStr">
        <is>
          <t>RSI14</t>
        </is>
      </c>
      <c r="O1" s="117" t="inlineStr">
        <is>
          <t>MACD_Hist</t>
        </is>
      </c>
      <c r="P1" s="117" t="inlineStr">
        <is>
          <t>SPY_Cumulative</t>
        </is>
      </c>
      <c r="Q1" s="117" t="inlineStr">
        <is>
          <t>QQQ_Cumulative</t>
        </is>
      </c>
    </row>
    <row r="2">
      <c r="A2" s="118" t="n">
        <v>44434</v>
      </c>
      <c r="B2" s="119" t="n">
        <v>155.9317582987914</v>
      </c>
      <c r="C2" s="119" t="n">
        <v>156.0606421714997</v>
      </c>
      <c r="D2" s="119" t="n">
        <v>153.068682082576</v>
      </c>
      <c r="E2" s="119" t="n">
        <v>153.6670684814453</v>
      </c>
      <c r="F2" s="120" t="n">
        <v>4069600</v>
      </c>
      <c r="G2" s="121" t="n">
        <v/>
      </c>
      <c r="H2" s="122" t="n">
        <v>100</v>
      </c>
      <c r="I2" s="119" t="n">
        <v/>
      </c>
      <c r="J2" s="119" t="n">
        <v/>
      </c>
      <c r="K2" s="121" t="n">
        <v/>
      </c>
      <c r="L2" s="121" t="n">
        <v/>
      </c>
      <c r="M2" s="121" t="n">
        <v/>
      </c>
      <c r="N2" t="n">
        <v/>
      </c>
      <c r="O2" t="n">
        <v/>
      </c>
      <c r="P2" t="n">
        <v>100</v>
      </c>
      <c r="Q2" t="n">
        <v>100</v>
      </c>
    </row>
    <row r="3">
      <c r="A3" s="118" t="n">
        <v>44435</v>
      </c>
      <c r="B3" s="119" t="n">
        <v>154.243441138999</v>
      </c>
      <c r="C3" s="119" t="n">
        <v>154.9811419847755</v>
      </c>
      <c r="D3" s="119" t="n">
        <v>153.3305347594224</v>
      </c>
      <c r="E3" s="119" t="n">
        <v>154.529296875</v>
      </c>
      <c r="F3" s="120" t="n">
        <v>3012400</v>
      </c>
      <c r="G3" s="121" t="n">
        <v>0.005611016088712617</v>
      </c>
      <c r="H3" s="122" t="n">
        <v>100.5611016088713</v>
      </c>
      <c r="I3" s="119" t="n">
        <v/>
      </c>
      <c r="J3" s="119" t="n">
        <v/>
      </c>
      <c r="K3" s="121" t="n">
        <v/>
      </c>
      <c r="L3" s="121" t="n">
        <v/>
      </c>
      <c r="M3" s="121" t="n">
        <v/>
      </c>
      <c r="N3" t="n">
        <v/>
      </c>
      <c r="O3" t="n">
        <v/>
      </c>
      <c r="P3" t="n">
        <v>100.8940927698899</v>
      </c>
      <c r="Q3" t="n">
        <v>100.9720327695136</v>
      </c>
    </row>
    <row r="4">
      <c r="A4" s="118" t="n">
        <v>44438</v>
      </c>
      <c r="B4" s="119" t="n">
        <v>154.8151325499796</v>
      </c>
      <c r="C4" s="119" t="n">
        <v>155.2946401481704</v>
      </c>
      <c r="D4" s="119" t="n">
        <v>153.5979382720754</v>
      </c>
      <c r="E4" s="119" t="n">
        <v>154.9442291259766</v>
      </c>
      <c r="F4" s="120" t="n">
        <v>3537100</v>
      </c>
      <c r="G4" s="121" t="n">
        <v>0.002685136471644034</v>
      </c>
      <c r="H4" s="122" t="n">
        <v>100.83112189043</v>
      </c>
      <c r="I4" s="119" t="n">
        <v/>
      </c>
      <c r="J4" s="119" t="n">
        <v/>
      </c>
      <c r="K4" s="121" t="n">
        <v/>
      </c>
      <c r="L4" s="121" t="n">
        <v/>
      </c>
      <c r="M4" s="121" t="n">
        <v/>
      </c>
      <c r="N4" t="n">
        <v/>
      </c>
      <c r="O4" t="n">
        <v/>
      </c>
      <c r="P4" t="n">
        <v>101.3377843954299</v>
      </c>
      <c r="Q4" t="n">
        <v>102.1051520582269</v>
      </c>
    </row>
    <row r="5">
      <c r="A5" s="118" t="n">
        <v>44439</v>
      </c>
      <c r="B5" s="119" t="n">
        <v>154.5016233263374</v>
      </c>
      <c r="C5" s="119" t="n">
        <v>154.6214896800312</v>
      </c>
      <c r="D5" s="119" t="n">
        <v>151.4125074103775</v>
      </c>
      <c r="E5" s="119" t="n">
        <v>151.9104614257812</v>
      </c>
      <c r="F5" s="120" t="n">
        <v>7545600</v>
      </c>
      <c r="G5" s="121" t="n">
        <v>-0.01957973986710226</v>
      </c>
      <c r="H5" s="122" t="n">
        <v>98.85687475330725</v>
      </c>
      <c r="I5" s="119" t="n">
        <v/>
      </c>
      <c r="J5" s="119" t="n">
        <v/>
      </c>
      <c r="K5" s="121" t="n">
        <v/>
      </c>
      <c r="L5" s="121" t="n">
        <v/>
      </c>
      <c r="M5" s="121" t="n">
        <v/>
      </c>
      <c r="N5" t="n">
        <v/>
      </c>
      <c r="O5" t="n">
        <v/>
      </c>
      <c r="P5" t="n">
        <v>101.1876433638323</v>
      </c>
      <c r="Q5" t="n">
        <v>102.0219406290041</v>
      </c>
    </row>
    <row r="6">
      <c r="A6" s="118" t="n">
        <v>44440</v>
      </c>
      <c r="B6" s="119" t="n">
        <v>152.0764256889418</v>
      </c>
      <c r="C6" s="119" t="n">
        <v>153.6440309669018</v>
      </c>
      <c r="D6" s="119" t="n">
        <v>151.3018462438988</v>
      </c>
      <c r="E6" s="119" t="n">
        <v>151.7444610595703</v>
      </c>
      <c r="F6" s="120" t="n">
        <v>4706500</v>
      </c>
      <c r="G6" s="121" t="n">
        <v>-0.001092751379022316</v>
      </c>
      <c r="H6" s="122" t="n">
        <v>98.74884876709474</v>
      </c>
      <c r="I6" s="119" t="n">
        <v/>
      </c>
      <c r="J6" s="119" t="n">
        <v/>
      </c>
      <c r="K6" s="121" t="n">
        <v/>
      </c>
      <c r="L6" s="121" t="n">
        <v/>
      </c>
      <c r="M6" s="121" t="n">
        <v/>
      </c>
      <c r="N6" t="n">
        <v/>
      </c>
      <c r="O6" t="n">
        <v/>
      </c>
      <c r="P6" t="n">
        <v>101.2414219497116</v>
      </c>
      <c r="Q6" t="n">
        <v>102.1910823185212</v>
      </c>
    </row>
    <row r="7">
      <c r="A7" s="118" t="n">
        <v>44441</v>
      </c>
      <c r="B7" s="119" t="n">
        <v>152.3714905640187</v>
      </c>
      <c r="C7" s="119" t="n">
        <v>152.5466819779686</v>
      </c>
      <c r="D7" s="119" t="n">
        <v>150.112279722363</v>
      </c>
      <c r="E7" s="119" t="n">
        <v>150.9237518310547</v>
      </c>
      <c r="F7" s="120" t="n">
        <v>4632100</v>
      </c>
      <c r="G7" s="121" t="n">
        <v>-0.005408495458647633</v>
      </c>
      <c r="H7" s="122" t="n">
        <v>98.21476606699123</v>
      </c>
      <c r="I7" s="119" t="n">
        <v/>
      </c>
      <c r="J7" s="119" t="n">
        <v/>
      </c>
      <c r="K7" s="121" t="n">
        <v/>
      </c>
      <c r="L7" s="121" t="n">
        <v/>
      </c>
      <c r="M7" s="121" t="n">
        <v/>
      </c>
      <c r="N7" t="n">
        <v/>
      </c>
      <c r="O7" t="n">
        <v/>
      </c>
      <c r="P7" t="n">
        <v>101.5529060557615</v>
      </c>
      <c r="Q7" t="n">
        <v>102.1427766273408</v>
      </c>
    </row>
    <row r="8">
      <c r="A8" s="118" t="n">
        <v>44442</v>
      </c>
      <c r="B8" s="119" t="n">
        <v>150.4903766166572</v>
      </c>
      <c r="C8" s="119" t="n">
        <v>151.384836492588</v>
      </c>
      <c r="D8" s="119" t="n">
        <v>149.5867005818664</v>
      </c>
      <c r="E8" s="119" t="n">
        <v>150.5733642578125</v>
      </c>
      <c r="F8" s="120" t="n">
        <v>4254500</v>
      </c>
      <c r="G8" s="121" t="n">
        <v>-0.002321619817895915</v>
      </c>
      <c r="H8" s="122" t="n">
        <v>97.98674871968009</v>
      </c>
      <c r="I8" s="119" t="n">
        <v/>
      </c>
      <c r="J8" s="119" t="n">
        <v/>
      </c>
      <c r="K8" s="121" t="n">
        <v/>
      </c>
      <c r="L8" s="121" t="n">
        <v/>
      </c>
      <c r="M8" s="121" t="n">
        <v/>
      </c>
      <c r="N8" t="n">
        <v/>
      </c>
      <c r="O8" t="n">
        <v/>
      </c>
      <c r="P8" t="n">
        <v>101.5282557080299</v>
      </c>
      <c r="Q8" t="n">
        <v>102.4569113825721</v>
      </c>
    </row>
    <row r="9">
      <c r="A9" s="118" t="n">
        <v>44446</v>
      </c>
      <c r="B9" s="119" t="n">
        <v>150.951446597306</v>
      </c>
      <c r="C9" s="119" t="n">
        <v>151.0989895704675</v>
      </c>
      <c r="D9" s="119" t="n">
        <v>149.3008535552875</v>
      </c>
      <c r="E9" s="119" t="n">
        <v>149.9739990234375</v>
      </c>
      <c r="F9" s="120" t="n">
        <v>5648800</v>
      </c>
      <c r="G9" s="121" t="n">
        <v>-0.003980552850959551</v>
      </c>
      <c r="H9" s="122" t="n">
        <v>97.59670728770772</v>
      </c>
      <c r="I9" s="119" t="n">
        <v/>
      </c>
      <c r="J9" s="119" t="n">
        <v/>
      </c>
      <c r="K9" s="121" t="n">
        <v/>
      </c>
      <c r="L9" s="121" t="n">
        <v/>
      </c>
      <c r="M9" s="121" t="n">
        <v/>
      </c>
      <c r="N9" t="n">
        <v/>
      </c>
      <c r="O9" t="n">
        <v/>
      </c>
      <c r="P9" t="n">
        <v>101.1652246444943</v>
      </c>
      <c r="Q9" t="n">
        <v>102.6019128918611</v>
      </c>
    </row>
    <row r="10">
      <c r="A10" s="118" t="n">
        <v>44447</v>
      </c>
      <c r="B10" s="119" t="n">
        <v>149.3838218104684</v>
      </c>
      <c r="C10" s="119" t="n">
        <v>149.4668094456724</v>
      </c>
      <c r="D10" s="119" t="n">
        <v>147.3090465075452</v>
      </c>
      <c r="E10" s="119" t="n">
        <v>148.1942901611328</v>
      </c>
      <c r="F10" s="120" t="n">
        <v>6591700</v>
      </c>
      <c r="G10" s="121" t="n">
        <v>-0.011866782734963</v>
      </c>
      <c r="H10" s="122" t="n">
        <v>96.43854836667671</v>
      </c>
      <c r="I10" s="119" t="n">
        <v/>
      </c>
      <c r="J10" s="119" t="n">
        <v/>
      </c>
      <c r="K10" s="121" t="n">
        <v/>
      </c>
      <c r="L10" s="121" t="n">
        <v/>
      </c>
      <c r="M10" s="121" t="n">
        <v/>
      </c>
      <c r="N10" t="n">
        <v/>
      </c>
      <c r="O10" t="n">
        <v/>
      </c>
      <c r="P10" t="n">
        <v>101.0419948562795</v>
      </c>
      <c r="Q10" t="n">
        <v>102.2447834539709</v>
      </c>
    </row>
    <row r="11">
      <c r="A11" s="118" t="n">
        <v>44448</v>
      </c>
      <c r="B11" s="119" t="n">
        <v>152.3899342806158</v>
      </c>
      <c r="C11" s="119" t="n">
        <v>153.2106226081391</v>
      </c>
      <c r="D11" s="119" t="n">
        <v>150.4903644935713</v>
      </c>
      <c r="E11" s="119" t="n">
        <v>150.6194610595703</v>
      </c>
      <c r="F11" s="120" t="n">
        <v>8414800</v>
      </c>
      <c r="G11" s="121" t="n">
        <v>0.01636480660490092</v>
      </c>
      <c r="H11" s="122" t="n">
        <v>98.01674655995475</v>
      </c>
      <c r="I11" s="119" t="n">
        <v/>
      </c>
      <c r="J11" s="119" t="n">
        <v/>
      </c>
      <c r="K11" s="121" t="n">
        <v/>
      </c>
      <c r="L11" s="121" t="n">
        <v/>
      </c>
      <c r="M11" s="121" t="n">
        <v/>
      </c>
      <c r="N11" t="n">
        <v/>
      </c>
      <c r="O11" t="n">
        <v/>
      </c>
      <c r="P11" t="n">
        <v>100.609505273594</v>
      </c>
      <c r="Q11" t="n">
        <v>101.8930325732005</v>
      </c>
    </row>
    <row r="12">
      <c r="A12" s="118" t="n">
        <v>44449</v>
      </c>
      <c r="B12" s="119" t="n">
        <v>151.4586256092463</v>
      </c>
      <c r="C12" s="119" t="n">
        <v>152.758821753947</v>
      </c>
      <c r="D12" s="119" t="n">
        <v>150.7117086109421</v>
      </c>
      <c r="E12" s="119" t="n">
        <v>150.8500213623047</v>
      </c>
      <c r="F12" s="120" t="n">
        <v>4252100</v>
      </c>
      <c r="G12" s="121" t="n">
        <v>0.001530747096772478</v>
      </c>
      <c r="H12" s="122" t="n">
        <v>98.16678541018649</v>
      </c>
      <c r="I12" s="119" t="n">
        <v/>
      </c>
      <c r="J12" s="119" t="n">
        <v/>
      </c>
      <c r="K12" s="121" t="n">
        <v/>
      </c>
      <c r="L12" s="121" t="n">
        <v/>
      </c>
      <c r="M12" s="121" t="n">
        <v/>
      </c>
      <c r="N12" t="n">
        <v/>
      </c>
      <c r="O12" t="n">
        <v/>
      </c>
      <c r="P12" t="n">
        <v>99.81626015665302</v>
      </c>
      <c r="Q12" t="n">
        <v>101.1197193355751</v>
      </c>
    </row>
    <row r="13">
      <c r="A13" s="118" t="n">
        <v>44452</v>
      </c>
      <c r="B13" s="119" t="n">
        <v>148.9780776608911</v>
      </c>
      <c r="C13" s="119" t="n">
        <v>150.2321645611731</v>
      </c>
      <c r="D13" s="119" t="n">
        <v>145.9996265491477</v>
      </c>
      <c r="E13" s="119" t="n">
        <v>147.0969543457031</v>
      </c>
      <c r="F13" s="120" t="n">
        <v>8814500</v>
      </c>
      <c r="G13" s="121" t="n">
        <v>-0.02487945962955895</v>
      </c>
      <c r="H13" s="122" t="n">
        <v>95.72444883561019</v>
      </c>
      <c r="I13" s="119" t="n">
        <v/>
      </c>
      <c r="J13" s="119" t="n">
        <v/>
      </c>
      <c r="K13" s="121" t="n">
        <v/>
      </c>
      <c r="L13" s="121" t="n">
        <v/>
      </c>
      <c r="M13" s="121" t="n">
        <v/>
      </c>
      <c r="N13" t="n">
        <v/>
      </c>
      <c r="O13" t="n">
        <v/>
      </c>
      <c r="P13" t="n">
        <v>100.071697464358</v>
      </c>
      <c r="Q13" t="n">
        <v>101.049890972341</v>
      </c>
    </row>
    <row r="14">
      <c r="A14" s="118" t="n">
        <v>44453</v>
      </c>
      <c r="B14" s="119" t="n">
        <v>146.7742222464869</v>
      </c>
      <c r="C14" s="119" t="n">
        <v>146.9770903022351</v>
      </c>
      <c r="D14" s="119" t="n">
        <v>144.8377736286241</v>
      </c>
      <c r="E14" s="119" t="n">
        <v>146.3961486816406</v>
      </c>
      <c r="F14" s="120" t="n">
        <v>5323900</v>
      </c>
      <c r="G14" s="121" t="n">
        <v>-0.004764243197146634</v>
      </c>
      <c r="H14" s="122" t="n">
        <v>95.26839428144453</v>
      </c>
      <c r="I14" s="119" t="n">
        <v/>
      </c>
      <c r="J14" s="119" t="n">
        <v/>
      </c>
      <c r="K14" s="121" t="n">
        <v/>
      </c>
      <c r="L14" s="121" t="n">
        <v/>
      </c>
      <c r="M14" s="121" t="n">
        <v/>
      </c>
      <c r="N14" t="n">
        <v/>
      </c>
      <c r="O14" t="n">
        <v/>
      </c>
      <c r="P14" t="n">
        <v>99.53165802672834</v>
      </c>
      <c r="Q14" t="n">
        <v>100.7625983412598</v>
      </c>
    </row>
    <row r="15">
      <c r="A15" s="118" t="n">
        <v>44454</v>
      </c>
      <c r="B15" s="119" t="n">
        <v>145.2342921249731</v>
      </c>
      <c r="C15" s="119" t="n">
        <v>145.9904393203394</v>
      </c>
      <c r="D15" s="119" t="n">
        <v>143.5468062803976</v>
      </c>
      <c r="E15" s="119" t="n">
        <v>145.6123657226562</v>
      </c>
      <c r="F15" s="120" t="n">
        <v>6827100</v>
      </c>
      <c r="G15" s="121" t="n">
        <v>-0.005353849578985992</v>
      </c>
      <c r="H15" s="122" t="n">
        <v>94.75834162883015</v>
      </c>
      <c r="I15" s="119" t="n">
        <v/>
      </c>
      <c r="J15" s="119" t="n">
        <v/>
      </c>
      <c r="K15" s="121" t="n">
        <v/>
      </c>
      <c r="L15" s="121" t="n">
        <v/>
      </c>
      <c r="M15" s="121" t="n">
        <v/>
      </c>
      <c r="N15" t="n">
        <v>22.9550075040279</v>
      </c>
      <c r="O15" t="n">
        <v/>
      </c>
      <c r="P15" t="n">
        <v>100.3630164299068</v>
      </c>
      <c r="Q15" t="n">
        <v>101.5117460679328</v>
      </c>
    </row>
    <row r="16">
      <c r="A16" s="118" t="n">
        <v>44455</v>
      </c>
      <c r="B16" s="119" t="n">
        <v>145.3172620806948</v>
      </c>
      <c r="C16" s="119" t="n">
        <v>146.6266741681746</v>
      </c>
      <c r="D16" s="119" t="n">
        <v>144.9576349163198</v>
      </c>
      <c r="E16" s="119" t="n">
        <v>145.3264923095703</v>
      </c>
      <c r="F16" s="120" t="n">
        <v>5085900</v>
      </c>
      <c r="G16" s="121" t="n">
        <v>-0.001963249561032665</v>
      </c>
      <c r="H16" s="122" t="n">
        <v>94.57230735622316</v>
      </c>
      <c r="I16" s="119" t="n">
        <v/>
      </c>
      <c r="J16" s="119" t="n">
        <v/>
      </c>
      <c r="K16" s="121" t="n">
        <v/>
      </c>
      <c r="L16" s="121" t="n">
        <v/>
      </c>
      <c r="M16" s="121" t="n">
        <v/>
      </c>
      <c r="N16" t="n">
        <v>22.33017321706947</v>
      </c>
      <c r="O16" t="n">
        <v/>
      </c>
      <c r="P16" t="n">
        <v>100.2039269342914</v>
      </c>
      <c r="Q16" t="n">
        <v>101.5815575440174</v>
      </c>
    </row>
    <row r="17">
      <c r="A17" s="118" t="n">
        <v>44456</v>
      </c>
      <c r="B17" s="119" t="n">
        <v>145.6584644757974</v>
      </c>
      <c r="C17" s="119" t="n">
        <v>148.4617104574018</v>
      </c>
      <c r="D17" s="119" t="n">
        <v>143.9156536549859</v>
      </c>
      <c r="E17" s="119" t="n">
        <v>144.2383880615234</v>
      </c>
      <c r="F17" s="120" t="n">
        <v>7944800</v>
      </c>
      <c r="G17" s="121" t="n">
        <v>-0.007487308272252413</v>
      </c>
      <c r="H17" s="122" t="n">
        <v>93.86421533702891</v>
      </c>
      <c r="I17" s="119" t="n">
        <v/>
      </c>
      <c r="J17" s="119" t="n">
        <v/>
      </c>
      <c r="K17" s="121" t="n">
        <v/>
      </c>
      <c r="L17" s="121" t="n">
        <v/>
      </c>
      <c r="M17" s="121" t="n">
        <v/>
      </c>
      <c r="N17" t="n">
        <v>20.08875982388729</v>
      </c>
      <c r="O17" t="n">
        <v/>
      </c>
      <c r="P17" t="n">
        <v>99.22782730854642</v>
      </c>
      <c r="Q17" t="n">
        <v>100.3786183356448</v>
      </c>
    </row>
    <row r="18">
      <c r="A18" s="118" t="n">
        <v>44459</v>
      </c>
      <c r="B18" s="119" t="n">
        <v>141.7578885984279</v>
      </c>
      <c r="C18" s="119" t="n">
        <v>143.1779651340351</v>
      </c>
      <c r="D18" s="119" t="n">
        <v>140.4577065613634</v>
      </c>
      <c r="E18" s="119" t="n">
        <v>142.2373962402344</v>
      </c>
      <c r="F18" s="120" t="n">
        <v>7041200</v>
      </c>
      <c r="G18" s="121" t="n">
        <v>-0.01387281047841138</v>
      </c>
      <c r="H18" s="122" t="n">
        <v>92.56205486695352</v>
      </c>
      <c r="I18" s="119" t="n">
        <v/>
      </c>
      <c r="J18" s="119" t="n">
        <v/>
      </c>
      <c r="K18" s="121" t="n">
        <v/>
      </c>
      <c r="L18" s="121" t="n">
        <v/>
      </c>
      <c r="M18" s="121" t="n">
        <v/>
      </c>
      <c r="N18" t="n">
        <v>16.75756345531813</v>
      </c>
      <c r="O18" t="n">
        <v/>
      </c>
      <c r="P18" t="n">
        <v>97.57328338388034</v>
      </c>
      <c r="Q18" t="n">
        <v>98.30445419677329</v>
      </c>
    </row>
    <row r="19">
      <c r="A19" s="118" t="n">
        <v>44460</v>
      </c>
      <c r="B19" s="119" t="n">
        <v>143.0119594641667</v>
      </c>
      <c r="C19" s="119" t="n">
        <v>143.9709746384575</v>
      </c>
      <c r="D19" s="119" t="n">
        <v>141.6195597072393</v>
      </c>
      <c r="E19" s="119" t="n">
        <v>142.9474182128906</v>
      </c>
      <c r="F19" s="120" t="n">
        <v>5857900</v>
      </c>
      <c r="G19" s="121" t="n">
        <v>0.004991809407541847</v>
      </c>
      <c r="H19" s="122" t="n">
        <v>93.02410700321978</v>
      </c>
      <c r="I19" s="119" t="n">
        <v/>
      </c>
      <c r="J19" s="119" t="n">
        <v/>
      </c>
      <c r="K19" s="121" t="n">
        <v/>
      </c>
      <c r="L19" s="121" t="n">
        <v/>
      </c>
      <c r="M19" s="121" t="n">
        <v/>
      </c>
      <c r="N19" t="n">
        <v>21.7180030175129</v>
      </c>
      <c r="O19" t="n">
        <v/>
      </c>
      <c r="P19" t="n">
        <v>97.48111347281622</v>
      </c>
      <c r="Q19" t="n">
        <v>98.425425292306</v>
      </c>
    </row>
    <row r="20">
      <c r="A20" s="118" t="n">
        <v>44461</v>
      </c>
      <c r="B20" s="119" t="n">
        <v>144.5795822626711</v>
      </c>
      <c r="C20" s="119" t="n">
        <v>145.6953566916341</v>
      </c>
      <c r="D20" s="119" t="n">
        <v>143.4822682941275</v>
      </c>
      <c r="E20" s="119" t="n">
        <v>145.1789703369141</v>
      </c>
      <c r="F20" s="120" t="n">
        <v>6844800</v>
      </c>
      <c r="G20" s="121" t="n">
        <v>0.01561099984820991</v>
      </c>
      <c r="H20" s="122" t="n">
        <v>94.4763063235269</v>
      </c>
      <c r="I20" s="119" t="n">
        <v/>
      </c>
      <c r="J20" s="119" t="n">
        <v/>
      </c>
      <c r="K20" s="121" t="n">
        <v/>
      </c>
      <c r="L20" s="121" t="n">
        <v/>
      </c>
      <c r="M20" s="121" t="n">
        <v/>
      </c>
      <c r="N20" t="n">
        <v>34.85702142490501</v>
      </c>
      <c r="O20" t="n">
        <v/>
      </c>
      <c r="P20" t="n">
        <v>98.43202130656356</v>
      </c>
      <c r="Q20" t="n">
        <v>99.34477859891543</v>
      </c>
    </row>
    <row r="21">
      <c r="A21" s="118" t="n">
        <v>44462</v>
      </c>
      <c r="B21" s="119" t="n">
        <v>146.3500559680492</v>
      </c>
      <c r="C21" s="119" t="n">
        <v>147.8069970146004</v>
      </c>
      <c r="D21" s="119" t="n">
        <v>145.9443198505908</v>
      </c>
      <c r="E21" s="119" t="n">
        <v>147.1522979736328</v>
      </c>
      <c r="F21" s="120" t="n">
        <v>11981500</v>
      </c>
      <c r="G21" s="121" t="n">
        <v>0.01359237933799418</v>
      </c>
      <c r="H21" s="122" t="n">
        <v>95.76046411752883</v>
      </c>
      <c r="I21" s="119" t="n">
        <v/>
      </c>
      <c r="J21" s="119" t="n">
        <v/>
      </c>
      <c r="K21" s="121" t="n">
        <v/>
      </c>
      <c r="L21" s="121" t="n">
        <v/>
      </c>
      <c r="M21" s="121" t="n">
        <v/>
      </c>
      <c r="N21" t="n">
        <v>43.83437744067613</v>
      </c>
      <c r="O21" t="n">
        <v/>
      </c>
      <c r="P21" t="n">
        <v>99.62797657156028</v>
      </c>
      <c r="Q21" t="n">
        <v>100.2614130744533</v>
      </c>
    </row>
    <row r="22">
      <c r="A22" s="118" t="n">
        <v>44463</v>
      </c>
      <c r="B22" s="119" t="n">
        <v>139.2773670816809</v>
      </c>
      <c r="C22" s="119" t="n">
        <v>140.0242980769291</v>
      </c>
      <c r="D22" s="119" t="n">
        <v>136.474121056395</v>
      </c>
      <c r="E22" s="119" t="n">
        <v>137.9402923583984</v>
      </c>
      <c r="F22" s="120" t="n">
        <v>26913300</v>
      </c>
      <c r="G22" s="121" t="n">
        <v>-0.06260184680829795</v>
      </c>
      <c r="H22" s="122" t="n">
        <v>89.76568221255177</v>
      </c>
      <c r="I22" s="119" t="n">
        <v/>
      </c>
      <c r="J22" s="119" t="n">
        <v/>
      </c>
      <c r="K22" s="121" t="n">
        <v>0.2732802116169217</v>
      </c>
      <c r="L22" s="121" t="n">
        <v/>
      </c>
      <c r="M22" s="121" t="n">
        <v>-0.1097423044633251</v>
      </c>
      <c r="N22" t="n">
        <v>25.89429079760311</v>
      </c>
      <c r="O22" t="n">
        <v/>
      </c>
      <c r="P22" t="n">
        <v>99.79206345141453</v>
      </c>
      <c r="Q22" t="n">
        <v>100.3555082715369</v>
      </c>
    </row>
    <row r="23">
      <c r="A23" s="118" t="n">
        <v>44466</v>
      </c>
      <c r="B23" s="119" t="n">
        <v>137.8665227168314</v>
      </c>
      <c r="C23" s="119" t="n">
        <v>138.2353801398709</v>
      </c>
      <c r="D23" s="119" t="n">
        <v>135.8194097479959</v>
      </c>
      <c r="E23" s="119" t="n">
        <v>136.5110015869141</v>
      </c>
      <c r="F23" s="120" t="n">
        <v>11479300</v>
      </c>
      <c r="G23" s="121" t="n">
        <v>-0.01036166262262783</v>
      </c>
      <c r="H23" s="122" t="n">
        <v>88.83556049837527</v>
      </c>
      <c r="I23" s="119" t="n">
        <v/>
      </c>
      <c r="J23" s="119" t="n">
        <v/>
      </c>
      <c r="K23" s="121" t="n">
        <v>0.2707386792735437</v>
      </c>
      <c r="L23" s="121" t="n">
        <v/>
      </c>
      <c r="M23" s="121" t="n">
        <v>-0.1189668543516743</v>
      </c>
      <c r="N23" t="n">
        <v>24.2368538485765</v>
      </c>
      <c r="O23" t="n">
        <v/>
      </c>
      <c r="P23" t="n">
        <v>99.50657598694683</v>
      </c>
      <c r="Q23" t="n">
        <v>99.55443256011297</v>
      </c>
    </row>
    <row r="24">
      <c r="A24" s="118" t="n">
        <v>44467</v>
      </c>
      <c r="B24" s="119" t="n">
        <v>135.8655138020361</v>
      </c>
      <c r="C24" s="119" t="n">
        <v>136.0407193128744</v>
      </c>
      <c r="D24" s="119" t="n">
        <v>133.7077507190691</v>
      </c>
      <c r="E24" s="119" t="n">
        <v>133.9843902587891</v>
      </c>
      <c r="F24" s="120" t="n">
        <v>10692300</v>
      </c>
      <c r="G24" s="121" t="n">
        <v>-0.01850848135867167</v>
      </c>
      <c r="H24" s="122" t="n">
        <v>87.19134918290395</v>
      </c>
      <c r="I24" s="119" t="n">
        <v/>
      </c>
      <c r="J24" s="119" t="n">
        <v/>
      </c>
      <c r="K24" s="121" t="n">
        <v>0.272130413277204</v>
      </c>
      <c r="L24" s="121" t="n">
        <v/>
      </c>
      <c r="M24" s="121" t="n">
        <v>-0.1352734399042782</v>
      </c>
      <c r="N24" t="n">
        <v>21.60430829910136</v>
      </c>
      <c r="O24" t="n">
        <v/>
      </c>
      <c r="P24" t="n">
        <v>97.5013298310182</v>
      </c>
      <c r="Q24" t="n">
        <v>96.73730139129003</v>
      </c>
    </row>
    <row r="25">
      <c r="A25" s="118" t="n">
        <v>44468</v>
      </c>
      <c r="B25" s="119" t="n">
        <v>134.362459739846</v>
      </c>
      <c r="C25" s="119" t="n">
        <v>136.4187887313742</v>
      </c>
      <c r="D25" s="119" t="n">
        <v>134.3440133523001</v>
      </c>
      <c r="E25" s="119" t="n">
        <v>134.6483154296875</v>
      </c>
      <c r="F25" s="120" t="n">
        <v>7794900</v>
      </c>
      <c r="G25" s="121" t="n">
        <v>0.00495524269369052</v>
      </c>
      <c r="H25" s="122" t="n">
        <v>87.62340347889554</v>
      </c>
      <c r="I25" s="119" t="n">
        <v/>
      </c>
      <c r="J25" s="119" t="n">
        <v/>
      </c>
      <c r="K25" s="121" t="n">
        <v>0.2711384686727109</v>
      </c>
      <c r="L25" s="121" t="n">
        <v/>
      </c>
      <c r="M25" s="121" t="n">
        <v>-0.1309885099353237</v>
      </c>
      <c r="N25" t="n">
        <v>23.94211852029063</v>
      </c>
      <c r="O25" t="n">
        <v/>
      </c>
      <c r="P25" t="n">
        <v>97.66544597813007</v>
      </c>
      <c r="Q25" t="n">
        <v>96.57870572664349</v>
      </c>
    </row>
    <row r="26">
      <c r="A26" s="118" t="n">
        <v>44469</v>
      </c>
      <c r="B26" s="119" t="n">
        <v>134.5192183160892</v>
      </c>
      <c r="C26" s="119" t="n">
        <v>135.9946056929844</v>
      </c>
      <c r="D26" s="119" t="n">
        <v>133.1729134400822</v>
      </c>
      <c r="E26" s="119" t="n">
        <v>133.9198303222656</v>
      </c>
      <c r="F26" s="120" t="n">
        <v>10133600</v>
      </c>
      <c r="G26" s="121" t="n">
        <v>-0.005410280144219737</v>
      </c>
      <c r="H26" s="122" t="n">
        <v>87.14933631888472</v>
      </c>
      <c r="I26" s="119" t="n">
        <v/>
      </c>
      <c r="J26" s="119" t="n">
        <v/>
      </c>
      <c r="K26" s="121" t="n">
        <v>0.2705618580626709</v>
      </c>
      <c r="L26" s="121" t="n">
        <v/>
      </c>
      <c r="M26" s="121" t="n">
        <v>-0.1356901055451195</v>
      </c>
      <c r="N26" t="n">
        <v>23.1271779734342</v>
      </c>
      <c r="O26" t="n">
        <v/>
      </c>
      <c r="P26" t="n">
        <v>96.47175892559899</v>
      </c>
      <c r="Q26" t="n">
        <v>96.22385605393755</v>
      </c>
    </row>
    <row r="27">
      <c r="A27" s="118" t="n">
        <v>44470</v>
      </c>
      <c r="B27" s="119" t="n">
        <v>133.9106283276618</v>
      </c>
      <c r="C27" s="119" t="n">
        <v>136.4741277089902</v>
      </c>
      <c r="D27" s="119" t="n">
        <v>133.1268185876307</v>
      </c>
      <c r="E27" s="119" t="n">
        <v>135.6073303222656</v>
      </c>
      <c r="F27" s="120" t="n">
        <v>8112300</v>
      </c>
      <c r="G27" s="121" t="n">
        <v>0.01260082241695781</v>
      </c>
      <c r="H27" s="122" t="n">
        <v>88.24748962959471</v>
      </c>
      <c r="I27" s="119" t="n">
        <v/>
      </c>
      <c r="J27" s="119" t="n">
        <v/>
      </c>
      <c r="K27" s="121" t="n">
        <v>0.278593529857411</v>
      </c>
      <c r="L27" s="121" t="n">
        <v/>
      </c>
      <c r="M27" s="121" t="n">
        <v>-0.124799090051874</v>
      </c>
      <c r="N27" t="n">
        <v>29.14375231007908</v>
      </c>
      <c r="O27" t="n">
        <v/>
      </c>
      <c r="P27" t="n">
        <v>97.61823789158677</v>
      </c>
      <c r="Q27" t="n">
        <v>96.82063103055938</v>
      </c>
    </row>
    <row r="28">
      <c r="A28" s="118" t="n">
        <v>44473</v>
      </c>
      <c r="B28" s="119" t="n">
        <v>135.6073503280703</v>
      </c>
      <c r="C28" s="119" t="n">
        <v>136.1237367443071</v>
      </c>
      <c r="D28" s="119" t="n">
        <v>134.4085881072492</v>
      </c>
      <c r="E28" s="119" t="n">
        <v>135.6811218261719</v>
      </c>
      <c r="F28" s="120" t="n">
        <v>7951000</v>
      </c>
      <c r="G28" s="121" t="n">
        <v>0.0005441557158516463</v>
      </c>
      <c r="H28" s="122" t="n">
        <v>88.29551000548621</v>
      </c>
      <c r="I28" s="119" t="n">
        <v/>
      </c>
      <c r="J28" s="119" t="n">
        <v/>
      </c>
      <c r="K28" s="121" t="n">
        <v>0.2791694836444689</v>
      </c>
      <c r="L28" s="121" t="n">
        <v/>
      </c>
      <c r="M28" s="121" t="n">
        <v>-0.1243228444742071</v>
      </c>
      <c r="N28" t="n">
        <v>29.40395041272505</v>
      </c>
      <c r="O28" t="n">
        <v/>
      </c>
      <c r="P28" t="n">
        <v>96.35933607226087</v>
      </c>
      <c r="Q28" t="n">
        <v>94.78838924035267</v>
      </c>
    </row>
    <row r="29">
      <c r="A29" s="118" t="n">
        <v>44474</v>
      </c>
      <c r="B29" s="119" t="n">
        <v>136.4741144241696</v>
      </c>
      <c r="C29" s="119" t="n">
        <v>139.2404816084433</v>
      </c>
      <c r="D29" s="119" t="n">
        <v>136.3081391469393</v>
      </c>
      <c r="E29" s="119" t="n">
        <v>137.8204193115234</v>
      </c>
      <c r="F29" s="120" t="n">
        <v>10881900</v>
      </c>
      <c r="G29" s="121" t="n">
        <v>0.01576709756344985</v>
      </c>
      <c r="H29" s="122" t="n">
        <v>89.68767392615727</v>
      </c>
      <c r="I29" s="119" t="n">
        <v/>
      </c>
      <c r="J29" s="119" t="n">
        <v/>
      </c>
      <c r="K29" s="121" t="n">
        <v>0.2888005394978255</v>
      </c>
      <c r="L29" s="121" t="n">
        <v/>
      </c>
      <c r="M29" s="121" t="n">
        <v>-0.1105159573289477</v>
      </c>
      <c r="N29" t="n">
        <v>36.66529775060832</v>
      </c>
      <c r="O29" t="n">
        <v/>
      </c>
      <c r="P29" t="n">
        <v>97.36195183341077</v>
      </c>
      <c r="Q29" t="n">
        <v>96.06796233321299</v>
      </c>
    </row>
    <row r="30">
      <c r="A30" s="118" t="n">
        <v>44475</v>
      </c>
      <c r="B30" s="119" t="n">
        <v>136.4740913868137</v>
      </c>
      <c r="C30" s="119" t="n">
        <v>137.820396046906</v>
      </c>
      <c r="D30" s="119" t="n">
        <v>136.0222464242859</v>
      </c>
      <c r="E30" s="119" t="n">
        <v>137.2117919921875</v>
      </c>
      <c r="F30" s="120" t="n">
        <v>7610700</v>
      </c>
      <c r="G30" s="121" t="n">
        <v>-0.004416089592357286</v>
      </c>
      <c r="H30" s="122" t="n">
        <v>89.29160512276924</v>
      </c>
      <c r="I30" s="119" t="n">
        <v/>
      </c>
      <c r="J30" s="119" t="n">
        <v/>
      </c>
      <c r="K30" s="121" t="n">
        <v>0.2873350215745192</v>
      </c>
      <c r="L30" s="121" t="n">
        <v/>
      </c>
      <c r="M30" s="121" t="n">
        <v>-0.1144439985523552</v>
      </c>
      <c r="N30" t="n">
        <v>35.54513300400204</v>
      </c>
      <c r="O30" t="n">
        <v/>
      </c>
      <c r="P30" t="n">
        <v>97.76661557091273</v>
      </c>
      <c r="Q30" t="n">
        <v>96.68352426366749</v>
      </c>
    </row>
    <row r="31">
      <c r="A31" s="118" t="n">
        <v>44476</v>
      </c>
      <c r="B31" s="119" t="n">
        <v>138.5950296649402</v>
      </c>
      <c r="C31" s="119" t="n">
        <v>141.6933621653429</v>
      </c>
      <c r="D31" s="119" t="n">
        <v>138.5581368814557</v>
      </c>
      <c r="E31" s="119" t="n">
        <v>140.0243225097656</v>
      </c>
      <c r="F31" s="120" t="n">
        <v>7958000</v>
      </c>
      <c r="G31" s="121" t="n">
        <v>0.02049773184026527</v>
      </c>
      <c r="H31" s="122" t="n">
        <v>91.1218805001626</v>
      </c>
      <c r="I31" s="119" t="n">
        <v/>
      </c>
      <c r="J31" s="119" t="n">
        <v/>
      </c>
      <c r="K31" s="121" t="n">
        <v>0.2915038756281754</v>
      </c>
      <c r="L31" s="121" t="n">
        <v/>
      </c>
      <c r="M31" s="121" t="n">
        <v>-0.09629210910514385</v>
      </c>
      <c r="N31" t="n">
        <v>44.05152550829209</v>
      </c>
      <c r="O31" t="n">
        <v/>
      </c>
      <c r="P31" t="n">
        <v>98.61185397101809</v>
      </c>
      <c r="Q31" t="n">
        <v>97.57062311470804</v>
      </c>
    </row>
    <row r="32">
      <c r="A32" s="118" t="n">
        <v>44477</v>
      </c>
      <c r="B32" s="119" t="n">
        <v>140.3654473766816</v>
      </c>
      <c r="C32" s="119" t="n">
        <v>140.9648211997041</v>
      </c>
      <c r="D32" s="119" t="n">
        <v>138.9361551020103</v>
      </c>
      <c r="E32" s="119" t="n">
        <v>140.6051940917969</v>
      </c>
      <c r="F32" s="120" t="n">
        <v>6333700</v>
      </c>
      <c r="G32" s="121" t="n">
        <v>0.004148362024681385</v>
      </c>
      <c r="H32" s="122" t="n">
        <v>91.49988704884704</v>
      </c>
      <c r="I32" s="119" t="n">
        <v/>
      </c>
      <c r="J32" s="119" t="n">
        <v/>
      </c>
      <c r="K32" s="121" t="n">
        <v>0.2922473596727789</v>
      </c>
      <c r="L32" s="121" t="n">
        <v/>
      </c>
      <c r="M32" s="121" t="n">
        <v>-0.09254320160915064</v>
      </c>
      <c r="N32" t="n">
        <v>45.64696761648789</v>
      </c>
      <c r="O32" t="n">
        <v/>
      </c>
      <c r="P32" t="n">
        <v>98.43202130656354</v>
      </c>
      <c r="Q32" t="n">
        <v>97.08406211937945</v>
      </c>
    </row>
    <row r="33">
      <c r="A33" s="118" t="n">
        <v>44480</v>
      </c>
      <c r="B33" s="119" t="n">
        <v>140.153388841991</v>
      </c>
      <c r="C33" s="119" t="n">
        <v>141.6287762418202</v>
      </c>
      <c r="D33" s="119" t="n">
        <v>138.3736852907985</v>
      </c>
      <c r="E33" s="119" t="n">
        <v>138.5765533447266</v>
      </c>
      <c r="F33" s="120" t="n">
        <v>5551200</v>
      </c>
      <c r="G33" s="121" t="n">
        <v>-0.01442792181450903</v>
      </c>
      <c r="H33" s="122" t="n">
        <v>90.17973383246986</v>
      </c>
      <c r="I33" s="119" t="n">
        <v/>
      </c>
      <c r="J33" s="119" t="n">
        <v/>
      </c>
      <c r="K33" s="121" t="n">
        <v>0.2842794279060061</v>
      </c>
      <c r="L33" s="121" t="n">
        <v/>
      </c>
      <c r="M33" s="121" t="n">
        <v>-0.1056359173463786</v>
      </c>
      <c r="N33" t="n">
        <v>41.22548177967373</v>
      </c>
      <c r="O33" t="n">
        <v/>
      </c>
      <c r="P33" t="n">
        <v>97.71940016755505</v>
      </c>
      <c r="Q33" t="n">
        <v>96.33945703592526</v>
      </c>
    </row>
    <row r="34">
      <c r="A34" s="118" t="n">
        <v>44481</v>
      </c>
      <c r="B34" s="119" t="n">
        <v>140.5499047508416</v>
      </c>
      <c r="C34" s="119" t="n">
        <v>141.6380165786955</v>
      </c>
      <c r="D34" s="119" t="n">
        <v>139.517132090212</v>
      </c>
      <c r="E34" s="119" t="n">
        <v>141.4074859619141</v>
      </c>
      <c r="F34" s="120" t="n">
        <v>7408600</v>
      </c>
      <c r="G34" s="121" t="n">
        <v>0.02042865512858594</v>
      </c>
      <c r="H34" s="122" t="n">
        <v>92.02198451452107</v>
      </c>
      <c r="I34" s="119" t="n">
        <v/>
      </c>
      <c r="J34" s="119" t="n">
        <v/>
      </c>
      <c r="K34" s="121" t="n">
        <v>0.2958284560437258</v>
      </c>
      <c r="L34" s="121" t="n">
        <v/>
      </c>
      <c r="M34" s="121" t="n">
        <v>-0.08736526194245364</v>
      </c>
      <c r="N34" t="n">
        <v>48.69398632816252</v>
      </c>
      <c r="O34" t="n">
        <v/>
      </c>
      <c r="P34" t="n">
        <v>97.47886721079377</v>
      </c>
      <c r="Q34" t="n">
        <v>96.00343653492577</v>
      </c>
    </row>
    <row r="35">
      <c r="A35" s="118" t="n">
        <v>44482</v>
      </c>
      <c r="B35" s="119" t="n">
        <v>142.3019178785562</v>
      </c>
      <c r="C35" s="119" t="n">
        <v>144.4688968076011</v>
      </c>
      <c r="D35" s="119" t="n">
        <v>141.2322526502653</v>
      </c>
      <c r="E35" s="119" t="n">
        <v>144.1277160644531</v>
      </c>
      <c r="F35" s="120" t="n">
        <v>8456300</v>
      </c>
      <c r="G35" s="121" t="n">
        <v>0.01923681822100787</v>
      </c>
      <c r="H35" s="122" t="n">
        <v>93.79219470296331</v>
      </c>
      <c r="I35" s="119" t="n">
        <v/>
      </c>
      <c r="J35" s="119" t="n">
        <v/>
      </c>
      <c r="K35" s="121" t="n">
        <v>0.304402924501637</v>
      </c>
      <c r="L35" s="121" t="n">
        <v/>
      </c>
      <c r="M35" s="121" t="n">
        <v>-0.06980907338426356</v>
      </c>
      <c r="N35" t="n">
        <v>54.65639100584939</v>
      </c>
      <c r="O35" t="n">
        <v>1.240140811266375</v>
      </c>
      <c r="P35" t="n">
        <v>97.8295548084275</v>
      </c>
      <c r="Q35" t="n">
        <v>96.77224090363134</v>
      </c>
    </row>
    <row r="36">
      <c r="A36" s="118" t="n">
        <v>44483</v>
      </c>
      <c r="B36" s="119" t="n">
        <v>145.8612989767073</v>
      </c>
      <c r="C36" s="119" t="n">
        <v>146.1195061660997</v>
      </c>
      <c r="D36" s="119" t="n">
        <v>144.0816096876706</v>
      </c>
      <c r="E36" s="119" t="n">
        <v>144.9022979736328</v>
      </c>
      <c r="F36" s="120" t="n">
        <v>6024500</v>
      </c>
      <c r="G36" s="121" t="n">
        <v>0.005374274499939435</v>
      </c>
      <c r="H36" s="122" t="n">
        <v>94.29625970324881</v>
      </c>
      <c r="I36" s="119" t="n">
        <v/>
      </c>
      <c r="J36" s="119" t="n">
        <v/>
      </c>
      <c r="K36" s="121" t="n">
        <v>0.304995670516947</v>
      </c>
      <c r="L36" s="121" t="n">
        <v/>
      </c>
      <c r="M36" s="121" t="n">
        <v>-0.06480997200727756</v>
      </c>
      <c r="N36" t="n">
        <v>56.21669114297363</v>
      </c>
      <c r="O36" t="n">
        <v>1.416397098788051</v>
      </c>
      <c r="P36" t="n">
        <v>99.47512100181821</v>
      </c>
      <c r="Q36" t="n">
        <v>98.55447688888042</v>
      </c>
    </row>
    <row r="37">
      <c r="A37" s="118" t="n">
        <v>44484</v>
      </c>
      <c r="B37" s="119" t="n">
        <v>145.510921496363</v>
      </c>
      <c r="C37" s="119" t="n">
        <v>145.9996452560333</v>
      </c>
      <c r="D37" s="119" t="n">
        <v>144.3674846238575</v>
      </c>
      <c r="E37" s="119" t="n">
        <v>145.7045593261719</v>
      </c>
      <c r="F37" s="120" t="n">
        <v>5532100</v>
      </c>
      <c r="G37" s="121" t="n">
        <v>0.005536567492428812</v>
      </c>
      <c r="H37" s="122" t="n">
        <v>94.81833730937944</v>
      </c>
      <c r="I37" s="119" t="n">
        <v/>
      </c>
      <c r="J37" s="119" t="n">
        <v/>
      </c>
      <c r="K37" s="121" t="n">
        <v>0.3042391698243126</v>
      </c>
      <c r="L37" s="121" t="n">
        <v/>
      </c>
      <c r="M37" s="121" t="n">
        <v>-0.05963222929904943</v>
      </c>
      <c r="N37" t="n">
        <v>57.83505728120259</v>
      </c>
      <c r="O37" t="n">
        <v>1.5293187125598</v>
      </c>
      <c r="P37" t="n">
        <v>100.2327039653476</v>
      </c>
      <c r="Q37" t="n">
        <v>99.17542582002939</v>
      </c>
    </row>
    <row r="38">
      <c r="A38" s="118" t="n">
        <v>44487</v>
      </c>
      <c r="B38" s="119" t="n">
        <v>145.0590969939295</v>
      </c>
      <c r="C38" s="119" t="n">
        <v>147.0508850912656</v>
      </c>
      <c r="D38" s="119" t="n">
        <v>143.8050097552891</v>
      </c>
      <c r="E38" s="119" t="n">
        <v>147.0139923095703</v>
      </c>
      <c r="F38" s="120" t="n">
        <v>5765300</v>
      </c>
      <c r="G38" s="121" t="n">
        <v>0.008986904661419493</v>
      </c>
      <c r="H38" s="122" t="n">
        <v>95.67046066693314</v>
      </c>
      <c r="I38" s="119" t="n">
        <v/>
      </c>
      <c r="J38" s="119" t="n">
        <v/>
      </c>
      <c r="K38" s="121" t="n">
        <v>0.3005305599461086</v>
      </c>
      <c r="L38" s="121" t="n">
        <v/>
      </c>
      <c r="M38" s="121" t="n">
        <v>-0.0511812337970885</v>
      </c>
      <c r="N38" t="n">
        <v>60.40743049887024</v>
      </c>
      <c r="O38" t="n">
        <v>1.625504724174347</v>
      </c>
      <c r="P38" t="n">
        <v>100.5294446903707</v>
      </c>
      <c r="Q38" t="n">
        <v>100.1726795473399</v>
      </c>
    </row>
    <row r="39">
      <c r="A39" s="118" t="n">
        <v>44488</v>
      </c>
      <c r="B39" s="119" t="n">
        <v>147.2444919956534</v>
      </c>
      <c r="C39" s="119" t="n">
        <v>147.4750225861305</v>
      </c>
      <c r="D39" s="119" t="n">
        <v>144.5887891612782</v>
      </c>
      <c r="E39" s="119" t="n">
        <v>145.5293579101562</v>
      </c>
      <c r="F39" s="120" t="n">
        <v>6198200</v>
      </c>
      <c r="G39" s="121" t="n">
        <v>-0.01009859249511325</v>
      </c>
      <c r="H39" s="122" t="n">
        <v>94.70432367083804</v>
      </c>
      <c r="I39" s="119" t="n">
        <v/>
      </c>
      <c r="J39" s="119" t="n">
        <v/>
      </c>
      <c r="K39" s="121" t="n">
        <v>0.303185014295144</v>
      </c>
      <c r="L39" s="121" t="n">
        <v/>
      </c>
      <c r="M39" s="121" t="n">
        <v>-0.06076296786868773</v>
      </c>
      <c r="N39" t="n">
        <v>56.21958163222371</v>
      </c>
      <c r="O39" t="n">
        <v>1.524143247918129</v>
      </c>
      <c r="P39" t="n">
        <v>101.3049977500796</v>
      </c>
      <c r="Q39" t="n">
        <v>100.9307605761051</v>
      </c>
    </row>
    <row r="40">
      <c r="A40" s="118" t="n">
        <v>44489</v>
      </c>
      <c r="B40" s="119" t="n">
        <v>146.1564299883505</v>
      </c>
      <c r="C40" s="119" t="n">
        <v>146.4330695784485</v>
      </c>
      <c r="D40" s="119" t="n">
        <v>145.0683320898989</v>
      </c>
      <c r="E40" s="119" t="n">
        <v>146.1103210449219</v>
      </c>
      <c r="F40" s="120" t="n">
        <v>4487000</v>
      </c>
      <c r="G40" s="121" t="n">
        <v>0.003992068288546147</v>
      </c>
      <c r="H40" s="122" t="n">
        <v>95.08238979815259</v>
      </c>
      <c r="I40" s="119" t="n">
        <v/>
      </c>
      <c r="J40" s="119" t="n">
        <v/>
      </c>
      <c r="K40" s="121" t="n">
        <v>0.2985654914891906</v>
      </c>
      <c r="L40" s="121" t="n">
        <v/>
      </c>
      <c r="M40" s="121" t="n">
        <v>-0.05701346949728814</v>
      </c>
      <c r="N40" t="n">
        <v>57.46234354831016</v>
      </c>
      <c r="O40" t="n">
        <v>1.432624147727014</v>
      </c>
      <c r="P40" t="n">
        <v>101.702900751071</v>
      </c>
      <c r="Q40" t="n">
        <v>100.7990323663329</v>
      </c>
    </row>
    <row r="41">
      <c r="A41" s="118" t="n">
        <v>44490</v>
      </c>
      <c r="B41" s="119" t="n">
        <v>146.110292061218</v>
      </c>
      <c r="C41" s="119" t="n">
        <v>149.6973476490142</v>
      </c>
      <c r="D41" s="119" t="n">
        <v>145.9535329410358</v>
      </c>
      <c r="E41" s="119" t="n">
        <v>149.5498046875</v>
      </c>
      <c r="F41" s="120" t="n">
        <v>6121700</v>
      </c>
      <c r="G41" s="121" t="n">
        <v>0.02354031952007452</v>
      </c>
      <c r="H41" s="122" t="n">
        <v>97.32065963473337</v>
      </c>
      <c r="I41" s="119" t="n">
        <v/>
      </c>
      <c r="J41" s="119" t="n">
        <v/>
      </c>
      <c r="K41" s="121" t="n">
        <v>0.3063417614530157</v>
      </c>
      <c r="L41" s="121" t="n">
        <v/>
      </c>
      <c r="M41" s="121" t="n">
        <v>-0.03481526526612777</v>
      </c>
      <c r="N41" t="n">
        <v>63.98113908739849</v>
      </c>
      <c r="O41" t="n">
        <v>1.531230501195843</v>
      </c>
      <c r="P41" t="n">
        <v>101.9681645405224</v>
      </c>
      <c r="Q41" t="n">
        <v>101.4146196275117</v>
      </c>
    </row>
    <row r="42">
      <c r="A42" s="118" t="n">
        <v>44491</v>
      </c>
      <c r="B42" s="119" t="n">
        <v>149.6419913168376</v>
      </c>
      <c r="C42" s="119" t="n">
        <v>151.7997539142621</v>
      </c>
      <c r="D42" s="119" t="n">
        <v>149.6419913168376</v>
      </c>
      <c r="E42" s="119" t="n">
        <v>150.74853515625</v>
      </c>
      <c r="F42" s="120" t="n">
        <v>5323000</v>
      </c>
      <c r="G42" s="121" t="n">
        <v>0.00801559367633331</v>
      </c>
      <c r="H42" s="122" t="n">
        <v>98.10074249867813</v>
      </c>
      <c r="I42" s="119" t="n">
        <v/>
      </c>
      <c r="J42" s="119" t="n">
        <v/>
      </c>
      <c r="K42" s="121" t="n">
        <v>0.1938018977455012</v>
      </c>
      <c r="L42" s="121" t="n">
        <v/>
      </c>
      <c r="M42" s="121" t="n">
        <v>-0.02707873660990157</v>
      </c>
      <c r="N42" t="n">
        <v>65.94020398075622</v>
      </c>
      <c r="O42" t="n">
        <v>1.597345080894485</v>
      </c>
      <c r="P42" t="n">
        <v>101.862524374138</v>
      </c>
      <c r="Q42" t="n">
        <v>100.562477175962</v>
      </c>
    </row>
    <row r="43">
      <c r="A43" s="118" t="n">
        <v>44494</v>
      </c>
      <c r="B43" s="119" t="n">
        <v>150.5180628306167</v>
      </c>
      <c r="C43" s="119" t="n">
        <v>151.9012466825773</v>
      </c>
      <c r="D43" s="119" t="n">
        <v>149.9924602835181</v>
      </c>
      <c r="E43" s="119" t="n">
        <v>151.4309692382812</v>
      </c>
      <c r="F43" s="120" t="n">
        <v>3878200</v>
      </c>
      <c r="G43" s="121" t="n">
        <v>0.004526969906035294</v>
      </c>
      <c r="H43" s="122" t="n">
        <v>98.54484160772937</v>
      </c>
      <c r="I43" s="119" t="n">
        <v/>
      </c>
      <c r="J43" s="119" t="n">
        <v/>
      </c>
      <c r="K43" s="121" t="n">
        <v>0.1856739920821708</v>
      </c>
      <c r="L43" s="121" t="n">
        <v/>
      </c>
      <c r="M43" s="121" t="n">
        <v>-0.02267435132959272</v>
      </c>
      <c r="N43" t="n">
        <v>67.03930853936352</v>
      </c>
      <c r="O43" t="n">
        <v>1.603039108960343</v>
      </c>
      <c r="P43" t="n">
        <v>102.4087831040122</v>
      </c>
      <c r="Q43" t="n">
        <v>101.5920275767152</v>
      </c>
    </row>
    <row r="44">
      <c r="A44" s="118" t="n">
        <v>44495</v>
      </c>
      <c r="B44" s="119" t="n">
        <v>151.9842535678019</v>
      </c>
      <c r="C44" s="119" t="n">
        <v>152.5651812374282</v>
      </c>
      <c r="D44" s="119" t="n">
        <v>150.4166338926398</v>
      </c>
      <c r="E44" s="119" t="n">
        <v>151.0344543457031</v>
      </c>
      <c r="F44" s="120" t="n">
        <v>4711200</v>
      </c>
      <c r="G44" s="121" t="n">
        <v>-0.002618453111491337</v>
      </c>
      <c r="H44" s="122" t="n">
        <v>98.28680656060018</v>
      </c>
      <c r="I44" s="119" t="n">
        <v/>
      </c>
      <c r="J44" s="119" t="n">
        <v/>
      </c>
      <c r="K44" s="121" t="n">
        <v>0.1662402898787249</v>
      </c>
      <c r="L44" s="121" t="n">
        <v/>
      </c>
      <c r="M44" s="121" t="n">
        <v>-0.0252334327152941</v>
      </c>
      <c r="N44" t="n">
        <v>65.712439575587</v>
      </c>
      <c r="O44" t="n">
        <v>1.498054562114349</v>
      </c>
      <c r="P44" t="n">
        <v>102.5009603318907</v>
      </c>
      <c r="Q44" t="n">
        <v>101.9119208499302</v>
      </c>
    </row>
    <row r="45">
      <c r="A45" s="118" t="n">
        <v>44496</v>
      </c>
      <c r="B45" s="119" t="n">
        <v>150.9053367006396</v>
      </c>
      <c r="C45" s="119" t="n">
        <v>151.2834102905369</v>
      </c>
      <c r="D45" s="119" t="n">
        <v>149.0703219890638</v>
      </c>
      <c r="E45" s="119" t="n">
        <v>149.7065887451172</v>
      </c>
      <c r="F45" s="120" t="n">
        <v>4163900</v>
      </c>
      <c r="G45" s="121" t="n">
        <v>-0.008791805858725299</v>
      </c>
      <c r="H45" s="122" t="n">
        <v>97.42268803884529</v>
      </c>
      <c r="I45" s="119" t="n">
        <v/>
      </c>
      <c r="J45" s="119" t="n">
        <v/>
      </c>
      <c r="K45" s="121" t="n">
        <v>0.1744118629751245</v>
      </c>
      <c r="L45" s="121" t="n">
        <v/>
      </c>
      <c r="M45" s="121" t="n">
        <v>-0.03380339113243735</v>
      </c>
      <c r="N45" t="n">
        <v>61.33437884937747</v>
      </c>
      <c r="O45" t="n">
        <v>1.266351296386041</v>
      </c>
      <c r="P45" t="n">
        <v>102.0468495626374</v>
      </c>
      <c r="Q45" t="n">
        <v>102.1484760403012</v>
      </c>
    </row>
    <row r="46">
      <c r="A46" s="118" t="n">
        <v>44497</v>
      </c>
      <c r="B46" s="119" t="n">
        <v>150.3151483709991</v>
      </c>
      <c r="C46" s="119" t="n">
        <v>151.7813334953504</v>
      </c>
      <c r="D46" s="119" t="n">
        <v>150.1307267283892</v>
      </c>
      <c r="E46" s="119" t="n">
        <v>151.6522369384766</v>
      </c>
      <c r="F46" s="120" t="n">
        <v>3762000</v>
      </c>
      <c r="G46" s="121" t="n">
        <v>0.01299640990866435</v>
      </c>
      <c r="H46" s="122" t="n">
        <v>98.68883322700206</v>
      </c>
      <c r="I46" s="119" t="n">
        <v/>
      </c>
      <c r="J46" s="119" t="n">
        <v/>
      </c>
      <c r="K46" s="121" t="n">
        <v>0.1715343944275202</v>
      </c>
      <c r="L46" s="121" t="n">
        <v/>
      </c>
      <c r="M46" s="121" t="n">
        <v>-0.02124630395123306</v>
      </c>
      <c r="N46" t="n">
        <v>65.0126222365777</v>
      </c>
      <c r="O46" t="n">
        <v>1.173391192716309</v>
      </c>
      <c r="P46" t="n">
        <v>103.0314952276078</v>
      </c>
      <c r="Q46" t="n">
        <v>103.2828449780784</v>
      </c>
    </row>
    <row r="47">
      <c r="A47" s="118" t="n">
        <v>44498</v>
      </c>
      <c r="B47" s="119" t="n">
        <v>150.3612672428114</v>
      </c>
      <c r="C47" s="119" t="n">
        <v>154.5753731109998</v>
      </c>
      <c r="D47" s="119" t="n">
        <v>150.3059421534167</v>
      </c>
      <c r="E47" s="119" t="n">
        <v>154.2618408203125</v>
      </c>
      <c r="F47" s="120" t="n">
        <v>6740600</v>
      </c>
      <c r="G47" s="121" t="n">
        <v>0.01720781661067505</v>
      </c>
      <c r="H47" s="122" t="n">
        <v>100.3870525706938</v>
      </c>
      <c r="I47" s="119" t="n">
        <v/>
      </c>
      <c r="J47" s="119" t="n">
        <v/>
      </c>
      <c r="K47" s="121" t="n">
        <v>0.1745349711907211</v>
      </c>
      <c r="L47" s="121" t="n">
        <v/>
      </c>
      <c r="M47" s="121" t="n">
        <v>-0.004404089842605541</v>
      </c>
      <c r="N47" t="n">
        <v>69.23936421416246</v>
      </c>
      <c r="O47" t="n">
        <v>1.211963442402975</v>
      </c>
      <c r="P47" t="n">
        <v>103.2405512487973</v>
      </c>
      <c r="Q47" t="n">
        <v>103.7909033147364</v>
      </c>
    </row>
    <row r="48">
      <c r="A48" s="118" t="n">
        <v>44501</v>
      </c>
      <c r="B48" s="119" t="n">
        <v>154.7321076710451</v>
      </c>
      <c r="C48" s="119" t="n">
        <v>155.6542298692391</v>
      </c>
      <c r="D48" s="119" t="n">
        <v>152.9708508955822</v>
      </c>
      <c r="E48" s="119" t="n">
        <v>153.3765869140625</v>
      </c>
      <c r="F48" s="120" t="n">
        <v>3610800</v>
      </c>
      <c r="G48" s="121" t="n">
        <v>-0.005738644771399848</v>
      </c>
      <c r="H48" s="122" t="n">
        <v>99.81096693634275</v>
      </c>
      <c r="I48" s="119" t="n">
        <v/>
      </c>
      <c r="J48" s="119" t="n">
        <v/>
      </c>
      <c r="K48" s="121" t="n">
        <v>0.1787628190853671</v>
      </c>
      <c r="L48" s="121" t="n">
        <v/>
      </c>
      <c r="M48" s="121" t="n">
        <v>-0.01011746110685741</v>
      </c>
      <c r="N48" t="n">
        <v>66.312725156856</v>
      </c>
      <c r="O48" t="n">
        <v>1.105159632651293</v>
      </c>
      <c r="P48" t="n">
        <v>103.4181376512294</v>
      </c>
      <c r="Q48" t="n">
        <v>104.1457445438676</v>
      </c>
    </row>
    <row r="49">
      <c r="A49" s="118" t="n">
        <v>44502</v>
      </c>
      <c r="B49" s="119" t="n">
        <v>153.7731336328662</v>
      </c>
      <c r="C49" s="119" t="n">
        <v>155.0641134962187</v>
      </c>
      <c r="D49" s="119" t="n">
        <v>153.1737596727014</v>
      </c>
      <c r="E49" s="119" t="n">
        <v>154.7598114013672</v>
      </c>
      <c r="F49" s="120" t="n">
        <v>5038000</v>
      </c>
      <c r="G49" s="121" t="n">
        <v>0.009018485253422082</v>
      </c>
      <c r="H49" s="122" t="n">
        <v>100.711110669788</v>
      </c>
      <c r="I49" s="119" t="n">
        <v/>
      </c>
      <c r="J49" s="119" t="n">
        <v/>
      </c>
      <c r="K49" s="121" t="n">
        <v>0.1755528518680177</v>
      </c>
      <c r="L49" s="121" t="n">
        <v/>
      </c>
      <c r="M49" s="121" t="n">
        <v>-0.001190220027229461</v>
      </c>
      <c r="N49" t="n">
        <v>68.54964847659943</v>
      </c>
      <c r="O49" t="n">
        <v>1.05508586658193</v>
      </c>
      <c r="P49" t="n">
        <v>103.8362862776804</v>
      </c>
      <c r="Q49" t="n">
        <v>104.5812134683461</v>
      </c>
    </row>
    <row r="50">
      <c r="A50" s="118" t="n">
        <v>44503</v>
      </c>
      <c r="B50" s="119" t="n">
        <v>155.838672936481</v>
      </c>
      <c r="C50" s="119" t="n">
        <v>159.4072818319435</v>
      </c>
      <c r="D50" s="119" t="n">
        <v>155.5159244945192</v>
      </c>
      <c r="E50" s="119" t="n">
        <v>159.0661010742188</v>
      </c>
      <c r="F50" s="120" t="n">
        <v>7176700</v>
      </c>
      <c r="G50" s="121" t="n">
        <v>0.02782563272633665</v>
      </c>
      <c r="H50" s="122" t="n">
        <v>103.5134610467469</v>
      </c>
      <c r="I50" s="119" t="n">
        <v/>
      </c>
      <c r="J50" s="119" t="n">
        <v/>
      </c>
      <c r="K50" s="121" t="n">
        <v>0.1874005949845299</v>
      </c>
      <c r="L50" s="121" t="n">
        <v/>
      </c>
      <c r="M50" s="121" t="n">
        <v>0</v>
      </c>
      <c r="N50" t="n">
        <v>74.2764418458667</v>
      </c>
      <c r="O50" t="n">
        <v>1.227332779625872</v>
      </c>
      <c r="P50" t="n">
        <v>104.4702077609451</v>
      </c>
      <c r="Q50" t="n">
        <v>105.6914084515962</v>
      </c>
    </row>
    <row r="51">
      <c r="A51" s="118" t="n">
        <v>44504</v>
      </c>
      <c r="B51" s="119" t="n">
        <v>158.7987391044528</v>
      </c>
      <c r="C51" s="119" t="n">
        <v>161.9523967073494</v>
      </c>
      <c r="D51" s="119" t="n">
        <v>158.6050871674838</v>
      </c>
      <c r="E51" s="119" t="n">
        <v>161.7771911621094</v>
      </c>
      <c r="F51" s="120" t="n">
        <v>5460100</v>
      </c>
      <c r="G51" s="121" t="n">
        <v>0.01704379543838597</v>
      </c>
      <c r="H51" s="122" t="n">
        <v>105.277723301947</v>
      </c>
      <c r="I51" s="119" t="n">
        <v>146.3761450195312</v>
      </c>
      <c r="J51" s="119" t="n">
        <v/>
      </c>
      <c r="K51" s="121" t="n">
        <v>0.1845992189236528</v>
      </c>
      <c r="L51" s="121" t="n">
        <v/>
      </c>
      <c r="M51" s="121" t="n">
        <v>0</v>
      </c>
      <c r="N51" t="n">
        <v>77.10318574047741</v>
      </c>
      <c r="O51" t="n">
        <v>1.425297268960664</v>
      </c>
      <c r="P51" t="n">
        <v>104.9625415686519</v>
      </c>
      <c r="Q51" t="n">
        <v>107.0462306826842</v>
      </c>
    </row>
    <row r="52">
      <c r="A52" s="118" t="n">
        <v>44505</v>
      </c>
      <c r="B52" s="119" t="n">
        <v>162.0445819484447</v>
      </c>
      <c r="C52" s="119" t="n">
        <v>165.1521443214827</v>
      </c>
      <c r="D52" s="119" t="n">
        <v>161.832497714534</v>
      </c>
      <c r="E52" s="119" t="n">
        <v>163.6859588623047</v>
      </c>
      <c r="F52" s="120" t="n">
        <v>5892200</v>
      </c>
      <c r="G52" s="121" t="n">
        <v>0.01179874422645044</v>
      </c>
      <c r="H52" s="122" t="n">
        <v>106.5198682319297</v>
      </c>
      <c r="I52" s="119" t="n">
        <v>146.5765228271484</v>
      </c>
      <c r="J52" s="119" t="n">
        <v/>
      </c>
      <c r="K52" s="121" t="n">
        <v>0.1848585518139677</v>
      </c>
      <c r="L52" s="121" t="n">
        <v/>
      </c>
      <c r="M52" s="121" t="n">
        <v>0</v>
      </c>
      <c r="N52" t="n">
        <v>78.86421890706337</v>
      </c>
      <c r="O52" t="n">
        <v>1.574552530035318</v>
      </c>
      <c r="P52" t="n">
        <v>105.3267140552347</v>
      </c>
      <c r="Q52" t="n">
        <v>107.1483726065105</v>
      </c>
    </row>
    <row r="53">
      <c r="A53" s="118" t="n">
        <v>44508</v>
      </c>
      <c r="B53" s="119" t="n">
        <v>162.6162708707719</v>
      </c>
      <c r="C53" s="119" t="n">
        <v>162.7914622860323</v>
      </c>
      <c r="D53" s="119" t="n">
        <v>157.092753308646</v>
      </c>
      <c r="E53" s="119" t="n">
        <v>158.4667205810547</v>
      </c>
      <c r="F53" s="120" t="n">
        <v>8301100</v>
      </c>
      <c r="G53" s="121" t="n">
        <v>-0.03188568107812173</v>
      </c>
      <c r="H53" s="122" t="n">
        <v>103.1234096850029</v>
      </c>
      <c r="I53" s="119" t="n">
        <v>146.6552713012695</v>
      </c>
      <c r="J53" s="119" t="n">
        <v/>
      </c>
      <c r="K53" s="121" t="n">
        <v>0.2196739848898604</v>
      </c>
      <c r="L53" s="121" t="n">
        <v/>
      </c>
      <c r="M53" s="121" t="n">
        <v>-0.03188568107812173</v>
      </c>
      <c r="N53" t="n">
        <v>64.30123090661388</v>
      </c>
      <c r="O53" t="n">
        <v>1.226972169943575</v>
      </c>
      <c r="P53" t="n">
        <v>105.4166303874619</v>
      </c>
      <c r="Q53" t="n">
        <v>107.0032191128759</v>
      </c>
    </row>
    <row r="54">
      <c r="A54" s="118" t="n">
        <v>44509</v>
      </c>
      <c r="B54" s="119" t="n">
        <v>157.9134638310005</v>
      </c>
      <c r="C54" s="119" t="n">
        <v>160.3847451534783</v>
      </c>
      <c r="D54" s="119" t="n">
        <v>157.6368242919468</v>
      </c>
      <c r="E54" s="119" t="n">
        <v>160.2833251953125</v>
      </c>
      <c r="F54" s="120" t="n">
        <v>4343000</v>
      </c>
      <c r="G54" s="121" t="n">
        <v>0.0114636348098629</v>
      </c>
      <c r="H54" s="122" t="n">
        <v>104.3055787939796</v>
      </c>
      <c r="I54" s="119" t="n">
        <v>146.7620532226562</v>
      </c>
      <c r="J54" s="119" t="n">
        <v/>
      </c>
      <c r="K54" s="121" t="n">
        <v>0.2145530995573023</v>
      </c>
      <c r="L54" s="121" t="n">
        <v/>
      </c>
      <c r="M54" s="121" t="n">
        <v>-0.02078757207180204</v>
      </c>
      <c r="N54" t="n">
        <v>66.61221056538102</v>
      </c>
      <c r="O54" t="n">
        <v>1.032420143448674</v>
      </c>
      <c r="P54" t="n">
        <v>105.0681890518507</v>
      </c>
      <c r="Q54" t="n">
        <v>106.2666860868887</v>
      </c>
    </row>
    <row r="55">
      <c r="A55" s="118" t="n">
        <v>44510</v>
      </c>
      <c r="B55" s="119" t="n">
        <v>157.895015707796</v>
      </c>
      <c r="C55" s="119" t="n">
        <v>158.7618130210855</v>
      </c>
      <c r="D55" s="119" t="n">
        <v>154.5016120060776</v>
      </c>
      <c r="E55" s="119" t="n">
        <v>155.1563110351562</v>
      </c>
      <c r="F55" s="120" t="n">
        <v>8185200</v>
      </c>
      <c r="G55" s="121" t="n">
        <v>-0.03198719613477419</v>
      </c>
      <c r="H55" s="122" t="n">
        <v>100.9691357871454</v>
      </c>
      <c r="I55" s="119" t="n">
        <v>146.8269702148438</v>
      </c>
      <c r="J55" s="119" t="n">
        <v/>
      </c>
      <c r="K55" s="121" t="n">
        <v>0.2482197270812025</v>
      </c>
      <c r="L55" s="121" t="n">
        <v/>
      </c>
      <c r="M55" s="121" t="n">
        <v>-0.05210983206154973</v>
      </c>
      <c r="N55" t="n">
        <v>55.66056713161011</v>
      </c>
      <c r="O55" t="n">
        <v>0.4985034275440392</v>
      </c>
      <c r="P55" t="n">
        <v>104.2229287013021</v>
      </c>
      <c r="Q55" t="n">
        <v>104.7048696206513</v>
      </c>
    </row>
    <row r="56">
      <c r="A56" s="118" t="n">
        <v>44511</v>
      </c>
      <c r="B56" s="119" t="n">
        <v>156.3919680837268</v>
      </c>
      <c r="C56" s="119" t="n">
        <v>156.3919680837268</v>
      </c>
      <c r="D56" s="119" t="n">
        <v>153.6532633702769</v>
      </c>
      <c r="E56" s="119" t="n">
        <v>153.9667816162109</v>
      </c>
      <c r="F56" s="120" t="n">
        <v>4994900</v>
      </c>
      <c r="G56" s="121" t="n">
        <v>-0.007666651849409956</v>
      </c>
      <c r="H56" s="122" t="n">
        <v>100.1950405755296</v>
      </c>
      <c r="I56" s="119" t="n">
        <v>146.8714166259766</v>
      </c>
      <c r="J56" s="119" t="n">
        <v/>
      </c>
      <c r="K56" s="121" t="n">
        <v>0.2514256429448071</v>
      </c>
      <c r="L56" s="121" t="n">
        <v/>
      </c>
      <c r="M56" s="121" t="n">
        <v>-0.05937697597061264</v>
      </c>
      <c r="N56" t="n">
        <v>53.46430230283678</v>
      </c>
      <c r="O56" t="n">
        <v>0.03001318276073039</v>
      </c>
      <c r="P56" t="n">
        <v>104.2566445820819</v>
      </c>
      <c r="Q56" t="n">
        <v>104.9951850514953</v>
      </c>
    </row>
    <row r="57">
      <c r="A57" s="118" t="n">
        <v>44512</v>
      </c>
      <c r="B57" s="119" t="n">
        <v>154.4555053647157</v>
      </c>
      <c r="C57" s="119" t="n">
        <v>156.4657254866809</v>
      </c>
      <c r="D57" s="119" t="n">
        <v>154.3632874945183</v>
      </c>
      <c r="E57" s="119" t="n">
        <v>155.9216766357422</v>
      </c>
      <c r="F57" s="120" t="n">
        <v>5126300</v>
      </c>
      <c r="G57" s="121" t="n">
        <v>0.01269686226477185</v>
      </c>
      <c r="H57" s="122" t="n">
        <v>101.4672032053303</v>
      </c>
      <c r="I57" s="119" t="n">
        <v>146.9713751220703</v>
      </c>
      <c r="J57" s="119" t="n">
        <v/>
      </c>
      <c r="K57" s="121" t="n">
        <v>0.2535992382671967</v>
      </c>
      <c r="L57" s="121" t="n">
        <v/>
      </c>
      <c r="M57" s="121" t="n">
        <v>-0.04743401499143818</v>
      </c>
      <c r="N57" t="n">
        <v>56.50196569486393</v>
      </c>
      <c r="O57" t="n">
        <v>-0.1723085690699313</v>
      </c>
      <c r="P57" t="n">
        <v>105.0434801696038</v>
      </c>
      <c r="Q57" t="n">
        <v>106.0999930340509</v>
      </c>
    </row>
    <row r="58">
      <c r="A58" s="118" t="n">
        <v>44515</v>
      </c>
      <c r="B58" s="119" t="n">
        <v>156.48414337242</v>
      </c>
      <c r="C58" s="119" t="n">
        <v>157.0927474357386</v>
      </c>
      <c r="D58" s="119" t="n">
        <v>155.3960458687313</v>
      </c>
      <c r="E58" s="119" t="n">
        <v>155.7003479003906</v>
      </c>
      <c r="F58" s="120" t="n">
        <v>3856700</v>
      </c>
      <c r="G58" s="121" t="n">
        <v>-0.00141948663025615</v>
      </c>
      <c r="H58" s="122" t="n">
        <v>101.3231718669709</v>
      </c>
      <c r="I58" s="119" t="n">
        <v>147.0739147949219</v>
      </c>
      <c r="J58" s="119" t="n">
        <v/>
      </c>
      <c r="K58" s="121" t="n">
        <v>0.2533119515243051</v>
      </c>
      <c r="L58" s="121" t="n">
        <v/>
      </c>
      <c r="M58" s="121" t="n">
        <v>-0.04878616967159466</v>
      </c>
      <c r="N58" t="n">
        <v>56.05582360083132</v>
      </c>
      <c r="O58" t="n">
        <v>-0.3356838154044381</v>
      </c>
      <c r="P58" t="n">
        <v>105.0794276787772</v>
      </c>
      <c r="Q58" t="n">
        <v>106.0758190795237</v>
      </c>
    </row>
    <row r="59">
      <c r="A59" s="118" t="n">
        <v>44516</v>
      </c>
      <c r="B59" s="119" t="n">
        <v>156.069225598925</v>
      </c>
      <c r="C59" s="119" t="n">
        <v>160.4493072627058</v>
      </c>
      <c r="D59" s="119" t="n">
        <v>156.069225598925</v>
      </c>
      <c r="E59" s="119" t="n">
        <v>158.4483032226562</v>
      </c>
      <c r="F59" s="120" t="n">
        <v>4401000</v>
      </c>
      <c r="G59" s="121" t="n">
        <v>0.01764899924323626</v>
      </c>
      <c r="H59" s="122" t="n">
        <v>103.1114244505733</v>
      </c>
      <c r="I59" s="119" t="n">
        <v>147.2434008789062</v>
      </c>
      <c r="J59" s="119" t="n">
        <v/>
      </c>
      <c r="K59" s="121" t="n">
        <v>0.2534361712889485</v>
      </c>
      <c r="L59" s="121" t="n">
        <v/>
      </c>
      <c r="M59" s="121" t="n">
        <v>-0.03199819749997268</v>
      </c>
      <c r="N59" t="n">
        <v>60.25224241108693</v>
      </c>
      <c r="O59" t="n">
        <v>-0.2758258831501861</v>
      </c>
      <c r="P59" t="n">
        <v>105.4953080927626</v>
      </c>
      <c r="Q59" t="n">
        <v>106.8311728336426</v>
      </c>
    </row>
    <row r="60">
      <c r="A60" s="118" t="n">
        <v>44517</v>
      </c>
      <c r="B60" s="119" t="n">
        <v>158.2362140919919</v>
      </c>
      <c r="C60" s="119" t="n">
        <v>159.2874330958905</v>
      </c>
      <c r="D60" s="119" t="n">
        <v>156.9913431874271</v>
      </c>
      <c r="E60" s="119" t="n">
        <v>158.3653106689453</v>
      </c>
      <c r="F60" s="120" t="n">
        <v>3940200</v>
      </c>
      <c r="G60" s="121" t="n">
        <v>-0.0005237831647481039</v>
      </c>
      <c r="H60" s="122" t="n">
        <v>103.0574164223529</v>
      </c>
      <c r="I60" s="119" t="n">
        <v>147.4468212890625</v>
      </c>
      <c r="J60" s="119" t="n">
        <v/>
      </c>
      <c r="K60" s="121" t="n">
        <v>0.2540348742104929</v>
      </c>
      <c r="L60" s="121" t="n">
        <v/>
      </c>
      <c r="M60" s="121" t="n">
        <v>-0.0325052205475681</v>
      </c>
      <c r="N60" t="n">
        <v>60.06568261568081</v>
      </c>
      <c r="O60" t="n">
        <v>-0.2592233878740413</v>
      </c>
      <c r="P60" t="n">
        <v>105.2390586186586</v>
      </c>
      <c r="Q60" t="n">
        <v>106.8876265744629</v>
      </c>
    </row>
    <row r="61">
      <c r="A61" s="118" t="n">
        <v>44518</v>
      </c>
      <c r="B61" s="119" t="n">
        <v>158.909367612995</v>
      </c>
      <c r="C61" s="119" t="n">
        <v>159.9513705110358</v>
      </c>
      <c r="D61" s="119" t="n">
        <v>157.0927852138045</v>
      </c>
      <c r="E61" s="119" t="n">
        <v>158.0056915283203</v>
      </c>
      <c r="F61" s="120" t="n">
        <v>4044200</v>
      </c>
      <c r="G61" s="121" t="n">
        <v>-0.002270820163241205</v>
      </c>
      <c r="H61" s="122" t="n">
        <v>102.8233915631695</v>
      </c>
      <c r="I61" s="119" t="n">
        <v>147.5945458984375</v>
      </c>
      <c r="J61" s="119" t="n">
        <v/>
      </c>
      <c r="K61" s="121" t="n">
        <v>0.244248147898436</v>
      </c>
      <c r="L61" s="121" t="n">
        <v>-0.03470222720057947</v>
      </c>
      <c r="M61" s="121" t="n">
        <v>-0.03470222720057936</v>
      </c>
      <c r="N61" t="n">
        <v>59.21016400754297</v>
      </c>
      <c r="O61" t="n">
        <v>-0.2876657327256202</v>
      </c>
      <c r="P61" t="n">
        <v>105.5964923191741</v>
      </c>
      <c r="Q61" t="n">
        <v>107.9951365009404</v>
      </c>
    </row>
    <row r="62">
      <c r="A62" s="118" t="n">
        <v>44519</v>
      </c>
      <c r="B62" s="119" t="n">
        <v>158.7433683772155</v>
      </c>
      <c r="C62" s="119" t="n">
        <v>163.4000893947794</v>
      </c>
      <c r="D62" s="119" t="n">
        <v>157.24953456499</v>
      </c>
      <c r="E62" s="119" t="n">
        <v>161.2607727050781</v>
      </c>
      <c r="F62" s="120" t="n">
        <v>6145600</v>
      </c>
      <c r="G62" s="121" t="n">
        <v>0.02060103750233822</v>
      </c>
      <c r="H62" s="122" t="n">
        <v>104.94166010888</v>
      </c>
      <c r="I62" s="119" t="n">
        <v>147.802760925293</v>
      </c>
      <c r="J62" s="119" t="n">
        <v/>
      </c>
      <c r="K62" s="121" t="n">
        <v>0.251737446803009</v>
      </c>
      <c r="L62" s="121" t="n">
        <v>-0.01481609158221509</v>
      </c>
      <c r="M62" s="121" t="n">
        <v>-0.01481609158221486</v>
      </c>
      <c r="N62" t="n">
        <v>64.18291777732114</v>
      </c>
      <c r="O62" t="n">
        <v>-0.1115129379397954</v>
      </c>
      <c r="P62" t="n">
        <v>105.4076526561866</v>
      </c>
      <c r="Q62" t="n">
        <v>108.5972478168082</v>
      </c>
    </row>
    <row r="63">
      <c r="A63" s="118" t="n">
        <v>44522</v>
      </c>
      <c r="B63" s="119" t="n">
        <v>161.3529854000458</v>
      </c>
      <c r="C63" s="119" t="n">
        <v>163.907268574383</v>
      </c>
      <c r="D63" s="119" t="n">
        <v>160.661393549521</v>
      </c>
      <c r="E63" s="119" t="n">
        <v>160.6706237792969</v>
      </c>
      <c r="F63" s="120" t="n">
        <v>5906400</v>
      </c>
      <c r="G63" s="121" t="n">
        <v>-0.003659593811202622</v>
      </c>
      <c r="H63" s="122" t="n">
        <v>104.5576162590082</v>
      </c>
      <c r="I63" s="119" t="n">
        <v>148.0742343139648</v>
      </c>
      <c r="J63" s="119" t="n">
        <v/>
      </c>
      <c r="K63" s="121" t="n">
        <v>0.2529671338884067</v>
      </c>
      <c r="L63" s="121" t="n">
        <v>-0.01842146451635718</v>
      </c>
      <c r="M63" s="121" t="n">
        <v>-0.01842146451635696</v>
      </c>
      <c r="N63" t="n">
        <v>62.69069870324579</v>
      </c>
      <c r="O63" t="n">
        <v>-0.06149753532025937</v>
      </c>
      <c r="P63" t="n">
        <v>105.1109119311634</v>
      </c>
      <c r="Q63" t="n">
        <v>107.3365461135281</v>
      </c>
    </row>
    <row r="64">
      <c r="A64" s="118" t="n">
        <v>44523</v>
      </c>
      <c r="B64" s="119" t="n">
        <v>159.5732963513699</v>
      </c>
      <c r="C64" s="119" t="n">
        <v>159.9236933222767</v>
      </c>
      <c r="D64" s="119" t="n">
        <v>157.1388935918057</v>
      </c>
      <c r="E64" s="119" t="n">
        <v>158.7433776855469</v>
      </c>
      <c r="F64" s="120" t="n">
        <v>5302100</v>
      </c>
      <c r="G64" s="121" t="n">
        <v>-0.01199501220831345</v>
      </c>
      <c r="H64" s="122" t="n">
        <v>103.3034463755092</v>
      </c>
      <c r="I64" s="119" t="n">
        <v>148.321178894043</v>
      </c>
      <c r="J64" s="119" t="n">
        <v/>
      </c>
      <c r="K64" s="121" t="n">
        <v>0.2579132498453842</v>
      </c>
      <c r="L64" s="121" t="n">
        <v>-0.03019551103290186</v>
      </c>
      <c r="M64" s="121" t="n">
        <v>-0.03019551103290163</v>
      </c>
      <c r="N64" t="n">
        <v>57.95217449755796</v>
      </c>
      <c r="O64" t="n">
        <v>-0.1783547487093093</v>
      </c>
      <c r="P64" t="n">
        <v>105.2502899287708</v>
      </c>
      <c r="Q64" t="n">
        <v>106.8472831742775</v>
      </c>
    </row>
    <row r="65">
      <c r="A65" s="118" t="n">
        <v>44524</v>
      </c>
      <c r="B65" s="119" t="n">
        <v>155.3684286718161</v>
      </c>
      <c r="C65" s="119" t="n">
        <v>159.0015795863679</v>
      </c>
      <c r="D65" s="119" t="n">
        <v>154.612281450559</v>
      </c>
      <c r="E65" s="119" t="n">
        <v>158.6327362060547</v>
      </c>
      <c r="F65" s="120" t="n">
        <v>4637600</v>
      </c>
      <c r="G65" s="121" t="n">
        <v>-0.0006969832764385231</v>
      </c>
      <c r="H65" s="122" t="n">
        <v>103.231445600987</v>
      </c>
      <c r="I65" s="119" t="n">
        <v>148.5815863037109</v>
      </c>
      <c r="J65" s="119" t="n">
        <v/>
      </c>
      <c r="K65" s="121" t="n">
        <v>0.2547447047670171</v>
      </c>
      <c r="L65" s="121" t="n">
        <v>-0.03087144854312696</v>
      </c>
      <c r="M65" s="121" t="n">
        <v>-0.03087144854312673</v>
      </c>
      <c r="N65" t="n">
        <v>57.68261760743206</v>
      </c>
      <c r="O65" t="n">
        <v>-0.2773406676174202</v>
      </c>
      <c r="P65" t="n">
        <v>105.5312921860081</v>
      </c>
      <c r="Q65" t="n">
        <v>107.1913588455945</v>
      </c>
    </row>
    <row r="66">
      <c r="A66" s="118" t="n">
        <v>44526</v>
      </c>
      <c r="B66" s="119" t="n">
        <v>154.9718915231442</v>
      </c>
      <c r="C66" s="119" t="n">
        <v>156.4657253397327</v>
      </c>
      <c r="D66" s="119" t="n">
        <v>154.4923839254169</v>
      </c>
      <c r="E66" s="119" t="n">
        <v>154.9350128173828</v>
      </c>
      <c r="F66" s="120" t="n">
        <v>4751100</v>
      </c>
      <c r="G66" s="121" t="n">
        <v>-0.02330996411654118</v>
      </c>
      <c r="H66" s="122" t="n">
        <v>100.8251243083294</v>
      </c>
      <c r="I66" s="119" t="n">
        <v>148.7737567138672</v>
      </c>
      <c r="J66" s="119" t="n">
        <v/>
      </c>
      <c r="K66" s="121" t="n">
        <v>0.2681386532595544</v>
      </c>
      <c r="L66" s="121" t="n">
        <v>-0.05346180030190195</v>
      </c>
      <c r="M66" s="121" t="n">
        <v>-0.05346180030190195</v>
      </c>
      <c r="N66" t="n">
        <v>49.41075487359009</v>
      </c>
      <c r="O66" t="n">
        <v>-0.5882232718184559</v>
      </c>
      <c r="P66" t="n">
        <v>103.1775973776537</v>
      </c>
      <c r="Q66" t="n">
        <v>105.1591508296868</v>
      </c>
    </row>
    <row r="67">
      <c r="A67" s="118" t="n">
        <v>44529</v>
      </c>
      <c r="B67" s="119" t="n">
        <v>156.6040667253753</v>
      </c>
      <c r="C67" s="119" t="n">
        <v>157.8212611154287</v>
      </c>
      <c r="D67" s="119" t="n">
        <v>156.0507875941411</v>
      </c>
      <c r="E67" s="119" t="n">
        <v>156.6409454345703</v>
      </c>
      <c r="F67" s="120" t="n">
        <v>5448700</v>
      </c>
      <c r="G67" s="121" t="n">
        <v>0.01101063333694774</v>
      </c>
      <c r="H67" s="122" t="n">
        <v>101.9352727832406</v>
      </c>
      <c r="I67" s="119" t="n">
        <v>149.0218078613281</v>
      </c>
      <c r="J67" s="119" t="n">
        <v/>
      </c>
      <c r="K67" s="121" t="n">
        <v>0.2641060091691455</v>
      </c>
      <c r="L67" s="121" t="n">
        <v>-0.04303981524561151</v>
      </c>
      <c r="M67" s="121" t="n">
        <v>-0.04303981524561162</v>
      </c>
      <c r="N67" t="n">
        <v>52.77539651043527</v>
      </c>
      <c r="O67" t="n">
        <v>-0.6694322512287436</v>
      </c>
      <c r="P67" t="n">
        <v>104.4432452998614</v>
      </c>
      <c r="Q67" t="n">
        <v>107.4413646505522</v>
      </c>
    </row>
    <row r="68">
      <c r="A68" s="118" t="n">
        <v>44530</v>
      </c>
      <c r="B68" s="119" t="n">
        <v>155.6450160106029</v>
      </c>
      <c r="C68" s="119" t="n">
        <v>158.1900825503704</v>
      </c>
      <c r="D68" s="119" t="n">
        <v>154.4831469840587</v>
      </c>
      <c r="E68" s="119" t="n">
        <v>156.0599822998047</v>
      </c>
      <c r="F68" s="120" t="n">
        <v>11033700</v>
      </c>
      <c r="G68" s="121" t="n">
        <v>-0.003708884245775312</v>
      </c>
      <c r="H68" s="122" t="n">
        <v>101.557206655926</v>
      </c>
      <c r="I68" s="119" t="n">
        <v>149.2982595825195</v>
      </c>
      <c r="J68" s="119" t="n">
        <v/>
      </c>
      <c r="K68" s="121" t="n">
        <v>0.263527191420558</v>
      </c>
      <c r="L68" s="121" t="n">
        <v>-0.04658906979868149</v>
      </c>
      <c r="M68" s="121" t="n">
        <v>-0.04658906979868138</v>
      </c>
      <c r="N68" t="n">
        <v>51.51873816796555</v>
      </c>
      <c r="O68" t="n">
        <v>-0.7468477160169318</v>
      </c>
      <c r="P68" t="n">
        <v>102.411036682849</v>
      </c>
      <c r="Q68" t="n">
        <v>105.8634294001052</v>
      </c>
    </row>
    <row r="69">
      <c r="A69" s="118" t="n">
        <v>44531</v>
      </c>
      <c r="B69" s="119" t="n">
        <v>157.5814991299458</v>
      </c>
      <c r="C69" s="119" t="n">
        <v>159.8683587822207</v>
      </c>
      <c r="D69" s="119" t="n">
        <v>153.6993575670235</v>
      </c>
      <c r="E69" s="119" t="n">
        <v>153.7178039550781</v>
      </c>
      <c r="F69" s="120" t="n">
        <v>6618200</v>
      </c>
      <c r="G69" s="121" t="n">
        <v>-0.01500819306916901</v>
      </c>
      <c r="H69" s="122" t="n">
        <v>100.0330164908684</v>
      </c>
      <c r="I69" s="119" t="n">
        <v>149.5136672973633</v>
      </c>
      <c r="J69" s="119" t="n">
        <v/>
      </c>
      <c r="K69" s="121" t="n">
        <v>0.2675991628249073</v>
      </c>
      <c r="L69" s="121" t="n">
        <v>-0.06089804511339869</v>
      </c>
      <c r="M69" s="121" t="n">
        <v>-0.0608980451133988</v>
      </c>
      <c r="N69" t="n">
        <v>46.69169257513742</v>
      </c>
      <c r="O69" t="n">
        <v>-0.9285216559086864</v>
      </c>
      <c r="P69" t="n">
        <v>101.2735281313222</v>
      </c>
      <c r="Q69" t="n">
        <v>104.062423348173</v>
      </c>
    </row>
    <row r="70">
      <c r="A70" s="118" t="n">
        <v>44532</v>
      </c>
      <c r="B70" s="119" t="n">
        <v>154.2526292454561</v>
      </c>
      <c r="C70" s="119" t="n">
        <v>157.2679733412943</v>
      </c>
      <c r="D70" s="119" t="n">
        <v>153.9944361069623</v>
      </c>
      <c r="E70" s="119" t="n">
        <v>156.7608032226562</v>
      </c>
      <c r="F70" s="120" t="n">
        <v>4398900</v>
      </c>
      <c r="G70" s="121" t="n">
        <v>0.01979601054193703</v>
      </c>
      <c r="H70" s="122" t="n">
        <v>102.0132711398634</v>
      </c>
      <c r="I70" s="119" t="n">
        <v>149.7453039550781</v>
      </c>
      <c r="J70" s="119" t="n">
        <v/>
      </c>
      <c r="K70" s="121" t="n">
        <v>0.2577826253788534</v>
      </c>
      <c r="L70" s="121" t="n">
        <v>-0.04230757291450993</v>
      </c>
      <c r="M70" s="121" t="n">
        <v>-0.04230757291451004</v>
      </c>
      <c r="N70" t="n">
        <v>52.8701343101556</v>
      </c>
      <c r="O70" t="n">
        <v>-0.8202333969070343</v>
      </c>
      <c r="P70" t="n">
        <v>102.8246635179975</v>
      </c>
      <c r="Q70" t="n">
        <v>104.8124069887469</v>
      </c>
    </row>
    <row r="71">
      <c r="A71" s="118" t="n">
        <v>44533</v>
      </c>
      <c r="B71" s="119" t="n">
        <v>157.6153089743735</v>
      </c>
      <c r="C71" s="119" t="n">
        <v>158.9548009950529</v>
      </c>
      <c r="D71" s="119" t="n">
        <v>154.0495182918455</v>
      </c>
      <c r="E71" s="119" t="n">
        <v>157.2642822265625</v>
      </c>
      <c r="F71" s="120" t="n">
        <v>4878500</v>
      </c>
      <c r="G71" s="121" t="n">
        <v>0.003211765910583697</v>
      </c>
      <c r="H71" s="122" t="n">
        <v>102.3409138865375</v>
      </c>
      <c r="I71" s="119" t="n">
        <v>149.9475436401367</v>
      </c>
      <c r="J71" s="119" t="n">
        <v/>
      </c>
      <c r="K71" s="121" t="n">
        <v>0.2497749241165813</v>
      </c>
      <c r="L71" s="121" t="n">
        <v>-0.0392316890243728</v>
      </c>
      <c r="M71" s="121" t="n">
        <v>-0.03923168902437257</v>
      </c>
      <c r="N71" t="n">
        <v>53.82373609059793</v>
      </c>
      <c r="O71" t="n">
        <v>-0.6960758712324997</v>
      </c>
      <c r="P71" t="n">
        <v>101.9299561356977</v>
      </c>
      <c r="Q71" t="n">
        <v>102.989844490462</v>
      </c>
    </row>
    <row r="72">
      <c r="A72" s="118" t="n">
        <v>44536</v>
      </c>
      <c r="B72" s="119" t="n">
        <v>157.8093000004045</v>
      </c>
      <c r="C72" s="119" t="n">
        <v>158.1603408240924</v>
      </c>
      <c r="D72" s="119" t="n">
        <v>155.2504260874515</v>
      </c>
      <c r="E72" s="119" t="n">
        <v>156.03564453125</v>
      </c>
      <c r="F72" s="120" t="n">
        <v>5636900</v>
      </c>
      <c r="G72" s="121" t="n">
        <v>-0.00781256670565833</v>
      </c>
      <c r="H72" s="122" t="n">
        <v>101.5413686700809</v>
      </c>
      <c r="I72" s="119" t="n">
        <v>150.3094506835938</v>
      </c>
      <c r="J72" s="119" t="n">
        <v/>
      </c>
      <c r="K72" s="121" t="n">
        <v>0.2458085136585585</v>
      </c>
      <c r="L72" s="121" t="n">
        <v>-0.04673775554255233</v>
      </c>
      <c r="M72" s="121" t="n">
        <v>-0.04673775554255244</v>
      </c>
      <c r="N72" t="n">
        <v>51.10622212877046</v>
      </c>
      <c r="O72" t="n">
        <v>-0.6774334827941217</v>
      </c>
      <c r="P72" t="n">
        <v>103.137150027621</v>
      </c>
      <c r="Q72" t="n">
        <v>103.8151025999878</v>
      </c>
    </row>
    <row r="73">
      <c r="A73" s="118" t="n">
        <v>44537</v>
      </c>
      <c r="B73" s="119" t="n">
        <v>158.0679335853246</v>
      </c>
      <c r="C73" s="119" t="n">
        <v>160.1372050379646</v>
      </c>
      <c r="D73" s="119" t="n">
        <v>157.4120438436825</v>
      </c>
      <c r="E73" s="119" t="n">
        <v>158.2342071533203</v>
      </c>
      <c r="F73" s="120" t="n">
        <v>5898700</v>
      </c>
      <c r="G73" s="121" t="n">
        <v>0.01409013067927556</v>
      </c>
      <c r="H73" s="122" t="n">
        <v>102.9720998239948</v>
      </c>
      <c r="I73" s="119" t="n">
        <v>150.7439147949219</v>
      </c>
      <c r="J73" s="119" t="n">
        <v/>
      </c>
      <c r="K73" s="121" t="n">
        <v>0.225707988025795</v>
      </c>
      <c r="L73" s="121" t="n">
        <v>-0.03330616594652736</v>
      </c>
      <c r="M73" s="121" t="n">
        <v>-0.03330616594652736</v>
      </c>
      <c r="N73" t="n">
        <v>55.44160239255358</v>
      </c>
      <c r="O73" t="n">
        <v>-0.5056432773859285</v>
      </c>
      <c r="P73" t="n">
        <v>105.2705209206016</v>
      </c>
      <c r="Q73" t="n">
        <v>106.9413952585107</v>
      </c>
    </row>
    <row r="74">
      <c r="A74" s="118" t="n">
        <v>44538</v>
      </c>
      <c r="B74" s="119" t="n">
        <v>158.1695966895358</v>
      </c>
      <c r="C74" s="119" t="n">
        <v>158.6961439063475</v>
      </c>
      <c r="D74" s="119" t="n">
        <v>156.8947759081559</v>
      </c>
      <c r="E74" s="119" t="n">
        <v>157.2735290527344</v>
      </c>
      <c r="F74" s="120" t="n">
        <v>5614400</v>
      </c>
      <c r="G74" s="121" t="n">
        <v>-0.006071241597305765</v>
      </c>
      <c r="H74" s="122" t="n">
        <v>102.3469313281815</v>
      </c>
      <c r="I74" s="119" t="n">
        <v>151.2096975708008</v>
      </c>
      <c r="J74" s="119" t="n">
        <v/>
      </c>
      <c r="K74" s="121" t="n">
        <v>0.2224787471529042</v>
      </c>
      <c r="L74" s="121" t="n">
        <v>-0.03917519776369183</v>
      </c>
      <c r="M74" s="121" t="n">
        <v>-0.03917519776369183</v>
      </c>
      <c r="N74" t="n">
        <v>53.22095306590764</v>
      </c>
      <c r="O74" t="n">
        <v>-0.4473314127519643</v>
      </c>
      <c r="P74" t="n">
        <v>105.5492842326308</v>
      </c>
      <c r="Q74" t="n">
        <v>107.4198757527975</v>
      </c>
    </row>
    <row r="75">
      <c r="A75" s="118" t="n">
        <v>44539</v>
      </c>
      <c r="B75" s="119" t="n">
        <v>156.3866547455883</v>
      </c>
      <c r="C75" s="119" t="n">
        <v>158.1233650426434</v>
      </c>
      <c r="D75" s="119" t="n">
        <v>155.1857524464851</v>
      </c>
      <c r="E75" s="119" t="n">
        <v>155.2873687744141</v>
      </c>
      <c r="F75" s="120" t="n">
        <v>5171600</v>
      </c>
      <c r="G75" s="121" t="n">
        <v>-0.01262870039403985</v>
      </c>
      <c r="H75" s="122" t="n">
        <v>101.0544225961885</v>
      </c>
      <c r="I75" s="119" t="n">
        <v>151.6224786376953</v>
      </c>
      <c r="J75" s="119" t="n">
        <v/>
      </c>
      <c r="K75" s="121" t="n">
        <v>0.1955283505194779</v>
      </c>
      <c r="L75" s="121" t="n">
        <v>-0.05130916632229665</v>
      </c>
      <c r="M75" s="121" t="n">
        <v>-0.05130916632229676</v>
      </c>
      <c r="N75" t="n">
        <v>48.8633420435385</v>
      </c>
      <c r="O75" t="n">
        <v>-0.5276266960685461</v>
      </c>
      <c r="P75" t="n">
        <v>104.8366411431791</v>
      </c>
      <c r="Q75" t="n">
        <v>105.8392723327276</v>
      </c>
    </row>
    <row r="76">
      <c r="A76" s="118" t="n">
        <v>44540</v>
      </c>
      <c r="B76" s="119" t="n">
        <v>155.6568799575722</v>
      </c>
      <c r="C76" s="119" t="n">
        <v>157.264261715287</v>
      </c>
      <c r="D76" s="119" t="n">
        <v>154.5760593965389</v>
      </c>
      <c r="E76" s="119" t="n">
        <v>156.1741943359375</v>
      </c>
      <c r="F76" s="120" t="n">
        <v>4791100</v>
      </c>
      <c r="G76" s="121" t="n">
        <v>0.005710867332755942</v>
      </c>
      <c r="H76" s="122" t="n">
        <v>101.6315309970236</v>
      </c>
      <c r="I76" s="119" t="n">
        <v>152.0675659179688</v>
      </c>
      <c r="J76" s="119" t="n">
        <v/>
      </c>
      <c r="K76" s="121" t="n">
        <v>0.1942295818230935</v>
      </c>
      <c r="L76" s="121" t="n">
        <v>-0.04589131883136166</v>
      </c>
      <c r="M76" s="121" t="n">
        <v>-0.04589131883136177</v>
      </c>
      <c r="N76" t="n">
        <v>50.80037152366032</v>
      </c>
      <c r="O76" t="n">
        <v>-0.5060392305724191</v>
      </c>
      <c r="P76" t="n">
        <v>105.8235257533575</v>
      </c>
      <c r="Q76" t="n">
        <v>106.9897516111397</v>
      </c>
    </row>
    <row r="77">
      <c r="A77" s="118" t="n">
        <v>44543</v>
      </c>
      <c r="B77" s="119" t="n">
        <v>155.9432757952333</v>
      </c>
      <c r="C77" s="119" t="n">
        <v>156.479069805126</v>
      </c>
      <c r="D77" s="119" t="n">
        <v>152.6638544755212</v>
      </c>
      <c r="E77" s="119" t="n">
        <v>154.1234283447266</v>
      </c>
      <c r="F77" s="120" t="n">
        <v>5972300</v>
      </c>
      <c r="G77" s="121" t="n">
        <v>-0.01313127306294692</v>
      </c>
      <c r="H77" s="122" t="n">
        <v>100.2969796116963</v>
      </c>
      <c r="I77" s="119" t="n">
        <v>152.437887878418</v>
      </c>
      <c r="J77" s="119" t="n">
        <v/>
      </c>
      <c r="K77" s="121" t="n">
        <v>0.1948539084920518</v>
      </c>
      <c r="L77" s="121" t="n">
        <v>-0.05841998045551522</v>
      </c>
      <c r="M77" s="121" t="n">
        <v>-0.05841998045551533</v>
      </c>
      <c r="N77" t="n">
        <v>46.42128399962393</v>
      </c>
      <c r="O77" t="n">
        <v>-0.6080421469085933</v>
      </c>
      <c r="P77" t="n">
        <v>104.8861174421881</v>
      </c>
      <c r="Q77" t="n">
        <v>105.4440961469858</v>
      </c>
    </row>
    <row r="78">
      <c r="A78" s="118" t="n">
        <v>44544</v>
      </c>
      <c r="B78" s="119" t="n">
        <v>153.6153305392411</v>
      </c>
      <c r="C78" s="119" t="n">
        <v>154.3451244454094</v>
      </c>
      <c r="D78" s="119" t="n">
        <v>151.6938810370694</v>
      </c>
      <c r="E78" s="119" t="n">
        <v>152.7931671142578</v>
      </c>
      <c r="F78" s="120" t="n">
        <v>4872200</v>
      </c>
      <c r="G78" s="121" t="n">
        <v>-0.008631142226432686</v>
      </c>
      <c r="H78" s="122" t="n">
        <v>99.43130211578615</v>
      </c>
      <c r="I78" s="119" t="n">
        <v>152.7801287841797</v>
      </c>
      <c r="J78" s="119" t="n">
        <v/>
      </c>
      <c r="K78" s="121" t="n">
        <v>0.1969711776241976</v>
      </c>
      <c r="L78" s="121" t="n">
        <v>-0.06654689152177096</v>
      </c>
      <c r="M78" s="121" t="n">
        <v>-0.06654689152177107</v>
      </c>
      <c r="N78" t="n">
        <v>43.7846827419819</v>
      </c>
      <c r="O78" t="n">
        <v>-0.7347951771603266</v>
      </c>
      <c r="P78" t="n">
        <v>104.1644893046466</v>
      </c>
      <c r="Q78" t="n">
        <v>104.3527303354422</v>
      </c>
    </row>
    <row r="79">
      <c r="A79" s="118" t="n">
        <v>44545</v>
      </c>
      <c r="B79" s="119" t="n">
        <v>152.4236799843595</v>
      </c>
      <c r="C79" s="119" t="n">
        <v>153.0426108115924</v>
      </c>
      <c r="D79" s="119" t="n">
        <v>149.4860667360814</v>
      </c>
      <c r="E79" s="119" t="n">
        <v>151.4075164794922</v>
      </c>
      <c r="F79" s="120" t="n">
        <v>7144600</v>
      </c>
      <c r="G79" s="121" t="n">
        <v>-0.009068799743704781</v>
      </c>
      <c r="H79" s="122" t="n">
        <v>98.52957954864229</v>
      </c>
      <c r="I79" s="119" t="n">
        <v>153.0518707275391</v>
      </c>
      <c r="J79" s="119" t="n">
        <v/>
      </c>
      <c r="K79" s="121" t="n">
        <v>0.1861932314914803</v>
      </c>
      <c r="L79" s="121" t="n">
        <v>-0.07501219083269872</v>
      </c>
      <c r="M79" s="121" t="n">
        <v>-0.07501219083269894</v>
      </c>
      <c r="N79" t="n">
        <v>41.16211632175993</v>
      </c>
      <c r="O79" t="n">
        <v>-0.8722765715696178</v>
      </c>
      <c r="P79" t="n">
        <v>105.792070768229</v>
      </c>
      <c r="Q79" t="n">
        <v>106.7317075230141</v>
      </c>
    </row>
    <row r="80">
      <c r="A80" s="118" t="n">
        <v>44546</v>
      </c>
      <c r="B80" s="119" t="n">
        <v>150.2989795625353</v>
      </c>
      <c r="C80" s="119" t="n">
        <v>153.2920313666756</v>
      </c>
      <c r="D80" s="119" t="n">
        <v>150.1419386787047</v>
      </c>
      <c r="E80" s="119" t="n">
        <v>150.3174591064453</v>
      </c>
      <c r="F80" s="120" t="n">
        <v>7138100</v>
      </c>
      <c r="G80" s="121" t="n">
        <v>-0.007199493118919986</v>
      </c>
      <c r="H80" s="122" t="n">
        <v>97.82021651867176</v>
      </c>
      <c r="I80" s="119" t="n">
        <v>153.3139840698242</v>
      </c>
      <c r="J80" s="119" t="n">
        <v/>
      </c>
      <c r="K80" s="121" t="n">
        <v>0.1869003943585932</v>
      </c>
      <c r="L80" s="121" t="n">
        <v>-0.08167163419988355</v>
      </c>
      <c r="M80" s="121" t="n">
        <v>-0.08167163419988377</v>
      </c>
      <c r="N80" t="n">
        <v>39.17425828294145</v>
      </c>
      <c r="O80" t="n">
        <v>-0.9884231287645918</v>
      </c>
      <c r="P80" t="n">
        <v>104.8591330306611</v>
      </c>
      <c r="Q80" t="n">
        <v>103.9871235484968</v>
      </c>
    </row>
    <row r="81">
      <c r="A81" s="118" t="n">
        <v>44547</v>
      </c>
      <c r="B81" s="119" t="n">
        <v>149.3105359469547</v>
      </c>
      <c r="C81" s="119" t="n">
        <v>150.4467811721186</v>
      </c>
      <c r="D81" s="119" t="n">
        <v>148.3128520556785</v>
      </c>
      <c r="E81" s="119" t="n">
        <v>149.0611114501953</v>
      </c>
      <c r="F81" s="120" t="n">
        <v>7705100</v>
      </c>
      <c r="G81" s="121" t="n">
        <v>-0.008357962300043487</v>
      </c>
      <c r="H81" s="122" t="n">
        <v>97.00263883682661</v>
      </c>
      <c r="I81" s="119" t="n">
        <v>153.4947198486328</v>
      </c>
      <c r="J81" s="119" t="n">
        <v/>
      </c>
      <c r="K81" s="121" t="n">
        <v>0.1880302872511227</v>
      </c>
      <c r="L81" s="121" t="n">
        <v>-0.0893469880603015</v>
      </c>
      <c r="M81" s="121" t="n">
        <v>-0.08934698806030172</v>
      </c>
      <c r="N81" t="n">
        <v>36.95886200496452</v>
      </c>
      <c r="O81" t="n">
        <v>-1.093468270008609</v>
      </c>
      <c r="P81" t="n">
        <v>103.7431212798572</v>
      </c>
      <c r="Q81" t="n">
        <v>103.4683503154731</v>
      </c>
    </row>
    <row r="82">
      <c r="A82" s="118" t="n">
        <v>44550</v>
      </c>
      <c r="B82" s="119" t="n">
        <v>147.195074573607</v>
      </c>
      <c r="C82" s="119" t="n">
        <v>147.4352663504404</v>
      </c>
      <c r="D82" s="119" t="n">
        <v>143.6200511459301</v>
      </c>
      <c r="E82" s="119" t="n">
        <v>145.0149536132812</v>
      </c>
      <c r="F82" s="120" t="n">
        <v>8411900</v>
      </c>
      <c r="G82" s="121" t="n">
        <v>-0.02714428865818552</v>
      </c>
      <c r="H82" s="122" t="n">
        <v>94.36957120763407</v>
      </c>
      <c r="I82" s="119" t="n">
        <v>153.5829150390625</v>
      </c>
      <c r="J82" s="119" t="n">
        <v/>
      </c>
      <c r="K82" s="121" t="n">
        <v>0.1854360840123918</v>
      </c>
      <c r="L82" s="121" t="n">
        <v>-0.1140660162838387</v>
      </c>
      <c r="M82" s="121" t="n">
        <v>-0.1140660162838389</v>
      </c>
      <c r="N82" t="n">
        <v>30.8984167147995</v>
      </c>
      <c r="O82" t="n">
        <v>-1.361595551773333</v>
      </c>
      <c r="P82" t="n">
        <v>102.6399871224067</v>
      </c>
      <c r="Q82" t="n">
        <v>102.4646710277731</v>
      </c>
    </row>
    <row r="83">
      <c r="A83" s="118" t="n">
        <v>44551</v>
      </c>
      <c r="B83" s="119" t="n">
        <v>153.9848373673664</v>
      </c>
      <c r="C83" s="119" t="n">
        <v>158.1418459341922</v>
      </c>
      <c r="D83" s="119" t="n">
        <v>152.1557575447756</v>
      </c>
      <c r="E83" s="119" t="n">
        <v>153.9294128417969</v>
      </c>
      <c r="F83" s="120" t="n">
        <v>13862900</v>
      </c>
      <c r="G83" s="121" t="n">
        <v>0.06147268958405672</v>
      </c>
      <c r="H83" s="122" t="n">
        <v>100.1707225646615</v>
      </c>
      <c r="I83" s="119" t="n">
        <v>153.8899722290039</v>
      </c>
      <c r="J83" s="119" t="n">
        <v/>
      </c>
      <c r="K83" s="121" t="n">
        <v>0.3009187075899871</v>
      </c>
      <c r="L83" s="121" t="n">
        <v>-0.05960527151088846</v>
      </c>
      <c r="M83" s="121" t="n">
        <v>-0.05960527151088857</v>
      </c>
      <c r="N83" t="n">
        <v>50.25318869207556</v>
      </c>
      <c r="O83" t="n">
        <v>-0.887664230184861</v>
      </c>
      <c r="P83" t="n">
        <v>104.4627738775092</v>
      </c>
      <c r="Q83" t="n">
        <v>104.7578614958216</v>
      </c>
    </row>
    <row r="84">
      <c r="A84" s="118" t="n">
        <v>44552</v>
      </c>
      <c r="B84" s="119" t="n">
        <v>154.492930268409</v>
      </c>
      <c r="C84" s="119" t="n">
        <v>156.1187775518719</v>
      </c>
      <c r="D84" s="119" t="n">
        <v>151.5830156021457</v>
      </c>
      <c r="E84" s="119" t="n">
        <v>152.8301239013672</v>
      </c>
      <c r="F84" s="120" t="n">
        <v>5811300</v>
      </c>
      <c r="G84" s="121" t="n">
        <v>-0.007141513243862585</v>
      </c>
      <c r="H84" s="122" t="n">
        <v>99.45535202281867</v>
      </c>
      <c r="I84" s="119" t="n">
        <v>154.118424987793</v>
      </c>
      <c r="J84" s="119" t="n">
        <v/>
      </c>
      <c r="K84" s="121" t="n">
        <v>0.2992635482497062</v>
      </c>
      <c r="L84" s="121" t="n">
        <v>-0.06632111291885201</v>
      </c>
      <c r="M84" s="121" t="n">
        <v>-0.06632111291885212</v>
      </c>
      <c r="N84" t="n">
        <v>48.45098365755042</v>
      </c>
      <c r="O84" t="n">
        <v>-0.6105000629546967</v>
      </c>
      <c r="P84" t="n">
        <v>105.5072637675009</v>
      </c>
      <c r="Q84" t="n">
        <v>106.0336518671911</v>
      </c>
    </row>
    <row r="85">
      <c r="A85" s="118" t="n">
        <v>44553</v>
      </c>
      <c r="B85" s="119" t="n">
        <v>153.5783659068157</v>
      </c>
      <c r="C85" s="119" t="n">
        <v>154.4190087663404</v>
      </c>
      <c r="D85" s="119" t="n">
        <v>152.8301066500498</v>
      </c>
      <c r="E85" s="119" t="n">
        <v>153.0425720214844</v>
      </c>
      <c r="F85" s="120" t="n">
        <v>3876900</v>
      </c>
      <c r="G85" s="121" t="n">
        <v>0.00139009322700212</v>
      </c>
      <c r="H85" s="122" t="n">
        <v>99.59360423405469</v>
      </c>
      <c r="I85" s="119" t="n">
        <v>154.2967221069336</v>
      </c>
      <c r="J85" s="119" t="n">
        <v/>
      </c>
      <c r="K85" s="121" t="n">
        <v>0.2994508276525543</v>
      </c>
      <c r="L85" s="121" t="n">
        <v>-0.06502321222172569</v>
      </c>
      <c r="M85" s="121" t="n">
        <v>-0.0650232122217258</v>
      </c>
      <c r="N85" t="n">
        <v>48.83289026955025</v>
      </c>
      <c r="O85" t="n">
        <v>-0.3860916918192381</v>
      </c>
      <c r="P85" t="n">
        <v>106.1637283559484</v>
      </c>
      <c r="Q85" t="n">
        <v>106.833064194388</v>
      </c>
    </row>
    <row r="86">
      <c r="A86" s="118" t="n">
        <v>44557</v>
      </c>
      <c r="B86" s="119" t="n">
        <v>153.8278177524387</v>
      </c>
      <c r="C86" s="119" t="n">
        <v>154.9086384375543</v>
      </c>
      <c r="D86" s="119" t="n">
        <v>152.867078857384</v>
      </c>
      <c r="E86" s="119" t="n">
        <v>154.8070220947266</v>
      </c>
      <c r="F86" s="120" t="n">
        <v>3769300</v>
      </c>
      <c r="G86" s="121" t="n">
        <v>0.01152914545238093</v>
      </c>
      <c r="H86" s="122" t="n">
        <v>100.741833383396</v>
      </c>
      <c r="I86" s="119" t="n">
        <v>154.4948165893555</v>
      </c>
      <c r="J86" s="119" t="n">
        <v/>
      </c>
      <c r="K86" s="121" t="n">
        <v>0.2914197323370503</v>
      </c>
      <c r="L86" s="121" t="n">
        <v>-0.05424372884083006</v>
      </c>
      <c r="M86" s="121" t="n">
        <v>-0.05424372884083006</v>
      </c>
      <c r="N86" t="n">
        <v>52.01272156862208</v>
      </c>
      <c r="O86" t="n">
        <v>-0.1065883693056486</v>
      </c>
      <c r="P86" t="n">
        <v>107.6661703427562</v>
      </c>
      <c r="Q86" t="n">
        <v>108.5987085552411</v>
      </c>
    </row>
    <row r="87">
      <c r="A87" s="118" t="n">
        <v>44558</v>
      </c>
      <c r="B87" s="119" t="n">
        <v>155.0102638368702</v>
      </c>
      <c r="C87" s="119" t="n">
        <v>155.4259619560847</v>
      </c>
      <c r="D87" s="119" t="n">
        <v>153.6245940423137</v>
      </c>
      <c r="E87" s="119" t="n">
        <v>153.7354431152344</v>
      </c>
      <c r="F87" s="120" t="n">
        <v>2658600</v>
      </c>
      <c r="G87" s="121" t="n">
        <v>-0.006922030829043968</v>
      </c>
      <c r="H87" s="122" t="n">
        <v>100.0444953069417</v>
      </c>
      <c r="I87" s="119" t="n">
        <v>154.6554342651367</v>
      </c>
      <c r="J87" s="119" t="n">
        <v/>
      </c>
      <c r="K87" s="121" t="n">
        <v>0.2894730218276931</v>
      </c>
      <c r="L87" s="121" t="n">
        <v>-0.06079028290655542</v>
      </c>
      <c r="M87" s="121" t="n">
        <v>-0.06079028290655553</v>
      </c>
      <c r="N87" t="n">
        <v>49.98120930303313</v>
      </c>
      <c r="O87" t="n">
        <v>0.01204956313140937</v>
      </c>
      <c r="P87" t="n">
        <v>107.5781856495319</v>
      </c>
      <c r="Q87" t="n">
        <v>108.0953786204466</v>
      </c>
    </row>
    <row r="88">
      <c r="A88" s="118" t="n">
        <v>44559</v>
      </c>
      <c r="B88" s="119" t="n">
        <v>154.3358871487383</v>
      </c>
      <c r="C88" s="119" t="n">
        <v>156.8578018793958</v>
      </c>
      <c r="D88" s="119" t="n">
        <v>153.901709545469</v>
      </c>
      <c r="E88" s="119" t="n">
        <v>155.9155426025391</v>
      </c>
      <c r="F88" s="120" t="n">
        <v>3830900</v>
      </c>
      <c r="G88" s="121" t="n">
        <v>0.01418085148829706</v>
      </c>
      <c r="H88" s="122" t="n">
        <v>101.4632114371111</v>
      </c>
      <c r="I88" s="119" t="n">
        <v>154.8334652709961</v>
      </c>
      <c r="J88" s="119" t="n">
        <v/>
      </c>
      <c r="K88" s="121" t="n">
        <v>0.2940031829764043</v>
      </c>
      <c r="L88" s="121" t="n">
        <v>-0.04747148939208778</v>
      </c>
      <c r="M88" s="121" t="n">
        <v>-0.0474714893920879</v>
      </c>
      <c r="N88" t="n">
        <v>53.92414825142428</v>
      </c>
      <c r="O88" t="n">
        <v>0.2311280489361793</v>
      </c>
      <c r="P88" t="n">
        <v>107.7158002948676</v>
      </c>
      <c r="Q88" t="n">
        <v>108.0792260619379</v>
      </c>
    </row>
    <row r="89">
      <c r="A89" s="118" t="n">
        <v>44560</v>
      </c>
      <c r="B89" s="119" t="n">
        <v>155.4813690259237</v>
      </c>
      <c r="C89" s="119" t="n">
        <v>157.1534081348647</v>
      </c>
      <c r="D89" s="119" t="n">
        <v>154.4559729293134</v>
      </c>
      <c r="E89" s="119" t="n">
        <v>154.723876953125</v>
      </c>
      <c r="F89" s="120" t="n">
        <v>2666800</v>
      </c>
      <c r="G89" s="121" t="n">
        <v>-0.00764302025008412</v>
      </c>
      <c r="H89" s="122" t="n">
        <v>100.6877260574587</v>
      </c>
      <c r="I89" s="119" t="n">
        <v>155.0173556518555</v>
      </c>
      <c r="J89" s="119" t="n">
        <v/>
      </c>
      <c r="K89" s="121" t="n">
        <v>0.2901156402623801</v>
      </c>
      <c r="L89" s="121" t="n">
        <v>-0.05475168408744646</v>
      </c>
      <c r="M89" s="121" t="n">
        <v>-0.05475168408744657</v>
      </c>
      <c r="N89" t="n">
        <v>51.53284962333664</v>
      </c>
      <c r="O89" t="n">
        <v>0.2859713099558873</v>
      </c>
      <c r="P89" t="n">
        <v>107.4180205821989</v>
      </c>
      <c r="Q89" t="n">
        <v>107.7562677710863</v>
      </c>
    </row>
    <row r="90">
      <c r="A90" s="118" t="n">
        <v>44561</v>
      </c>
      <c r="B90" s="119" t="n">
        <v>154.7885330446472</v>
      </c>
      <c r="C90" s="119" t="n">
        <v>154.936341188002</v>
      </c>
      <c r="D90" s="119" t="n">
        <v>153.5414388364615</v>
      </c>
      <c r="E90" s="119" t="n">
        <v>153.9663696289062</v>
      </c>
      <c r="F90" s="120" t="n">
        <v>2752000</v>
      </c>
      <c r="G90" s="121" t="n">
        <v>-0.004895865713397618</v>
      </c>
      <c r="H90" s="122" t="n">
        <v>100.194772471694</v>
      </c>
      <c r="I90" s="119" t="n">
        <v>155.1744766235352</v>
      </c>
      <c r="J90" s="119" t="n">
        <v/>
      </c>
      <c r="K90" s="121" t="n">
        <v>0.2814221778689615</v>
      </c>
      <c r="L90" s="121" t="n">
        <v>-0.05937949290796962</v>
      </c>
      <c r="M90" s="121" t="n">
        <v>-0.05937949290796962</v>
      </c>
      <c r="N90" t="n">
        <v>50.01452794174136</v>
      </c>
      <c r="O90" t="n">
        <v>0.2620553230579991</v>
      </c>
      <c r="P90" t="n">
        <v>107.1473057660156</v>
      </c>
      <c r="Q90" t="n">
        <v>107.0833401937379</v>
      </c>
    </row>
    <row r="91">
      <c r="A91" s="118" t="n">
        <v>44564</v>
      </c>
      <c r="B91" s="119" t="n">
        <v>154.7608154969416</v>
      </c>
      <c r="C91" s="119" t="n">
        <v>155.1118563014864</v>
      </c>
      <c r="D91" s="119" t="n">
        <v>150.8624639475305</v>
      </c>
      <c r="E91" s="119" t="n">
        <v>152.1188049316406</v>
      </c>
      <c r="F91" s="120" t="n">
        <v>5670500</v>
      </c>
      <c r="G91" s="121" t="n">
        <v>-0.01199979386224848</v>
      </c>
      <c r="H91" s="122" t="n">
        <v>98.99245585595877</v>
      </c>
      <c r="I91" s="119" t="n">
        <v>155.225856628418</v>
      </c>
      <c r="J91" s="119" t="n">
        <v/>
      </c>
      <c r="K91" s="121" t="n">
        <v>0.2837500993404182</v>
      </c>
      <c r="L91" s="121" t="n">
        <v>-0.07066674509567772</v>
      </c>
      <c r="M91" s="121" t="n">
        <v>-0.07066674509567761</v>
      </c>
      <c r="N91" t="n">
        <v>46.42199362494829</v>
      </c>
      <c r="O91" t="n">
        <v>0.1198660888733847</v>
      </c>
      <c r="P91" t="n">
        <v>107.7676984594448</v>
      </c>
      <c r="Q91" t="n">
        <v>108.114207792153</v>
      </c>
    </row>
    <row r="92">
      <c r="A92" s="118" t="n">
        <v>44565</v>
      </c>
      <c r="B92" s="119" t="n">
        <v>153.2366257035701</v>
      </c>
      <c r="C92" s="119" t="n">
        <v>154.4375283861513</v>
      </c>
      <c r="D92" s="119" t="n">
        <v>152.4236948205494</v>
      </c>
      <c r="E92" s="119" t="n">
        <v>153.7077484130859</v>
      </c>
      <c r="F92" s="120" t="n">
        <v>6064200</v>
      </c>
      <c r="G92" s="121" t="n">
        <v>0.0104454112833674</v>
      </c>
      <c r="H92" s="122" t="n">
        <v>100.0264727713249</v>
      </c>
      <c r="I92" s="119" t="n">
        <v>155.2850408935547</v>
      </c>
      <c r="J92" s="119" t="n">
        <v/>
      </c>
      <c r="K92" s="121" t="n">
        <v>0.2857686593008685</v>
      </c>
      <c r="L92" s="121" t="n">
        <v>-0.06095947702889137</v>
      </c>
      <c r="M92" s="121" t="n">
        <v>-0.0609594770288916</v>
      </c>
      <c r="N92" t="n">
        <v>49.76404334042738</v>
      </c>
      <c r="O92" t="n">
        <v>0.1300359938282139</v>
      </c>
      <c r="P92" t="n">
        <v>107.7315899803544</v>
      </c>
      <c r="Q92" t="n">
        <v>106.7119242273602</v>
      </c>
    </row>
    <row r="93">
      <c r="A93" s="118" t="n">
        <v>44566</v>
      </c>
      <c r="B93" s="119" t="n">
        <v>153.8001016303983</v>
      </c>
      <c r="C93" s="119" t="n">
        <v>154.2804569701229</v>
      </c>
      <c r="D93" s="119" t="n">
        <v>149.7447089340899</v>
      </c>
      <c r="E93" s="119" t="n">
        <v>149.8832702636719</v>
      </c>
      <c r="F93" s="120" t="n">
        <v>5021000</v>
      </c>
      <c r="G93" s="121" t="n">
        <v>-0.02488149224029923</v>
      </c>
      <c r="H93" s="122" t="n">
        <v>97.53766486524064</v>
      </c>
      <c r="I93" s="119" t="n">
        <v>155.2540869140625</v>
      </c>
      <c r="J93" s="119" t="n">
        <v/>
      </c>
      <c r="K93" s="121" t="n">
        <v>0.2925975993611001</v>
      </c>
      <c r="L93" s="121" t="n">
        <v>-0.08432420651452355</v>
      </c>
      <c r="M93" s="121" t="n">
        <v>-0.08432420651452366</v>
      </c>
      <c r="N93" t="n">
        <v>42.83774251205214</v>
      </c>
      <c r="O93" t="n">
        <v>-0.1105997677890641</v>
      </c>
      <c r="P93" t="n">
        <v>105.6629289939746</v>
      </c>
      <c r="Q93" t="n">
        <v>103.4336218925007</v>
      </c>
    </row>
    <row r="94">
      <c r="A94" s="118" t="n">
        <v>44567</v>
      </c>
      <c r="B94" s="119" t="n">
        <v>149.7355053215097</v>
      </c>
      <c r="C94" s="119" t="n">
        <v>150.7516690175302</v>
      </c>
      <c r="D94" s="119" t="n">
        <v>146.9364528901937</v>
      </c>
      <c r="E94" s="119" t="n">
        <v>148.7655334472656</v>
      </c>
      <c r="F94" s="120" t="n">
        <v>4144600</v>
      </c>
      <c r="G94" s="121" t="n">
        <v>-0.007457382097681431</v>
      </c>
      <c r="H94" s="122" t="n">
        <v>96.81028922942494</v>
      </c>
      <c r="I94" s="119" t="n">
        <v>155.2087084960937</v>
      </c>
      <c r="J94" s="119" t="n">
        <v/>
      </c>
      <c r="K94" s="121" t="n">
        <v>0.2928601384967343</v>
      </c>
      <c r="L94" s="121" t="n">
        <v>-0.09115275078414242</v>
      </c>
      <c r="M94" s="121" t="n">
        <v>-0.09115275078414253</v>
      </c>
      <c r="N94" t="n">
        <v>41.03993016336023</v>
      </c>
      <c r="O94" t="n">
        <v>-0.3228311503707083</v>
      </c>
      <c r="P94" t="n">
        <v>105.5636544561229</v>
      </c>
      <c r="Q94" t="n">
        <v>103.3609649317232</v>
      </c>
    </row>
    <row r="95">
      <c r="A95" s="118" t="n">
        <v>44568</v>
      </c>
      <c r="B95" s="119" t="n">
        <v>148.5160726151542</v>
      </c>
      <c r="C95" s="119" t="n">
        <v>148.8578666080084</v>
      </c>
      <c r="D95" s="119" t="n">
        <v>144.9040904519689</v>
      </c>
      <c r="E95" s="119" t="n">
        <v>145.0057067871094</v>
      </c>
      <c r="F95" s="120" t="n">
        <v>5108000</v>
      </c>
      <c r="G95" s="121" t="n">
        <v>-0.02527350638976489</v>
      </c>
      <c r="H95" s="122" t="n">
        <v>94.36355376599008</v>
      </c>
      <c r="I95" s="119" t="n">
        <v>155.1146908569336</v>
      </c>
      <c r="J95" s="119" t="n">
        <v/>
      </c>
      <c r="K95" s="121" t="n">
        <v>0.3018927779197602</v>
      </c>
      <c r="L95" s="121" t="n">
        <v>-0.1141225075445197</v>
      </c>
      <c r="M95" s="121" t="n">
        <v>-0.1141225075445197</v>
      </c>
      <c r="N95" t="n">
        <v>35.623996104178</v>
      </c>
      <c r="O95" t="n">
        <v>-0.6740099026171873</v>
      </c>
      <c r="P95" t="n">
        <v>105.1463106792565</v>
      </c>
      <c r="Q95" t="n">
        <v>102.241245596148</v>
      </c>
    </row>
    <row r="96">
      <c r="A96" s="118" t="n">
        <v>44571</v>
      </c>
      <c r="B96" s="119" t="n">
        <v>139.0473385232448</v>
      </c>
      <c r="C96" s="119" t="n">
        <v>139.7955979009745</v>
      </c>
      <c r="D96" s="119" t="n">
        <v>137.4399566074009</v>
      </c>
      <c r="E96" s="119" t="n">
        <v>138.9734344482422</v>
      </c>
      <c r="F96" s="120" t="n">
        <v>10439000</v>
      </c>
      <c r="G96" s="121" t="n">
        <v>-0.0416002409320585</v>
      </c>
      <c r="H96" s="122" t="n">
        <v>90.43800719411963</v>
      </c>
      <c r="I96" s="119" t="n">
        <v>154.8611148071289</v>
      </c>
      <c r="J96" s="119" t="n">
        <v/>
      </c>
      <c r="K96" s="121" t="n">
        <v>0.328778634979508</v>
      </c>
      <c r="L96" s="121" t="n">
        <v>-0.1509752246669555</v>
      </c>
      <c r="M96" s="121" t="n">
        <v>-0.1509752246669556</v>
      </c>
      <c r="N96" t="n">
        <v>29.00940035570798</v>
      </c>
      <c r="O96" t="n">
        <v>-1.237354773285268</v>
      </c>
      <c r="P96" t="n">
        <v>105.0154787208746</v>
      </c>
      <c r="Q96" t="n">
        <v>102.3085324433806</v>
      </c>
    </row>
    <row r="97">
      <c r="A97" s="118" t="n">
        <v>44572</v>
      </c>
      <c r="B97" s="119" t="n">
        <v>139.0103439891043</v>
      </c>
      <c r="C97" s="119" t="n">
        <v>139.3429051939296</v>
      </c>
      <c r="D97" s="119" t="n">
        <v>136.3498684462592</v>
      </c>
      <c r="E97" s="119" t="n">
        <v>138.8440704345703</v>
      </c>
      <c r="F97" s="120" t="n">
        <v>8175400</v>
      </c>
      <c r="G97" s="121" t="n">
        <v>-0.000930854261359193</v>
      </c>
      <c r="H97" s="122" t="n">
        <v>90.35382258973415</v>
      </c>
      <c r="I97" s="119" t="n">
        <v>154.5527593994141</v>
      </c>
      <c r="J97" s="119" t="n">
        <v/>
      </c>
      <c r="K97" s="121" t="n">
        <v>0.327931204786947</v>
      </c>
      <c r="L97" s="121" t="n">
        <v>-0.1517655429970738</v>
      </c>
      <c r="M97" s="121" t="n">
        <v>-0.1517655429970739</v>
      </c>
      <c r="N97" t="n">
        <v>28.88553259771763</v>
      </c>
      <c r="O97" t="n">
        <v>-1.524619786772251</v>
      </c>
      <c r="P97" t="n">
        <v>105.9719692840132</v>
      </c>
      <c r="Q97" t="n">
        <v>103.8454234769374</v>
      </c>
    </row>
    <row r="98">
      <c r="A98" s="118" t="n">
        <v>44573</v>
      </c>
      <c r="B98" s="119" t="n">
        <v>140.5346164370791</v>
      </c>
      <c r="C98" s="119" t="n">
        <v>141.7632451834718</v>
      </c>
      <c r="D98" s="119" t="n">
        <v>139.2505631615764</v>
      </c>
      <c r="E98" s="119" t="n">
        <v>140.6085205078125</v>
      </c>
      <c r="F98" s="120" t="n">
        <v>6351200</v>
      </c>
      <c r="G98" s="121" t="n">
        <v>0.01270814135396359</v>
      </c>
      <c r="H98" s="122" t="n">
        <v>91.50205173907544</v>
      </c>
      <c r="I98" s="119" t="n">
        <v>154.2973980712891</v>
      </c>
      <c r="J98" s="119" t="n">
        <v/>
      </c>
      <c r="K98" s="121" t="n">
        <v>0.3335036934097467</v>
      </c>
      <c r="L98" s="121" t="n">
        <v>-0.1409860596161782</v>
      </c>
      <c r="M98" s="121" t="n">
        <v>-0.1409860596161783</v>
      </c>
      <c r="N98" t="n">
        <v>33.08253830747871</v>
      </c>
      <c r="O98" t="n">
        <v>-1.499450680019108</v>
      </c>
      <c r="P98" t="n">
        <v>106.2584737856832</v>
      </c>
      <c r="Q98" t="n">
        <v>104.257233504949</v>
      </c>
    </row>
    <row r="99">
      <c r="A99" s="118" t="n">
        <v>44574</v>
      </c>
      <c r="B99" s="119" t="n">
        <v>141.5230628112891</v>
      </c>
      <c r="C99" s="119" t="n">
        <v>141.8925831894518</v>
      </c>
      <c r="D99" s="119" t="n">
        <v>137.6616700058755</v>
      </c>
      <c r="E99" s="119" t="n">
        <v>138.1882171630859</v>
      </c>
      <c r="F99" s="120" t="n">
        <v>4990900</v>
      </c>
      <c r="G99" s="121" t="n">
        <v>-0.01721306316278381</v>
      </c>
      <c r="H99" s="122" t="n">
        <v>89.92702114296642</v>
      </c>
      <c r="I99" s="119" t="n">
        <v>153.9659661865234</v>
      </c>
      <c r="J99" s="119" t="n">
        <v/>
      </c>
      <c r="K99" s="121" t="n">
        <v>0.3364053808975612</v>
      </c>
      <c r="L99" s="121" t="n">
        <v>-0.1557723208297166</v>
      </c>
      <c r="M99" s="121" t="n">
        <v>-0.1557723208297168</v>
      </c>
      <c r="N99" t="n">
        <v>30.42962359207284</v>
      </c>
      <c r="O99" t="n">
        <v>-1.543416961100466</v>
      </c>
      <c r="P99" t="n">
        <v>104.7944011736171</v>
      </c>
      <c r="Q99" t="n">
        <v>101.6491061420674</v>
      </c>
    </row>
    <row r="100">
      <c r="A100" s="118" t="n">
        <v>44575</v>
      </c>
      <c r="B100" s="119" t="n">
        <v>137.0797116692745</v>
      </c>
      <c r="C100" s="119" t="n">
        <v>137.495409844157</v>
      </c>
      <c r="D100" s="119" t="n">
        <v>135.6570966918232</v>
      </c>
      <c r="E100" s="119" t="n">
        <v>136.8857116699219</v>
      </c>
      <c r="F100" s="120" t="n">
        <v>6030500</v>
      </c>
      <c r="G100" s="121" t="n">
        <v>-0.009425590111108217</v>
      </c>
      <c r="H100" s="122" t="n">
        <v>89.07940590175986</v>
      </c>
      <c r="I100" s="119" t="n">
        <v>153.5223583984375</v>
      </c>
      <c r="J100" s="119" t="n">
        <v/>
      </c>
      <c r="K100" s="121" t="n">
        <v>0.3367483883351739</v>
      </c>
      <c r="L100" s="121" t="n">
        <v>-0.163729664894028</v>
      </c>
      <c r="M100" s="121" t="n">
        <v>-0.1637296648940281</v>
      </c>
      <c r="N100" t="n">
        <v>29.07821506489576</v>
      </c>
      <c r="O100" t="n">
        <v>-1.553558171833701</v>
      </c>
      <c r="P100" t="n">
        <v>104.8372484387748</v>
      </c>
      <c r="Q100" t="n">
        <v>102.2816396577819</v>
      </c>
    </row>
    <row r="101">
      <c r="A101" s="118" t="n">
        <v>44579</v>
      </c>
      <c r="B101" s="119" t="n">
        <v>136.7748315412094</v>
      </c>
      <c r="C101" s="119" t="n">
        <v>137.4861459163848</v>
      </c>
      <c r="D101" s="119" t="n">
        <v>135.1489842079979</v>
      </c>
      <c r="E101" s="119" t="n">
        <v>135.7494354248047</v>
      </c>
      <c r="F101" s="120" t="n">
        <v>6931000</v>
      </c>
      <c r="G101" s="121" t="n">
        <v>-0.008300911988952775</v>
      </c>
      <c r="H101" s="122" t="n">
        <v>88.33996559334115</v>
      </c>
      <c r="I101" s="119" t="n">
        <v>153.0018032836914</v>
      </c>
      <c r="J101" s="119" t="n">
        <v/>
      </c>
      <c r="K101" s="121" t="n">
        <v>0.3367396860021545</v>
      </c>
      <c r="L101" s="121" t="n">
        <v>-0.1706714713447146</v>
      </c>
      <c r="M101" s="121" t="n">
        <v>-0.1706714713447148</v>
      </c>
      <c r="N101" t="n">
        <v>27.91356764391428</v>
      </c>
      <c r="O101" t="n">
        <v>-1.527817629154436</v>
      </c>
      <c r="P101" t="n">
        <v>102.9806214170475</v>
      </c>
      <c r="Q101" t="n">
        <v>99.73541214143832</v>
      </c>
    </row>
    <row r="102">
      <c r="A102" s="118" t="n">
        <v>44580</v>
      </c>
      <c r="B102" s="119" t="n">
        <v>136.4976778251572</v>
      </c>
      <c r="C102" s="119" t="n">
        <v>137.7355532853996</v>
      </c>
      <c r="D102" s="119" t="n">
        <v>133.9665305717747</v>
      </c>
      <c r="E102" s="119" t="n">
        <v>134.0496673583984</v>
      </c>
      <c r="F102" s="120" t="n">
        <v>4823800</v>
      </c>
      <c r="G102" s="121" t="n">
        <v>-0.01252136379858315</v>
      </c>
      <c r="H102" s="122" t="n">
        <v>87.23382874619261</v>
      </c>
      <c r="I102" s="119" t="n">
        <v>152.4090774536133</v>
      </c>
      <c r="J102" s="119" t="n">
        <v/>
      </c>
      <c r="K102" s="121" t="n">
        <v>0.3275468437741406</v>
      </c>
      <c r="L102" s="121" t="n">
        <v>-0.1810557955605511</v>
      </c>
      <c r="M102" s="121" t="n">
        <v>-0.1810557955605513</v>
      </c>
      <c r="N102" t="n">
        <v>26.22165752561233</v>
      </c>
      <c r="O102" t="n">
        <v>-1.513414986555241</v>
      </c>
      <c r="P102" t="n">
        <v>101.9113202094073</v>
      </c>
      <c r="Q102" t="n">
        <v>98.63997652686217</v>
      </c>
    </row>
    <row r="103">
      <c r="A103" s="118" t="n">
        <v>44581</v>
      </c>
      <c r="B103" s="119" t="n">
        <v>134.3730340802959</v>
      </c>
      <c r="C103" s="119" t="n">
        <v>136.1466898446415</v>
      </c>
      <c r="D103" s="119" t="n">
        <v>131.6386393004113</v>
      </c>
      <c r="E103" s="119" t="n">
        <v>131.8511047363281</v>
      </c>
      <c r="F103" s="120" t="n">
        <v>5366500</v>
      </c>
      <c r="G103" s="121" t="n">
        <v>-0.01640110464572941</v>
      </c>
      <c r="H103" s="122" t="n">
        <v>85.80309759227866</v>
      </c>
      <c r="I103" s="119" t="n">
        <v>151.8767651367187</v>
      </c>
      <c r="J103" s="119" t="n">
        <v/>
      </c>
      <c r="K103" s="121" t="n">
        <v>0.2214053217706242</v>
      </c>
      <c r="L103" s="121" t="n">
        <v>-0.1944873851565762</v>
      </c>
      <c r="M103" s="121" t="n">
        <v>-0.1944873851565764</v>
      </c>
      <c r="N103" t="n">
        <v>24.18013351279963</v>
      </c>
      <c r="O103" t="n">
        <v>-1.535256254779557</v>
      </c>
      <c r="P103" t="n">
        <v>100.783352783865</v>
      </c>
      <c r="Q103" t="n">
        <v>97.35877382407388</v>
      </c>
    </row>
    <row r="104">
      <c r="A104" s="118" t="n">
        <v>44582</v>
      </c>
      <c r="B104" s="119" t="n">
        <v>133.3199246214824</v>
      </c>
      <c r="C104" s="119" t="n">
        <v>135.2044294533354</v>
      </c>
      <c r="D104" s="119" t="n">
        <v>131.9619670134471</v>
      </c>
      <c r="E104" s="119" t="n">
        <v>132.0543365478516</v>
      </c>
      <c r="F104" s="120" t="n">
        <v>7553400</v>
      </c>
      <c r="G104" s="121" t="n">
        <v>0.001541373596602336</v>
      </c>
      <c r="H104" s="122" t="n">
        <v>85.93535222141409</v>
      </c>
      <c r="I104" s="119" t="n">
        <v>151.3121853637695</v>
      </c>
      <c r="J104" s="119" t="n">
        <v/>
      </c>
      <c r="K104" s="121" t="n">
        <v>0.2237854800201922</v>
      </c>
      <c r="L104" s="121" t="n">
        <v>-0.1932457892803264</v>
      </c>
      <c r="M104" s="121" t="n">
        <v>-0.1932457892803265</v>
      </c>
      <c r="N104" t="n">
        <v>24.76325877921589</v>
      </c>
      <c r="O104" t="n">
        <v>-1.421893479498284</v>
      </c>
      <c r="P104" t="n">
        <v>98.80490080228874</v>
      </c>
      <c r="Q104" t="n">
        <v>94.65916877228311</v>
      </c>
    </row>
    <row r="105">
      <c r="A105" s="118" t="n">
        <v>44585</v>
      </c>
      <c r="B105" s="119" t="n">
        <v>130.0774223464031</v>
      </c>
      <c r="C105" s="119" t="n">
        <v>135.1582108934487</v>
      </c>
      <c r="D105" s="119" t="n">
        <v>128.92269767662</v>
      </c>
      <c r="E105" s="119" t="n">
        <v>134.8718414306641</v>
      </c>
      <c r="F105" s="120" t="n">
        <v>9733200</v>
      </c>
      <c r="G105" s="121" t="n">
        <v>0.02133595121877385</v>
      </c>
      <c r="H105" s="122" t="n">
        <v>87.76886470437833</v>
      </c>
      <c r="I105" s="119" t="n">
        <v>150.9064959716797</v>
      </c>
      <c r="J105" s="119" t="n">
        <v/>
      </c>
      <c r="K105" s="121" t="n">
        <v>0.2441903475056563</v>
      </c>
      <c r="L105" s="121" t="n">
        <v>-0.1760329207948711</v>
      </c>
      <c r="M105" s="121" t="n">
        <v>-0.1760329207948712</v>
      </c>
      <c r="N105" t="n">
        <v>32.51251083791242</v>
      </c>
      <c r="O105" t="n">
        <v>-1.059652510238281</v>
      </c>
      <c r="P105" t="n">
        <v>99.22450547480641</v>
      </c>
      <c r="Q105" t="n">
        <v>95.09249302877359</v>
      </c>
    </row>
    <row r="106">
      <c r="A106" s="118" t="n">
        <v>44586</v>
      </c>
      <c r="B106" s="119" t="n">
        <v>133.9203416699016</v>
      </c>
      <c r="C106" s="119" t="n">
        <v>136.6824479944356</v>
      </c>
      <c r="D106" s="119" t="n">
        <v>131.6478374493229</v>
      </c>
      <c r="E106" s="119" t="n">
        <v>134.3914642333984</v>
      </c>
      <c r="F106" s="120" t="n">
        <v>8195400</v>
      </c>
      <c r="G106" s="121" t="n">
        <v>-0.003561730841441624</v>
      </c>
      <c r="H106" s="122" t="n">
        <v>87.45625563204243</v>
      </c>
      <c r="I106" s="119" t="n">
        <v>150.5149896240234</v>
      </c>
      <c r="J106" s="119" t="n">
        <v/>
      </c>
      <c r="K106" s="121" t="n">
        <v>0.2353865047302704</v>
      </c>
      <c r="L106" s="121" t="n">
        <v>-0.1789676697532085</v>
      </c>
      <c r="M106" s="121" t="n">
        <v>-0.1789676697532087</v>
      </c>
      <c r="N106" t="n">
        <v>31.90905411300997</v>
      </c>
      <c r="O106" t="n">
        <v>-0.7684567482279254</v>
      </c>
      <c r="P106" t="n">
        <v>98.01308978097119</v>
      </c>
      <c r="Q106" t="n">
        <v>92.88811208001131</v>
      </c>
    </row>
    <row r="107">
      <c r="A107" s="118" t="n">
        <v>44587</v>
      </c>
      <c r="B107" s="119" t="n">
        <v>136.5161797159522</v>
      </c>
      <c r="C107" s="119" t="n">
        <v>137.615479949376</v>
      </c>
      <c r="D107" s="119" t="n">
        <v>131.8510888384684</v>
      </c>
      <c r="E107" s="119" t="n">
        <v>133.0150604248047</v>
      </c>
      <c r="F107" s="120" t="n">
        <v>7444600</v>
      </c>
      <c r="G107" s="121" t="n">
        <v>-0.01024175022160145</v>
      </c>
      <c r="H107" s="122" t="n">
        <v>86.56055050654253</v>
      </c>
      <c r="I107" s="119" t="n">
        <v>150.0568572998047</v>
      </c>
      <c r="J107" s="119" t="n">
        <v/>
      </c>
      <c r="K107" s="121" t="n">
        <v>0.2356777706601237</v>
      </c>
      <c r="L107" s="121" t="n">
        <v>-0.1873764778034556</v>
      </c>
      <c r="M107" s="121" t="n">
        <v>-0.1873764778034557</v>
      </c>
      <c r="N107" t="n">
        <v>30.18054804558143</v>
      </c>
      <c r="O107" t="n">
        <v>-0.5924865654514226</v>
      </c>
      <c r="P107" t="n">
        <v>97.76718628243638</v>
      </c>
      <c r="Q107" t="n">
        <v>92.74275594058257</v>
      </c>
    </row>
    <row r="108">
      <c r="A108" s="118" t="n">
        <v>44588</v>
      </c>
      <c r="B108" s="119" t="n">
        <v>133.9388223041613</v>
      </c>
      <c r="C108" s="119" t="n">
        <v>136.1189429360106</v>
      </c>
      <c r="D108" s="119" t="n">
        <v>132.6362895585067</v>
      </c>
      <c r="E108" s="119" t="n">
        <v>133.6154937744141</v>
      </c>
      <c r="F108" s="120" t="n">
        <v>6396400</v>
      </c>
      <c r="G108" s="121" t="n">
        <v>0.004514025311809</v>
      </c>
      <c r="H108" s="122" t="n">
        <v>86.95128702253318</v>
      </c>
      <c r="I108" s="119" t="n">
        <v>149.6151602172852</v>
      </c>
      <c r="J108" s="119" t="n">
        <v/>
      </c>
      <c r="K108" s="121" t="n">
        <v>0.2264128068686596</v>
      </c>
      <c r="L108" s="121" t="n">
        <v>-0.183708274655289</v>
      </c>
      <c r="M108" s="121" t="n">
        <v>-0.1837082746552892</v>
      </c>
      <c r="N108" t="n">
        <v>31.91324743509824</v>
      </c>
      <c r="O108" t="n">
        <v>-0.3704546652914802</v>
      </c>
      <c r="P108" t="n">
        <v>97.28443018478617</v>
      </c>
      <c r="Q108" t="n">
        <v>91.80881213679436</v>
      </c>
    </row>
    <row r="109">
      <c r="A109" s="118" t="n">
        <v>44589</v>
      </c>
      <c r="B109" s="119" t="n">
        <v>133.1351529139159</v>
      </c>
      <c r="C109" s="119" t="n">
        <v>134.8995758825283</v>
      </c>
      <c r="D109" s="119" t="n">
        <v>129.8926905823385</v>
      </c>
      <c r="E109" s="119" t="n">
        <v>134.7887268066406</v>
      </c>
      <c r="F109" s="120" t="n">
        <v>6130200</v>
      </c>
      <c r="G109" s="121" t="n">
        <v>0.008780666067120579</v>
      </c>
      <c r="H109" s="122" t="n">
        <v>87.71477723798441</v>
      </c>
      <c r="I109" s="119" t="n">
        <v>149.1419686889649</v>
      </c>
      <c r="J109" s="119" t="n">
        <v/>
      </c>
      <c r="K109" s="121" t="n">
        <v>0.2337486101735807</v>
      </c>
      <c r="L109" s="121" t="n">
        <v>-0.1765406896016833</v>
      </c>
      <c r="M109" s="121" t="n">
        <v>-0.1765406896016835</v>
      </c>
      <c r="N109" t="n">
        <v>35.29238845114456</v>
      </c>
      <c r="O109" t="n">
        <v>-0.09379237343844515</v>
      </c>
      <c r="P109" t="n">
        <v>99.7005227863893</v>
      </c>
      <c r="Q109" t="n">
        <v>94.68875505822901</v>
      </c>
    </row>
    <row r="110">
      <c r="A110" s="118" t="n">
        <v>44592</v>
      </c>
      <c r="B110" s="119" t="n">
        <v>135.121296671318</v>
      </c>
      <c r="C110" s="119" t="n">
        <v>136.8857056556992</v>
      </c>
      <c r="D110" s="119" t="n">
        <v>134.1513249086996</v>
      </c>
      <c r="E110" s="119" t="n">
        <v>136.7841033935547</v>
      </c>
      <c r="F110" s="120" t="n">
        <v>6932200</v>
      </c>
      <c r="G110" s="121" t="n">
        <v>0.01480373495757181</v>
      </c>
      <c r="H110" s="122" t="n">
        <v>89.01328355207798</v>
      </c>
      <c r="I110" s="119" t="n">
        <v>148.710344543457</v>
      </c>
      <c r="J110" s="119" t="n">
        <v/>
      </c>
      <c r="K110" s="121" t="n">
        <v>0.2459815958603336</v>
      </c>
      <c r="L110" s="121" t="n">
        <v>-0.1643504162222018</v>
      </c>
      <c r="M110" s="121" t="n">
        <v>-0.1643504162222019</v>
      </c>
      <c r="N110" t="n">
        <v>40.68425298908259</v>
      </c>
      <c r="O110" t="n">
        <v>0.2552891478337207</v>
      </c>
      <c r="P110" t="n">
        <v>101.4962373281921</v>
      </c>
      <c r="Q110" t="n">
        <v>97.71674761943964</v>
      </c>
    </row>
    <row r="111">
      <c r="A111" s="118" t="n">
        <v>44593</v>
      </c>
      <c r="B111" s="119" t="n">
        <v>138.1050749113679</v>
      </c>
      <c r="C111" s="119" t="n">
        <v>138.2713485031556</v>
      </c>
      <c r="D111" s="119" t="n">
        <v>135.6108723642277</v>
      </c>
      <c r="E111" s="119" t="n">
        <v>136.9226379394531</v>
      </c>
      <c r="F111" s="120" t="n">
        <v>6695000</v>
      </c>
      <c r="G111" s="121" t="n">
        <v>0.001012797119412712</v>
      </c>
      <c r="H111" s="122" t="n">
        <v>89.10343594924899</v>
      </c>
      <c r="I111" s="119" t="n">
        <v>148.2886834716797</v>
      </c>
      <c r="J111" s="119" t="n">
        <v/>
      </c>
      <c r="K111" s="121" t="n">
        <v>0.2459571504850845</v>
      </c>
      <c r="L111" s="121" t="n">
        <v>-0.1635040727309133</v>
      </c>
      <c r="M111" s="121" t="n">
        <v>-0.1635040727309134</v>
      </c>
      <c r="N111" t="n">
        <v>41.05151343683983</v>
      </c>
      <c r="O111" t="n">
        <v>0.5123810321936269</v>
      </c>
      <c r="P111" t="n">
        <v>102.1820203919618</v>
      </c>
      <c r="Q111" t="n">
        <v>98.38158625217159</v>
      </c>
    </row>
    <row r="112">
      <c r="A112" s="118" t="n">
        <v>44594</v>
      </c>
      <c r="B112" s="119" t="n">
        <v>137.0427438720509</v>
      </c>
      <c r="C112" s="119" t="n">
        <v>138.0681400505727</v>
      </c>
      <c r="D112" s="119" t="n">
        <v>136.28523764298</v>
      </c>
      <c r="E112" s="119" t="n">
        <v>137.3753051757812</v>
      </c>
      <c r="F112" s="120" t="n">
        <v>5491700</v>
      </c>
      <c r="G112" s="121" t="n">
        <v>0.003306007269070488</v>
      </c>
      <c r="H112" s="122" t="n">
        <v>89.39801255619636</v>
      </c>
      <c r="I112" s="119" t="n">
        <v>147.8109741210938</v>
      </c>
      <c r="J112" s="119" t="n">
        <v/>
      </c>
      <c r="K112" s="121" t="n">
        <v>0.241219440236627</v>
      </c>
      <c r="L112" s="121" t="n">
        <v>-0.148117035089369</v>
      </c>
      <c r="M112" s="121" t="n">
        <v>-0.160738611114814</v>
      </c>
      <c r="N112" t="n">
        <v>42.30847453667712</v>
      </c>
      <c r="O112" t="n">
        <v>0.7172178072855644</v>
      </c>
      <c r="P112" t="n">
        <v>103.1746340678196</v>
      </c>
      <c r="Q112" t="n">
        <v>99.18096480506952</v>
      </c>
    </row>
    <row r="113">
      <c r="A113" s="118" t="n">
        <v>44595</v>
      </c>
      <c r="B113" s="119" t="n">
        <v>136.1651323702048</v>
      </c>
      <c r="C113" s="119" t="n">
        <v>137.1443507662002</v>
      </c>
      <c r="D113" s="119" t="n">
        <v>133.9203542965452</v>
      </c>
      <c r="E113" s="119" t="n">
        <v>134.2344360351562</v>
      </c>
      <c r="F113" s="120" t="n">
        <v>5240200</v>
      </c>
      <c r="G113" s="121" t="n">
        <v>-0.02286341884086107</v>
      </c>
      <c r="H113" s="122" t="n">
        <v>87.35406835158348</v>
      </c>
      <c r="I113" s="119" t="n">
        <v>147.2822503662109</v>
      </c>
      <c r="J113" s="119" t="n">
        <v/>
      </c>
      <c r="K113" s="121" t="n">
        <v>0.239165390123168</v>
      </c>
      <c r="L113" s="121" t="n">
        <v>-0.1675939921195154</v>
      </c>
      <c r="M113" s="121" t="n">
        <v>-0.1799269957658588</v>
      </c>
      <c r="N113" t="n">
        <v>36.49381941780492</v>
      </c>
      <c r="O113" t="n">
        <v>0.6475984291290047</v>
      </c>
      <c r="P113" t="n">
        <v>100.7495198340547</v>
      </c>
      <c r="Q113" t="n">
        <v>95.15979676315561</v>
      </c>
    </row>
    <row r="114">
      <c r="A114" s="118" t="n">
        <v>44596</v>
      </c>
      <c r="B114" s="119" t="n">
        <v>134.2898548091773</v>
      </c>
      <c r="C114" s="119" t="n">
        <v>135.3152508730765</v>
      </c>
      <c r="D114" s="119" t="n">
        <v>132.6917198234505</v>
      </c>
      <c r="E114" s="119" t="n">
        <v>134.3083343505859</v>
      </c>
      <c r="F114" s="120" t="n">
        <v>4313400</v>
      </c>
      <c r="G114" s="121" t="n">
        <v>0.0005505168242396774</v>
      </c>
      <c r="H114" s="122" t="n">
        <v>87.40215823587681</v>
      </c>
      <c r="I114" s="119" t="n">
        <v>146.7935494995117</v>
      </c>
      <c r="J114" s="119" t="n">
        <v/>
      </c>
      <c r="K114" s="121" t="n">
        <v>0.2399349880909932</v>
      </c>
      <c r="L114" s="121" t="n">
        <v>-0.167135738607579</v>
      </c>
      <c r="M114" s="121" t="n">
        <v>-0.1794755317799231</v>
      </c>
      <c r="N114" t="n">
        <v>36.71419945465738</v>
      </c>
      <c r="O114" t="n">
        <v>0.6132877550058762</v>
      </c>
      <c r="P114" t="n">
        <v>101.2232469827287</v>
      </c>
      <c r="Q114" t="n">
        <v>96.36021978625089</v>
      </c>
    </row>
    <row r="115">
      <c r="A115" s="118" t="n">
        <v>44599</v>
      </c>
      <c r="B115" s="119" t="n">
        <v>134.2252312725787</v>
      </c>
      <c r="C115" s="119" t="n">
        <v>134.9827235114795</v>
      </c>
      <c r="D115" s="119" t="n">
        <v>133.2275472223141</v>
      </c>
      <c r="E115" s="119" t="n">
        <v>134.0774230957031</v>
      </c>
      <c r="F115" s="120" t="n">
        <v>3877500</v>
      </c>
      <c r="G115" s="121" t="n">
        <v>-0.00171926229298669</v>
      </c>
      <c r="H115" s="122" t="n">
        <v>87.25189100089622</v>
      </c>
      <c r="I115" s="119" t="n">
        <v>146.3024432373047</v>
      </c>
      <c r="J115" s="119" t="n">
        <v/>
      </c>
      <c r="K115" s="121" t="n">
        <v>0.2277836933714043</v>
      </c>
      <c r="L115" s="121" t="n">
        <v>-0.1685676507273671</v>
      </c>
      <c r="M115" s="121" t="n">
        <v>-0.1808862285586068</v>
      </c>
      <c r="N115" t="n">
        <v>36.29041652725707</v>
      </c>
      <c r="O115" t="n">
        <v>0.5820564732252524</v>
      </c>
      <c r="P115" t="n">
        <v>100.8984023735746</v>
      </c>
      <c r="Q115" t="n">
        <v>95.58505740575386</v>
      </c>
    </row>
    <row r="116">
      <c r="A116" s="118" t="n">
        <v>44600</v>
      </c>
      <c r="B116" s="119" t="n">
        <v>133.7078828217307</v>
      </c>
      <c r="C116" s="119" t="n">
        <v>134.4099503400989</v>
      </c>
      <c r="D116" s="119" t="n">
        <v>131.4538580314961</v>
      </c>
      <c r="E116" s="119" t="n">
        <v>132.5901031494141</v>
      </c>
      <c r="F116" s="120" t="n">
        <v>5829400</v>
      </c>
      <c r="G116" s="121" t="n">
        <v>-0.01109299322696133</v>
      </c>
      <c r="H116" s="122" t="n">
        <v>86.28400636498371</v>
      </c>
      <c r="I116" s="119" t="n">
        <v>145.8555450439453</v>
      </c>
      <c r="J116" s="119" t="n">
        <v/>
      </c>
      <c r="K116" s="121" t="n">
        <v>0.1817460539587852</v>
      </c>
      <c r="L116" s="121" t="n">
        <v>-0.177790724146525</v>
      </c>
      <c r="M116" s="121" t="n">
        <v>-0.189972652077317</v>
      </c>
      <c r="N116" t="n">
        <v>33.60015409512522</v>
      </c>
      <c r="O116" t="n">
        <v>0.4728847983791997</v>
      </c>
      <c r="P116" t="n">
        <v>101.7285900864482</v>
      </c>
      <c r="Q116" t="n">
        <v>96.65898723542584</v>
      </c>
    </row>
    <row r="117">
      <c r="A117" s="118" t="n">
        <v>44601</v>
      </c>
      <c r="B117" s="119" t="n">
        <v>134.9734686960058</v>
      </c>
      <c r="C117" s="119" t="n">
        <v>136.1281934593021</v>
      </c>
      <c r="D117" s="119" t="n">
        <v>134.5670033240037</v>
      </c>
      <c r="E117" s="119" t="n">
        <v>135.1120300292969</v>
      </c>
      <c r="F117" s="120" t="n">
        <v>4551000</v>
      </c>
      <c r="G117" s="121" t="n">
        <v>0.01902047603840296</v>
      </c>
      <c r="H117" s="122" t="n">
        <v>87.9251692405463</v>
      </c>
      <c r="I117" s="119" t="n">
        <v>145.4249667358398</v>
      </c>
      <c r="J117" s="119" t="n">
        <v/>
      </c>
      <c r="K117" s="121" t="n">
        <v>0.1968864861363018</v>
      </c>
      <c r="L117" s="121" t="n">
        <v>-0.1621519123166012</v>
      </c>
      <c r="M117" s="121" t="n">
        <v>-0.1745655463157024</v>
      </c>
      <c r="N117" t="n">
        <v>41.51688627011519</v>
      </c>
      <c r="O117" t="n">
        <v>0.5753675207135545</v>
      </c>
      <c r="P117" t="n">
        <v>103.2175106002349</v>
      </c>
      <c r="Q117" t="n">
        <v>98.70725493051992</v>
      </c>
    </row>
    <row r="118">
      <c r="A118" s="118" t="n">
        <v>44602</v>
      </c>
      <c r="B118" s="119" t="n">
        <v>132.9873481132071</v>
      </c>
      <c r="C118" s="119" t="n">
        <v>136.2944674402627</v>
      </c>
      <c r="D118" s="119" t="n">
        <v>132.8857317699225</v>
      </c>
      <c r="E118" s="119" t="n">
        <v>133.7817993164062</v>
      </c>
      <c r="F118" s="120" t="n">
        <v>5142600</v>
      </c>
      <c r="G118" s="121" t="n">
        <v>-0.009845390618453354</v>
      </c>
      <c r="H118" s="122" t="n">
        <v>87.05951160417949</v>
      </c>
      <c r="I118" s="119" t="n">
        <v>144.9794030761719</v>
      </c>
      <c r="J118" s="119" t="n">
        <v/>
      </c>
      <c r="K118" s="121" t="n">
        <v>0.1918328484731672</v>
      </c>
      <c r="L118" s="121" t="n">
        <v>-0.1704008540187686</v>
      </c>
      <c r="M118" s="121" t="n">
        <v>-0.182692270942154</v>
      </c>
      <c r="N118" t="n">
        <v>38.88344986563448</v>
      </c>
      <c r="O118" t="n">
        <v>0.5579917279311863</v>
      </c>
      <c r="P118" t="n">
        <v>101.3631298405301</v>
      </c>
      <c r="Q118" t="n">
        <v>96.47326236508749</v>
      </c>
    </row>
    <row r="119">
      <c r="A119" s="118" t="n">
        <v>44603</v>
      </c>
      <c r="B119" s="119" t="n">
        <v>133.726382051626</v>
      </c>
      <c r="C119" s="119" t="n">
        <v>134.0035188590201</v>
      </c>
      <c r="D119" s="119" t="n">
        <v>128.9227290745938</v>
      </c>
      <c r="E119" s="119" t="n">
        <v>129.4954681396484</v>
      </c>
      <c r="F119" s="120" t="n">
        <v>6710500</v>
      </c>
      <c r="G119" s="121" t="n">
        <v>-0.03203971839712105</v>
      </c>
      <c r="H119" s="122" t="n">
        <v>84.27014936859069</v>
      </c>
      <c r="I119" s="119" t="n">
        <v>144.4949563598633</v>
      </c>
      <c r="J119" s="119" t="n">
        <v/>
      </c>
      <c r="K119" s="121" t="n">
        <v>0.2130476695193601</v>
      </c>
      <c r="L119" s="121" t="n">
        <v>-0.1969809770384993</v>
      </c>
      <c r="M119" s="121" t="n">
        <v>-0.2088785804249579</v>
      </c>
      <c r="N119" t="n">
        <v>31.86878399863872</v>
      </c>
      <c r="O119" t="n">
        <v>0.2764786060564162</v>
      </c>
      <c r="P119" t="n">
        <v>99.36437369897897</v>
      </c>
      <c r="Q119" t="n">
        <v>93.41294779970994</v>
      </c>
    </row>
    <row r="120">
      <c r="A120" s="118" t="n">
        <v>44606</v>
      </c>
      <c r="B120" s="119" t="n">
        <v>129.4030712611824</v>
      </c>
      <c r="C120" s="119" t="n">
        <v>132.2945064382531</v>
      </c>
      <c r="D120" s="119" t="n">
        <v>129.1351672355233</v>
      </c>
      <c r="E120" s="119" t="n">
        <v>130.7979736328125</v>
      </c>
      <c r="F120" s="120" t="n">
        <v>6841200</v>
      </c>
      <c r="G120" s="121" t="n">
        <v>0.01005830946732011</v>
      </c>
      <c r="H120" s="122" t="n">
        <v>85.11776460979728</v>
      </c>
      <c r="I120" s="119" t="n">
        <v>143.9756997680664</v>
      </c>
      <c r="J120" s="119" t="n">
        <v/>
      </c>
      <c r="K120" s="121" t="n">
        <v>0.2166400612660385</v>
      </c>
      <c r="L120" s="121" t="n">
        <v>-0.1889039631974073</v>
      </c>
      <c r="M120" s="121" t="n">
        <v>-0.2009212363606465</v>
      </c>
      <c r="N120" t="n">
        <v>35.66679245926656</v>
      </c>
      <c r="O120" t="n">
        <v>0.2002030555877705</v>
      </c>
      <c r="P120" t="n">
        <v>99.03951445619609</v>
      </c>
      <c r="Q120" t="n">
        <v>93.5287007660433</v>
      </c>
    </row>
    <row r="121">
      <c r="A121" s="118" t="n">
        <v>44607</v>
      </c>
      <c r="B121" s="119" t="n">
        <v>133.2275303075529</v>
      </c>
      <c r="C121" s="119" t="n">
        <v>135.1674736193965</v>
      </c>
      <c r="D121" s="119" t="n">
        <v>133.1166812368516</v>
      </c>
      <c r="E121" s="119" t="n">
        <v>134.4838714599609</v>
      </c>
      <c r="F121" s="120" t="n">
        <v>7820200</v>
      </c>
      <c r="G121" s="121" t="n">
        <v>0.02818008356532964</v>
      </c>
      <c r="H121" s="122" t="n">
        <v>87.51639032939542</v>
      </c>
      <c r="I121" s="119" t="n">
        <v>143.5200915527344</v>
      </c>
      <c r="J121" s="119" t="n">
        <v/>
      </c>
      <c r="K121" s="121" t="n">
        <v>0.2403781000935293</v>
      </c>
      <c r="L121" s="121" t="n">
        <v>-0.1660472091008026</v>
      </c>
      <c r="M121" s="121" t="n">
        <v>-0.1784031300260093</v>
      </c>
      <c r="N121" t="n">
        <v>45.00900562778277</v>
      </c>
      <c r="O121" t="n">
        <v>0.4082111566141573</v>
      </c>
      <c r="P121" t="n">
        <v>100.6367238231819</v>
      </c>
      <c r="Q121" t="n">
        <v>95.85420479468389</v>
      </c>
    </row>
    <row r="122">
      <c r="A122" s="118" t="n">
        <v>44608</v>
      </c>
      <c r="B122" s="119" t="n">
        <v>133.9665059093926</v>
      </c>
      <c r="C122" s="119" t="n">
        <v>135.7493935634253</v>
      </c>
      <c r="D122" s="119" t="n">
        <v>133.5877529345985</v>
      </c>
      <c r="E122" s="119" t="n">
        <v>135.324462890625</v>
      </c>
      <c r="F122" s="120" t="n">
        <v>4817500</v>
      </c>
      <c r="G122" s="121" t="n">
        <v>0.006250499941283572</v>
      </c>
      <c r="H122" s="122" t="n">
        <v>88.06341152201065</v>
      </c>
      <c r="I122" s="119" t="n">
        <v>143.1058679199219</v>
      </c>
      <c r="J122" s="119" t="n">
        <v/>
      </c>
      <c r="K122" s="121" t="n">
        <v>0.2369926058487626</v>
      </c>
      <c r="L122" s="121" t="n">
        <v>-0.1577523027699713</v>
      </c>
      <c r="M122" s="121" t="n">
        <v>-0.1732677388384781</v>
      </c>
      <c r="N122" t="n">
        <v>46.90271459308286</v>
      </c>
      <c r="O122" t="n">
        <v>0.6009874116675515</v>
      </c>
      <c r="P122" t="n">
        <v>100.7495198340547</v>
      </c>
      <c r="Q122" t="n">
        <v>95.82998017870823</v>
      </c>
    </row>
    <row r="123">
      <c r="A123" s="118" t="n">
        <v>44609</v>
      </c>
      <c r="B123" s="119" t="n">
        <v>134.4469038172795</v>
      </c>
      <c r="C123" s="119" t="n">
        <v>135.7124917088873</v>
      </c>
      <c r="D123" s="119" t="n">
        <v>131.7679480768818</v>
      </c>
      <c r="E123" s="119" t="n">
        <v>131.9157562255859</v>
      </c>
      <c r="F123" s="120" t="n">
        <v>5202300</v>
      </c>
      <c r="G123" s="121" t="n">
        <v>-0.02518913869840467</v>
      </c>
      <c r="H123" s="122" t="n">
        <v>85.84517003492805</v>
      </c>
      <c r="I123" s="119" t="n">
        <v>142.5794989013672</v>
      </c>
      <c r="J123" s="119" t="n">
        <v/>
      </c>
      <c r="K123" s="121" t="n">
        <v>0.2471780656679179</v>
      </c>
      <c r="L123" s="121" t="n">
        <v>-0.1689999409808668</v>
      </c>
      <c r="M123" s="121" t="n">
        <v>-0.1940924124313214</v>
      </c>
      <c r="N123" t="n">
        <v>40.77123994710266</v>
      </c>
      <c r="O123" t="n">
        <v>0.5015609417063658</v>
      </c>
      <c r="P123" t="n">
        <v>98.59736667849553</v>
      </c>
      <c r="Q123" t="n">
        <v>92.97963198679422</v>
      </c>
    </row>
    <row r="124">
      <c r="A124" s="118" t="n">
        <v>44610</v>
      </c>
      <c r="B124" s="119" t="n">
        <v>132.4423224221812</v>
      </c>
      <c r="C124" s="119" t="n">
        <v>132.9688837417619</v>
      </c>
      <c r="D124" s="119" t="n">
        <v>131.0012280044531</v>
      </c>
      <c r="E124" s="119" t="n">
        <v>132.0543365478516</v>
      </c>
      <c r="F124" s="120" t="n">
        <v>5177400</v>
      </c>
      <c r="G124" s="121" t="n">
        <v>0.001050521379937663</v>
      </c>
      <c r="H124" s="122" t="n">
        <v>85.93535222141412</v>
      </c>
      <c r="I124" s="119" t="n">
        <v>142.0751150512695</v>
      </c>
      <c r="J124" s="119" t="n">
        <v/>
      </c>
      <c r="K124" s="121" t="n">
        <v>0.2471472962210846</v>
      </c>
      <c r="L124" s="121" t="n">
        <v>-0.1675467516596275</v>
      </c>
      <c r="M124" s="121" t="n">
        <v>-0.1932457892803265</v>
      </c>
      <c r="N124" t="n">
        <v>41.10830801383135</v>
      </c>
      <c r="O124" t="n">
        <v>0.449435974042439</v>
      </c>
      <c r="P124" t="n">
        <v>97.95893803755723</v>
      </c>
      <c r="Q124" t="n">
        <v>91.91916121528368</v>
      </c>
    </row>
    <row r="125">
      <c r="A125" s="118" t="n">
        <v>44614</v>
      </c>
      <c r="B125" s="119" t="n">
        <v>130.7979729282972</v>
      </c>
      <c r="C125" s="119" t="n">
        <v>130.8441647354821</v>
      </c>
      <c r="D125" s="119" t="n">
        <v>125.7818555939003</v>
      </c>
      <c r="E125" s="119" t="n">
        <v>127.6571273803711</v>
      </c>
      <c r="F125" s="120" t="n">
        <v>9604500</v>
      </c>
      <c r="G125" s="121" t="n">
        <v>-0.03329848365780164</v>
      </c>
      <c r="H125" s="122" t="n">
        <v>83.07383529984193</v>
      </c>
      <c r="I125" s="119" t="n">
        <v>141.5225102233887</v>
      </c>
      <c r="J125" s="119" t="n">
        <v/>
      </c>
      <c r="K125" s="121" t="n">
        <v>0.2606493149296573</v>
      </c>
      <c r="L125" s="121" t="n">
        <v>-0.1932393780272912</v>
      </c>
      <c r="M125" s="121" t="n">
        <v>-0.2201094811818382</v>
      </c>
      <c r="N125" t="n">
        <v>34.41561706034435</v>
      </c>
      <c r="O125" t="n">
        <v>0.1392033042727192</v>
      </c>
      <c r="P125" t="n">
        <v>96.90768741105499</v>
      </c>
      <c r="Q125" t="n">
        <v>90.99595763858541</v>
      </c>
    </row>
    <row r="126">
      <c r="A126" s="118" t="n">
        <v>44615</v>
      </c>
      <c r="B126" s="119" t="n">
        <v>129.0151169373444</v>
      </c>
      <c r="C126" s="119" t="n">
        <v>130.2252664703382</v>
      </c>
      <c r="D126" s="119" t="n">
        <v>126.1052015079811</v>
      </c>
      <c r="E126" s="119" t="n">
        <v>126.4008178710938</v>
      </c>
      <c r="F126" s="120" t="n">
        <v>7636600</v>
      </c>
      <c r="G126" s="121" t="n">
        <v>-0.009841279802059177</v>
      </c>
      <c r="H126" s="122" t="n">
        <v>82.25628244242601</v>
      </c>
      <c r="I126" s="119" t="n">
        <v>140.9270426940918</v>
      </c>
      <c r="J126" s="119" t="n">
        <v/>
      </c>
      <c r="K126" s="121" t="n">
        <v>0.2619015386645822</v>
      </c>
      <c r="L126" s="121" t="n">
        <v>-0.2011789350414079</v>
      </c>
      <c r="M126" s="121" t="n">
        <v>-0.2277846019925008</v>
      </c>
      <c r="N126" t="n">
        <v>32.77388132415473</v>
      </c>
      <c r="O126" t="n">
        <v>-0.116415757631438</v>
      </c>
      <c r="P126" t="n">
        <v>95.18868235147784</v>
      </c>
      <c r="Q126" t="n">
        <v>88.66508349639983</v>
      </c>
    </row>
    <row r="127">
      <c r="A127" s="118" t="n">
        <v>44616</v>
      </c>
      <c r="B127" s="119" t="n">
        <v>122.86271416896</v>
      </c>
      <c r="C127" s="119" t="n">
        <v>126.9458192190235</v>
      </c>
      <c r="D127" s="119" t="n">
        <v>120.9504832050266</v>
      </c>
      <c r="E127" s="119" t="n">
        <v>126.7148742675781</v>
      </c>
      <c r="F127" s="120" t="n">
        <v>8417200</v>
      </c>
      <c r="G127" s="121" t="n">
        <v>0.002484607313258502</v>
      </c>
      <c r="H127" s="122" t="n">
        <v>82.46065700334391</v>
      </c>
      <c r="I127" s="119" t="n">
        <v>140.3788716125488</v>
      </c>
      <c r="J127" s="119" t="n">
        <v/>
      </c>
      <c r="K127" s="121" t="n">
        <v>0.2610839959339992</v>
      </c>
      <c r="L127" s="121" t="n">
        <v>-0.1991941783814269</v>
      </c>
      <c r="M127" s="121" t="n">
        <v>-0.2258659499672006</v>
      </c>
      <c r="N127" t="n">
        <v>33.62627372742226</v>
      </c>
      <c r="O127" t="n">
        <v>-0.2239216760466158</v>
      </c>
      <c r="P127" t="n">
        <v>96.62117559257052</v>
      </c>
      <c r="Q127" t="n">
        <v>91.64462682565913</v>
      </c>
    </row>
    <row r="128">
      <c r="A128" s="118" t="n">
        <v>44617</v>
      </c>
      <c r="B128" s="119" t="n">
        <v>127.6017113007057</v>
      </c>
      <c r="C128" s="119" t="n">
        <v>128.608627923523</v>
      </c>
      <c r="D128" s="119" t="n">
        <v>125.8095761910241</v>
      </c>
      <c r="E128" s="119" t="n">
        <v>128.2206420898438</v>
      </c>
      <c r="F128" s="120" t="n">
        <v>5424500</v>
      </c>
      <c r="G128" s="121" t="n">
        <v>0.01188311814985488</v>
      </c>
      <c r="H128" s="122" t="n">
        <v>83.44054673322931</v>
      </c>
      <c r="I128" s="119" t="n">
        <v>139.8874211120605</v>
      </c>
      <c r="J128" s="119" t="n">
        <v/>
      </c>
      <c r="K128" s="121" t="n">
        <v>0.2649147982644925</v>
      </c>
      <c r="L128" s="121" t="n">
        <v>-0.1896781081880418</v>
      </c>
      <c r="M128" s="121" t="n">
        <v>-0.2166668235868352</v>
      </c>
      <c r="N128" t="n">
        <v>37.70469339703528</v>
      </c>
      <c r="O128" t="n">
        <v>-0.1563949057303038</v>
      </c>
      <c r="P128" t="n">
        <v>98.75303922178364</v>
      </c>
      <c r="Q128" t="n">
        <v>93.06574800573316</v>
      </c>
    </row>
    <row r="129">
      <c r="A129" s="118" t="n">
        <v>44620</v>
      </c>
      <c r="B129" s="119" t="n">
        <v>126.6132505899033</v>
      </c>
      <c r="C129" s="119" t="n">
        <v>127.832646628856</v>
      </c>
      <c r="D129" s="119" t="n">
        <v>124.7472115435182</v>
      </c>
      <c r="E129" s="119" t="n">
        <v>126.1421279907227</v>
      </c>
      <c r="F129" s="120" t="n">
        <v>6613300</v>
      </c>
      <c r="G129" s="121" t="n">
        <v>-0.01621044837433183</v>
      </c>
      <c r="H129" s="122" t="n">
        <v>82.08793805808428</v>
      </c>
      <c r="I129" s="119" t="n">
        <v>139.3821133422852</v>
      </c>
      <c r="J129" s="119" t="n">
        <v/>
      </c>
      <c r="K129" s="121" t="n">
        <v>0.2663680782563894</v>
      </c>
      <c r="L129" s="121" t="n">
        <v>-0.2028137893818504</v>
      </c>
      <c r="M129" s="121" t="n">
        <v>-0.2293650056029822</v>
      </c>
      <c r="N129" t="n">
        <v>34.54889320852625</v>
      </c>
      <c r="O129" t="n">
        <v>-0.2110849450076282</v>
      </c>
      <c r="P129" t="n">
        <v>98.50036035310947</v>
      </c>
      <c r="Q129" t="n">
        <v>93.34298433927968</v>
      </c>
    </row>
    <row r="130">
      <c r="A130" s="118" t="n">
        <v>44621</v>
      </c>
      <c r="B130" s="119" t="n">
        <v>126.2991752327275</v>
      </c>
      <c r="C130" s="119" t="n">
        <v>126.3268874990335</v>
      </c>
      <c r="D130" s="119" t="n">
        <v>121.1537149869112</v>
      </c>
      <c r="E130" s="119" t="n">
        <v>122.1421661376953</v>
      </c>
      <c r="F130" s="120" t="n">
        <v>6534000</v>
      </c>
      <c r="G130" s="121" t="n">
        <v>-0.03170996015955529</v>
      </c>
      <c r="H130" s="122" t="n">
        <v>79.48493281268239</v>
      </c>
      <c r="I130" s="119" t="n">
        <v>138.8186074829102</v>
      </c>
      <c r="J130" s="119" t="n">
        <v/>
      </c>
      <c r="K130" s="121" t="n">
        <v>0.2757345804110699</v>
      </c>
      <c r="L130" s="121" t="n">
        <v>-0.2280925323602987</v>
      </c>
      <c r="M130" s="121" t="n">
        <v>-0.2538018105728708</v>
      </c>
      <c r="N130" t="n">
        <v>29.44187800091575</v>
      </c>
      <c r="O130" t="n">
        <v>-0.4616523720894978</v>
      </c>
      <c r="P130" t="n">
        <v>97.00016462832413</v>
      </c>
      <c r="Q130" t="n">
        <v>91.91378265816394</v>
      </c>
    </row>
    <row r="131">
      <c r="A131" s="118" t="n">
        <v>44622</v>
      </c>
      <c r="B131" s="119" t="n">
        <v>122.8442147993216</v>
      </c>
      <c r="C131" s="119" t="n">
        <v>126.1975394637355</v>
      </c>
      <c r="D131" s="119" t="n">
        <v>122.6502289650425</v>
      </c>
      <c r="E131" s="119" t="n">
        <v>125.3384170532227</v>
      </c>
      <c r="F131" s="120" t="n">
        <v>7743900</v>
      </c>
      <c r="G131" s="121" t="n">
        <v>0.02616828419371653</v>
      </c>
      <c r="H131" s="122" t="n">
        <v>81.56491712364313</v>
      </c>
      <c r="I131" s="119" t="n">
        <v>138.3441535949707</v>
      </c>
      <c r="J131" s="119" t="n">
        <v/>
      </c>
      <c r="K131" s="121" t="n">
        <v>0.2972358224319672</v>
      </c>
      <c r="L131" s="121" t="n">
        <v>-0.2078930383758509</v>
      </c>
      <c r="M131" s="121" t="n">
        <v>-0.234275084287105</v>
      </c>
      <c r="N131" t="n">
        <v>37.40433286796866</v>
      </c>
      <c r="O131" t="n">
        <v>-0.3615591061383112</v>
      </c>
      <c r="P131" t="n">
        <v>98.78461859275708</v>
      </c>
      <c r="Q131" t="n">
        <v>93.45602691811628</v>
      </c>
    </row>
    <row r="132">
      <c r="A132" s="118" t="n">
        <v>44623</v>
      </c>
      <c r="B132" s="119" t="n">
        <v>126.3176398619608</v>
      </c>
      <c r="C132" s="119" t="n">
        <v>126.3730643880292</v>
      </c>
      <c r="D132" s="119" t="n">
        <v>123.2783967887917</v>
      </c>
      <c r="E132" s="119" t="n">
        <v>123.7587661743164</v>
      </c>
      <c r="F132" s="120" t="n">
        <v>4576500</v>
      </c>
      <c r="G132" s="121" t="n">
        <v>-0.01260308623680384</v>
      </c>
      <c r="H132" s="122" t="n">
        <v>80.53694743923609</v>
      </c>
      <c r="I132" s="119" t="n">
        <v>137.9190298461914</v>
      </c>
      <c r="J132" s="119" t="n">
        <v/>
      </c>
      <c r="K132" s="121" t="n">
        <v>0.2972414508501294</v>
      </c>
      <c r="L132" s="121" t="n">
        <v>-0.2178760307219728</v>
      </c>
      <c r="M132" s="121" t="n">
        <v>-0.243925581433504</v>
      </c>
      <c r="N132" t="n">
        <v>35.28501910232498</v>
      </c>
      <c r="O132" t="n">
        <v>-0.3508883944225625</v>
      </c>
      <c r="P132" t="n">
        <v>98.29281159568747</v>
      </c>
      <c r="Q132" t="n">
        <v>92.12103864413072</v>
      </c>
    </row>
    <row r="133">
      <c r="A133" s="118" t="n">
        <v>44624</v>
      </c>
      <c r="B133" s="119" t="n">
        <v>122.689371458379</v>
      </c>
      <c r="C133" s="119" t="n">
        <v>123.7171073488625</v>
      </c>
      <c r="D133" s="119" t="n">
        <v>121.0135170171232</v>
      </c>
      <c r="E133" s="119" t="n">
        <v>121.4579391479492</v>
      </c>
      <c r="F133" s="120" t="n">
        <v>7084500</v>
      </c>
      <c r="G133" s="121" t="n">
        <v>-0.01859122466627072</v>
      </c>
      <c r="H133" s="122" t="n">
        <v>79.03966695545761</v>
      </c>
      <c r="I133" s="119" t="n">
        <v>137.2696003723144</v>
      </c>
      <c r="J133" s="119" t="n">
        <v/>
      </c>
      <c r="K133" s="121" t="n">
        <v>0.2942149101372711</v>
      </c>
      <c r="L133" s="121" t="n">
        <v>-0.2277280234029466</v>
      </c>
      <c r="M133" s="121" t="n">
        <v>-0.2579819308134937</v>
      </c>
      <c r="N133" t="n">
        <v>32.40501496171277</v>
      </c>
      <c r="O133" t="n">
        <v>-0.4420494149431144</v>
      </c>
      <c r="P133" t="n">
        <v>97.49423983785938</v>
      </c>
      <c r="Q133" t="n">
        <v>90.78599970869664</v>
      </c>
    </row>
    <row r="134">
      <c r="A134" s="118" t="n">
        <v>44627</v>
      </c>
      <c r="B134" s="119" t="n">
        <v>121.2912893455789</v>
      </c>
      <c r="C134" s="119" t="n">
        <v>121.3190648464928</v>
      </c>
      <c r="D134" s="119" t="n">
        <v>114.9674746255691</v>
      </c>
      <c r="E134" s="119" t="n">
        <v>115.2174682617188</v>
      </c>
      <c r="F134" s="120" t="n">
        <v>11383400</v>
      </c>
      <c r="G134" s="121" t="n">
        <v>-0.05137968691061756</v>
      </c>
      <c r="H134" s="122" t="n">
        <v>74.9786336137667</v>
      </c>
      <c r="I134" s="119" t="n">
        <v>136.5173472595215</v>
      </c>
      <c r="J134" s="119" t="n">
        <v/>
      </c>
      <c r="K134" s="121" t="n">
        <v>0.3363583238602411</v>
      </c>
      <c r="L134" s="121" t="n">
        <v>-0.2622502792370358</v>
      </c>
      <c r="M134" s="121" t="n">
        <v>-0.2961065868903173</v>
      </c>
      <c r="N134" t="n">
        <v>26.16667114813743</v>
      </c>
      <c r="O134" t="n">
        <v>-0.8426691284647978</v>
      </c>
      <c r="P134" t="n">
        <v>94.62018050581136</v>
      </c>
      <c r="Q134" t="n">
        <v>87.43770013910786</v>
      </c>
    </row>
    <row r="135">
      <c r="A135" s="118" t="n">
        <v>44628</v>
      </c>
      <c r="B135" s="119" t="n">
        <v>115.958171005851</v>
      </c>
      <c r="C135" s="119" t="n">
        <v>116.1711282802853</v>
      </c>
      <c r="D135" s="119" t="n">
        <v>111.8472345122527</v>
      </c>
      <c r="E135" s="119" t="n">
        <v>112.2268447875977</v>
      </c>
      <c r="F135" s="120" t="n">
        <v>9089400</v>
      </c>
      <c r="G135" s="121" t="n">
        <v>-0.02595633734398528</v>
      </c>
      <c r="H135" s="122" t="n">
        <v>73.03246290609671</v>
      </c>
      <c r="I135" s="119" t="n">
        <v>135.7010327148438</v>
      </c>
      <c r="J135" s="119" t="n">
        <v/>
      </c>
      <c r="K135" s="121" t="n">
        <v>0.3418664897457794</v>
      </c>
      <c r="L135" s="121" t="n">
        <v>-0.2813995598645901</v>
      </c>
      <c r="M135" s="121" t="n">
        <v>-0.3143770817752015</v>
      </c>
      <c r="N135" t="n">
        <v>23.80185716589739</v>
      </c>
      <c r="O135" t="n">
        <v>-1.206932125170038</v>
      </c>
      <c r="P135" t="n">
        <v>93.90279612062498</v>
      </c>
      <c r="Q135" t="n">
        <v>87.0312939989403</v>
      </c>
    </row>
    <row r="136">
      <c r="A136" s="118" t="n">
        <v>44629</v>
      </c>
      <c r="B136" s="119" t="n">
        <v>117.9395672168054</v>
      </c>
      <c r="C136" s="119" t="n">
        <v>120.0413290902511</v>
      </c>
      <c r="D136" s="119" t="n">
        <v>117.2451514739897</v>
      </c>
      <c r="E136" s="119" t="n">
        <v>117.5414352416992</v>
      </c>
      <c r="F136" s="120" t="n">
        <v>8845100</v>
      </c>
      <c r="G136" s="121" t="n">
        <v>0.0473557860791689</v>
      </c>
      <c r="H136" s="122" t="n">
        <v>76.49097259631266</v>
      </c>
      <c r="I136" s="119" t="n">
        <v>134.9557209777832</v>
      </c>
      <c r="J136" s="119" t="n">
        <v/>
      </c>
      <c r="K136" s="121" t="n">
        <v>0.3950995626079192</v>
      </c>
      <c r="L136" s="121" t="n">
        <v>-0.2461211160882357</v>
      </c>
      <c r="M136" s="121" t="n">
        <v>-0.2819088695287725</v>
      </c>
      <c r="N136" t="n">
        <v>35.0376336941743</v>
      </c>
      <c r="O136" t="n">
        <v>-0.9965419750623905</v>
      </c>
      <c r="P136" t="n">
        <v>96.42039488847345</v>
      </c>
      <c r="Q136" t="n">
        <v>90.16426552509532</v>
      </c>
    </row>
    <row r="137">
      <c r="A137" s="118" t="n">
        <v>44630</v>
      </c>
      <c r="B137" s="119" t="n">
        <v>114.8285922999088</v>
      </c>
      <c r="C137" s="119" t="n">
        <v>117.217384320633</v>
      </c>
      <c r="D137" s="119" t="n">
        <v>114.8100776535922</v>
      </c>
      <c r="E137" s="119" t="n">
        <v>116.6896286010742</v>
      </c>
      <c r="F137" s="120" t="n">
        <v>7167400</v>
      </c>
      <c r="G137" s="121" t="n">
        <v>-0.007246862681857147</v>
      </c>
      <c r="H137" s="122" t="n">
        <v>75.93665302150548</v>
      </c>
      <c r="I137" s="119" t="n">
        <v>134.2148046875</v>
      </c>
      <c r="J137" s="119" t="n">
        <v/>
      </c>
      <c r="K137" s="121" t="n">
        <v>0.3841422583266068</v>
      </c>
      <c r="L137" s="121" t="n">
        <v>-0.2515843728386961</v>
      </c>
      <c r="M137" s="121" t="n">
        <v>-0.287112777344357</v>
      </c>
      <c r="N137" t="n">
        <v>34.16800427988916</v>
      </c>
      <c r="O137" t="n">
        <v>-0.8282531007524012</v>
      </c>
      <c r="P137" t="n">
        <v>95.98502979772665</v>
      </c>
      <c r="Q137" t="n">
        <v>89.16300109977557</v>
      </c>
    </row>
    <row r="138">
      <c r="A138" s="118" t="n">
        <v>44631</v>
      </c>
      <c r="B138" s="119" t="n">
        <v>117.5970035293588</v>
      </c>
      <c r="C138" s="119" t="n">
        <v>118.3932675488042</v>
      </c>
      <c r="D138" s="119" t="n">
        <v>113.4305087101987</v>
      </c>
      <c r="E138" s="119" t="n">
        <v>113.5416107177734</v>
      </c>
      <c r="F138" s="120" t="n">
        <v>5882000</v>
      </c>
      <c r="G138" s="121" t="n">
        <v>-0.02697770076947359</v>
      </c>
      <c r="H138" s="122" t="n">
        <v>73.88805671885596</v>
      </c>
      <c r="I138" s="119" t="n">
        <v>133.3673260498047</v>
      </c>
      <c r="J138" s="119" t="n">
        <v/>
      </c>
      <c r="K138" s="121" t="n">
        <v>0.3905710799961925</v>
      </c>
      <c r="L138" s="121" t="n">
        <v>-0.2717749056794516</v>
      </c>
      <c r="M138" s="121" t="n">
        <v>-0.3063448355195421</v>
      </c>
      <c r="N138" t="n">
        <v>31.09623807329628</v>
      </c>
      <c r="O138" t="n">
        <v>-0.8398255521350588</v>
      </c>
      <c r="P138" t="n">
        <v>94.7645485708432</v>
      </c>
      <c r="Q138" t="n">
        <v>87.31391733318131</v>
      </c>
    </row>
    <row r="139">
      <c r="A139" s="118" t="n">
        <v>44634</v>
      </c>
      <c r="B139" s="119" t="n">
        <v>112.5231038282887</v>
      </c>
      <c r="C139" s="119" t="n">
        <v>113.3749186108599</v>
      </c>
      <c r="D139" s="119" t="n">
        <v>108.0973628232329</v>
      </c>
      <c r="E139" s="119" t="n">
        <v>108.8565902709961</v>
      </c>
      <c r="F139" s="120" t="n">
        <v>13884900</v>
      </c>
      <c r="G139" s="121" t="n">
        <v>-0.04126258573539832</v>
      </c>
      <c r="H139" s="122" t="n">
        <v>70.8392444436722</v>
      </c>
      <c r="I139" s="119" t="n">
        <v>132.4499803161621</v>
      </c>
      <c r="J139" s="119" t="n">
        <v/>
      </c>
      <c r="K139" s="121" t="n">
        <v>0.3994096000440779</v>
      </c>
      <c r="L139" s="121" t="n">
        <v>-0.3018233560685217</v>
      </c>
      <c r="M139" s="121" t="n">
        <v>-0.3349668412147188</v>
      </c>
      <c r="N139" t="n">
        <v>27.17993776682124</v>
      </c>
      <c r="O139" t="n">
        <v>-1.059698731515168</v>
      </c>
      <c r="P139" t="n">
        <v>94.07197550330537</v>
      </c>
      <c r="Q139" t="n">
        <v>85.63707404803968</v>
      </c>
    </row>
    <row r="140">
      <c r="A140" s="118" t="n">
        <v>44635</v>
      </c>
      <c r="B140" s="119" t="n">
        <v>110.9583883227274</v>
      </c>
      <c r="C140" s="119" t="n">
        <v>111.4954049312444</v>
      </c>
      <c r="D140" s="119" t="n">
        <v>109.0232862504702</v>
      </c>
      <c r="E140" s="119" t="n">
        <v>110.5510025024414</v>
      </c>
      <c r="F140" s="120" t="n">
        <v>10431300</v>
      </c>
      <c r="G140" s="121" t="n">
        <v>0.01556554570767932</v>
      </c>
      <c r="H140" s="122" t="n">
        <v>71.94189594095765</v>
      </c>
      <c r="I140" s="119" t="n">
        <v>131.5816729736328</v>
      </c>
      <c r="J140" s="119" t="n">
        <v/>
      </c>
      <c r="K140" s="121" t="n">
        <v>0.4032346590047136</v>
      </c>
      <c r="L140" s="121" t="n">
        <v>-0.2909558556053721</v>
      </c>
      <c r="M140" s="121" t="n">
        <v>-0.324615237184524</v>
      </c>
      <c r="N140" t="n">
        <v>30.58491538835226</v>
      </c>
      <c r="O140" t="n">
        <v>-0.9890688985917206</v>
      </c>
      <c r="P140" t="n">
        <v>96.14065844012833</v>
      </c>
      <c r="Q140" t="n">
        <v>88.32324537239327</v>
      </c>
    </row>
    <row r="141">
      <c r="A141" s="118" t="n">
        <v>44636</v>
      </c>
      <c r="B141" s="119" t="n">
        <v>113.7453146302532</v>
      </c>
      <c r="C141" s="119" t="n">
        <v>116.7637108312019</v>
      </c>
      <c r="D141" s="119" t="n">
        <v>112.8934995510045</v>
      </c>
      <c r="E141" s="119" t="n">
        <v>115.9118957519531</v>
      </c>
      <c r="F141" s="120" t="n">
        <v>11100400</v>
      </c>
      <c r="G141" s="121" t="n">
        <v>0.04849248878944645</v>
      </c>
      <c r="H141" s="122" t="n">
        <v>75.43053752336606</v>
      </c>
      <c r="I141" s="119" t="n">
        <v>130.8575347900391</v>
      </c>
      <c r="J141" s="119" t="n">
        <v/>
      </c>
      <c r="K141" s="121" t="n">
        <v>0.4328128557526106</v>
      </c>
      <c r="L141" s="121" t="n">
        <v>-0.2565725403820931</v>
      </c>
      <c r="M141" s="121" t="n">
        <v>-0.2918641491451316</v>
      </c>
      <c r="N141" t="n">
        <v>40.12422848852655</v>
      </c>
      <c r="O141" t="n">
        <v>-0.5038193969943299</v>
      </c>
      <c r="P141" t="n">
        <v>98.27250743571263</v>
      </c>
      <c r="Q141" t="n">
        <v>91.59887109405504</v>
      </c>
    </row>
    <row r="142">
      <c r="A142" s="118" t="n">
        <v>44637</v>
      </c>
      <c r="B142" s="119" t="n">
        <v>115.6804175807183</v>
      </c>
      <c r="C142" s="119" t="n">
        <v>117.9673614501953</v>
      </c>
      <c r="D142" s="119" t="n">
        <v>114.5323116863001</v>
      </c>
      <c r="E142" s="119" t="n">
        <v>117.9673614501953</v>
      </c>
      <c r="F142" s="120" t="n">
        <v>6845300</v>
      </c>
      <c r="G142" s="121" t="n">
        <v>0.01773300043889203</v>
      </c>
      <c r="H142" s="122" t="n">
        <v>76.76814727837376</v>
      </c>
      <c r="I142" s="119" t="n">
        <v>130.1427270507812</v>
      </c>
      <c r="J142" s="119" t="n">
        <v/>
      </c>
      <c r="K142" s="121" t="n">
        <v>0.4393628021002358</v>
      </c>
      <c r="L142" s="121" t="n">
        <v>-0.2433893409144043</v>
      </c>
      <c r="M142" s="121" t="n">
        <v>-0.2793067757911271</v>
      </c>
      <c r="N142" t="n">
        <v>43.33938618398516</v>
      </c>
      <c r="O142" t="n">
        <v>0.006071741776942474</v>
      </c>
      <c r="P142" t="n">
        <v>99.50198834431465</v>
      </c>
      <c r="Q142" t="n">
        <v>92.70777421036739</v>
      </c>
    </row>
    <row r="143">
      <c r="A143" s="118" t="n">
        <v>44638</v>
      </c>
      <c r="B143" s="119" t="n">
        <v>117.4488653687064</v>
      </c>
      <c r="C143" s="119" t="n">
        <v>121.7172157322188</v>
      </c>
      <c r="D143" s="119" t="n">
        <v>117.3099807866806</v>
      </c>
      <c r="E143" s="119" t="n">
        <v>121.5135192871094</v>
      </c>
      <c r="F143" s="120" t="n">
        <v>10350900</v>
      </c>
      <c r="G143" s="121" t="n">
        <v>0.03006049972908165</v>
      </c>
      <c r="H143" s="122" t="n">
        <v>79.07583614883742</v>
      </c>
      <c r="I143" s="119" t="n">
        <v>129.57533203125</v>
      </c>
      <c r="J143" s="119" t="n">
        <v/>
      </c>
      <c r="K143" s="121" t="n">
        <v>0.4517488665182918</v>
      </c>
      <c r="L143" s="121" t="n">
        <v>-0.2206452464019415</v>
      </c>
      <c r="M143" s="121" t="n">
        <v>-0.2576423773200452</v>
      </c>
      <c r="N143" t="n">
        <v>48.47940316090816</v>
      </c>
      <c r="O143" t="n">
        <v>0.5997970963251138</v>
      </c>
      <c r="P143" t="n">
        <v>100.5918058995475</v>
      </c>
      <c r="Q143" t="n">
        <v>94.60531565248775</v>
      </c>
    </row>
    <row r="144">
      <c r="A144" s="118" t="n">
        <v>44641</v>
      </c>
      <c r="B144" s="119" t="n">
        <v>120.1061524556003</v>
      </c>
      <c r="C144" s="119" t="n">
        <v>122.5041981855635</v>
      </c>
      <c r="D144" s="119" t="n">
        <v>119.0876703439161</v>
      </c>
      <c r="E144" s="119" t="n">
        <v>120.5413208007812</v>
      </c>
      <c r="F144" s="120" t="n">
        <v>14388500</v>
      </c>
      <c r="G144" s="121" t="n">
        <v>-0.008000743390791265</v>
      </c>
      <c r="H144" s="122" t="n">
        <v>78.44317067539831</v>
      </c>
      <c r="I144" s="119" t="n">
        <v>129.0108477783203</v>
      </c>
      <c r="J144" s="119" t="n">
        <v/>
      </c>
      <c r="K144" s="121" t="n">
        <v>0.4516251839685457</v>
      </c>
      <c r="L144" s="121" t="n">
        <v>-0.226880663795873</v>
      </c>
      <c r="M144" s="121" t="n">
        <v>-0.2635817901633054</v>
      </c>
      <c r="N144" t="n">
        <v>47.21483195485549</v>
      </c>
      <c r="O144" t="n">
        <v>0.9252260452594623</v>
      </c>
      <c r="P144" t="n">
        <v>100.5624069392668</v>
      </c>
      <c r="Q144" t="n">
        <v>94.34231518598024</v>
      </c>
    </row>
    <row r="145">
      <c r="A145" s="118" t="n">
        <v>44642</v>
      </c>
      <c r="B145" s="119" t="n">
        <v>127.105850765151</v>
      </c>
      <c r="C145" s="119" t="n">
        <v>128.6983785945404</v>
      </c>
      <c r="D145" s="119" t="n">
        <v>123.1337991097067</v>
      </c>
      <c r="E145" s="119" t="n">
        <v>123.2263793945312</v>
      </c>
      <c r="F145" s="120" t="n">
        <v>19731200</v>
      </c>
      <c r="G145" s="121" t="n">
        <v>0.02227500558242257</v>
      </c>
      <c r="H145" s="122" t="n">
        <v>80.19049274009573</v>
      </c>
      <c r="I145" s="119" t="n">
        <v>128.5752612304688</v>
      </c>
      <c r="J145" s="119" t="n">
        <v/>
      </c>
      <c r="K145" s="121" t="n">
        <v>0.4471403333374837</v>
      </c>
      <c r="L145" s="121" t="n">
        <v>-0.2096594262660472</v>
      </c>
      <c r="M145" s="121" t="n">
        <v>-0.2471780704281954</v>
      </c>
      <c r="N145" t="n">
        <v>51.01524235733397</v>
      </c>
      <c r="O145" t="n">
        <v>1.296721307191262</v>
      </c>
      <c r="P145" t="n">
        <v>101.7391262991919</v>
      </c>
      <c r="Q145" t="n">
        <v>96.19637221810594</v>
      </c>
    </row>
    <row r="146">
      <c r="A146" s="118" t="n">
        <v>44643</v>
      </c>
      <c r="B146" s="119" t="n">
        <v>122.80972343666</v>
      </c>
      <c r="C146" s="119" t="n">
        <v>125.365167975494</v>
      </c>
      <c r="D146" s="119" t="n">
        <v>121.4764431110343</v>
      </c>
      <c r="E146" s="119" t="n">
        <v>123.1430435180664</v>
      </c>
      <c r="F146" s="120" t="n">
        <v>8068800</v>
      </c>
      <c r="G146" s="121" t="n">
        <v>-0.000676282764082714</v>
      </c>
      <c r="H146" s="122" t="n">
        <v>80.13626129201231</v>
      </c>
      <c r="I146" s="119" t="n">
        <v>128.2586534118652</v>
      </c>
      <c r="J146" s="119" t="n">
        <v/>
      </c>
      <c r="K146" s="121" t="n">
        <v>0.4460243871392454</v>
      </c>
      <c r="L146" s="121" t="n">
        <v>-0.2101939199738188</v>
      </c>
      <c r="M146" s="121" t="n">
        <v>-0.2476871909235883</v>
      </c>
      <c r="N146" t="n">
        <v>50.89277013356631</v>
      </c>
      <c r="O146" t="n">
        <v>1.497987688386115</v>
      </c>
      <c r="P146" t="n">
        <v>100.4288897099981</v>
      </c>
      <c r="Q146" t="n">
        <v>94.8138888361165</v>
      </c>
    </row>
    <row r="147">
      <c r="A147" s="118" t="n">
        <v>44644</v>
      </c>
      <c r="B147" s="119" t="n">
        <v>123.8374829381255</v>
      </c>
      <c r="C147" s="119" t="n">
        <v>124.2448757966704</v>
      </c>
      <c r="D147" s="119" t="n">
        <v>121.4764664191407</v>
      </c>
      <c r="E147" s="119" t="n">
        <v>122.2912521362305</v>
      </c>
      <c r="F147" s="120" t="n">
        <v>5853800</v>
      </c>
      <c r="G147" s="121" t="n">
        <v>-0.006917088919529357</v>
      </c>
      <c r="H147" s="122" t="n">
        <v>79.58195164697682</v>
      </c>
      <c r="I147" s="119" t="n">
        <v>127.9275970458984</v>
      </c>
      <c r="J147" s="119" t="n">
        <v/>
      </c>
      <c r="K147" s="121" t="n">
        <v>0.446318224346187</v>
      </c>
      <c r="L147" s="121" t="n">
        <v>-0.2156570788585448</v>
      </c>
      <c r="M147" s="121" t="n">
        <v>-0.2528910055192708</v>
      </c>
      <c r="N147" t="n">
        <v>49.58252602510868</v>
      </c>
      <c r="O147" t="n">
        <v>1.529551936683137</v>
      </c>
      <c r="P147" t="n">
        <v>101.9428044617934</v>
      </c>
      <c r="Q147" t="n">
        <v>96.92132065952757</v>
      </c>
    </row>
    <row r="148">
      <c r="A148" s="118" t="n">
        <v>44645</v>
      </c>
      <c r="B148" s="119" t="n">
        <v>123.1893621139251</v>
      </c>
      <c r="C148" s="119" t="n">
        <v>123.9485826863551</v>
      </c>
      <c r="D148" s="119" t="n">
        <v>121.9486759785364</v>
      </c>
      <c r="E148" s="119" t="n">
        <v>123.7911834716797</v>
      </c>
      <c r="F148" s="120" t="n">
        <v>6287000</v>
      </c>
      <c r="G148" s="121" t="n">
        <v>0.01226523818546177</v>
      </c>
      <c r="H148" s="122" t="n">
        <v>80.55804323919088</v>
      </c>
      <c r="I148" s="119" t="n">
        <v>127.5912503051758</v>
      </c>
      <c r="J148" s="119" t="n">
        <v/>
      </c>
      <c r="K148" s="121" t="n">
        <v>0.4464710932856439</v>
      </c>
      <c r="L148" s="121" t="n">
        <v>-0.1999219130917759</v>
      </c>
      <c r="M148" s="121" t="n">
        <v>-0.2437275357514638</v>
      </c>
      <c r="N148" t="n">
        <v>51.92944492250969</v>
      </c>
      <c r="O148" t="n">
        <v>1.599690817207104</v>
      </c>
      <c r="P148" t="n">
        <v>102.4406258803042</v>
      </c>
      <c r="Q148" t="n">
        <v>96.840456544087</v>
      </c>
    </row>
    <row r="149">
      <c r="A149" s="118" t="n">
        <v>44648</v>
      </c>
      <c r="B149" s="119" t="n">
        <v>123.8467314277851</v>
      </c>
      <c r="C149" s="119" t="n">
        <v>124.8652135305491</v>
      </c>
      <c r="D149" s="119" t="n">
        <v>122.374573402092</v>
      </c>
      <c r="E149" s="119" t="n">
        <v>124.8189163208008</v>
      </c>
      <c r="F149" s="120" t="n">
        <v>5804100</v>
      </c>
      <c r="G149" s="121" t="n">
        <v>0.008302148992348934</v>
      </c>
      <c r="H149" s="122" t="n">
        <v>81.22684811669473</v>
      </c>
      <c r="I149" s="119" t="n">
        <v>127.3238642883301</v>
      </c>
      <c r="J149" s="119" t="n">
        <v/>
      </c>
      <c r="K149" s="121" t="n">
        <v>0.444144915542379</v>
      </c>
      <c r="L149" s="121" t="n">
        <v>-0.189310518773401</v>
      </c>
      <c r="M149" s="121" t="n">
        <v>-0.2374488490744615</v>
      </c>
      <c r="N149" t="n">
        <v>53.52577500713083</v>
      </c>
      <c r="O149" t="n">
        <v>1.65655011066774</v>
      </c>
      <c r="P149" t="n">
        <v>103.1693147437469</v>
      </c>
      <c r="Q149" t="n">
        <v>98.33881954603115</v>
      </c>
    </row>
    <row r="150">
      <c r="A150" s="118" t="n">
        <v>44649</v>
      </c>
      <c r="B150" s="119" t="n">
        <v>127.6336141157289</v>
      </c>
      <c r="C150" s="119" t="n">
        <v>129.3927949432149</v>
      </c>
      <c r="D150" s="119" t="n">
        <v>126.8003067806641</v>
      </c>
      <c r="E150" s="119" t="n">
        <v>128.8280029296875</v>
      </c>
      <c r="F150" s="120" t="n">
        <v>7275900</v>
      </c>
      <c r="G150" s="121" t="n">
        <v>0.03211922300769587</v>
      </c>
      <c r="H150" s="122" t="n">
        <v>83.83579136556709</v>
      </c>
      <c r="I150" s="119" t="n">
        <v>127.1627101135254</v>
      </c>
      <c r="J150" s="119" t="n">
        <v/>
      </c>
      <c r="K150" s="121" t="n">
        <v>0.4417828699228912</v>
      </c>
      <c r="L150" s="121" t="n">
        <v>-0.1618639641804829</v>
      </c>
      <c r="M150" s="121" t="n">
        <v>-0.2129562986031091</v>
      </c>
      <c r="N150" t="n">
        <v>59.21546909626066</v>
      </c>
      <c r="O150" t="n">
        <v>1.88859277728109</v>
      </c>
      <c r="P150" t="n">
        <v>104.4455866804711</v>
      </c>
      <c r="Q150" t="n">
        <v>100.031207452299</v>
      </c>
    </row>
    <row r="151">
      <c r="A151" s="118" t="n">
        <v>44650</v>
      </c>
      <c r="B151" s="119" t="n">
        <v>128.6798690462008</v>
      </c>
      <c r="C151" s="119" t="n">
        <v>129.4946547460243</v>
      </c>
      <c r="D151" s="119" t="n">
        <v>127.3651102028925</v>
      </c>
      <c r="E151" s="119" t="n">
        <v>128.2724761962891</v>
      </c>
      <c r="F151" s="120" t="n">
        <v>5545800</v>
      </c>
      <c r="G151" s="121" t="n">
        <v>-0.004312158232411933</v>
      </c>
      <c r="H151" s="122" t="n">
        <v>83.47427816765929</v>
      </c>
      <c r="I151" s="119" t="n">
        <v>127.0131709289551</v>
      </c>
      <c r="J151" s="119" t="n">
        <v/>
      </c>
      <c r="K151" s="121" t="n">
        <v>0.4337916777448793</v>
      </c>
      <c r="L151" s="121" t="n">
        <v>-0.1654781393872231</v>
      </c>
      <c r="M151" s="121" t="n">
        <v>-0.2163501555793557</v>
      </c>
      <c r="N151" t="n">
        <v>58.15305577077005</v>
      </c>
      <c r="O151" t="n">
        <v>1.92266548360642</v>
      </c>
      <c r="P151" t="n">
        <v>103.8006607083408</v>
      </c>
      <c r="Q151" t="n">
        <v>98.92629814684636</v>
      </c>
    </row>
    <row r="152">
      <c r="A152" s="118" t="n">
        <v>44651</v>
      </c>
      <c r="B152" s="119" t="n">
        <v>127.6150892610251</v>
      </c>
      <c r="C152" s="119" t="n">
        <v>128.429874867775</v>
      </c>
      <c r="D152" s="119" t="n">
        <v>124.5318818659449</v>
      </c>
      <c r="E152" s="119" t="n">
        <v>124.5874328613281</v>
      </c>
      <c r="F152" s="120" t="n">
        <v>7206500</v>
      </c>
      <c r="G152" s="121" t="n">
        <v>-0.02872824665302243</v>
      </c>
      <c r="H152" s="122" t="n">
        <v>81.07620851527577</v>
      </c>
      <c r="I152" s="119" t="n">
        <v>126.8239262390137</v>
      </c>
      <c r="J152" s="119" t="n">
        <v/>
      </c>
      <c r="K152" s="121" t="n">
        <v>0.4443975640999491</v>
      </c>
      <c r="L152" s="121" t="n">
        <v>-0.1687702527296326</v>
      </c>
      <c r="M152" s="121" t="n">
        <v>-0.2388630415994746</v>
      </c>
      <c r="N152" t="n">
        <v>51.54643620216294</v>
      </c>
      <c r="O152" t="n">
        <v>1.626767724627937</v>
      </c>
      <c r="P152" t="n">
        <v>102.2030269661195</v>
      </c>
      <c r="Q152" t="n">
        <v>97.70013066431929</v>
      </c>
    </row>
    <row r="153">
      <c r="A153" s="118" t="n">
        <v>44652</v>
      </c>
      <c r="B153" s="119" t="n">
        <v>124.4856187860566</v>
      </c>
      <c r="C153" s="119" t="n">
        <v>125.2541073980138</v>
      </c>
      <c r="D153" s="119" t="n">
        <v>122.911612264377</v>
      </c>
      <c r="E153" s="119" t="n">
        <v>123.6245498657227</v>
      </c>
      <c r="F153" s="120" t="n">
        <v>5807500</v>
      </c>
      <c r="G153" s="121" t="n">
        <v>-0.007728572404868461</v>
      </c>
      <c r="H153" s="122" t="n">
        <v>80.44960516745326</v>
      </c>
      <c r="I153" s="119" t="n">
        <v>126.6593951416016</v>
      </c>
      <c r="J153" s="119" t="n">
        <v/>
      </c>
      <c r="K153" s="121" t="n">
        <v>0.439790334965712</v>
      </c>
      <c r="L153" s="121" t="n">
        <v>-0.1689973678644785</v>
      </c>
      <c r="M153" s="121" t="n">
        <v>-0.2447455436924943</v>
      </c>
      <c r="N153" t="n">
        <v>49.94962136082326</v>
      </c>
      <c r="O153" t="n">
        <v>1.3095765007498</v>
      </c>
      <c r="P153" t="n">
        <v>102.4926703811694</v>
      </c>
      <c r="Q153" t="n">
        <v>97.51421159176154</v>
      </c>
    </row>
    <row r="154">
      <c r="A154" s="118" t="n">
        <v>44655</v>
      </c>
      <c r="B154" s="119" t="n">
        <v>123.1893619922057</v>
      </c>
      <c r="C154" s="119" t="n">
        <v>125.1892828259735</v>
      </c>
      <c r="D154" s="119" t="n">
        <v>123.0134410677643</v>
      </c>
      <c r="E154" s="119" t="n">
        <v>124.3837509155273</v>
      </c>
      <c r="F154" s="120" t="n">
        <v>5307300</v>
      </c>
      <c r="G154" s="121" t="n">
        <v>0.006141183532148764</v>
      </c>
      <c r="H154" s="122" t="n">
        <v>80.94366095787548</v>
      </c>
      <c r="I154" s="119" t="n">
        <v>126.5059834289551</v>
      </c>
      <c r="J154" s="119" t="n">
        <v/>
      </c>
      <c r="K154" s="121" t="n">
        <v>0.3934496136288949</v>
      </c>
      <c r="L154" s="121" t="n">
        <v>-0.1422147881521532</v>
      </c>
      <c r="M154" s="121" t="n">
        <v>-0.2401073874628368</v>
      </c>
      <c r="N154" t="n">
        <v>51.23241020470127</v>
      </c>
      <c r="O154" t="n">
        <v>1.102581224615336</v>
      </c>
      <c r="P154" t="n">
        <v>103.3706881098108</v>
      </c>
      <c r="Q154" t="n">
        <v>99.52184880512856</v>
      </c>
    </row>
    <row r="155">
      <c r="A155" s="118" t="n">
        <v>44656</v>
      </c>
      <c r="B155" s="119" t="n">
        <v>124.1059926767293</v>
      </c>
      <c r="C155" s="119" t="n">
        <v>124.6985602949272</v>
      </c>
      <c r="D155" s="119" t="n">
        <v>122.2357095202487</v>
      </c>
      <c r="E155" s="119" t="n">
        <v>122.4949569702148</v>
      </c>
      <c r="F155" s="120" t="n">
        <v>5707800</v>
      </c>
      <c r="G155" s="121" t="n">
        <v>-0.0151852145590563</v>
      </c>
      <c r="H155" s="122" t="n">
        <v>79.71451409903464</v>
      </c>
      <c r="I155" s="119" t="n">
        <v>126.2584457397461</v>
      </c>
      <c r="J155" s="119" t="n">
        <v/>
      </c>
      <c r="K155" s="121" t="n">
        <v>0.384277995035515</v>
      </c>
      <c r="L155" s="121" t="n">
        <v>-0.1288226593394188</v>
      </c>
      <c r="M155" s="121" t="n">
        <v>-0.2516465198260553</v>
      </c>
      <c r="N155" t="n">
        <v>47.94039465998285</v>
      </c>
      <c r="O155" t="n">
        <v>0.8040038080653638</v>
      </c>
      <c r="P155" t="n">
        <v>102.0649879455483</v>
      </c>
      <c r="Q155" t="n">
        <v>97.31205552494752</v>
      </c>
    </row>
    <row r="156">
      <c r="A156" s="118" t="n">
        <v>44657</v>
      </c>
      <c r="B156" s="119" t="n">
        <v>120.4116992026688</v>
      </c>
      <c r="C156" s="119" t="n">
        <v>120.6431711295759</v>
      </c>
      <c r="D156" s="119" t="n">
        <v>116.9673958000568</v>
      </c>
      <c r="E156" s="119" t="n">
        <v>118.8469467163086</v>
      </c>
      <c r="F156" s="120" t="n">
        <v>6961000</v>
      </c>
      <c r="G156" s="121" t="n">
        <v>-0.0297809015500391</v>
      </c>
      <c r="H156" s="122" t="n">
        <v>77.34054400254209</v>
      </c>
      <c r="I156" s="119" t="n">
        <v>125.9475553894043</v>
      </c>
      <c r="J156" s="119" t="n">
        <v/>
      </c>
      <c r="K156" s="121" t="n">
        <v>0.3678124609133682</v>
      </c>
      <c r="L156" s="121" t="n">
        <v>-0.1547671059542566</v>
      </c>
      <c r="M156" s="121" t="n">
        <v>-0.2739331611437448</v>
      </c>
      <c r="N156" t="n">
        <v>42.28848320037493</v>
      </c>
      <c r="O156" t="n">
        <v>0.349574839418986</v>
      </c>
      <c r="P156" t="n">
        <v>101.0444020882189</v>
      </c>
      <c r="Q156" t="n">
        <v>95.19927891871575</v>
      </c>
    </row>
    <row r="157">
      <c r="A157" s="118" t="n">
        <v>44658</v>
      </c>
      <c r="B157" s="119" t="n">
        <v>117.9858811514957</v>
      </c>
      <c r="C157" s="119" t="n">
        <v>120.3468907734002</v>
      </c>
      <c r="D157" s="119" t="n">
        <v>117.6710756301972</v>
      </c>
      <c r="E157" s="119" t="n">
        <v>119.7913665771484</v>
      </c>
      <c r="F157" s="120" t="n">
        <v>5320500</v>
      </c>
      <c r="G157" s="121" t="n">
        <v>0.007946521866432077</v>
      </c>
      <c r="H157" s="122" t="n">
        <v>77.95513232662005</v>
      </c>
      <c r="I157" s="119" t="n">
        <v>125.6830815124512</v>
      </c>
      <c r="J157" s="119" t="n">
        <v/>
      </c>
      <c r="K157" s="121" t="n">
        <v>0.3673536628905114</v>
      </c>
      <c r="L157" s="121" t="n">
        <v>-0.1480504442794943</v>
      </c>
      <c r="M157" s="121" t="n">
        <v>-0.2681634551322823</v>
      </c>
      <c r="N157" t="n">
        <v>44.12504143374505</v>
      </c>
      <c r="O157" t="n">
        <v>0.1135644641078285</v>
      </c>
      <c r="P157" t="n">
        <v>101.5535572522435</v>
      </c>
      <c r="Q157" t="n">
        <v>95.42564271435592</v>
      </c>
    </row>
    <row r="158">
      <c r="A158" s="118" t="n">
        <v>44659</v>
      </c>
      <c r="B158" s="119" t="n">
        <v>119.8469147268101</v>
      </c>
      <c r="C158" s="119" t="n">
        <v>120.300590690411</v>
      </c>
      <c r="D158" s="119" t="n">
        <v>118.4025250079298</v>
      </c>
      <c r="E158" s="119" t="n">
        <v>118.6525115966797</v>
      </c>
      <c r="F158" s="120" t="n">
        <v>4877400</v>
      </c>
      <c r="G158" s="121" t="n">
        <v>-0.0095069871311243</v>
      </c>
      <c r="H158" s="122" t="n">
        <v>77.21401388678578</v>
      </c>
      <c r="I158" s="119" t="n">
        <v>125.3838218688965</v>
      </c>
      <c r="J158" s="119" t="n">
        <v/>
      </c>
      <c r="K158" s="121" t="n">
        <v>0.3543531910283374</v>
      </c>
      <c r="L158" s="121" t="n">
        <v>-0.1413702699655696</v>
      </c>
      <c r="M158" s="121" t="n">
        <v>-0.2751210157464262</v>
      </c>
      <c r="N158" t="n">
        <v>42.37387124828294</v>
      </c>
      <c r="O158" t="n">
        <v>-0.1063818843575371</v>
      </c>
      <c r="P158" t="n">
        <v>101.282008319218</v>
      </c>
      <c r="Q158" t="n">
        <v>94.09165922576635</v>
      </c>
    </row>
    <row r="159">
      <c r="A159" s="118" t="n">
        <v>44662</v>
      </c>
      <c r="B159" s="119" t="n">
        <v>115.8285321007782</v>
      </c>
      <c r="C159" s="119" t="n">
        <v>117.4673570343666</v>
      </c>
      <c r="D159" s="119" t="n">
        <v>115.1063409357236</v>
      </c>
      <c r="E159" s="119" t="n">
        <v>115.7174301147461</v>
      </c>
      <c r="F159" s="120" t="n">
        <v>6365400</v>
      </c>
      <c r="G159" s="121" t="n">
        <v>-0.02473678342276009</v>
      </c>
      <c r="H159" s="122" t="n">
        <v>75.30398754806637</v>
      </c>
      <c r="I159" s="119" t="n">
        <v>125.0023959350586</v>
      </c>
      <c r="J159" s="119" t="n">
        <v/>
      </c>
      <c r="K159" s="121" t="n">
        <v>0.3314353360255701</v>
      </c>
      <c r="L159" s="121" t="n">
        <v>-0.1576547912546754</v>
      </c>
      <c r="M159" s="121" t="n">
        <v>-0.2930521901876172</v>
      </c>
      <c r="N159" t="n">
        <v>38.16954305969212</v>
      </c>
      <c r="O159" t="n">
        <v>-0.419118174154782</v>
      </c>
      <c r="P159" t="n">
        <v>99.55087929817117</v>
      </c>
      <c r="Q159" t="n">
        <v>91.86570494350187</v>
      </c>
    </row>
    <row r="160">
      <c r="A160" s="118" t="n">
        <v>44663</v>
      </c>
      <c r="B160" s="119" t="n">
        <v>115.9211257097601</v>
      </c>
      <c r="C160" s="119" t="n">
        <v>118.6062082500327</v>
      </c>
      <c r="D160" s="119" t="n">
        <v>115.1248618016687</v>
      </c>
      <c r="E160" s="119" t="n">
        <v>115.7729873657227</v>
      </c>
      <c r="F160" s="120" t="n">
        <v>5146800</v>
      </c>
      <c r="G160" s="121" t="n">
        <v>0.0004801113446908367</v>
      </c>
      <c r="H160" s="122" t="n">
        <v>75.34014184678865</v>
      </c>
      <c r="I160" s="119" t="n">
        <v>124.582173614502</v>
      </c>
      <c r="J160" s="119" t="n">
        <v/>
      </c>
      <c r="K160" s="121" t="n">
        <v>0.3283216826001583</v>
      </c>
      <c r="L160" s="121" t="n">
        <v>-0.1572503717638108</v>
      </c>
      <c r="M160" s="121" t="n">
        <v>-0.2927127765240218</v>
      </c>
      <c r="N160" t="n">
        <v>38.29434711234169</v>
      </c>
      <c r="O160" t="n">
        <v>-0.5818084161008357</v>
      </c>
      <c r="P160" t="n">
        <v>99.18200209992574</v>
      </c>
      <c r="Q160" t="n">
        <v>91.47766357842913</v>
      </c>
    </row>
    <row r="161">
      <c r="A161" s="118" t="n">
        <v>44664</v>
      </c>
      <c r="B161" s="119" t="n">
        <v>115.773012926583</v>
      </c>
      <c r="C161" s="119" t="n">
        <v>118.3840162753626</v>
      </c>
      <c r="D161" s="119" t="n">
        <v>115.773012926583</v>
      </c>
      <c r="E161" s="119" t="n">
        <v>118.0414352416992</v>
      </c>
      <c r="F161" s="120" t="n">
        <v>5119300</v>
      </c>
      <c r="G161" s="121" t="n">
        <v>0.01959393056698633</v>
      </c>
      <c r="H161" s="122" t="n">
        <v>76.81635135504153</v>
      </c>
      <c r="I161" s="119" t="n">
        <v>124.2045495605469</v>
      </c>
      <c r="J161" s="119" t="n">
        <v/>
      </c>
      <c r="K161" s="121" t="n">
        <v>0.2882194453953602</v>
      </c>
      <c r="L161" s="121" t="n">
        <v>-0.1407375940627974</v>
      </c>
      <c r="M161" s="121" t="n">
        <v>-0.278854239776317</v>
      </c>
      <c r="N161" t="n">
        <v>43.32463985703357</v>
      </c>
      <c r="O161" t="n">
        <v>-0.4993766417735355</v>
      </c>
      <c r="P161" t="n">
        <v>100.3180033876851</v>
      </c>
      <c r="Q161" t="n">
        <v>93.33710761124931</v>
      </c>
    </row>
    <row r="162">
      <c r="A162" s="118" t="n">
        <v>44665</v>
      </c>
      <c r="B162" s="119" t="n">
        <v>119.5135921307685</v>
      </c>
      <c r="C162" s="119" t="n">
        <v>124.4208000176158</v>
      </c>
      <c r="D162" s="119" t="n">
        <v>119.3376711982929</v>
      </c>
      <c r="E162" s="119" t="n">
        <v>123.5689849853516</v>
      </c>
      <c r="F162" s="120" t="n">
        <v>12811300</v>
      </c>
      <c r="G162" s="121" t="n">
        <v>0.0468271987064055</v>
      </c>
      <c r="H162" s="122" t="n">
        <v>80.41344590384513</v>
      </c>
      <c r="I162" s="119" t="n">
        <v>123.9284231567383</v>
      </c>
      <c r="J162" s="119" t="n">
        <v/>
      </c>
      <c r="K162" s="121" t="n">
        <v>0.3264935446977312</v>
      </c>
      <c r="L162" s="121" t="n">
        <v>-0.1005007426390319</v>
      </c>
      <c r="M162" s="121" t="n">
        <v>-0.2450850039660407</v>
      </c>
      <c r="N162" t="n">
        <v>53.31221608325374</v>
      </c>
      <c r="O162" t="n">
        <v>-0.0585018985520136</v>
      </c>
      <c r="P162" t="n">
        <v>99.06886951559029</v>
      </c>
      <c r="Q162" t="n">
        <v>91.20277455866484</v>
      </c>
    </row>
    <row r="163">
      <c r="A163" s="118" t="n">
        <v>44669</v>
      </c>
      <c r="B163" s="119" t="n">
        <v>122.2171619001162</v>
      </c>
      <c r="C163" s="119" t="n">
        <v>123.5041450853111</v>
      </c>
      <c r="D163" s="119" t="n">
        <v>120.6524096122909</v>
      </c>
      <c r="E163" s="119" t="n">
        <v>121.8745880126953</v>
      </c>
      <c r="F163" s="120" t="n">
        <v>5298200</v>
      </c>
      <c r="G163" s="121" t="n">
        <v>-0.01371215416924487</v>
      </c>
      <c r="H163" s="122" t="n">
        <v>79.31080433633136</v>
      </c>
      <c r="I163" s="119" t="n">
        <v>123.6812261962891</v>
      </c>
      <c r="J163" s="119" t="n">
        <v/>
      </c>
      <c r="K163" s="121" t="n">
        <v>0.3142680243097476</v>
      </c>
      <c r="L163" s="121" t="n">
        <v>-0.112834815131087</v>
      </c>
      <c r="M163" s="121" t="n">
        <v>-0.2554365147763333</v>
      </c>
      <c r="N163" t="n">
        <v>50.38130641323608</v>
      </c>
      <c r="O163" t="n">
        <v>0.1231721408375472</v>
      </c>
      <c r="P163" t="n">
        <v>99.10959490457044</v>
      </c>
      <c r="Q163" t="n">
        <v>91.27283934199217</v>
      </c>
    </row>
    <row r="164">
      <c r="A164" s="118" t="n">
        <v>44670</v>
      </c>
      <c r="B164" s="119" t="n">
        <v>123.2264144875653</v>
      </c>
      <c r="C164" s="119" t="n">
        <v>127.2910617133084</v>
      </c>
      <c r="D164" s="119" t="n">
        <v>122.9393915053989</v>
      </c>
      <c r="E164" s="119" t="n">
        <v>126.892936706543</v>
      </c>
      <c r="F164" s="120" t="n">
        <v>7346100</v>
      </c>
      <c r="G164" s="121" t="n">
        <v>0.04117633360389217</v>
      </c>
      <c r="H164" s="122" t="n">
        <v>82.57653247407715</v>
      </c>
      <c r="I164" s="119" t="n">
        <v>123.5329182434082</v>
      </c>
      <c r="J164" s="119" t="n">
        <v/>
      </c>
      <c r="K164" s="121" t="n">
        <v>0.34404131959977</v>
      </c>
      <c r="L164" s="121" t="n">
        <v>-0.07630460551716589</v>
      </c>
      <c r="M164" s="121" t="n">
        <v>-0.224778120319487</v>
      </c>
      <c r="N164" t="n">
        <v>57.78390366041108</v>
      </c>
      <c r="O164" t="n">
        <v>0.5609715592847189</v>
      </c>
      <c r="P164" t="n">
        <v>100.709489542443</v>
      </c>
      <c r="Q164" t="n">
        <v>93.31288299527365</v>
      </c>
    </row>
    <row r="165">
      <c r="A165" s="118" t="n">
        <v>44671</v>
      </c>
      <c r="B165" s="119" t="n">
        <v>127.7354544902584</v>
      </c>
      <c r="C165" s="119" t="n">
        <v>128.3743050416856</v>
      </c>
      <c r="D165" s="119" t="n">
        <v>125.6059102683985</v>
      </c>
      <c r="E165" s="119" t="n">
        <v>125.8003387451172</v>
      </c>
      <c r="F165" s="120" t="n">
        <v>5309700</v>
      </c>
      <c r="G165" s="121" t="n">
        <v>-0.008610392270710587</v>
      </c>
      <c r="H165" s="122" t="n">
        <v>81.86551613712028</v>
      </c>
      <c r="I165" s="119" t="n">
        <v>123.3673765563965</v>
      </c>
      <c r="J165" s="119" t="n">
        <v/>
      </c>
      <c r="K165" s="121" t="n">
        <v>0.3382629379727841</v>
      </c>
      <c r="L165" s="121" t="n">
        <v>-0.08425798520231187</v>
      </c>
      <c r="M165" s="121" t="n">
        <v>-0.2314530848003737</v>
      </c>
      <c r="N165" t="n">
        <v>55.83092345327746</v>
      </c>
      <c r="O165" t="n">
        <v>0.7450903274974013</v>
      </c>
      <c r="P165" t="n">
        <v>100.6348141346221</v>
      </c>
      <c r="Q165" t="n">
        <v>91.95194761606217</v>
      </c>
    </row>
    <row r="166">
      <c r="A166" s="118" t="n">
        <v>44672</v>
      </c>
      <c r="B166" s="119" t="n">
        <v>128.2817274612284</v>
      </c>
      <c r="C166" s="119" t="n">
        <v>128.8279977445436</v>
      </c>
      <c r="D166" s="119" t="n">
        <v>125.0688964177092</v>
      </c>
      <c r="E166" s="119" t="n">
        <v>125.4207382202148</v>
      </c>
      <c r="F166" s="120" t="n">
        <v>6562400</v>
      </c>
      <c r="G166" s="121" t="n">
        <v>-0.003017484123563841</v>
      </c>
      <c r="H166" s="122" t="n">
        <v>81.61848824190918</v>
      </c>
      <c r="I166" s="119" t="n">
        <v>123.2239892578125</v>
      </c>
      <c r="J166" s="119" t="n">
        <v/>
      </c>
      <c r="K166" s="121" t="n">
        <v>0.338541539898417</v>
      </c>
      <c r="L166" s="121" t="n">
        <v>-0.08702122219324404</v>
      </c>
      <c r="M166" s="121" t="n">
        <v>-0.2337721629152026</v>
      </c>
      <c r="N166" t="n">
        <v>55.13372026526116</v>
      </c>
      <c r="O166" t="n">
        <v>0.8043587878166878</v>
      </c>
      <c r="P166" t="n">
        <v>99.12995759906053</v>
      </c>
      <c r="Q166" t="n">
        <v>90.04935691623758</v>
      </c>
    </row>
    <row r="167">
      <c r="A167" s="118" t="n">
        <v>44673</v>
      </c>
      <c r="B167" s="119" t="n">
        <v>124.3745057043445</v>
      </c>
      <c r="C167" s="119" t="n">
        <v>124.9300298889853</v>
      </c>
      <c r="D167" s="119" t="n">
        <v>119.1710209635333</v>
      </c>
      <c r="E167" s="119" t="n">
        <v>119.5043411254883</v>
      </c>
      <c r="F167" s="120" t="n">
        <v>7321700</v>
      </c>
      <c r="G167" s="121" t="n">
        <v>-0.0471723989085322</v>
      </c>
      <c r="H167" s="122" t="n">
        <v>77.76834835625048</v>
      </c>
      <c r="I167" s="119" t="n">
        <v>122.9118354797363</v>
      </c>
      <c r="J167" s="119" t="n">
        <v/>
      </c>
      <c r="K167" s="121" t="n">
        <v>0.3789753033157285</v>
      </c>
      <c r="L167" s="121" t="n">
        <v>-0.1300886212949687</v>
      </c>
      <c r="M167" s="121" t="n">
        <v>-0.2699169681009885</v>
      </c>
      <c r="N167" t="n">
        <v>45.57997186164744</v>
      </c>
      <c r="O167" t="n">
        <v>0.4270878247720637</v>
      </c>
      <c r="P167" t="n">
        <v>96.40992452705942</v>
      </c>
      <c r="Q167" t="n">
        <v>87.6913535683602</v>
      </c>
    </row>
    <row r="168">
      <c r="A168" s="118" t="n">
        <v>44676</v>
      </c>
      <c r="B168" s="119" t="n">
        <v>118.3284527621121</v>
      </c>
      <c r="C168" s="119" t="n">
        <v>119.3839641917341</v>
      </c>
      <c r="D168" s="119" t="n">
        <v>115.5970797654188</v>
      </c>
      <c r="E168" s="119" t="n">
        <v>118.4580764770508</v>
      </c>
      <c r="F168" s="120" t="n">
        <v>6512500</v>
      </c>
      <c r="G168" s="121" t="n">
        <v>-0.008755034658856853</v>
      </c>
      <c r="H168" s="122" t="n">
        <v>77.08748377102945</v>
      </c>
      <c r="I168" s="119" t="n">
        <v>122.6053610229492</v>
      </c>
      <c r="J168" s="119" t="n">
        <v/>
      </c>
      <c r="K168" s="121" t="n">
        <v>0.376641549724435</v>
      </c>
      <c r="L168" s="121" t="n">
        <v>-0.1377047255656652</v>
      </c>
      <c r="M168" s="121" t="n">
        <v>-0.2763088703491076</v>
      </c>
      <c r="N168" t="n">
        <v>44.12384643424025</v>
      </c>
      <c r="O168" t="n">
        <v>0.1058066312915951</v>
      </c>
      <c r="P168" t="n">
        <v>96.96886329629807</v>
      </c>
      <c r="Q168" t="n">
        <v>88.8178277637403</v>
      </c>
    </row>
    <row r="169">
      <c r="A169" s="118" t="n">
        <v>44677</v>
      </c>
      <c r="B169" s="119" t="n">
        <v>117.5414403543204</v>
      </c>
      <c r="C169" s="119" t="n">
        <v>118.134007915514</v>
      </c>
      <c r="D169" s="119" t="n">
        <v>111.550952886127</v>
      </c>
      <c r="E169" s="119" t="n">
        <v>111.5879821777344</v>
      </c>
      <c r="F169" s="120" t="n">
        <v>7977900</v>
      </c>
      <c r="G169" s="121" t="n">
        <v>-0.05799599743329764</v>
      </c>
      <c r="H169" s="122" t="n">
        <v>72.61671826010544</v>
      </c>
      <c r="I169" s="119" t="n">
        <v>122.2472113037109</v>
      </c>
      <c r="J169" s="119" t="n">
        <v/>
      </c>
      <c r="K169" s="121" t="n">
        <v>0.4233692043320955</v>
      </c>
      <c r="L169" s="121" t="n">
        <v>-0.1877144000885037</v>
      </c>
      <c r="M169" s="121" t="n">
        <v>-0.318280059246841</v>
      </c>
      <c r="N169" t="n">
        <v>35.99280373961462</v>
      </c>
      <c r="O169" t="n">
        <v>-0.5354435257802302</v>
      </c>
      <c r="P169" t="n">
        <v>94.1605674921253</v>
      </c>
      <c r="Q169" t="n">
        <v>85.4653823989462</v>
      </c>
    </row>
    <row r="170">
      <c r="A170" s="118" t="n">
        <v>44678</v>
      </c>
      <c r="B170" s="119" t="n">
        <v>112.1157388444979</v>
      </c>
      <c r="C170" s="119" t="n">
        <v>114.8100754576331</v>
      </c>
      <c r="D170" s="119" t="n">
        <v>112.1157388444979</v>
      </c>
      <c r="E170" s="119" t="n">
        <v>112.2546234130859</v>
      </c>
      <c r="F170" s="120" t="n">
        <v>6007800</v>
      </c>
      <c r="G170" s="121" t="n">
        <v>0.005974131105711322</v>
      </c>
      <c r="H170" s="122" t="n">
        <v>73.05054005545783</v>
      </c>
      <c r="I170" s="119" t="n">
        <v>121.8763442993164</v>
      </c>
      <c r="J170" s="119" t="n">
        <v/>
      </c>
      <c r="K170" s="121" t="n">
        <v>0.4024165593047857</v>
      </c>
      <c r="L170" s="121" t="n">
        <v>-0.1828616994193508</v>
      </c>
      <c r="M170" s="121" t="n">
        <v>-0.3142073749434039</v>
      </c>
      <c r="N170" t="n">
        <v>37.20209848874665</v>
      </c>
      <c r="O170" t="n">
        <v>-0.8614313988144142</v>
      </c>
      <c r="P170" t="n">
        <v>94.42531910456827</v>
      </c>
      <c r="Q170" t="n">
        <v>85.36297872430248</v>
      </c>
    </row>
    <row r="171">
      <c r="A171" s="118" t="n">
        <v>44679</v>
      </c>
      <c r="B171" s="119" t="n">
        <v>114.0415770680423</v>
      </c>
      <c r="C171" s="119" t="n">
        <v>118.4858404933209</v>
      </c>
      <c r="D171" s="119" t="n">
        <v>113.5138214043871</v>
      </c>
      <c r="E171" s="119" t="n">
        <v>117.6340255737305</v>
      </c>
      <c r="F171" s="120" t="n">
        <v>6551600</v>
      </c>
      <c r="G171" s="121" t="n">
        <v>0.04792143073563082</v>
      </c>
      <c r="H171" s="122" t="n">
        <v>76.55122645092587</v>
      </c>
      <c r="I171" s="119" t="n">
        <v>121.5393473815918</v>
      </c>
      <c r="J171" s="119" t="n">
        <v/>
      </c>
      <c r="K171" s="121" t="n">
        <v>0.4465692263787455</v>
      </c>
      <c r="L171" s="121" t="n">
        <v>-0.1437032629466443</v>
      </c>
      <c r="M171" s="121" t="n">
        <v>-0.2813432111627477</v>
      </c>
      <c r="N171" t="n">
        <v>46.05842306212843</v>
      </c>
      <c r="O171" t="n">
        <v>-0.6700093880944082</v>
      </c>
      <c r="P171" t="n">
        <v>96.81045426442238</v>
      </c>
      <c r="Q171" t="n">
        <v>88.39470334555536</v>
      </c>
    </row>
    <row r="172">
      <c r="A172" s="118" t="n">
        <v>44680</v>
      </c>
      <c r="B172" s="119" t="n">
        <v>116.8655287031845</v>
      </c>
      <c r="C172" s="119" t="n">
        <v>118.9302540017448</v>
      </c>
      <c r="D172" s="119" t="n">
        <v>115.0415290836565</v>
      </c>
      <c r="E172" s="119" t="n">
        <v>115.4581756591797</v>
      </c>
      <c r="F172" s="120" t="n">
        <v>5867900</v>
      </c>
      <c r="G172" s="121" t="n">
        <v>-0.01849677339476075</v>
      </c>
      <c r="H172" s="122" t="n">
        <v>75.13527576217209</v>
      </c>
      <c r="I172" s="119" t="n">
        <v>121.1420216369629</v>
      </c>
      <c r="J172" s="119" t="n">
        <v/>
      </c>
      <c r="K172" s="121" t="n">
        <v>0.4404729382924016</v>
      </c>
      <c r="L172" s="121" t="n">
        <v>-0.1468048481929104</v>
      </c>
      <c r="M172" s="121" t="n">
        <v>-0.2946360429344768</v>
      </c>
      <c r="N172" t="n">
        <v>43.3927598894199</v>
      </c>
      <c r="O172" t="n">
        <v>-0.6449509943123599</v>
      </c>
      <c r="P172" t="n">
        <v>93.23275152464122</v>
      </c>
      <c r="Q172" t="n">
        <v>84.41707037508466</v>
      </c>
    </row>
    <row r="173">
      <c r="A173" s="118" t="n">
        <v>44683</v>
      </c>
      <c r="B173" s="119" t="n">
        <v>115.2081925790001</v>
      </c>
      <c r="C173" s="119" t="n">
        <v>116.8284958540847</v>
      </c>
      <c r="D173" s="119" t="n">
        <v>113.6989983572333</v>
      </c>
      <c r="E173" s="119" t="n">
        <v>116.7359085083008</v>
      </c>
      <c r="F173" s="120" t="n">
        <v>5428400</v>
      </c>
      <c r="G173" s="121" t="n">
        <v>0.01106662946843051</v>
      </c>
      <c r="H173" s="122" t="n">
        <v>75.96677001904038</v>
      </c>
      <c r="I173" s="119" t="n">
        <v>120.8384246826172</v>
      </c>
      <c r="J173" s="119" t="n">
        <v/>
      </c>
      <c r="K173" s="121" t="n">
        <v>0.4430861042437603</v>
      </c>
      <c r="L173" s="121" t="n">
        <v>-0.1373628535836001</v>
      </c>
      <c r="M173" s="121" t="n">
        <v>-0.2868300413812468</v>
      </c>
      <c r="N173" t="n">
        <v>45.39148195277951</v>
      </c>
      <c r="O173" t="n">
        <v>-0.503610137482559</v>
      </c>
      <c r="P173" t="n">
        <v>93.79395850634552</v>
      </c>
      <c r="Q173" t="n">
        <v>85.82649720412127</v>
      </c>
    </row>
    <row r="174">
      <c r="A174" s="118" t="n">
        <v>44684</v>
      </c>
      <c r="B174" s="119" t="n">
        <v>115.7544838824532</v>
      </c>
      <c r="C174" s="119" t="n">
        <v>116.4396459063808</v>
      </c>
      <c r="D174" s="119" t="n">
        <v>111.3102269021871</v>
      </c>
      <c r="E174" s="119" t="n">
        <v>113.7545700073242</v>
      </c>
      <c r="F174" s="120" t="n">
        <v>8201200</v>
      </c>
      <c r="G174" s="121" t="n">
        <v>-0.02553917247120729</v>
      </c>
      <c r="H174" s="122" t="n">
        <v>74.02664157744357</v>
      </c>
      <c r="I174" s="119" t="n">
        <v>120.4724293518066</v>
      </c>
      <c r="J174" s="119" t="n">
        <v/>
      </c>
      <c r="K174" s="121" t="n">
        <v>0.4491281573602589</v>
      </c>
      <c r="L174" s="121" t="n">
        <v>-0.1593938924459987</v>
      </c>
      <c r="M174" s="121" t="n">
        <v>-0.3050438119556949</v>
      </c>
      <c r="N174" t="n">
        <v>41.69240563594418</v>
      </c>
      <c r="O174" t="n">
        <v>-0.567451161072613</v>
      </c>
      <c r="P174" t="n">
        <v>94.22393110487558</v>
      </c>
      <c r="Q174" t="n">
        <v>85.9181522081003</v>
      </c>
    </row>
    <row r="175">
      <c r="A175" s="118" t="n">
        <v>44685</v>
      </c>
      <c r="B175" s="119" t="n">
        <v>113.4582780461105</v>
      </c>
      <c r="C175" s="119" t="n">
        <v>116.8470233082692</v>
      </c>
      <c r="D175" s="119" t="n">
        <v>111.1805951830943</v>
      </c>
      <c r="E175" s="119" t="n">
        <v>116.717399597168</v>
      </c>
      <c r="F175" s="120" t="n">
        <v>6924000</v>
      </c>
      <c r="G175" s="121" t="n">
        <v>0.02604580712364335</v>
      </c>
      <c r="H175" s="122" t="n">
        <v>75.95472520598075</v>
      </c>
      <c r="I175" s="119" t="n">
        <v>120.2536347961426</v>
      </c>
      <c r="J175" s="119" t="n">
        <v/>
      </c>
      <c r="K175" s="121" t="n">
        <v>0.4593321275268174</v>
      </c>
      <c r="L175" s="121" t="n">
        <v>-0.1374996279016905</v>
      </c>
      <c r="M175" s="121" t="n">
        <v>-0.2869431171225104</v>
      </c>
      <c r="N175" t="n">
        <v>46.36984384631077</v>
      </c>
      <c r="O175" t="n">
        <v>-0.375913303452047</v>
      </c>
      <c r="P175" t="n">
        <v>97.09332230933298</v>
      </c>
      <c r="Q175" t="n">
        <v>88.82318943371051</v>
      </c>
    </row>
    <row r="176">
      <c r="A176" s="118" t="n">
        <v>44686</v>
      </c>
      <c r="B176" s="119" t="n">
        <v>114.9119343037951</v>
      </c>
      <c r="C176" s="119" t="n">
        <v>115.504501924906</v>
      </c>
      <c r="D176" s="119" t="n">
        <v>107.8844422969868</v>
      </c>
      <c r="E176" s="119" t="n">
        <v>109.8380661010742</v>
      </c>
      <c r="F176" s="120" t="n">
        <v>8411600</v>
      </c>
      <c r="G176" s="121" t="n">
        <v>-0.05894008536719209</v>
      </c>
      <c r="H176" s="122" t="n">
        <v>71.47794721829862</v>
      </c>
      <c r="I176" s="119" t="n">
        <v>119.9223797607422</v>
      </c>
      <c r="J176" s="119" t="n">
        <v/>
      </c>
      <c r="K176" s="121" t="n">
        <v>0.4931288801747516</v>
      </c>
      <c r="L176" s="121" t="n">
        <v>-0.1883354734623998</v>
      </c>
      <c r="M176" s="121" t="n">
        <v>-0.3289707506709736</v>
      </c>
      <c r="N176" t="n">
        <v>38.62257638053522</v>
      </c>
      <c r="O176" t="n">
        <v>-0.6615967141965104</v>
      </c>
      <c r="P176" t="n">
        <v>93.64235411186679</v>
      </c>
      <c r="Q176" t="n">
        <v>84.34969909210459</v>
      </c>
    </row>
    <row r="177">
      <c r="A177" s="118" t="n">
        <v>44687</v>
      </c>
      <c r="B177" s="119" t="n">
        <v>105.3104821831163</v>
      </c>
      <c r="C177" s="119" t="n">
        <v>107.3104033317564</v>
      </c>
      <c r="D177" s="119" t="n">
        <v>102.4587529709659</v>
      </c>
      <c r="E177" s="119" t="n">
        <v>106.0048980712891</v>
      </c>
      <c r="F177" s="120" t="n">
        <v>11237500</v>
      </c>
      <c r="G177" s="121" t="n">
        <v>-0.03489835687982557</v>
      </c>
      <c r="H177" s="122" t="n">
        <v>68.98348430723709</v>
      </c>
      <c r="I177" s="119" t="n">
        <v>119.5081802368164</v>
      </c>
      <c r="J177" s="119" t="n">
        <v/>
      </c>
      <c r="K177" s="121" t="n">
        <v>0.5033167291453913</v>
      </c>
      <c r="L177" s="121" t="n">
        <v>-0.2166612317762038</v>
      </c>
      <c r="M177" s="121" t="n">
        <v>-0.3523885688908593</v>
      </c>
      <c r="N177" t="n">
        <v>35.10327301251336</v>
      </c>
      <c r="O177" t="n">
        <v>-1.035510097778403</v>
      </c>
      <c r="P177" t="n">
        <v>93.08341534262814</v>
      </c>
      <c r="Q177" t="n">
        <v>83.33911296025394</v>
      </c>
    </row>
    <row r="178">
      <c r="A178" s="118" t="n">
        <v>44690</v>
      </c>
      <c r="B178" s="119" t="n">
        <v>104.5975361559195</v>
      </c>
      <c r="C178" s="119" t="n">
        <v>105.9493313703623</v>
      </c>
      <c r="D178" s="119" t="n">
        <v>102.3939188761879</v>
      </c>
      <c r="E178" s="119" t="n">
        <v>102.9679718017578</v>
      </c>
      <c r="F178" s="120" t="n">
        <v>7506000</v>
      </c>
      <c r="G178" s="121" t="n">
        <v>-0.02864892400999142</v>
      </c>
      <c r="H178" s="122" t="n">
        <v>67.00718170737463</v>
      </c>
      <c r="I178" s="119" t="n">
        <v>119.0031268310547</v>
      </c>
      <c r="J178" s="119" t="n">
        <v/>
      </c>
      <c r="K178" s="121" t="n">
        <v>0.5098243408172221</v>
      </c>
      <c r="L178" s="121" t="n">
        <v>-0.2391030446211275</v>
      </c>
      <c r="M178" s="121" t="n">
        <v>-0.3709419395687069</v>
      </c>
      <c r="N178" t="n">
        <v>32.57101566378269</v>
      </c>
      <c r="O178" t="n">
        <v>-1.391948735657789</v>
      </c>
      <c r="P178" t="n">
        <v>90.10313049904333</v>
      </c>
      <c r="Q178" t="n">
        <v>80.07830571228938</v>
      </c>
    </row>
    <row r="179">
      <c r="A179" s="118" t="n">
        <v>44691</v>
      </c>
      <c r="B179" s="119" t="n">
        <v>104.6530858173413</v>
      </c>
      <c r="C179" s="119" t="n">
        <v>105.0327031658289</v>
      </c>
      <c r="D179" s="119" t="n">
        <v>100.3199310898155</v>
      </c>
      <c r="E179" s="119" t="n">
        <v>101.3754425048828</v>
      </c>
      <c r="F179" s="120" t="n">
        <v>7526900</v>
      </c>
      <c r="G179" s="121" t="n">
        <v>-0.015466258769679</v>
      </c>
      <c r="H179" s="122" t="n">
        <v>65.97083129566147</v>
      </c>
      <c r="I179" s="119" t="n">
        <v>118.5077931213379</v>
      </c>
      <c r="J179" s="119" t="n">
        <v/>
      </c>
      <c r="K179" s="121" t="n">
        <v>0.5064945773526432</v>
      </c>
      <c r="L179" s="121" t="n">
        <v>-0.250871273830078</v>
      </c>
      <c r="M179" s="121" t="n">
        <v>-0.3806711143124897</v>
      </c>
      <c r="N179" t="n">
        <v>31.29608065577993</v>
      </c>
      <c r="O179" t="n">
        <v>-1.623398865937279</v>
      </c>
      <c r="P179" t="n">
        <v>90.31130850250419</v>
      </c>
      <c r="Q179" t="n">
        <v>81.05117439570387</v>
      </c>
    </row>
    <row r="180">
      <c r="A180" s="118" t="n">
        <v>44692</v>
      </c>
      <c r="B180" s="119" t="n">
        <v>102.4957575511908</v>
      </c>
      <c r="C180" s="119" t="n">
        <v>102.9124112219939</v>
      </c>
      <c r="D180" s="119" t="n">
        <v>99.61624646419695</v>
      </c>
      <c r="E180" s="119" t="n">
        <v>99.92179107666016</v>
      </c>
      <c r="F180" s="120" t="n">
        <v>6611800</v>
      </c>
      <c r="G180" s="121" t="n">
        <v>-0.01433928565246601</v>
      </c>
      <c r="H180" s="122" t="n">
        <v>65.02485670098234</v>
      </c>
      <c r="I180" s="119" t="n">
        <v>118.0633856201172</v>
      </c>
      <c r="J180" s="119" t="n">
        <v/>
      </c>
      <c r="K180" s="121" t="n">
        <v>0.5066694586773599</v>
      </c>
      <c r="L180" s="121" t="n">
        <v>-0.2616132446250965</v>
      </c>
      <c r="M180" s="121" t="n">
        <v>-0.3895518481171864</v>
      </c>
      <c r="N180" t="n">
        <v>30.13648424400057</v>
      </c>
      <c r="O180" t="n">
        <v>-1.751812707271804</v>
      </c>
      <c r="P180" t="n">
        <v>88.87662021708989</v>
      </c>
      <c r="Q180" t="n">
        <v>78.64734776762434</v>
      </c>
    </row>
    <row r="181">
      <c r="A181" s="118" t="n">
        <v>44693</v>
      </c>
      <c r="B181" s="119" t="n">
        <v>97.38487398072679</v>
      </c>
      <c r="C181" s="119" t="n">
        <v>101.736543586986</v>
      </c>
      <c r="D181" s="119" t="n">
        <v>97.21821390290616</v>
      </c>
      <c r="E181" s="119" t="n">
        <v>99.90328979492188</v>
      </c>
      <c r="F181" s="120" t="n">
        <v>10245400</v>
      </c>
      <c r="G181" s="121" t="n">
        <v>-0.0001851576271695299</v>
      </c>
      <c r="H181" s="122" t="n">
        <v>65.01281685280854</v>
      </c>
      <c r="I181" s="119" t="n">
        <v>117.5546830749512</v>
      </c>
      <c r="J181" s="119" t="n">
        <v/>
      </c>
      <c r="K181" s="121" t="n">
        <v>0.497764321993736</v>
      </c>
      <c r="L181" s="121" t="n">
        <v>-0.2617499625646552</v>
      </c>
      <c r="M181" s="121" t="n">
        <v>-0.389664877248499</v>
      </c>
      <c r="N181" t="n">
        <v>30.12118692890425</v>
      </c>
      <c r="O181" t="n">
        <v>-1.71333306799233</v>
      </c>
      <c r="P181" t="n">
        <v>88.78384301043015</v>
      </c>
      <c r="Q181" t="n">
        <v>78.46138647719282</v>
      </c>
    </row>
    <row r="182">
      <c r="A182" s="118" t="n">
        <v>44694</v>
      </c>
      <c r="B182" s="119" t="n">
        <v>102.0883761756365</v>
      </c>
      <c r="C182" s="119" t="n">
        <v>104.7271546146808</v>
      </c>
      <c r="D182" s="119" t="n">
        <v>100.6162111113514</v>
      </c>
      <c r="E182" s="119" t="n">
        <v>104.6345672607422</v>
      </c>
      <c r="F182" s="120" t="n">
        <v>9618800</v>
      </c>
      <c r="G182" s="121" t="n">
        <v>0.04735857523343356</v>
      </c>
      <c r="H182" s="122" t="n">
        <v>68.09173123086971</v>
      </c>
      <c r="I182" s="119" t="n">
        <v>117.1721990966797</v>
      </c>
      <c r="J182" s="119" t="n">
        <v/>
      </c>
      <c r="K182" s="121" t="n">
        <v>0.4985412855476554</v>
      </c>
      <c r="L182" s="121" t="n">
        <v>-0.20764005184467</v>
      </c>
      <c r="M182" s="121" t="n">
        <v>-0.3607602754200652</v>
      </c>
      <c r="N182" t="n">
        <v>38.69163704271216</v>
      </c>
      <c r="O182" t="n">
        <v>-1.265240178650054</v>
      </c>
      <c r="P182" t="n">
        <v>90.90648013667811</v>
      </c>
      <c r="Q182" t="n">
        <v>81.36915942102405</v>
      </c>
    </row>
    <row r="183">
      <c r="A183" s="118" t="n">
        <v>44697</v>
      </c>
      <c r="B183" s="119" t="n">
        <v>104.6067933167979</v>
      </c>
      <c r="C183" s="119" t="n">
        <v>105.0327008024202</v>
      </c>
      <c r="D183" s="119" t="n">
        <v>103.2920274410499</v>
      </c>
      <c r="E183" s="119" t="n">
        <v>104.2549514770508</v>
      </c>
      <c r="F183" s="120" t="n">
        <v>5722500</v>
      </c>
      <c r="G183" s="121" t="n">
        <v>-0.003628015039670696</v>
      </c>
      <c r="H183" s="122" t="n">
        <v>67.8446934058869</v>
      </c>
      <c r="I183" s="119" t="n">
        <v>116.8281393432617</v>
      </c>
      <c r="J183" s="119" t="n">
        <v/>
      </c>
      <c r="K183" s="121" t="n">
        <v>0.4982432848753511</v>
      </c>
      <c r="L183" s="121" t="n">
        <v>-0.2105147456534103</v>
      </c>
      <c r="M183" s="121" t="n">
        <v>-0.3630794467547961</v>
      </c>
      <c r="N183" t="n">
        <v>38.28589737498003</v>
      </c>
      <c r="O183" t="n">
        <v>-0.9071809382998657</v>
      </c>
      <c r="P183" t="n">
        <v>90.53760293843268</v>
      </c>
      <c r="Q183" t="n">
        <v>80.425961459303</v>
      </c>
    </row>
    <row r="184">
      <c r="A184" s="118" t="n">
        <v>44698</v>
      </c>
      <c r="B184" s="119" t="n">
        <v>106.9400377651733</v>
      </c>
      <c r="C184" s="119" t="n">
        <v>108.4214567889545</v>
      </c>
      <c r="D184" s="119" t="n">
        <v>104.6901301945683</v>
      </c>
      <c r="E184" s="119" t="n">
        <v>107.3103942871094</v>
      </c>
      <c r="F184" s="120" t="n">
        <v>6026100</v>
      </c>
      <c r="G184" s="121" t="n">
        <v>0.02930741194322239</v>
      </c>
      <c r="H184" s="122" t="n">
        <v>69.83304578369486</v>
      </c>
      <c r="I184" s="119" t="n">
        <v>116.6699978637695</v>
      </c>
      <c r="J184" s="119" t="n">
        <v/>
      </c>
      <c r="K184" s="121" t="n">
        <v>0.4845170299524555</v>
      </c>
      <c r="L184" s="121" t="n">
        <v>-0.1670258651321495</v>
      </c>
      <c r="M184" s="121" t="n">
        <v>-0.3444129537257338</v>
      </c>
      <c r="N184" t="n">
        <v>43.42806228090678</v>
      </c>
      <c r="O184" t="n">
        <v>-0.4030380385481687</v>
      </c>
      <c r="P184" t="n">
        <v>92.40001024354018</v>
      </c>
      <c r="Q184" t="n">
        <v>82.50909267456559</v>
      </c>
    </row>
    <row r="185">
      <c r="A185" s="118" t="n">
        <v>44699</v>
      </c>
      <c r="B185" s="119" t="n">
        <v>104.1623614569444</v>
      </c>
      <c r="C185" s="119" t="n">
        <v>104.9586254074211</v>
      </c>
      <c r="D185" s="119" t="n">
        <v>100.7180582412008</v>
      </c>
      <c r="E185" s="119" t="n">
        <v>101.2643356323242</v>
      </c>
      <c r="F185" s="120" t="n">
        <v>8188300</v>
      </c>
      <c r="G185" s="121" t="n">
        <v>-0.05634178026230063</v>
      </c>
      <c r="H185" s="122" t="n">
        <v>65.89852766310274</v>
      </c>
      <c r="I185" s="119" t="n">
        <v>116.4507476806641</v>
      </c>
      <c r="J185" s="119" t="n">
        <v/>
      </c>
      <c r="K185" s="121" t="n">
        <v>0.5141608482319746</v>
      </c>
      <c r="L185" s="121" t="n">
        <v>-0.2139571108030539</v>
      </c>
      <c r="M185" s="121" t="n">
        <v>-0.3813498950297293</v>
      </c>
      <c r="N185" t="n">
        <v>36.879710970422</v>
      </c>
      <c r="O185" t="n">
        <v>-0.4136786905592942</v>
      </c>
      <c r="P185" t="n">
        <v>88.67521758376839</v>
      </c>
      <c r="Q185" t="n">
        <v>78.4587098639951</v>
      </c>
    </row>
    <row r="186">
      <c r="A186" s="118" t="n">
        <v>44700</v>
      </c>
      <c r="B186" s="119" t="n">
        <v>100.8754560562516</v>
      </c>
      <c r="C186" s="119" t="n">
        <v>101.0236014700933</v>
      </c>
      <c r="D186" s="119" t="n">
        <v>98.40333774045514</v>
      </c>
      <c r="E186" s="119" t="n">
        <v>98.55148315429688</v>
      </c>
      <c r="F186" s="120" t="n">
        <v>7702000</v>
      </c>
      <c r="G186" s="121" t="n">
        <v>-0.02678981164580296</v>
      </c>
      <c r="H186" s="122" t="n">
        <v>64.13311851927249</v>
      </c>
      <c r="I186" s="119" t="n">
        <v>116.070948638916</v>
      </c>
      <c r="J186" s="119" t="n">
        <v/>
      </c>
      <c r="K186" s="121" t="n">
        <v>0.5166212302703321</v>
      </c>
      <c r="L186" s="121" t="n">
        <v>-0.2350150517501628</v>
      </c>
      <c r="M186" s="121" t="n">
        <v>-0.397923414816539</v>
      </c>
      <c r="N186" t="n">
        <v>34.37508002664519</v>
      </c>
      <c r="O186" t="n">
        <v>-0.5327576106017657</v>
      </c>
      <c r="P186" t="n">
        <v>88.13211240090291</v>
      </c>
      <c r="Q186" t="n">
        <v>78.03827894615742</v>
      </c>
    </row>
    <row r="187">
      <c r="A187" s="118" t="n">
        <v>44701</v>
      </c>
      <c r="B187" s="119" t="n">
        <v>100.6162078900508</v>
      </c>
      <c r="C187" s="119" t="n">
        <v>101.5606172362912</v>
      </c>
      <c r="D187" s="119" t="n">
        <v>97.28301380723779</v>
      </c>
      <c r="E187" s="119" t="n">
        <v>99.99586486816406</v>
      </c>
      <c r="F187" s="120" t="n">
        <v>7621900</v>
      </c>
      <c r="G187" s="121" t="n">
        <v>0.01465611341034601</v>
      </c>
      <c r="H187" s="122" t="n">
        <v>65.07306077765011</v>
      </c>
      <c r="I187" s="119" t="n">
        <v>115.7370733642578</v>
      </c>
      <c r="J187" s="119" t="n">
        <v/>
      </c>
      <c r="K187" s="121" t="n">
        <v>0.5064775819014939</v>
      </c>
      <c r="L187" s="121" t="n">
        <v>-0.2238033455914055</v>
      </c>
      <c r="M187" s="121" t="n">
        <v>-0.3890993121023764</v>
      </c>
      <c r="N187" t="n">
        <v>36.83473964192759</v>
      </c>
      <c r="O187" t="n">
        <v>-0.4470419860607322</v>
      </c>
      <c r="P187" t="n">
        <v>88.17059152786062</v>
      </c>
      <c r="Q187" t="n">
        <v>77.79574570485904</v>
      </c>
    </row>
    <row r="188">
      <c r="A188" s="118" t="n">
        <v>44704</v>
      </c>
      <c r="B188" s="119" t="n">
        <v>99.50515935045215</v>
      </c>
      <c r="C188" s="119" t="n">
        <v>100.6902945607957</v>
      </c>
      <c r="D188" s="119" t="n">
        <v>97.97744312363368</v>
      </c>
      <c r="E188" s="119" t="n">
        <v>100.5791854858398</v>
      </c>
      <c r="F188" s="120" t="n">
        <v>7136400</v>
      </c>
      <c r="G188" s="121" t="n">
        <v>0.005833447397498359</v>
      </c>
      <c r="H188" s="122" t="n">
        <v>65.45266105469075</v>
      </c>
      <c r="I188" s="119" t="n">
        <v>115.4778248596191</v>
      </c>
      <c r="J188" s="119" t="n">
        <v/>
      </c>
      <c r="K188" s="121" t="n">
        <v>0.5089772294154045</v>
      </c>
      <c r="L188" s="121" t="n">
        <v>-0.2192754432377987</v>
      </c>
      <c r="M188" s="121" t="n">
        <v>-0.38553565507443</v>
      </c>
      <c r="N188" t="n">
        <v>37.8478859311429</v>
      </c>
      <c r="O188" t="n">
        <v>-0.2913904716308879</v>
      </c>
      <c r="P188" t="n">
        <v>89.82025513731834</v>
      </c>
      <c r="Q188" t="n">
        <v>79.08929291394095</v>
      </c>
    </row>
    <row r="189">
      <c r="A189" s="118" t="n">
        <v>44705</v>
      </c>
      <c r="B189" s="119" t="n">
        <v>99.17185612643655</v>
      </c>
      <c r="C189" s="119" t="n">
        <v>99.98663495670753</v>
      </c>
      <c r="D189" s="119" t="n">
        <v>96.96824540986198</v>
      </c>
      <c r="E189" s="119" t="n">
        <v>99.33851623535156</v>
      </c>
      <c r="F189" s="120" t="n">
        <v>6023400</v>
      </c>
      <c r="G189" s="121" t="n">
        <v>-0.01233524853572165</v>
      </c>
      <c r="H189" s="122" t="n">
        <v>64.6452862132568</v>
      </c>
      <c r="I189" s="119" t="n">
        <v>115.2874633789063</v>
      </c>
      <c r="J189" s="119" t="n">
        <v/>
      </c>
      <c r="K189" s="121" t="n">
        <v>0.4736606230754016</v>
      </c>
      <c r="L189" s="121" t="n">
        <v>-0.2289058746834015</v>
      </c>
      <c r="M189" s="121" t="n">
        <v>-0.3931152254854263</v>
      </c>
      <c r="N189" t="n">
        <v>36.50666773874737</v>
      </c>
      <c r="O189" t="n">
        <v>-0.2158026402766469</v>
      </c>
      <c r="P189" t="n">
        <v>89.13461840983675</v>
      </c>
      <c r="Q189" t="n">
        <v>77.40769589621156</v>
      </c>
    </row>
    <row r="190">
      <c r="A190" s="118" t="n">
        <v>44706</v>
      </c>
      <c r="B190" s="119" t="n">
        <v>95.79234714156995</v>
      </c>
      <c r="C190" s="119" t="n">
        <v>100.8199179787544</v>
      </c>
      <c r="D190" s="119" t="n">
        <v>95.79234714156995</v>
      </c>
      <c r="E190" s="119" t="n">
        <v>100.1810531616211</v>
      </c>
      <c r="F190" s="120" t="n">
        <v>7158800</v>
      </c>
      <c r="G190" s="121" t="n">
        <v>0.008481472828458569</v>
      </c>
      <c r="H190" s="122" t="n">
        <v>65.19357345176246</v>
      </c>
      <c r="I190" s="119" t="n">
        <v>115.0800643920898</v>
      </c>
      <c r="J190" s="119" t="n">
        <v/>
      </c>
      <c r="K190" s="121" t="n">
        <v>0.4745400447277692</v>
      </c>
      <c r="L190" s="121" t="n">
        <v>-0.2223658608113448</v>
      </c>
      <c r="M190" s="121" t="n">
        <v>-0.3879679487603758</v>
      </c>
      <c r="N190" t="n">
        <v>38.11062040375147</v>
      </c>
      <c r="O190" t="n">
        <v>-0.06092240408466765</v>
      </c>
      <c r="P190" t="n">
        <v>89.92209056021193</v>
      </c>
      <c r="Q190" t="n">
        <v>78.491031868162</v>
      </c>
    </row>
    <row r="191">
      <c r="A191" s="118" t="n">
        <v>44707</v>
      </c>
      <c r="B191" s="119" t="n">
        <v>101.8476361172044</v>
      </c>
      <c r="C191" s="119" t="n">
        <v>105.0882427209336</v>
      </c>
      <c r="D191" s="119" t="n">
        <v>101.8476361172044</v>
      </c>
      <c r="E191" s="119" t="n">
        <v>104.5697479248047</v>
      </c>
      <c r="F191" s="120" t="n">
        <v>6520300</v>
      </c>
      <c r="G191" s="121" t="n">
        <v>0.04380763252811248</v>
      </c>
      <c r="H191" s="122" t="n">
        <v>68.04954956073178</v>
      </c>
      <c r="I191" s="119" t="n">
        <v>114.8532214355469</v>
      </c>
      <c r="J191" s="119" t="n">
        <v/>
      </c>
      <c r="K191" s="121" t="n">
        <v>0.4686145025757607</v>
      </c>
      <c r="L191" s="121" t="n">
        <v>-0.1882995502004531</v>
      </c>
      <c r="M191" s="121" t="n">
        <v>-0.3611562735642434</v>
      </c>
      <c r="N191" t="n">
        <v>45.79228969756846</v>
      </c>
      <c r="O191" t="n">
        <v>0.3619840605645974</v>
      </c>
      <c r="P191" t="n">
        <v>91.71884408966027</v>
      </c>
      <c r="Q191" t="n">
        <v>80.66580120025412</v>
      </c>
    </row>
    <row r="192">
      <c r="A192" s="118" t="n">
        <v>44708</v>
      </c>
      <c r="B192" s="119" t="n">
        <v>105.7548892318973</v>
      </c>
      <c r="C192" s="119" t="n">
        <v>107.4122289843353</v>
      </c>
      <c r="D192" s="119" t="n">
        <v>105.5604536717515</v>
      </c>
      <c r="E192" s="119" t="n">
        <v>107.3937072753906</v>
      </c>
      <c r="F192" s="120" t="n">
        <v>5043000</v>
      </c>
      <c r="G192" s="121" t="n">
        <v>0.02700550978296912</v>
      </c>
      <c r="H192" s="122" t="n">
        <v>69.88726233712076</v>
      </c>
      <c r="I192" s="119" t="n">
        <v>114.6417483520508</v>
      </c>
      <c r="J192" s="119" t="n">
        <v/>
      </c>
      <c r="K192" s="121" t="n">
        <v>0.4795236030943518</v>
      </c>
      <c r="L192" s="121" t="n">
        <v>-0.1663791657625511</v>
      </c>
      <c r="M192" s="121" t="n">
        <v>-0.343903973060194</v>
      </c>
      <c r="N192" t="n">
        <v>50.08542524366995</v>
      </c>
      <c r="O192" t="n">
        <v>0.8300319235626512</v>
      </c>
      <c r="P192" t="n">
        <v>93.97048397068886</v>
      </c>
      <c r="Q192" t="n">
        <v>83.29869356789582</v>
      </c>
    </row>
    <row r="193">
      <c r="A193" s="118" t="n">
        <v>44712</v>
      </c>
      <c r="B193" s="119" t="n">
        <v>108.7918011065286</v>
      </c>
      <c r="C193" s="119" t="n">
        <v>110.9120847161952</v>
      </c>
      <c r="D193" s="119" t="n">
        <v>105.9678408905189</v>
      </c>
      <c r="E193" s="119" t="n">
        <v>110.041748046875</v>
      </c>
      <c r="F193" s="120" t="n">
        <v>13774600</v>
      </c>
      <c r="G193" s="121" t="n">
        <v>0.02465731781373348</v>
      </c>
      <c r="H193" s="122" t="n">
        <v>71.61049477569891</v>
      </c>
      <c r="I193" s="119" t="n">
        <v>114.4123129272461</v>
      </c>
      <c r="J193" s="119" t="n">
        <v/>
      </c>
      <c r="K193" s="121" t="n">
        <v>0.4872425950752924</v>
      </c>
      <c r="L193" s="121" t="n">
        <v>-0.1458243119166086</v>
      </c>
      <c r="M193" s="121" t="n">
        <v>-0.3277264048076114</v>
      </c>
      <c r="N193" t="n">
        <v>53.78181165670723</v>
      </c>
      <c r="O193" t="n">
        <v>1.288719174728334</v>
      </c>
      <c r="P193" t="n">
        <v>93.44321969101094</v>
      </c>
      <c r="Q193" t="n">
        <v>83.07770832937538</v>
      </c>
    </row>
    <row r="194">
      <c r="A194" s="118" t="n">
        <v>44713</v>
      </c>
      <c r="B194" s="119" t="n">
        <v>110.9491105096864</v>
      </c>
      <c r="C194" s="119" t="n">
        <v>111.8009253887259</v>
      </c>
      <c r="D194" s="119" t="n">
        <v>108.8936389499456</v>
      </c>
      <c r="E194" s="119" t="n">
        <v>109.8843383789062</v>
      </c>
      <c r="F194" s="120" t="n">
        <v>5543100</v>
      </c>
      <c r="G194" s="121" t="n">
        <v>-0.001430454084587085</v>
      </c>
      <c r="H194" s="122" t="n">
        <v>71.50805925094771</v>
      </c>
      <c r="I194" s="119" t="n">
        <v>114.1991732788086</v>
      </c>
      <c r="J194" s="119" t="n">
        <v/>
      </c>
      <c r="K194" s="121" t="n">
        <v>0.4795765045819247</v>
      </c>
      <c r="L194" s="121" t="n">
        <v>-0.1470461710185825</v>
      </c>
      <c r="M194" s="121" t="n">
        <v>-0.3286880613178144</v>
      </c>
      <c r="N194" t="n">
        <v>53.52805184357559</v>
      </c>
      <c r="O194" t="n">
        <v>1.535519687409402</v>
      </c>
      <c r="P194" t="n">
        <v>92.68739276293888</v>
      </c>
      <c r="Q194" t="n">
        <v>82.46329472508774</v>
      </c>
    </row>
    <row r="195">
      <c r="A195" s="118" t="n">
        <v>44714</v>
      </c>
      <c r="B195" s="119" t="n">
        <v>110.6528308344164</v>
      </c>
      <c r="C195" s="119" t="n">
        <v>114.4211931444944</v>
      </c>
      <c r="D195" s="119" t="n">
        <v>110.4213589306918</v>
      </c>
      <c r="E195" s="119" t="n">
        <v>114.2637939453125</v>
      </c>
      <c r="F195" s="120" t="n">
        <v>5838100</v>
      </c>
      <c r="G195" s="121" t="n">
        <v>0.03985513887615988</v>
      </c>
      <c r="H195" s="122" t="n">
        <v>74.35802288315891</v>
      </c>
      <c r="I195" s="119" t="n">
        <v>114.0199215698242</v>
      </c>
      <c r="J195" s="119" t="n">
        <v/>
      </c>
      <c r="K195" s="121" t="n">
        <v>0.4923522417736785</v>
      </c>
      <c r="L195" s="121" t="n">
        <v>-0.1130515777095756</v>
      </c>
      <c r="M195" s="121" t="n">
        <v>-0.3019328307724117</v>
      </c>
      <c r="N195" t="n">
        <v>59.28410515142745</v>
      </c>
      <c r="O195" t="n">
        <v>1.922608386985414</v>
      </c>
      <c r="P195" t="n">
        <v>94.4524791196409</v>
      </c>
      <c r="Q195" t="n">
        <v>84.72158789866863</v>
      </c>
    </row>
    <row r="196">
      <c r="A196" s="118" t="n">
        <v>44715</v>
      </c>
      <c r="B196" s="119" t="n">
        <v>111.5767278070634</v>
      </c>
      <c r="C196" s="119" t="n">
        <v>113.7393929935997</v>
      </c>
      <c r="D196" s="119" t="n">
        <v>111.3818104884844</v>
      </c>
      <c r="E196" s="119" t="n">
        <v>112.2635803222656</v>
      </c>
      <c r="F196" s="120" t="n">
        <v>5201500</v>
      </c>
      <c r="G196" s="121" t="n">
        <v>-0.01750522675629163</v>
      </c>
      <c r="H196" s="122" t="n">
        <v>73.05636883143968</v>
      </c>
      <c r="I196" s="119" t="n">
        <v>113.8023323059082</v>
      </c>
      <c r="J196" s="119" t="n">
        <v/>
      </c>
      <c r="K196" s="121" t="n">
        <v>0.4471273146079616</v>
      </c>
      <c r="L196" s="121" t="n">
        <v>-0.1285778109629048</v>
      </c>
      <c r="M196" s="121" t="n">
        <v>-0.3141526548608632</v>
      </c>
      <c r="N196" t="n">
        <v>55.87979091723548</v>
      </c>
      <c r="O196" t="n">
        <v>1.965817577989774</v>
      </c>
      <c r="P196" t="n">
        <v>92.9023900374255</v>
      </c>
      <c r="Q196" t="n">
        <v>82.51717317560733</v>
      </c>
    </row>
    <row r="197">
      <c r="A197" s="118" t="n">
        <v>44718</v>
      </c>
      <c r="B197" s="119" t="n">
        <v>112.7740710944313</v>
      </c>
      <c r="C197" s="119" t="n">
        <v>113.368106787177</v>
      </c>
      <c r="D197" s="119" t="n">
        <v>110.8527353516366</v>
      </c>
      <c r="E197" s="119" t="n">
        <v>111.5952835083008</v>
      </c>
      <c r="F197" s="120" t="n">
        <v>3963400</v>
      </c>
      <c r="G197" s="121" t="n">
        <v>-0.005952926247732471</v>
      </c>
      <c r="H197" s="122" t="n">
        <v>72.62146965585899</v>
      </c>
      <c r="I197" s="119" t="n">
        <v>113.5884129333496</v>
      </c>
      <c r="J197" s="119" t="n">
        <v/>
      </c>
      <c r="K197" s="121" t="n">
        <v>0.4272652890165697</v>
      </c>
      <c r="L197" s="121" t="n">
        <v>-0.1337653229848801</v>
      </c>
      <c r="M197" s="121" t="n">
        <v>-0.3182354535236797</v>
      </c>
      <c r="N197" t="n">
        <v>54.74858424486546</v>
      </c>
      <c r="O197" t="n">
        <v>1.871743981133176</v>
      </c>
      <c r="P197" t="n">
        <v>93.18525076552172</v>
      </c>
      <c r="Q197" t="n">
        <v>82.79206219537161</v>
      </c>
    </row>
    <row r="198">
      <c r="A198" s="118" t="n">
        <v>44719</v>
      </c>
      <c r="B198" s="119" t="n">
        <v>110.1380327139871</v>
      </c>
      <c r="C198" s="119" t="n">
        <v>113.2103115622982</v>
      </c>
      <c r="D198" s="119" t="n">
        <v>109.9523921439983</v>
      </c>
      <c r="E198" s="119" t="n">
        <v>112.9318542480469</v>
      </c>
      <c r="F198" s="120" t="n">
        <v>5373600</v>
      </c>
      <c r="G198" s="121" t="n">
        <v>0.01197694649565251</v>
      </c>
      <c r="H198" s="122" t="n">
        <v>73.49125311236286</v>
      </c>
      <c r="I198" s="119" t="n">
        <v>113.371226348877</v>
      </c>
      <c r="J198" s="119" t="n">
        <v/>
      </c>
      <c r="K198" s="121" t="n">
        <v>0.4115024909936757</v>
      </c>
      <c r="L198" s="121" t="n">
        <v>-0.1233904766055912</v>
      </c>
      <c r="M198" s="121" t="n">
        <v>-0.3100699960279</v>
      </c>
      <c r="N198" t="n">
        <v>56.63915178410102</v>
      </c>
      <c r="O198" t="n">
        <v>1.820235566245137</v>
      </c>
      <c r="P198" t="n">
        <v>94.07909476372177</v>
      </c>
      <c r="Q198" t="n">
        <v>83.50620286110527</v>
      </c>
    </row>
    <row r="199">
      <c r="A199" s="118" t="n">
        <v>44720</v>
      </c>
      <c r="B199" s="119" t="n">
        <v>112.2171560161849</v>
      </c>
      <c r="C199" s="119" t="n">
        <v>114.9274445683432</v>
      </c>
      <c r="D199" s="119" t="n">
        <v>111.7994700504337</v>
      </c>
      <c r="E199" s="119" t="n">
        <v>113.6094284057617</v>
      </c>
      <c r="F199" s="120" t="n">
        <v>4365800</v>
      </c>
      <c r="G199" s="121" t="n">
        <v>0.005999849752104547</v>
      </c>
      <c r="H199" s="122" t="n">
        <v>73.93218958913091</v>
      </c>
      <c r="I199" s="119" t="n">
        <v>113.1470365905762</v>
      </c>
      <c r="J199" s="119" t="n">
        <v/>
      </c>
      <c r="K199" s="121" t="n">
        <v>0.4043710264260865</v>
      </c>
      <c r="L199" s="121" t="n">
        <v>-0.1181309511739609</v>
      </c>
      <c r="M199" s="121" t="n">
        <v>-0.3059305196645985</v>
      </c>
      <c r="N199" t="n">
        <v>57.6061212203256</v>
      </c>
      <c r="O199" t="n">
        <v>1.751902031632135</v>
      </c>
      <c r="P199" t="n">
        <v>93.05625532755549</v>
      </c>
      <c r="Q199" t="n">
        <v>82.90525675855383</v>
      </c>
    </row>
    <row r="200">
      <c r="A200" s="118" t="n">
        <v>44721</v>
      </c>
      <c r="B200" s="119" t="n">
        <v>112.6348514402817</v>
      </c>
      <c r="C200" s="119" t="n">
        <v>113.266015299498</v>
      </c>
      <c r="D200" s="119" t="n">
        <v>110.0730678844667</v>
      </c>
      <c r="E200" s="119" t="n">
        <v>110.0823516845703</v>
      </c>
      <c r="F200" s="120" t="n">
        <v>3892600</v>
      </c>
      <c r="G200" s="121" t="n">
        <v>-0.03104563389399584</v>
      </c>
      <c r="H200" s="122" t="n">
        <v>71.63691789816527</v>
      </c>
      <c r="I200" s="119" t="n">
        <v>112.7721235656738</v>
      </c>
      <c r="J200" s="119" t="n">
        <v/>
      </c>
      <c r="K200" s="121" t="n">
        <v>0.4195899056954835</v>
      </c>
      <c r="L200" s="121" t="n">
        <v>-0.1455091348062604</v>
      </c>
      <c r="M200" s="121" t="n">
        <v>-0.3274783466480873</v>
      </c>
      <c r="N200" t="n">
        <v>51.20481588635251</v>
      </c>
      <c r="O200" t="n">
        <v>1.404281059368333</v>
      </c>
      <c r="P200" t="n">
        <v>90.8431092071134</v>
      </c>
      <c r="Q200" t="n">
        <v>80.68466414625958</v>
      </c>
    </row>
    <row r="201">
      <c r="A201" s="118" t="n">
        <v>44722</v>
      </c>
      <c r="B201" s="119" t="n">
        <v>108.6807822549495</v>
      </c>
      <c r="C201" s="119" t="n">
        <v>108.6807822549495</v>
      </c>
      <c r="D201" s="119" t="n">
        <v>106.0540336578632</v>
      </c>
      <c r="E201" s="119" t="n">
        <v>106.4902801513672</v>
      </c>
      <c r="F201" s="120" t="n">
        <v>6292600</v>
      </c>
      <c r="G201" s="121" t="n">
        <v>-0.03263076667816689</v>
      </c>
      <c r="H201" s="122" t="n">
        <v>69.29935034468724</v>
      </c>
      <c r="I201" s="119" t="n">
        <v>112.3364796447754</v>
      </c>
      <c r="J201" s="119" t="n">
        <v>134.6818997192383</v>
      </c>
      <c r="K201" s="121" t="n">
        <v>0.4403894934993191</v>
      </c>
      <c r="L201" s="121" t="n">
        <v>-0.1733918268570223</v>
      </c>
      <c r="M201" s="121" t="n">
        <v>-0.3494232438046286</v>
      </c>
      <c r="N201" t="n">
        <v>45.64217533438672</v>
      </c>
      <c r="O201" t="n">
        <v>0.8924825400102948</v>
      </c>
      <c r="P201" t="n">
        <v>88.2090560211895</v>
      </c>
      <c r="Q201" t="n">
        <v>77.83885859756442</v>
      </c>
    </row>
    <row r="202">
      <c r="A202" s="118" t="n">
        <v>44725</v>
      </c>
      <c r="B202" s="119" t="n">
        <v>102.4619880409263</v>
      </c>
      <c r="C202" s="119" t="n">
        <v>103.9749218212495</v>
      </c>
      <c r="D202" s="119" t="n">
        <v>101.3945775577018</v>
      </c>
      <c r="E202" s="119" t="n">
        <v>102.5083999633789</v>
      </c>
      <c r="F202" s="120" t="n">
        <v>6423100</v>
      </c>
      <c r="G202" s="121" t="n">
        <v>-0.03739195898750913</v>
      </c>
      <c r="H202" s="122" t="n">
        <v>66.70811187873767</v>
      </c>
      <c r="I202" s="119" t="n">
        <v>111.8948989868164</v>
      </c>
      <c r="J202" s="119" t="n">
        <v>134.4261063766479</v>
      </c>
      <c r="K202" s="121" t="n">
        <v>0.4312642443791483</v>
      </c>
      <c r="L202" s="121" t="n">
        <v>-0.2043003257659243</v>
      </c>
      <c r="M202" s="121" t="n">
        <v>-0.3737495831905127</v>
      </c>
      <c r="N202" t="n">
        <v>40.40247922995354</v>
      </c>
      <c r="O202" t="n">
        <v>0.2776992129493034</v>
      </c>
      <c r="P202" t="n">
        <v>84.85991592980248</v>
      </c>
      <c r="Q202" t="n">
        <v>74.21967226264582</v>
      </c>
    </row>
    <row r="203">
      <c r="A203" s="118" t="n">
        <v>44726</v>
      </c>
      <c r="B203" s="119" t="n">
        <v>102.4434026366459</v>
      </c>
      <c r="C203" s="119" t="n">
        <v>103.8542355100448</v>
      </c>
      <c r="D203" s="119" t="n">
        <v>102.1092567042555</v>
      </c>
      <c r="E203" s="119" t="n">
        <v>102.7682647705078</v>
      </c>
      <c r="F203" s="120" t="n">
        <v>4548400</v>
      </c>
      <c r="G203" s="121" t="n">
        <v>0.002535058660770639</v>
      </c>
      <c r="H203" s="122" t="n">
        <v>66.87722085549952</v>
      </c>
      <c r="I203" s="119" t="n">
        <v>111.4777732849121</v>
      </c>
      <c r="J203" s="119" t="n">
        <v>134.1673012161255</v>
      </c>
      <c r="K203" s="121" t="n">
        <v>0.4312591256381565</v>
      </c>
      <c r="L203" s="121" t="n">
        <v>-0.2022831804153848</v>
      </c>
      <c r="M203" s="121" t="n">
        <v>-0.3721620016475685</v>
      </c>
      <c r="N203" t="n">
        <v>40.87948315148567</v>
      </c>
      <c r="O203" t="n">
        <v>-0.09933971512725548</v>
      </c>
      <c r="P203" t="n">
        <v>84.6042005831501</v>
      </c>
      <c r="Q203" t="n">
        <v>74.35437261073218</v>
      </c>
    </row>
    <row r="204">
      <c r="A204" s="118" t="n">
        <v>44727</v>
      </c>
      <c r="B204" s="119" t="n">
        <v>104.1048592019351</v>
      </c>
      <c r="C204" s="119" t="n">
        <v>106.4810020041196</v>
      </c>
      <c r="D204" s="119" t="n">
        <v>103.2230823691347</v>
      </c>
      <c r="E204" s="119" t="n">
        <v>105.2929306030273</v>
      </c>
      <c r="F204" s="120" t="n">
        <v>4828700</v>
      </c>
      <c r="G204" s="121" t="n">
        <v>0.02456659006705397</v>
      </c>
      <c r="H204" s="122" t="n">
        <v>68.52016612508041</v>
      </c>
      <c r="I204" s="119" t="n">
        <v>111.0959568786621</v>
      </c>
      <c r="J204" s="119" t="n">
        <v>133.9190447235108</v>
      </c>
      <c r="K204" s="121" t="n">
        <v>0.4272424064378783</v>
      </c>
      <c r="L204" s="121" t="n">
        <v>-0.1826859983190555</v>
      </c>
      <c r="M204" s="121" t="n">
        <v>-0.3567381629135247</v>
      </c>
      <c r="N204" t="n">
        <v>45.4477119214202</v>
      </c>
      <c r="O204" t="n">
        <v>-0.1628393304002868</v>
      </c>
      <c r="P204" t="n">
        <v>85.81037012105669</v>
      </c>
      <c r="Q204" t="n">
        <v>76.21115691750416</v>
      </c>
    </row>
    <row r="205">
      <c r="A205" s="118" t="n">
        <v>44728</v>
      </c>
      <c r="B205" s="119" t="n">
        <v>101.6451645792909</v>
      </c>
      <c r="C205" s="119" t="n">
        <v>102.0071548210345</v>
      </c>
      <c r="D205" s="119" t="n">
        <v>98.12735561846917</v>
      </c>
      <c r="E205" s="119" t="n">
        <v>99.42681121826172</v>
      </c>
      <c r="F205" s="120" t="n">
        <v>7384800</v>
      </c>
      <c r="G205" s="121" t="n">
        <v>-0.05571237642612414</v>
      </c>
      <c r="H205" s="122" t="n">
        <v>64.70274483713936</v>
      </c>
      <c r="I205" s="119" t="n">
        <v>110.634593963623</v>
      </c>
      <c r="J205" s="119" t="n">
        <v>133.6566264724731</v>
      </c>
      <c r="K205" s="121" t="n">
        <v>0.4261577810600944</v>
      </c>
      <c r="L205" s="121" t="n">
        <v>-0.2282205036390462</v>
      </c>
      <c r="M205" s="121" t="n">
        <v>-0.3925758085218465</v>
      </c>
      <c r="N205" t="n">
        <v>38.08418375324995</v>
      </c>
      <c r="O205" t="n">
        <v>-0.5615989903031491</v>
      </c>
      <c r="P205" t="n">
        <v>82.97035592643674</v>
      </c>
      <c r="Q205" t="n">
        <v>73.13631095997111</v>
      </c>
    </row>
    <row r="206">
      <c r="A206" s="118" t="n">
        <v>44729</v>
      </c>
      <c r="B206" s="119" t="n">
        <v>98.52648064747949</v>
      </c>
      <c r="C206" s="119" t="n">
        <v>100.7541179578358</v>
      </c>
      <c r="D206" s="119" t="n">
        <v>98.24802332813603</v>
      </c>
      <c r="E206" s="119" t="n">
        <v>99.63101196289062</v>
      </c>
      <c r="F206" s="120" t="n">
        <v>10256800</v>
      </c>
      <c r="G206" s="121" t="n">
        <v>0.0020537794798694</v>
      </c>
      <c r="H206" s="122" t="n">
        <v>64.83563000677711</v>
      </c>
      <c r="I206" s="119" t="n">
        <v>110.2502752685547</v>
      </c>
      <c r="J206" s="119" t="n">
        <v>133.3960592269897</v>
      </c>
      <c r="K206" s="121" t="n">
        <v>0.4147681857673341</v>
      </c>
      <c r="L206" s="121" t="n">
        <v>-0.2266354387464361</v>
      </c>
      <c r="M206" s="121" t="n">
        <v>-0.3913282931818125</v>
      </c>
      <c r="N206" t="n">
        <v>38.45798158032072</v>
      </c>
      <c r="O206" t="n">
        <v>-0.7609158638403835</v>
      </c>
      <c r="P206" t="n">
        <v>83.14923008820418</v>
      </c>
      <c r="Q206" t="n">
        <v>74.02559669687354</v>
      </c>
    </row>
    <row r="207">
      <c r="A207" s="118" t="n">
        <v>44733</v>
      </c>
      <c r="B207" s="119" t="n">
        <v>100.6705776581189</v>
      </c>
      <c r="C207" s="119" t="n">
        <v>101.9329052278698</v>
      </c>
      <c r="D207" s="119" t="n">
        <v>100.2807430772598</v>
      </c>
      <c r="E207" s="119" t="n">
        <v>100.8747787475586</v>
      </c>
      <c r="F207" s="120" t="n">
        <v>6211400</v>
      </c>
      <c r="G207" s="121" t="n">
        <v>0.01248373132184222</v>
      </c>
      <c r="H207" s="122" t="n">
        <v>65.6450205918641</v>
      </c>
      <c r="I207" s="119" t="n">
        <v>109.8719435119629</v>
      </c>
      <c r="J207" s="119" t="n">
        <v>133.1458143615723</v>
      </c>
      <c r="K207" s="121" t="n">
        <v>0.4138813253638751</v>
      </c>
      <c r="L207" s="121" t="n">
        <v>-0.2169809633499121</v>
      </c>
      <c r="M207" s="121" t="n">
        <v>-0.3837297991306872</v>
      </c>
      <c r="N207" t="n">
        <v>40.80224662253275</v>
      </c>
      <c r="O207" t="n">
        <v>-0.7567003856355559</v>
      </c>
      <c r="P207" t="n">
        <v>85.24239508602743</v>
      </c>
      <c r="Q207" t="n">
        <v>75.89325632793154</v>
      </c>
    </row>
    <row r="208">
      <c r="A208" s="118" t="n">
        <v>44734</v>
      </c>
      <c r="B208" s="119" t="n">
        <v>97.83034168351351</v>
      </c>
      <c r="C208" s="119" t="n">
        <v>99.2226140782083</v>
      </c>
      <c r="D208" s="119" t="n">
        <v>97.09707737253196</v>
      </c>
      <c r="E208" s="119" t="n">
        <v>97.38481140136719</v>
      </c>
      <c r="F208" s="120" t="n">
        <v>9884000</v>
      </c>
      <c r="G208" s="121" t="n">
        <v>-0.03459702603090831</v>
      </c>
      <c r="H208" s="122" t="n">
        <v>63.37389810564785</v>
      </c>
      <c r="I208" s="119" t="n">
        <v>109.4465895080566</v>
      </c>
      <c r="J208" s="119" t="n">
        <v>132.87987159729</v>
      </c>
      <c r="K208" s="121" t="n">
        <v>0.4318051157378672</v>
      </c>
      <c r="L208" s="121" t="n">
        <v>-0.2440710933435921</v>
      </c>
      <c r="M208" s="121" t="n">
        <v>-0.4050509153122359</v>
      </c>
      <c r="N208" t="n">
        <v>36.5904288978629</v>
      </c>
      <c r="O208" t="n">
        <v>-0.9255069348907128</v>
      </c>
      <c r="P208" t="n">
        <v>85.08786396578655</v>
      </c>
      <c r="Q208" t="n">
        <v>75.78257795002669</v>
      </c>
    </row>
    <row r="209">
      <c r="A209" s="118" t="n">
        <v>44735</v>
      </c>
      <c r="B209" s="119" t="n">
        <v>97.46836057509063</v>
      </c>
      <c r="C209" s="119" t="n">
        <v>100.3364385782366</v>
      </c>
      <c r="D209" s="119" t="n">
        <v>96.91145298123809</v>
      </c>
      <c r="E209" s="119" t="n">
        <v>100.2436218261719</v>
      </c>
      <c r="F209" s="120" t="n">
        <v>8898400</v>
      </c>
      <c r="G209" s="121" t="n">
        <v>0.02935581415280697</v>
      </c>
      <c r="H209" s="122" t="n">
        <v>65.23429048057618</v>
      </c>
      <c r="I209" s="119" t="n">
        <v>109.1371133422852</v>
      </c>
      <c r="J209" s="119" t="n">
        <v>132.6312197113037</v>
      </c>
      <c r="K209" s="121" t="n">
        <v>0.4428395488829392</v>
      </c>
      <c r="L209" s="121" t="n">
        <v>-0.221880184847052</v>
      </c>
      <c r="M209" s="121" t="n">
        <v>-0.3875857005517592</v>
      </c>
      <c r="N209" t="n">
        <v>41.88267224325795</v>
      </c>
      <c r="O209" t="n">
        <v>-0.7866376377546258</v>
      </c>
      <c r="P209" t="n">
        <v>85.92192959029495</v>
      </c>
      <c r="Q209" t="n">
        <v>76.91117992624535</v>
      </c>
    </row>
    <row r="210">
      <c r="A210" s="118" t="n">
        <v>44736</v>
      </c>
      <c r="B210" s="119" t="n">
        <v>102.0349955479122</v>
      </c>
      <c r="C210" s="119" t="n">
        <v>104.8288239270342</v>
      </c>
      <c r="D210" s="119" t="n">
        <v>101.7379777425263</v>
      </c>
      <c r="E210" s="119" t="n">
        <v>104.8009796142578</v>
      </c>
      <c r="F210" s="120" t="n">
        <v>10463700</v>
      </c>
      <c r="G210" s="121" t="n">
        <v>0.04546282052726158</v>
      </c>
      <c r="H210" s="122" t="n">
        <v>68.20002532091786</v>
      </c>
      <c r="I210" s="119" t="n">
        <v>108.9176731872559</v>
      </c>
      <c r="J210" s="119" t="n">
        <v>132.4142531585693</v>
      </c>
      <c r="K210" s="121" t="n">
        <v>0.4699458539150604</v>
      </c>
      <c r="L210" s="121" t="n">
        <v>-0.1829815505090427</v>
      </c>
      <c r="M210" s="121" t="n">
        <v>-0.3597436191676152</v>
      </c>
      <c r="N210" t="n">
        <v>49.16632084242868</v>
      </c>
      <c r="O210" t="n">
        <v>-0.3520126078935639</v>
      </c>
      <c r="P210" t="n">
        <v>88.65373541667427</v>
      </c>
      <c r="Q210" t="n">
        <v>79.54642805124404</v>
      </c>
    </row>
    <row r="211">
      <c r="A211" s="118" t="n">
        <v>44739</v>
      </c>
      <c r="B211" s="119" t="n">
        <v>104.1790979833862</v>
      </c>
      <c r="C211" s="119" t="n">
        <v>105.0794352440683</v>
      </c>
      <c r="D211" s="119" t="n">
        <v>101.9514607873459</v>
      </c>
      <c r="E211" s="119" t="n">
        <v>102.5640640258789</v>
      </c>
      <c r="F211" s="120" t="n">
        <v>12644700</v>
      </c>
      <c r="G211" s="121" t="n">
        <v>-0.02134441487677263</v>
      </c>
      <c r="H211" s="122" t="n">
        <v>66.74433568586178</v>
      </c>
      <c r="I211" s="119" t="n">
        <v>108.6081257629395</v>
      </c>
      <c r="J211" s="119" t="n">
        <v>132.1739761734009</v>
      </c>
      <c r="K211" s="121" t="n">
        <v>0.4508277942614006</v>
      </c>
      <c r="L211" s="121" t="n">
        <v>-0.1917275564118109</v>
      </c>
      <c r="M211" s="121" t="n">
        <v>-0.3734095169876026</v>
      </c>
      <c r="N211" t="n">
        <v>46.11157911796007</v>
      </c>
      <c r="O211" t="n">
        <v>-0.1875897230365984</v>
      </c>
      <c r="P211" t="n">
        <v>88.31509861236614</v>
      </c>
      <c r="Q211" t="n">
        <v>78.96323878640499</v>
      </c>
    </row>
    <row r="212">
      <c r="A212" s="118" t="n">
        <v>44740</v>
      </c>
      <c r="B212" s="119" t="n">
        <v>100.4292649296216</v>
      </c>
      <c r="C212" s="119" t="n">
        <v>105.8591339627132</v>
      </c>
      <c r="D212" s="119" t="n">
        <v>95.12007114053061</v>
      </c>
      <c r="E212" s="119" t="n">
        <v>95.39852142333984</v>
      </c>
      <c r="F212" s="120" t="n">
        <v>31296500</v>
      </c>
      <c r="G212" s="121" t="n">
        <v>-0.06986406662601685</v>
      </c>
      <c r="H212" s="122" t="n">
        <v>62.08130497059551</v>
      </c>
      <c r="I212" s="119" t="n">
        <v>108.0447164916992</v>
      </c>
      <c r="J212" s="119" t="n">
        <v>131.8967186737061</v>
      </c>
      <c r="K212" s="121" t="n">
        <v>0.5005891467690652</v>
      </c>
      <c r="L212" s="121" t="n">
        <v>-0.2481967562626296</v>
      </c>
      <c r="M212" s="121" t="n">
        <v>-0.4171856762400088</v>
      </c>
      <c r="N212" t="n">
        <v>37.97273339850248</v>
      </c>
      <c r="O212" t="n">
        <v>-0.5152495342509522</v>
      </c>
      <c r="P212" t="n">
        <v>86.51058194283372</v>
      </c>
      <c r="Q212" t="n">
        <v>76.55747013613153</v>
      </c>
    </row>
    <row r="213">
      <c r="A213" s="118" t="n">
        <v>44741</v>
      </c>
      <c r="B213" s="119" t="n">
        <v>95.59341812290964</v>
      </c>
      <c r="C213" s="119" t="n">
        <v>98.02525639101485</v>
      </c>
      <c r="D213" s="119" t="n">
        <v>94.23827387748814</v>
      </c>
      <c r="E213" s="119" t="n">
        <v>95.83474731445312</v>
      </c>
      <c r="F213" s="120" t="n">
        <v>10326600</v>
      </c>
      <c r="G213" s="121" t="n">
        <v>0.004572669309804933</v>
      </c>
      <c r="H213" s="122" t="n">
        <v>62.36518224854719</v>
      </c>
      <c r="I213" s="119" t="n">
        <v>107.5239196777344</v>
      </c>
      <c r="J213" s="119" t="n">
        <v>131.6404076385498</v>
      </c>
      <c r="K213" s="121" t="n">
        <v>0.4895349812645829</v>
      </c>
      <c r="L213" s="121" t="n">
        <v>-0.2447590086429799</v>
      </c>
      <c r="M213" s="121" t="n">
        <v>-0.4145206590684367</v>
      </c>
      <c r="N213" t="n">
        <v>38.68228796897746</v>
      </c>
      <c r="O213" t="n">
        <v>-0.647859313340311</v>
      </c>
      <c r="P213" t="n">
        <v>86.44012102011025</v>
      </c>
      <c r="Q213" t="n">
        <v>76.62766157308019</v>
      </c>
    </row>
    <row r="214">
      <c r="A214" s="118" t="n">
        <v>44742</v>
      </c>
      <c r="B214" s="119" t="n">
        <v>94.61883108977237</v>
      </c>
      <c r="C214" s="119" t="n">
        <v>95.95540772921477</v>
      </c>
      <c r="D214" s="119" t="n">
        <v>93.54213707427309</v>
      </c>
      <c r="E214" s="119" t="n">
        <v>94.86015319824219</v>
      </c>
      <c r="F214" s="120" t="n">
        <v>9027400</v>
      </c>
      <c r="G214" s="121" t="n">
        <v>-0.01016952768720825</v>
      </c>
      <c r="H214" s="122" t="n">
        <v>61.7309578009528</v>
      </c>
      <c r="I214" s="119" t="n">
        <v>106.8832640075684</v>
      </c>
      <c r="J214" s="119" t="n">
        <v>131.3827276611328</v>
      </c>
      <c r="K214" s="121" t="n">
        <v>0.4893338956385938</v>
      </c>
      <c r="L214" s="121" t="n">
        <v>-0.2524394528150997</v>
      </c>
      <c r="M214" s="121" t="n">
        <v>-0.4204747074363288</v>
      </c>
      <c r="N214" t="n">
        <v>37.64614264335427</v>
      </c>
      <c r="O214" t="n">
        <v>-0.7398225218047672</v>
      </c>
      <c r="P214" t="n">
        <v>85.73785317348532</v>
      </c>
      <c r="Q214" t="n">
        <v>75.67723591136779</v>
      </c>
    </row>
    <row r="215">
      <c r="A215" s="118" t="n">
        <v>44743</v>
      </c>
      <c r="B215" s="119" t="n">
        <v>94.34037668509873</v>
      </c>
      <c r="C215" s="119" t="n">
        <v>95.13861342277274</v>
      </c>
      <c r="D215" s="119" t="n">
        <v>92.38191295446408</v>
      </c>
      <c r="E215" s="119" t="n">
        <v>93.91341400146484</v>
      </c>
      <c r="F215" s="120" t="n">
        <v>7934300</v>
      </c>
      <c r="G215" s="121" t="n">
        <v>-0.009980367571184701</v>
      </c>
      <c r="H215" s="122" t="n">
        <v>61.114860151578</v>
      </c>
      <c r="I215" s="119" t="n">
        <v>106.2455255126953</v>
      </c>
      <c r="J215" s="119" t="n">
        <v>131.1242329025268</v>
      </c>
      <c r="K215" s="121" t="n">
        <v>0.4571384209469582</v>
      </c>
      <c r="L215" s="121" t="n">
        <v>-0.259900381857721</v>
      </c>
      <c r="M215" s="121" t="n">
        <v>-0.4262585828729125</v>
      </c>
      <c r="N215" t="n">
        <v>36.619976145445</v>
      </c>
      <c r="O215" t="n">
        <v>-0.798024542844745</v>
      </c>
      <c r="P215" t="n">
        <v>86.64464793318284</v>
      </c>
      <c r="Q215" t="n">
        <v>76.17675779394722</v>
      </c>
    </row>
    <row r="216">
      <c r="A216" s="118" t="n">
        <v>44747</v>
      </c>
      <c r="B216" s="119" t="n">
        <v>93.23583107771864</v>
      </c>
      <c r="C216" s="119" t="n">
        <v>96.88358474343106</v>
      </c>
      <c r="D216" s="119" t="n">
        <v>92.92025275925491</v>
      </c>
      <c r="E216" s="119" t="n">
        <v>96.82789611816406</v>
      </c>
      <c r="F216" s="120" t="n">
        <v>9948800</v>
      </c>
      <c r="G216" s="121" t="n">
        <v>0.03103371491375828</v>
      </c>
      <c r="H216" s="122" t="n">
        <v>63.01148129851628</v>
      </c>
      <c r="I216" s="119" t="n">
        <v>105.6736686706543</v>
      </c>
      <c r="J216" s="119" t="n">
        <v>130.8817399215698</v>
      </c>
      <c r="K216" s="121" t="n">
        <v>0.4776747871212155</v>
      </c>
      <c r="L216" s="121" t="n">
        <v>-0.2369323413005122</v>
      </c>
      <c r="M216" s="121" t="n">
        <v>-0.4084532552995748</v>
      </c>
      <c r="N216" t="n">
        <v>41.87279594202644</v>
      </c>
      <c r="O216" t="n">
        <v>-0.5837816764868093</v>
      </c>
      <c r="P216" t="n">
        <v>86.80828117054395</v>
      </c>
      <c r="Q216" t="n">
        <v>77.48090168934822</v>
      </c>
    </row>
    <row r="217">
      <c r="A217" s="118" t="n">
        <v>44748</v>
      </c>
      <c r="B217" s="119" t="n">
        <v>97.35698102463206</v>
      </c>
      <c r="C217" s="119" t="n">
        <v>98.12737355954111</v>
      </c>
      <c r="D217" s="119" t="n">
        <v>96.02039706830449</v>
      </c>
      <c r="E217" s="119" t="n">
        <v>96.744384765625</v>
      </c>
      <c r="F217" s="120" t="n">
        <v>6432900</v>
      </c>
      <c r="G217" s="121" t="n">
        <v>-0.0008624720342694792</v>
      </c>
      <c r="H217" s="122" t="n">
        <v>62.95713565805842</v>
      </c>
      <c r="I217" s="119" t="n">
        <v>105.218469543457</v>
      </c>
      <c r="J217" s="119" t="n">
        <v>130.6442699050903</v>
      </c>
      <c r="K217" s="121" t="n">
        <v>0.4781547474418928</v>
      </c>
      <c r="L217" s="121" t="n">
        <v>-0.2375904658163959</v>
      </c>
      <c r="M217" s="121" t="n">
        <v>-0.408963447823842</v>
      </c>
      <c r="N217" t="n">
        <v>41.76598110123179</v>
      </c>
      <c r="O217" t="n">
        <v>-0.4000009807362526</v>
      </c>
      <c r="P217" t="n">
        <v>87.10147324058049</v>
      </c>
      <c r="Q217" t="n">
        <v>77.97768785370661</v>
      </c>
    </row>
    <row r="218">
      <c r="A218" s="118" t="n">
        <v>44749</v>
      </c>
      <c r="B218" s="119" t="n">
        <v>98.0623866869676</v>
      </c>
      <c r="C218" s="119" t="n">
        <v>100.5035017264895</v>
      </c>
      <c r="D218" s="119" t="n">
        <v>97.709673149598</v>
      </c>
      <c r="E218" s="119" t="n">
        <v>100.3642730712891</v>
      </c>
      <c r="F218" s="120" t="n">
        <v>7633900</v>
      </c>
      <c r="G218" s="121" t="n">
        <v>0.03741703784083894</v>
      </c>
      <c r="H218" s="122" t="n">
        <v>65.31280518532682</v>
      </c>
      <c r="I218" s="119" t="n">
        <v>104.8565934753418</v>
      </c>
      <c r="J218" s="119" t="n">
        <v>130.4349042892456</v>
      </c>
      <c r="K218" s="121" t="n">
        <v>0.499375143141993</v>
      </c>
      <c r="L218" s="121" t="n">
        <v>-0.2090633594256316</v>
      </c>
      <c r="M218" s="121" t="n">
        <v>-0.3868486107857477</v>
      </c>
      <c r="N218" t="n">
        <v>47.96253338218433</v>
      </c>
      <c r="O218" t="n">
        <v>-0.007693473609914125</v>
      </c>
      <c r="P218" t="n">
        <v>88.40600271453812</v>
      </c>
      <c r="Q218" t="n">
        <v>79.64634087133467</v>
      </c>
    </row>
    <row r="219">
      <c r="A219" s="118" t="n">
        <v>44750</v>
      </c>
      <c r="B219" s="119" t="n">
        <v>98.92559850545543</v>
      </c>
      <c r="C219" s="119" t="n">
        <v>100.8098060561891</v>
      </c>
      <c r="D219" s="119" t="n">
        <v>98.8606260754806</v>
      </c>
      <c r="E219" s="119" t="n">
        <v>100.1786422729492</v>
      </c>
      <c r="F219" s="120" t="n">
        <v>5938600</v>
      </c>
      <c r="G219" s="121" t="n">
        <v>-0.001849570496146424</v>
      </c>
      <c r="H219" s="122" t="n">
        <v>65.19200454783548</v>
      </c>
      <c r="I219" s="119" t="n">
        <v>104.6284066772461</v>
      </c>
      <c r="J219" s="119" t="n">
        <v>130.2210604095459</v>
      </c>
      <c r="K219" s="121" t="n">
        <v>0.4977720414711631</v>
      </c>
      <c r="L219" s="121" t="n">
        <v>-0.2105262525003592</v>
      </c>
      <c r="M219" s="121" t="n">
        <v>-0.3879826775049097</v>
      </c>
      <c r="N219" t="n">
        <v>47.68233192639158</v>
      </c>
      <c r="O219" t="n">
        <v>0.2519073874217086</v>
      </c>
      <c r="P219" t="n">
        <v>88.3332808961634</v>
      </c>
      <c r="Q219" t="n">
        <v>79.74624524785055</v>
      </c>
    </row>
    <row r="220">
      <c r="A220" s="118" t="n">
        <v>44753</v>
      </c>
      <c r="B220" s="119" t="n">
        <v>98.94416114243381</v>
      </c>
      <c r="C220" s="119" t="n">
        <v>99.39896816200455</v>
      </c>
      <c r="D220" s="119" t="n">
        <v>97.3384108751587</v>
      </c>
      <c r="E220" s="119" t="n">
        <v>97.56117248535156</v>
      </c>
      <c r="F220" s="120" t="n">
        <v>4935200</v>
      </c>
      <c r="G220" s="121" t="n">
        <v>-0.0261280221832717</v>
      </c>
      <c r="H220" s="122" t="n">
        <v>63.48866640683769</v>
      </c>
      <c r="I220" s="119" t="n">
        <v>104.3345376586914</v>
      </c>
      <c r="J220" s="119" t="n">
        <v>129.9829714202881</v>
      </c>
      <c r="K220" s="121" t="n">
        <v>0.4947608507051743</v>
      </c>
      <c r="L220" s="121" t="n">
        <v>-0.2311536400881404</v>
      </c>
      <c r="M220" s="121" t="n">
        <v>-0.403973479683608</v>
      </c>
      <c r="N220" t="n">
        <v>43.7969931155204</v>
      </c>
      <c r="O220" t="n">
        <v>0.2589531565640404</v>
      </c>
      <c r="P220" t="n">
        <v>87.32419707107917</v>
      </c>
      <c r="Q220" t="n">
        <v>78.0425260642598</v>
      </c>
    </row>
    <row r="221">
      <c r="A221" s="118" t="n">
        <v>44754</v>
      </c>
      <c r="B221" s="119" t="n">
        <v>97.46835539979841</v>
      </c>
      <c r="C221" s="119" t="n">
        <v>98.25730837265372</v>
      </c>
      <c r="D221" s="119" t="n">
        <v>95.74193699349844</v>
      </c>
      <c r="E221" s="119" t="n">
        <v>96.30812835693359</v>
      </c>
      <c r="F221" s="120" t="n">
        <v>6017400</v>
      </c>
      <c r="G221" s="121" t="n">
        <v>-0.01284367639806816</v>
      </c>
      <c r="H221" s="122" t="n">
        <v>62.67323852056337</v>
      </c>
      <c r="I221" s="119" t="n">
        <v>103.9080197143555</v>
      </c>
      <c r="J221" s="119" t="n">
        <v>129.7287505722046</v>
      </c>
      <c r="K221" s="121" t="n">
        <v>0.4852924316704461</v>
      </c>
      <c r="L221" s="121" t="n">
        <v>-0.2410284539346809</v>
      </c>
      <c r="M221" s="121" t="n">
        <v>-0.4116286514352183</v>
      </c>
      <c r="N221" t="n">
        <v>42.03130631956927</v>
      </c>
      <c r="O221" t="n">
        <v>0.1938171874514474</v>
      </c>
      <c r="P221" t="n">
        <v>86.55147561854517</v>
      </c>
      <c r="Q221" t="n">
        <v>77.2864799370109</v>
      </c>
    </row>
    <row r="222">
      <c r="A222" s="118" t="n">
        <v>44755</v>
      </c>
      <c r="B222" s="119" t="n">
        <v>94.61883839399142</v>
      </c>
      <c r="C222" s="119" t="n">
        <v>98.27586923039131</v>
      </c>
      <c r="D222" s="119" t="n">
        <v>94.26612483960015</v>
      </c>
      <c r="E222" s="119" t="n">
        <v>97.56117248535156</v>
      </c>
      <c r="F222" s="120" t="n">
        <v>5299400</v>
      </c>
      <c r="G222" s="121" t="n">
        <v>0.01301078268050215</v>
      </c>
      <c r="H222" s="122" t="n">
        <v>63.48866640683769</v>
      </c>
      <c r="I222" s="119" t="n">
        <v>103.5500796508789</v>
      </c>
      <c r="J222" s="119" t="n">
        <v>129.5268549728393</v>
      </c>
      <c r="K222" s="121" t="n">
        <v>0.4728912211413926</v>
      </c>
      <c r="L222" s="121" t="n">
        <v>-0.2311536400881404</v>
      </c>
      <c r="M222" s="121" t="n">
        <v>-0.403973479683608</v>
      </c>
      <c r="N222" t="n">
        <v>44.44337629372813</v>
      </c>
      <c r="O222" t="n">
        <v>0.2463445876230166</v>
      </c>
      <c r="P222" t="n">
        <v>86.09694047405638</v>
      </c>
      <c r="Q222" t="n">
        <v>77.12717501208483</v>
      </c>
    </row>
    <row r="223">
      <c r="A223" s="118" t="n">
        <v>44756</v>
      </c>
      <c r="B223" s="119" t="n">
        <v>95.70480710940653</v>
      </c>
      <c r="C223" s="119" t="n">
        <v>96.34525469129875</v>
      </c>
      <c r="D223" s="119" t="n">
        <v>94.53529628900537</v>
      </c>
      <c r="E223" s="119" t="n">
        <v>95.80690765380859</v>
      </c>
      <c r="F223" s="120" t="n">
        <v>6951300</v>
      </c>
      <c r="G223" s="121" t="n">
        <v>-0.01798117823774992</v>
      </c>
      <c r="H223" s="122" t="n">
        <v>62.34706538009929</v>
      </c>
      <c r="I223" s="119" t="n">
        <v>103.1314996337891</v>
      </c>
      <c r="J223" s="119" t="n">
        <v>129.3233345031738</v>
      </c>
      <c r="K223" s="121" t="n">
        <v>0.4758552190080678</v>
      </c>
      <c r="L223" s="121" t="n">
        <v>-0.2449784035231607</v>
      </c>
      <c r="M223" s="121" t="n">
        <v>-0.4146907387798429</v>
      </c>
      <c r="N223" t="n">
        <v>41.81981070434738</v>
      </c>
      <c r="O223" t="n">
        <v>0.177386633681035</v>
      </c>
      <c r="P223" t="n">
        <v>85.88784786879486</v>
      </c>
      <c r="Q223" t="n">
        <v>77.40260442063354</v>
      </c>
    </row>
    <row r="224">
      <c r="A224" s="118" t="n">
        <v>44757</v>
      </c>
      <c r="B224" s="119" t="n">
        <v>97.23629873434891</v>
      </c>
      <c r="C224" s="119" t="n">
        <v>98.03453541394656</v>
      </c>
      <c r="D224" s="119" t="n">
        <v>96.46590636752231</v>
      </c>
      <c r="E224" s="119" t="n">
        <v>97.18060302734375</v>
      </c>
      <c r="F224" s="120" t="n">
        <v>7862000</v>
      </c>
      <c r="G224" s="121" t="n">
        <v>0.0143381662885822</v>
      </c>
      <c r="H224" s="122" t="n">
        <v>63.24100797112426</v>
      </c>
      <c r="I224" s="119" t="n">
        <v>102.8000202941895</v>
      </c>
      <c r="J224" s="119" t="n">
        <v>129.1393155670166</v>
      </c>
      <c r="K224" s="121" t="n">
        <v>0.469316857388517</v>
      </c>
      <c r="L224" s="121" t="n">
        <v>-0.2275012611512884</v>
      </c>
      <c r="M224" s="121" t="n">
        <v>-0.406298477262221</v>
      </c>
      <c r="N224" t="n">
        <v>44.57874404429479</v>
      </c>
      <c r="O224" t="n">
        <v>0.2351137160192565</v>
      </c>
      <c r="P224" t="n">
        <v>87.52873130096617</v>
      </c>
      <c r="Q224" t="n">
        <v>78.80662736182614</v>
      </c>
    </row>
    <row r="225">
      <c r="A225" s="118" t="n">
        <v>44760</v>
      </c>
      <c r="B225" s="119" t="n">
        <v>98.56361321275935</v>
      </c>
      <c r="C225" s="119" t="n">
        <v>99.01842024552411</v>
      </c>
      <c r="D225" s="119" t="n">
        <v>96.23387525220956</v>
      </c>
      <c r="E225" s="119" t="n">
        <v>96.47520446777344</v>
      </c>
      <c r="F225" s="120" t="n">
        <v>6834800</v>
      </c>
      <c r="G225" s="121" t="n">
        <v>-0.007258635340756547</v>
      </c>
      <c r="H225" s="122" t="n">
        <v>62.78196455567999</v>
      </c>
      <c r="I225" s="119" t="n">
        <v>102.3951763916016</v>
      </c>
      <c r="J225" s="119" t="n">
        <v>128.948450012207</v>
      </c>
      <c r="K225" s="121" t="n">
        <v>0.4275917644799196</v>
      </c>
      <c r="L225" s="121" t="n">
        <v>-0.2307874611742328</v>
      </c>
      <c r="M225" s="121" t="n">
        <v>-0.4106079401170264</v>
      </c>
      <c r="N225" t="n">
        <v>43.43959471593811</v>
      </c>
      <c r="O225" t="n">
        <v>0.2359995863695872</v>
      </c>
      <c r="P225" t="n">
        <v>86.80602759170711</v>
      </c>
      <c r="Q225" t="n">
        <v>78.13970316612941</v>
      </c>
    </row>
    <row r="226">
      <c r="A226" s="118" t="n">
        <v>44761</v>
      </c>
      <c r="B226" s="119" t="n">
        <v>98.01597650171479</v>
      </c>
      <c r="C226" s="119" t="n">
        <v>101.7101424216655</v>
      </c>
      <c r="D226" s="119" t="n">
        <v>97.85818732772383</v>
      </c>
      <c r="E226" s="119" t="n">
        <v>101.3481521606445</v>
      </c>
      <c r="F226" s="120" t="n">
        <v>8973900</v>
      </c>
      <c r="G226" s="121" t="n">
        <v>0.05050984571376427</v>
      </c>
      <c r="H226" s="122" t="n">
        <v>65.95307189899441</v>
      </c>
      <c r="I226" s="119" t="n">
        <v>102.225378112793</v>
      </c>
      <c r="J226" s="119" t="n">
        <v>128.7855916213989</v>
      </c>
      <c r="K226" s="121" t="n">
        <v>0.4653461904780829</v>
      </c>
      <c r="L226" s="121" t="n">
        <v>-0.1519291164977717</v>
      </c>
      <c r="M226" s="121" t="n">
        <v>-0.3808378381074197</v>
      </c>
      <c r="N226" t="n">
        <v>52.47446127934369</v>
      </c>
      <c r="O226" t="n">
        <v>0.5566711824572508</v>
      </c>
      <c r="P226" t="n">
        <v>89.1514397661546</v>
      </c>
      <c r="Q226" t="n">
        <v>80.54274454175659</v>
      </c>
    </row>
    <row r="227">
      <c r="A227" s="118" t="n">
        <v>44762</v>
      </c>
      <c r="B227" s="119" t="n">
        <v>101.3760015203062</v>
      </c>
      <c r="C227" s="119" t="n">
        <v>103.6129156271165</v>
      </c>
      <c r="D227" s="119" t="n">
        <v>101.0511393572587</v>
      </c>
      <c r="E227" s="119" t="n">
        <v>103.1302642822266</v>
      </c>
      <c r="F227" s="120" t="n">
        <v>5884600</v>
      </c>
      <c r="G227" s="121" t="n">
        <v>0.01758406131329604</v>
      </c>
      <c r="H227" s="122" t="n">
        <v>67.11279475906655</v>
      </c>
      <c r="I227" s="119" t="n">
        <v>102.1678854370117</v>
      </c>
      <c r="J227" s="119" t="n">
        <v>128.6232062911987</v>
      </c>
      <c r="K227" s="121" t="n">
        <v>0.4673249648414444</v>
      </c>
      <c r="L227" s="121" t="n">
        <v>-0.1293944039163403</v>
      </c>
      <c r="M227" s="121" t="n">
        <v>-0.3699504526898276</v>
      </c>
      <c r="N227" t="n">
        <v>55.28744168862127</v>
      </c>
      <c r="O227" t="n">
        <v>0.8624494695744378</v>
      </c>
      <c r="P227" t="n">
        <v>89.71962698880161</v>
      </c>
      <c r="Q227" t="n">
        <v>81.8198689979376</v>
      </c>
    </row>
    <row r="228">
      <c r="A228" s="118" t="n">
        <v>44763</v>
      </c>
      <c r="B228" s="119" t="n">
        <v>102.4434030958791</v>
      </c>
      <c r="C228" s="119" t="n">
        <v>103.6500348958415</v>
      </c>
      <c r="D228" s="119" t="n">
        <v>102.1649457904844</v>
      </c>
      <c r="E228" s="119" t="n">
        <v>103.603630065918</v>
      </c>
      <c r="F228" s="120" t="n">
        <v>4291400</v>
      </c>
      <c r="G228" s="121" t="n">
        <v>0.004589979352675577</v>
      </c>
      <c r="H228" s="122" t="n">
        <v>67.42084110131103</v>
      </c>
      <c r="I228" s="119" t="n">
        <v>102.1805986022949</v>
      </c>
      <c r="J228" s="119" t="n">
        <v>128.4628188323975</v>
      </c>
      <c r="K228" s="121" t="n">
        <v>0.4474348757954731</v>
      </c>
      <c r="L228" s="121" t="n">
        <v>-0.1192715750343725</v>
      </c>
      <c r="M228" s="121" t="n">
        <v>-0.3670585382765112</v>
      </c>
      <c r="N228" t="n">
        <v>56.03187218209756</v>
      </c>
      <c r="O228" t="n">
        <v>1.057376685464074</v>
      </c>
      <c r="P228" t="n">
        <v>90.63325565315373</v>
      </c>
      <c r="Q228" t="n">
        <v>82.99441246440502</v>
      </c>
    </row>
    <row r="229">
      <c r="A229" s="118" t="n">
        <v>44764</v>
      </c>
      <c r="B229" s="119" t="n">
        <v>103.8913761311215</v>
      </c>
      <c r="C229" s="119" t="n">
        <v>103.8913761311215</v>
      </c>
      <c r="D229" s="119" t="n">
        <v>100.9397580939435</v>
      </c>
      <c r="E229" s="119" t="n">
        <v>101.2831878662109</v>
      </c>
      <c r="F229" s="120" t="n">
        <v>6039300</v>
      </c>
      <c r="G229" s="121" t="n">
        <v>-0.02239730594604306</v>
      </c>
      <c r="H229" s="122" t="n">
        <v>65.91079589602541</v>
      </c>
      <c r="I229" s="119" t="n">
        <v>102.1787535095215</v>
      </c>
      <c r="J229" s="119" t="n">
        <v>128.2801326751709</v>
      </c>
      <c r="K229" s="121" t="n">
        <v>0.4454461992446517</v>
      </c>
      <c r="L229" s="121" t="n">
        <v>-0.1389975190237043</v>
      </c>
      <c r="M229" s="121" t="n">
        <v>-0.381234721840668</v>
      </c>
      <c r="N229" t="n">
        <v>51.5049581295556</v>
      </c>
      <c r="O229" t="n">
        <v>0.9919019166843976</v>
      </c>
      <c r="P229" t="n">
        <v>89.79236344080513</v>
      </c>
      <c r="Q229" t="n">
        <v>81.5390779194187</v>
      </c>
    </row>
    <row r="230">
      <c r="A230" s="118" t="n">
        <v>44767</v>
      </c>
      <c r="B230" s="119" t="n">
        <v>101.7379727309556</v>
      </c>
      <c r="C230" s="119" t="n">
        <v>101.7379727309556</v>
      </c>
      <c r="D230" s="119" t="n">
        <v>99.94658218880315</v>
      </c>
      <c r="E230" s="119" t="n">
        <v>101.4316711425781</v>
      </c>
      <c r="F230" s="120" t="n">
        <v>5079500</v>
      </c>
      <c r="G230" s="121" t="n">
        <v>0.001466020960589454</v>
      </c>
      <c r="H230" s="122" t="n">
        <v>66.00742250433812</v>
      </c>
      <c r="I230" s="119" t="n">
        <v>102.2089511108398</v>
      </c>
      <c r="J230" s="119" t="n">
        <v>128.1012320709229</v>
      </c>
      <c r="K230" s="121" t="n">
        <v>0.4132734656654561</v>
      </c>
      <c r="L230" s="121" t="n">
        <v>-0.1377352713394734</v>
      </c>
      <c r="M230" s="121" t="n">
        <v>-0.3803275989732015</v>
      </c>
      <c r="N230" t="n">
        <v>51.77345838608424</v>
      </c>
      <c r="O230" t="n">
        <v>0.9219448352238371</v>
      </c>
      <c r="P230" t="n">
        <v>89.90144982677441</v>
      </c>
      <c r="Q230" t="n">
        <v>81.07466442067573</v>
      </c>
    </row>
    <row r="231">
      <c r="A231" s="118" t="n">
        <v>44768</v>
      </c>
      <c r="B231" s="119" t="n">
        <v>99.76096683604148</v>
      </c>
      <c r="C231" s="119" t="n">
        <v>100.1786457458646</v>
      </c>
      <c r="D231" s="119" t="n">
        <v>97.05995483602905</v>
      </c>
      <c r="E231" s="119" t="n">
        <v>97.64470672607422</v>
      </c>
      <c r="F231" s="120" t="n">
        <v>8459500</v>
      </c>
      <c r="G231" s="121" t="n">
        <v>-0.0373351279126688</v>
      </c>
      <c r="H231" s="122" t="n">
        <v>63.54302694195309</v>
      </c>
      <c r="I231" s="119" t="n">
        <v>102.1637794494629</v>
      </c>
      <c r="J231" s="119" t="n">
        <v>127.8893339920044</v>
      </c>
      <c r="K231" s="121" t="n">
        <v>0.427218701421811</v>
      </c>
      <c r="L231" s="121" t="n">
        <v>-0.1635418101095176</v>
      </c>
      <c r="M231" s="121" t="n">
        <v>-0.4034631473294875</v>
      </c>
      <c r="N231" t="n">
        <v>44.93947762246931</v>
      </c>
      <c r="O231" t="n">
        <v>0.5995932162151096</v>
      </c>
      <c r="P231" t="n">
        <v>88.83782646711273</v>
      </c>
      <c r="Q231" t="n">
        <v>79.48160672784033</v>
      </c>
    </row>
    <row r="232">
      <c r="A232" s="118" t="n">
        <v>44769</v>
      </c>
      <c r="B232" s="119" t="n">
        <v>98.66572432248093</v>
      </c>
      <c r="C232" s="119" t="n">
        <v>100.5963370092316</v>
      </c>
      <c r="D232" s="119" t="n">
        <v>98.15522151981556</v>
      </c>
      <c r="E232" s="119" t="n">
        <v>100.1136856079102</v>
      </c>
      <c r="F232" s="120" t="n">
        <v>7437000</v>
      </c>
      <c r="G232" s="121" t="n">
        <v>0.02528533255532461</v>
      </c>
      <c r="H232" s="122" t="n">
        <v>65.14973350975232</v>
      </c>
      <c r="I232" s="119" t="n">
        <v>102.0733618164062</v>
      </c>
      <c r="J232" s="119" t="n">
        <v>127.686876449585</v>
      </c>
      <c r="K232" s="121" t="n">
        <v>0.3543633729619444</v>
      </c>
      <c r="L232" s="121" t="n">
        <v>-0.1423916866095118</v>
      </c>
      <c r="M232" s="121" t="n">
        <v>-0.3883795146282069</v>
      </c>
      <c r="N232" t="n">
        <v>49.60957003144086</v>
      </c>
      <c r="O232" t="n">
        <v>0.5338168873460044</v>
      </c>
      <c r="P232" t="n">
        <v>91.14460586150001</v>
      </c>
      <c r="Q232" t="n">
        <v>82.84048609659868</v>
      </c>
    </row>
    <row r="233">
      <c r="A233" s="118" t="n">
        <v>44770</v>
      </c>
      <c r="B233" s="119" t="n">
        <v>101.5709262930894</v>
      </c>
      <c r="C233" s="119" t="n">
        <v>104.3276271451149</v>
      </c>
      <c r="D233" s="119" t="n">
        <v>100.2714704638041</v>
      </c>
      <c r="E233" s="119" t="n">
        <v>104.1698379516602</v>
      </c>
      <c r="F233" s="120" t="n">
        <v>6773500</v>
      </c>
      <c r="G233" s="121" t="n">
        <v>0.04051546318687849</v>
      </c>
      <c r="H233" s="122" t="n">
        <v>67.78930513940163</v>
      </c>
      <c r="I233" s="119" t="n">
        <v>102.0716595458984</v>
      </c>
      <c r="J233" s="119" t="n">
        <v>127.5148428726196</v>
      </c>
      <c r="K233" s="121" t="n">
        <v>0.379056977261971</v>
      </c>
      <c r="L233" s="121" t="n">
        <v>-0.1075037799746548</v>
      </c>
      <c r="M233" s="121" t="n">
        <v>-0.3635994273687853</v>
      </c>
      <c r="N233" t="n">
        <v>56.18454414842224</v>
      </c>
      <c r="O233" t="n">
        <v>0.7323781092429938</v>
      </c>
      <c r="P233" t="n">
        <v>92.28779226100539</v>
      </c>
      <c r="Q233" t="n">
        <v>83.650520440839</v>
      </c>
    </row>
    <row r="234">
      <c r="A234" s="118" t="n">
        <v>44771</v>
      </c>
      <c r="B234" s="119" t="n">
        <v>104.6617724086686</v>
      </c>
      <c r="C234" s="119" t="n">
        <v>106.9358147831009</v>
      </c>
      <c r="D234" s="119" t="n">
        <v>103.4922614622493</v>
      </c>
      <c r="E234" s="119" t="n">
        <v>106.6666412353516</v>
      </c>
      <c r="F234" s="120" t="n">
        <v>7560000</v>
      </c>
      <c r="G234" s="121" t="n">
        <v>0.0239685818158808</v>
      </c>
      <c r="H234" s="122" t="n">
        <v>69.41411864587708</v>
      </c>
      <c r="I234" s="119" t="n">
        <v>102.0587844848633</v>
      </c>
      <c r="J234" s="119" t="n">
        <v>127.3411386489868</v>
      </c>
      <c r="K234" s="121" t="n">
        <v>0.3809619958677517</v>
      </c>
      <c r="L234" s="121" t="n">
        <v>-0.08611191130461304</v>
      </c>
      <c r="M234" s="121" t="n">
        <v>-0.3483458081760007</v>
      </c>
      <c r="N234" t="n">
        <v>59.67272957267708</v>
      </c>
      <c r="O234" t="n">
        <v>0.9850288275870923</v>
      </c>
      <c r="P234" t="n">
        <v>93.6332227274889</v>
      </c>
      <c r="Q234" t="n">
        <v>85.17606330992351</v>
      </c>
    </row>
    <row r="235">
      <c r="A235" s="118" t="n">
        <v>44774</v>
      </c>
      <c r="B235" s="119" t="n">
        <v>105.8127139217423</v>
      </c>
      <c r="C235" s="119" t="n">
        <v>107.2513983909833</v>
      </c>
      <c r="D235" s="119" t="n">
        <v>105.1165776459414</v>
      </c>
      <c r="E235" s="119" t="n">
        <v>106.0911712646484</v>
      </c>
      <c r="F235" s="120" t="n">
        <v>4802900</v>
      </c>
      <c r="G235" s="121" t="n">
        <v>-0.005395032261617749</v>
      </c>
      <c r="H235" s="122" t="n">
        <v>69.03962723637082</v>
      </c>
      <c r="I235" s="119" t="n">
        <v>102.1553211975098</v>
      </c>
      <c r="J235" s="119" t="n">
        <v>127.1509559249878</v>
      </c>
      <c r="K235" s="121" t="n">
        <v>0.378727459836768</v>
      </c>
      <c r="L235" s="121" t="n">
        <v>-0.07152416700407771</v>
      </c>
      <c r="M235" s="121" t="n">
        <v>-0.3518615035643096</v>
      </c>
      <c r="N235" t="n">
        <v>58.51642292781839</v>
      </c>
      <c r="O235" t="n">
        <v>1.060027044621556</v>
      </c>
      <c r="P235" t="n">
        <v>93.35595204559837</v>
      </c>
      <c r="Q235" t="n">
        <v>85.1247517061298</v>
      </c>
    </row>
    <row r="236">
      <c r="A236" s="118" t="n">
        <v>44775</v>
      </c>
      <c r="B236" s="119" t="n">
        <v>105.4135886729109</v>
      </c>
      <c r="C236" s="119" t="n">
        <v>105.6085059677227</v>
      </c>
      <c r="D236" s="119" t="n">
        <v>103.6500421389223</v>
      </c>
      <c r="E236" s="119" t="n">
        <v>103.7428588867188</v>
      </c>
      <c r="F236" s="120" t="n">
        <v>6334400</v>
      </c>
      <c r="G236" s="121" t="n">
        <v>-0.02213485203280241</v>
      </c>
      <c r="H236" s="122" t="n">
        <v>67.51144530309391</v>
      </c>
      <c r="I236" s="119" t="n">
        <v>102.2591487121582</v>
      </c>
      <c r="J236" s="119" t="n">
        <v>126.9451587295532</v>
      </c>
      <c r="K236" s="121" t="n">
        <v>0.3798518284367413</v>
      </c>
      <c r="L236" s="121" t="n">
        <v>-0.09207584218347553</v>
      </c>
      <c r="M236" s="121" t="n">
        <v>-0.3662079532796766</v>
      </c>
      <c r="N236" t="n">
        <v>53.92443628882975</v>
      </c>
      <c r="O236" t="n">
        <v>0.9041899082682165</v>
      </c>
      <c r="P236" t="n">
        <v>92.74007382665734</v>
      </c>
      <c r="Q236" t="n">
        <v>84.8709547361066</v>
      </c>
    </row>
    <row r="237">
      <c r="A237" s="118" t="n">
        <v>44776</v>
      </c>
      <c r="B237" s="119" t="n">
        <v>105.2743645065832</v>
      </c>
      <c r="C237" s="119" t="n">
        <v>106.8337100131385</v>
      </c>
      <c r="D237" s="119" t="n">
        <v>104.4946952940378</v>
      </c>
      <c r="E237" s="119" t="n">
        <v>106.0726013183594</v>
      </c>
      <c r="F237" s="120" t="n">
        <v>5986500</v>
      </c>
      <c r="G237" s="121" t="n">
        <v>0.02245689444691878</v>
      </c>
      <c r="H237" s="122" t="n">
        <v>69.02754270422442</v>
      </c>
      <c r="I237" s="119" t="n">
        <v>102.3806834411621</v>
      </c>
      <c r="J237" s="119" t="n">
        <v>126.7469989395142</v>
      </c>
      <c r="K237" s="121" t="n">
        <v>0.3850993585728433</v>
      </c>
      <c r="L237" s="121" t="n">
        <v>-0.07168668520558219</v>
      </c>
      <c r="M237" s="121" t="n">
        <v>-0.3519749521851817</v>
      </c>
      <c r="N237" t="n">
        <v>57.48865553886967</v>
      </c>
      <c r="O237" t="n">
        <v>0.9083205820896252</v>
      </c>
      <c r="P237" t="n">
        <v>94.19232246664447</v>
      </c>
      <c r="Q237" t="n">
        <v>87.18219756698392</v>
      </c>
    </row>
    <row r="238">
      <c r="A238" s="118" t="n">
        <v>44777</v>
      </c>
      <c r="B238" s="119" t="n">
        <v>106.4067374895455</v>
      </c>
      <c r="C238" s="119" t="n">
        <v>107.0657455722525</v>
      </c>
      <c r="D238" s="119" t="n">
        <v>105.6549126636267</v>
      </c>
      <c r="E238" s="119" t="n">
        <v>106.2582321166992</v>
      </c>
      <c r="F238" s="120" t="n">
        <v>4332000</v>
      </c>
      <c r="G238" s="121" t="n">
        <v>0.001750035315742915</v>
      </c>
      <c r="H238" s="122" t="n">
        <v>69.14834334171577</v>
      </c>
      <c r="I238" s="119" t="n">
        <v>102.4942643737793</v>
      </c>
      <c r="J238" s="119" t="n">
        <v>126.5432201385498</v>
      </c>
      <c r="K238" s="121" t="n">
        <v>0.3654545307830141</v>
      </c>
      <c r="L238" s="121" t="n">
        <v>-0.07006210412061753</v>
      </c>
      <c r="M238" s="121" t="n">
        <v>-0.3508408854660198</v>
      </c>
      <c r="N238" t="n">
        <v>57.76897431596791</v>
      </c>
      <c r="O238" t="n">
        <v>0.8735970017472902</v>
      </c>
      <c r="P238" t="n">
        <v>94.12868081494678</v>
      </c>
      <c r="Q238" t="n">
        <v>87.58990401766394</v>
      </c>
    </row>
    <row r="239">
      <c r="A239" s="118" t="n">
        <v>44778</v>
      </c>
      <c r="B239" s="119" t="n">
        <v>104.6896016797562</v>
      </c>
      <c r="C239" s="119" t="n">
        <v>106.0911578540126</v>
      </c>
      <c r="D239" s="119" t="n">
        <v>104.4854005982993</v>
      </c>
      <c r="E239" s="119" t="n">
        <v>105.6920394897461</v>
      </c>
      <c r="F239" s="120" t="n">
        <v>4162200</v>
      </c>
      <c r="G239" s="121" t="n">
        <v>-0.005328458940774605</v>
      </c>
      <c r="H239" s="122" t="n">
        <v>68.77988923339686</v>
      </c>
      <c r="I239" s="119" t="n">
        <v>102.6213348388672</v>
      </c>
      <c r="J239" s="119" t="n">
        <v>126.3440335464477</v>
      </c>
      <c r="K239" s="121" t="n">
        <v>0.3662880896551061</v>
      </c>
      <c r="L239" s="121" t="n">
        <v>-0.07501724001628107</v>
      </c>
      <c r="M239" s="121" t="n">
        <v>-0.3542999031538437</v>
      </c>
      <c r="N239" t="n">
        <v>56.54426016393387</v>
      </c>
      <c r="O239" t="n">
        <v>0.7663698762035818</v>
      </c>
      <c r="P239" t="n">
        <v>93.96958400251697</v>
      </c>
      <c r="Q239" t="n">
        <v>86.87440393639454</v>
      </c>
    </row>
    <row r="240">
      <c r="A240" s="118" t="n">
        <v>44781</v>
      </c>
      <c r="B240" s="119" t="n">
        <v>105.8126983642578</v>
      </c>
      <c r="C240" s="119" t="n">
        <v>107.279226935875</v>
      </c>
      <c r="D240" s="119" t="n">
        <v>105.1722508186164</v>
      </c>
      <c r="E240" s="119" t="n">
        <v>105.8126983642578</v>
      </c>
      <c r="F240" s="120" t="n">
        <v>6071600</v>
      </c>
      <c r="G240" s="121" t="n">
        <v>0.001141607968719649</v>
      </c>
      <c r="H240" s="122" t="n">
        <v>68.85840890303335</v>
      </c>
      <c r="I240" s="119" t="n">
        <v>102.7339677429199</v>
      </c>
      <c r="J240" s="119" t="n">
        <v>126.1425454330444</v>
      </c>
      <c r="K240" s="121" t="n">
        <v>0.3500208684887923</v>
      </c>
      <c r="L240" s="121" t="n">
        <v>-0.07396127232655547</v>
      </c>
      <c r="M240" s="121" t="n">
        <v>-0.3535627667778811</v>
      </c>
      <c r="N240" t="n">
        <v>56.75466662542449</v>
      </c>
      <c r="O240" t="n">
        <v>0.6614065025047566</v>
      </c>
      <c r="P240" t="n">
        <v>93.86049029973329</v>
      </c>
      <c r="Q240" t="n">
        <v>86.59356219642709</v>
      </c>
    </row>
    <row r="241">
      <c r="A241" s="118" t="n">
        <v>44782</v>
      </c>
      <c r="B241" s="119" t="n">
        <v>103.3251786946728</v>
      </c>
      <c r="C241" s="119" t="n">
        <v>103.7242970785468</v>
      </c>
      <c r="D241" s="119" t="n">
        <v>101.0047246213273</v>
      </c>
      <c r="E241" s="119" t="n">
        <v>102.2020797729492</v>
      </c>
      <c r="F241" s="120" t="n">
        <v>7377600</v>
      </c>
      <c r="G241" s="121" t="n">
        <v>-0.03412273429488699</v>
      </c>
      <c r="H241" s="122" t="n">
        <v>66.50877171206646</v>
      </c>
      <c r="I241" s="119" t="n">
        <v>102.6866143798828</v>
      </c>
      <c r="J241" s="119" t="n">
        <v>125.9058068084717</v>
      </c>
      <c r="K241" s="121" t="n">
        <v>0.371342265792196</v>
      </c>
      <c r="L241" s="121" t="n">
        <v>-0.1055602457777316</v>
      </c>
      <c r="M241" s="121" t="n">
        <v>-0.3756209727254414</v>
      </c>
      <c r="N241" t="n">
        <v>49.09429285088492</v>
      </c>
      <c r="O241" t="n">
        <v>0.3237354679670341</v>
      </c>
      <c r="P241" t="n">
        <v>93.48775714029624</v>
      </c>
      <c r="Q241" t="n">
        <v>85.61344048229698</v>
      </c>
    </row>
    <row r="242">
      <c r="A242" s="118" t="n">
        <v>44783</v>
      </c>
      <c r="B242" s="119" t="n">
        <v>105.1073049838641</v>
      </c>
      <c r="C242" s="119" t="n">
        <v>105.6549359278856</v>
      </c>
      <c r="D242" s="119" t="n">
        <v>103.8264166499877</v>
      </c>
      <c r="E242" s="119" t="n">
        <v>105.0144882202148</v>
      </c>
      <c r="F242" s="120" t="n">
        <v>6951800</v>
      </c>
      <c r="G242" s="121" t="n">
        <v>0.02751811365789858</v>
      </c>
      <c r="H242" s="122" t="n">
        <v>68.33896765128632</v>
      </c>
      <c r="I242" s="119" t="n">
        <v>102.6390299987793</v>
      </c>
      <c r="J242" s="119" t="n">
        <v>125.6771365737915</v>
      </c>
      <c r="K242" s="121" t="n">
        <v>0.3798810167385296</v>
      </c>
      <c r="L242" s="121" t="n">
        <v>-0.08094695096090054</v>
      </c>
      <c r="M242" s="121" t="n">
        <v>-0.358439239687292</v>
      </c>
      <c r="N242" t="n">
        <v>54.27172767284944</v>
      </c>
      <c r="O242" t="n">
        <v>0.2670737751404949</v>
      </c>
      <c r="P242" t="n">
        <v>95.45139257270166</v>
      </c>
      <c r="Q242" t="n">
        <v>88.00301435618796</v>
      </c>
    </row>
    <row r="243">
      <c r="A243" s="118" t="n">
        <v>44784</v>
      </c>
      <c r="B243" s="119" t="n">
        <v>106.6295057639382</v>
      </c>
      <c r="C243" s="119" t="n">
        <v>108.3652080046458</v>
      </c>
      <c r="D243" s="119" t="n">
        <v>105.562102527993</v>
      </c>
      <c r="E243" s="119" t="n">
        <v>105.9055252075195</v>
      </c>
      <c r="F243" s="120" t="n">
        <v>5582100</v>
      </c>
      <c r="G243" s="121" t="n">
        <v>0.008484895773964052</v>
      </c>
      <c r="H243" s="122" t="n">
        <v>68.9188166691078</v>
      </c>
      <c r="I243" s="119" t="n">
        <v>102.5563055419922</v>
      </c>
      <c r="J243" s="119" t="n">
        <v>125.4495093536377</v>
      </c>
      <c r="K243" s="121" t="n">
        <v>0.3711233938133069</v>
      </c>
      <c r="L243" s="121" t="n">
        <v>-0.07314888162905986</v>
      </c>
      <c r="M243" s="121" t="n">
        <v>-0.3529956635033736</v>
      </c>
      <c r="N243" t="n">
        <v>55.80535499530702</v>
      </c>
      <c r="O243" t="n">
        <v>0.2662874401522395</v>
      </c>
      <c r="P243" t="n">
        <v>95.45139257270166</v>
      </c>
      <c r="Q243" t="n">
        <v>87.50350091718329</v>
      </c>
    </row>
    <row r="244">
      <c r="A244" s="118" t="n">
        <v>44785</v>
      </c>
      <c r="B244" s="119" t="n">
        <v>106.1747089548187</v>
      </c>
      <c r="C244" s="119" t="n">
        <v>107.7897432039093</v>
      </c>
      <c r="D244" s="119" t="n">
        <v>105.5992337251589</v>
      </c>
      <c r="E244" s="119" t="n">
        <v>107.7340545654297</v>
      </c>
      <c r="F244" s="120" t="n">
        <v>4407900</v>
      </c>
      <c r="G244" s="121" t="n">
        <v>0.01726566535907548</v>
      </c>
      <c r="H244" s="122" t="n">
        <v>70.10874589466009</v>
      </c>
      <c r="I244" s="119" t="n">
        <v>102.5132998657227</v>
      </c>
      <c r="J244" s="119" t="n">
        <v>125.2330073547363</v>
      </c>
      <c r="K244" s="121" t="n">
        <v>0.3722147691046488</v>
      </c>
      <c r="L244" s="121" t="n">
        <v>-0.05714618038158226</v>
      </c>
      <c r="M244" s="121" t="n">
        <v>-0.3418247031435522</v>
      </c>
      <c r="N244" t="n">
        <v>58.8549588860626</v>
      </c>
      <c r="O244" t="n">
        <v>0.359785567949279</v>
      </c>
      <c r="P244" t="n">
        <v>97.06730371730752</v>
      </c>
      <c r="Q244" t="n">
        <v>89.20725387507305</v>
      </c>
    </row>
    <row r="245">
      <c r="A245" s="118" t="n">
        <v>44788</v>
      </c>
      <c r="B245" s="119" t="n">
        <v>107.1585667707181</v>
      </c>
      <c r="C245" s="119" t="n">
        <v>108.2074165488639</v>
      </c>
      <c r="D245" s="119" t="n">
        <v>106.6016592068291</v>
      </c>
      <c r="E245" s="119" t="n">
        <v>107.9660873413086</v>
      </c>
      <c r="F245" s="120" t="n">
        <v>4279000</v>
      </c>
      <c r="G245" s="121" t="n">
        <v>0.00215375515954408</v>
      </c>
      <c r="H245" s="122" t="n">
        <v>70.25974296785988</v>
      </c>
      <c r="I245" s="119" t="n">
        <v>102.3873457336426</v>
      </c>
      <c r="J245" s="119" t="n">
        <v>125.0243048477173</v>
      </c>
      <c r="K245" s="121" t="n">
        <v>0.3694489194935512</v>
      </c>
      <c r="L245" s="121" t="n">
        <v>-0.05511550410288324</v>
      </c>
      <c r="M245" s="121" t="n">
        <v>-0.3404071547020632</v>
      </c>
      <c r="N245" t="n">
        <v>59.23932687561145</v>
      </c>
      <c r="O245" t="n">
        <v>0.4047733378245124</v>
      </c>
      <c r="P245" t="n">
        <v>97.46727737677567</v>
      </c>
      <c r="Q245" t="n">
        <v>89.9281494006117</v>
      </c>
    </row>
    <row r="246">
      <c r="A246" s="118" t="n">
        <v>44789</v>
      </c>
      <c r="B246" s="119" t="n">
        <v>107.6133827858444</v>
      </c>
      <c r="C246" s="119" t="n">
        <v>109.9616812277199</v>
      </c>
      <c r="D246" s="119" t="n">
        <v>107.4927146391864</v>
      </c>
      <c r="E246" s="119" t="n">
        <v>109.5811233520508</v>
      </c>
      <c r="F246" s="120" t="n">
        <v>6189800</v>
      </c>
      <c r="G246" s="121" t="n">
        <v>0.01495873427029593</v>
      </c>
      <c r="H246" s="122" t="n">
        <v>71.31073979281538</v>
      </c>
      <c r="I246" s="119" t="n">
        <v>102.3336965942383</v>
      </c>
      <c r="J246" s="119" t="n">
        <v>124.8139492797852</v>
      </c>
      <c r="K246" s="121" t="n">
        <v>0.3321858596233667</v>
      </c>
      <c r="L246" s="121" t="n">
        <v>-0.04098122801263582</v>
      </c>
      <c r="M246" s="121" t="n">
        <v>-0.3305404806026629</v>
      </c>
      <c r="N246" t="n">
        <v>61.90676942794614</v>
      </c>
      <c r="O246" t="n">
        <v>0.5043348971076429</v>
      </c>
      <c r="P246" t="n">
        <v>97.65818038142552</v>
      </c>
      <c r="Q246" t="n">
        <v>89.71754975904145</v>
      </c>
    </row>
    <row r="247">
      <c r="A247" s="118" t="n">
        <v>44790</v>
      </c>
      <c r="B247" s="119" t="n">
        <v>108.383771137257</v>
      </c>
      <c r="C247" s="119" t="n">
        <v>109.506877196352</v>
      </c>
      <c r="D247" s="119" t="n">
        <v>108.0496322490088</v>
      </c>
      <c r="E247" s="119" t="n">
        <v>108.6343841552734</v>
      </c>
      <c r="F247" s="120" t="n">
        <v>5108400</v>
      </c>
      <c r="G247" s="121" t="n">
        <v>-0.008639619378017827</v>
      </c>
      <c r="H247" s="122" t="n">
        <v>70.69464214344059</v>
      </c>
      <c r="I247" s="119" t="n">
        <v>102.2744786071777</v>
      </c>
      <c r="J247" s="119" t="n">
        <v>124.58581199646</v>
      </c>
      <c r="K247" s="121" t="n">
        <v>0.3311303131301557</v>
      </c>
      <c r="L247" s="121" t="n">
        <v>-0.04926678517898064</v>
      </c>
      <c r="M247" s="121" t="n">
        <v>-0.3363243560392467</v>
      </c>
      <c r="N247" t="n">
        <v>59.45068429319721</v>
      </c>
      <c r="O247" t="n">
        <v>0.468247078649497</v>
      </c>
      <c r="P247" t="n">
        <v>96.96500733510642</v>
      </c>
      <c r="Q247" t="n">
        <v>88.69422227288364</v>
      </c>
    </row>
    <row r="248">
      <c r="A248" s="118" t="n">
        <v>44791</v>
      </c>
      <c r="B248" s="119" t="n">
        <v>107.669076185629</v>
      </c>
      <c r="C248" s="119" t="n">
        <v>108.3002400189413</v>
      </c>
      <c r="D248" s="119" t="n">
        <v>107.0193518343359</v>
      </c>
      <c r="E248" s="119" t="n">
        <v>107.6783599853516</v>
      </c>
      <c r="F248" s="120" t="n">
        <v>4750200</v>
      </c>
      <c r="G248" s="121" t="n">
        <v>-0.008800382837862886</v>
      </c>
      <c r="H248" s="122" t="n">
        <v>70.0725022279926</v>
      </c>
      <c r="I248" s="119" t="n">
        <v>102.1694087219238</v>
      </c>
      <c r="J248" s="119" t="n">
        <v>124.3573208618164</v>
      </c>
      <c r="K248" s="121" t="n">
        <v>0.333577994298325</v>
      </c>
      <c r="L248" s="121" t="n">
        <v>-0.05763360144607776</v>
      </c>
      <c r="M248" s="121" t="n">
        <v>-0.3421649557862665</v>
      </c>
      <c r="N248" t="n">
        <v>56.9917850536704</v>
      </c>
      <c r="O248" t="n">
        <v>0.3473688661605361</v>
      </c>
      <c r="P248" t="n">
        <v>97.24685102600029</v>
      </c>
      <c r="Q248" t="n">
        <v>88.9075238583759</v>
      </c>
    </row>
    <row r="249">
      <c r="A249" s="118" t="n">
        <v>44792</v>
      </c>
      <c r="B249" s="119" t="n">
        <v>107.2049690778951</v>
      </c>
      <c r="C249" s="119" t="n">
        <v>107.3441977267564</v>
      </c>
      <c r="D249" s="119" t="n">
        <v>104.9123595152298</v>
      </c>
      <c r="E249" s="119" t="n">
        <v>105.0330276489258</v>
      </c>
      <c r="F249" s="120" t="n">
        <v>5967600</v>
      </c>
      <c r="G249" s="121" t="n">
        <v>-0.02456698204528418</v>
      </c>
      <c r="H249" s="122" t="n">
        <v>68.35103232388936</v>
      </c>
      <c r="I249" s="119" t="n">
        <v>101.9978807067871</v>
      </c>
      <c r="J249" s="119" t="n">
        <v>124.1086869430542</v>
      </c>
      <c r="K249" s="121" t="n">
        <v>0.335776464658085</v>
      </c>
      <c r="L249" s="121" t="n">
        <v>-0.08078469983943126</v>
      </c>
      <c r="M249" s="121" t="n">
        <v>-0.3583259775062241</v>
      </c>
      <c r="N249" t="n">
        <v>50.73838047070326</v>
      </c>
      <c r="O249" t="n">
        <v>0.07108288843057786</v>
      </c>
      <c r="P249" t="n">
        <v>95.94002407231937</v>
      </c>
      <c r="Q249" t="n">
        <v>87.17410862236741</v>
      </c>
    </row>
    <row r="250">
      <c r="A250" s="118" t="n">
        <v>44795</v>
      </c>
      <c r="B250" s="119" t="n">
        <v>103.0467370070831</v>
      </c>
      <c r="C250" s="119" t="n">
        <v>103.6593403744905</v>
      </c>
      <c r="D250" s="119" t="n">
        <v>101.9514822350383</v>
      </c>
      <c r="E250" s="119" t="n">
        <v>102.4155731201172</v>
      </c>
      <c r="F250" s="120" t="n">
        <v>5802900</v>
      </c>
      <c r="G250" s="121" t="n">
        <v>-0.02492029971331944</v>
      </c>
      <c r="H250" s="122" t="n">
        <v>66.64770411266325</v>
      </c>
      <c r="I250" s="119" t="n">
        <v>101.8445451354981</v>
      </c>
      <c r="J250" s="119" t="n">
        <v>123.8254343032837</v>
      </c>
      <c r="K250" s="121" t="n">
        <v>0.3491627781342418</v>
      </c>
      <c r="L250" s="121" t="n">
        <v>-0.1036918206205015</v>
      </c>
      <c r="M250" s="121" t="n">
        <v>-0.3743166864650203</v>
      </c>
      <c r="N250" t="n">
        <v>45.42706021580995</v>
      </c>
      <c r="O250" t="n">
        <v>-0.286509214037042</v>
      </c>
      <c r="P250" t="n">
        <v>93.94232155204266</v>
      </c>
      <c r="Q250" t="n">
        <v>84.87903523714832</v>
      </c>
    </row>
    <row r="251">
      <c r="A251" s="118" t="n">
        <v>44796</v>
      </c>
      <c r="B251" s="119" t="n">
        <v>102.8796607917327</v>
      </c>
      <c r="C251" s="119" t="n">
        <v>104.7267475553076</v>
      </c>
      <c r="D251" s="119" t="n">
        <v>102.6290548374624</v>
      </c>
      <c r="E251" s="119" t="n">
        <v>102.7311553955078</v>
      </c>
      <c r="F251" s="120" t="n">
        <v>4806700</v>
      </c>
      <c r="G251" s="121" t="n">
        <v>0.003081389536535584</v>
      </c>
      <c r="H251" s="122" t="n">
        <v>66.85307165075012</v>
      </c>
      <c r="I251" s="119" t="n">
        <v>101.7693626403809</v>
      </c>
      <c r="J251" s="119" t="n">
        <v>123.5302041244507</v>
      </c>
      <c r="K251" s="121" t="n">
        <v>0.3189129504477567</v>
      </c>
      <c r="L251" s="121" t="n">
        <v>-0.1009299459750503</v>
      </c>
      <c r="M251" s="121" t="n">
        <v>-0.3723887124495086</v>
      </c>
      <c r="N251" t="n">
        <v>46.1588699721747</v>
      </c>
      <c r="O251" t="n">
        <v>-0.4884842822356654</v>
      </c>
      <c r="P251" t="n">
        <v>93.71504666298385</v>
      </c>
      <c r="Q251" t="n">
        <v>84.80884380019965</v>
      </c>
    </row>
    <row r="252">
      <c r="A252" s="118" t="n">
        <v>44797</v>
      </c>
      <c r="B252" s="119" t="n">
        <v>102.7311537770021</v>
      </c>
      <c r="C252" s="119" t="n">
        <v>104.3554717984518</v>
      </c>
      <c r="D252" s="119" t="n">
        <v>102.1185504383809</v>
      </c>
      <c r="E252" s="119" t="n">
        <v>103.4087295532227</v>
      </c>
      <c r="F252" s="120" t="n">
        <v>4769000</v>
      </c>
      <c r="G252" s="121" t="n">
        <v>0.006595605345877997</v>
      </c>
      <c r="H252" s="122" t="n">
        <v>67.29400812751818</v>
      </c>
      <c r="I252" s="119" t="n">
        <v>101.7873692321777</v>
      </c>
      <c r="J252" s="119" t="n">
        <v>123.2288179779053</v>
      </c>
      <c r="K252" s="121" t="n">
        <v>0.3081010604426933</v>
      </c>
      <c r="L252" s="121" t="n">
        <v>-0.09500003472040452</v>
      </c>
      <c r="M252" s="121" t="n">
        <v>-0.3682492360862072</v>
      </c>
      <c r="N252" t="n">
        <v>47.77807786717748</v>
      </c>
      <c r="O252" t="n">
        <v>-0.5581189105941617</v>
      </c>
      <c r="P252" t="n">
        <v>94.01505800404618</v>
      </c>
      <c r="Q252" t="n">
        <v>85.05455182560637</v>
      </c>
    </row>
    <row r="253">
      <c r="A253" s="118" t="n">
        <v>44798</v>
      </c>
      <c r="B253" s="119" t="n">
        <v>103.8635303366978</v>
      </c>
      <c r="C253" s="119" t="n">
        <v>105.2001071267122</v>
      </c>
      <c r="D253" s="119" t="n">
        <v>103.3901557019718</v>
      </c>
      <c r="E253" s="119" t="n">
        <v>105.0887298583984</v>
      </c>
      <c r="F253" s="120" t="n">
        <v>5433700</v>
      </c>
      <c r="G253" s="121" t="n">
        <v>0.01624621356856637</v>
      </c>
      <c r="H253" s="122" t="n">
        <v>68.38728095544268</v>
      </c>
      <c r="I253" s="119" t="n">
        <v>101.8337785339355</v>
      </c>
      <c r="J253" s="119" t="n">
        <v>122.961928024292</v>
      </c>
      <c r="K253" s="121" t="n">
        <v>0.27824998085807</v>
      </c>
      <c r="L253" s="121" t="n">
        <v>-0.08029721200492712</v>
      </c>
      <c r="M253" s="121" t="n">
        <v>-0.3579856782535586</v>
      </c>
      <c r="N253" t="n">
        <v>51.6598798865961</v>
      </c>
      <c r="O253" t="n">
        <v>-0.4759101920631348</v>
      </c>
      <c r="P253" t="n">
        <v>95.3423061867324</v>
      </c>
      <c r="Q253" t="n">
        <v>86.55847914331488</v>
      </c>
    </row>
    <row r="254">
      <c r="A254" s="118" t="n">
        <v>44799</v>
      </c>
      <c r="B254" s="119" t="n">
        <v>105.1722621619284</v>
      </c>
      <c r="C254" s="119" t="n">
        <v>105.5621038430182</v>
      </c>
      <c r="D254" s="119" t="n">
        <v>100.4571046871275</v>
      </c>
      <c r="E254" s="119" t="n">
        <v>100.5035095214844</v>
      </c>
      <c r="F254" s="120" t="n">
        <v>6203600</v>
      </c>
      <c r="G254" s="121" t="n">
        <v>-0.04363189414404767</v>
      </c>
      <c r="H254" s="122" t="n">
        <v>65.40341435199555</v>
      </c>
      <c r="I254" s="119" t="n">
        <v>101.7379901123047</v>
      </c>
      <c r="J254" s="119" t="n">
        <v>122.6630289459228</v>
      </c>
      <c r="K254" s="121" t="n">
        <v>0.3050783081392272</v>
      </c>
      <c r="L254" s="121" t="n">
        <v>-0.1204255866947137</v>
      </c>
      <c r="M254" s="121" t="n">
        <v>-0.3859979791789619</v>
      </c>
      <c r="N254" t="n">
        <v>42.39690974595307</v>
      </c>
      <c r="O254" t="n">
        <v>-0.7015855713510141</v>
      </c>
      <c r="P254" t="n">
        <v>92.11505690652402</v>
      </c>
      <c r="Q254" t="n">
        <v>83.01059035363799</v>
      </c>
    </row>
    <row r="255">
      <c r="A255" s="118" t="n">
        <v>44802</v>
      </c>
      <c r="B255" s="119" t="n">
        <v>99.13908614926692</v>
      </c>
      <c r="C255" s="119" t="n">
        <v>100.7448436229292</v>
      </c>
      <c r="D255" s="119" t="n">
        <v>98.79566344880728</v>
      </c>
      <c r="E255" s="119" t="n">
        <v>100.1322402954102</v>
      </c>
      <c r="F255" s="120" t="n">
        <v>4132400</v>
      </c>
      <c r="G255" s="121" t="n">
        <v>-0.003694092155009265</v>
      </c>
      <c r="H255" s="122" t="n">
        <v>65.16180811212702</v>
      </c>
      <c r="I255" s="119" t="n">
        <v>101.7520986938477</v>
      </c>
      <c r="J255" s="119" t="n">
        <v>122.3879085922241</v>
      </c>
      <c r="K255" s="121" t="n">
        <v>0.3049457119298195</v>
      </c>
      <c r="L255" s="121" t="n">
        <v>-0.1186273736209386</v>
      </c>
      <c r="M255" s="121" t="n">
        <v>-0.3882661592272368</v>
      </c>
      <c r="N255" t="n">
        <v>41.744220208732</v>
      </c>
      <c r="O255" t="n">
        <v>-0.8378828913835121</v>
      </c>
      <c r="P255" t="n">
        <v>91.50597600816555</v>
      </c>
      <c r="Q255" t="n">
        <v>82.19251772622972</v>
      </c>
    </row>
    <row r="256">
      <c r="A256" s="118" t="n">
        <v>44803</v>
      </c>
      <c r="B256" s="119" t="n">
        <v>101.143967932224</v>
      </c>
      <c r="C256" s="119" t="n">
        <v>102.1742502565378</v>
      </c>
      <c r="D256" s="119" t="n">
        <v>99.43610980450566</v>
      </c>
      <c r="E256" s="119" t="n">
        <v>100.1136856079102</v>
      </c>
      <c r="F256" s="120" t="n">
        <v>5129500</v>
      </c>
      <c r="G256" s="121" t="n">
        <v>-0.0001853018313108246</v>
      </c>
      <c r="H256" s="122" t="n">
        <v>65.14973350975232</v>
      </c>
      <c r="I256" s="119" t="n">
        <v>101.7617521667481</v>
      </c>
      <c r="J256" s="119" t="n">
        <v>122.1186431121826</v>
      </c>
      <c r="K256" s="121" t="n">
        <v>0.2962296654704787</v>
      </c>
      <c r="L256" s="121" t="n">
        <v>-0.1187906935826737</v>
      </c>
      <c r="M256" s="121" t="n">
        <v>-0.3883795146282069</v>
      </c>
      <c r="N256" t="n">
        <v>41.70966142195282</v>
      </c>
      <c r="O256" t="n">
        <v>-0.8865957222366865</v>
      </c>
      <c r="P256" t="n">
        <v>90.50142860801262</v>
      </c>
      <c r="Q256" t="n">
        <v>81.27714978690524</v>
      </c>
    </row>
    <row r="257">
      <c r="A257" s="118" t="n">
        <v>44804</v>
      </c>
      <c r="B257" s="119" t="n">
        <v>100.2064878841634</v>
      </c>
      <c r="C257" s="119" t="n">
        <v>100.25289979823</v>
      </c>
      <c r="D257" s="119" t="n">
        <v>98.21089596418433</v>
      </c>
      <c r="E257" s="119" t="n">
        <v>98.804931640625</v>
      </c>
      <c r="F257" s="120" t="n">
        <v>8884800</v>
      </c>
      <c r="G257" s="121" t="n">
        <v>-0.01307267791948863</v>
      </c>
      <c r="H257" s="122" t="n">
        <v>64.29805202703881</v>
      </c>
      <c r="I257" s="119" t="n">
        <v>101.7203552246094</v>
      </c>
      <c r="J257" s="119" t="n">
        <v>121.833059387207</v>
      </c>
      <c r="K257" s="121" t="n">
        <v>0.2845586068934214</v>
      </c>
      <c r="L257" s="121" t="n">
        <v>-0.1303104590251235</v>
      </c>
      <c r="M257" s="121" t="n">
        <v>-0.3963750322424336</v>
      </c>
      <c r="N257" t="n">
        <v>39.24191047151712</v>
      </c>
      <c r="O257" t="n">
        <v>-0.9581754578825967</v>
      </c>
      <c r="P257" t="n">
        <v>89.81282857069688</v>
      </c>
      <c r="Q257" t="n">
        <v>80.80465578712055</v>
      </c>
    </row>
    <row r="258">
      <c r="A258" s="118" t="n">
        <v>44805</v>
      </c>
      <c r="B258" s="119" t="n">
        <v>98.20162336788704</v>
      </c>
      <c r="C258" s="119" t="n">
        <v>98.89775961931875</v>
      </c>
      <c r="D258" s="119" t="n">
        <v>96.34526003073577</v>
      </c>
      <c r="E258" s="119" t="n">
        <v>98.84206390380859</v>
      </c>
      <c r="F258" s="120" t="n">
        <v>5590800</v>
      </c>
      <c r="G258" s="121" t="n">
        <v>0.0003758138644198716</v>
      </c>
      <c r="H258" s="122" t="n">
        <v>64.32221612644577</v>
      </c>
      <c r="I258" s="119" t="n">
        <v>101.7495002746582</v>
      </c>
      <c r="J258" s="119" t="n">
        <v>121.5487679672241</v>
      </c>
      <c r="K258" s="121" t="n">
        <v>0.2842711504560311</v>
      </c>
      <c r="L258" s="121" t="n">
        <v>-0.1299836176378841</v>
      </c>
      <c r="M258" s="121" t="n">
        <v>-0.3961481816106405</v>
      </c>
      <c r="N258" t="n">
        <v>39.35154881621641</v>
      </c>
      <c r="O258" t="n">
        <v>-0.9522602077441946</v>
      </c>
      <c r="P258" t="n">
        <v>90.09464299433311</v>
      </c>
      <c r="Q258" t="n">
        <v>80.83975572738225</v>
      </c>
    </row>
    <row r="259">
      <c r="A259" s="118" t="n">
        <v>44806</v>
      </c>
      <c r="B259" s="119" t="n">
        <v>100.0288927333125</v>
      </c>
      <c r="C259" s="119" t="n">
        <v>100.6711799172431</v>
      </c>
      <c r="D259" s="119" t="n">
        <v>97.78555347500266</v>
      </c>
      <c r="E259" s="119" t="n">
        <v>98.42783355712891</v>
      </c>
      <c r="F259" s="120" t="n">
        <v>7763800</v>
      </c>
      <c r="G259" s="121" t="n">
        <v>-0.004190830607126994</v>
      </c>
      <c r="H259" s="122" t="n">
        <v>64.05265261438483</v>
      </c>
      <c r="I259" s="119" t="n">
        <v>101.7131845092773</v>
      </c>
      <c r="J259" s="119" t="n">
        <v>121.2486656188965</v>
      </c>
      <c r="K259" s="121" t="n">
        <v>0.2842004920406829</v>
      </c>
      <c r="L259" s="121" t="n">
        <v>-0.1058709043647268</v>
      </c>
      <c r="M259" s="121" t="n">
        <v>-0.3986788222933159</v>
      </c>
      <c r="N259" t="n">
        <v>38.51655930370129</v>
      </c>
      <c r="O259" t="n">
        <v>-0.9247172026905379</v>
      </c>
      <c r="P259" t="n">
        <v>89.14463512875763</v>
      </c>
      <c r="Q259" t="n">
        <v>79.69762714440408</v>
      </c>
    </row>
    <row r="260">
      <c r="A260" s="118" t="n">
        <v>44810</v>
      </c>
      <c r="B260" s="119" t="n">
        <v>98.14858591232607</v>
      </c>
      <c r="C260" s="119" t="n">
        <v>99.0515093374099</v>
      </c>
      <c r="D260" s="119" t="n">
        <v>96.51029193590391</v>
      </c>
      <c r="E260" s="119" t="n">
        <v>97.87863922119141</v>
      </c>
      <c r="F260" s="120" t="n">
        <v>9158900</v>
      </c>
      <c r="G260" s="121" t="n">
        <v>-0.005579664979812216</v>
      </c>
      <c r="H260" s="122" t="n">
        <v>63.69526027172826</v>
      </c>
      <c r="I260" s="119" t="n">
        <v>101.574737701416</v>
      </c>
      <c r="J260" s="119" t="n">
        <v>120.9462322616577</v>
      </c>
      <c r="K260" s="121" t="n">
        <v>0.2837769866069815</v>
      </c>
      <c r="L260" s="121" t="n">
        <v>-0.1067928834171818</v>
      </c>
      <c r="M260" s="121" t="n">
        <v>-0.4020339930101853</v>
      </c>
      <c r="N260" t="n">
        <v>37.3839675323518</v>
      </c>
      <c r="O260" t="n">
        <v>-0.89156765863076</v>
      </c>
      <c r="P260" t="n">
        <v>88.80826653691514</v>
      </c>
      <c r="Q260" t="n">
        <v>79.12522032452875</v>
      </c>
    </row>
    <row r="261">
      <c r="A261" s="118" t="n">
        <v>44811</v>
      </c>
      <c r="B261" s="119" t="n">
        <v>97.81348678263062</v>
      </c>
      <c r="C261" s="119" t="n">
        <v>101.052833091803</v>
      </c>
      <c r="D261" s="119" t="n">
        <v>97.73901725552655</v>
      </c>
      <c r="E261" s="119" t="n">
        <v>100.9783706665039</v>
      </c>
      <c r="F261" s="120" t="n">
        <v>7238300</v>
      </c>
      <c r="G261" s="121" t="n">
        <v>0.03166913097665325</v>
      </c>
      <c r="H261" s="122" t="n">
        <v>65.71243381186565</v>
      </c>
      <c r="I261" s="119" t="n">
        <v>101.5430238342285</v>
      </c>
      <c r="J261" s="119" t="n">
        <v>120.6610956573486</v>
      </c>
      <c r="K261" s="121" t="n">
        <v>0.2864233235722281</v>
      </c>
      <c r="L261" s="121" t="n">
        <v>-0.07850579025284166</v>
      </c>
      <c r="M261" s="121" t="n">
        <v>-0.3830969292152385</v>
      </c>
      <c r="N261" t="n">
        <v>46.87859952710714</v>
      </c>
      <c r="O261" t="n">
        <v>-0.6217438165722549</v>
      </c>
      <c r="P261" t="n">
        <v>90.40372718525806</v>
      </c>
      <c r="Q261" t="n">
        <v>80.72366501805867</v>
      </c>
    </row>
    <row r="262">
      <c r="A262" s="118" t="n">
        <v>44812</v>
      </c>
      <c r="B262" s="119" t="n">
        <v>99.60072017889537</v>
      </c>
      <c r="C262" s="119" t="n">
        <v>101.2669386864412</v>
      </c>
      <c r="D262" s="119" t="n">
        <v>98.74434185936062</v>
      </c>
      <c r="E262" s="119" t="n">
        <v>101.2110900878906</v>
      </c>
      <c r="F262" s="120" t="n">
        <v>5628300</v>
      </c>
      <c r="G262" s="121" t="n">
        <v>0.002304646231174656</v>
      </c>
      <c r="H262" s="122" t="n">
        <v>65.86387772479148</v>
      </c>
      <c r="I262" s="119" t="n">
        <v>101.6592752075195</v>
      </c>
      <c r="J262" s="119" t="n">
        <v>120.3608472442627</v>
      </c>
      <c r="K262" s="121" t="n">
        <v>0.2671048364601803</v>
      </c>
      <c r="L262" s="121" t="n">
        <v>-0.07638207209529857</v>
      </c>
      <c r="M262" s="121" t="n">
        <v>-0.3816751858781543</v>
      </c>
      <c r="N262" t="n">
        <v>47.52197326555046</v>
      </c>
      <c r="O262" t="n">
        <v>-0.3992706509149963</v>
      </c>
      <c r="P262" t="n">
        <v>90.99462579981925</v>
      </c>
      <c r="Q262" t="n">
        <v>81.14214547012766</v>
      </c>
    </row>
    <row r="263">
      <c r="A263" s="118" t="n">
        <v>44813</v>
      </c>
      <c r="B263" s="119" t="n">
        <v>101.816121521216</v>
      </c>
      <c r="C263" s="119" t="n">
        <v>103.9663845934479</v>
      </c>
      <c r="D263" s="119" t="n">
        <v>101.7416591006479</v>
      </c>
      <c r="E263" s="119" t="n">
        <v>103.2961730957031</v>
      </c>
      <c r="F263" s="120" t="n">
        <v>5171500</v>
      </c>
      <c r="G263" s="121" t="n">
        <v>0.02060132941955106</v>
      </c>
      <c r="H263" s="122" t="n">
        <v>67.22076116664894</v>
      </c>
      <c r="I263" s="119" t="n">
        <v>101.8085037231445</v>
      </c>
      <c r="J263" s="119" t="n">
        <v>120.0739749908447</v>
      </c>
      <c r="K263" s="121" t="n">
        <v>0.2765331595661384</v>
      </c>
      <c r="L263" s="121" t="n">
        <v>-0.05735431490473064</v>
      </c>
      <c r="M263" s="121" t="n">
        <v>-0.3689368726941474</v>
      </c>
      <c r="N263" t="n">
        <v>53.0129250206015</v>
      </c>
      <c r="O263" t="n">
        <v>-0.09901484765003654</v>
      </c>
      <c r="P263" t="n">
        <v>92.40823434293176</v>
      </c>
      <c r="Q263" t="n">
        <v>82.91612363926512</v>
      </c>
    </row>
    <row r="264">
      <c r="A264" s="118" t="n">
        <v>44816</v>
      </c>
      <c r="B264" s="119" t="n">
        <v>103.6778177351913</v>
      </c>
      <c r="C264" s="119" t="n">
        <v>105.5208993675975</v>
      </c>
      <c r="D264" s="119" t="n">
        <v>103.6778177351913</v>
      </c>
      <c r="E264" s="119" t="n">
        <v>104.6086654663086</v>
      </c>
      <c r="F264" s="120" t="n">
        <v>4836900</v>
      </c>
      <c r="G264" s="121" t="n">
        <v>0.01270610838011832</v>
      </c>
      <c r="H264" s="122" t="n">
        <v>68.07487544342644</v>
      </c>
      <c r="I264" s="119" t="n">
        <v>102.0034739685059</v>
      </c>
      <c r="J264" s="119" t="n">
        <v>119.8033014297485</v>
      </c>
      <c r="K264" s="121" t="n">
        <v>0.2729671474221488</v>
      </c>
      <c r="L264" s="121" t="n">
        <v>-0.04537695666585928</v>
      </c>
      <c r="M264" s="121" t="n">
        <v>-0.3609185162039029</v>
      </c>
      <c r="N264" t="n">
        <v>56.12496875820288</v>
      </c>
      <c r="O264" t="n">
        <v>0.1851744459234647</v>
      </c>
      <c r="P264" t="n">
        <v>93.40142604712759</v>
      </c>
      <c r="Q264" t="n">
        <v>83.90162391051496</v>
      </c>
    </row>
    <row r="265">
      <c r="A265" s="118" t="n">
        <v>44817</v>
      </c>
      <c r="B265" s="119" t="n">
        <v>101.3134580499908</v>
      </c>
      <c r="C265" s="119" t="n">
        <v>101.378624205302</v>
      </c>
      <c r="D265" s="119" t="n">
        <v>98.14858162044453</v>
      </c>
      <c r="E265" s="119" t="n">
        <v>98.40921783447266</v>
      </c>
      <c r="F265" s="120" t="n">
        <v>5955600</v>
      </c>
      <c r="G265" s="121" t="n">
        <v>-0.05926323220166307</v>
      </c>
      <c r="H265" s="122" t="n">
        <v>64.04053829292336</v>
      </c>
      <c r="I265" s="119" t="n">
        <v>102.093390045166</v>
      </c>
      <c r="J265" s="119" t="n">
        <v>119.5021838378906</v>
      </c>
      <c r="K265" s="121" t="n">
        <v>0.3411218624774606</v>
      </c>
      <c r="L265" s="121" t="n">
        <v>-0.1019510037480288</v>
      </c>
      <c r="M265" s="121" t="n">
        <v>-0.3987925505738944</v>
      </c>
      <c r="N265" t="n">
        <v>41.98125177969076</v>
      </c>
      <c r="O265" t="n">
        <v>-0.03542062160073589</v>
      </c>
      <c r="P265" t="n">
        <v>89.34009650878198</v>
      </c>
      <c r="Q265" t="n">
        <v>79.30074535656156</v>
      </c>
    </row>
    <row r="266">
      <c r="A266" s="118" t="n">
        <v>44818</v>
      </c>
      <c r="B266" s="119" t="n">
        <v>98.7908754861238</v>
      </c>
      <c r="C266" s="119" t="n">
        <v>99.93582141684111</v>
      </c>
      <c r="D266" s="119" t="n">
        <v>97.87864860963505</v>
      </c>
      <c r="E266" s="119" t="n">
        <v>99.60071563720703</v>
      </c>
      <c r="F266" s="120" t="n">
        <v>4888700</v>
      </c>
      <c r="G266" s="121" t="n">
        <v>0.0121075833032076</v>
      </c>
      <c r="H266" s="122" t="n">
        <v>64.81591444508719</v>
      </c>
      <c r="I266" s="119" t="n">
        <v>102.1488464355469</v>
      </c>
      <c r="J266" s="119" t="n">
        <v>119.2255123519897</v>
      </c>
      <c r="K266" s="121" t="n">
        <v>0.3391200630688592</v>
      </c>
      <c r="L266" s="121" t="n">
        <v>-0.09107780071554594</v>
      </c>
      <c r="M266" s="121" t="n">
        <v>-0.3915133812974588</v>
      </c>
      <c r="N266" t="n">
        <v>44.85745258645261</v>
      </c>
      <c r="O266" t="n">
        <v>-0.08908718760756096</v>
      </c>
      <c r="P266" t="n">
        <v>89.68100884237019</v>
      </c>
      <c r="Q266" t="n">
        <v>79.92985078092508</v>
      </c>
    </row>
    <row r="267">
      <c r="A267" s="118" t="n">
        <v>44819</v>
      </c>
      <c r="B267" s="119" t="n">
        <v>98.80948971144599</v>
      </c>
      <c r="C267" s="119" t="n">
        <v>100.6618747384777</v>
      </c>
      <c r="D267" s="119" t="n">
        <v>97.58077097013681</v>
      </c>
      <c r="E267" s="119" t="n">
        <v>98.20443725585938</v>
      </c>
      <c r="F267" s="120" t="n">
        <v>6598900</v>
      </c>
      <c r="G267" s="121" t="n">
        <v>-0.01401875852412104</v>
      </c>
      <c r="H267" s="122" t="n">
        <v>63.90727579196142</v>
      </c>
      <c r="I267" s="119" t="n">
        <v>102.1780474853516</v>
      </c>
      <c r="J267" s="119" t="n">
        <v>118.9333298110962</v>
      </c>
      <c r="K267" s="121" t="n">
        <v>0.3405166099740684</v>
      </c>
      <c r="L267" s="121" t="n">
        <v>-0.1038197615445279</v>
      </c>
      <c r="M267" s="121" t="n">
        <v>-0.4000436082702087</v>
      </c>
      <c r="N267" t="n">
        <v>42.21629441487138</v>
      </c>
      <c r="O267" t="n">
        <v>-0.200255695565943</v>
      </c>
      <c r="P267" t="n">
        <v>88.66283753379453</v>
      </c>
      <c r="Q267" t="n">
        <v>78.59872966417788</v>
      </c>
    </row>
    <row r="268">
      <c r="A268" s="118" t="n">
        <v>44820</v>
      </c>
      <c r="B268" s="119" t="n">
        <v>96.87333086761976</v>
      </c>
      <c r="C268" s="119" t="n">
        <v>98.00896632700903</v>
      </c>
      <c r="D268" s="119" t="n">
        <v>96.11003595091952</v>
      </c>
      <c r="E268" s="119" t="n">
        <v>96.91987609863281</v>
      </c>
      <c r="F268" s="120" t="n">
        <v>8000800</v>
      </c>
      <c r="G268" s="121" t="n">
        <v>-0.01308047979420524</v>
      </c>
      <c r="H268" s="122" t="n">
        <v>63.07133796226196</v>
      </c>
      <c r="I268" s="119" t="n">
        <v>102.1091595458984</v>
      </c>
      <c r="J268" s="119" t="n">
        <v>118.6376292800903</v>
      </c>
      <c r="K268" s="121" t="n">
        <v>0.3415189992482558</v>
      </c>
      <c r="L268" s="121" t="n">
        <v>-0.1155422290456107</v>
      </c>
      <c r="M268" s="121" t="n">
        <v>-0.4078913257296345</v>
      </c>
      <c r="N268" t="n">
        <v>39.88935906533927</v>
      </c>
      <c r="O268" t="n">
        <v>-0.3340517143680473</v>
      </c>
      <c r="P268" t="n">
        <v>87.98642730927807</v>
      </c>
      <c r="Q268" t="n">
        <v>78.11809605832816</v>
      </c>
    </row>
    <row r="269">
      <c r="A269" s="118" t="n">
        <v>44823</v>
      </c>
      <c r="B269" s="119" t="n">
        <v>96.51960733594508</v>
      </c>
      <c r="C269" s="119" t="n">
        <v>99.94512740623767</v>
      </c>
      <c r="D269" s="119" t="n">
        <v>96.18450157132261</v>
      </c>
      <c r="E269" s="119" t="n">
        <v>99.79618835449219</v>
      </c>
      <c r="F269" s="120" t="n">
        <v>5162300</v>
      </c>
      <c r="G269" s="121" t="n">
        <v>0.02967721763214204</v>
      </c>
      <c r="H269" s="122" t="n">
        <v>64.94311978531839</v>
      </c>
      <c r="I269" s="119" t="n">
        <v>102.1015104675293</v>
      </c>
      <c r="J269" s="119" t="n">
        <v>118.3680212020874</v>
      </c>
      <c r="K269" s="121" t="n">
        <v>0.3543898004015977</v>
      </c>
      <c r="L269" s="121" t="n">
        <v>-0.08929398329055815</v>
      </c>
      <c r="M269" s="121" t="n">
        <v>-0.3903191877414337</v>
      </c>
      <c r="N269" t="n">
        <v>46.94155908013955</v>
      </c>
      <c r="O269" t="n">
        <v>-0.2087178181132822</v>
      </c>
      <c r="P269" t="n">
        <v>88.66874220301963</v>
      </c>
      <c r="Q269" t="n">
        <v>78.72643873236608</v>
      </c>
    </row>
    <row r="270">
      <c r="A270" s="118" t="n">
        <v>44824</v>
      </c>
      <c r="B270" s="119" t="n">
        <v>96.64061350750752</v>
      </c>
      <c r="C270" s="119" t="n">
        <v>97.21774167146584</v>
      </c>
      <c r="D270" s="119" t="n">
        <v>94.67652417900645</v>
      </c>
      <c r="E270" s="119" t="n">
        <v>95.33742523193359</v>
      </c>
      <c r="F270" s="120" t="n">
        <v>10006600</v>
      </c>
      <c r="G270" s="121" t="n">
        <v>-0.04467869160213156</v>
      </c>
      <c r="H270" s="122" t="n">
        <v>62.04154616474986</v>
      </c>
      <c r="I270" s="119" t="n">
        <v>102.0570355224609</v>
      </c>
      <c r="J270" s="119" t="n">
        <v>118.0609043121338</v>
      </c>
      <c r="K270" s="121" t="n">
        <v>0.3773057831084332</v>
      </c>
      <c r="L270" s="121" t="n">
        <v>-0.129983136551325</v>
      </c>
      <c r="M270" s="121" t="n">
        <v>-0.4175589287280713</v>
      </c>
      <c r="N270" t="n">
        <v>39.25352977118248</v>
      </c>
      <c r="O270" t="n">
        <v>-0.3951681856780369</v>
      </c>
      <c r="P270" t="n">
        <v>87.65094405197864</v>
      </c>
      <c r="Q270" t="n">
        <v>78.09890381290722</v>
      </c>
    </row>
    <row r="271">
      <c r="A271" s="118" t="n">
        <v>44825</v>
      </c>
      <c r="B271" s="119" t="n">
        <v>95.57013643890758</v>
      </c>
      <c r="C271" s="119" t="n">
        <v>96.46374942342626</v>
      </c>
      <c r="D271" s="119" t="n">
        <v>92.87067655340894</v>
      </c>
      <c r="E271" s="119" t="n">
        <v>92.88929748535156</v>
      </c>
      <c r="F271" s="120" t="n">
        <v>6279300</v>
      </c>
      <c r="G271" s="121" t="n">
        <v>-0.02567855950196174</v>
      </c>
      <c r="H271" s="122" t="n">
        <v>60.44840862996463</v>
      </c>
      <c r="I271" s="119" t="n">
        <v>101.9886589050293</v>
      </c>
      <c r="J271" s="119" t="n">
        <v>117.7390293884277</v>
      </c>
      <c r="K271" s="121" t="n">
        <v>0.3845933577383423</v>
      </c>
      <c r="L271" s="121" t="n">
        <v>-0.1523239163471019</v>
      </c>
      <c r="M271" s="121" t="n">
        <v>-0.4325151764331139</v>
      </c>
      <c r="N271" t="n">
        <v>35.78778410949577</v>
      </c>
      <c r="O271" t="n">
        <v>-0.6380501324641092</v>
      </c>
      <c r="P271" t="n">
        <v>86.12200056339471</v>
      </c>
      <c r="Q271" t="n">
        <v>76.70046207462849</v>
      </c>
    </row>
    <row r="272">
      <c r="A272" s="118" t="n">
        <v>44826</v>
      </c>
      <c r="B272" s="119" t="n">
        <v>92.88929558032444</v>
      </c>
      <c r="C272" s="119" t="n">
        <v>93.28024992144508</v>
      </c>
      <c r="D272" s="119" t="n">
        <v>91.06483488662366</v>
      </c>
      <c r="E272" s="119" t="n">
        <v>91.73504638671875</v>
      </c>
      <c r="F272" s="120" t="n">
        <v>9638800</v>
      </c>
      <c r="G272" s="121" t="n">
        <v>-0.01242609353154855</v>
      </c>
      <c r="H272" s="122" t="n">
        <v>59.69727105049542</v>
      </c>
      <c r="I272" s="119" t="n">
        <v>101.8721363830566</v>
      </c>
      <c r="J272" s="119" t="n">
        <v>117.4175263977051</v>
      </c>
      <c r="K272" s="121" t="n">
        <v>0.3830817343645271</v>
      </c>
      <c r="L272" s="121" t="n">
        <v>-0.1628572186470295</v>
      </c>
      <c r="M272" s="121" t="n">
        <v>-0.4395667959284902</v>
      </c>
      <c r="N272" t="n">
        <v>34.25225502997634</v>
      </c>
      <c r="O272" t="n">
        <v>-0.8195435965943207</v>
      </c>
      <c r="P272" t="n">
        <v>85.39857980632391</v>
      </c>
      <c r="Q272" t="n">
        <v>75.75645352973083</v>
      </c>
    </row>
    <row r="273">
      <c r="A273" s="118" t="n">
        <v>44827</v>
      </c>
      <c r="B273" s="119" t="n">
        <v>90.21775344641114</v>
      </c>
      <c r="C273" s="119" t="n">
        <v>90.79488155190009</v>
      </c>
      <c r="D273" s="119" t="n">
        <v>88.74701244009688</v>
      </c>
      <c r="E273" s="119" t="n">
        <v>90.31083679199219</v>
      </c>
      <c r="F273" s="120" t="n">
        <v>9026500</v>
      </c>
      <c r="G273" s="121" t="n">
        <v>-0.01552525071740474</v>
      </c>
      <c r="H273" s="122" t="n">
        <v>58.77045595029161</v>
      </c>
      <c r="I273" s="119" t="n">
        <v>101.7622149658203</v>
      </c>
      <c r="J273" s="119" t="n">
        <v>117.0779095458984</v>
      </c>
      <c r="K273" s="121" t="n">
        <v>0.3754763199160336</v>
      </c>
      <c r="L273" s="121" t="n">
        <v>-0.1758540702137998</v>
      </c>
      <c r="M273" s="121" t="n">
        <v>-0.4482676619320589</v>
      </c>
      <c r="N273" t="n">
        <v>32.40473158164241</v>
      </c>
      <c r="O273" t="n">
        <v>-0.968405976710135</v>
      </c>
      <c r="P273" t="n">
        <v>83.96774748210125</v>
      </c>
      <c r="Q273" t="n">
        <v>74.52299079861436</v>
      </c>
    </row>
    <row r="274">
      <c r="A274" s="118" t="n">
        <v>44830</v>
      </c>
      <c r="B274" s="119" t="n">
        <v>89.44515299372574</v>
      </c>
      <c r="C274" s="119" t="n">
        <v>90.97174977091012</v>
      </c>
      <c r="D274" s="119" t="n">
        <v>89.09143342077824</v>
      </c>
      <c r="E274" s="119" t="n">
        <v>89.41722869873047</v>
      </c>
      <c r="F274" s="120" t="n">
        <v>8521600</v>
      </c>
      <c r="G274" s="121" t="n">
        <v>-0.009894804710091631</v>
      </c>
      <c r="H274" s="122" t="n">
        <v>58.18893376594043</v>
      </c>
      <c r="I274" s="119" t="n">
        <v>101.606947479248</v>
      </c>
      <c r="J274" s="119" t="n">
        <v>116.7386280441284</v>
      </c>
      <c r="K274" s="121" t="n">
        <v>0.3504153027417908</v>
      </c>
      <c r="L274" s="121" t="n">
        <v>-0.1840088332416513</v>
      </c>
      <c r="M274" s="121" t="n">
        <v>-0.4537269456694835</v>
      </c>
      <c r="N274" t="n">
        <v>31.26521644290584</v>
      </c>
      <c r="O274" t="n">
        <v>-1.052943272234805</v>
      </c>
      <c r="P274" t="n">
        <v>83.13706954266252</v>
      </c>
      <c r="Q274" t="n">
        <v>74.21465677924058</v>
      </c>
    </row>
    <row r="275">
      <c r="A275" s="118" t="n">
        <v>44831</v>
      </c>
      <c r="B275" s="119" t="n">
        <v>90.35738482872821</v>
      </c>
      <c r="C275" s="119" t="n">
        <v>90.98105107552189</v>
      </c>
      <c r="D275" s="119" t="n">
        <v>88.43053039781638</v>
      </c>
      <c r="E275" s="119" t="n">
        <v>89.63132476806641</v>
      </c>
      <c r="F275" s="120" t="n">
        <v>9890300</v>
      </c>
      <c r="G275" s="121" t="n">
        <v>0.002394349192561984</v>
      </c>
      <c r="H275" s="122" t="n">
        <v>58.32825839251895</v>
      </c>
      <c r="I275" s="119" t="n">
        <v>101.4700698852539</v>
      </c>
      <c r="J275" s="119" t="n">
        <v>116.4103478240967</v>
      </c>
      <c r="K275" s="121" t="n">
        <v>0.3515174649981289</v>
      </c>
      <c r="L275" s="121" t="n">
        <v>-0.1820550654503859</v>
      </c>
      <c r="M275" s="121" t="n">
        <v>-0.4524189772229288</v>
      </c>
      <c r="N275" t="n">
        <v>31.88324974189908</v>
      </c>
      <c r="O275" t="n">
        <v>-1.019640303635042</v>
      </c>
      <c r="P275" t="n">
        <v>82.92485265764991</v>
      </c>
      <c r="Q275" t="n">
        <v>74.24440349310683</v>
      </c>
    </row>
    <row r="276">
      <c r="A276" s="118" t="n">
        <v>44832</v>
      </c>
      <c r="B276" s="119" t="n">
        <v>90.39461988608109</v>
      </c>
      <c r="C276" s="119" t="n">
        <v>92.55418624620224</v>
      </c>
      <c r="D276" s="119" t="n">
        <v>90.06882461443003</v>
      </c>
      <c r="E276" s="119" t="n">
        <v>91.87466430664062</v>
      </c>
      <c r="F276" s="120" t="n">
        <v>9423300</v>
      </c>
      <c r="G276" s="121" t="n">
        <v>0.02502852149490331</v>
      </c>
      <c r="H276" s="122" t="n">
        <v>59.78812846145638</v>
      </c>
      <c r="I276" s="119" t="n">
        <v>101.2806001281738</v>
      </c>
      <c r="J276" s="119" t="n">
        <v>116.0888501739502</v>
      </c>
      <c r="K276" s="121" t="n">
        <v>0.3674065710753227</v>
      </c>
      <c r="L276" s="121" t="n">
        <v>-0.1615831130743636</v>
      </c>
      <c r="M276" s="121" t="n">
        <v>-0.4387138338241516</v>
      </c>
      <c r="N276" t="n">
        <v>38.1579132578637</v>
      </c>
      <c r="O276" t="n">
        <v>-0.7823975930438785</v>
      </c>
      <c r="P276" t="n">
        <v>84.55653153729928</v>
      </c>
      <c r="Q276" t="n">
        <v>75.72128604087109</v>
      </c>
    </row>
    <row r="277">
      <c r="A277" s="118" t="n">
        <v>44833</v>
      </c>
      <c r="B277" s="119" t="n">
        <v>91.3254644013896</v>
      </c>
      <c r="C277" s="119" t="n">
        <v>91.3254644013896</v>
      </c>
      <c r="D277" s="119" t="n">
        <v>87.94648995554512</v>
      </c>
      <c r="E277" s="119" t="n">
        <v>88.73770904541016</v>
      </c>
      <c r="F277" s="120" t="n">
        <v>19339200</v>
      </c>
      <c r="G277" s="121" t="n">
        <v>-0.03414385548948051</v>
      </c>
      <c r="H277" s="122" t="n">
        <v>57.74673124328191</v>
      </c>
      <c r="I277" s="119" t="n">
        <v>100.9927490234375</v>
      </c>
      <c r="J277" s="119" t="n">
        <v>115.7619215774536</v>
      </c>
      <c r="K277" s="121" t="n">
        <v>0.3816252032095557</v>
      </c>
      <c r="L277" s="121" t="n">
        <v>-0.1902098981014926</v>
      </c>
      <c r="M277" s="121" t="n">
        <v>-0.4578783075703043</v>
      </c>
      <c r="N277" t="n">
        <v>33.50952128881799</v>
      </c>
      <c r="O277" t="n">
        <v>-0.7713406604525943</v>
      </c>
      <c r="P277" t="n">
        <v>82.79021595577717</v>
      </c>
      <c r="Q277" t="n">
        <v>73.53841087701298</v>
      </c>
    </row>
    <row r="278">
      <c r="A278" s="118" t="n">
        <v>44834</v>
      </c>
      <c r="B278" s="119" t="n">
        <v>77.53961555166708</v>
      </c>
      <c r="C278" s="119" t="n">
        <v>80.23906817588681</v>
      </c>
      <c r="D278" s="119" t="n">
        <v>76.79493455765898</v>
      </c>
      <c r="E278" s="119" t="n">
        <v>77.37206268310547</v>
      </c>
      <c r="F278" s="120" t="n">
        <v>48176100</v>
      </c>
      <c r="G278" s="121" t="n">
        <v>-0.1280813589236172</v>
      </c>
      <c r="H278" s="122" t="n">
        <v>50.35045143224547</v>
      </c>
      <c r="I278" s="119" t="n">
        <v>100.4681176757812</v>
      </c>
      <c r="J278" s="119" t="n">
        <v>115.3848160552978</v>
      </c>
      <c r="K278" s="121" t="n">
        <v>0.5787574448615183</v>
      </c>
      <c r="L278" s="121" t="n">
        <v>-0.2939289147955478</v>
      </c>
      <c r="M278" s="121" t="n">
        <v>-0.527313990638671</v>
      </c>
      <c r="N278" t="n">
        <v>22.7133491553991</v>
      </c>
      <c r="O278" t="n">
        <v>-1.426010015198494</v>
      </c>
      <c r="P278" t="n">
        <v>81.50997830564528</v>
      </c>
      <c r="Q278" t="n">
        <v>72.29145531343603</v>
      </c>
    </row>
    <row r="279">
      <c r="A279" s="118" t="n">
        <v>44837</v>
      </c>
      <c r="B279" s="119" t="n">
        <v>77.38135678166249</v>
      </c>
      <c r="C279" s="119" t="n">
        <v>80.49039139231905</v>
      </c>
      <c r="D279" s="119" t="n">
        <v>76.53428917665894</v>
      </c>
      <c r="E279" s="119" t="n">
        <v>79.494384765625</v>
      </c>
      <c r="F279" s="120" t="n">
        <v>19108200</v>
      </c>
      <c r="G279" s="121" t="n">
        <v>0.02743008275754488</v>
      </c>
      <c r="H279" s="122" t="n">
        <v>51.73156848191171</v>
      </c>
      <c r="I279" s="119" t="n">
        <v>100.0323416137695</v>
      </c>
      <c r="J279" s="119" t="n">
        <v>115.0252503967285</v>
      </c>
      <c r="K279" s="121" t="n">
        <v>0.5947205859514634</v>
      </c>
      <c r="L279" s="121" t="n">
        <v>-0.2745613264956801</v>
      </c>
      <c r="M279" s="121" t="n">
        <v>-0.5143481742835561</v>
      </c>
      <c r="N279" t="n">
        <v>27.41601603394743</v>
      </c>
      <c r="O279" t="n">
        <v>-1.599604059148482</v>
      </c>
      <c r="P279" t="n">
        <v>83.66194854084428</v>
      </c>
      <c r="Q279" t="n">
        <v>73.98742329540056</v>
      </c>
    </row>
    <row r="280">
      <c r="A280" s="118" t="n">
        <v>44838</v>
      </c>
      <c r="B280" s="119" t="n">
        <v>81.63533873736144</v>
      </c>
      <c r="C280" s="119" t="n">
        <v>82.91060261626835</v>
      </c>
      <c r="D280" s="119" t="n">
        <v>81.08614201474434</v>
      </c>
      <c r="E280" s="119" t="n">
        <v>82.51033782958984</v>
      </c>
      <c r="F280" s="120" t="n">
        <v>15114800</v>
      </c>
      <c r="G280" s="121" t="n">
        <v>0.03793919624457565</v>
      </c>
      <c r="H280" s="122" t="n">
        <v>53.69422261058666</v>
      </c>
      <c r="I280" s="119" t="n">
        <v>99.65391494750976</v>
      </c>
      <c r="J280" s="119" t="n">
        <v>114.6862147903442</v>
      </c>
      <c r="K280" s="121" t="n">
        <v>0.6185216694351797</v>
      </c>
      <c r="L280" s="121" t="n">
        <v>-0.2470387662981951</v>
      </c>
      <c r="M280" s="121" t="n">
        <v>-0.4959229343611635</v>
      </c>
      <c r="N280" t="n">
        <v>33.59918489999508</v>
      </c>
      <c r="O280" t="n">
        <v>-1.401894068866345</v>
      </c>
      <c r="P280" t="n">
        <v>86.25434710235857</v>
      </c>
      <c r="Q280" t="n">
        <v>76.31367035861972</v>
      </c>
    </row>
    <row r="281">
      <c r="A281" s="118" t="n">
        <v>44839</v>
      </c>
      <c r="B281" s="119" t="n">
        <v>81.43986352896746</v>
      </c>
      <c r="C281" s="119" t="n">
        <v>85.35873150551491</v>
      </c>
      <c r="D281" s="119" t="n">
        <v>81.1233787188835</v>
      </c>
      <c r="E281" s="119" t="n">
        <v>84.80022430419922</v>
      </c>
      <c r="F281" s="120" t="n">
        <v>12732700</v>
      </c>
      <c r="G281" s="121" t="n">
        <v>0.02775272208118595</v>
      </c>
      <c r="H281" s="122" t="n">
        <v>55.1843834480636</v>
      </c>
      <c r="I281" s="119" t="n">
        <v>99.39702529907227</v>
      </c>
      <c r="J281" s="119" t="n">
        <v>114.3649103546143</v>
      </c>
      <c r="K281" s="121" t="n">
        <v>0.6153596471663101</v>
      </c>
      <c r="L281" s="121" t="n">
        <v>-0.226142042441362</v>
      </c>
      <c r="M281" s="121" t="n">
        <v>-0.4819334236509891</v>
      </c>
      <c r="N281" t="n">
        <v>37.92307417375954</v>
      </c>
      <c r="O281" t="n">
        <v>-1.024962861024657</v>
      </c>
      <c r="P281" t="n">
        <v>86.0535444478183</v>
      </c>
      <c r="Q281" t="n">
        <v>76.27309053834121</v>
      </c>
    </row>
    <row r="282">
      <c r="A282" s="118" t="n">
        <v>44840</v>
      </c>
      <c r="B282" s="119" t="n">
        <v>84.2323954774902</v>
      </c>
      <c r="C282" s="119" t="n">
        <v>86.23371919370557</v>
      </c>
      <c r="D282" s="119" t="n">
        <v>83.59941883938031</v>
      </c>
      <c r="E282" s="119" t="n">
        <v>83.93452453613281</v>
      </c>
      <c r="F282" s="120" t="n">
        <v>9951900</v>
      </c>
      <c r="G282" s="121" t="n">
        <v>-0.01020869667703861</v>
      </c>
      <c r="H282" s="122" t="n">
        <v>54.62102281613292</v>
      </c>
      <c r="I282" s="119" t="n">
        <v>99.07344207763671</v>
      </c>
      <c r="J282" s="119" t="n">
        <v>114.0595082092285</v>
      </c>
      <c r="K282" s="121" t="n">
        <v>0.6141979297842598</v>
      </c>
      <c r="L282" s="121" t="n">
        <v>-0.2340421236011909</v>
      </c>
      <c r="M282" s="121" t="n">
        <v>-0.4872222081874481</v>
      </c>
      <c r="N282" t="n">
        <v>36.94363205439198</v>
      </c>
      <c r="O282" t="n">
        <v>-0.7545046671667439</v>
      </c>
      <c r="P282" t="n">
        <v>85.16581730646109</v>
      </c>
      <c r="Q282" t="n">
        <v>75.6725835016771</v>
      </c>
    </row>
    <row r="283">
      <c r="A283" s="118" t="n">
        <v>44841</v>
      </c>
      <c r="B283" s="119" t="n">
        <v>82.41724997242021</v>
      </c>
      <c r="C283" s="119" t="n">
        <v>82.62203758720943</v>
      </c>
      <c r="D283" s="119" t="n">
        <v>80.69518327811667</v>
      </c>
      <c r="E283" s="119" t="n">
        <v>81.13268280029297</v>
      </c>
      <c r="F283" s="120" t="n">
        <v>8554700</v>
      </c>
      <c r="G283" s="121" t="n">
        <v>-0.0333812784587072</v>
      </c>
      <c r="H283" s="122" t="n">
        <v>52.79770324380819</v>
      </c>
      <c r="I283" s="119" t="n">
        <v>98.61269897460937</v>
      </c>
      <c r="J283" s="119" t="n">
        <v>113.695524559021</v>
      </c>
      <c r="K283" s="121" t="n">
        <v>0.6100717482393724</v>
      </c>
      <c r="L283" s="121" t="n">
        <v>-0.2596107767608995</v>
      </c>
      <c r="M283" s="121" t="n">
        <v>-0.5043393864433838</v>
      </c>
      <c r="N283" t="n">
        <v>33.89263648628329</v>
      </c>
      <c r="O283" t="n">
        <v>-0.6867999496273587</v>
      </c>
      <c r="P283" t="n">
        <v>82.79021595577716</v>
      </c>
      <c r="Q283" t="n">
        <v>72.78914494029335</v>
      </c>
    </row>
    <row r="284">
      <c r="A284" s="118" t="n">
        <v>44844</v>
      </c>
      <c r="B284" s="119" t="n">
        <v>81.69119719750259</v>
      </c>
      <c r="C284" s="119" t="n">
        <v>81.70981102694952</v>
      </c>
      <c r="D284" s="119" t="n">
        <v>79.18721457952633</v>
      </c>
      <c r="E284" s="119" t="n">
        <v>80.6951904296875</v>
      </c>
      <c r="F284" s="120" t="n">
        <v>7991200</v>
      </c>
      <c r="G284" s="121" t="n">
        <v>-0.005392307458664369</v>
      </c>
      <c r="H284" s="122" t="n">
        <v>52.51300179480626</v>
      </c>
      <c r="I284" s="119" t="n">
        <v>98.09326995849609</v>
      </c>
      <c r="J284" s="119" t="n">
        <v>113.3348498916626</v>
      </c>
      <c r="K284" s="121" t="n">
        <v>0.6039912763748775</v>
      </c>
      <c r="L284" s="121" t="n">
        <v>-0.2636031830916865</v>
      </c>
      <c r="M284" s="121" t="n">
        <v>-0.5070121408668313</v>
      </c>
      <c r="N284" t="n">
        <v>33.4284106764279</v>
      </c>
      <c r="O284" t="n">
        <v>-0.5972737672784216</v>
      </c>
      <c r="P284" t="n">
        <v>82.15808709204185</v>
      </c>
      <c r="Q284" t="n">
        <v>72.06154521639826</v>
      </c>
    </row>
    <row r="285">
      <c r="A285" s="118" t="n">
        <v>44845</v>
      </c>
      <c r="B285" s="119" t="n">
        <v>80.09013102708386</v>
      </c>
      <c r="C285" s="119" t="n">
        <v>82.14730343947056</v>
      </c>
      <c r="D285" s="119" t="n">
        <v>79.82018436186517</v>
      </c>
      <c r="E285" s="119" t="n">
        <v>81.90528106689453</v>
      </c>
      <c r="F285" s="120" t="n">
        <v>11903200</v>
      </c>
      <c r="G285" s="121" t="n">
        <v>0.01499582107388941</v>
      </c>
      <c r="H285" s="122" t="n">
        <v>53.300477373774</v>
      </c>
      <c r="I285" s="119" t="n">
        <v>97.60955215454102</v>
      </c>
      <c r="J285" s="119" t="n">
        <v>112.9791634368896</v>
      </c>
      <c r="K285" s="121" t="n">
        <v>0.5844023831698828</v>
      </c>
      <c r="L285" s="121" t="n">
        <v>-0.2525603081859478</v>
      </c>
      <c r="M285" s="121" t="n">
        <v>-0.4996193831396706</v>
      </c>
      <c r="N285" t="n">
        <v>36.03803404697393</v>
      </c>
      <c r="O285" t="n">
        <v>-0.3922572177166543</v>
      </c>
      <c r="P285" t="n">
        <v>81.63778841967783</v>
      </c>
      <c r="Q285" t="n">
        <v>71.0715360762286</v>
      </c>
    </row>
    <row r="286">
      <c r="A286" s="118" t="n">
        <v>44846</v>
      </c>
      <c r="B286" s="119" t="n">
        <v>81.91460888083569</v>
      </c>
      <c r="C286" s="119" t="n">
        <v>82.73375241299412</v>
      </c>
      <c r="D286" s="119" t="n">
        <v>81.27232160680597</v>
      </c>
      <c r="E286" s="119" t="n">
        <v>82.38934326171875</v>
      </c>
      <c r="F286" s="120" t="n">
        <v>8772900</v>
      </c>
      <c r="G286" s="121" t="n">
        <v>0.005910024219669907</v>
      </c>
      <c r="H286" s="122" t="n">
        <v>53.61548448597298</v>
      </c>
      <c r="I286" s="119" t="n">
        <v>97.18248184204101</v>
      </c>
      <c r="J286" s="119" t="n">
        <v>112.6170750427246</v>
      </c>
      <c r="K286" s="121" t="n">
        <v>0.581918341716399</v>
      </c>
      <c r="L286" s="121" t="n">
        <v>-0.2481429215045841</v>
      </c>
      <c r="M286" s="121" t="n">
        <v>-0.4966621215749726</v>
      </c>
      <c r="N286" t="n">
        <v>37.10023305689344</v>
      </c>
      <c r="O286" t="n">
        <v>-0.1710402552213113</v>
      </c>
      <c r="P286" t="n">
        <v>81.36849306548913</v>
      </c>
      <c r="Q286" t="n">
        <v>71.04719325020635</v>
      </c>
    </row>
    <row r="287">
      <c r="A287" s="118" t="n">
        <v>44847</v>
      </c>
      <c r="B287" s="119" t="n">
        <v>80.41592908842728</v>
      </c>
      <c r="C287" s="119" t="n">
        <v>83.59942639343376</v>
      </c>
      <c r="D287" s="119" t="n">
        <v>80.09944429167645</v>
      </c>
      <c r="E287" s="119" t="n">
        <v>83.36671447753906</v>
      </c>
      <c r="F287" s="120" t="n">
        <v>9335000</v>
      </c>
      <c r="G287" s="121" t="n">
        <v>0.01186283537563337</v>
      </c>
      <c r="H287" s="122" t="n">
        <v>54.2515161520149</v>
      </c>
      <c r="I287" s="119" t="n">
        <v>96.72836410522461</v>
      </c>
      <c r="J287" s="119" t="n">
        <v>112.2652313995361</v>
      </c>
      <c r="K287" s="121" t="n">
        <v>0.5860589067922306</v>
      </c>
      <c r="L287" s="121" t="n">
        <v>-0.2392237647563883</v>
      </c>
      <c r="M287" s="121" t="n">
        <v>-0.4906911071848959</v>
      </c>
      <c r="N287" t="n">
        <v>39.29238338839146</v>
      </c>
      <c r="O287" t="n">
        <v>0.08060591812859652</v>
      </c>
      <c r="P287" t="n">
        <v>83.51590492531361</v>
      </c>
      <c r="Q287" t="n">
        <v>72.71341451830462</v>
      </c>
    </row>
    <row r="288">
      <c r="A288" s="118" t="n">
        <v>44848</v>
      </c>
      <c r="B288" s="119" t="n">
        <v>84.25102039368889</v>
      </c>
      <c r="C288" s="119" t="n">
        <v>84.59542946923847</v>
      </c>
      <c r="D288" s="119" t="n">
        <v>81.43985659363541</v>
      </c>
      <c r="E288" s="119" t="n">
        <v>81.49571228027344</v>
      </c>
      <c r="F288" s="120" t="n">
        <v>7811700</v>
      </c>
      <c r="G288" s="121" t="n">
        <v>-0.02244303627642319</v>
      </c>
      <c r="H288" s="122" t="n">
        <v>53.03394740696427</v>
      </c>
      <c r="I288" s="119" t="n">
        <v>96.23311370849609</v>
      </c>
      <c r="J288" s="119" t="n">
        <v>111.8931322479248</v>
      </c>
      <c r="K288" s="121" t="n">
        <v>0.5881850582912669</v>
      </c>
      <c r="L288" s="121" t="n">
        <v>-0.2562978934022013</v>
      </c>
      <c r="M288" s="121" t="n">
        <v>-0.5021215451422503</v>
      </c>
      <c r="N288" t="n">
        <v>36.65850633337647</v>
      </c>
      <c r="O288" t="n">
        <v>0.1561725690020008</v>
      </c>
      <c r="P288" t="n">
        <v>81.61268442945308</v>
      </c>
      <c r="Q288" t="n">
        <v>70.52784163231188</v>
      </c>
    </row>
    <row r="289">
      <c r="A289" s="118" t="n">
        <v>44851</v>
      </c>
      <c r="B289" s="119" t="n">
        <v>83.33880723998399</v>
      </c>
      <c r="C289" s="119" t="n">
        <v>84.4185941595898</v>
      </c>
      <c r="D289" s="119" t="n">
        <v>82.56620181665973</v>
      </c>
      <c r="E289" s="119" t="n">
        <v>83.74838256835938</v>
      </c>
      <c r="F289" s="120" t="n">
        <v>8451900</v>
      </c>
      <c r="G289" s="121" t="n">
        <v>0.0276415804593344</v>
      </c>
      <c r="H289" s="122" t="n">
        <v>54.49988953128998</v>
      </c>
      <c r="I289" s="119" t="n">
        <v>95.79424057006835</v>
      </c>
      <c r="J289" s="119" t="n">
        <v>111.538254776001</v>
      </c>
      <c r="K289" s="121" t="n">
        <v>0.5865001718439773</v>
      </c>
      <c r="L289" s="121" t="n">
        <v>-0.2357407917849018</v>
      </c>
      <c r="M289" s="121" t="n">
        <v>-0.4883593977733308</v>
      </c>
      <c r="N289" t="n">
        <v>41.7236040487976</v>
      </c>
      <c r="O289" t="n">
        <v>0.3802218531966837</v>
      </c>
      <c r="P289" t="n">
        <v>83.70987367519926</v>
      </c>
      <c r="Q289" t="n">
        <v>72.85677797409089</v>
      </c>
    </row>
    <row r="290">
      <c r="A290" s="118" t="n">
        <v>44852</v>
      </c>
      <c r="B290" s="119" t="n">
        <v>86.19651347427059</v>
      </c>
      <c r="C290" s="119" t="n">
        <v>86.48508115033803</v>
      </c>
      <c r="D290" s="119" t="n">
        <v>82.98509108403741</v>
      </c>
      <c r="E290" s="119" t="n">
        <v>83.47843933105469</v>
      </c>
      <c r="F290" s="120" t="n">
        <v>7364700</v>
      </c>
      <c r="G290" s="121" t="n">
        <v>-0.003223265083171611</v>
      </c>
      <c r="H290" s="122" t="n">
        <v>54.32422194032706</v>
      </c>
      <c r="I290" s="119" t="n">
        <v>95.34755538940429</v>
      </c>
      <c r="J290" s="119" t="n">
        <v>111.1858151245117</v>
      </c>
      <c r="K290" s="121" t="n">
        <v>0.5703959590537568</v>
      </c>
      <c r="L290" s="121" t="n">
        <v>-0.2382042018052339</v>
      </c>
      <c r="M290" s="121" t="n">
        <v>-0.4900085510616209</v>
      </c>
      <c r="N290" t="n">
        <v>41.29743480063663</v>
      </c>
      <c r="O290" t="n">
        <v>0.5237382372494697</v>
      </c>
      <c r="P290" t="n">
        <v>84.69343645163767</v>
      </c>
      <c r="Q290" t="n">
        <v>73.43294218473275</v>
      </c>
    </row>
    <row r="291">
      <c r="A291" s="118" t="n">
        <v>44853</v>
      </c>
      <c r="B291" s="119" t="n">
        <v>82.15662227783652</v>
      </c>
      <c r="C291" s="119" t="n">
        <v>83.53427293518139</v>
      </c>
      <c r="D291" s="119" t="n">
        <v>81.6911984148786</v>
      </c>
      <c r="E291" s="119" t="n">
        <v>82.44518280029297</v>
      </c>
      <c r="F291" s="120" t="n">
        <v>5102000</v>
      </c>
      <c r="G291" s="121" t="n">
        <v>-0.01237752573049533</v>
      </c>
      <c r="H291" s="122" t="n">
        <v>53.65182248547153</v>
      </c>
      <c r="I291" s="119" t="n">
        <v>94.95241744995117</v>
      </c>
      <c r="J291" s="119" t="n">
        <v>110.837447013855</v>
      </c>
      <c r="K291" s="121" t="n">
        <v>0.5662400158319834</v>
      </c>
      <c r="L291" s="121" t="n">
        <v>-0.2476333488987728</v>
      </c>
      <c r="M291" s="121" t="n">
        <v>-0.4963209833431882</v>
      </c>
      <c r="N291" t="n">
        <v>39.62890946802359</v>
      </c>
      <c r="O291" t="n">
        <v>0.559348217139787</v>
      </c>
      <c r="P291" t="n">
        <v>84.09324548278167</v>
      </c>
      <c r="Q291" t="n">
        <v>73.16513732418895</v>
      </c>
    </row>
    <row r="292">
      <c r="A292" s="118" t="n">
        <v>44854</v>
      </c>
      <c r="B292" s="119" t="n">
        <v>83.28294549645024</v>
      </c>
      <c r="C292" s="119" t="n">
        <v>84.31618701954909</v>
      </c>
      <c r="D292" s="119" t="n">
        <v>80.62072048581051</v>
      </c>
      <c r="E292" s="119" t="n">
        <v>80.82550811767578</v>
      </c>
      <c r="F292" s="120" t="n">
        <v>13500000</v>
      </c>
      <c r="G292" s="121" t="n">
        <v>-0.01964547384824811</v>
      </c>
      <c r="H292" s="122" t="n">
        <v>52.59780700992235</v>
      </c>
      <c r="I292" s="119" t="n">
        <v>94.4686378479004</v>
      </c>
      <c r="J292" s="119" t="n">
        <v>110.4730358123779</v>
      </c>
      <c r="K292" s="121" t="n">
        <v>0.5680209239009333</v>
      </c>
      <c r="L292" s="121" t="n">
        <v>-0.2624139482672759</v>
      </c>
      <c r="M292" s="121" t="n">
        <v>-0.506215996292831</v>
      </c>
      <c r="N292" t="n">
        <v>37.09861130661829</v>
      </c>
      <c r="O292" t="n">
        <v>0.486759115203883</v>
      </c>
      <c r="P292" t="n">
        <v>83.38810212809544</v>
      </c>
      <c r="Q292" t="n">
        <v>72.79187221493964</v>
      </c>
    </row>
    <row r="293">
      <c r="A293" s="118" t="n">
        <v>44855</v>
      </c>
      <c r="B293" s="119" t="n">
        <v>81.00235494088163</v>
      </c>
      <c r="C293" s="119" t="n">
        <v>82.64064870364069</v>
      </c>
      <c r="D293" s="119" t="n">
        <v>80.7137944577663</v>
      </c>
      <c r="E293" s="119" t="n">
        <v>82.38001251220703</v>
      </c>
      <c r="F293" s="120" t="n">
        <v>7976300</v>
      </c>
      <c r="G293" s="121" t="n">
        <v>0.01923284407031511</v>
      </c>
      <c r="H293" s="122" t="n">
        <v>53.60941243058471</v>
      </c>
      <c r="I293" s="119" t="n">
        <v>93.99812759399414</v>
      </c>
      <c r="J293" s="119" t="n">
        <v>110.1355195236206</v>
      </c>
      <c r="K293" s="121" t="n">
        <v>0.5733949770331226</v>
      </c>
      <c r="L293" s="121" t="n">
        <v>-0.2482280707458612</v>
      </c>
      <c r="M293" s="121" t="n">
        <v>-0.496719125545115</v>
      </c>
      <c r="N293" t="n">
        <v>40.99277003752984</v>
      </c>
      <c r="O293" t="n">
        <v>0.551617436372887</v>
      </c>
      <c r="P293" t="n">
        <v>85.41458167942838</v>
      </c>
      <c r="Q293" t="n">
        <v>74.49864797259215</v>
      </c>
    </row>
    <row r="294">
      <c r="A294" s="118" t="n">
        <v>44858</v>
      </c>
      <c r="B294" s="119" t="n">
        <v>81.71911679777203</v>
      </c>
      <c r="C294" s="119" t="n">
        <v>82.69650257818446</v>
      </c>
      <c r="D294" s="119" t="n">
        <v>80.2763000862723</v>
      </c>
      <c r="E294" s="119" t="n">
        <v>81.92390441894531</v>
      </c>
      <c r="F294" s="120" t="n">
        <v>8847100</v>
      </c>
      <c r="G294" s="121" t="n">
        <v>-0.005536635396773404</v>
      </c>
      <c r="H294" s="122" t="n">
        <v>53.31259666012132</v>
      </c>
      <c r="I294" s="119" t="n">
        <v>93.48192459106446</v>
      </c>
      <c r="J294" s="119" t="n">
        <v>109.801311378479</v>
      </c>
      <c r="K294" s="121" t="n">
        <v>0.5730022445378976</v>
      </c>
      <c r="L294" s="121" t="n">
        <v>-0.2523903578196702</v>
      </c>
      <c r="M294" s="121" t="n">
        <v>-0.499505608249141</v>
      </c>
      <c r="N294" t="n">
        <v>40.20625408263029</v>
      </c>
      <c r="O294" t="n">
        <v>0.5696553196441703</v>
      </c>
      <c r="P294" t="n">
        <v>86.45973008271655</v>
      </c>
      <c r="Q294" t="n">
        <v>75.3182488870313</v>
      </c>
    </row>
    <row r="295">
      <c r="A295" s="118" t="n">
        <v>44859</v>
      </c>
      <c r="B295" s="119" t="n">
        <v>81.94252698400213</v>
      </c>
      <c r="C295" s="119" t="n">
        <v>85.57283465983434</v>
      </c>
      <c r="D295" s="119" t="n">
        <v>81.81220886605267</v>
      </c>
      <c r="E295" s="119" t="n">
        <v>85.37735748291016</v>
      </c>
      <c r="F295" s="120" t="n">
        <v>8639900</v>
      </c>
      <c r="G295" s="121" t="n">
        <v>0.04215440033600526</v>
      </c>
      <c r="H295" s="122" t="n">
        <v>55.55995720268404</v>
      </c>
      <c r="I295" s="119" t="n">
        <v>93.03014999389649</v>
      </c>
      <c r="J295" s="119" t="n">
        <v>109.503169631958</v>
      </c>
      <c r="K295" s="121" t="n">
        <v>0.5955594077875292</v>
      </c>
      <c r="L295" s="121" t="n">
        <v>-0.2208753216681431</v>
      </c>
      <c r="M295" s="121" t="n">
        <v>-0.4784075672933499</v>
      </c>
      <c r="N295" t="n">
        <v>48.29535565218587</v>
      </c>
      <c r="O295" t="n">
        <v>0.8056021837601071</v>
      </c>
      <c r="P295" t="n">
        <v>87.84036906011856</v>
      </c>
      <c r="Q295" t="n">
        <v>76.87627418820307</v>
      </c>
    </row>
    <row r="296">
      <c r="A296" s="118" t="n">
        <v>44860</v>
      </c>
      <c r="B296" s="119" t="n">
        <v>84.50236440213467</v>
      </c>
      <c r="C296" s="119" t="n">
        <v>87.82549085271957</v>
      </c>
      <c r="D296" s="119" t="n">
        <v>84.42789487171468</v>
      </c>
      <c r="E296" s="119" t="n">
        <v>86.00102996826172</v>
      </c>
      <c r="F296" s="120" t="n">
        <v>8648200</v>
      </c>
      <c r="G296" s="121" t="n">
        <v>0.007304893284808101</v>
      </c>
      <c r="H296" s="122" t="n">
        <v>55.96581676095816</v>
      </c>
      <c r="I296" s="119" t="n">
        <v>92.5585481262207</v>
      </c>
      <c r="J296" s="119" t="n">
        <v>109.2383076095581</v>
      </c>
      <c r="K296" s="121" t="n">
        <v>0.5882783205194537</v>
      </c>
      <c r="L296" s="121" t="n">
        <v>-0.2151838990373683</v>
      </c>
      <c r="M296" s="121" t="n">
        <v>-0.4745973902342644</v>
      </c>
      <c r="N296" t="n">
        <v>49.62086544232781</v>
      </c>
      <c r="O296" t="n">
        <v>0.9833353349932676</v>
      </c>
      <c r="P296" t="n">
        <v>87.1785851475984</v>
      </c>
      <c r="Q296" t="n">
        <v>75.17759581874178</v>
      </c>
    </row>
    <row r="297">
      <c r="A297" s="118" t="n">
        <v>44861</v>
      </c>
      <c r="B297" s="119" t="n">
        <v>86.45713381157154</v>
      </c>
      <c r="C297" s="119" t="n">
        <v>87.01564812588479</v>
      </c>
      <c r="D297" s="119" t="n">
        <v>83.98108256545446</v>
      </c>
      <c r="E297" s="119" t="n">
        <v>84.27895355224609</v>
      </c>
      <c r="F297" s="120" t="n">
        <v>8617900</v>
      </c>
      <c r="G297" s="121" t="n">
        <v>-0.02002390455848202</v>
      </c>
      <c r="H297" s="122" t="n">
        <v>54.84516258759924</v>
      </c>
      <c r="I297" s="119" t="n">
        <v>92.07143951416016</v>
      </c>
      <c r="J297" s="119" t="n">
        <v>108.9654820251465</v>
      </c>
      <c r="K297" s="121" t="n">
        <v>0.5803211500784423</v>
      </c>
      <c r="L297" s="121" t="n">
        <v>-0.2308989817390039</v>
      </c>
      <c r="M297" s="121" t="n">
        <v>-0.4851180019469908</v>
      </c>
      <c r="N297" t="n">
        <v>46.1061305108427</v>
      </c>
      <c r="O297" t="n">
        <v>0.9633227583759529</v>
      </c>
      <c r="P297" t="n">
        <v>86.71303819742957</v>
      </c>
      <c r="Q297" t="n">
        <v>73.80890923790405</v>
      </c>
    </row>
    <row r="298">
      <c r="A298" s="118" t="n">
        <v>44862</v>
      </c>
      <c r="B298" s="119" t="n">
        <v>84.89331921534233</v>
      </c>
      <c r="C298" s="119" t="n">
        <v>87.387991682641</v>
      </c>
      <c r="D298" s="119" t="n">
        <v>84.20449380997186</v>
      </c>
      <c r="E298" s="119" t="n">
        <v>87.34145355224609</v>
      </c>
      <c r="F298" s="120" t="n">
        <v>6022400</v>
      </c>
      <c r="G298" s="121" t="n">
        <v>0.03633766048247744</v>
      </c>
      <c r="H298" s="122" t="n">
        <v>56.83810748481369</v>
      </c>
      <c r="I298" s="119" t="n">
        <v>91.66470138549805</v>
      </c>
      <c r="J298" s="119" t="n">
        <v>108.6991466903687</v>
      </c>
      <c r="K298" s="121" t="n">
        <v>0.3564888921295283</v>
      </c>
      <c r="L298" s="121" t="n">
        <v>-0.2029516500607083</v>
      </c>
      <c r="M298" s="121" t="n">
        <v>-0.4664083947132011</v>
      </c>
      <c r="N298" t="n">
        <v>52.54381159384175</v>
      </c>
      <c r="O298" t="n">
        <v>1.123560964649517</v>
      </c>
      <c r="P298" t="n">
        <v>88.77599938538756</v>
      </c>
      <c r="Q298" t="n">
        <v>76.06749793660143</v>
      </c>
    </row>
    <row r="299">
      <c r="A299" s="118" t="n">
        <v>44865</v>
      </c>
      <c r="B299" s="119" t="n">
        <v>86.56882890193766</v>
      </c>
      <c r="C299" s="119" t="n">
        <v>87.39728271790868</v>
      </c>
      <c r="D299" s="119" t="n">
        <v>86.27095794677734</v>
      </c>
      <c r="E299" s="119" t="n">
        <v>86.27095794677734</v>
      </c>
      <c r="F299" s="120" t="n">
        <v>6426400</v>
      </c>
      <c r="G299" s="121" t="n">
        <v>-0.01225644366942436</v>
      </c>
      <c r="H299" s="122" t="n">
        <v>56.14147442214939</v>
      </c>
      <c r="I299" s="119" t="n">
        <v>91.28945999145508</v>
      </c>
      <c r="J299" s="119" t="n">
        <v>108.4395603942871</v>
      </c>
      <c r="K299" s="121" t="n">
        <v>0.3531324494897151</v>
      </c>
      <c r="L299" s="121" t="n">
        <v>-0.2127206282635469</v>
      </c>
      <c r="M299" s="121" t="n">
        <v>-0.4729483301658765</v>
      </c>
      <c r="N299" t="n">
        <v>50.28279884968289</v>
      </c>
      <c r="O299" t="n">
        <v>1.122057971226039</v>
      </c>
      <c r="P299" t="n">
        <v>88.1347464540888</v>
      </c>
      <c r="Q299" t="n">
        <v>75.18299126301102</v>
      </c>
    </row>
    <row r="300">
      <c r="A300" s="118" t="n">
        <v>44866</v>
      </c>
      <c r="B300" s="119" t="n">
        <v>89.07281643225242</v>
      </c>
      <c r="C300" s="119" t="n">
        <v>89.7895660183265</v>
      </c>
      <c r="D300" s="119" t="n">
        <v>86.5409096160148</v>
      </c>
      <c r="E300" s="119" t="n">
        <v>87.28558349609375</v>
      </c>
      <c r="F300" s="120" t="n">
        <v>7250700</v>
      </c>
      <c r="G300" s="121" t="n">
        <v>0.01176091669159796</v>
      </c>
      <c r="H300" s="122" t="n">
        <v>56.80174962577176</v>
      </c>
      <c r="I300" s="119" t="n">
        <v>90.98686019897461</v>
      </c>
      <c r="J300" s="119" t="n">
        <v>108.191559753418</v>
      </c>
      <c r="K300" s="121" t="n">
        <v>0.3316627355319541</v>
      </c>
      <c r="L300" s="121" t="n">
        <v>-0.2034615011595409</v>
      </c>
      <c r="M300" s="121" t="n">
        <v>-0.4667497193847897</v>
      </c>
      <c r="N300" t="n">
        <v>52.37462428706652</v>
      </c>
      <c r="O300" t="n">
        <v>1.149767680468822</v>
      </c>
      <c r="P300" t="n">
        <v>87.7490844835975</v>
      </c>
      <c r="Q300" t="n">
        <v>74.41479483168789</v>
      </c>
    </row>
    <row r="301">
      <c r="A301" s="118" t="n">
        <v>44867</v>
      </c>
      <c r="B301" s="119" t="n">
        <v>86.68983533012843</v>
      </c>
      <c r="C301" s="119" t="n">
        <v>87.90925052799746</v>
      </c>
      <c r="D301" s="119" t="n">
        <v>83.95314818698162</v>
      </c>
      <c r="E301" s="119" t="n">
        <v>84.0555419921875</v>
      </c>
      <c r="F301" s="120" t="n">
        <v>7176600</v>
      </c>
      <c r="G301" s="121" t="n">
        <v>-0.03700544092771973</v>
      </c>
      <c r="H301" s="122" t="n">
        <v>54.69977583540413</v>
      </c>
      <c r="I301" s="119" t="n">
        <v>90.6133479309082</v>
      </c>
      <c r="J301" s="119" t="n">
        <v>107.9330902862549</v>
      </c>
      <c r="K301" s="121" t="n">
        <v>0.3469288311670021</v>
      </c>
      <c r="L301" s="121" t="n">
        <v>-0.232937759525036</v>
      </c>
      <c r="M301" s="121" t="n">
        <v>-0.4864828811437858</v>
      </c>
      <c r="N301" t="n">
        <v>45.77214529686578</v>
      </c>
      <c r="O301" t="n">
        <v>0.9208294689136967</v>
      </c>
      <c r="P301" t="n">
        <v>85.54691358476344</v>
      </c>
      <c r="Q301" t="n">
        <v>71.86407533357398</v>
      </c>
    </row>
    <row r="302">
      <c r="A302" s="118" t="n">
        <v>44868</v>
      </c>
      <c r="B302" s="119" t="n">
        <v>83.74837865104567</v>
      </c>
      <c r="C302" s="119" t="n">
        <v>85.27496849219548</v>
      </c>
      <c r="D302" s="119" t="n">
        <v>82.5848188878641</v>
      </c>
      <c r="E302" s="119" t="n">
        <v>84.14864349365234</v>
      </c>
      <c r="F302" s="120" t="n">
        <v>6550300</v>
      </c>
      <c r="G302" s="121" t="n">
        <v>0.001107618834621293</v>
      </c>
      <c r="H302" s="122" t="n">
        <v>54.76036233736898</v>
      </c>
      <c r="I302" s="119" t="n">
        <v>90.2281462097168</v>
      </c>
      <c r="J302" s="119" t="n">
        <v>107.6835851669312</v>
      </c>
      <c r="K302" s="121" t="n">
        <v>0.3449248370541146</v>
      </c>
      <c r="L302" s="121" t="n">
        <v>-0.2320881469401593</v>
      </c>
      <c r="M302" s="121" t="n">
        <v>-0.4859140999110403</v>
      </c>
      <c r="N302" t="n">
        <v>45.98351643285742</v>
      </c>
      <c r="O302" t="n">
        <v>0.7530070985616151</v>
      </c>
      <c r="P302" t="n">
        <v>84.66605693213286</v>
      </c>
      <c r="Q302" t="n">
        <v>70.46022970745123</v>
      </c>
    </row>
    <row r="303">
      <c r="A303" s="118" t="n">
        <v>44869</v>
      </c>
      <c r="B303" s="119" t="n">
        <v>87.91856158505027</v>
      </c>
      <c r="C303" s="119" t="n">
        <v>91.43717182297898</v>
      </c>
      <c r="D303" s="119" t="n">
        <v>87.45313773949299</v>
      </c>
      <c r="E303" s="119" t="n">
        <v>89.16590118408203</v>
      </c>
      <c r="F303" s="120" t="n">
        <v>12543300</v>
      </c>
      <c r="G303" s="121" t="n">
        <v>0.05962375009417897</v>
      </c>
      <c r="H303" s="122" t="n">
        <v>58.02538049643896</v>
      </c>
      <c r="I303" s="119" t="n">
        <v>89.90968963623047</v>
      </c>
      <c r="J303" s="119" t="n">
        <v>107.4701591491699</v>
      </c>
      <c r="K303" s="121" t="n">
        <v>0.3804492979885525</v>
      </c>
      <c r="L303" s="121" t="n">
        <v>-0.1863023625189615</v>
      </c>
      <c r="M303" s="121" t="n">
        <v>-0.455262370677195</v>
      </c>
      <c r="N303" t="n">
        <v>55.94853326613807</v>
      </c>
      <c r="O303" t="n">
        <v>0.9448203681898839</v>
      </c>
      <c r="P303" t="n">
        <v>85.88467968815733</v>
      </c>
      <c r="Q303" t="n">
        <v>71.59356852910817</v>
      </c>
    </row>
    <row r="304">
      <c r="A304" s="118" t="n">
        <v>44872</v>
      </c>
      <c r="B304" s="119" t="n">
        <v>89.64995281654836</v>
      </c>
      <c r="C304" s="119" t="n">
        <v>90.17123243395909</v>
      </c>
      <c r="D304" s="119" t="n">
        <v>86.26166726150291</v>
      </c>
      <c r="E304" s="119" t="n">
        <v>86.97842407226562</v>
      </c>
      <c r="F304" s="120" t="n">
        <v>9094500</v>
      </c>
      <c r="G304" s="121" t="n">
        <v>-0.02453266419974143</v>
      </c>
      <c r="H304" s="122" t="n">
        <v>56.6018633216576</v>
      </c>
      <c r="I304" s="119" t="n">
        <v>89.6391879272461</v>
      </c>
      <c r="J304" s="119" t="n">
        <v>107.244779586792</v>
      </c>
      <c r="K304" s="121" t="n">
        <v>0.3932363832988611</v>
      </c>
      <c r="L304" s="121" t="n">
        <v>-0.2062645334194068</v>
      </c>
      <c r="M304" s="121" t="n">
        <v>-0.4606349540980051</v>
      </c>
      <c r="N304" t="n">
        <v>51.48863549073075</v>
      </c>
      <c r="O304" t="n">
        <v>0.8900483408656015</v>
      </c>
      <c r="P304" t="n">
        <v>86.70621160958937</v>
      </c>
      <c r="Q304" t="n">
        <v>72.38070389860955</v>
      </c>
    </row>
    <row r="305">
      <c r="A305" s="118" t="n">
        <v>44873</v>
      </c>
      <c r="B305" s="119" t="n">
        <v>87.90926261437436</v>
      </c>
      <c r="C305" s="119" t="n">
        <v>89.38930710834016</v>
      </c>
      <c r="D305" s="119" t="n">
        <v>86.51299100792905</v>
      </c>
      <c r="E305" s="119" t="n">
        <v>87.26697540283203</v>
      </c>
      <c r="F305" s="120" t="n">
        <v>7017800</v>
      </c>
      <c r="G305" s="121" t="n">
        <v>0.003317504698943097</v>
      </c>
      <c r="H305" s="122" t="n">
        <v>56.78964026919613</v>
      </c>
      <c r="I305" s="119" t="n">
        <v>89.38188262939452</v>
      </c>
      <c r="J305" s="119" t="n">
        <v>107.0067552566528</v>
      </c>
      <c r="K305" s="121" t="n">
        <v>0.3911019282789661</v>
      </c>
      <c r="L305" s="121" t="n">
        <v>-0.2036313122793079</v>
      </c>
      <c r="M305" s="121" t="n">
        <v>-0.4588456080237796</v>
      </c>
      <c r="N305" t="n">
        <v>52.03182780455061</v>
      </c>
      <c r="O305" t="n">
        <v>0.8395784172732057</v>
      </c>
      <c r="P305" t="n">
        <v>87.17400482178064</v>
      </c>
      <c r="Q305" t="n">
        <v>72.90816557005741</v>
      </c>
    </row>
    <row r="306">
      <c r="A306" s="118" t="n">
        <v>44874</v>
      </c>
      <c r="B306" s="119" t="n">
        <v>86.26165437537854</v>
      </c>
      <c r="C306" s="119" t="n">
        <v>87.40660016746681</v>
      </c>
      <c r="D306" s="119" t="n">
        <v>85.6007533627341</v>
      </c>
      <c r="E306" s="119" t="n">
        <v>85.73107147216797</v>
      </c>
      <c r="F306" s="120" t="n">
        <v>6550900</v>
      </c>
      <c r="G306" s="121" t="n">
        <v>-0.0176000591698543</v>
      </c>
      <c r="H306" s="122" t="n">
        <v>55.79013924022354</v>
      </c>
      <c r="I306" s="119" t="n">
        <v>89.09423034667969</v>
      </c>
      <c r="J306" s="119" t="n">
        <v>106.7634532928467</v>
      </c>
      <c r="K306" s="121" t="n">
        <v>0.3979917316663192</v>
      </c>
      <c r="L306" s="121" t="n">
        <v>-0.2108293139524714</v>
      </c>
      <c r="M306" s="121" t="n">
        <v>-0.4683699573425876</v>
      </c>
      <c r="N306" t="n">
        <v>48.8935773964894</v>
      </c>
      <c r="O306" t="n">
        <v>0.6761046441928813</v>
      </c>
      <c r="P306" t="n">
        <v>85.37805614191689</v>
      </c>
      <c r="Q306" t="n">
        <v>71.22571575127763</v>
      </c>
    </row>
    <row r="307">
      <c r="A307" s="118" t="n">
        <v>44875</v>
      </c>
      <c r="B307" s="119" t="n">
        <v>89.66856362066343</v>
      </c>
      <c r="C307" s="119" t="n">
        <v>92.78690209876999</v>
      </c>
      <c r="D307" s="119" t="n">
        <v>89.57548026793577</v>
      </c>
      <c r="E307" s="119" t="n">
        <v>92.61003875732422</v>
      </c>
      <c r="F307" s="120" t="n">
        <v>9361000</v>
      </c>
      <c r="G307" s="121" t="n">
        <v>0.08023890483381457</v>
      </c>
      <c r="H307" s="122" t="n">
        <v>60.2666789133851</v>
      </c>
      <c r="I307" s="119" t="n">
        <v>88.97033248901367</v>
      </c>
      <c r="J307" s="119" t="n">
        <v>106.5614281845093</v>
      </c>
      <c r="K307" s="121" t="n">
        <v>0.4844357728408581</v>
      </c>
      <c r="L307" s="121" t="n">
        <v>-0.139938249710316</v>
      </c>
      <c r="M307" s="121" t="n">
        <v>-0.4257125449430027</v>
      </c>
      <c r="N307" t="n">
        <v>60.41062234773642</v>
      </c>
      <c r="O307" t="n">
        <v>0.9858482558884636</v>
      </c>
      <c r="P307" t="n">
        <v>90.06991947845742</v>
      </c>
      <c r="Q307" t="n">
        <v>76.48135975327875</v>
      </c>
    </row>
    <row r="308">
      <c r="A308" s="118" t="n">
        <v>44876</v>
      </c>
      <c r="B308" s="119" t="n">
        <v>93.37332567173338</v>
      </c>
      <c r="C308" s="119" t="n">
        <v>99.79617588898127</v>
      </c>
      <c r="D308" s="119" t="n">
        <v>93.21508327537347</v>
      </c>
      <c r="E308" s="119" t="n">
        <v>98.75362396240234</v>
      </c>
      <c r="F308" s="120" t="n">
        <v>12597500</v>
      </c>
      <c r="G308" s="121" t="n">
        <v>0.06633822086152885</v>
      </c>
      <c r="H308" s="122" t="n">
        <v>64.26466316973209</v>
      </c>
      <c r="I308" s="119" t="n">
        <v>88.96856369018555</v>
      </c>
      <c r="J308" s="119" t="n">
        <v>106.3871188354492</v>
      </c>
      <c r="K308" s="121" t="n">
        <v>0.5174028920998297</v>
      </c>
      <c r="L308" s="121" t="n">
        <v>-0.06028339960462314</v>
      </c>
      <c r="M308" s="121" t="n">
        <v>-0.3876153369114262</v>
      </c>
      <c r="N308" t="n">
        <v>67.46287791164362</v>
      </c>
      <c r="O308" t="n">
        <v>1.526780770709542</v>
      </c>
      <c r="P308" t="n">
        <v>90.94165938033892</v>
      </c>
      <c r="Q308" t="n">
        <v>77.89061771082024</v>
      </c>
    </row>
    <row r="309">
      <c r="A309" s="118" t="n">
        <v>44879</v>
      </c>
      <c r="B309" s="119" t="n">
        <v>97.92518038826242</v>
      </c>
      <c r="C309" s="119" t="n">
        <v>99.07943671072475</v>
      </c>
      <c r="D309" s="119" t="n">
        <v>97.10603692550616</v>
      </c>
      <c r="E309" s="119" t="n">
        <v>97.17119598388672</v>
      </c>
      <c r="F309" s="120" t="n">
        <v>7134900</v>
      </c>
      <c r="G309" s="121" t="n">
        <v>-0.01602399906982743</v>
      </c>
      <c r="H309" s="122" t="n">
        <v>63.23488626687752</v>
      </c>
      <c r="I309" s="119" t="n">
        <v>88.94343093872071</v>
      </c>
      <c r="J309" s="119" t="n">
        <v>106.1990311813354</v>
      </c>
      <c r="K309" s="121" t="n">
        <v>0.5210195759173716</v>
      </c>
      <c r="L309" s="121" t="n">
        <v>-0.07534141753526014</v>
      </c>
      <c r="M309" s="121" t="n">
        <v>-0.3974281881831341</v>
      </c>
      <c r="N309" t="n">
        <v>64.2863345922992</v>
      </c>
      <c r="O309" t="n">
        <v>1.687725480646934</v>
      </c>
      <c r="P309" t="n">
        <v>90.16804527644749</v>
      </c>
      <c r="Q309" t="n">
        <v>77.20896792074862</v>
      </c>
    </row>
    <row r="310">
      <c r="A310" s="118" t="n">
        <v>44880</v>
      </c>
      <c r="B310" s="119" t="n">
        <v>100.5222333390309</v>
      </c>
      <c r="C310" s="119" t="n">
        <v>101.750951923672</v>
      </c>
      <c r="D310" s="119" t="n">
        <v>98.23234902682715</v>
      </c>
      <c r="E310" s="119" t="n">
        <v>99.33074951171875</v>
      </c>
      <c r="F310" s="120" t="n">
        <v>7242900</v>
      </c>
      <c r="G310" s="121" t="n">
        <v>0.02222421475794256</v>
      </c>
      <c r="H310" s="122" t="n">
        <v>64.64023195946667</v>
      </c>
      <c r="I310" s="119" t="n">
        <v>88.97247314453125</v>
      </c>
      <c r="J310" s="119" t="n">
        <v>106.0117644119263</v>
      </c>
      <c r="K310" s="121" t="n">
        <v>0.5216053216282139</v>
      </c>
      <c r="L310" s="121" t="n">
        <v>-0.05479160662078919</v>
      </c>
      <c r="M310" s="121" t="n">
        <v>-0.3840365028302335</v>
      </c>
      <c r="N310" t="n">
        <v>66.59781142763811</v>
      </c>
      <c r="O310" t="n">
        <v>1.837022058448771</v>
      </c>
      <c r="P310" t="n">
        <v>90.93710100496439</v>
      </c>
      <c r="Q310" t="n">
        <v>78.27743475755331</v>
      </c>
    </row>
    <row r="311">
      <c r="A311" s="118" t="n">
        <v>44881</v>
      </c>
      <c r="B311" s="119" t="n">
        <v>97.97173120185907</v>
      </c>
      <c r="C311" s="119" t="n">
        <v>99.22837431472854</v>
      </c>
      <c r="D311" s="119" t="n">
        <v>97.52492113191619</v>
      </c>
      <c r="E311" s="119" t="n">
        <v>97.95311737060547</v>
      </c>
      <c r="F311" s="120" t="n">
        <v>5998700</v>
      </c>
      <c r="G311" s="121" t="n">
        <v>-0.01386914070300815</v>
      </c>
      <c r="H311" s="122" t="n">
        <v>63.74372748734574</v>
      </c>
      <c r="I311" s="119" t="n">
        <v>88.91196807861328</v>
      </c>
      <c r="J311" s="119" t="n">
        <v>105.816916809082</v>
      </c>
      <c r="K311" s="121" t="n">
        <v>0.5224511156601206</v>
      </c>
      <c r="L311" s="121" t="n">
        <v>-0.06790083482222975</v>
      </c>
      <c r="M311" s="121" t="n">
        <v>-0.3925793872403979</v>
      </c>
      <c r="N311" t="n">
        <v>63.76266460487133</v>
      </c>
      <c r="O311" t="n">
        <v>1.7412695686366</v>
      </c>
      <c r="P311" t="n">
        <v>90.2433718807505</v>
      </c>
      <c r="Q311" t="n">
        <v>77.20896792074861</v>
      </c>
    </row>
    <row r="312">
      <c r="A312" s="118" t="n">
        <v>44882</v>
      </c>
      <c r="B312" s="119" t="n">
        <v>96.91057495741998</v>
      </c>
      <c r="C312" s="119" t="n">
        <v>98.11136959469255</v>
      </c>
      <c r="D312" s="119" t="n">
        <v>95.80286368932548</v>
      </c>
      <c r="E312" s="119" t="n">
        <v>98.07413482666016</v>
      </c>
      <c r="F312" s="120" t="n">
        <v>5252900</v>
      </c>
      <c r="G312" s="121" t="n">
        <v>0.001235463038882445</v>
      </c>
      <c r="H312" s="122" t="n">
        <v>63.82248050661696</v>
      </c>
      <c r="I312" s="119" t="n">
        <v>88.84922897338868</v>
      </c>
      <c r="J312" s="119" t="n">
        <v>105.6204109573364</v>
      </c>
      <c r="K312" s="121" t="n">
        <v>0.5123428669738241</v>
      </c>
      <c r="L312" s="121" t="n">
        <v>-0.06674926075507936</v>
      </c>
      <c r="M312" s="121" t="n">
        <v>-0.3918289415242782</v>
      </c>
      <c r="N312" t="n">
        <v>63.90801819494705</v>
      </c>
      <c r="O312" t="n">
        <v>1.588616184975754</v>
      </c>
      <c r="P312" t="n">
        <v>89.96722798827841</v>
      </c>
      <c r="Q312" t="n">
        <v>77.03857658216759</v>
      </c>
    </row>
    <row r="313">
      <c r="A313" s="118" t="n">
        <v>44883</v>
      </c>
      <c r="B313" s="119" t="n">
        <v>100.1871393825135</v>
      </c>
      <c r="C313" s="119" t="n">
        <v>100.2709193717868</v>
      </c>
      <c r="D313" s="119" t="n">
        <v>96.96640706452187</v>
      </c>
      <c r="E313" s="119" t="n">
        <v>98.12996673583984</v>
      </c>
      <c r="F313" s="120" t="n">
        <v>5498900</v>
      </c>
      <c r="G313" s="121" t="n">
        <v>0.0005692827092318442</v>
      </c>
      <c r="H313" s="122" t="n">
        <v>63.85881354122967</v>
      </c>
      <c r="I313" s="119" t="n">
        <v>88.74590484619141</v>
      </c>
      <c r="J313" s="119" t="n">
        <v>105.4398886108398</v>
      </c>
      <c r="K313" s="121" t="n">
        <v>0.5122625385629612</v>
      </c>
      <c r="L313" s="121" t="n">
        <v>-0.06193271562722913</v>
      </c>
      <c r="M313" s="121" t="n">
        <v>-0.3914827202564327</v>
      </c>
      <c r="N313" t="n">
        <v>63.97980336433744</v>
      </c>
      <c r="O313" t="n">
        <v>1.400519999077498</v>
      </c>
      <c r="P313" t="n">
        <v>90.37572573652878</v>
      </c>
      <c r="Q313" t="n">
        <v>77.0412785260896</v>
      </c>
    </row>
    <row r="314">
      <c r="A314" s="118" t="n">
        <v>44886</v>
      </c>
      <c r="B314" s="119" t="n">
        <v>97.37598535300252</v>
      </c>
      <c r="C314" s="119" t="n">
        <v>98.18582546593586</v>
      </c>
      <c r="D314" s="119" t="n">
        <v>96.43582712099553</v>
      </c>
      <c r="E314" s="119" t="n">
        <v>96.64992523193359</v>
      </c>
      <c r="F314" s="120" t="n">
        <v>4774800</v>
      </c>
      <c r="G314" s="121" t="n">
        <v>-0.0150824620973371</v>
      </c>
      <c r="H314" s="122" t="n">
        <v>62.89566540641315</v>
      </c>
      <c r="I314" s="119" t="n">
        <v>88.58673004150391</v>
      </c>
      <c r="J314" s="119" t="n">
        <v>105.2515965652466</v>
      </c>
      <c r="K314" s="121" t="n">
        <v>0.5170201912307653</v>
      </c>
      <c r="L314" s="121" t="n">
        <v>-0.07608107988853341</v>
      </c>
      <c r="M314" s="121" t="n">
        <v>-0.3984592643102232</v>
      </c>
      <c r="N314" t="n">
        <v>60.54218104101295</v>
      </c>
      <c r="O314" t="n">
        <v>1.098861342740255</v>
      </c>
      <c r="P314" t="n">
        <v>90.04712028477037</v>
      </c>
      <c r="Q314" t="n">
        <v>76.24874771231897</v>
      </c>
    </row>
    <row r="315">
      <c r="A315" s="118" t="n">
        <v>44887</v>
      </c>
      <c r="B315" s="119" t="n">
        <v>97.38528668085665</v>
      </c>
      <c r="C315" s="119" t="n">
        <v>98.81879295795633</v>
      </c>
      <c r="D315" s="119" t="n">
        <v>96.65921952611458</v>
      </c>
      <c r="E315" s="119" t="n">
        <v>98.64192962646484</v>
      </c>
      <c r="F315" s="120" t="n">
        <v>5313200</v>
      </c>
      <c r="G315" s="121" t="n">
        <v>0.02061051149031901</v>
      </c>
      <c r="H315" s="122" t="n">
        <v>64.19197724096328</v>
      </c>
      <c r="I315" s="119" t="n">
        <v>88.59138427734375</v>
      </c>
      <c r="J315" s="119" t="n">
        <v>105.0744190979004</v>
      </c>
      <c r="K315" s="121" t="n">
        <v>0.5040748741200352</v>
      </c>
      <c r="L315" s="121" t="n">
        <v>-0.05703863836945289</v>
      </c>
      <c r="M315" s="121" t="n">
        <v>-0.3786075925519008</v>
      </c>
      <c r="N315" t="n">
        <v>63.39306602923106</v>
      </c>
      <c r="O315" t="n">
        <v>0.9609107058640842</v>
      </c>
      <c r="P315" t="n">
        <v>91.25887255206824</v>
      </c>
      <c r="Q315" t="n">
        <v>77.34694437584041</v>
      </c>
    </row>
    <row r="316">
      <c r="A316" s="118" t="n">
        <v>44888</v>
      </c>
      <c r="B316" s="119" t="n">
        <v>98.66984995667377</v>
      </c>
      <c r="C316" s="119" t="n">
        <v>99.58208376974618</v>
      </c>
      <c r="D316" s="119" t="n">
        <v>97.95310039781995</v>
      </c>
      <c r="E316" s="119" t="n">
        <v>99.27490234375</v>
      </c>
      <c r="F316" s="120" t="n">
        <v>3873100</v>
      </c>
      <c r="G316" s="121" t="n">
        <v>0.006416872821548347</v>
      </c>
      <c r="H316" s="122" t="n">
        <v>64.60388899508227</v>
      </c>
      <c r="I316" s="119" t="n">
        <v>88.58486801147461</v>
      </c>
      <c r="J316" s="119" t="n">
        <v>104.9078430938721</v>
      </c>
      <c r="K316" s="121" t="n">
        <v>0.5040942824716791</v>
      </c>
      <c r="L316" s="121" t="n">
        <v>-0.05098777523623566</v>
      </c>
      <c r="M316" s="121" t="n">
        <v>-0.3741840132241199</v>
      </c>
      <c r="N316" t="n">
        <v>64.27631324343832</v>
      </c>
      <c r="O316" t="n">
        <v>0.843880347805444</v>
      </c>
      <c r="P316" t="n">
        <v>91.83395221388508</v>
      </c>
      <c r="Q316" t="n">
        <v>78.12323819535477</v>
      </c>
    </row>
    <row r="317">
      <c r="A317" s="118" t="n">
        <v>44890</v>
      </c>
      <c r="B317" s="119" t="n">
        <v>99.08873515113605</v>
      </c>
      <c r="C317" s="119" t="n">
        <v>99.76825709917146</v>
      </c>
      <c r="D317" s="119" t="n">
        <v>98.26028126354763</v>
      </c>
      <c r="E317" s="119" t="n">
        <v>98.63262176513672</v>
      </c>
      <c r="F317" s="120" t="n">
        <v>3426100</v>
      </c>
      <c r="G317" s="121" t="n">
        <v>-0.006469717556500942</v>
      </c>
      <c r="H317" s="122" t="n">
        <v>64.18592008023255</v>
      </c>
      <c r="I317" s="119" t="n">
        <v>88.59343170166015</v>
      </c>
      <c r="J317" s="119" t="n">
        <v>104.7254460525513</v>
      </c>
      <c r="K317" s="121" t="n">
        <v>0.496456407474399</v>
      </c>
      <c r="L317" s="121" t="n">
        <v>-0.05712761628812379</v>
      </c>
      <c r="M317" s="121" t="n">
        <v>-0.3766668817092939</v>
      </c>
      <c r="N317" t="n">
        <v>62.62514196392134</v>
      </c>
      <c r="O317" t="n">
        <v>0.6627902798372975</v>
      </c>
      <c r="P317" t="n">
        <v>91.81340659903488</v>
      </c>
      <c r="Q317" t="n">
        <v>77.60930313066645</v>
      </c>
    </row>
    <row r="318">
      <c r="A318" s="118" t="n">
        <v>44893</v>
      </c>
      <c r="B318" s="119" t="n">
        <v>97.9717289352277</v>
      </c>
      <c r="C318" s="119" t="n">
        <v>98.94912194584983</v>
      </c>
      <c r="D318" s="119" t="n">
        <v>97.41322168707434</v>
      </c>
      <c r="E318" s="119" t="n">
        <v>97.7017822265625</v>
      </c>
      <c r="F318" s="120" t="n">
        <v>6967400</v>
      </c>
      <c r="G318" s="121" t="n">
        <v>-0.009437440898516614</v>
      </c>
      <c r="H318" s="122" t="n">
        <v>63.58016925295844</v>
      </c>
      <c r="I318" s="119" t="n">
        <v>88.60906982421875</v>
      </c>
      <c r="J318" s="119" t="n">
        <v>104.5450459671021</v>
      </c>
      <c r="K318" s="121" t="n">
        <v>0.4887566325897915</v>
      </c>
      <c r="L318" s="121" t="n">
        <v>-0.06602591868424812</v>
      </c>
      <c r="M318" s="121" t="n">
        <v>-0.3825495511732504</v>
      </c>
      <c r="N318" t="n">
        <v>60.21105922767661</v>
      </c>
      <c r="O318" t="n">
        <v>0.4311160755259391</v>
      </c>
      <c r="P318" t="n">
        <v>90.34832426658078</v>
      </c>
      <c r="Q318" t="n">
        <v>76.47052664686649</v>
      </c>
    </row>
    <row r="319">
      <c r="A319" s="118" t="n">
        <v>44894</v>
      </c>
      <c r="B319" s="119" t="n">
        <v>98.08343674136381</v>
      </c>
      <c r="C319" s="119" t="n">
        <v>99.43316323126557</v>
      </c>
      <c r="D319" s="119" t="n">
        <v>97.85072478780798</v>
      </c>
      <c r="E319" s="119" t="n">
        <v>98.90258026123047</v>
      </c>
      <c r="F319" s="120" t="n">
        <v>8494400</v>
      </c>
      <c r="G319" s="121" t="n">
        <v>0.01229044145667091</v>
      </c>
      <c r="H319" s="122" t="n">
        <v>64.36159760096716</v>
      </c>
      <c r="I319" s="119" t="n">
        <v>88.59119766235352</v>
      </c>
      <c r="J319" s="119" t="n">
        <v>104.39208152771</v>
      </c>
      <c r="K319" s="121" t="n">
        <v>0.4843033559647382</v>
      </c>
      <c r="L319" s="121" t="n">
        <v>-0.05454696491578881</v>
      </c>
      <c r="M319" s="121" t="n">
        <v>-0.3749608125795501</v>
      </c>
      <c r="N319" t="n">
        <v>62.23356269194092</v>
      </c>
      <c r="O319" t="n">
        <v>0.3149349884340187</v>
      </c>
      <c r="P319" t="n">
        <v>90.19314926667224</v>
      </c>
      <c r="Q319" t="n">
        <v>75.89167737945215</v>
      </c>
    </row>
    <row r="320">
      <c r="A320" s="118" t="n">
        <v>44895</v>
      </c>
      <c r="B320" s="119" t="n">
        <v>99.6751773898614</v>
      </c>
      <c r="C320" s="119" t="n">
        <v>102.1046905517578</v>
      </c>
      <c r="D320" s="119" t="n">
        <v>98.15789103328275</v>
      </c>
      <c r="E320" s="119" t="n">
        <v>102.1046905517578</v>
      </c>
      <c r="F320" s="120" t="n">
        <v>16251000</v>
      </c>
      <c r="G320" s="121" t="n">
        <v>0.03237640799734076</v>
      </c>
      <c r="H320" s="122" t="n">
        <v>66.44539494425675</v>
      </c>
      <c r="I320" s="119" t="n">
        <v>88.72654296875</v>
      </c>
      <c r="J320" s="119" t="n">
        <v>104.2486151123047</v>
      </c>
      <c r="K320" s="121" t="n">
        <v>0.4922926372697104</v>
      </c>
      <c r="L320" s="121" t="n">
        <v>-0.02393659170957818</v>
      </c>
      <c r="M320" s="121" t="n">
        <v>-0.3547242888332992</v>
      </c>
      <c r="N320" t="n">
        <v>67.04426902525088</v>
      </c>
      <c r="O320" t="n">
        <v>0.40423442650241</v>
      </c>
      <c r="P320" t="n">
        <v>93.03430488433941</v>
      </c>
      <c r="Q320" t="n">
        <v>79.351271707903</v>
      </c>
    </row>
    <row r="321">
      <c r="A321" s="118" t="n">
        <v>44896</v>
      </c>
      <c r="B321" s="119" t="n">
        <v>102.4770145724997</v>
      </c>
      <c r="C321" s="119" t="n">
        <v>104.1246188931108</v>
      </c>
      <c r="D321" s="119" t="n">
        <v>101.9743630901412</v>
      </c>
      <c r="E321" s="119" t="n">
        <v>103.4264831542969</v>
      </c>
      <c r="F321" s="120" t="n">
        <v>7822900</v>
      </c>
      <c r="G321" s="121" t="n">
        <v>0.01294546406630581</v>
      </c>
      <c r="H321" s="122" t="n">
        <v>67.30556141687912</v>
      </c>
      <c r="I321" s="119" t="n">
        <v>88.9372866821289</v>
      </c>
      <c r="J321" s="119" t="n">
        <v>104.0933281707764</v>
      </c>
      <c r="K321" s="121" t="n">
        <v>0.4623182274066139</v>
      </c>
      <c r="L321" s="121" t="n">
        <v>-0.01130099793111861</v>
      </c>
      <c r="M321" s="121" t="n">
        <v>-0.3463708953015308</v>
      </c>
      <c r="N321" t="n">
        <v>68.81040554458804</v>
      </c>
      <c r="O321" t="n">
        <v>0.4967250387094717</v>
      </c>
      <c r="P321" t="n">
        <v>92.96584145194861</v>
      </c>
      <c r="Q321" t="n">
        <v>79.44862612484249</v>
      </c>
    </row>
    <row r="322">
      <c r="A322" s="118" t="n">
        <v>44897</v>
      </c>
      <c r="B322" s="119" t="n">
        <v>101.4470400703929</v>
      </c>
      <c r="C322" s="119" t="n">
        <v>105.2378797319483</v>
      </c>
      <c r="D322" s="119" t="n">
        <v>101.1575867037458</v>
      </c>
      <c r="E322" s="119" t="n">
        <v>104.7616882324219</v>
      </c>
      <c r="F322" s="120" t="n">
        <v>5892000</v>
      </c>
      <c r="G322" s="121" t="n">
        <v>0.01290970201638841</v>
      </c>
      <c r="H322" s="122" t="n">
        <v>68.17445615881675</v>
      </c>
      <c r="I322" s="119" t="n">
        <v>89.19781951904297</v>
      </c>
      <c r="J322" s="119" t="n">
        <v>103.9405142974854</v>
      </c>
      <c r="K322" s="121" t="n">
        <v>0.4609278294795148</v>
      </c>
      <c r="L322" s="121" t="n">
        <v>0</v>
      </c>
      <c r="M322" s="121" t="n">
        <v>-0.3379327383306346</v>
      </c>
      <c r="N322" t="n">
        <v>70.52856679364105</v>
      </c>
      <c r="O322" t="n">
        <v>0.5860911223354726</v>
      </c>
      <c r="P322" t="n">
        <v>92.85859158639508</v>
      </c>
      <c r="Q322" t="n">
        <v>79.13216938655322</v>
      </c>
    </row>
    <row r="323">
      <c r="A323" s="118" t="n">
        <v>44900</v>
      </c>
      <c r="B323" s="119" t="n">
        <v>103.6599186354392</v>
      </c>
      <c r="C323" s="119" t="n">
        <v>103.7626267480646</v>
      </c>
      <c r="D323" s="119" t="n">
        <v>101.9512440202047</v>
      </c>
      <c r="E323" s="119" t="n">
        <v>102.3527374267578</v>
      </c>
      <c r="F323" s="120" t="n">
        <v>6220100</v>
      </c>
      <c r="G323" s="121" t="n">
        <v>-0.0229945779445595</v>
      </c>
      <c r="H323" s="122" t="n">
        <v>66.60681331284489</v>
      </c>
      <c r="I323" s="119" t="n">
        <v>89.43865753173829</v>
      </c>
      <c r="J323" s="119" t="n">
        <v>103.7926992034912</v>
      </c>
      <c r="K323" s="121" t="n">
        <v>0.4390706815674571</v>
      </c>
      <c r="L323" s="121" t="n">
        <v>-0.02299457794455939</v>
      </c>
      <c r="M323" s="121" t="n">
        <v>-0.3531566955836319</v>
      </c>
      <c r="N323" t="n">
        <v>63.70952718415516</v>
      </c>
      <c r="O323" t="n">
        <v>0.4285349925105244</v>
      </c>
      <c r="P323" t="n">
        <v>91.18814822402619</v>
      </c>
      <c r="Q323" t="n">
        <v>77.80407106956875</v>
      </c>
    </row>
    <row r="324">
      <c r="A324" s="118" t="n">
        <v>44901</v>
      </c>
      <c r="B324" s="119" t="n">
        <v>102.380738500715</v>
      </c>
      <c r="C324" s="119" t="n">
        <v>103.2023962064129</v>
      </c>
      <c r="D324" s="119" t="n">
        <v>99.67299300376111</v>
      </c>
      <c r="E324" s="119" t="n">
        <v>100.7747650146484</v>
      </c>
      <c r="F324" s="120" t="n">
        <v>7086100</v>
      </c>
      <c r="G324" s="121" t="n">
        <v>-0.01541700253242906</v>
      </c>
      <c r="H324" s="122" t="n">
        <v>65.57993590332374</v>
      </c>
      <c r="I324" s="119" t="n">
        <v>89.66580825805664</v>
      </c>
      <c r="J324" s="119" t="n">
        <v>103.6363013458252</v>
      </c>
      <c r="K324" s="121" t="n">
        <v>0.4314385964824202</v>
      </c>
      <c r="L324" s="121" t="n">
        <v>-0.03805707301058492</v>
      </c>
      <c r="M324" s="121" t="n">
        <v>-0.3631290804459039</v>
      </c>
      <c r="N324" t="n">
        <v>59.64168393245721</v>
      </c>
      <c r="O324" t="n">
        <v>0.1765265374752656</v>
      </c>
      <c r="P324" t="n">
        <v>89.8736825161061</v>
      </c>
      <c r="Q324" t="n">
        <v>76.1919140106347</v>
      </c>
    </row>
    <row r="325">
      <c r="A325" s="118" t="n">
        <v>44902</v>
      </c>
      <c r="B325" s="119" t="n">
        <v>100.2052104428309</v>
      </c>
      <c r="C325" s="119" t="n">
        <v>101.8858821266926</v>
      </c>
      <c r="D325" s="119" t="n">
        <v>99.96244517213913</v>
      </c>
      <c r="E325" s="119" t="n">
        <v>101.1482543945312</v>
      </c>
      <c r="F325" s="120" t="n">
        <v>5751500</v>
      </c>
      <c r="G325" s="121" t="n">
        <v>0.003706179615784899</v>
      </c>
      <c r="H325" s="122" t="n">
        <v>65.82298692497311</v>
      </c>
      <c r="I325" s="119" t="n">
        <v>89.89614685058594</v>
      </c>
      <c r="J325" s="119" t="n">
        <v>103.503756980896</v>
      </c>
      <c r="K325" s="121" t="n">
        <v>0.4313880894308071</v>
      </c>
      <c r="L325" s="121" t="n">
        <v>-0.03449193974302844</v>
      </c>
      <c r="M325" s="121" t="n">
        <v>-0.3568640889299567</v>
      </c>
      <c r="N325" t="n">
        <v>60.28800024787489</v>
      </c>
      <c r="O325" t="n">
        <v>0.002663287388801727</v>
      </c>
      <c r="P325" t="n">
        <v>89.72076841184882</v>
      </c>
      <c r="Q325" t="n">
        <v>75.88086960376417</v>
      </c>
    </row>
    <row r="326">
      <c r="A326" s="118" t="n">
        <v>44903</v>
      </c>
      <c r="B326" s="119" t="n">
        <v>101.4003438711508</v>
      </c>
      <c r="C326" s="119" t="n">
        <v>104.0987502801306</v>
      </c>
      <c r="D326" s="119" t="n">
        <v>101.269625763862</v>
      </c>
      <c r="E326" s="119" t="n">
        <v>103.9773712158203</v>
      </c>
      <c r="F326" s="120" t="n">
        <v>6192800</v>
      </c>
      <c r="G326" s="121" t="n">
        <v>0.02797000144218043</v>
      </c>
      <c r="H326" s="122" t="n">
        <v>67.66405596419324</v>
      </c>
      <c r="I326" s="119" t="n">
        <v>90.13820098876953</v>
      </c>
      <c r="J326" s="119" t="n">
        <v>103.3916397476196</v>
      </c>
      <c r="K326" s="121" t="n">
        <v>0.4261688708700939</v>
      </c>
      <c r="L326" s="121" t="n">
        <v>-0.007486677905204076</v>
      </c>
      <c r="M326" s="121" t="n">
        <v>-0.3342218177725287</v>
      </c>
      <c r="N326" t="n">
        <v>64.8764669452227</v>
      </c>
      <c r="O326" t="n">
        <v>0.04360047305138037</v>
      </c>
      <c r="P326" t="n">
        <v>90.42362892044058</v>
      </c>
      <c r="Q326" t="n">
        <v>76.77890288411407</v>
      </c>
    </row>
    <row r="327">
      <c r="A327" s="118" t="n">
        <v>44904</v>
      </c>
      <c r="B327" s="119" t="n">
        <v>102.9129518524367</v>
      </c>
      <c r="C327" s="119" t="n">
        <v>103.996045796745</v>
      </c>
      <c r="D327" s="119" t="n">
        <v>102.0165960325806</v>
      </c>
      <c r="E327" s="119" t="n">
        <v>102.1659851074219</v>
      </c>
      <c r="F327" s="120" t="n">
        <v>5677700</v>
      </c>
      <c r="G327" s="121" t="n">
        <v>-0.01742096465045884</v>
      </c>
      <c r="H327" s="122" t="n">
        <v>66.48528283713436</v>
      </c>
      <c r="I327" s="119" t="n">
        <v>90.40676651000976</v>
      </c>
      <c r="J327" s="119" t="n">
        <v>103.2688953018188</v>
      </c>
      <c r="K327" s="121" t="n">
        <v>0.3462708801388978</v>
      </c>
      <c r="L327" s="121" t="n">
        <v>-0.02477721740452687</v>
      </c>
      <c r="M327" s="121" t="n">
        <v>-0.3458203159501602</v>
      </c>
      <c r="N327" t="n">
        <v>60.08920572665361</v>
      </c>
      <c r="O327" t="n">
        <v>-0.07922101466167852</v>
      </c>
      <c r="P327" t="n">
        <v>89.74816256498241</v>
      </c>
      <c r="Q327" t="n">
        <v>76.28930220187323</v>
      </c>
    </row>
    <row r="328">
      <c r="A328" s="118" t="n">
        <v>44907</v>
      </c>
      <c r="B328" s="119" t="n">
        <v>102.8009123258147</v>
      </c>
      <c r="C328" s="119" t="n">
        <v>104.7336812639732</v>
      </c>
      <c r="D328" s="119" t="n">
        <v>102.4367679696111</v>
      </c>
      <c r="E328" s="119" t="n">
        <v>104.6403121948242</v>
      </c>
      <c r="F328" s="120" t="n">
        <v>6426000</v>
      </c>
      <c r="G328" s="121" t="n">
        <v>0.02421869749311112</v>
      </c>
      <c r="H328" s="122" t="n">
        <v>68.09546978991085</v>
      </c>
      <c r="I328" s="119" t="n">
        <v>90.95213150024414</v>
      </c>
      <c r="J328" s="119" t="n">
        <v>103.1509936523437</v>
      </c>
      <c r="K328" s="121" t="n">
        <v>0.2718191369035267</v>
      </c>
      <c r="L328" s="121" t="n">
        <v>-0.001158591844457102</v>
      </c>
      <c r="M328" s="121" t="n">
        <v>-0.3288654200333703</v>
      </c>
      <c r="N328" t="n">
        <v>63.9973059654016</v>
      </c>
      <c r="O328" t="n">
        <v>-0.02455999630934258</v>
      </c>
      <c r="P328" t="n">
        <v>91.04208997486668</v>
      </c>
      <c r="Q328" t="n">
        <v>77.24684579710514</v>
      </c>
    </row>
    <row r="329">
      <c r="A329" s="118" t="n">
        <v>44908</v>
      </c>
      <c r="B329" s="119" t="n">
        <v>107.9456265152385</v>
      </c>
      <c r="C329" s="119" t="n">
        <v>108.7299352297564</v>
      </c>
      <c r="D329" s="119" t="n">
        <v>103.8746724887139</v>
      </c>
      <c r="E329" s="119" t="n">
        <v>105.3685989379883</v>
      </c>
      <c r="F329" s="120" t="n">
        <v>8655300</v>
      </c>
      <c r="G329" s="121" t="n">
        <v>0.006959906061901888</v>
      </c>
      <c r="H329" s="122" t="n">
        <v>68.5694078628897</v>
      </c>
      <c r="I329" s="119" t="n">
        <v>91.46961578369141</v>
      </c>
      <c r="J329" s="119" t="n">
        <v>103.0471260070801</v>
      </c>
      <c r="K329" s="121" t="n">
        <v>0.2625263666496447</v>
      </c>
      <c r="L329" s="121" t="n">
        <v>0</v>
      </c>
      <c r="M329" s="121" t="n">
        <v>-0.3241943864019086</v>
      </c>
      <c r="N329" t="n">
        <v>65.0811462308618</v>
      </c>
      <c r="O329" t="n">
        <v>0.02710595903106938</v>
      </c>
      <c r="P329" t="n">
        <v>91.73126072370607</v>
      </c>
      <c r="Q329" t="n">
        <v>78.07723760008275</v>
      </c>
    </row>
    <row r="330">
      <c r="A330" s="118" t="n">
        <v>44909</v>
      </c>
      <c r="B330" s="119" t="n">
        <v>106.1622528199621</v>
      </c>
      <c r="C330" s="119" t="n">
        <v>106.5544143234449</v>
      </c>
      <c r="D330" s="119" t="n">
        <v>102.9223025401759</v>
      </c>
      <c r="E330" s="119" t="n">
        <v>104.0614166259766</v>
      </c>
      <c r="F330" s="120" t="n">
        <v>7528500</v>
      </c>
      <c r="G330" s="121" t="n">
        <v>-0.01240580519421186</v>
      </c>
      <c r="H330" s="122" t="n">
        <v>67.71874914666024</v>
      </c>
      <c r="I330" s="119" t="n">
        <v>91.90063735961914</v>
      </c>
      <c r="J330" s="119" t="n">
        <v>102.9567222595215</v>
      </c>
      <c r="K330" s="121" t="n">
        <v>0.2597334615382509</v>
      </c>
      <c r="L330" s="121" t="n">
        <v>-0.01240580519421175</v>
      </c>
      <c r="M330" s="121" t="n">
        <v>-0.3325782991933612</v>
      </c>
      <c r="N330" t="n">
        <v>61.50232303885633</v>
      </c>
      <c r="O330" t="n">
        <v>-0.05577440769134734</v>
      </c>
      <c r="P330" t="n">
        <v>91.14475951460248</v>
      </c>
      <c r="Q330" t="n">
        <v>77.49842210696744</v>
      </c>
    </row>
    <row r="331">
      <c r="A331" s="118" t="n">
        <v>44910</v>
      </c>
      <c r="B331" s="119" t="n">
        <v>101.9512496310438</v>
      </c>
      <c r="C331" s="119" t="n">
        <v>102.3527430596929</v>
      </c>
      <c r="D331" s="119" t="n">
        <v>100.5880412072502</v>
      </c>
      <c r="E331" s="119" t="n">
        <v>101.3163299560547</v>
      </c>
      <c r="F331" s="120" t="n">
        <v>7500700</v>
      </c>
      <c r="G331" s="121" t="n">
        <v>-0.02637948587408168</v>
      </c>
      <c r="H331" s="122" t="n">
        <v>65.93236336013544</v>
      </c>
      <c r="I331" s="119" t="n">
        <v>92.23095947265625</v>
      </c>
      <c r="J331" s="119" t="n">
        <v>102.8366118240356</v>
      </c>
      <c r="K331" s="121" t="n">
        <v>0.2735889220573759</v>
      </c>
      <c r="L331" s="121" t="n">
        <v>-0.03845803230541611</v>
      </c>
      <c r="M331" s="121" t="n">
        <v>-0.3501845405218456</v>
      </c>
      <c r="N331" t="n">
        <v>54.69972549013988</v>
      </c>
      <c r="O331" t="n">
        <v>-0.310277652468371</v>
      </c>
      <c r="P331" t="n">
        <v>88.91522372989243</v>
      </c>
      <c r="Q331" t="n">
        <v>74.89628123858797</v>
      </c>
    </row>
    <row r="332">
      <c r="A332" s="118" t="n">
        <v>44911</v>
      </c>
      <c r="B332" s="119" t="n">
        <v>99.78504695684519</v>
      </c>
      <c r="C332" s="119" t="n">
        <v>100.4759866002108</v>
      </c>
      <c r="D332" s="119" t="n">
        <v>98.15106335352706</v>
      </c>
      <c r="E332" s="119" t="n">
        <v>98.92603302001953</v>
      </c>
      <c r="F332" s="120" t="n">
        <v>14083600</v>
      </c>
      <c r="G332" s="121" t="n">
        <v>-0.02359241533000589</v>
      </c>
      <c r="H332" s="122" t="n">
        <v>64.37685966005427</v>
      </c>
      <c r="I332" s="119" t="n">
        <v>92.53078964233399</v>
      </c>
      <c r="J332" s="119" t="n">
        <v>102.7124481582642</v>
      </c>
      <c r="K332" s="121" t="n">
        <v>0.2881135901375177</v>
      </c>
      <c r="L332" s="121" t="n">
        <v>-0.06114312976449776</v>
      </c>
      <c r="M332" s="121" t="n">
        <v>-0.3655152567297127</v>
      </c>
      <c r="N332" t="n">
        <v>49.55940905576333</v>
      </c>
      <c r="O332" t="n">
        <v>-0.6356602741886261</v>
      </c>
      <c r="P332" t="n">
        <v>87.86545841671449</v>
      </c>
      <c r="Q332" t="n">
        <v>74.18218279072811</v>
      </c>
    </row>
    <row r="333">
      <c r="A333" s="118" t="n">
        <v>44914</v>
      </c>
      <c r="B333" s="119" t="n">
        <v>98.02968266079483</v>
      </c>
      <c r="C333" s="119" t="n">
        <v>98.51521323369519</v>
      </c>
      <c r="D333" s="119" t="n">
        <v>95.65807118566785</v>
      </c>
      <c r="E333" s="119" t="n">
        <v>96.21829986572266</v>
      </c>
      <c r="F333" s="120" t="n">
        <v>10620300</v>
      </c>
      <c r="G333" s="121" t="n">
        <v>-0.02737129016129569</v>
      </c>
      <c r="H333" s="122" t="n">
        <v>62.61478195462591</v>
      </c>
      <c r="I333" s="119" t="n">
        <v>92.83250198364257</v>
      </c>
      <c r="J333" s="119" t="n">
        <v>102.586249961853</v>
      </c>
      <c r="K333" s="121" t="n">
        <v>0.3047299293807683</v>
      </c>
      <c r="L333" s="121" t="n">
        <v>-0.08684085357963955</v>
      </c>
      <c r="M333" s="121" t="n">
        <v>-0.382881922740679</v>
      </c>
      <c r="N333" t="n">
        <v>44.46217998375371</v>
      </c>
      <c r="O333" t="n">
        <v>-1.00722086103016</v>
      </c>
      <c r="P333" t="n">
        <v>87.12040915626152</v>
      </c>
      <c r="Q333" t="n">
        <v>73.13964617199983</v>
      </c>
    </row>
    <row r="334">
      <c r="A334" s="118" t="n">
        <v>44915</v>
      </c>
      <c r="B334" s="119" t="n">
        <v>96.17160623335066</v>
      </c>
      <c r="C334" s="119" t="n">
        <v>96.54508962402606</v>
      </c>
      <c r="D334" s="119" t="n">
        <v>94.93911603064409</v>
      </c>
      <c r="E334" s="119" t="n">
        <v>96.36768341064453</v>
      </c>
      <c r="F334" s="120" t="n">
        <v>17147900</v>
      </c>
      <c r="G334" s="121" t="n">
        <v>0.001552548165269396</v>
      </c>
      <c r="H334" s="122" t="n">
        <v>62.71199441946831</v>
      </c>
      <c r="I334" s="119" t="n">
        <v>93.14595184326171</v>
      </c>
      <c r="J334" s="119" t="n">
        <v>102.4920010375977</v>
      </c>
      <c r="K334" s="121" t="n">
        <v>0.3000806101540301</v>
      </c>
      <c r="L334" s="121" t="n">
        <v>-0.08542313002226565</v>
      </c>
      <c r="M334" s="121" t="n">
        <v>-0.3819238172020755</v>
      </c>
      <c r="N334" t="n">
        <v>44.79949267628412</v>
      </c>
      <c r="O334" t="n">
        <v>-1.203616908776175</v>
      </c>
      <c r="P334" t="n">
        <v>87.23962933018218</v>
      </c>
      <c r="Q334" t="n">
        <v>73.08271959099322</v>
      </c>
    </row>
    <row r="335">
      <c r="A335" s="118" t="n">
        <v>44916</v>
      </c>
      <c r="B335" s="119" t="n">
        <v>109.0193811234634</v>
      </c>
      <c r="C335" s="119" t="n">
        <v>111.278945168268</v>
      </c>
      <c r="D335" s="119" t="n">
        <v>107.6935148122748</v>
      </c>
      <c r="E335" s="119" t="n">
        <v>108.1043472290039</v>
      </c>
      <c r="F335" s="120" t="n">
        <v>32777300</v>
      </c>
      <c r="G335" s="121" t="n">
        <v>0.1217904530126224</v>
      </c>
      <c r="H335" s="122" t="n">
        <v>70.3497166291404</v>
      </c>
      <c r="I335" s="119" t="n">
        <v>93.66993316650391</v>
      </c>
      <c r="J335" s="119" t="n">
        <v>102.4713885498047</v>
      </c>
      <c r="K335" s="121" t="n">
        <v>0.5237306099060517</v>
      </c>
      <c r="L335" s="121" t="n">
        <v>0</v>
      </c>
      <c r="M335" s="121" t="n">
        <v>-0.3066480389028038</v>
      </c>
      <c r="N335" t="n">
        <v>63.53731416708392</v>
      </c>
      <c r="O335" t="n">
        <v>-0.5377113681132011</v>
      </c>
      <c r="P335" t="n">
        <v>88.54405636873814</v>
      </c>
      <c r="Q335" t="n">
        <v>74.14286950666302</v>
      </c>
    </row>
    <row r="336">
      <c r="A336" s="118" t="n">
        <v>44917</v>
      </c>
      <c r="B336" s="119" t="n">
        <v>106.7131303238478</v>
      </c>
      <c r="C336" s="119" t="n">
        <v>109.0754025024422</v>
      </c>
      <c r="D336" s="119" t="n">
        <v>106.4983750696106</v>
      </c>
      <c r="E336" s="119" t="n">
        <v>108.9726943969727</v>
      </c>
      <c r="F336" s="120" t="n">
        <v>17147600</v>
      </c>
      <c r="G336" s="121" t="n">
        <v>0.008032490739056763</v>
      </c>
      <c r="H336" s="122" t="n">
        <v>70.91480007645924</v>
      </c>
      <c r="I336" s="119" t="n">
        <v>94.20160018920899</v>
      </c>
      <c r="J336" s="119" t="n">
        <v>102.4285448455811</v>
      </c>
      <c r="K336" s="121" t="n">
        <v>0.5238166008110089</v>
      </c>
      <c r="L336" s="121" t="n">
        <v>0</v>
      </c>
      <c r="M336" s="121" t="n">
        <v>-0.3010786956963837</v>
      </c>
      <c r="N336" t="n">
        <v>64.49752815961278</v>
      </c>
      <c r="O336" t="n">
        <v>-0.05860479147436948</v>
      </c>
      <c r="P336" t="n">
        <v>87.28088152979953</v>
      </c>
      <c r="Q336" t="n">
        <v>72.32896167250328</v>
      </c>
    </row>
    <row r="337">
      <c r="A337" s="118" t="n">
        <v>44918</v>
      </c>
      <c r="B337" s="119" t="n">
        <v>108.4124642716901</v>
      </c>
      <c r="C337" s="119" t="n">
        <v>109.4021890744206</v>
      </c>
      <c r="D337" s="119" t="n">
        <v>108.1043399798053</v>
      </c>
      <c r="E337" s="119" t="n">
        <v>108.5431823730469</v>
      </c>
      <c r="F337" s="120" t="n">
        <v>6603700</v>
      </c>
      <c r="G337" s="121" t="n">
        <v>-0.003941464660505933</v>
      </c>
      <c r="H337" s="122" t="n">
        <v>70.63529189805104</v>
      </c>
      <c r="I337" s="119" t="n">
        <v>94.70512954711914</v>
      </c>
      <c r="J337" s="119" t="n">
        <v>102.3878126144409</v>
      </c>
      <c r="K337" s="121" t="n">
        <v>0.5231483616502451</v>
      </c>
      <c r="L337" s="121" t="n">
        <v>-0.003941464660505933</v>
      </c>
      <c r="M337" s="121" t="n">
        <v>-0.3038334693177711</v>
      </c>
      <c r="N337" t="n">
        <v>63.60529316911171</v>
      </c>
      <c r="O337" t="n">
        <v>0.1956114855612525</v>
      </c>
      <c r="P337" t="n">
        <v>87.78293938385102</v>
      </c>
      <c r="Q337" t="n">
        <v>72.49163558375709</v>
      </c>
    </row>
    <row r="338">
      <c r="A338" s="118" t="n">
        <v>44922</v>
      </c>
      <c r="B338" s="119" t="n">
        <v>108.7486072748066</v>
      </c>
      <c r="C338" s="119" t="n">
        <v>110.3639127095918</v>
      </c>
      <c r="D338" s="119" t="n">
        <v>108.1416976849983</v>
      </c>
      <c r="E338" s="119" t="n">
        <v>109.7663421630859</v>
      </c>
      <c r="F338" s="120" t="n">
        <v>6661100</v>
      </c>
      <c r="G338" s="121" t="n">
        <v>0.01126887717217695</v>
      </c>
      <c r="H338" s="122" t="n">
        <v>71.43127232647105</v>
      </c>
      <c r="I338" s="119" t="n">
        <v>95.27054214477539</v>
      </c>
      <c r="J338" s="119" t="n">
        <v>102.3689362716675</v>
      </c>
      <c r="K338" s="121" t="n">
        <v>0.5205741772248396</v>
      </c>
      <c r="L338" s="121" t="n">
        <v>0</v>
      </c>
      <c r="M338" s="121" t="n">
        <v>-0.2959884541921326</v>
      </c>
      <c r="N338" t="n">
        <v>65.08652098803965</v>
      </c>
      <c r="O338" t="n">
        <v>0.400568258420817</v>
      </c>
      <c r="P338" t="n">
        <v>87.43676626070537</v>
      </c>
      <c r="Q338" t="n">
        <v>71.4667207055451</v>
      </c>
    </row>
    <row r="339">
      <c r="A339" s="118" t="n">
        <v>44923</v>
      </c>
      <c r="B339" s="119" t="n">
        <v>109.7850226460418</v>
      </c>
      <c r="C339" s="119" t="n">
        <v>110.4012641690009</v>
      </c>
      <c r="D339" s="119" t="n">
        <v>107.3387132704093</v>
      </c>
      <c r="E339" s="119" t="n">
        <v>107.3573913574219</v>
      </c>
      <c r="F339" s="120" t="n">
        <v>5437800</v>
      </c>
      <c r="G339" s="121" t="n">
        <v>-0.02194617000250365</v>
      </c>
      <c r="H339" s="122" t="n">
        <v>69.86362948049917</v>
      </c>
      <c r="I339" s="119" t="n">
        <v>95.74272232055664</v>
      </c>
      <c r="J339" s="119" t="n">
        <v>102.3614402770996</v>
      </c>
      <c r="K339" s="121" t="n">
        <v>0.5294797283671255</v>
      </c>
      <c r="L339" s="121" t="n">
        <v>-0.02194617000250376</v>
      </c>
      <c r="M339" s="121" t="n">
        <v>-0.3114388112601574</v>
      </c>
      <c r="N339" t="n">
        <v>59.91466757107839</v>
      </c>
      <c r="O339" t="n">
        <v>0.3312001666369708</v>
      </c>
      <c r="P339" t="n">
        <v>86.35010956929567</v>
      </c>
      <c r="Q339" t="n">
        <v>70.52315544832214</v>
      </c>
    </row>
    <row r="340">
      <c r="A340" s="118" t="n">
        <v>44924</v>
      </c>
      <c r="B340" s="119" t="n">
        <v>108.3844646552196</v>
      </c>
      <c r="C340" s="119" t="n">
        <v>110.2425353799565</v>
      </c>
      <c r="D340" s="119" t="n">
        <v>108.1230284274499</v>
      </c>
      <c r="E340" s="119" t="n">
        <v>109.5702667236328</v>
      </c>
      <c r="F340" s="120" t="n">
        <v>4588600</v>
      </c>
      <c r="G340" s="121" t="n">
        <v>0.02061223114898225</v>
      </c>
      <c r="H340" s="122" t="n">
        <v>71.30367476025806</v>
      </c>
      <c r="I340" s="119" t="n">
        <v>96.2645588684082</v>
      </c>
      <c r="J340" s="119" t="n">
        <v>102.3565365982056</v>
      </c>
      <c r="K340" s="121" t="n">
        <v>0.5229041385931626</v>
      </c>
      <c r="L340" s="121" t="n">
        <v>-0.001786298382448037</v>
      </c>
      <c r="M340" s="121" t="n">
        <v>-0.291833497962127</v>
      </c>
      <c r="N340" t="n">
        <v>62.83606440608202</v>
      </c>
      <c r="O340" t="n">
        <v>0.3877262309327838</v>
      </c>
      <c r="P340" t="n">
        <v>87.90444240386616</v>
      </c>
      <c r="Q340" t="n">
        <v>72.24217861115861</v>
      </c>
    </row>
    <row r="341">
      <c r="A341" s="118" t="n">
        <v>44925</v>
      </c>
      <c r="B341" s="119" t="n">
        <v>108.8326513563087</v>
      </c>
      <c r="C341" s="119" t="n">
        <v>109.4769100789705</v>
      </c>
      <c r="D341" s="119" t="n">
        <v>108.0950235593663</v>
      </c>
      <c r="E341" s="119" t="n">
        <v>109.2528228759766</v>
      </c>
      <c r="F341" s="120" t="n">
        <v>4355500</v>
      </c>
      <c r="G341" s="121" t="n">
        <v>-0.002897171442111546</v>
      </c>
      <c r="H341" s="122" t="n">
        <v>71.09709579002504</v>
      </c>
      <c r="I341" s="119" t="n">
        <v>96.80071166992188</v>
      </c>
      <c r="J341" s="119" t="n">
        <v>102.3232412338257</v>
      </c>
      <c r="K341" s="121" t="n">
        <v>0.5223431339606172</v>
      </c>
      <c r="L341" s="121" t="n">
        <v>-0.004678294611898837</v>
      </c>
      <c r="M341" s="121" t="n">
        <v>-0.2904111258887213</v>
      </c>
      <c r="N341" t="n">
        <v>62.13647006785574</v>
      </c>
      <c r="O341" t="n">
        <v>0.3578343561377655</v>
      </c>
      <c r="P341" t="n">
        <v>87.67289449519464</v>
      </c>
      <c r="Q341" t="n">
        <v>72.19880396763577</v>
      </c>
    </row>
    <row r="342">
      <c r="A342" s="118" t="n">
        <v>44929</v>
      </c>
      <c r="B342" s="119" t="n">
        <v>110.6907261513791</v>
      </c>
      <c r="C342" s="119" t="n">
        <v>111.5684039720594</v>
      </c>
      <c r="D342" s="119" t="n">
        <v>109.6543130731387</v>
      </c>
      <c r="E342" s="119" t="n">
        <v>110.8774642944336</v>
      </c>
      <c r="F342" s="120" t="n">
        <v>8124800</v>
      </c>
      <c r="G342" s="121" t="n">
        <v>0.01487047543202902</v>
      </c>
      <c r="H342" s="122" t="n">
        <v>72.15434340625922</v>
      </c>
      <c r="I342" s="119" t="n">
        <v>97.40175079345703</v>
      </c>
      <c r="J342" s="119" t="n">
        <v>102.2877917480469</v>
      </c>
      <c r="K342" s="121" t="n">
        <v>0.522871027298548</v>
      </c>
      <c r="L342" s="121" t="n">
        <v>0</v>
      </c>
      <c r="M342" s="121" t="n">
        <v>-0.2786475279277852</v>
      </c>
      <c r="N342" t="n">
        <v>64.32558925781009</v>
      </c>
      <c r="O342" t="n">
        <v>0.3984681405229993</v>
      </c>
      <c r="P342" t="n">
        <v>87.30381242614587</v>
      </c>
      <c r="Q342" t="n">
        <v>71.71077379029958</v>
      </c>
    </row>
    <row r="343">
      <c r="A343" s="118" t="n">
        <v>44930</v>
      </c>
      <c r="B343" s="119" t="n">
        <v>112.0072386897153</v>
      </c>
      <c r="C343" s="119" t="n">
        <v>114.1267527970233</v>
      </c>
      <c r="D343" s="119" t="n">
        <v>111.6057452987011</v>
      </c>
      <c r="E343" s="119" t="n">
        <v>113.1743698120117</v>
      </c>
      <c r="F343" s="120" t="n">
        <v>8550700</v>
      </c>
      <c r="G343" s="121" t="n">
        <v>0.02071571109778203</v>
      </c>
      <c r="H343" s="122" t="n">
        <v>73.64907193871343</v>
      </c>
      <c r="I343" s="119" t="n">
        <v>98.01763793945312</v>
      </c>
      <c r="J343" s="119" t="n">
        <v>102.2460960006714</v>
      </c>
      <c r="K343" s="121" t="n">
        <v>0.5166662388630496</v>
      </c>
      <c r="L343" s="121" t="n">
        <v>0</v>
      </c>
      <c r="M343" s="121" t="n">
        <v>-0.2637041985166664</v>
      </c>
      <c r="N343" t="n">
        <v>67.21184971070917</v>
      </c>
      <c r="O343" t="n">
        <v>0.5231700864320645</v>
      </c>
      <c r="P343" t="n">
        <v>87.97781541872295</v>
      </c>
      <c r="Q343" t="n">
        <v>72.05238393778774</v>
      </c>
    </row>
    <row r="344">
      <c r="A344" s="118" t="n">
        <v>44931</v>
      </c>
      <c r="B344" s="119" t="n">
        <v>112.3060336124879</v>
      </c>
      <c r="C344" s="119" t="n">
        <v>114.2294635875877</v>
      </c>
      <c r="D344" s="119" t="n">
        <v>112.119295466332</v>
      </c>
      <c r="E344" s="119" t="n">
        <v>112.6234970092773</v>
      </c>
      <c r="F344" s="120" t="n">
        <v>6046700</v>
      </c>
      <c r="G344" s="121" t="n">
        <v>-0.004867469583876627</v>
      </c>
      <c r="H344" s="122" t="n">
        <v>73.290587321171</v>
      </c>
      <c r="I344" s="119" t="n">
        <v>98.63162979125977</v>
      </c>
      <c r="J344" s="119" t="n">
        <v>102.2065068817139</v>
      </c>
      <c r="K344" s="121" t="n">
        <v>0.5123361318849796</v>
      </c>
      <c r="L344" s="121" t="n">
        <v>-0.004867469583876627</v>
      </c>
      <c r="M344" s="121" t="n">
        <v>-0.2485919421750528</v>
      </c>
      <c r="N344" t="n">
        <v>65.83611160453773</v>
      </c>
      <c r="O344" t="n">
        <v>0.5110962753222257</v>
      </c>
      <c r="P344" t="n">
        <v>86.97369239380554</v>
      </c>
      <c r="Q344" t="n">
        <v>70.92445744754956</v>
      </c>
    </row>
    <row r="345">
      <c r="A345" s="118" t="n">
        <v>44932</v>
      </c>
      <c r="B345" s="119" t="n">
        <v>113.9119968661464</v>
      </c>
      <c r="C345" s="119" t="n">
        <v>117.0492458743154</v>
      </c>
      <c r="D345" s="119" t="n">
        <v>113.6972416065216</v>
      </c>
      <c r="E345" s="119" t="n">
        <v>116.2742691040039</v>
      </c>
      <c r="F345" s="120" t="n">
        <v>10080700</v>
      </c>
      <c r="G345" s="121" t="n">
        <v>0.032415723109946</v>
      </c>
      <c r="H345" s="122" t="n">
        <v>75.6663547063394</v>
      </c>
      <c r="I345" s="119" t="n">
        <v>99.24956802368165</v>
      </c>
      <c r="J345" s="119" t="n">
        <v>102.1717463302612</v>
      </c>
      <c r="K345" s="121" t="n">
        <v>0.5206664001849971</v>
      </c>
      <c r="L345" s="121" t="n">
        <v>0</v>
      </c>
      <c r="M345" s="121" t="n">
        <v>-0.2184058604863554</v>
      </c>
      <c r="N345" t="n">
        <v>70.19081076525578</v>
      </c>
      <c r="O345" t="n">
        <v>0.6809012683808486</v>
      </c>
      <c r="P345" t="n">
        <v>88.96817551574391</v>
      </c>
      <c r="Q345" t="n">
        <v>72.88209181121009</v>
      </c>
    </row>
    <row r="346">
      <c r="A346" s="118" t="n">
        <v>44935</v>
      </c>
      <c r="B346" s="119" t="n">
        <v>116.7131009691256</v>
      </c>
      <c r="C346" s="119" t="n">
        <v>118.2163662794961</v>
      </c>
      <c r="D346" s="119" t="n">
        <v>116.2929366550777</v>
      </c>
      <c r="E346" s="119" t="n">
        <v>116.5730438232422</v>
      </c>
      <c r="F346" s="120" t="n">
        <v>9397900</v>
      </c>
      <c r="G346" s="121" t="n">
        <v>0.002569568671904943</v>
      </c>
      <c r="H346" s="122" t="n">
        <v>75.86078460091005</v>
      </c>
      <c r="I346" s="119" t="n">
        <v>99.86100830078125</v>
      </c>
      <c r="J346" s="119" t="n">
        <v>102.1388963317871</v>
      </c>
      <c r="K346" s="121" t="n">
        <v>0.5151859205234234</v>
      </c>
      <c r="L346" s="121" t="n">
        <v>0</v>
      </c>
      <c r="M346" s="121" t="n">
        <v>-0.1960796136500386</v>
      </c>
      <c r="N346" t="n">
        <v>70.521967177909</v>
      </c>
      <c r="O346" t="n">
        <v>0.7403343606393018</v>
      </c>
      <c r="P346" t="n">
        <v>88.91774803086227</v>
      </c>
      <c r="Q346" t="n">
        <v>73.3538681071405</v>
      </c>
    </row>
    <row r="347">
      <c r="A347" s="118" t="n">
        <v>44936</v>
      </c>
      <c r="B347" s="119" t="n">
        <v>116.9091897418052</v>
      </c>
      <c r="C347" s="119" t="n">
        <v>117.9549417949073</v>
      </c>
      <c r="D347" s="119" t="n">
        <v>116.1248810446809</v>
      </c>
      <c r="E347" s="119" t="n">
        <v>117.4974212646484</v>
      </c>
      <c r="F347" s="120" t="n">
        <v>5899900</v>
      </c>
      <c r="G347" s="121" t="n">
        <v>0.007929598568326535</v>
      </c>
      <c r="H347" s="122" t="n">
        <v>76.46233016987355</v>
      </c>
      <c r="I347" s="119" t="n">
        <v>100.5253776550293</v>
      </c>
      <c r="J347" s="119" t="n">
        <v>102.1149271774292</v>
      </c>
      <c r="K347" s="121" t="n">
        <v>0.507566399925322</v>
      </c>
      <c r="L347" s="121" t="n">
        <v>0</v>
      </c>
      <c r="M347" s="121" t="n">
        <v>-0.1643648561246327</v>
      </c>
      <c r="N347" t="n">
        <v>71.57413932992188</v>
      </c>
      <c r="O347" t="n">
        <v>0.7657100352751338</v>
      </c>
      <c r="P347" t="n">
        <v>89.54130158811452</v>
      </c>
      <c r="Q347" t="n">
        <v>73.9747748204157</v>
      </c>
    </row>
    <row r="348">
      <c r="A348" s="118" t="n">
        <v>44937</v>
      </c>
      <c r="B348" s="119" t="n">
        <v>117.9456092198239</v>
      </c>
      <c r="C348" s="119" t="n">
        <v>119.756991982164</v>
      </c>
      <c r="D348" s="119" t="n">
        <v>117.6561629643352</v>
      </c>
      <c r="E348" s="119" t="n">
        <v>119.4582138061523</v>
      </c>
      <c r="F348" s="120" t="n">
        <v>6989200</v>
      </c>
      <c r="G348" s="121" t="n">
        <v>0.01668796234333914</v>
      </c>
      <c r="H348" s="122" t="n">
        <v>77.73833065643238</v>
      </c>
      <c r="I348" s="119" t="n">
        <v>101.1677128601074</v>
      </c>
      <c r="J348" s="119" t="n">
        <v>102.0932623291016</v>
      </c>
      <c r="K348" s="121" t="n">
        <v>0.5049691132336552</v>
      </c>
      <c r="L348" s="121" t="n">
        <v>0</v>
      </c>
      <c r="M348" s="121" t="n">
        <v>-0.1504198083108698</v>
      </c>
      <c r="N348" t="n">
        <v>73.71716560066247</v>
      </c>
      <c r="O348" t="n">
        <v>0.8328053279271779</v>
      </c>
      <c r="P348" t="n">
        <v>90.67380543858809</v>
      </c>
      <c r="Q348" t="n">
        <v>75.25455055907018</v>
      </c>
    </row>
    <row r="349">
      <c r="A349" s="118" t="n">
        <v>44938</v>
      </c>
      <c r="B349" s="119" t="n">
        <v>119.8410171308636</v>
      </c>
      <c r="C349" s="119" t="n">
        <v>119.9437252290534</v>
      </c>
      <c r="D349" s="119" t="n">
        <v>118.0763084999664</v>
      </c>
      <c r="E349" s="119" t="n">
        <v>119.411506652832</v>
      </c>
      <c r="F349" s="120" t="n">
        <v>8366400</v>
      </c>
      <c r="G349" s="121" t="n">
        <v>-0.00039099155957667</v>
      </c>
      <c r="H349" s="122" t="n">
        <v>77.70793562529012</v>
      </c>
      <c r="I349" s="119" t="n">
        <v>101.8305238342285</v>
      </c>
      <c r="J349" s="119" t="n">
        <v>102.0662252807617</v>
      </c>
      <c r="K349" s="121" t="n">
        <v>0.5056698665928048</v>
      </c>
      <c r="L349" s="121" t="n">
        <v>-0.000390991559576892</v>
      </c>
      <c r="M349" s="121" t="n">
        <v>-0.1507519869950038</v>
      </c>
      <c r="N349" t="n">
        <v>73.57487381353764</v>
      </c>
      <c r="O349" t="n">
        <v>0.7925203503580427</v>
      </c>
      <c r="P349" t="n">
        <v>91.00394010455722</v>
      </c>
      <c r="Q349" t="n">
        <v>75.66123533720469</v>
      </c>
    </row>
    <row r="350">
      <c r="A350" s="118" t="n">
        <v>44939</v>
      </c>
      <c r="B350" s="119" t="n">
        <v>118.2630531697292</v>
      </c>
      <c r="C350" s="119" t="n">
        <v>120.6626670927676</v>
      </c>
      <c r="D350" s="119" t="n">
        <v>118.2630531697292</v>
      </c>
      <c r="E350" s="119" t="n">
        <v>120.3078689575195</v>
      </c>
      <c r="F350" s="120" t="n">
        <v>4856500</v>
      </c>
      <c r="G350" s="121" t="n">
        <v>0.007506498576334897</v>
      </c>
      <c r="H350" s="122" t="n">
        <v>78.29125013343129</v>
      </c>
      <c r="I350" s="119" t="n">
        <v>102.490969543457</v>
      </c>
      <c r="J350" s="119" t="n">
        <v>102.0236246109009</v>
      </c>
      <c r="K350" s="121" t="n">
        <v>0.5005886224429208</v>
      </c>
      <c r="L350" s="121" t="n">
        <v>0</v>
      </c>
      <c r="M350" s="121" t="n">
        <v>-0.1293912648461519</v>
      </c>
      <c r="N350" t="n">
        <v>74.58860898247028</v>
      </c>
      <c r="O350" t="n">
        <v>0.7454214802467476</v>
      </c>
      <c r="P350" t="n">
        <v>91.35696176598626</v>
      </c>
      <c r="Q350" t="n">
        <v>76.1818323823757</v>
      </c>
    </row>
    <row r="351">
      <c r="A351" s="118" t="n">
        <v>44943</v>
      </c>
      <c r="B351" s="119" t="n">
        <v>119.5142251234641</v>
      </c>
      <c r="C351" s="119" t="n">
        <v>120.4946181008712</v>
      </c>
      <c r="D351" s="119" t="n">
        <v>119.3554970028867</v>
      </c>
      <c r="E351" s="119" t="n">
        <v>119.6449432373047</v>
      </c>
      <c r="F351" s="120" t="n">
        <v>6172200</v>
      </c>
      <c r="G351" s="121" t="n">
        <v>-0.005510244059338421</v>
      </c>
      <c r="H351" s="122" t="n">
        <v>77.85984623748537</v>
      </c>
      <c r="I351" s="119" t="n">
        <v>103.2027575683594</v>
      </c>
      <c r="J351" s="119" t="n">
        <v>101.980486946106</v>
      </c>
      <c r="K351" s="121" t="n">
        <v>0.4870267632188818</v>
      </c>
      <c r="L351" s="121" t="n">
        <v>-0.005510244059338421</v>
      </c>
      <c r="M351" s="121" t="n">
        <v>-0.1290651323088188</v>
      </c>
      <c r="N351" t="n">
        <v>72.37716976031291</v>
      </c>
      <c r="O351" t="n">
        <v>0.5953117095906002</v>
      </c>
      <c r="P351" t="n">
        <v>91.18962622053604</v>
      </c>
      <c r="Q351" t="n">
        <v>76.33638357471401</v>
      </c>
    </row>
    <row r="352">
      <c r="A352" s="118" t="n">
        <v>44944</v>
      </c>
      <c r="B352" s="119" t="n">
        <v>119.3274798757187</v>
      </c>
      <c r="C352" s="119" t="n">
        <v>120.0651004211172</v>
      </c>
      <c r="D352" s="119" t="n">
        <v>117.6468083357667</v>
      </c>
      <c r="E352" s="119" t="n">
        <v>118.0483016967773</v>
      </c>
      <c r="F352" s="120" t="n">
        <v>6828800</v>
      </c>
      <c r="G352" s="121" t="n">
        <v>-0.01334483094166838</v>
      </c>
      <c r="H352" s="122" t="n">
        <v>76.82081975230184</v>
      </c>
      <c r="I352" s="119" t="n">
        <v>103.8807507324219</v>
      </c>
      <c r="J352" s="119" t="n">
        <v>101.9477912902832</v>
      </c>
      <c r="K352" s="121" t="n">
        <v>0.4792918321597773</v>
      </c>
      <c r="L352" s="121" t="n">
        <v>-0.01878154172558744</v>
      </c>
      <c r="M352" s="121" t="n">
        <v>-0.1406876108793619</v>
      </c>
      <c r="N352" t="n">
        <v>67.20877454996979</v>
      </c>
      <c r="O352" t="n">
        <v>0.3275613062208977</v>
      </c>
      <c r="P352" t="n">
        <v>89.74991128362527</v>
      </c>
      <c r="Q352" t="n">
        <v>75.34402712076211</v>
      </c>
    </row>
    <row r="353">
      <c r="A353" s="118" t="n">
        <v>44945</v>
      </c>
      <c r="B353" s="119" t="n">
        <v>116.5170343706226</v>
      </c>
      <c r="C353" s="119" t="n">
        <v>117.1239439753677</v>
      </c>
      <c r="D353" s="119" t="n">
        <v>115.4152623127108</v>
      </c>
      <c r="E353" s="119" t="n">
        <v>116.2742691040039</v>
      </c>
      <c r="F353" s="120" t="n">
        <v>5273500</v>
      </c>
      <c r="G353" s="121" t="n">
        <v>-0.01502802299799511</v>
      </c>
      <c r="H353" s="122" t="n">
        <v>75.6663547063394</v>
      </c>
      <c r="I353" s="119" t="n">
        <v>104.4229180908203</v>
      </c>
      <c r="J353" s="119" t="n">
        <v>101.9110398864746</v>
      </c>
      <c r="K353" s="121" t="n">
        <v>0.4686561442187141</v>
      </c>
      <c r="L353" s="121" t="n">
        <v>-0.03352731528259278</v>
      </c>
      <c r="M353" s="121" t="n">
        <v>-0.153601377225529</v>
      </c>
      <c r="N353" t="n">
        <v>61.9181050897853</v>
      </c>
      <c r="O353" t="n">
        <v>-0.01195530908691111</v>
      </c>
      <c r="P353" t="n">
        <v>89.09655634130004</v>
      </c>
      <c r="Q353" t="n">
        <v>74.60381269618117</v>
      </c>
    </row>
    <row r="354">
      <c r="A354" s="118" t="n">
        <v>44946</v>
      </c>
      <c r="B354" s="119" t="n">
        <v>116.4143258725723</v>
      </c>
      <c r="C354" s="119" t="n">
        <v>118.2443866006061</v>
      </c>
      <c r="D354" s="119" t="n">
        <v>115.8167553133614</v>
      </c>
      <c r="E354" s="119" t="n">
        <v>118.225715637207</v>
      </c>
      <c r="F354" s="120" t="n">
        <v>5673200</v>
      </c>
      <c r="G354" s="121" t="n">
        <v>0.016783133089038</v>
      </c>
      <c r="H354" s="122" t="n">
        <v>76.93627320773825</v>
      </c>
      <c r="I354" s="119" t="n">
        <v>105.0478639221191</v>
      </c>
      <c r="J354" s="119" t="n">
        <v>101.880249710083</v>
      </c>
      <c r="K354" s="121" t="n">
        <v>0.4681756369277139</v>
      </c>
      <c r="L354" s="121" t="n">
        <v>-0.01730687558806077</v>
      </c>
      <c r="M354" s="121" t="n">
        <v>-0.1393961564931265</v>
      </c>
      <c r="N354" t="n">
        <v>65.16644999176177</v>
      </c>
      <c r="O354" t="n">
        <v>-0.1408769507068968</v>
      </c>
      <c r="P354" t="n">
        <v>90.75633178826595</v>
      </c>
      <c r="Q354" t="n">
        <v>76.64548595939061</v>
      </c>
    </row>
    <row r="355">
      <c r="A355" s="118" t="n">
        <v>44949</v>
      </c>
      <c r="B355" s="119" t="n">
        <v>118.4871539078332</v>
      </c>
      <c r="C355" s="119" t="n">
        <v>120.2145065579255</v>
      </c>
      <c r="D355" s="119" t="n">
        <v>118.1510195720355</v>
      </c>
      <c r="E355" s="119" t="n">
        <v>119.7849960327148</v>
      </c>
      <c r="F355" s="120" t="n">
        <v>5581600</v>
      </c>
      <c r="G355" s="121" t="n">
        <v>0.01318901211215917</v>
      </c>
      <c r="H355" s="122" t="n">
        <v>77.9509866469395</v>
      </c>
      <c r="I355" s="119" t="n">
        <v>105.6982243347168</v>
      </c>
      <c r="J355" s="119" t="n">
        <v>101.8666999053955</v>
      </c>
      <c r="K355" s="121" t="n">
        <v>0.218312177096294</v>
      </c>
      <c r="L355" s="121" t="n">
        <v>-0.00434612406765611</v>
      </c>
      <c r="M355" s="121" t="n">
        <v>-0.1280456419773436</v>
      </c>
      <c r="N355" t="n">
        <v>67.54839643496739</v>
      </c>
      <c r="O355" t="n">
        <v>-0.1557494969043089</v>
      </c>
      <c r="P355" t="n">
        <v>91.84528595939892</v>
      </c>
      <c r="Q355" t="n">
        <v>78.3482341318844</v>
      </c>
    </row>
    <row r="356">
      <c r="A356" s="118" t="n">
        <v>44950</v>
      </c>
      <c r="B356" s="119" t="n">
        <v>118.4031282463138</v>
      </c>
      <c r="C356" s="119" t="n">
        <v>119.5235713919124</v>
      </c>
      <c r="D356" s="119" t="n">
        <v>112.4647639027127</v>
      </c>
      <c r="E356" s="119" t="n">
        <v>118.4218063354492</v>
      </c>
      <c r="F356" s="120" t="n">
        <v>5486200</v>
      </c>
      <c r="G356" s="121" t="n">
        <v>-0.01138030423186986</v>
      </c>
      <c r="H356" s="122" t="n">
        <v>77.06388070372292</v>
      </c>
      <c r="I356" s="119" t="n">
        <v>106.3520390319824</v>
      </c>
      <c r="J356" s="119" t="n">
        <v>101.8645742034912</v>
      </c>
      <c r="K356" s="121" t="n">
        <v>0.2257584361611288</v>
      </c>
      <c r="L356" s="121" t="n">
        <v>-0.01567696808540642</v>
      </c>
      <c r="M356" s="121" t="n">
        <v>-0.1379687478479462</v>
      </c>
      <c r="N356" t="n">
        <v>63.46266937859674</v>
      </c>
      <c r="O356" t="n">
        <v>-0.2845088654310777</v>
      </c>
      <c r="P356" t="n">
        <v>91.74671383573011</v>
      </c>
      <c r="Q356" t="n">
        <v>78.18827060812734</v>
      </c>
    </row>
    <row r="357">
      <c r="A357" s="118" t="n">
        <v>44951</v>
      </c>
      <c r="B357" s="119" t="n">
        <v>117.5161044386627</v>
      </c>
      <c r="C357" s="119" t="n">
        <v>118.5898665454832</v>
      </c>
      <c r="D357" s="119" t="n">
        <v>116.5543894892541</v>
      </c>
      <c r="E357" s="119" t="n">
        <v>118.4124603271484</v>
      </c>
      <c r="F357" s="120" t="n">
        <v>5933700</v>
      </c>
      <c r="G357" s="121" t="n">
        <v>-7.892134556963804e-05</v>
      </c>
      <c r="H357" s="122" t="n">
        <v>77.05779871856295</v>
      </c>
      <c r="I357" s="119" t="n">
        <v>106.8680874633789</v>
      </c>
      <c r="J357" s="119" t="n">
        <v>101.8576796722412</v>
      </c>
      <c r="K357" s="121" t="n">
        <v>0.2243085462445122</v>
      </c>
      <c r="L357" s="121" t="n">
        <v>-0.01575465218356042</v>
      </c>
      <c r="M357" s="121" t="n">
        <v>-0.1380367805142892</v>
      </c>
      <c r="N357" t="n">
        <v>63.43434024548816</v>
      </c>
      <c r="O357" t="n">
        <v>-0.3908529143179855</v>
      </c>
      <c r="P357" t="n">
        <v>91.78110286343522</v>
      </c>
      <c r="Q357" t="n">
        <v>78.01472981616226</v>
      </c>
    </row>
    <row r="358">
      <c r="A358" s="118" t="n">
        <v>44952</v>
      </c>
      <c r="B358" s="119" t="n">
        <v>119.9437467073504</v>
      </c>
      <c r="C358" s="119" t="n">
        <v>120.4386092016424</v>
      </c>
      <c r="D358" s="119" t="n">
        <v>117.6561652568336</v>
      </c>
      <c r="E358" s="119" t="n">
        <v>119.0753936767578</v>
      </c>
      <c r="F358" s="120" t="n">
        <v>5838800</v>
      </c>
      <c r="G358" s="121" t="n">
        <v>0.005598510053568928</v>
      </c>
      <c r="H358" s="122" t="n">
        <v>77.48920757939472</v>
      </c>
      <c r="I358" s="119" t="n">
        <v>107.274522857666</v>
      </c>
      <c r="J358" s="119" t="n">
        <v>101.8597940826416</v>
      </c>
      <c r="K358" s="121" t="n">
        <v>0.222922823928653</v>
      </c>
      <c r="L358" s="121" t="n">
        <v>-0.01024434470863167</v>
      </c>
      <c r="M358" s="121" t="n">
        <v>-0.1332110707641918</v>
      </c>
      <c r="N358" t="n">
        <v>64.64008276843161</v>
      </c>
      <c r="O358" t="n">
        <v>-0.433778613435865</v>
      </c>
      <c r="P358" t="n">
        <v>92.78980621417038</v>
      </c>
      <c r="Q358" t="n">
        <v>79.53581447777545</v>
      </c>
    </row>
    <row r="359">
      <c r="A359" s="118" t="n">
        <v>44953</v>
      </c>
      <c r="B359" s="119" t="n">
        <v>118.6458902454175</v>
      </c>
      <c r="C359" s="119" t="n">
        <v>120.055786744637</v>
      </c>
      <c r="D359" s="119" t="n">
        <v>118.3004168420422</v>
      </c>
      <c r="E359" s="119" t="n">
        <v>119.0753936767578</v>
      </c>
      <c r="F359" s="120" t="n">
        <v>5730000</v>
      </c>
      <c r="G359" s="121" t="n">
        <v>0</v>
      </c>
      <c r="H359" s="122" t="n">
        <v>77.48920757939472</v>
      </c>
      <c r="I359" s="119" t="n">
        <v>107.7126068115234</v>
      </c>
      <c r="J359" s="119" t="n">
        <v>101.8765839004517</v>
      </c>
      <c r="K359" s="121" t="n">
        <v>0.2013917198815491</v>
      </c>
      <c r="L359" s="121" t="n">
        <v>-0.01024434470863167</v>
      </c>
      <c r="M359" s="121" t="n">
        <v>-0.1332110707641918</v>
      </c>
      <c r="N359" t="n">
        <v>64.64008276843161</v>
      </c>
      <c r="O359" t="n">
        <v>-0.4760228718914759</v>
      </c>
      <c r="P359" t="n">
        <v>93.00300355231329</v>
      </c>
      <c r="Q359" t="n">
        <v>80.32755159551898</v>
      </c>
    </row>
    <row r="360">
      <c r="A360" s="118" t="n">
        <v>44956</v>
      </c>
      <c r="B360" s="119" t="n">
        <v>118.1136657504189</v>
      </c>
      <c r="C360" s="119" t="n">
        <v>119.1033906305138</v>
      </c>
      <c r="D360" s="119" t="n">
        <v>117.8428904839848</v>
      </c>
      <c r="E360" s="119" t="n">
        <v>117.9922866821289</v>
      </c>
      <c r="F360" s="120" t="n">
        <v>6494600</v>
      </c>
      <c r="G360" s="121" t="n">
        <v>-0.009095976600918099</v>
      </c>
      <c r="H360" s="122" t="n">
        <v>76.78436756042886</v>
      </c>
      <c r="I360" s="119" t="n">
        <v>108.0858375549316</v>
      </c>
      <c r="J360" s="119" t="n">
        <v>101.8876803970337</v>
      </c>
      <c r="K360" s="121" t="n">
        <v>0.1989670790972635</v>
      </c>
      <c r="L360" s="121" t="n">
        <v>-0.01924713898978825</v>
      </c>
      <c r="M360" s="121" t="n">
        <v>-0.1410953625824556</v>
      </c>
      <c r="N360" t="n">
        <v>60.83877951999421</v>
      </c>
      <c r="O360" t="n">
        <v>-0.5836619083553409</v>
      </c>
      <c r="P360" t="n">
        <v>91.83611799094899</v>
      </c>
      <c r="Q360" t="n">
        <v>78.70341310400583</v>
      </c>
    </row>
    <row r="361">
      <c r="A361" s="118" t="n">
        <v>44957</v>
      </c>
      <c r="B361" s="119" t="n">
        <v>118.038958941882</v>
      </c>
      <c r="C361" s="119" t="n">
        <v>119.3741570889659</v>
      </c>
      <c r="D361" s="119" t="n">
        <v>117.6561436786886</v>
      </c>
      <c r="E361" s="119" t="n">
        <v>118.8886337280273</v>
      </c>
      <c r="F361" s="120" t="n">
        <v>7686900</v>
      </c>
      <c r="G361" s="121" t="n">
        <v>0.007596657977425147</v>
      </c>
      <c r="H361" s="122" t="n">
        <v>77.36767213879834</v>
      </c>
      <c r="I361" s="119" t="n">
        <v>108.5045478820801</v>
      </c>
      <c r="J361" s="119" t="n">
        <v>101.8919163894653</v>
      </c>
      <c r="K361" s="121" t="n">
        <v>0.1977769843956539</v>
      </c>
      <c r="L361" s="121" t="n">
        <v>-0.01179669494431246</v>
      </c>
      <c r="M361" s="121" t="n">
        <v>-0.1345705578167701</v>
      </c>
      <c r="N361" t="n">
        <v>62.78903309363123</v>
      </c>
      <c r="O361" t="n">
        <v>-0.5989920925581846</v>
      </c>
      <c r="P361" t="n">
        <v>93.18641413901206</v>
      </c>
      <c r="Q361" t="n">
        <v>79.88287917455612</v>
      </c>
    </row>
    <row r="362">
      <c r="A362" s="118" t="n">
        <v>44958</v>
      </c>
      <c r="B362" s="119" t="n">
        <v>119.4208457730535</v>
      </c>
      <c r="C362" s="119" t="n">
        <v>121.587040631879</v>
      </c>
      <c r="D362" s="119" t="n">
        <v>117.8522214184832</v>
      </c>
      <c r="E362" s="119" t="n">
        <v>120.9147720336914</v>
      </c>
      <c r="F362" s="120" t="n">
        <v>6387900</v>
      </c>
      <c r="G362" s="121" t="n">
        <v>0.01704232139044604</v>
      </c>
      <c r="H362" s="122" t="n">
        <v>78.6861968726184</v>
      </c>
      <c r="I362" s="119" t="n">
        <v>108.9613606262207</v>
      </c>
      <c r="J362" s="119" t="n">
        <v>101.878645324707</v>
      </c>
      <c r="K362" s="121" t="n">
        <v>0.199458433444369</v>
      </c>
      <c r="L362" s="121" t="n">
        <v>0</v>
      </c>
      <c r="M362" s="121" t="n">
        <v>-0.119821631122329</v>
      </c>
      <c r="N362" t="n">
        <v>66.81238885253286</v>
      </c>
      <c r="O362" t="n">
        <v>-0.4821953799531862</v>
      </c>
      <c r="P362" t="n">
        <v>94.17678155284742</v>
      </c>
      <c r="Q362" t="n">
        <v>81.59107345276769</v>
      </c>
    </row>
    <row r="363">
      <c r="A363" s="118" t="n">
        <v>44959</v>
      </c>
      <c r="B363" s="119" t="n">
        <v>121.8017935549658</v>
      </c>
      <c r="C363" s="119" t="n">
        <v>122.6047802874281</v>
      </c>
      <c r="D363" s="119" t="n">
        <v>119.3835014381708</v>
      </c>
      <c r="E363" s="119" t="n">
        <v>120.5039443969727</v>
      </c>
      <c r="F363" s="120" t="n">
        <v>5214500</v>
      </c>
      <c r="G363" s="121" t="n">
        <v>-0.003397662914207733</v>
      </c>
      <c r="H363" s="122" t="n">
        <v>78.41884769964426</v>
      </c>
      <c r="I363" s="119" t="n">
        <v>109.4088401794434</v>
      </c>
      <c r="J363" s="119" t="n">
        <v>101.8717921066284</v>
      </c>
      <c r="K363" s="121" t="n">
        <v>0.1915323481000159</v>
      </c>
      <c r="L363" s="121" t="n">
        <v>-0.003397662914207622</v>
      </c>
      <c r="M363" s="121" t="n">
        <v>-0.1228121805241525</v>
      </c>
      <c r="N363" t="n">
        <v>65.27134398434744</v>
      </c>
      <c r="O363" t="n">
        <v>-0.4431292172616197</v>
      </c>
      <c r="P363" t="n">
        <v>95.54769648390472</v>
      </c>
      <c r="Q363" t="n">
        <v>84.51936428325658</v>
      </c>
    </row>
    <row r="364">
      <c r="A364" s="118" t="n">
        <v>44960</v>
      </c>
      <c r="B364" s="119" t="n">
        <v>118.3844476995179</v>
      </c>
      <c r="C364" s="119" t="n">
        <v>120.8400890754066</v>
      </c>
      <c r="D364" s="119" t="n">
        <v>118.0576524021339</v>
      </c>
      <c r="E364" s="119" t="n">
        <v>119.1500854492188</v>
      </c>
      <c r="F364" s="120" t="n">
        <v>4930200</v>
      </c>
      <c r="G364" s="121" t="n">
        <v>-0.01123497620371605</v>
      </c>
      <c r="H364" s="122" t="n">
        <v>77.53781381181591</v>
      </c>
      <c r="I364" s="119" t="n">
        <v>109.8588433837891</v>
      </c>
      <c r="J364" s="119" t="n">
        <v>101.8330778503418</v>
      </c>
      <c r="K364" s="121" t="n">
        <v>0.1963671398619661</v>
      </c>
      <c r="L364" s="121" t="n">
        <v>-0.01459446645593454</v>
      </c>
      <c r="M364" s="121" t="n">
        <v>-0.1195229383949528</v>
      </c>
      <c r="N364" t="n">
        <v>60.33268132727925</v>
      </c>
      <c r="O364" t="n">
        <v>-0.5140030442220951</v>
      </c>
      <c r="P364" t="n">
        <v>94.53212996125735</v>
      </c>
      <c r="Q364" t="n">
        <v>83.01722700339641</v>
      </c>
    </row>
    <row r="365">
      <c r="A365" s="118" t="n">
        <v>44963</v>
      </c>
      <c r="B365" s="119" t="n">
        <v>117.1986148341769</v>
      </c>
      <c r="C365" s="119" t="n">
        <v>117.7401652884379</v>
      </c>
      <c r="D365" s="119" t="n">
        <v>116.0781720051419</v>
      </c>
      <c r="E365" s="119" t="n">
        <v>117.3946990966797</v>
      </c>
      <c r="F365" s="120" t="n">
        <v>4666400</v>
      </c>
      <c r="G365" s="121" t="n">
        <v>-0.01473256478097285</v>
      </c>
      <c r="H365" s="122" t="n">
        <v>76.39548294685832</v>
      </c>
      <c r="I365" s="119" t="n">
        <v>110.2338987731934</v>
      </c>
      <c r="J365" s="119" t="n">
        <v>101.7910496520996</v>
      </c>
      <c r="K365" s="121" t="n">
        <v>0.1721800904936748</v>
      </c>
      <c r="L365" s="121" t="n">
        <v>-0.02911201731440149</v>
      </c>
      <c r="M365" s="121" t="n">
        <v>-0.1324946237432097</v>
      </c>
      <c r="N365" t="n">
        <v>54.5675975636355</v>
      </c>
      <c r="O365" t="n">
        <v>-0.6745228277044495</v>
      </c>
      <c r="P365" t="n">
        <v>93.95439429581138</v>
      </c>
      <c r="Q365" t="n">
        <v>82.3149833344943</v>
      </c>
    </row>
    <row r="366">
      <c r="A366" s="118" t="n">
        <v>44964</v>
      </c>
      <c r="B366" s="119" t="n">
        <v>115.7420543736313</v>
      </c>
      <c r="C366" s="119" t="n">
        <v>117.5814541000492</v>
      </c>
      <c r="D366" s="119" t="n">
        <v>115.0791247733796</v>
      </c>
      <c r="E366" s="119" t="n">
        <v>117.0212326049805</v>
      </c>
      <c r="F366" s="120" t="n">
        <v>5288900</v>
      </c>
      <c r="G366" s="121" t="n">
        <v>-0.003181289228329276</v>
      </c>
      <c r="H366" s="122" t="n">
        <v>76.15244681986647</v>
      </c>
      <c r="I366" s="119" t="n">
        <v>110.588825378418</v>
      </c>
      <c r="J366" s="119" t="n">
        <v>101.7490521240234</v>
      </c>
      <c r="K366" s="121" t="n">
        <v>0.1724888132260878</v>
      </c>
      <c r="L366" s="121" t="n">
        <v>-0.03220069279563353</v>
      </c>
      <c r="M366" s="121" t="n">
        <v>-0.1352544092522132</v>
      </c>
      <c r="N366" t="n">
        <v>53.39851342200812</v>
      </c>
      <c r="O366" t="n">
        <v>-0.7930879766391055</v>
      </c>
      <c r="P366" t="n">
        <v>95.1832020574881</v>
      </c>
      <c r="Q366" t="n">
        <v>84.02045033805962</v>
      </c>
    </row>
    <row r="367">
      <c r="A367" s="118" t="n">
        <v>44965</v>
      </c>
      <c r="B367" s="119" t="n">
        <v>115.2005082939355</v>
      </c>
      <c r="C367" s="119" t="n">
        <v>115.8727769634418</v>
      </c>
      <c r="D367" s="119" t="n">
        <v>113.7252599620777</v>
      </c>
      <c r="E367" s="119" t="n">
        <v>114.7616729736328</v>
      </c>
      <c r="F367" s="120" t="n">
        <v>5877800</v>
      </c>
      <c r="G367" s="121" t="n">
        <v>-0.01930897138107468</v>
      </c>
      <c r="H367" s="122" t="n">
        <v>74.68202140362285</v>
      </c>
      <c r="I367" s="119" t="n">
        <v>110.9114064025879</v>
      </c>
      <c r="J367" s="119" t="n">
        <v>101.7253387832642</v>
      </c>
      <c r="K367" s="121" t="n">
        <v>0.1831679596538021</v>
      </c>
      <c r="L367" s="121" t="n">
        <v>-0.05088790192106663</v>
      </c>
      <c r="M367" s="121" t="n">
        <v>-0.1519517571158727</v>
      </c>
      <c r="N367" t="n">
        <v>46.85747544471071</v>
      </c>
      <c r="O367" t="n">
        <v>-0.9976998423997818</v>
      </c>
      <c r="P367" t="n">
        <v>94.1423925251423</v>
      </c>
      <c r="Q367" t="n">
        <v>82.52649488213824</v>
      </c>
    </row>
    <row r="368">
      <c r="A368" s="118" t="n">
        <v>44966</v>
      </c>
      <c r="B368" s="119" t="n">
        <v>116.4423350799343</v>
      </c>
      <c r="C368" s="119" t="n">
        <v>116.7317813140513</v>
      </c>
      <c r="D368" s="119" t="n">
        <v>113.4451432609586</v>
      </c>
      <c r="E368" s="119" t="n">
        <v>114.0800628662109</v>
      </c>
      <c r="F368" s="120" t="n">
        <v>5929000</v>
      </c>
      <c r="G368" s="121" t="n">
        <v>-0.00593935318090455</v>
      </c>
      <c r="H368" s="122" t="n">
        <v>74.23845850224286</v>
      </c>
      <c r="I368" s="119" t="n">
        <v>111.2389720153809</v>
      </c>
      <c r="J368" s="119" t="n">
        <v>101.70344871521</v>
      </c>
      <c r="K368" s="121" t="n">
        <v>0.1712207407821482</v>
      </c>
      <c r="L368" s="121" t="n">
        <v>-0.05652501387982667</v>
      </c>
      <c r="M368" s="121" t="n">
        <v>-0.1569886151448071</v>
      </c>
      <c r="N368" t="n">
        <v>45.06420370932603</v>
      </c>
      <c r="O368" t="n">
        <v>-1.142543019162917</v>
      </c>
      <c r="P368" t="n">
        <v>93.32625309592699</v>
      </c>
      <c r="Q368" t="n">
        <v>81.7971051203948</v>
      </c>
    </row>
    <row r="369">
      <c r="A369" s="118" t="n">
        <v>44967</v>
      </c>
      <c r="B369" s="119" t="n">
        <v>113.4544784985023</v>
      </c>
      <c r="C369" s="119" t="n">
        <v>114.5095624161829</v>
      </c>
      <c r="D369" s="119" t="n">
        <v>112.5487836527858</v>
      </c>
      <c r="E369" s="119" t="n">
        <v>114.1267471313477</v>
      </c>
      <c r="F369" s="120" t="n">
        <v>5195500</v>
      </c>
      <c r="G369" s="121" t="n">
        <v>0.000409223697496186</v>
      </c>
      <c r="H369" s="122" t="n">
        <v>74.26883863872757</v>
      </c>
      <c r="I369" s="119" t="n">
        <v>111.5434553527832</v>
      </c>
      <c r="J369" s="119" t="n">
        <v>101.716142539978</v>
      </c>
      <c r="K369" s="121" t="n">
        <v>0.171359194316113</v>
      </c>
      <c r="L369" s="121" t="n">
        <v>-0.05613892155751143</v>
      </c>
      <c r="M369" s="121" t="n">
        <v>-0.1566436349088652</v>
      </c>
      <c r="N369" t="n">
        <v>45.21884220363407</v>
      </c>
      <c r="O369" t="n">
        <v>-1.193249288824793</v>
      </c>
      <c r="P369" t="n">
        <v>93.54405271033086</v>
      </c>
      <c r="Q369" t="n">
        <v>81.26026263739277</v>
      </c>
    </row>
    <row r="370">
      <c r="A370" s="118" t="n">
        <v>44970</v>
      </c>
      <c r="B370" s="119" t="n">
        <v>114.6776381263837</v>
      </c>
      <c r="C370" s="119" t="n">
        <v>117.3853838223374</v>
      </c>
      <c r="D370" s="119" t="n">
        <v>114.3415037848941</v>
      </c>
      <c r="E370" s="119" t="n">
        <v>116.8531723022461</v>
      </c>
      <c r="F370" s="120" t="n">
        <v>5689800</v>
      </c>
      <c r="G370" s="121" t="n">
        <v>0.02388944957627337</v>
      </c>
      <c r="H370" s="122" t="n">
        <v>76.04308031447584</v>
      </c>
      <c r="I370" s="119" t="n">
        <v>111.838424987793</v>
      </c>
      <c r="J370" s="119" t="n">
        <v>101.7391352844238</v>
      </c>
      <c r="K370" s="121" t="n">
        <v>0.1922665137983366</v>
      </c>
      <c r="L370" s="121" t="n">
        <v>-0.03359059991705249</v>
      </c>
      <c r="M370" s="121" t="n">
        <v>-0.1364963155501914</v>
      </c>
      <c r="N370" t="n">
        <v>53.45851818848016</v>
      </c>
      <c r="O370" t="n">
        <v>-1.008559801665642</v>
      </c>
      <c r="P370" t="n">
        <v>94.6421455826561</v>
      </c>
      <c r="Q370" t="n">
        <v>82.56172991959603</v>
      </c>
    </row>
    <row r="371">
      <c r="A371" s="118" t="n">
        <v>44971</v>
      </c>
      <c r="B371" s="119" t="n">
        <v>115.7327210754096</v>
      </c>
      <c r="C371" s="119" t="n">
        <v>117.9829533342622</v>
      </c>
      <c r="D371" s="119" t="n">
        <v>115.5366438985822</v>
      </c>
      <c r="E371" s="119" t="n">
        <v>117.8335571289062</v>
      </c>
      <c r="F371" s="120" t="n">
        <v>4845900</v>
      </c>
      <c r="G371" s="121" t="n">
        <v>0.008389886276466196</v>
      </c>
      <c r="H371" s="122" t="n">
        <v>76.68107311042648</v>
      </c>
      <c r="I371" s="119" t="n">
        <v>112.1265664672852</v>
      </c>
      <c r="J371" s="119" t="n">
        <v>101.7401329421997</v>
      </c>
      <c r="K371" s="121" t="n">
        <v>0.1946286322606358</v>
      </c>
      <c r="L371" s="121" t="n">
        <v>-0.02548253495384867</v>
      </c>
      <c r="M371" s="121" t="n">
        <v>-0.1292516178383478</v>
      </c>
      <c r="N371" t="n">
        <v>56.02017031587196</v>
      </c>
      <c r="O371" t="n">
        <v>-0.7951400465085166</v>
      </c>
      <c r="P371" t="n">
        <v>94.59859590331548</v>
      </c>
      <c r="Q371" t="n">
        <v>83.17178663930946</v>
      </c>
    </row>
    <row r="372">
      <c r="A372" s="118" t="n">
        <v>44972</v>
      </c>
      <c r="B372" s="119" t="n">
        <v>116.619741471123</v>
      </c>
      <c r="C372" s="119" t="n">
        <v>119.0473727455268</v>
      </c>
      <c r="D372" s="119" t="n">
        <v>116.619741471123</v>
      </c>
      <c r="E372" s="119" t="n">
        <v>119.0287017822266</v>
      </c>
      <c r="F372" s="120" t="n">
        <v>5687900</v>
      </c>
      <c r="G372" s="121" t="n">
        <v>0.01014265106172485</v>
      </c>
      <c r="H372" s="122" t="n">
        <v>77.45882247802415</v>
      </c>
      <c r="I372" s="119" t="n">
        <v>112.4119067382812</v>
      </c>
      <c r="J372" s="119" t="n">
        <v>101.7579855728149</v>
      </c>
      <c r="K372" s="121" t="n">
        <v>0.1922175649151202</v>
      </c>
      <c r="L372" s="121" t="n">
        <v>-0.01559834435232899</v>
      </c>
      <c r="M372" s="121" t="n">
        <v>-0.1204199208355208</v>
      </c>
      <c r="N372" t="n">
        <v>58.98392733011975</v>
      </c>
      <c r="O372" t="n">
        <v>-0.5593827767671957</v>
      </c>
      <c r="P372" t="n">
        <v>94.90580698975266</v>
      </c>
      <c r="Q372" t="n">
        <v>83.80897256471469</v>
      </c>
    </row>
    <row r="373">
      <c r="A373" s="118" t="n">
        <v>44973</v>
      </c>
      <c r="B373" s="119" t="n">
        <v>117.1145939442289</v>
      </c>
      <c r="C373" s="119" t="n">
        <v>118.7765873569003</v>
      </c>
      <c r="D373" s="119" t="n">
        <v>115.8821038869083</v>
      </c>
      <c r="E373" s="119" t="n">
        <v>116.1342010498047</v>
      </c>
      <c r="F373" s="120" t="n">
        <v>4722200</v>
      </c>
      <c r="G373" s="121" t="n">
        <v>-0.02431767035246357</v>
      </c>
      <c r="H373" s="122" t="n">
        <v>75.57520436711356</v>
      </c>
      <c r="I373" s="119" t="n">
        <v>112.6875360107422</v>
      </c>
      <c r="J373" s="119" t="n">
        <v>101.7549770355225</v>
      </c>
      <c r="K373" s="121" t="n">
        <v>0.2045903322054168</v>
      </c>
      <c r="L373" s="121" t="n">
        <v>-0.03953669930878845</v>
      </c>
      <c r="M373" s="121" t="n">
        <v>-0.1418092592492364</v>
      </c>
      <c r="N373" t="n">
        <v>50.1665200448207</v>
      </c>
      <c r="O373" t="n">
        <v>-0.5817002391453017</v>
      </c>
      <c r="P373" t="n">
        <v>93.59905320421582</v>
      </c>
      <c r="Q373" t="n">
        <v>82.2363652099389</v>
      </c>
    </row>
    <row r="374">
      <c r="A374" s="118" t="n">
        <v>44974</v>
      </c>
      <c r="B374" s="119" t="n">
        <v>115.5086366907368</v>
      </c>
      <c r="C374" s="119" t="n">
        <v>116.6104087993312</v>
      </c>
      <c r="D374" s="119" t="n">
        <v>115.2565394925921</v>
      </c>
      <c r="E374" s="119" t="n">
        <v>116.563720703125</v>
      </c>
      <c r="F374" s="120" t="n">
        <v>5161500</v>
      </c>
      <c r="G374" s="121" t="n">
        <v>0.003698476843493337</v>
      </c>
      <c r="H374" s="122" t="n">
        <v>75.8547175104076</v>
      </c>
      <c r="I374" s="119" t="n">
        <v>113.0033151245117</v>
      </c>
      <c r="J374" s="119" t="n">
        <v>101.7690227890015</v>
      </c>
      <c r="K374" s="121" t="n">
        <v>0.1954371616048941</v>
      </c>
      <c r="L374" s="121" t="n">
        <v>-0.03598444803215683</v>
      </c>
      <c r="M374" s="121" t="n">
        <v>-0.1173048629047736</v>
      </c>
      <c r="N374" t="n">
        <v>51.32922503742195</v>
      </c>
      <c r="O374" t="n">
        <v>-0.5511469976105412</v>
      </c>
      <c r="P374" t="n">
        <v>93.36524439989306</v>
      </c>
      <c r="Q374" t="n">
        <v>81.65612275268977</v>
      </c>
    </row>
    <row r="375">
      <c r="A375" s="118" t="n">
        <v>44978</v>
      </c>
      <c r="B375" s="119" t="n">
        <v>115.1071321199174</v>
      </c>
      <c r="C375" s="119" t="n">
        <v>115.7794007479075</v>
      </c>
      <c r="D375" s="119" t="n">
        <v>112.9596152511742</v>
      </c>
      <c r="E375" s="119" t="n">
        <v>113.0716552734375</v>
      </c>
      <c r="F375" s="120" t="n">
        <v>5110300</v>
      </c>
      <c r="G375" s="121" t="n">
        <v>-0.02995842453057418</v>
      </c>
      <c r="H375" s="122" t="n">
        <v>73.58222968058404</v>
      </c>
      <c r="I375" s="119" t="n">
        <v>113.2417831420898</v>
      </c>
      <c r="J375" s="119" t="n">
        <v>101.7507940673828</v>
      </c>
      <c r="K375" s="121" t="n">
        <v>0.2140801074295426</v>
      </c>
      <c r="L375" s="121" t="n">
        <v>-0.06486483519208519</v>
      </c>
      <c r="M375" s="121" t="n">
        <v>-0.1437490185529458</v>
      </c>
      <c r="N375" t="n">
        <v>42.62222653324542</v>
      </c>
      <c r="O375" t="n">
        <v>-0.7380672975136322</v>
      </c>
      <c r="P375" t="n">
        <v>91.49225698115544</v>
      </c>
      <c r="Q375" t="n">
        <v>79.7229072072243</v>
      </c>
    </row>
    <row r="376">
      <c r="A376" s="118" t="n">
        <v>44979</v>
      </c>
      <c r="B376" s="119" t="n">
        <v>113.0716529633299</v>
      </c>
      <c r="C376" s="119" t="n">
        <v>113.3517672604704</v>
      </c>
      <c r="D376" s="119" t="n">
        <v>111.708444772691</v>
      </c>
      <c r="E376" s="119" t="n">
        <v>111.9512100219727</v>
      </c>
      <c r="F376" s="120" t="n">
        <v>5022000</v>
      </c>
      <c r="G376" s="121" t="n">
        <v>-0.009909161131101407</v>
      </c>
      <c r="H376" s="122" t="n">
        <v>72.85309151029341</v>
      </c>
      <c r="I376" s="119" t="n">
        <v>113.4012599182129</v>
      </c>
      <c r="J376" s="119" t="n">
        <v>101.7613597869873</v>
      </c>
      <c r="K376" s="121" t="n">
        <v>0.213359904879695</v>
      </c>
      <c r="L376" s="121" t="n">
        <v>-0.074131240219526</v>
      </c>
      <c r="M376" s="121" t="n">
        <v>-0.1310025190480206</v>
      </c>
      <c r="N376" t="n">
        <v>40.26231636828854</v>
      </c>
      <c r="O376" t="n">
        <v>-0.8984636651315966</v>
      </c>
      <c r="P376" t="n">
        <v>91.36615900169373</v>
      </c>
      <c r="Q376" t="n">
        <v>79.78256106287715</v>
      </c>
    </row>
    <row r="377">
      <c r="A377" s="118" t="n">
        <v>44980</v>
      </c>
      <c r="B377" s="119" t="n">
        <v>112.7542070738294</v>
      </c>
      <c r="C377" s="119" t="n">
        <v>112.7542070738294</v>
      </c>
      <c r="D377" s="119" t="n">
        <v>110.6907200748602</v>
      </c>
      <c r="E377" s="119" t="n">
        <v>112.0072402954102</v>
      </c>
      <c r="F377" s="120" t="n">
        <v>4101900</v>
      </c>
      <c r="G377" s="121" t="n">
        <v>0.0005004883236769953</v>
      </c>
      <c r="H377" s="122" t="n">
        <v>72.88955363193809</v>
      </c>
      <c r="I377" s="119" t="n">
        <v>113.5980850219727</v>
      </c>
      <c r="J377" s="119" t="n">
        <v>101.7913714981079</v>
      </c>
      <c r="K377" s="121" t="n">
        <v>0.2134648963637584</v>
      </c>
      <c r="L377" s="121" t="n">
        <v>-0.07366785371599849</v>
      </c>
      <c r="M377" s="121" t="n">
        <v>-0.1305675959554995</v>
      </c>
      <c r="N377" t="n">
        <v>40.43991166334844</v>
      </c>
      <c r="O377" t="n">
        <v>-0.9566994032429499</v>
      </c>
      <c r="P377" t="n">
        <v>91.8521637649399</v>
      </c>
      <c r="Q377" t="n">
        <v>80.47938395678574</v>
      </c>
    </row>
    <row r="378">
      <c r="A378" s="118" t="n">
        <v>44981</v>
      </c>
      <c r="B378" s="119" t="n">
        <v>110.1491490099672</v>
      </c>
      <c r="C378" s="119" t="n">
        <v>110.8680985233746</v>
      </c>
      <c r="D378" s="119" t="n">
        <v>109.5609104663048</v>
      </c>
      <c r="E378" s="119" t="n">
        <v>110.2145080566406</v>
      </c>
      <c r="F378" s="120" t="n">
        <v>4693000</v>
      </c>
      <c r="G378" s="121" t="n">
        <v>-0.01600550316248617</v>
      </c>
      <c r="H378" s="122" t="n">
        <v>71.7229196507699</v>
      </c>
      <c r="I378" s="119" t="n">
        <v>113.709568939209</v>
      </c>
      <c r="J378" s="119" t="n">
        <v>101.8276041793823</v>
      </c>
      <c r="K378" s="121" t="n">
        <v>0.2160970280062448</v>
      </c>
      <c r="L378" s="121" t="n">
        <v>-0.08849426581285968</v>
      </c>
      <c r="M378" s="121" t="n">
        <v>-0.1444832990480017</v>
      </c>
      <c r="N378" t="n">
        <v>36.68225989023885</v>
      </c>
      <c r="O378" t="n">
        <v>-1.063653217360399</v>
      </c>
      <c r="P378" t="n">
        <v>90.87095700274003</v>
      </c>
      <c r="Q378" t="n">
        <v>79.13182319998813</v>
      </c>
    </row>
    <row r="379">
      <c r="A379" s="118" t="n">
        <v>44984</v>
      </c>
      <c r="B379" s="119" t="n">
        <v>111.3536352187845</v>
      </c>
      <c r="C379" s="119" t="n">
        <v>111.8765076214851</v>
      </c>
      <c r="D379" s="119" t="n">
        <v>110.4759504368779</v>
      </c>
      <c r="E379" s="119" t="n">
        <v>110.6720275878906</v>
      </c>
      <c r="F379" s="120" t="n">
        <v>4239800</v>
      </c>
      <c r="G379" s="121" t="n">
        <v>0.004151173373789119</v>
      </c>
      <c r="H379" s="122" t="n">
        <v>72.0206539251146</v>
      </c>
      <c r="I379" s="119" t="n">
        <v>113.815637512207</v>
      </c>
      <c r="J379" s="119" t="n">
        <v>101.8740871047974</v>
      </c>
      <c r="K379" s="121" t="n">
        <v>0.2175551764959205</v>
      </c>
      <c r="L379" s="121" t="n">
        <v>-0.08471044747904577</v>
      </c>
      <c r="M379" s="121" t="n">
        <v>-0.1409319008981778</v>
      </c>
      <c r="N379" t="n">
        <v>38.25899564552208</v>
      </c>
      <c r="O379" t="n">
        <v>-1.049505790222181</v>
      </c>
      <c r="P379" t="n">
        <v>91.18045825208608</v>
      </c>
      <c r="Q379" t="n">
        <v>79.69852216332825</v>
      </c>
    </row>
    <row r="380">
      <c r="A380" s="118" t="n">
        <v>44985</v>
      </c>
      <c r="B380" s="119" t="n">
        <v>110.8681144582488</v>
      </c>
      <c r="C380" s="119" t="n">
        <v>112.4180679644212</v>
      </c>
      <c r="D380" s="119" t="n">
        <v>110.03711769242</v>
      </c>
      <c r="E380" s="119" t="n">
        <v>110.9148025512695</v>
      </c>
      <c r="F380" s="120" t="n">
        <v>8414100</v>
      </c>
      <c r="G380" s="121" t="n">
        <v>0.002193643404482692</v>
      </c>
      <c r="H380" s="122" t="n">
        <v>72.17864155758396</v>
      </c>
      <c r="I380" s="119" t="n">
        <v>113.9527052307129</v>
      </c>
      <c r="J380" s="119" t="n">
        <v>101.9290521621704</v>
      </c>
      <c r="K380" s="121" t="n">
        <v>0.2174379014871513</v>
      </c>
      <c r="L380" s="121" t="n">
        <v>-0.08270262858896626</v>
      </c>
      <c r="M380" s="121" t="n">
        <v>-0.1390474118285816</v>
      </c>
      <c r="N380" t="n">
        <v>39.12525828390184</v>
      </c>
      <c r="O380" t="n">
        <v>-0.9715085433438586</v>
      </c>
      <c r="P380" t="n">
        <v>90.84345309739034</v>
      </c>
      <c r="Q380" t="n">
        <v>79.59545988985352</v>
      </c>
    </row>
    <row r="381">
      <c r="A381" s="118" t="n">
        <v>44986</v>
      </c>
      <c r="B381" s="119" t="n">
        <v>110.1304808855626</v>
      </c>
      <c r="C381" s="119" t="n">
        <v>111.8485014620055</v>
      </c>
      <c r="D381" s="119" t="n">
        <v>110.0184408660484</v>
      </c>
      <c r="E381" s="119" t="n">
        <v>110.7187194824219</v>
      </c>
      <c r="F381" s="120" t="n">
        <v>4120500</v>
      </c>
      <c r="G381" s="121" t="n">
        <v>-0.001767871053613645</v>
      </c>
      <c r="H381" s="122" t="n">
        <v>72.05103902648516</v>
      </c>
      <c r="I381" s="119" t="n">
        <v>114.1407530212402</v>
      </c>
      <c r="J381" s="119" t="n">
        <v>101.9831293106079</v>
      </c>
      <c r="K381" s="121" t="n">
        <v>0.2138977908568233</v>
      </c>
      <c r="L381" s="121" t="n">
        <v>-0.08432429205943959</v>
      </c>
      <c r="M381" s="121" t="n">
        <v>-0.1405694649877435</v>
      </c>
      <c r="N381" t="n">
        <v>38.65353641661363</v>
      </c>
      <c r="O381" t="n">
        <v>-0.8833728408727664</v>
      </c>
      <c r="P381" t="n">
        <v>90.49499712815022</v>
      </c>
      <c r="Q381" t="n">
        <v>78.95558890767579</v>
      </c>
    </row>
    <row r="382">
      <c r="A382" s="118" t="n">
        <v>44987</v>
      </c>
      <c r="B382" s="119" t="n">
        <v>109.7570154674822</v>
      </c>
      <c r="C382" s="119" t="n">
        <v>112.007240605484</v>
      </c>
      <c r="D382" s="119" t="n">
        <v>109.7570154674822</v>
      </c>
      <c r="E382" s="119" t="n">
        <v>111.6524353027344</v>
      </c>
      <c r="F382" s="120" t="n">
        <v>4443200</v>
      </c>
      <c r="G382" s="121" t="n">
        <v>0.008433224523164196</v>
      </c>
      <c r="H382" s="122" t="n">
        <v>72.65866161572276</v>
      </c>
      <c r="I382" s="119" t="n">
        <v>114.3952810668945</v>
      </c>
      <c r="J382" s="119" t="n">
        <v>102.0182186508179</v>
      </c>
      <c r="K382" s="121" t="n">
        <v>0.2049451454288515</v>
      </c>
      <c r="L382" s="121" t="n">
        <v>-0.07660219322396966</v>
      </c>
      <c r="M382" s="121" t="n">
        <v>-0.133321694323922</v>
      </c>
      <c r="N382" t="n">
        <v>42.22563377230362</v>
      </c>
      <c r="O382" t="n">
        <v>-0.7193882589292455</v>
      </c>
      <c r="P382" t="n">
        <v>91.19879418898589</v>
      </c>
      <c r="Q382" t="n">
        <v>79.60902027091204</v>
      </c>
    </row>
    <row r="383">
      <c r="A383" s="118" t="n">
        <v>44988</v>
      </c>
      <c r="B383" s="119" t="n">
        <v>112.4858003301612</v>
      </c>
      <c r="C383" s="119" t="n">
        <v>113.3378979958243</v>
      </c>
      <c r="D383" s="119" t="n">
        <v>111.4464320634745</v>
      </c>
      <c r="E383" s="119" t="n">
        <v>113.2442626953125</v>
      </c>
      <c r="F383" s="120" t="n">
        <v>3871800</v>
      </c>
      <c r="G383" s="121" t="n">
        <v>0.01425698766231154</v>
      </c>
      <c r="H383" s="122" t="n">
        <v>73.69455525793819</v>
      </c>
      <c r="I383" s="119" t="n">
        <v>114.7358003234863</v>
      </c>
      <c r="J383" s="119" t="n">
        <v>102.0631652069092</v>
      </c>
      <c r="K383" s="121" t="n">
        <v>0.2148574721557941</v>
      </c>
      <c r="L383" s="121" t="n">
        <v>-0.06343732208535824</v>
      </c>
      <c r="M383" s="121" t="n">
        <v>-0.1209654724127051</v>
      </c>
      <c r="N383" t="n">
        <v>47.80550753305624</v>
      </c>
      <c r="O383" t="n">
        <v>-0.4728206370938004</v>
      </c>
      <c r="P383" t="n">
        <v>92.6614327054286</v>
      </c>
      <c r="Q383" t="n">
        <v>81.25483341882446</v>
      </c>
    </row>
    <row r="384">
      <c r="A384" s="118" t="n">
        <v>44991</v>
      </c>
      <c r="B384" s="119" t="n">
        <v>113.4221507459458</v>
      </c>
      <c r="C384" s="119" t="n">
        <v>114.2274270695705</v>
      </c>
      <c r="D384" s="119" t="n">
        <v>112.3266028907521</v>
      </c>
      <c r="E384" s="119" t="n">
        <v>112.5232391357422</v>
      </c>
      <c r="F384" s="120" t="n">
        <v>5183800</v>
      </c>
      <c r="G384" s="121" t="n">
        <v>-0.006366976502026001</v>
      </c>
      <c r="H384" s="122" t="n">
        <v>73.22534375628364</v>
      </c>
      <c r="I384" s="119" t="n">
        <v>115.0589114379883</v>
      </c>
      <c r="J384" s="119" t="n">
        <v>102.0892294311523</v>
      </c>
      <c r="K384" s="121" t="n">
        <v>0.2130746669620766</v>
      </c>
      <c r="L384" s="121" t="n">
        <v>-0.06940039464831549</v>
      </c>
      <c r="M384" s="121" t="n">
        <v>-0.1265622645943228</v>
      </c>
      <c r="N384" t="n">
        <v>45.65464658776817</v>
      </c>
      <c r="O384" t="n">
        <v>-0.3339401385745844</v>
      </c>
      <c r="P384" t="n">
        <v>92.72561580139227</v>
      </c>
      <c r="Q384" t="n">
        <v>81.3470288115879</v>
      </c>
    </row>
    <row r="385">
      <c r="A385" s="118" t="n">
        <v>44992</v>
      </c>
      <c r="B385" s="119" t="n">
        <v>112.551340538564</v>
      </c>
      <c r="C385" s="119" t="n">
        <v>113.3191613974399</v>
      </c>
      <c r="D385" s="119" t="n">
        <v>111.6430703073875</v>
      </c>
      <c r="E385" s="119" t="n">
        <v>111.9801559448242</v>
      </c>
      <c r="F385" s="120" t="n">
        <v>5345700</v>
      </c>
      <c r="G385" s="121" t="n">
        <v>-0.004826409149694122</v>
      </c>
      <c r="H385" s="122" t="n">
        <v>72.87192828718881</v>
      </c>
      <c r="I385" s="119" t="n">
        <v>115.1364276123047</v>
      </c>
      <c r="J385" s="119" t="n">
        <v>102.1428085327148</v>
      </c>
      <c r="K385" s="121" t="n">
        <v>0.2085524485810125</v>
      </c>
      <c r="L385" s="121" t="n">
        <v>-0.07389184909828661</v>
      </c>
      <c r="M385" s="121" t="n">
        <v>-0.130777832472173</v>
      </c>
      <c r="N385" t="n">
        <v>44.04713663345218</v>
      </c>
      <c r="O385" t="n">
        <v>-0.2577193321740263</v>
      </c>
      <c r="P385" t="n">
        <v>91.30425143501012</v>
      </c>
      <c r="Q385" t="n">
        <v>80.34923469549298</v>
      </c>
    </row>
    <row r="386">
      <c r="A386" s="118" t="n">
        <v>44993</v>
      </c>
      <c r="B386" s="119" t="n">
        <v>111.6805184301174</v>
      </c>
      <c r="C386" s="119" t="n">
        <v>112.4015252110532</v>
      </c>
      <c r="D386" s="119" t="n">
        <v>111.1748864032752</v>
      </c>
      <c r="E386" s="119" t="n">
        <v>112.2329788208008</v>
      </c>
      <c r="F386" s="120" t="n">
        <v>4175200</v>
      </c>
      <c r="G386" s="121" t="n">
        <v>0.002257747132457411</v>
      </c>
      <c r="H386" s="122" t="n">
        <v>73.03645467431585</v>
      </c>
      <c r="I386" s="119" t="n">
        <v>115.2016333007813</v>
      </c>
      <c r="J386" s="119" t="n">
        <v>102.2112160110474</v>
      </c>
      <c r="K386" s="121" t="n">
        <v>0.2091320930266288</v>
      </c>
      <c r="L386" s="121" t="n">
        <v>-0.07180093107624286</v>
      </c>
      <c r="M386" s="121" t="n">
        <v>-0.1288153486159686</v>
      </c>
      <c r="N386" t="n">
        <v>45.01770523401474</v>
      </c>
      <c r="O386" t="n">
        <v>-0.1733877671971125</v>
      </c>
      <c r="P386" t="n">
        <v>91.45326567718935</v>
      </c>
      <c r="Q386" t="n">
        <v>80.7505155857835</v>
      </c>
    </row>
    <row r="387">
      <c r="A387" s="118" t="n">
        <v>44994</v>
      </c>
      <c r="B387" s="119" t="n">
        <v>112.4389767024631</v>
      </c>
      <c r="C387" s="119" t="n">
        <v>114.105709199331</v>
      </c>
      <c r="D387" s="119" t="n">
        <v>110.0699687955274</v>
      </c>
      <c r="E387" s="119" t="n">
        <v>110.3696060180664</v>
      </c>
      <c r="F387" s="120" t="n">
        <v>5635900</v>
      </c>
      <c r="G387" s="121" t="n">
        <v>-0.01660272071820856</v>
      </c>
      <c r="H387" s="122" t="n">
        <v>71.82385081511009</v>
      </c>
      <c r="I387" s="119" t="n">
        <v>115.2381617736816</v>
      </c>
      <c r="J387" s="119" t="n">
        <v>102.2630847167969</v>
      </c>
      <c r="K387" s="121" t="n">
        <v>0.2063643215173578</v>
      </c>
      <c r="L387" s="121" t="n">
        <v>-0.08721156098848515</v>
      </c>
      <c r="M387" s="121" t="n">
        <v>-0.1432793840768876</v>
      </c>
      <c r="N387" t="n">
        <v>39.56973053503034</v>
      </c>
      <c r="O387" t="n">
        <v>-0.2230488144656415</v>
      </c>
      <c r="P387" t="n">
        <v>89.76596437443054</v>
      </c>
      <c r="Q387" t="n">
        <v>79.35144057939804</v>
      </c>
    </row>
    <row r="388">
      <c r="A388" s="118" t="n">
        <v>44995</v>
      </c>
      <c r="B388" s="119" t="n">
        <v>111.2685221470508</v>
      </c>
      <c r="C388" s="119" t="n">
        <v>111.4183371923698</v>
      </c>
      <c r="D388" s="119" t="n">
        <v>109.2178755813783</v>
      </c>
      <c r="E388" s="119" t="n">
        <v>110.013786315918</v>
      </c>
      <c r="F388" s="120" t="n">
        <v>5979600</v>
      </c>
      <c r="G388" s="121" t="n">
        <v>-0.00322389211111429</v>
      </c>
      <c r="H388" s="122" t="n">
        <v>71.59229846907741</v>
      </c>
      <c r="I388" s="119" t="n">
        <v>115.2431106567383</v>
      </c>
      <c r="J388" s="119" t="n">
        <v>102.3102577209473</v>
      </c>
      <c r="K388" s="121" t="n">
        <v>0.2058784056845818</v>
      </c>
      <c r="L388" s="121" t="n">
        <v>-0.09015429243613071</v>
      </c>
      <c r="M388" s="121" t="n">
        <v>-0.1460413589119911</v>
      </c>
      <c r="N388" t="n">
        <v>38.60888427696889</v>
      </c>
      <c r="O388" t="n">
        <v>-0.2573736307357418</v>
      </c>
      <c r="P388" t="n">
        <v>88.47068335388127</v>
      </c>
      <c r="Q388" t="n">
        <v>78.23704913949413</v>
      </c>
    </row>
    <row r="389">
      <c r="A389" s="118" t="n">
        <v>44998</v>
      </c>
      <c r="B389" s="119" t="n">
        <v>108.4500511352916</v>
      </c>
      <c r="C389" s="119" t="n">
        <v>110.7628793117318</v>
      </c>
      <c r="D389" s="119" t="n">
        <v>108.4219612617178</v>
      </c>
      <c r="E389" s="119" t="n">
        <v>109.4238739013672</v>
      </c>
      <c r="F389" s="120" t="n">
        <v>6038200</v>
      </c>
      <c r="G389" s="121" t="n">
        <v>-0.005362168090977004</v>
      </c>
      <c r="H389" s="122" t="n">
        <v>71.20840853066682</v>
      </c>
      <c r="I389" s="119" t="n">
        <v>115.2844403076172</v>
      </c>
      <c r="J389" s="119" t="n">
        <v>102.3606845092773</v>
      </c>
      <c r="K389" s="121" t="n">
        <v>0.2061011471891732</v>
      </c>
      <c r="L389" s="121" t="n">
        <v>-0.09503303805694208</v>
      </c>
      <c r="M389" s="121" t="n">
        <v>-0.1506204286882473</v>
      </c>
      <c r="N389" t="n">
        <v>37.00457371242983</v>
      </c>
      <c r="O389" t="n">
        <v>-0.294639274396729</v>
      </c>
      <c r="P389" t="n">
        <v>88.34462195849159</v>
      </c>
      <c r="Q389" t="n">
        <v>78.817300040318</v>
      </c>
    </row>
    <row r="390">
      <c r="A390" s="118" t="n">
        <v>44999</v>
      </c>
      <c r="B390" s="119" t="n">
        <v>111.4276885986328</v>
      </c>
      <c r="C390" s="119" t="n">
        <v>111.8865064925665</v>
      </c>
      <c r="D390" s="119" t="n">
        <v>109.7703219199418</v>
      </c>
      <c r="E390" s="119" t="n">
        <v>111.4276885986328</v>
      </c>
      <c r="F390" s="120" t="n">
        <v>6050800</v>
      </c>
      <c r="G390" s="121" t="n">
        <v>0.018312408671181</v>
      </c>
      <c r="H390" s="122" t="n">
        <v>72.5124060085048</v>
      </c>
      <c r="I390" s="119" t="n">
        <v>115.3215887451172</v>
      </c>
      <c r="J390" s="119" t="n">
        <v>102.4169176864624</v>
      </c>
      <c r="K390" s="121" t="n">
        <v>0.1975762742056044</v>
      </c>
      <c r="L390" s="121" t="n">
        <v>-0.07846091321592374</v>
      </c>
      <c r="M390" s="121" t="n">
        <v>-0.1350662428614339</v>
      </c>
      <c r="N390" t="n">
        <v>45.31667473658308</v>
      </c>
      <c r="O390" t="n">
        <v>-0.165597497711371</v>
      </c>
      <c r="P390" t="n">
        <v>89.8049410447678</v>
      </c>
      <c r="Q390" t="n">
        <v>80.6285143741305</v>
      </c>
    </row>
    <row r="391">
      <c r="A391" s="118" t="n">
        <v>45000</v>
      </c>
      <c r="B391" s="119" t="n">
        <v>108.9182197468374</v>
      </c>
      <c r="C391" s="119" t="n">
        <v>111.0812254411433</v>
      </c>
      <c r="D391" s="119" t="n">
        <v>108.4406705300987</v>
      </c>
      <c r="E391" s="119" t="n">
        <v>110.6504974365234</v>
      </c>
      <c r="F391" s="120" t="n">
        <v>6599200</v>
      </c>
      <c r="G391" s="121" t="n">
        <v>-0.006974847741021084</v>
      </c>
      <c r="H391" s="122" t="n">
        <v>72.00664301726039</v>
      </c>
      <c r="I391" s="119" t="n">
        <v>115.3495422363281</v>
      </c>
      <c r="J391" s="119" t="n">
        <v>102.447321434021</v>
      </c>
      <c r="K391" s="121" t="n">
        <v>0.1940463124174527</v>
      </c>
      <c r="L391" s="121" t="n">
        <v>-0.08488850803364212</v>
      </c>
      <c r="M391" s="121" t="n">
        <v>-0.1410990241235447</v>
      </c>
      <c r="N391" t="n">
        <v>42.94957971918458</v>
      </c>
      <c r="O391" t="n">
        <v>-0.1161819018426486</v>
      </c>
      <c r="P391" t="n">
        <v>89.24327310375597</v>
      </c>
      <c r="Q391" t="n">
        <v>81.05149525154457</v>
      </c>
    </row>
    <row r="392">
      <c r="A392" s="118" t="n">
        <v>45001</v>
      </c>
      <c r="B392" s="119" t="n">
        <v>109.4238843259746</v>
      </c>
      <c r="C392" s="119" t="n">
        <v>113.122532339794</v>
      </c>
      <c r="D392" s="119" t="n">
        <v>109.1897924986717</v>
      </c>
      <c r="E392" s="119" t="n">
        <v>112.9727172851562</v>
      </c>
      <c r="F392" s="120" t="n">
        <v>5658700</v>
      </c>
      <c r="G392" s="121" t="n">
        <v>0.02098698065017723</v>
      </c>
      <c r="H392" s="122" t="n">
        <v>73.51784504094785</v>
      </c>
      <c r="I392" s="119" t="n">
        <v>115.3914472961426</v>
      </c>
      <c r="J392" s="119" t="n">
        <v>102.4752164840698</v>
      </c>
      <c r="K392" s="121" t="n">
        <v>0.2072101093433767</v>
      </c>
      <c r="L392" s="121" t="n">
        <v>-0.06568308085898933</v>
      </c>
      <c r="M392" s="121" t="n">
        <v>-0.1230732859624071</v>
      </c>
      <c r="N392" t="n">
        <v>51.15883618239027</v>
      </c>
      <c r="O392" t="n">
        <v>0.07879707128661484</v>
      </c>
      <c r="P392" t="n">
        <v>90.80905675287082</v>
      </c>
      <c r="Q392" t="n">
        <v>83.18805740786469</v>
      </c>
    </row>
    <row r="393">
      <c r="A393" s="118" t="n">
        <v>45002</v>
      </c>
      <c r="B393" s="119" t="n">
        <v>113.4596133289864</v>
      </c>
      <c r="C393" s="119" t="n">
        <v>113.9839838254091</v>
      </c>
      <c r="D393" s="119" t="n">
        <v>111.1186952996985</v>
      </c>
      <c r="E393" s="119" t="n">
        <v>112.729248046875</v>
      </c>
      <c r="F393" s="120" t="n">
        <v>12868900</v>
      </c>
      <c r="G393" s="121" t="n">
        <v>-0.002155115359991799</v>
      </c>
      <c r="H393" s="122" t="n">
        <v>73.35940560386661</v>
      </c>
      <c r="I393" s="119" t="n">
        <v>115.3825448608398</v>
      </c>
      <c r="J393" s="119" t="n">
        <v>102.4886539840698</v>
      </c>
      <c r="K393" s="121" t="n">
        <v>0.190562037480999</v>
      </c>
      <c r="L393" s="121" t="n">
        <v>-0.06769664160253031</v>
      </c>
      <c r="M393" s="121" t="n">
        <v>-0.1249631641934167</v>
      </c>
      <c r="N393" t="n">
        <v>50.34095192935158</v>
      </c>
      <c r="O393" t="n">
        <v>0.190875351218835</v>
      </c>
      <c r="P393" t="n">
        <v>89.74725527999607</v>
      </c>
      <c r="Q393" t="n">
        <v>82.79489923648967</v>
      </c>
    </row>
    <row r="394">
      <c r="A394" s="118" t="n">
        <v>45005</v>
      </c>
      <c r="B394" s="119" t="n">
        <v>113.291080394271</v>
      </c>
      <c r="C394" s="119" t="n">
        <v>114.8735434559816</v>
      </c>
      <c r="D394" s="119" t="n">
        <v>112.1861666675226</v>
      </c>
      <c r="E394" s="119" t="n">
        <v>113.4877166748047</v>
      </c>
      <c r="F394" s="120" t="n">
        <v>7594100</v>
      </c>
      <c r="G394" s="121" t="n">
        <v>0.006728232832834191</v>
      </c>
      <c r="H394" s="122" t="n">
        <v>73.85298476524774</v>
      </c>
      <c r="I394" s="119" t="n">
        <v>115.3998292541504</v>
      </c>
      <c r="J394" s="119" t="n">
        <v>102.5066708755493</v>
      </c>
      <c r="K394" s="121" t="n">
        <v>0.1919394724186053</v>
      </c>
      <c r="L394" s="121" t="n">
        <v>-0.06142388753639894</v>
      </c>
      <c r="M394" s="121" t="n">
        <v>-0.1190757126248035</v>
      </c>
      <c r="N394" t="n">
        <v>52.86883827282983</v>
      </c>
      <c r="O394" t="n">
        <v>0.3086240444503343</v>
      </c>
      <c r="P394" t="n">
        <v>90.6102369550344</v>
      </c>
      <c r="Q394" t="n">
        <v>83.08874408158175</v>
      </c>
    </row>
    <row r="395">
      <c r="A395" s="118" t="n">
        <v>45006</v>
      </c>
      <c r="B395" s="119" t="n">
        <v>115.6413528912921</v>
      </c>
      <c r="C395" s="119" t="n">
        <v>118.0384507137551</v>
      </c>
      <c r="D395" s="119" t="n">
        <v>115.1450794024773</v>
      </c>
      <c r="E395" s="119" t="n">
        <v>117.6170883178711</v>
      </c>
      <c r="F395" s="120" t="n">
        <v>15078800</v>
      </c>
      <c r="G395" s="121" t="n">
        <v>0.03638606682782219</v>
      </c>
      <c r="H395" s="122" t="n">
        <v>76.54020440435018</v>
      </c>
      <c r="I395" s="119" t="n">
        <v>115.4266856384277</v>
      </c>
      <c r="J395" s="119" t="n">
        <v>102.5234373474121</v>
      </c>
      <c r="K395" s="121" t="n">
        <v>0.2044671357637268</v>
      </c>
      <c r="L395" s="121" t="n">
        <v>-0.02727279438530072</v>
      </c>
      <c r="M395" s="121" t="n">
        <v>-0.0870223426341179</v>
      </c>
      <c r="N395" t="n">
        <v>63.7023391804628</v>
      </c>
      <c r="O395" t="n">
        <v>0.6381740005703884</v>
      </c>
      <c r="P395" t="n">
        <v>91.8000021950442</v>
      </c>
      <c r="Q395" t="n">
        <v>84.27546318284764</v>
      </c>
    </row>
    <row r="396">
      <c r="A396" s="118" t="n">
        <v>45007</v>
      </c>
      <c r="B396" s="119" t="n">
        <v>115.7911568875502</v>
      </c>
      <c r="C396" s="119" t="n">
        <v>117.28934279124</v>
      </c>
      <c r="D396" s="119" t="n">
        <v>111.7366857045071</v>
      </c>
      <c r="E396" s="119" t="n">
        <v>111.895866394043</v>
      </c>
      <c r="F396" s="120" t="n">
        <v>17625500</v>
      </c>
      <c r="G396" s="121" t="n">
        <v>-0.04864277806610884</v>
      </c>
      <c r="H396" s="122" t="n">
        <v>72.81707622837476</v>
      </c>
      <c r="I396" s="119" t="n">
        <v>115.3331420898437</v>
      </c>
      <c r="J396" s="119" t="n">
        <v>102.521598777771</v>
      </c>
      <c r="K396" s="121" t="n">
        <v>0.2701827071830734</v>
      </c>
      <c r="L396" s="121" t="n">
        <v>-0.07458894796688287</v>
      </c>
      <c r="M396" s="121" t="n">
        <v>-0.1314321122006824</v>
      </c>
      <c r="N396" t="n">
        <v>47.43409158471038</v>
      </c>
      <c r="O396" t="n">
        <v>0.4531049354482327</v>
      </c>
      <c r="P396" t="n">
        <v>90.23511851410122</v>
      </c>
      <c r="Q396" t="n">
        <v>83.12946744263111</v>
      </c>
    </row>
    <row r="397">
      <c r="A397" s="118" t="n">
        <v>45008</v>
      </c>
      <c r="B397" s="119" t="n">
        <v>112.8041704730752</v>
      </c>
      <c r="C397" s="119" t="n">
        <v>115.4259946429734</v>
      </c>
      <c r="D397" s="119" t="n">
        <v>111.8678031672725</v>
      </c>
      <c r="E397" s="119" t="n">
        <v>113.2723541259766</v>
      </c>
      <c r="F397" s="120" t="n">
        <v>7628100</v>
      </c>
      <c r="G397" s="121" t="n">
        <v>0.01230150653721451</v>
      </c>
      <c r="H397" s="122" t="n">
        <v>73.71283596761896</v>
      </c>
      <c r="I397" s="119" t="n">
        <v>115.2486407470703</v>
      </c>
      <c r="J397" s="119" t="n">
        <v>102.5299841308594</v>
      </c>
      <c r="K397" s="121" t="n">
        <v>0.2736319210118145</v>
      </c>
      <c r="L397" s="121" t="n">
        <v>-0.06320499786068701</v>
      </c>
      <c r="M397" s="121" t="n">
        <v>-0.1207474186509045</v>
      </c>
      <c r="N397" t="n">
        <v>50.69645102829904</v>
      </c>
      <c r="O397" t="n">
        <v>0.4071107947296769</v>
      </c>
      <c r="P397" t="n">
        <v>90.47906842318982</v>
      </c>
      <c r="Q397" t="n">
        <v>84.1152294646984</v>
      </c>
    </row>
    <row r="398">
      <c r="A398" s="118" t="n">
        <v>45009</v>
      </c>
      <c r="B398" s="119" t="n">
        <v>112.5794250291234</v>
      </c>
      <c r="C398" s="119" t="n">
        <v>113.3004245877229</v>
      </c>
      <c r="D398" s="119" t="n">
        <v>111.7273274977731</v>
      </c>
      <c r="E398" s="119" t="n">
        <v>113.0288772583008</v>
      </c>
      <c r="F398" s="120" t="n">
        <v>6158800</v>
      </c>
      <c r="G398" s="121" t="n">
        <v>-0.002149481835655997</v>
      </c>
      <c r="H398" s="122" t="n">
        <v>73.55439156565188</v>
      </c>
      <c r="I398" s="119" t="n">
        <v>115.1200540161133</v>
      </c>
      <c r="J398" s="119" t="n">
        <v>102.5304692459106</v>
      </c>
      <c r="K398" s="121" t="n">
        <v>0.2667432003735439</v>
      </c>
      <c r="L398" s="121" t="n">
        <v>-0.0652186217015186</v>
      </c>
      <c r="M398" s="121" t="n">
        <v>-0.1226373561034682</v>
      </c>
      <c r="N398" t="n">
        <v>50.10411105562186</v>
      </c>
      <c r="O398" t="n">
        <v>0.3463869670908266</v>
      </c>
      <c r="P398" t="n">
        <v>91.07280596174027</v>
      </c>
      <c r="Q398" t="n">
        <v>84.42480468956136</v>
      </c>
    </row>
    <row r="399">
      <c r="A399" s="118" t="n">
        <v>45012</v>
      </c>
      <c r="B399" s="119" t="n">
        <v>113.3191690016218</v>
      </c>
      <c r="C399" s="119" t="n">
        <v>113.3659902248073</v>
      </c>
      <c r="D399" s="119" t="n">
        <v>110.1261601812219</v>
      </c>
      <c r="E399" s="119" t="n">
        <v>110.3134307861328</v>
      </c>
      <c r="F399" s="120" t="n">
        <v>6564200</v>
      </c>
      <c r="G399" s="121" t="n">
        <v>-0.02402436030539756</v>
      </c>
      <c r="H399" s="122" t="n">
        <v>71.78729436063436</v>
      </c>
      <c r="I399" s="119" t="n">
        <v>114.9380924987793</v>
      </c>
      <c r="J399" s="119" t="n">
        <v>102.5139892578125</v>
      </c>
      <c r="K399" s="121" t="n">
        <v>0.281240056315218</v>
      </c>
      <c r="L399" s="121" t="n">
        <v>-0.08767614634053744</v>
      </c>
      <c r="M399" s="121" t="n">
        <v>-0.1437154323789346</v>
      </c>
      <c r="N399" t="n">
        <v>43.93811642676153</v>
      </c>
      <c r="O399" t="n">
        <v>0.1210692892861436</v>
      </c>
      <c r="P399" t="n">
        <v>91.24307554976706</v>
      </c>
      <c r="Q399" t="n">
        <v>83.84640293160909</v>
      </c>
    </row>
    <row r="400">
      <c r="A400" s="118" t="n">
        <v>45013</v>
      </c>
      <c r="B400" s="119" t="n">
        <v>110.444509965765</v>
      </c>
      <c r="C400" s="119" t="n">
        <v>110.9033350439613</v>
      </c>
      <c r="D400" s="119" t="n">
        <v>109.4145074597818</v>
      </c>
      <c r="E400" s="119" t="n">
        <v>110.3696060180664</v>
      </c>
      <c r="F400" s="120" t="n">
        <v>4461400</v>
      </c>
      <c r="G400" s="121" t="n">
        <v>0.0005092329332272438</v>
      </c>
      <c r="H400" s="122" t="n">
        <v>71.82385081511006</v>
      </c>
      <c r="I400" s="119" t="n">
        <v>114.7393272399902</v>
      </c>
      <c r="J400" s="119" t="n">
        <v>102.51542552948</v>
      </c>
      <c r="K400" s="121" t="n">
        <v>0.2811283836186421</v>
      </c>
      <c r="L400" s="121" t="n">
        <v>-0.08721156098848548</v>
      </c>
      <c r="M400" s="121" t="n">
        <v>-0.1432793840768876</v>
      </c>
      <c r="N400" t="n">
        <v>44.09140038491216</v>
      </c>
      <c r="O400" t="n">
        <v>-0.0189986193573618</v>
      </c>
      <c r="P400" t="n">
        <v>91.03826328093265</v>
      </c>
      <c r="Q400" t="n">
        <v>83.40103813751621</v>
      </c>
    </row>
    <row r="401">
      <c r="A401" s="118" t="n">
        <v>45014</v>
      </c>
      <c r="B401" s="119" t="n">
        <v>111.0906132012253</v>
      </c>
      <c r="C401" s="119" t="n">
        <v>112.8978023320711</v>
      </c>
      <c r="D401" s="119" t="n">
        <v>110.950156680855</v>
      </c>
      <c r="E401" s="119" t="n">
        <v>112.8228912353516</v>
      </c>
      <c r="F401" s="120" t="n">
        <v>5644000</v>
      </c>
      <c r="G401" s="121" t="n">
        <v>0.02222790590448942</v>
      </c>
      <c r="H401" s="122" t="n">
        <v>73.42034461272642</v>
      </c>
      <c r="I401" s="119" t="n">
        <v>114.6028861999512</v>
      </c>
      <c r="J401" s="119" t="n">
        <v>102.5470885848999</v>
      </c>
      <c r="K401" s="121" t="n">
        <v>0.2919317905039066</v>
      </c>
      <c r="L401" s="121" t="n">
        <v>-0.0669221854554316</v>
      </c>
      <c r="M401" s="121" t="n">
        <v>-0.1242362788397123</v>
      </c>
      <c r="N401" t="n">
        <v>50.4616754642794</v>
      </c>
      <c r="O401" t="n">
        <v>0.05473022784487963</v>
      </c>
      <c r="P401" t="n">
        <v>92.36150916613914</v>
      </c>
      <c r="Q401" t="n">
        <v>84.92175972541489</v>
      </c>
    </row>
    <row r="402">
      <c r="A402" s="118" t="n">
        <v>45015</v>
      </c>
      <c r="B402" s="119" t="n">
        <v>113.3285244443814</v>
      </c>
      <c r="C402" s="119" t="n">
        <v>113.7124384368815</v>
      </c>
      <c r="D402" s="119" t="n">
        <v>111.746061543252</v>
      </c>
      <c r="E402" s="119" t="n">
        <v>112.4577026367188</v>
      </c>
      <c r="F402" s="120" t="n">
        <v>4578900</v>
      </c>
      <c r="G402" s="121" t="n">
        <v>-0.003236830705490634</v>
      </c>
      <c r="H402" s="122" t="n">
        <v>73.18269538687623</v>
      </c>
      <c r="I402" s="119" t="n">
        <v>114.49107421875</v>
      </c>
      <c r="J402" s="119" t="n">
        <v>102.5968350982666</v>
      </c>
      <c r="K402" s="121" t="n">
        <v>0.2909831178802631</v>
      </c>
      <c r="L402" s="121" t="n">
        <v>-0.06994240037616173</v>
      </c>
      <c r="M402" s="121" t="n">
        <v>-0.1232904675151802</v>
      </c>
      <c r="N402" t="n">
        <v>49.55649738754028</v>
      </c>
      <c r="O402" t="n">
        <v>0.07860459595511426</v>
      </c>
      <c r="P402" t="n">
        <v>92.90230955246695</v>
      </c>
      <c r="Q402" t="n">
        <v>85.72557115505985</v>
      </c>
    </row>
    <row r="403">
      <c r="A403" s="118" t="n">
        <v>45016</v>
      </c>
      <c r="B403" s="119" t="n">
        <v>113.2255220741292</v>
      </c>
      <c r="C403" s="119" t="n">
        <v>114.9016202484823</v>
      </c>
      <c r="D403" s="119" t="n">
        <v>112.9258848506865</v>
      </c>
      <c r="E403" s="119" t="n">
        <v>114.8360748291016</v>
      </c>
      <c r="F403" s="120" t="n">
        <v>5659400</v>
      </c>
      <c r="G403" s="121" t="n">
        <v>0.02114903769700738</v>
      </c>
      <c r="H403" s="122" t="n">
        <v>74.7304389703819</v>
      </c>
      <c r="I403" s="119" t="n">
        <v>114.4623103332519</v>
      </c>
      <c r="J403" s="119" t="n">
        <v>102.6571741485596</v>
      </c>
      <c r="K403" s="121" t="n">
        <v>0.2962787055819585</v>
      </c>
      <c r="L403" s="121" t="n">
        <v>-0.05027257714132882</v>
      </c>
      <c r="M403" s="121" t="n">
        <v>-0.09501602051597657</v>
      </c>
      <c r="N403" t="n">
        <v>55.19364339277949</v>
      </c>
      <c r="O403" t="n">
        <v>0.2448880930354912</v>
      </c>
      <c r="P403" t="n">
        <v>94.21173397526175</v>
      </c>
      <c r="Q403" t="n">
        <v>87.15125186550222</v>
      </c>
    </row>
    <row r="404">
      <c r="A404" s="118" t="n">
        <v>45019</v>
      </c>
      <c r="B404" s="119" t="n">
        <v>114.7049895814587</v>
      </c>
      <c r="C404" s="119" t="n">
        <v>115.032716694337</v>
      </c>
      <c r="D404" s="119" t="n">
        <v>113.1318922957278</v>
      </c>
      <c r="E404" s="119" t="n">
        <v>113.9278030395508</v>
      </c>
      <c r="F404" s="120" t="n">
        <v>4838400</v>
      </c>
      <c r="G404" s="121" t="n">
        <v>-0.007909289749780002</v>
      </c>
      <c r="H404" s="122" t="n">
        <v>74.13937427543689</v>
      </c>
      <c r="I404" s="119" t="n">
        <v>114.3763520812988</v>
      </c>
      <c r="J404" s="119" t="n">
        <v>102.7003485107422</v>
      </c>
      <c r="K404" s="121" t="n">
        <v>0.2968280714123647</v>
      </c>
      <c r="L404" s="121" t="n">
        <v>-0.05778424651202996</v>
      </c>
      <c r="M404" s="121" t="n">
        <v>-0.1021738010286247</v>
      </c>
      <c r="N404" t="n">
        <v>52.7684355842156</v>
      </c>
      <c r="O404" t="n">
        <v>0.2814099273164569</v>
      </c>
      <c r="P404" t="n">
        <v>94.57072615724556</v>
      </c>
      <c r="Q404" t="n">
        <v>86.93943634916707</v>
      </c>
    </row>
    <row r="405">
      <c r="A405" s="118" t="n">
        <v>45020</v>
      </c>
      <c r="B405" s="119" t="n">
        <v>113.6562540706797</v>
      </c>
      <c r="C405" s="119" t="n">
        <v>116.0627176139822</v>
      </c>
      <c r="D405" s="119" t="n">
        <v>113.6375298690291</v>
      </c>
      <c r="E405" s="119" t="n">
        <v>115.8192672729492</v>
      </c>
      <c r="F405" s="120" t="n">
        <v>5895300</v>
      </c>
      <c r="G405" s="121" t="n">
        <v>0.01660230587209521</v>
      </c>
      <c r="H405" s="122" t="n">
        <v>75.37025884432344</v>
      </c>
      <c r="I405" s="119" t="n">
        <v>114.2970375061035</v>
      </c>
      <c r="J405" s="119" t="n">
        <v>102.7823107910156</v>
      </c>
      <c r="K405" s="121" t="n">
        <v>0.3011670225091373</v>
      </c>
      <c r="L405" s="121" t="n">
        <v>-0.04214129237511599</v>
      </c>
      <c r="M405" s="121" t="n">
        <v>-0.08726781585332133</v>
      </c>
      <c r="N405" t="n">
        <v>57.0052755127176</v>
      </c>
      <c r="O405" t="n">
        <v>0.4127163524964746</v>
      </c>
      <c r="P405" t="n">
        <v>94.04604471305272</v>
      </c>
      <c r="Q405" t="n">
        <v>86.64614033643416</v>
      </c>
    </row>
    <row r="406">
      <c r="A406" s="118" t="n">
        <v>45021</v>
      </c>
      <c r="B406" s="119" t="n">
        <v>115.1731721715787</v>
      </c>
      <c r="C406" s="119" t="n">
        <v>115.4821750797494</v>
      </c>
      <c r="D406" s="119" t="n">
        <v>112.8884337871628</v>
      </c>
      <c r="E406" s="119" t="n">
        <v>113.2068023681641</v>
      </c>
      <c r="F406" s="120" t="n">
        <v>4331400</v>
      </c>
      <c r="G406" s="121" t="n">
        <v>-0.0225563929585948</v>
      </c>
      <c r="H406" s="122" t="n">
        <v>73.67017766843989</v>
      </c>
      <c r="I406" s="119" t="n">
        <v>114.1927374267578</v>
      </c>
      <c r="J406" s="119" t="n">
        <v>102.850189743042</v>
      </c>
      <c r="K406" s="121" t="n">
        <v>0.313364724531889</v>
      </c>
      <c r="L406" s="121" t="n">
        <v>-0.06374712978311448</v>
      </c>
      <c r="M406" s="121" t="n">
        <v>-0.1078557616648903</v>
      </c>
      <c r="N406" t="n">
        <v>50.2945746487791</v>
      </c>
      <c r="O406" t="n">
        <v>0.3081777235373809</v>
      </c>
      <c r="P406" t="n">
        <v>93.79980464105527</v>
      </c>
      <c r="Q406" t="n">
        <v>85.79075555217804</v>
      </c>
    </row>
    <row r="407">
      <c r="A407" s="118" t="n">
        <v>45022</v>
      </c>
      <c r="B407" s="119" t="n">
        <v>111.9052484902797</v>
      </c>
      <c r="C407" s="119" t="n">
        <v>112.8228843655152</v>
      </c>
      <c r="D407" s="119" t="n">
        <v>110.3508754756146</v>
      </c>
      <c r="E407" s="119" t="n">
        <v>112.570068359375</v>
      </c>
      <c r="F407" s="120" t="n">
        <v>4256900</v>
      </c>
      <c r="G407" s="121" t="n">
        <v>-0.005624520748482187</v>
      </c>
      <c r="H407" s="122" t="n">
        <v>73.25581822559938</v>
      </c>
      <c r="I407" s="119" t="n">
        <v>114.0758895874023</v>
      </c>
      <c r="J407" s="119" t="n">
        <v>102.9086661911011</v>
      </c>
      <c r="K407" s="121" t="n">
        <v>0.3077353772542758</v>
      </c>
      <c r="L407" s="121" t="n">
        <v>-0.06901310347747536</v>
      </c>
      <c r="M407" s="121" t="n">
        <v>-0.112873645444045</v>
      </c>
      <c r="N407" t="n">
        <v>48.78709972219355</v>
      </c>
      <c r="O407" t="n">
        <v>0.1866802021387663</v>
      </c>
      <c r="P407" t="n">
        <v>94.16570389583771</v>
      </c>
      <c r="Q407" t="n">
        <v>86.36916575370506</v>
      </c>
    </row>
    <row r="408">
      <c r="A408" s="118" t="n">
        <v>45026</v>
      </c>
      <c r="B408" s="119" t="n">
        <v>111.7086153992364</v>
      </c>
      <c r="C408" s="119" t="n">
        <v>114.1525344848633</v>
      </c>
      <c r="D408" s="119" t="n">
        <v>111.5494275379071</v>
      </c>
      <c r="E408" s="119" t="n">
        <v>114.1525344848633</v>
      </c>
      <c r="F408" s="120" t="n">
        <v>3731200</v>
      </c>
      <c r="G408" s="121" t="n">
        <v>0.01405761006057427</v>
      </c>
      <c r="H408" s="122" t="n">
        <v>74.28561995288317</v>
      </c>
      <c r="I408" s="119" t="n">
        <v>113.9774324035644</v>
      </c>
      <c r="J408" s="119" t="n">
        <v>102.9925048065186</v>
      </c>
      <c r="K408" s="121" t="n">
        <v>0.3105657993775987</v>
      </c>
      <c r="L408" s="121" t="n">
        <v>-0.05592565271465755</v>
      </c>
      <c r="M408" s="121" t="n">
        <v>-0.1004027690772386</v>
      </c>
      <c r="N408" t="n">
        <v>52.5903650802973</v>
      </c>
      <c r="O408" t="n">
        <v>0.2021209625154762</v>
      </c>
      <c r="P408" t="n">
        <v>94.26234438050351</v>
      </c>
      <c r="Q408" t="n">
        <v>86.3202774558664</v>
      </c>
    </row>
    <row r="409">
      <c r="A409" s="118" t="n">
        <v>45027</v>
      </c>
      <c r="B409" s="119" t="n">
        <v>114.2742691042999</v>
      </c>
      <c r="C409" s="119" t="n">
        <v>116.1844593029656</v>
      </c>
      <c r="D409" s="119" t="n">
        <v>114.2742691042999</v>
      </c>
      <c r="E409" s="119" t="n">
        <v>115.4540939331055</v>
      </c>
      <c r="F409" s="120" t="n">
        <v>4471000</v>
      </c>
      <c r="G409" s="121" t="n">
        <v>0.01140193210878526</v>
      </c>
      <c r="H409" s="122" t="n">
        <v>75.13261954824496</v>
      </c>
      <c r="I409" s="119" t="n">
        <v>113.9050064086914</v>
      </c>
      <c r="J409" s="119" t="n">
        <v>103.0685571670532</v>
      </c>
      <c r="K409" s="121" t="n">
        <v>0.3109732601721262</v>
      </c>
      <c r="L409" s="121" t="n">
        <v>-0.04516138110126433</v>
      </c>
      <c r="M409" s="121" t="n">
        <v>-0.09014562252500602</v>
      </c>
      <c r="N409" t="n">
        <v>55.51647553613665</v>
      </c>
      <c r="O409" t="n">
        <v>0.2841950723489249</v>
      </c>
      <c r="P409" t="n">
        <v>94.28766787516041</v>
      </c>
      <c r="Q409" t="n">
        <v>85.7662945161092</v>
      </c>
    </row>
    <row r="410">
      <c r="A410" s="118" t="n">
        <v>45028</v>
      </c>
      <c r="B410" s="119" t="n">
        <v>116.8211629786649</v>
      </c>
      <c r="C410" s="119" t="n">
        <v>116.9147982611504</v>
      </c>
      <c r="D410" s="119" t="n">
        <v>115.3791567678629</v>
      </c>
      <c r="E410" s="119" t="n">
        <v>115.7911605834961</v>
      </c>
      <c r="F410" s="120" t="n">
        <v>4524900</v>
      </c>
      <c r="G410" s="121" t="n">
        <v>0.002919486342215949</v>
      </c>
      <c r="H410" s="122" t="n">
        <v>75.35196820487097</v>
      </c>
      <c r="I410" s="119" t="n">
        <v>113.8609838867188</v>
      </c>
      <c r="J410" s="119" t="n">
        <v>103.1235080718994</v>
      </c>
      <c r="K410" s="121" t="n">
        <v>0.3055883181815283</v>
      </c>
      <c r="L410" s="121" t="n">
        <v>-0.04237374279436912</v>
      </c>
      <c r="M410" s="121" t="n">
        <v>-0.08748931509656233</v>
      </c>
      <c r="N410" t="n">
        <v>56.26922037143918</v>
      </c>
      <c r="O410" t="n">
        <v>0.341531799076372</v>
      </c>
      <c r="P410" t="n">
        <v>93.90336683214851</v>
      </c>
      <c r="Q410" t="n">
        <v>85.00866099680614</v>
      </c>
    </row>
    <row r="411">
      <c r="A411" s="118" t="n">
        <v>45029</v>
      </c>
      <c r="B411" s="119" t="n">
        <v>116.7088048432026</v>
      </c>
      <c r="C411" s="119" t="n">
        <v>118.6096290771971</v>
      </c>
      <c r="D411" s="119" t="n">
        <v>116.5402584649023</v>
      </c>
      <c r="E411" s="119" t="n">
        <v>118.3849029541016</v>
      </c>
      <c r="F411" s="120" t="n">
        <v>5355300</v>
      </c>
      <c r="G411" s="121" t="n">
        <v>0.02240017595069488</v>
      </c>
      <c r="H411" s="122" t="n">
        <v>77.03986555089124</v>
      </c>
      <c r="I411" s="119" t="n">
        <v>113.8509092712402</v>
      </c>
      <c r="J411" s="119" t="n">
        <v>103.2026122665405</v>
      </c>
      <c r="K411" s="121" t="n">
        <v>0.3117459965608168</v>
      </c>
      <c r="L411" s="121" t="n">
        <v>-0.02092274613795775</v>
      </c>
      <c r="M411" s="121" t="n">
        <v>-0.06704891519783629</v>
      </c>
      <c r="N411" t="n">
        <v>61.64744167663404</v>
      </c>
      <c r="O411" t="n">
        <v>0.5235952797594969</v>
      </c>
      <c r="P411" t="n">
        <v>95.15065686701311</v>
      </c>
      <c r="Q411" t="n">
        <v>86.67330331642501</v>
      </c>
    </row>
    <row r="412">
      <c r="A412" s="118" t="n">
        <v>45030</v>
      </c>
      <c r="B412" s="119" t="n">
        <v>118.9186515106928</v>
      </c>
      <c r="C412" s="119" t="n">
        <v>119.377469504414</v>
      </c>
      <c r="D412" s="119" t="n">
        <v>117.5047348349543</v>
      </c>
      <c r="E412" s="119" t="n">
        <v>117.9354629516602</v>
      </c>
      <c r="F412" s="120" t="n">
        <v>4828700</v>
      </c>
      <c r="G412" s="121" t="n">
        <v>-0.003796430044932797</v>
      </c>
      <c r="H412" s="122" t="n">
        <v>76.74738909065624</v>
      </c>
      <c r="I412" s="119" t="n">
        <v>113.7913230895996</v>
      </c>
      <c r="J412" s="119" t="n">
        <v>103.3152969741821</v>
      </c>
      <c r="K412" s="121" t="n">
        <v>0.3057345808405122</v>
      </c>
      <c r="L412" s="121" t="n">
        <v>-0.02463974444083006</v>
      </c>
      <c r="M412" s="121" t="n">
        <v>-0.07059079872663188</v>
      </c>
      <c r="N412" t="n">
        <v>60.26437948601868</v>
      </c>
      <c r="O412" t="n">
        <v>0.5788888357862726</v>
      </c>
      <c r="P412" t="n">
        <v>94.91822362379855</v>
      </c>
      <c r="Q412" t="n">
        <v>86.51035921077899</v>
      </c>
    </row>
    <row r="413">
      <c r="A413" s="118" t="n">
        <v>45033</v>
      </c>
      <c r="B413" s="119" t="n">
        <v>118.0103493375306</v>
      </c>
      <c r="C413" s="119" t="n">
        <v>118.4317188362592</v>
      </c>
      <c r="D413" s="119" t="n">
        <v>117.1676174839878</v>
      </c>
      <c r="E413" s="119" t="n">
        <v>118.1601715087891</v>
      </c>
      <c r="F413" s="120" t="n">
        <v>3917900</v>
      </c>
      <c r="G413" s="121" t="n">
        <v>0.001905351889117668</v>
      </c>
      <c r="H413" s="122" t="n">
        <v>76.89361987344498</v>
      </c>
      <c r="I413" s="119" t="n">
        <v>113.7444476318359</v>
      </c>
      <c r="J413" s="119" t="n">
        <v>103.4269240951538</v>
      </c>
      <c r="K413" s="121" t="n">
        <v>0.3052840477074432</v>
      </c>
      <c r="L413" s="121" t="n">
        <v>-0.02278133993533005</v>
      </c>
      <c r="M413" s="121" t="n">
        <v>-0.06881994714922235</v>
      </c>
      <c r="N413" t="n">
        <v>60.73864819235897</v>
      </c>
      <c r="O413" t="n">
        <v>0.5935300607887253</v>
      </c>
      <c r="P413" t="n">
        <v>95.25880670073852</v>
      </c>
      <c r="Q413" t="n">
        <v>86.58368321396222</v>
      </c>
    </row>
    <row r="414">
      <c r="A414" s="118" t="n">
        <v>45034</v>
      </c>
      <c r="B414" s="119" t="n">
        <v>119.1340078936046</v>
      </c>
      <c r="C414" s="119" t="n">
        <v>119.1808219695719</v>
      </c>
      <c r="D414" s="119" t="n">
        <v>117.0646299925749</v>
      </c>
      <c r="E414" s="119" t="n">
        <v>118.1789093017578</v>
      </c>
      <c r="F414" s="120" t="n">
        <v>3857700</v>
      </c>
      <c r="G414" s="121" t="n">
        <v>0.0001585796019885066</v>
      </c>
      <c r="H414" s="122" t="n">
        <v>76.90581363307996</v>
      </c>
      <c r="I414" s="119" t="n">
        <v>113.7250241088867</v>
      </c>
      <c r="J414" s="119" t="n">
        <v>103.5435178756714</v>
      </c>
      <c r="K414" s="121" t="n">
        <v>0.3049770063844576</v>
      </c>
      <c r="L414" s="121" t="n">
        <v>-0.02262637298916126</v>
      </c>
      <c r="M414" s="121" t="n">
        <v>-0.06867228098706168</v>
      </c>
      <c r="N414" t="n">
        <v>60.78068483130263</v>
      </c>
      <c r="O414" t="n">
        <v>0.5674263270127786</v>
      </c>
      <c r="P414" t="n">
        <v>95.3209410886687</v>
      </c>
      <c r="Q414" t="n">
        <v>86.58912087610524</v>
      </c>
    </row>
    <row r="415">
      <c r="A415" s="118" t="n">
        <v>45035</v>
      </c>
      <c r="B415" s="119" t="n">
        <v>117.9822740877783</v>
      </c>
      <c r="C415" s="119" t="n">
        <v>118.0571851826911</v>
      </c>
      <c r="D415" s="119" t="n">
        <v>116.9709957382005</v>
      </c>
      <c r="E415" s="119" t="n">
        <v>117.6732711791992</v>
      </c>
      <c r="F415" s="120" t="n">
        <v>3547400</v>
      </c>
      <c r="G415" s="121" t="n">
        <v>-0.004278581732951148</v>
      </c>
      <c r="H415" s="122" t="n">
        <v>76.57676582371171</v>
      </c>
      <c r="I415" s="119" t="n">
        <v>113.7305955505371</v>
      </c>
      <c r="J415" s="119" t="n">
        <v>103.6623171615601</v>
      </c>
      <c r="K415" s="121" t="n">
        <v>0.2774433874006562</v>
      </c>
      <c r="L415" s="121" t="n">
        <v>-0.02680814593595815</v>
      </c>
      <c r="M415" s="121" t="n">
        <v>-0.07265704275302154</v>
      </c>
      <c r="N415" t="n">
        <v>58.94656668357237</v>
      </c>
      <c r="O415" t="n">
        <v>0.4823951180254622</v>
      </c>
      <c r="P415" t="n">
        <v>95.30483678016253</v>
      </c>
      <c r="Q415" t="n">
        <v>86.54839751505588</v>
      </c>
    </row>
    <row r="416">
      <c r="A416" s="118" t="n">
        <v>45036</v>
      </c>
      <c r="B416" s="119" t="n">
        <v>116.8586332938546</v>
      </c>
      <c r="C416" s="119" t="n">
        <v>117.3736309845886</v>
      </c>
      <c r="D416" s="119" t="n">
        <v>115.8379892971634</v>
      </c>
      <c r="E416" s="119" t="n">
        <v>116.5308990478516</v>
      </c>
      <c r="F416" s="120" t="n">
        <v>3891600</v>
      </c>
      <c r="G416" s="121" t="n">
        <v>-0.009708000125261962</v>
      </c>
      <c r="H416" s="122" t="n">
        <v>75.83335857150296</v>
      </c>
      <c r="I416" s="119" t="n">
        <v>113.7207888793945</v>
      </c>
      <c r="J416" s="119" t="n">
        <v>103.7608321762085</v>
      </c>
      <c r="K416" s="121" t="n">
        <v>0.213684317397814</v>
      </c>
      <c r="L416" s="121" t="n">
        <v>-0.03625589257711581</v>
      </c>
      <c r="M416" s="121" t="n">
        <v>-0.07368374194958527</v>
      </c>
      <c r="N416" t="n">
        <v>54.91472902569603</v>
      </c>
      <c r="O416" t="n">
        <v>0.3231524327064197</v>
      </c>
      <c r="P416" t="n">
        <v>94.78475029541626</v>
      </c>
      <c r="Q416" t="n">
        <v>85.88848992998159</v>
      </c>
    </row>
    <row r="417">
      <c r="A417" s="118" t="n">
        <v>45037</v>
      </c>
      <c r="B417" s="119" t="n">
        <v>116.4840753516787</v>
      </c>
      <c r="C417" s="119" t="n">
        <v>117.6826241654153</v>
      </c>
      <c r="D417" s="119" t="n">
        <v>115.7537101148026</v>
      </c>
      <c r="E417" s="119" t="n">
        <v>117.5421676635742</v>
      </c>
      <c r="F417" s="120" t="n">
        <v>3651400</v>
      </c>
      <c r="G417" s="121" t="n">
        <v>0.008678115624143556</v>
      </c>
      <c r="H417" s="122" t="n">
        <v>76.49144922535361</v>
      </c>
      <c r="I417" s="119" t="n">
        <v>113.7763987731934</v>
      </c>
      <c r="J417" s="119" t="n">
        <v>103.8648210906982</v>
      </c>
      <c r="K417" s="121" t="n">
        <v>0.2117724505403733</v>
      </c>
      <c r="L417" s="121" t="n">
        <v>-0.02789240978081287</v>
      </c>
      <c r="M417" s="121" t="n">
        <v>-0.06281712792032335</v>
      </c>
      <c r="N417" t="n">
        <v>57.67460254789295</v>
      </c>
      <c r="O417" t="n">
        <v>0.2624469878577637</v>
      </c>
      <c r="P417" t="n">
        <v>94.85838671559165</v>
      </c>
      <c r="Q417" t="n">
        <v>85.97811003244436</v>
      </c>
    </row>
    <row r="418">
      <c r="A418" s="118" t="n">
        <v>45040</v>
      </c>
      <c r="B418" s="119" t="n">
        <v>117.5234444835803</v>
      </c>
      <c r="C418" s="119" t="n">
        <v>119.0403547136655</v>
      </c>
      <c r="D418" s="119" t="n">
        <v>117.1863517338026</v>
      </c>
      <c r="E418" s="119" t="n">
        <v>119.0028991699219</v>
      </c>
      <c r="F418" s="120" t="n">
        <v>3790900</v>
      </c>
      <c r="G418" s="121" t="n">
        <v>0.01242729767013073</v>
      </c>
      <c r="H418" s="122" t="n">
        <v>77.44203123409676</v>
      </c>
      <c r="I418" s="119" t="n">
        <v>113.8748554992676</v>
      </c>
      <c r="J418" s="119" t="n">
        <v>103.9580142211914</v>
      </c>
      <c r="K418" s="121" t="n">
        <v>0.214347874169117</v>
      </c>
      <c r="L418" s="121" t="n">
        <v>-0.01581173938976566</v>
      </c>
      <c r="M418" s="121" t="n">
        <v>-0.01581173938976466</v>
      </c>
      <c r="N418" t="n">
        <v>61.3545484363932</v>
      </c>
      <c r="O418" t="n">
        <v>0.2947705579618451</v>
      </c>
      <c r="P418" t="n">
        <v>94.95733199679512</v>
      </c>
      <c r="Q418" t="n">
        <v>85.79888671466833</v>
      </c>
    </row>
    <row r="419">
      <c r="A419" s="118" t="n">
        <v>45041</v>
      </c>
      <c r="B419" s="119" t="n">
        <v>118.4785334177749</v>
      </c>
      <c r="C419" s="119" t="n">
        <v>118.7032595317174</v>
      </c>
      <c r="D419" s="119" t="n">
        <v>116.1563469045696</v>
      </c>
      <c r="E419" s="119" t="n">
        <v>116.7275314331055</v>
      </c>
      <c r="F419" s="120" t="n">
        <v>4383300</v>
      </c>
      <c r="G419" s="121" t="n">
        <v>-0.01912027146134865</v>
      </c>
      <c r="H419" s="122" t="n">
        <v>75.9613185743826</v>
      </c>
      <c r="I419" s="119" t="n">
        <v>113.9268711853027</v>
      </c>
      <c r="J419" s="119" t="n">
        <v>104.0407586669922</v>
      </c>
      <c r="K419" s="121" t="n">
        <v>0.2068237787275271</v>
      </c>
      <c r="L419" s="121" t="n">
        <v>-0.03462968610170569</v>
      </c>
      <c r="M419" s="121" t="n">
        <v>-0.03462968610170492</v>
      </c>
      <c r="N419" t="n">
        <v>53.54501145153468</v>
      </c>
      <c r="O419" t="n">
        <v>0.1446074901925425</v>
      </c>
      <c r="P419" t="n">
        <v>93.45000237796458</v>
      </c>
      <c r="Q419" t="n">
        <v>84.18037164394283</v>
      </c>
    </row>
    <row r="420">
      <c r="A420" s="118" t="n">
        <v>45042</v>
      </c>
      <c r="B420" s="119" t="n">
        <v>116.3061752511425</v>
      </c>
      <c r="C420" s="119" t="n">
        <v>117.0271820341477</v>
      </c>
      <c r="D420" s="119" t="n">
        <v>115.4447190957865</v>
      </c>
      <c r="E420" s="119" t="n">
        <v>115.959716796875</v>
      </c>
      <c r="F420" s="120" t="n">
        <v>4003200</v>
      </c>
      <c r="G420" s="121" t="n">
        <v>-0.006577836666326609</v>
      </c>
      <c r="H420" s="122" t="n">
        <v>75.46165742784152</v>
      </c>
      <c r="I420" s="119" t="n">
        <v>113.9090020751953</v>
      </c>
      <c r="J420" s="119" t="n">
        <v>104.1327513885498</v>
      </c>
      <c r="K420" s="121" t="n">
        <v>0.2094285620254306</v>
      </c>
      <c r="L420" s="121" t="n">
        <v>-0.04097973434904911</v>
      </c>
      <c r="M420" s="121" t="n">
        <v>-0.04097973434904834</v>
      </c>
      <c r="N420" t="n">
        <v>51.17773458760766</v>
      </c>
      <c r="O420" t="n">
        <v>-0.01618394345770113</v>
      </c>
      <c r="P420" t="n">
        <v>93.05418466907868</v>
      </c>
      <c r="Q420" t="n">
        <v>84.69092927872867</v>
      </c>
    </row>
    <row r="421">
      <c r="A421" s="118" t="n">
        <v>45043</v>
      </c>
      <c r="B421" s="119" t="n">
        <v>116.5215449970069</v>
      </c>
      <c r="C421" s="119" t="n">
        <v>117.9916413205093</v>
      </c>
      <c r="D421" s="119" t="n">
        <v>115.3042646922836</v>
      </c>
      <c r="E421" s="119" t="n">
        <v>117.7013626098633</v>
      </c>
      <c r="F421" s="120" t="n">
        <v>4252100</v>
      </c>
      <c r="G421" s="121" t="n">
        <v>0.01501940381623301</v>
      </c>
      <c r="H421" s="122" t="n">
        <v>76.59504653339249</v>
      </c>
      <c r="I421" s="119" t="n">
        <v>113.9063581848145</v>
      </c>
      <c r="J421" s="119" t="n">
        <v>104.2397175598145</v>
      </c>
      <c r="K421" s="121" t="n">
        <v>0.2018749196440407</v>
      </c>
      <c r="L421" s="121" t="n">
        <v>-0.02657582171128658</v>
      </c>
      <c r="M421" s="121" t="n">
        <v>-0.02657582171128559</v>
      </c>
      <c r="N421" t="n">
        <v>55.93652837254971</v>
      </c>
      <c r="O421" t="n">
        <v>-0.01502328849649937</v>
      </c>
      <c r="P421" t="n">
        <v>94.90670695792456</v>
      </c>
      <c r="Q421" t="n">
        <v>86.99376230914876</v>
      </c>
    </row>
    <row r="422">
      <c r="A422" s="118" t="n">
        <v>45044</v>
      </c>
      <c r="B422" s="119" t="n">
        <v>117.186344665197</v>
      </c>
      <c r="C422" s="119" t="n">
        <v>118.9841677929582</v>
      </c>
      <c r="D422" s="119" t="n">
        <v>117.0084326291252</v>
      </c>
      <c r="E422" s="119" t="n">
        <v>118.6564407348633</v>
      </c>
      <c r="F422" s="120" t="n">
        <v>4421400</v>
      </c>
      <c r="G422" s="121" t="n">
        <v>0.008114418591445904</v>
      </c>
      <c r="H422" s="122" t="n">
        <v>77.21657080299572</v>
      </c>
      <c r="I422" s="119" t="n">
        <v>113.8989129638672</v>
      </c>
      <c r="J422" s="119" t="n">
        <v>104.345193901062</v>
      </c>
      <c r="K422" s="121" t="n">
        <v>0.2018446803419682</v>
      </c>
      <c r="L422" s="121" t="n">
        <v>-0.01533147874415908</v>
      </c>
      <c r="M422" s="121" t="n">
        <v>-0.01867705046161661</v>
      </c>
      <c r="N422" t="n">
        <v>58.33489295306249</v>
      </c>
      <c r="O422" t="n">
        <v>0.03742228345354981</v>
      </c>
      <c r="P422" t="n">
        <v>95.7167514807402</v>
      </c>
      <c r="Q422" t="n">
        <v>87.5938809413741</v>
      </c>
    </row>
    <row r="423">
      <c r="A423" s="118" t="n">
        <v>45047</v>
      </c>
      <c r="B423" s="119" t="n">
        <v>118.8437231334183</v>
      </c>
      <c r="C423" s="119" t="n">
        <v>120.4917242593585</v>
      </c>
      <c r="D423" s="119" t="n">
        <v>118.7875433875542</v>
      </c>
      <c r="E423" s="119" t="n">
        <v>119.7800903320312</v>
      </c>
      <c r="F423" s="120" t="n">
        <v>4112600</v>
      </c>
      <c r="G423" s="121" t="n">
        <v>0.009469773323799169</v>
      </c>
      <c r="H423" s="122" t="n">
        <v>77.94779422534118</v>
      </c>
      <c r="I423" s="119" t="n">
        <v>113.9718307495117</v>
      </c>
      <c r="J423" s="119" t="n">
        <v>104.4650598144531</v>
      </c>
      <c r="K423" s="121" t="n">
        <v>0.1917390905806089</v>
      </c>
      <c r="L423" s="121" t="n">
        <v>0</v>
      </c>
      <c r="M423" s="121" t="n">
        <v>-0.00938414457204606</v>
      </c>
      <c r="N423" t="n">
        <v>61.02285539913122</v>
      </c>
      <c r="O423" t="n">
        <v>0.1299355088607839</v>
      </c>
      <c r="P423" t="n">
        <v>95.62012562970322</v>
      </c>
      <c r="Q423" t="n">
        <v>87.49341084534954</v>
      </c>
    </row>
    <row r="424">
      <c r="A424" s="118" t="n">
        <v>45048</v>
      </c>
      <c r="B424" s="119" t="n">
        <v>119.0590855279583</v>
      </c>
      <c r="C424" s="119" t="n">
        <v>119.4617236915178</v>
      </c>
      <c r="D424" s="119" t="n">
        <v>117.205075412427</v>
      </c>
      <c r="E424" s="119" t="n">
        <v>119.1620864868164</v>
      </c>
      <c r="F424" s="120" t="n">
        <v>3831600</v>
      </c>
      <c r="G424" s="121" t="n">
        <v>-0.005159487219468017</v>
      </c>
      <c r="H424" s="122" t="n">
        <v>77.54562357724981</v>
      </c>
      <c r="I424" s="119" t="n">
        <v>114.0237980651855</v>
      </c>
      <c r="J424" s="119" t="n">
        <v>104.5749672317505</v>
      </c>
      <c r="K424" s="121" t="n">
        <v>0.1900612530777506</v>
      </c>
      <c r="L424" s="121" t="n">
        <v>-0.005159487219468017</v>
      </c>
      <c r="M424" s="121" t="n">
        <v>-0.01449521441752899</v>
      </c>
      <c r="N424" t="n">
        <v>58.77689400123431</v>
      </c>
      <c r="O424" t="n">
        <v>0.1312682638880356</v>
      </c>
      <c r="P424" t="n">
        <v>94.54540266258864</v>
      </c>
      <c r="Q424" t="n">
        <v>86.73032277675395</v>
      </c>
    </row>
    <row r="425">
      <c r="A425" s="118" t="n">
        <v>45049</v>
      </c>
      <c r="B425" s="119" t="n">
        <v>117.5047195120504</v>
      </c>
      <c r="C425" s="119" t="n">
        <v>120.2108273289392</v>
      </c>
      <c r="D425" s="119" t="n">
        <v>115.800531470829</v>
      </c>
      <c r="E425" s="119" t="n">
        <v>118.675178527832</v>
      </c>
      <c r="F425" s="120" t="n">
        <v>4560100</v>
      </c>
      <c r="G425" s="121" t="n">
        <v>-0.004086097964038582</v>
      </c>
      <c r="H425" s="122" t="n">
        <v>77.22876456263072</v>
      </c>
      <c r="I425" s="119" t="n">
        <v>114.1358685302734</v>
      </c>
      <c r="J425" s="119" t="n">
        <v>104.6859671020508</v>
      </c>
      <c r="K425" s="121" t="n">
        <v>0.1835113635046632</v>
      </c>
      <c r="L425" s="121" t="n">
        <v>-0.009224503013283591</v>
      </c>
      <c r="M425" s="121" t="n">
        <v>-0.01852208351544793</v>
      </c>
      <c r="N425" t="n">
        <v>56.99696820579669</v>
      </c>
      <c r="O425" t="n">
        <v>0.08344804758866364</v>
      </c>
      <c r="P425" t="n">
        <v>93.89644512572104</v>
      </c>
      <c r="Q425" t="n">
        <v>86.16277945593822</v>
      </c>
    </row>
    <row r="426">
      <c r="A426" s="118" t="n">
        <v>45050</v>
      </c>
      <c r="B426" s="119" t="n">
        <v>116.9897352356484</v>
      </c>
      <c r="C426" s="119" t="n">
        <v>117.223827065626</v>
      </c>
      <c r="D426" s="119" t="n">
        <v>115.0046339456289</v>
      </c>
      <c r="E426" s="119" t="n">
        <v>115.8005447387695</v>
      </c>
      <c r="F426" s="120" t="n">
        <v>6177100</v>
      </c>
      <c r="G426" s="121" t="n">
        <v>-0.02422270456823739</v>
      </c>
      <c r="H426" s="122" t="n">
        <v>75.35807501446014</v>
      </c>
      <c r="I426" s="119" t="n">
        <v>114.2128552246094</v>
      </c>
      <c r="J426" s="119" t="n">
        <v>104.7582290649414</v>
      </c>
      <c r="K426" s="121" t="n">
        <v>0.1864540131189271</v>
      </c>
      <c r="L426" s="121" t="n">
        <v>-0.0332237651702415</v>
      </c>
      <c r="M426" s="121" t="n">
        <v>-0.04229613312670233</v>
      </c>
      <c r="N426" t="n">
        <v>47.79469194286608</v>
      </c>
      <c r="O426" t="n">
        <v>-0.1452427634223203</v>
      </c>
      <c r="P426" t="n">
        <v>93.2314052307905</v>
      </c>
      <c r="Q426" t="n">
        <v>85.85863344964353</v>
      </c>
    </row>
    <row r="427">
      <c r="A427" s="118" t="n">
        <v>45051</v>
      </c>
      <c r="B427" s="119" t="n">
        <v>117.9167379116004</v>
      </c>
      <c r="C427" s="119" t="n">
        <v>118.9467405437116</v>
      </c>
      <c r="D427" s="119" t="n">
        <v>117.2519179659294</v>
      </c>
      <c r="E427" s="119" t="n">
        <v>118.5347366333008</v>
      </c>
      <c r="F427" s="120" t="n">
        <v>4887800</v>
      </c>
      <c r="G427" s="121" t="n">
        <v>0.0236112178979746</v>
      </c>
      <c r="H427" s="122" t="n">
        <v>77.13737094399849</v>
      </c>
      <c r="I427" s="119" t="n">
        <v>114.3434051513672</v>
      </c>
      <c r="J427" s="119" t="n">
        <v>104.8352514266968</v>
      </c>
      <c r="K427" s="121" t="n">
        <v>0.2006065646327458</v>
      </c>
      <c r="L427" s="121" t="n">
        <v>-0.01039700083109241</v>
      </c>
      <c r="M427" s="121" t="n">
        <v>-0.01968357844422397</v>
      </c>
      <c r="N427" t="n">
        <v>55.20306672403636</v>
      </c>
      <c r="O427" t="n">
        <v>-0.1170382194210815</v>
      </c>
      <c r="P427" t="n">
        <v>94.95733199679512</v>
      </c>
      <c r="Q427" t="n">
        <v>87.6835179309864</v>
      </c>
    </row>
    <row r="428">
      <c r="A428" s="118" t="n">
        <v>45054</v>
      </c>
      <c r="B428" s="119" t="n">
        <v>119.1620908898398</v>
      </c>
      <c r="C428" s="119" t="n">
        <v>119.5647290682767</v>
      </c>
      <c r="D428" s="119" t="n">
        <v>117.9635420267478</v>
      </c>
      <c r="E428" s="119" t="n">
        <v>118.806266784668</v>
      </c>
      <c r="F428" s="120" t="n">
        <v>3892600</v>
      </c>
      <c r="G428" s="121" t="n">
        <v>0.002290722188949434</v>
      </c>
      <c r="H428" s="122" t="n">
        <v>77.31407123121713</v>
      </c>
      <c r="I428" s="119" t="n">
        <v>114.5152403259277</v>
      </c>
      <c r="J428" s="119" t="n">
        <v>104.9112646102905</v>
      </c>
      <c r="K428" s="121" t="n">
        <v>0.1960363288046075</v>
      </c>
      <c r="L428" s="121" t="n">
        <v>-0.0081300952826453</v>
      </c>
      <c r="M428" s="121" t="n">
        <v>-0.01743794586517455</v>
      </c>
      <c r="N428" t="n">
        <v>55.87277953692863</v>
      </c>
      <c r="O428" t="n">
        <v>-0.08618973803600505</v>
      </c>
      <c r="P428" t="n">
        <v>94.9826481746376</v>
      </c>
      <c r="Q428" t="n">
        <v>87.9007457787403</v>
      </c>
    </row>
    <row r="429">
      <c r="A429" s="118" t="n">
        <v>45055</v>
      </c>
      <c r="B429" s="119" t="n">
        <v>117.2987147042832</v>
      </c>
      <c r="C429" s="119" t="n">
        <v>117.6639044806487</v>
      </c>
      <c r="D429" s="119" t="n">
        <v>116.2687122244498</v>
      </c>
      <c r="E429" s="119" t="n">
        <v>117.139533996582</v>
      </c>
      <c r="F429" s="120" t="n">
        <v>4082100</v>
      </c>
      <c r="G429" s="121" t="n">
        <v>-0.01402899723384821</v>
      </c>
      <c r="H429" s="122" t="n">
        <v>76.22943233977684</v>
      </c>
      <c r="I429" s="119" t="n">
        <v>114.6445904541016</v>
      </c>
      <c r="J429" s="119" t="n">
        <v>104.9905463409424</v>
      </c>
      <c r="K429" s="121" t="n">
        <v>0.2007123253197724</v>
      </c>
      <c r="L429" s="121" t="n">
        <v>-0.02204503543226244</v>
      </c>
      <c r="M429" s="121" t="n">
        <v>-0.03122230620471622</v>
      </c>
      <c r="N429" t="n">
        <v>50.84768633566038</v>
      </c>
      <c r="O429" t="n">
        <v>-0.1788001851021082</v>
      </c>
      <c r="P429" t="n">
        <v>94.56612388098458</v>
      </c>
      <c r="Q429" t="n">
        <v>87.34406089506111</v>
      </c>
    </row>
    <row r="430">
      <c r="A430" s="118" t="n">
        <v>45056</v>
      </c>
      <c r="B430" s="119" t="n">
        <v>118.2538184478451</v>
      </c>
      <c r="C430" s="119" t="n">
        <v>118.4129991625588</v>
      </c>
      <c r="D430" s="119" t="n">
        <v>114.3959828847208</v>
      </c>
      <c r="E430" s="119" t="n">
        <v>115.6507186889648</v>
      </c>
      <c r="F430" s="120" t="n">
        <v>5052600</v>
      </c>
      <c r="G430" s="121" t="n">
        <v>-0.0127097595220127</v>
      </c>
      <c r="H430" s="122" t="n">
        <v>75.26057458623873</v>
      </c>
      <c r="I430" s="119" t="n">
        <v>114.7393087768555</v>
      </c>
      <c r="J430" s="119" t="n">
        <v>105.0616415786743</v>
      </c>
      <c r="K430" s="121" t="n">
        <v>0.2061186694786331</v>
      </c>
      <c r="L430" s="121" t="n">
        <v>-0.0344746078552769</v>
      </c>
      <c r="M430" s="121" t="n">
        <v>-0.04353523772314438</v>
      </c>
      <c r="N430" t="n">
        <v>46.79877849607286</v>
      </c>
      <c r="O430" t="n">
        <v>-0.3321757043125356</v>
      </c>
      <c r="P430" t="n">
        <v>95.00797166929451</v>
      </c>
      <c r="Q430" t="n">
        <v>88.29452033107252</v>
      </c>
    </row>
    <row r="431">
      <c r="A431" s="118" t="n">
        <v>45057</v>
      </c>
      <c r="B431" s="119" t="n">
        <v>115.5945223995876</v>
      </c>
      <c r="C431" s="119" t="n">
        <v>115.9784363621249</v>
      </c>
      <c r="D431" s="119" t="n">
        <v>114.1431575960328</v>
      </c>
      <c r="E431" s="119" t="n">
        <v>114.4427947998047</v>
      </c>
      <c r="F431" s="120" t="n">
        <v>5923100</v>
      </c>
      <c r="G431" s="121" t="n">
        <v>-0.01044458610247623</v>
      </c>
      <c r="H431" s="122" t="n">
        <v>74.47450903485094</v>
      </c>
      <c r="I431" s="119" t="n">
        <v>114.8137902832031</v>
      </c>
      <c r="J431" s="119" t="n">
        <v>105.145632019043</v>
      </c>
      <c r="K431" s="121" t="n">
        <v>0.1912542872930734</v>
      </c>
      <c r="L431" s="121" t="n">
        <v>-0.04455912094765935</v>
      </c>
      <c r="M431" s="121" t="n">
        <v>-0.05352511628672951</v>
      </c>
      <c r="N431" t="n">
        <v>43.75457557155219</v>
      </c>
      <c r="O431" t="n">
        <v>-0.4969144656352135</v>
      </c>
      <c r="P431" t="n">
        <v>94.84227509027109</v>
      </c>
      <c r="Q431" t="n">
        <v>88.58237023808766</v>
      </c>
    </row>
    <row r="432">
      <c r="A432" s="118" t="n">
        <v>45058</v>
      </c>
      <c r="B432" s="119" t="n">
        <v>113.2910647307263</v>
      </c>
      <c r="C432" s="119" t="n">
        <v>113.4877009840732</v>
      </c>
      <c r="D432" s="119" t="n">
        <v>111.4557858889069</v>
      </c>
      <c r="E432" s="119" t="n">
        <v>112.5606994628906</v>
      </c>
      <c r="F432" s="120" t="n">
        <v>6574200</v>
      </c>
      <c r="G432" s="121" t="n">
        <v>-0.01644573029002327</v>
      </c>
      <c r="H432" s="122" t="n">
        <v>73.24972134578186</v>
      </c>
      <c r="I432" s="119" t="n">
        <v>114.8319555664063</v>
      </c>
      <c r="J432" s="119" t="n">
        <v>105.2078670883179</v>
      </c>
      <c r="K432" s="121" t="n">
        <v>0.1983017140981005</v>
      </c>
      <c r="L432" s="121" t="n">
        <v>-0.06027204395261709</v>
      </c>
      <c r="M432" s="121" t="n">
        <v>-0.06909058695055903</v>
      </c>
      <c r="N432" t="n">
        <v>39.44872652063471</v>
      </c>
      <c r="O432" t="n">
        <v>-0.7020310871104011</v>
      </c>
      <c r="P432" t="n">
        <v>94.71801363122513</v>
      </c>
      <c r="Q432" t="n">
        <v>88.26464696358494</v>
      </c>
    </row>
    <row r="433">
      <c r="A433" s="118" t="n">
        <v>45061</v>
      </c>
      <c r="B433" s="119" t="n">
        <v>112.1954988312253</v>
      </c>
      <c r="C433" s="119" t="n">
        <v>112.3546795140311</v>
      </c>
      <c r="D433" s="119" t="n">
        <v>110.5006767690742</v>
      </c>
      <c r="E433" s="119" t="n">
        <v>112.2048645019531</v>
      </c>
      <c r="F433" s="120" t="n">
        <v>5518200</v>
      </c>
      <c r="G433" s="121" t="n">
        <v>-0.003161271763905571</v>
      </c>
      <c r="H433" s="122" t="n">
        <v>73.0181590699775</v>
      </c>
      <c r="I433" s="119" t="n">
        <v>114.8111676025391</v>
      </c>
      <c r="J433" s="119" t="n">
        <v>105.2480422210693</v>
      </c>
      <c r="K433" s="121" t="n">
        <v>0.1977064125869362</v>
      </c>
      <c r="L433" s="121" t="n">
        <v>-0.06324277940582235</v>
      </c>
      <c r="M433" s="121" t="n">
        <v>-0.07203344459278616</v>
      </c>
      <c r="N433" t="n">
        <v>38.67382916304425</v>
      </c>
      <c r="O433" t="n">
        <v>-0.8227007744170483</v>
      </c>
      <c r="P433" t="n">
        <v>95.04479719619661</v>
      </c>
      <c r="Q433" t="n">
        <v>88.74257862551264</v>
      </c>
    </row>
    <row r="434">
      <c r="A434" s="118" t="n">
        <v>45062</v>
      </c>
      <c r="B434" s="119" t="n">
        <v>110.0231379001887</v>
      </c>
      <c r="C434" s="119" t="n">
        <v>110.3414992956721</v>
      </c>
      <c r="D434" s="119" t="n">
        <v>108.7309538311275</v>
      </c>
      <c r="E434" s="119" t="n">
        <v>109.0680465698242</v>
      </c>
      <c r="F434" s="120" t="n">
        <v>8306400</v>
      </c>
      <c r="G434" s="121" t="n">
        <v>-0.02795616701693271</v>
      </c>
      <c r="H434" s="122" t="n">
        <v>70.97685121974826</v>
      </c>
      <c r="I434" s="119" t="n">
        <v>114.7420637512207</v>
      </c>
      <c r="J434" s="119" t="n">
        <v>105.2600492477417</v>
      </c>
      <c r="K434" s="121" t="n">
        <v>0.2169289256772407</v>
      </c>
      <c r="L434" s="121" t="n">
        <v>-0.08943092071907077</v>
      </c>
      <c r="M434" s="121" t="n">
        <v>-0.09797583260187803</v>
      </c>
      <c r="N434" t="n">
        <v>32.59538198702153</v>
      </c>
      <c r="O434" t="n">
        <v>-1.059715789848023</v>
      </c>
      <c r="P434" t="n">
        <v>94.4096464881119</v>
      </c>
      <c r="Q434" t="n">
        <v>88.84304872153719</v>
      </c>
    </row>
    <row r="435">
      <c r="A435" s="118" t="n">
        <v>45063</v>
      </c>
      <c r="B435" s="119" t="n">
        <v>108.9744211718465</v>
      </c>
      <c r="C435" s="119" t="n">
        <v>109.6766966298955</v>
      </c>
      <c r="D435" s="119" t="n">
        <v>107.9163287201955</v>
      </c>
      <c r="E435" s="119" t="n">
        <v>109.536247253418</v>
      </c>
      <c r="F435" s="120" t="n">
        <v>7765400</v>
      </c>
      <c r="G435" s="121" t="n">
        <v>0.004292739242322652</v>
      </c>
      <c r="H435" s="122" t="n">
        <v>71.28153633427576</v>
      </c>
      <c r="I435" s="119" t="n">
        <v>114.6931855773926</v>
      </c>
      <c r="J435" s="119" t="n">
        <v>105.2772746276855</v>
      </c>
      <c r="K435" s="121" t="n">
        <v>0.2188630933307481</v>
      </c>
      <c r="L435" s="121" t="n">
        <v>-0.08552208509959602</v>
      </c>
      <c r="M435" s="121" t="n">
        <v>-0.09410367806096476</v>
      </c>
      <c r="N435" t="n">
        <v>34.25633295356369</v>
      </c>
      <c r="O435" t="n">
        <v>-1.124749911487989</v>
      </c>
      <c r="P435" t="n">
        <v>95.55568644523535</v>
      </c>
      <c r="Q435" t="n">
        <v>89.918405515343</v>
      </c>
    </row>
    <row r="436">
      <c r="A436" s="118" t="n">
        <v>45064</v>
      </c>
      <c r="B436" s="119" t="n">
        <v>109.9576057502437</v>
      </c>
      <c r="C436" s="119" t="n">
        <v>111.5681585529731</v>
      </c>
      <c r="D436" s="119" t="n">
        <v>109.4145110341764</v>
      </c>
      <c r="E436" s="119" t="n">
        <v>111.3059768676758</v>
      </c>
      <c r="F436" s="120" t="n">
        <v>5970500</v>
      </c>
      <c r="G436" s="121" t="n">
        <v>0.01615656605583227</v>
      </c>
      <c r="H436" s="122" t="n">
        <v>72.43320118462169</v>
      </c>
      <c r="I436" s="119" t="n">
        <v>114.6746455383301</v>
      </c>
      <c r="J436" s="119" t="n">
        <v>105.3150902175903</v>
      </c>
      <c r="K436" s="121" t="n">
        <v>0.2281692153881323</v>
      </c>
      <c r="L436" s="121" t="n">
        <v>-0.07074726226090788</v>
      </c>
      <c r="M436" s="121" t="n">
        <v>-0.07946750429582128</v>
      </c>
      <c r="N436" t="n">
        <v>40.2496489867398</v>
      </c>
      <c r="O436" t="n">
        <v>-0.992956476295291</v>
      </c>
      <c r="P436" t="n">
        <v>96.47618559831409</v>
      </c>
      <c r="Q436" t="n">
        <v>91.58851082782914</v>
      </c>
    </row>
    <row r="437">
      <c r="A437" s="118" t="n">
        <v>45065</v>
      </c>
      <c r="B437" s="119" t="n">
        <v>107.270234158027</v>
      </c>
      <c r="C437" s="119" t="n">
        <v>108.1410560210619</v>
      </c>
      <c r="D437" s="119" t="n">
        <v>105.9031387756988</v>
      </c>
      <c r="E437" s="119" t="n">
        <v>107.4575119018555</v>
      </c>
      <c r="F437" s="120" t="n">
        <v>11674300</v>
      </c>
      <c r="G437" s="121" t="n">
        <v>-0.03457554638234295</v>
      </c>
      <c r="H437" s="122" t="n">
        <v>69.92878367744123</v>
      </c>
      <c r="I437" s="119" t="n">
        <v>114.6164036560059</v>
      </c>
      <c r="J437" s="119" t="n">
        <v>105.3220147705078</v>
      </c>
      <c r="K437" s="121" t="n">
        <v>0.2513197259069693</v>
      </c>
      <c r="L437" s="121" t="n">
        <v>-0.1028766833955249</v>
      </c>
      <c r="M437" s="121" t="n">
        <v>-0.111295418297495</v>
      </c>
      <c r="N437" t="n">
        <v>33.16849117821532</v>
      </c>
      <c r="O437" t="n">
        <v>-1.100981075624157</v>
      </c>
      <c r="P437" t="n">
        <v>96.33580519713317</v>
      </c>
      <c r="Q437" t="n">
        <v>91.38214141721176</v>
      </c>
    </row>
    <row r="438">
      <c r="A438" s="118" t="n">
        <v>45068</v>
      </c>
      <c r="B438" s="119" t="n">
        <v>105.6690441899135</v>
      </c>
      <c r="C438" s="119" t="n">
        <v>105.6690441899135</v>
      </c>
      <c r="D438" s="119" t="n">
        <v>103.0191231213561</v>
      </c>
      <c r="E438" s="119" t="n">
        <v>103.1689453125</v>
      </c>
      <c r="F438" s="120" t="n">
        <v>12710300</v>
      </c>
      <c r="G438" s="121" t="n">
        <v>-0.03990941641448353</v>
      </c>
      <c r="H438" s="122" t="n">
        <v>67.13796673029989</v>
      </c>
      <c r="I438" s="119" t="n">
        <v>114.4795068359375</v>
      </c>
      <c r="J438" s="119" t="n">
        <v>105.3065683364868</v>
      </c>
      <c r="K438" s="121" t="n">
        <v>0.2727184582807679</v>
      </c>
      <c r="L438" s="121" t="n">
        <v>-0.1386803514130355</v>
      </c>
      <c r="M438" s="121" t="n">
        <v>-0.1467630995181197</v>
      </c>
      <c r="N438" t="n">
        <v>27.3863836107963</v>
      </c>
      <c r="O438" t="n">
        <v>-1.379233043824213</v>
      </c>
      <c r="P438" t="n">
        <v>96.37492820375853</v>
      </c>
      <c r="Q438" t="n">
        <v>91.68898092385369</v>
      </c>
    </row>
    <row r="439">
      <c r="A439" s="118" t="n">
        <v>45069</v>
      </c>
      <c r="B439" s="119" t="n">
        <v>102.7850338393926</v>
      </c>
      <c r="C439" s="119" t="n">
        <v>103.9929484955848</v>
      </c>
      <c r="D439" s="119" t="n">
        <v>101.30557895691</v>
      </c>
      <c r="E439" s="119" t="n">
        <v>101.8580322265625</v>
      </c>
      <c r="F439" s="120" t="n">
        <v>11790400</v>
      </c>
      <c r="G439" s="121" t="n">
        <v>-0.01270646978086987</v>
      </c>
      <c r="H439" s="122" t="n">
        <v>66.28488018489229</v>
      </c>
      <c r="I439" s="119" t="n">
        <v>114.3281900024414</v>
      </c>
      <c r="J439" s="119" t="n">
        <v>105.2873983001709</v>
      </c>
      <c r="K439" s="121" t="n">
        <v>0.2698645348495856</v>
      </c>
      <c r="L439" s="121" t="n">
        <v>-0.1496246834994752</v>
      </c>
      <c r="M439" s="121" t="n">
        <v>-0.1576047284100158</v>
      </c>
      <c r="N439" t="n">
        <v>25.90007855104989</v>
      </c>
      <c r="O439" t="n">
        <v>-1.556423359674294</v>
      </c>
      <c r="P439" t="n">
        <v>95.29332743110292</v>
      </c>
      <c r="Q439" t="n">
        <v>90.52673130223138</v>
      </c>
    </row>
    <row r="440">
      <c r="A440" s="118" t="n">
        <v>45070</v>
      </c>
      <c r="B440" s="119" t="n">
        <v>102.0640279440575</v>
      </c>
      <c r="C440" s="119" t="n">
        <v>102.1576632381589</v>
      </c>
      <c r="D440" s="119" t="n">
        <v>100.3785640745713</v>
      </c>
      <c r="E440" s="119" t="n">
        <v>101.3992080688477</v>
      </c>
      <c r="F440" s="120" t="n">
        <v>8503200</v>
      </c>
      <c r="G440" s="121" t="n">
        <v>-0.00450454566699543</v>
      </c>
      <c r="H440" s="122" t="n">
        <v>65.98629691506812</v>
      </c>
      <c r="I440" s="119" t="n">
        <v>114.1276203918457</v>
      </c>
      <c r="J440" s="119" t="n">
        <v>105.2653308486938</v>
      </c>
      <c r="K440" s="121" t="n">
        <v>0.2699723649660947</v>
      </c>
      <c r="L440" s="121" t="n">
        <v>-0.1534552379467374</v>
      </c>
      <c r="M440" s="121" t="n">
        <v>-0.1613993363805539</v>
      </c>
      <c r="N440" t="n">
        <v>25.38087586013796</v>
      </c>
      <c r="O440" t="n">
        <v>-1.603055852138138</v>
      </c>
      <c r="P440" t="n">
        <v>94.60294940788667</v>
      </c>
      <c r="Q440" t="n">
        <v>90.06236002136221</v>
      </c>
    </row>
    <row r="441">
      <c r="A441" s="118" t="n">
        <v>45071</v>
      </c>
      <c r="B441" s="119" t="n">
        <v>101.4553742489666</v>
      </c>
      <c r="C441" s="119" t="n">
        <v>102.035924425023</v>
      </c>
      <c r="D441" s="119" t="n">
        <v>100.5845525568389</v>
      </c>
      <c r="E441" s="119" t="n">
        <v>100.640739440918</v>
      </c>
      <c r="F441" s="120" t="n">
        <v>6729800</v>
      </c>
      <c r="G441" s="121" t="n">
        <v>-0.007480025163655202</v>
      </c>
      <c r="H441" s="122" t="n">
        <v>65.49271775368699</v>
      </c>
      <c r="I441" s="119" t="n">
        <v>113.9274252319336</v>
      </c>
      <c r="J441" s="119" t="n">
        <v>105.2575241470337</v>
      </c>
      <c r="K441" s="121" t="n">
        <v>0.2576657083441971</v>
      </c>
      <c r="L441" s="121" t="n">
        <v>-0.1597874140690564</v>
      </c>
      <c r="M441" s="121" t="n">
        <v>-0.1676720904466853</v>
      </c>
      <c r="N441" t="n">
        <v>24.50631527762454</v>
      </c>
      <c r="O441" t="n">
        <v>-1.580881599430469</v>
      </c>
      <c r="P441" t="n">
        <v>95.42220580003867</v>
      </c>
      <c r="Q441" t="n">
        <v>92.25382230074743</v>
      </c>
    </row>
    <row r="442">
      <c r="A442" s="118" t="n">
        <v>45072</v>
      </c>
      <c r="B442" s="119" t="n">
        <v>100.1912816410344</v>
      </c>
      <c r="C442" s="119" t="n">
        <v>101.5490111047725</v>
      </c>
      <c r="D442" s="119" t="n">
        <v>100.1912816410344</v>
      </c>
      <c r="E442" s="119" t="n">
        <v>100.668830871582</v>
      </c>
      <c r="F442" s="120" t="n">
        <v>7911200</v>
      </c>
      <c r="G442" s="121" t="n">
        <v>0.000279125837311156</v>
      </c>
      <c r="H442" s="122" t="n">
        <v>65.51099846336777</v>
      </c>
      <c r="I442" s="119" t="n">
        <v>113.6813475036621</v>
      </c>
      <c r="J442" s="119" t="n">
        <v>105.2357958602905</v>
      </c>
      <c r="K442" s="121" t="n">
        <v>0.2527526899216317</v>
      </c>
      <c r="L442" s="121" t="n">
        <v>-0.1595528890274891</v>
      </c>
      <c r="M442" s="121" t="n">
        <v>-0.1674397662220137</v>
      </c>
      <c r="N442" t="n">
        <v>24.60992925960871</v>
      </c>
      <c r="O442" t="n">
        <v>-1.462943448489307</v>
      </c>
      <c r="P442" t="n">
        <v>96.65797916902928</v>
      </c>
      <c r="Q442" t="n">
        <v>94.61096440399967</v>
      </c>
    </row>
    <row r="443">
      <c r="A443" s="118" t="n">
        <v>45076</v>
      </c>
      <c r="B443" s="119" t="n">
        <v>101.5022115538609</v>
      </c>
      <c r="C443" s="119" t="n">
        <v>101.951663834265</v>
      </c>
      <c r="D443" s="119" t="n">
        <v>99.50774473483247</v>
      </c>
      <c r="E443" s="119" t="n">
        <v>99.74183654785156</v>
      </c>
      <c r="F443" s="120" t="n">
        <v>9335200</v>
      </c>
      <c r="G443" s="121" t="n">
        <v>-0.009208354916855899</v>
      </c>
      <c r="H443" s="122" t="n">
        <v>64.90774993855949</v>
      </c>
      <c r="I443" s="119" t="n">
        <v>113.4215992736816</v>
      </c>
      <c r="J443" s="119" t="n">
        <v>105.2049774169922</v>
      </c>
      <c r="K443" s="121" t="n">
        <v>0.244115002018066</v>
      </c>
      <c r="L443" s="121" t="n">
        <v>-0.1672920243141699</v>
      </c>
      <c r="M443" s="121" t="n">
        <v>-0.175106276344302</v>
      </c>
      <c r="N443" t="n">
        <v>23.46540828323896</v>
      </c>
      <c r="O443" t="n">
        <v>-1.348781851695146</v>
      </c>
      <c r="P443" t="n">
        <v>96.69479006230254</v>
      </c>
      <c r="Q443" t="n">
        <v>95.0400162116635</v>
      </c>
    </row>
    <row r="444">
      <c r="A444" s="118" t="n">
        <v>45077</v>
      </c>
      <c r="B444" s="119" t="n">
        <v>98.97400842155798</v>
      </c>
      <c r="C444" s="119" t="n">
        <v>99.41410214075452</v>
      </c>
      <c r="D444" s="119" t="n">
        <v>98.15937354415686</v>
      </c>
      <c r="E444" s="119" t="n">
        <v>98.56201171875</v>
      </c>
      <c r="F444" s="120" t="n">
        <v>21465200</v>
      </c>
      <c r="G444" s="121" t="n">
        <v>-0.01182878589302427</v>
      </c>
      <c r="H444" s="122" t="n">
        <v>64.13997006173831</v>
      </c>
      <c r="I444" s="119" t="n">
        <v>113.1230851745605</v>
      </c>
      <c r="J444" s="119" t="n">
        <v>105.1591172027588</v>
      </c>
      <c r="K444" s="121" t="n">
        <v>0.2438717286942973</v>
      </c>
      <c r="L444" s="121" t="n">
        <v>-0.1771419486699713</v>
      </c>
      <c r="M444" s="121" t="n">
        <v>-0.1848637675859248</v>
      </c>
      <c r="N444" t="n">
        <v>22.05926502232732</v>
      </c>
      <c r="O444" t="n">
        <v>-1.256032770947463</v>
      </c>
      <c r="P444" t="n">
        <v>96.15862853630773</v>
      </c>
      <c r="Q444" t="n">
        <v>94.49961054011433</v>
      </c>
    </row>
    <row r="445">
      <c r="A445" s="118" t="n">
        <v>45078</v>
      </c>
      <c r="B445" s="119" t="n">
        <v>97.55074093190737</v>
      </c>
      <c r="C445" s="119" t="n">
        <v>97.94401346454936</v>
      </c>
      <c r="D445" s="119" t="n">
        <v>96.352191988285</v>
      </c>
      <c r="E445" s="119" t="n">
        <v>97.03573608398438</v>
      </c>
      <c r="F445" s="120" t="n">
        <v>12025200</v>
      </c>
      <c r="G445" s="121" t="n">
        <v>-0.01548543508954447</v>
      </c>
      <c r="H445" s="122" t="n">
        <v>63.14673471870194</v>
      </c>
      <c r="I445" s="119" t="n">
        <v>112.7114581298828</v>
      </c>
      <c r="J445" s="119" t="n">
        <v>105.1044654464722</v>
      </c>
      <c r="K445" s="121" t="n">
        <v>0.2439764046245544</v>
      </c>
      <c r="L445" s="121" t="n">
        <v>-0.1898842636117515</v>
      </c>
      <c r="M445" s="121" t="n">
        <v>-0.1974865068021088</v>
      </c>
      <c r="N445" t="n">
        <v>20.35957297418703</v>
      </c>
      <c r="O445" t="n">
        <v>-1.200813628792633</v>
      </c>
      <c r="P445" t="n">
        <v>97.07219866614462</v>
      </c>
      <c r="Q445" t="n">
        <v>95.5912972074987</v>
      </c>
    </row>
    <row r="446">
      <c r="A446" s="118" t="n">
        <v>45079</v>
      </c>
      <c r="B446" s="119" t="n">
        <v>101.1129492415631</v>
      </c>
      <c r="C446" s="119" t="n">
        <v>101.8551152223391</v>
      </c>
      <c r="D446" s="119" t="n">
        <v>99.70377496178277</v>
      </c>
      <c r="E446" s="119" t="n">
        <v>101.2538681030273</v>
      </c>
      <c r="F446" s="120" t="n">
        <v>11838200</v>
      </c>
      <c r="G446" s="121" t="n">
        <v>0.04346988222351578</v>
      </c>
      <c r="H446" s="122" t="n">
        <v>65.8917158397235</v>
      </c>
      <c r="I446" s="119" t="n">
        <v>112.4986181640625</v>
      </c>
      <c r="J446" s="119" t="n">
        <v>105.062829170227</v>
      </c>
      <c r="K446" s="121" t="n">
        <v>0.302566199121321</v>
      </c>
      <c r="L446" s="121" t="n">
        <v>-0.1546686279635376</v>
      </c>
      <c r="M446" s="121" t="n">
        <v>-0.1626013397700141</v>
      </c>
      <c r="N446" t="n">
        <v>35.21612438255224</v>
      </c>
      <c r="O446" t="n">
        <v>-0.8026806301071154</v>
      </c>
      <c r="P446" t="n">
        <v>98.47599536113954</v>
      </c>
      <c r="Q446" t="n">
        <v>96.30819892217764</v>
      </c>
    </row>
    <row r="447">
      <c r="A447" s="118" t="n">
        <v>45082</v>
      </c>
      <c r="B447" s="119" t="n">
        <v>101.3478107322064</v>
      </c>
      <c r="C447" s="119" t="n">
        <v>101.3478107322064</v>
      </c>
      <c r="D447" s="119" t="n">
        <v>98.81129991783196</v>
      </c>
      <c r="E447" s="119" t="n">
        <v>98.83008575439453</v>
      </c>
      <c r="F447" s="120" t="n">
        <v>7434000</v>
      </c>
      <c r="G447" s="121" t="n">
        <v>-0.02393767659489887</v>
      </c>
      <c r="H447" s="122" t="n">
        <v>64.31442125566923</v>
      </c>
      <c r="I447" s="119" t="n">
        <v>112.2097727966309</v>
      </c>
      <c r="J447" s="119" t="n">
        <v>105.0138076782227</v>
      </c>
      <c r="K447" s="121" t="n">
        <v>0.2864134703797299</v>
      </c>
      <c r="L447" s="121" t="n">
        <v>-0.1749038969628686</v>
      </c>
      <c r="M447" s="121" t="n">
        <v>-0.1826467180796011</v>
      </c>
      <c r="N447" t="n">
        <v>31.57161282434356</v>
      </c>
      <c r="O447" t="n">
        <v>-0.632528645868669</v>
      </c>
      <c r="P447" t="n">
        <v>98.2872727671825</v>
      </c>
      <c r="Q447" t="n">
        <v>96.37608526321783</v>
      </c>
    </row>
    <row r="448">
      <c r="A448" s="118" t="n">
        <v>45083</v>
      </c>
      <c r="B448" s="119" t="n">
        <v>99.10252812847261</v>
      </c>
      <c r="C448" s="119" t="n">
        <v>100.2862365337849</v>
      </c>
      <c r="D448" s="119" t="n">
        <v>98.83008690683712</v>
      </c>
      <c r="E448" s="119" t="n">
        <v>99.76014709472656</v>
      </c>
      <c r="F448" s="120" t="n">
        <v>7896300</v>
      </c>
      <c r="G448" s="121" t="n">
        <v>0.009410710647801634</v>
      </c>
      <c r="H448" s="122" t="n">
        <v>64.91966566458716</v>
      </c>
      <c r="I448" s="119" t="n">
        <v>111.9443981933594</v>
      </c>
      <c r="J448" s="119" t="n">
        <v>104.9742166137695</v>
      </c>
      <c r="K448" s="121" t="n">
        <v>0.2911768855613711</v>
      </c>
      <c r="L448" s="121" t="n">
        <v>-0.1671391562805573</v>
      </c>
      <c r="M448" s="121" t="n">
        <v>-0.1749548428464173</v>
      </c>
      <c r="N448" t="n">
        <v>34.37801428819508</v>
      </c>
      <c r="O448" t="n">
        <v>-0.3987142631653406</v>
      </c>
      <c r="P448" t="n">
        <v>98.50130422216762</v>
      </c>
      <c r="Q448" t="n">
        <v>96.35978072036352</v>
      </c>
    </row>
    <row r="449">
      <c r="A449" s="118" t="n">
        <v>45084</v>
      </c>
      <c r="B449" s="119" t="n">
        <v>99.61921898996732</v>
      </c>
      <c r="C449" s="119" t="n">
        <v>101.6860048808764</v>
      </c>
      <c r="D449" s="119" t="n">
        <v>99.03675775974403</v>
      </c>
      <c r="E449" s="119" t="n">
        <v>100.6056365966797</v>
      </c>
      <c r="F449" s="120" t="n">
        <v>11123900</v>
      </c>
      <c r="G449" s="121" t="n">
        <v>0.008475223088336925</v>
      </c>
      <c r="H449" s="122" t="n">
        <v>65.46987431391477</v>
      </c>
      <c r="I449" s="119" t="n">
        <v>111.7502423095703</v>
      </c>
      <c r="J449" s="119" t="n">
        <v>104.9520796585083</v>
      </c>
      <c r="K449" s="121" t="n">
        <v>0.2964585282799972</v>
      </c>
      <c r="L449" s="121" t="n">
        <v>-0.1600804748284946</v>
      </c>
      <c r="M449" s="121" t="n">
        <v>-0.1679624010815886</v>
      </c>
      <c r="N449" t="n">
        <v>36.91108808193538</v>
      </c>
      <c r="O449" t="n">
        <v>-0.1417428854438603</v>
      </c>
      <c r="P449" t="n">
        <v>98.16071382841325</v>
      </c>
      <c r="Q449" t="n">
        <v>94.72502865538178</v>
      </c>
    </row>
    <row r="450">
      <c r="A450" s="118" t="n">
        <v>45085</v>
      </c>
      <c r="B450" s="119" t="n">
        <v>100.6714244489043</v>
      </c>
      <c r="C450" s="119" t="n">
        <v>101.0096197171578</v>
      </c>
      <c r="D450" s="119" t="n">
        <v>99.2716393583168</v>
      </c>
      <c r="E450" s="119" t="n">
        <v>99.76954650878906</v>
      </c>
      <c r="F450" s="120" t="n">
        <v>9137600</v>
      </c>
      <c r="G450" s="121" t="n">
        <v>-0.008310569031459436</v>
      </c>
      <c r="H450" s="122" t="n">
        <v>64.92578240394802</v>
      </c>
      <c r="I450" s="119" t="n">
        <v>111.5382411193848</v>
      </c>
      <c r="J450" s="119" t="n">
        <v>104.9388495254517</v>
      </c>
      <c r="K450" s="121" t="n">
        <v>0.295826738271549</v>
      </c>
      <c r="L450" s="121" t="n">
        <v>-0.167060684023303</v>
      </c>
      <c r="M450" s="121" t="n">
        <v>-0.1748771069841697</v>
      </c>
      <c r="N450" t="n">
        <v>35.45365369919867</v>
      </c>
      <c r="O450" t="n">
        <v>0.009280563644519013</v>
      </c>
      <c r="P450" t="n">
        <v>98.75445136696371</v>
      </c>
      <c r="Q450" t="n">
        <v>95.90085554521212</v>
      </c>
    </row>
    <row r="451">
      <c r="A451" s="118" t="n">
        <v>45086</v>
      </c>
      <c r="B451" s="119" t="n">
        <v>99.49708672487185</v>
      </c>
      <c r="C451" s="119" t="n">
        <v>99.84467840639074</v>
      </c>
      <c r="D451" s="119" t="n">
        <v>98.97099020113448</v>
      </c>
      <c r="E451" s="119" t="n">
        <v>99.45011138916016</v>
      </c>
      <c r="F451" s="120" t="n">
        <v>5795200</v>
      </c>
      <c r="G451" s="121" t="n">
        <v>-0.003201729694148336</v>
      </c>
      <c r="H451" s="122" t="n">
        <v>64.71790759850948</v>
      </c>
      <c r="I451" s="119" t="n">
        <v>111.2707855224609</v>
      </c>
      <c r="J451" s="119" t="n">
        <v>104.9224443054199</v>
      </c>
      <c r="K451" s="121" t="n">
        <v>0.2958881987378985</v>
      </c>
      <c r="L451" s="121" t="n">
        <v>-0.1697275305646891</v>
      </c>
      <c r="M451" s="121" t="n">
        <v>-0.1775189274520601</v>
      </c>
      <c r="N451" t="n">
        <v>34.88688144299365</v>
      </c>
      <c r="O451" t="n">
        <v>0.1189315656549153</v>
      </c>
      <c r="P451" t="n">
        <v>98.93163534460354</v>
      </c>
      <c r="Q451" t="n">
        <v>96.26745023040401</v>
      </c>
    </row>
    <row r="452">
      <c r="A452" s="118" t="n">
        <v>45089</v>
      </c>
      <c r="B452" s="119" t="n">
        <v>99.85407799260483</v>
      </c>
      <c r="C452" s="119" t="n">
        <v>100.3801673651689</v>
      </c>
      <c r="D452" s="119" t="n">
        <v>98.26640620656367</v>
      </c>
      <c r="E452" s="119" t="n">
        <v>100.3613815307617</v>
      </c>
      <c r="F452" s="120" t="n">
        <v>7964600</v>
      </c>
      <c r="G452" s="121" t="n">
        <v>0.009163088194397817</v>
      </c>
      <c r="H452" s="122" t="n">
        <v>65.31092349359152</v>
      </c>
      <c r="I452" s="119" t="n">
        <v>111.0288591003418</v>
      </c>
      <c r="J452" s="119" t="n">
        <v>104.9072075653076</v>
      </c>
      <c r="K452" s="121" t="n">
        <v>0.2988008477930337</v>
      </c>
      <c r="L452" s="121" t="n">
        <v>-0.1621196707018729</v>
      </c>
      <c r="M452" s="121" t="n">
        <v>-0.1699824608460804</v>
      </c>
      <c r="N452" t="n">
        <v>37.93507794945861</v>
      </c>
      <c r="O452" t="n">
        <v>0.2751726981635874</v>
      </c>
      <c r="P452" t="n">
        <v>99.82912311637745</v>
      </c>
      <c r="Q452" t="n">
        <v>97.89409646361976</v>
      </c>
    </row>
    <row r="453">
      <c r="A453" s="118" t="n">
        <v>45090</v>
      </c>
      <c r="B453" s="119" t="n">
        <v>100.6526020561817</v>
      </c>
      <c r="C453" s="119" t="n">
        <v>100.9720185599304</v>
      </c>
      <c r="D453" s="119" t="n">
        <v>99.85407154795458</v>
      </c>
      <c r="E453" s="119" t="n">
        <v>100.3143997192383</v>
      </c>
      <c r="F453" s="120" t="n">
        <v>8460500</v>
      </c>
      <c r="G453" s="121" t="n">
        <v>-0.0004681263929098289</v>
      </c>
      <c r="H453" s="122" t="n">
        <v>65.28034972655885</v>
      </c>
      <c r="I453" s="119" t="n">
        <v>110.7384255981445</v>
      </c>
      <c r="J453" s="119" t="n">
        <v>104.8833359146118</v>
      </c>
      <c r="K453" s="121" t="n">
        <v>0.2992391190735179</v>
      </c>
      <c r="L453" s="121" t="n">
        <v>-0.1625119045981174</v>
      </c>
      <c r="M453" s="121" t="n">
        <v>-0.1703710139627364</v>
      </c>
      <c r="N453" t="n">
        <v>37.8367322467907</v>
      </c>
      <c r="O453" t="n">
        <v>0.3906446282874421</v>
      </c>
      <c r="P453" t="n">
        <v>100.487285205767</v>
      </c>
      <c r="Q453" t="n">
        <v>98.64632609507883</v>
      </c>
    </row>
    <row r="454">
      <c r="A454" s="118" t="n">
        <v>45091</v>
      </c>
      <c r="B454" s="119" t="n">
        <v>100.9720396909386</v>
      </c>
      <c r="C454" s="119" t="n">
        <v>106.5335792463472</v>
      </c>
      <c r="D454" s="119" t="n">
        <v>100.9720396909386</v>
      </c>
      <c r="E454" s="119" t="n">
        <v>106.0262756347656</v>
      </c>
      <c r="F454" s="120" t="n">
        <v>17415500</v>
      </c>
      <c r="G454" s="121" t="n">
        <v>0.05693974077015707</v>
      </c>
      <c r="H454" s="122" t="n">
        <v>68.99739591737431</v>
      </c>
      <c r="I454" s="119" t="n">
        <v>110.5803950500488</v>
      </c>
      <c r="J454" s="119" t="n">
        <v>104.9109497451782</v>
      </c>
      <c r="K454" s="121" t="n">
        <v>0.3599957425299568</v>
      </c>
      <c r="L454" s="121" t="n">
        <v>-0.1148255495478416</v>
      </c>
      <c r="M454" s="121" t="n">
        <v>-0.1231321545623664</v>
      </c>
      <c r="N454" t="n">
        <v>53.58970238271375</v>
      </c>
      <c r="O454" t="n">
        <v>0.8411364710733173</v>
      </c>
      <c r="P454" t="n">
        <v>100.6069590221808</v>
      </c>
      <c r="Q454" t="n">
        <v>99.36321092260826</v>
      </c>
    </row>
    <row r="455">
      <c r="A455" s="118" t="n">
        <v>45092</v>
      </c>
      <c r="B455" s="119" t="n">
        <v>105.0586408163734</v>
      </c>
      <c r="C455" s="119" t="n">
        <v>105.9886938278709</v>
      </c>
      <c r="D455" s="119" t="n">
        <v>103.4897618489897</v>
      </c>
      <c r="E455" s="119" t="n">
        <v>105.6035232543945</v>
      </c>
      <c r="F455" s="120" t="n">
        <v>10374200</v>
      </c>
      <c r="G455" s="121" t="n">
        <v>-0.003987241632700256</v>
      </c>
      <c r="H455" s="122" t="n">
        <v>68.72228662782464</v>
      </c>
      <c r="I455" s="119" t="n">
        <v>110.3760801696777</v>
      </c>
      <c r="J455" s="119" t="n">
        <v>104.9383061599731</v>
      </c>
      <c r="K455" s="121" t="n">
        <v>0.3595283293371869</v>
      </c>
      <c r="L455" s="121" t="n">
        <v>-0.1183549539688871</v>
      </c>
      <c r="M455" s="121" t="n">
        <v>-0.1266284385420715</v>
      </c>
      <c r="N455" t="n">
        <v>52.52869787354749</v>
      </c>
      <c r="O455" t="n">
        <v>1.084582011504226</v>
      </c>
      <c r="P455" t="n">
        <v>101.854241740231</v>
      </c>
      <c r="Q455" t="n">
        <v>100.5472365235269</v>
      </c>
    </row>
    <row r="456">
      <c r="A456" s="118" t="n">
        <v>45093</v>
      </c>
      <c r="B456" s="119" t="n">
        <v>107.0972367338265</v>
      </c>
      <c r="C456" s="119" t="n">
        <v>107.8112203189325</v>
      </c>
      <c r="D456" s="119" t="n">
        <v>106.2141519619172</v>
      </c>
      <c r="E456" s="119" t="n">
        <v>106.7120590209961</v>
      </c>
      <c r="F456" s="120" t="n">
        <v>14445500</v>
      </c>
      <c r="G456" s="121" t="n">
        <v>0.01049714756136644</v>
      </c>
      <c r="H456" s="122" t="n">
        <v>69.44367461131145</v>
      </c>
      <c r="I456" s="119" t="n">
        <v>110.2461853027344</v>
      </c>
      <c r="J456" s="119" t="n">
        <v>104.9712980270386</v>
      </c>
      <c r="K456" s="121" t="n">
        <v>0.3563715573399195</v>
      </c>
      <c r="L456" s="121" t="n">
        <v>-0.1091001958239507</v>
      </c>
      <c r="M456" s="121" t="n">
        <v>-0.1174605283855467</v>
      </c>
      <c r="N456" t="n">
        <v>55.04225486800507</v>
      </c>
      <c r="O456" t="n">
        <v>1.280744373647248</v>
      </c>
      <c r="P456" t="n">
        <v>101.5073149852016</v>
      </c>
      <c r="Q456" t="n">
        <v>99.91450036201822</v>
      </c>
    </row>
    <row r="457">
      <c r="A457" s="118" t="n">
        <v>45097</v>
      </c>
      <c r="B457" s="119" t="n">
        <v>104.6640683063783</v>
      </c>
      <c r="C457" s="119" t="n">
        <v>105.9886883245893</v>
      </c>
      <c r="D457" s="119" t="n">
        <v>102.3624128173217</v>
      </c>
      <c r="E457" s="119" t="n">
        <v>102.9072952270508</v>
      </c>
      <c r="F457" s="120" t="n">
        <v>10602400</v>
      </c>
      <c r="G457" s="121" t="n">
        <v>-0.03565448768256552</v>
      </c>
      <c r="H457" s="122" t="n">
        <v>66.96769597025035</v>
      </c>
      <c r="I457" s="119" t="n">
        <v>110.0529298400879</v>
      </c>
      <c r="J457" s="119" t="n">
        <v>104.9918098449707</v>
      </c>
      <c r="K457" s="121" t="n">
        <v>0.3577030092928769</v>
      </c>
      <c r="L457" s="121" t="n">
        <v>-0.1408647719183458</v>
      </c>
      <c r="M457" s="121" t="n">
        <v>-0.1489270211056021</v>
      </c>
      <c r="N457" t="n">
        <v>46.03298833722313</v>
      </c>
      <c r="O457" t="n">
        <v>1.12051302541441</v>
      </c>
      <c r="P457" t="n">
        <v>100.9806653179337</v>
      </c>
      <c r="Q457" t="n">
        <v>99.77145776207267</v>
      </c>
    </row>
    <row r="458">
      <c r="A458" s="118" t="n">
        <v>45098</v>
      </c>
      <c r="B458" s="119" t="n">
        <v>102.5221104692013</v>
      </c>
      <c r="C458" s="119" t="n">
        <v>103.6776363851802</v>
      </c>
      <c r="D458" s="119" t="n">
        <v>102.1275434412788</v>
      </c>
      <c r="E458" s="119" t="n">
        <v>103.3206481933594</v>
      </c>
      <c r="F458" s="120" t="n">
        <v>8377800</v>
      </c>
      <c r="G458" s="121" t="n">
        <v>0.004016750857134044</v>
      </c>
      <c r="H458" s="122" t="n">
        <v>67.23668852043915</v>
      </c>
      <c r="I458" s="119" t="n">
        <v>109.8362921142578</v>
      </c>
      <c r="J458" s="119" t="n">
        <v>105.0142027664185</v>
      </c>
      <c r="K458" s="121" t="n">
        <v>0.3286347432979541</v>
      </c>
      <c r="L458" s="121" t="n">
        <v>-0.1374138397545547</v>
      </c>
      <c r="M458" s="121" t="n">
        <v>-0.1455084729881445</v>
      </c>
      <c r="N458" t="n">
        <v>47.0470432536854</v>
      </c>
      <c r="O458" t="n">
        <v>1.011937077563778</v>
      </c>
      <c r="P458" t="n">
        <v>100.4632641040742</v>
      </c>
      <c r="Q458" t="n">
        <v>98.41179736264937</v>
      </c>
    </row>
    <row r="459">
      <c r="A459" s="118" t="n">
        <v>45099</v>
      </c>
      <c r="B459" s="119" t="n">
        <v>104.1097859265599</v>
      </c>
      <c r="C459" s="119" t="n">
        <v>104.5137494696341</v>
      </c>
      <c r="D459" s="119" t="n">
        <v>103.1327576556959</v>
      </c>
      <c r="E459" s="119" t="n">
        <v>103.7715835571289</v>
      </c>
      <c r="F459" s="120" t="n">
        <v>6002900</v>
      </c>
      <c r="G459" s="121" t="n">
        <v>0.004364426391572973</v>
      </c>
      <c r="H459" s="122" t="n">
        <v>67.53013809829972</v>
      </c>
      <c r="I459" s="119" t="n">
        <v>109.6026419067383</v>
      </c>
      <c r="J459" s="119" t="n">
        <v>105.0409215164185</v>
      </c>
      <c r="K459" s="121" t="n">
        <v>0.3252610491177816</v>
      </c>
      <c r="L459" s="121" t="n">
        <v>-0.133649145951774</v>
      </c>
      <c r="M459" s="121" t="n">
        <v>-0.1417791076162783</v>
      </c>
      <c r="N459" t="n">
        <v>48.19075939782263</v>
      </c>
      <c r="O459" t="n">
        <v>0.9415214760538948</v>
      </c>
      <c r="P459" t="n">
        <v>100.8259366437039</v>
      </c>
      <c r="Q459" t="n">
        <v>99.57294931955337</v>
      </c>
    </row>
    <row r="460">
      <c r="A460" s="118" t="n">
        <v>45100</v>
      </c>
      <c r="B460" s="119" t="n">
        <v>101.2256665880646</v>
      </c>
      <c r="C460" s="119" t="n">
        <v>103.611868776543</v>
      </c>
      <c r="D460" s="119" t="n">
        <v>100.8029172511884</v>
      </c>
      <c r="E460" s="119" t="n">
        <v>102.8884887695312</v>
      </c>
      <c r="F460" s="120" t="n">
        <v>14329200</v>
      </c>
      <c r="G460" s="121" t="n">
        <v>-0.008509986619906318</v>
      </c>
      <c r="H460" s="122" t="n">
        <v>66.95545752664276</v>
      </c>
      <c r="I460" s="119" t="n">
        <v>109.344588470459</v>
      </c>
      <c r="J460" s="119" t="n">
        <v>105.0659707641602</v>
      </c>
      <c r="K460" s="121" t="n">
        <v>0.3264893516787545</v>
      </c>
      <c r="L460" s="121" t="n">
        <v>-0.1410217801278688</v>
      </c>
      <c r="M460" s="121" t="n">
        <v>-0.1490825559273878</v>
      </c>
      <c r="N460" t="n">
        <v>46.09122036510149</v>
      </c>
      <c r="O460" t="n">
        <v>0.8114347369123509</v>
      </c>
      <c r="P460" t="n">
        <v>100.0636782357696</v>
      </c>
      <c r="Q460" t="n">
        <v>98.58583632552509</v>
      </c>
    </row>
    <row r="461">
      <c r="A461" s="118" t="n">
        <v>45103</v>
      </c>
      <c r="B461" s="119" t="n">
        <v>103.0294078326739</v>
      </c>
      <c r="C461" s="119" t="n">
        <v>105.4156100264415</v>
      </c>
      <c r="D461" s="119" t="n">
        <v>103.0294078326739</v>
      </c>
      <c r="E461" s="119" t="n">
        <v>104.9740676879883</v>
      </c>
      <c r="F461" s="120" t="n">
        <v>6887100</v>
      </c>
      <c r="G461" s="121" t="n">
        <v>0.02027028429904054</v>
      </c>
      <c r="H461" s="122" t="n">
        <v>68.31266368608014</v>
      </c>
      <c r="I461" s="119" t="n">
        <v>109.0763717651367</v>
      </c>
      <c r="J461" s="119" t="n">
        <v>105.0859492492676</v>
      </c>
      <c r="K461" s="121" t="n">
        <v>0.3318277276778374</v>
      </c>
      <c r="L461" s="121" t="n">
        <v>-0.1236100474043769</v>
      </c>
      <c r="M461" s="121" t="n">
        <v>-0.1318342174210232</v>
      </c>
      <c r="N461" t="n">
        <v>51.46878163807353</v>
      </c>
      <c r="O461" t="n">
        <v>0.8383710432047828</v>
      </c>
      <c r="P461" t="n">
        <v>99.65484391405657</v>
      </c>
      <c r="Q461" t="n">
        <v>97.26423956110294</v>
      </c>
    </row>
    <row r="462">
      <c r="A462" s="118" t="n">
        <v>45104</v>
      </c>
      <c r="B462" s="119" t="n">
        <v>105.7162431160556</v>
      </c>
      <c r="C462" s="119" t="n">
        <v>107.2663361076479</v>
      </c>
      <c r="D462" s="119" t="n">
        <v>105.6222996066261</v>
      </c>
      <c r="E462" s="119" t="n">
        <v>106.7308502197266</v>
      </c>
      <c r="F462" s="120" t="n">
        <v>7138600</v>
      </c>
      <c r="G462" s="121" t="n">
        <v>0.01673539542127611</v>
      </c>
      <c r="H462" s="122" t="n">
        <v>69.45590312514734</v>
      </c>
      <c r="I462" s="119" t="n">
        <v>108.8522795104981</v>
      </c>
      <c r="J462" s="119" t="n">
        <v>105.1135480499268</v>
      </c>
      <c r="K462" s="121" t="n">
        <v>0.335608782293512</v>
      </c>
      <c r="L462" s="121" t="n">
        <v>-0.1089433150044558</v>
      </c>
      <c r="M462" s="121" t="n">
        <v>-0.1173051197583425</v>
      </c>
      <c r="N462" t="n">
        <v>55.49596424408979</v>
      </c>
      <c r="O462" t="n">
        <v>0.9394204721827653</v>
      </c>
      <c r="P462" t="n">
        <v>100.7473906410626</v>
      </c>
      <c r="Q462" t="n">
        <v>98.93661619519851</v>
      </c>
    </row>
    <row r="463">
      <c r="A463" s="118" t="n">
        <v>45105</v>
      </c>
      <c r="B463" s="119" t="n">
        <v>106.4772011678065</v>
      </c>
      <c r="C463" s="119" t="n">
        <v>106.8623788969446</v>
      </c>
      <c r="D463" s="119" t="n">
        <v>105.3310788169822</v>
      </c>
      <c r="E463" s="119" t="n">
        <v>106.1859741210938</v>
      </c>
      <c r="F463" s="120" t="n">
        <v>6766000</v>
      </c>
      <c r="G463" s="121" t="n">
        <v>-0.005105141554771486</v>
      </c>
      <c r="H463" s="122" t="n">
        <v>69.10132090787897</v>
      </c>
      <c r="I463" s="119" t="n">
        <v>108.6127955627441</v>
      </c>
      <c r="J463" s="119" t="n">
        <v>105.1279970550537</v>
      </c>
      <c r="K463" s="121" t="n">
        <v>0.3339185978063265</v>
      </c>
      <c r="L463" s="121" t="n">
        <v>-0.1134922855146834</v>
      </c>
      <c r="M463" s="121" t="n">
        <v>-0.1218114020716481</v>
      </c>
      <c r="N463" t="n">
        <v>53.99927212923424</v>
      </c>
      <c r="O463" t="n">
        <v>0.9325977866296209</v>
      </c>
      <c r="P463" t="n">
        <v>100.7982059171077</v>
      </c>
      <c r="Q463" t="n">
        <v>99.12971230629908</v>
      </c>
    </row>
    <row r="464">
      <c r="A464" s="118" t="n">
        <v>45106</v>
      </c>
      <c r="B464" s="119" t="n">
        <v>106.7214480666463</v>
      </c>
      <c r="C464" s="119" t="n">
        <v>107.3508774306629</v>
      </c>
      <c r="D464" s="119" t="n">
        <v>105.7913951879182</v>
      </c>
      <c r="E464" s="119" t="n">
        <v>106.5053787231445</v>
      </c>
      <c r="F464" s="120" t="n">
        <v>12465500</v>
      </c>
      <c r="G464" s="121" t="n">
        <v>0.003007973554836285</v>
      </c>
      <c r="H464" s="122" t="n">
        <v>69.30917585377414</v>
      </c>
      <c r="I464" s="119" t="n">
        <v>108.3793249511719</v>
      </c>
      <c r="J464" s="119" t="n">
        <v>105.1374806213379</v>
      </c>
      <c r="K464" s="121" t="n">
        <v>0.3290962047290715</v>
      </c>
      <c r="L464" s="121" t="n">
        <v>-0.1108256937533532</v>
      </c>
      <c r="M464" s="121" t="n">
        <v>-0.1191698339929209</v>
      </c>
      <c r="N464" t="n">
        <v>54.76934537857126</v>
      </c>
      <c r="O464" t="n">
        <v>0.9115514021686235</v>
      </c>
      <c r="P464" t="n">
        <v>101.195494305689</v>
      </c>
      <c r="Q464" t="n">
        <v>98.93118697663026</v>
      </c>
    </row>
    <row r="465">
      <c r="A465" s="118" t="n">
        <v>45107</v>
      </c>
      <c r="B465" s="119" t="n">
        <v>104.8331645873487</v>
      </c>
      <c r="C465" s="119" t="n">
        <v>105.4532046877952</v>
      </c>
      <c r="D465" s="119" t="n">
        <v>103.1515563165929</v>
      </c>
      <c r="E465" s="119" t="n">
        <v>103.6870422363281</v>
      </c>
      <c r="F465" s="120" t="n">
        <v>19629600</v>
      </c>
      <c r="G465" s="121" t="n">
        <v>-0.0264619169529694</v>
      </c>
      <c r="H465" s="122" t="n">
        <v>67.47512219825281</v>
      </c>
      <c r="I465" s="119" t="n">
        <v>108.0996003723145</v>
      </c>
      <c r="J465" s="119" t="n">
        <v>105.1638697433472</v>
      </c>
      <c r="K465" s="121" t="n">
        <v>0.3398830613662328</v>
      </c>
      <c r="L465" s="121" t="n">
        <v>-0.1343549504019662</v>
      </c>
      <c r="M465" s="121" t="n">
        <v>-0.1424782886954704</v>
      </c>
      <c r="N465" t="n">
        <v>47.25260654771528</v>
      </c>
      <c r="O465" t="n">
        <v>0.680372249052309</v>
      </c>
      <c r="P465" t="n">
        <v>102.3896642679709</v>
      </c>
      <c r="Q465" t="n">
        <v>100.4567298457147</v>
      </c>
    </row>
    <row r="466">
      <c r="A466" s="118" t="n">
        <v>45110</v>
      </c>
      <c r="B466" s="119" t="n">
        <v>104.3352421456211</v>
      </c>
      <c r="C466" s="119" t="n">
        <v>104.560715149367</v>
      </c>
      <c r="D466" s="119" t="n">
        <v>102.5033187866211</v>
      </c>
      <c r="E466" s="119" t="n">
        <v>102.5033187866211</v>
      </c>
      <c r="F466" s="120" t="n">
        <v>5734200</v>
      </c>
      <c r="G466" s="121" t="n">
        <v>-0.01141631031396417</v>
      </c>
      <c r="H466" s="122" t="n">
        <v>66.7048052647649</v>
      </c>
      <c r="I466" s="119" t="n">
        <v>107.8190487670898</v>
      </c>
      <c r="J466" s="119" t="n">
        <v>105.1783827590942</v>
      </c>
      <c r="K466" s="121" t="n">
        <v>0.3087662383991119</v>
      </c>
      <c r="L466" s="121" t="n">
        <v>-0.1442374229099243</v>
      </c>
      <c r="M466" s="121" t="n">
        <v>-0.1522680226526846</v>
      </c>
      <c r="N466" t="n">
        <v>44.49073436176599</v>
      </c>
      <c r="O466" t="n">
        <v>0.432371219996342</v>
      </c>
      <c r="P466" t="n">
        <v>102.5074649798969</v>
      </c>
      <c r="Q466" t="n">
        <v>100.6933188103847</v>
      </c>
    </row>
    <row r="467">
      <c r="A467" s="118" t="n">
        <v>45112</v>
      </c>
      <c r="B467" s="119" t="n">
        <v>102.043003207652</v>
      </c>
      <c r="C467" s="119" t="n">
        <v>102.3154444118971</v>
      </c>
      <c r="D467" s="119" t="n">
        <v>100.0889466052652</v>
      </c>
      <c r="E467" s="119" t="n">
        <v>100.6150360107422</v>
      </c>
      <c r="F467" s="120" t="n">
        <v>10405300</v>
      </c>
      <c r="G467" s="121" t="n">
        <v>-0.01842167451972654</v>
      </c>
      <c r="H467" s="122" t="n">
        <v>65.47599105327566</v>
      </c>
      <c r="I467" s="119" t="n">
        <v>107.4805061340332</v>
      </c>
      <c r="J467" s="119" t="n">
        <v>105.1904357528687</v>
      </c>
      <c r="K467" s="121" t="n">
        <v>0.3034824959131394</v>
      </c>
      <c r="L467" s="121" t="n">
        <v>-0.16000200257124</v>
      </c>
      <c r="M467" s="121" t="n">
        <v>-0.167884665219341</v>
      </c>
      <c r="N467" t="n">
        <v>40.43103282566956</v>
      </c>
      <c r="O467" t="n">
        <v>0.1408783970533714</v>
      </c>
      <c r="P467" t="n">
        <v>102.3550191517616</v>
      </c>
      <c r="Q467" t="n">
        <v>100.6905915357384</v>
      </c>
    </row>
    <row r="468">
      <c r="A468" s="118" t="n">
        <v>45113</v>
      </c>
      <c r="B468" s="119" t="n">
        <v>98.91462743897161</v>
      </c>
      <c r="C468" s="119" t="n">
        <v>99.66618265283691</v>
      </c>
      <c r="D468" s="119" t="n">
        <v>97.39271684219203</v>
      </c>
      <c r="E468" s="119" t="n">
        <v>98.73612976074219</v>
      </c>
      <c r="F468" s="120" t="n">
        <v>9923500</v>
      </c>
      <c r="G468" s="121" t="n">
        <v>-0.01867420938754516</v>
      </c>
      <c r="H468" s="122" t="n">
        <v>64.25327868648975</v>
      </c>
      <c r="I468" s="119" t="n">
        <v>107.0751707458496</v>
      </c>
      <c r="J468" s="119" t="n">
        <v>105.1995170211792</v>
      </c>
      <c r="K468" s="121" t="n">
        <v>0.3095548283724736</v>
      </c>
      <c r="L468" s="121" t="n">
        <v>-0.1756883010603434</v>
      </c>
      <c r="M468" s="121" t="n">
        <v>-0.1834237612156223</v>
      </c>
      <c r="N468" t="n">
        <v>36.82983433218391</v>
      </c>
      <c r="O468" t="n">
        <v>-0.1623164066615224</v>
      </c>
      <c r="P468" t="n">
        <v>101.5535060345425</v>
      </c>
      <c r="Q468" t="n">
        <v>99.92373763280156</v>
      </c>
    </row>
    <row r="469">
      <c r="A469" s="118" t="n">
        <v>45114</v>
      </c>
      <c r="B469" s="119" t="n">
        <v>98.45431954060332</v>
      </c>
      <c r="C469" s="119" t="n">
        <v>99.08374904342865</v>
      </c>
      <c r="D469" s="119" t="n">
        <v>97.73093934517472</v>
      </c>
      <c r="E469" s="119" t="n">
        <v>98.13490295410156</v>
      </c>
      <c r="F469" s="120" t="n">
        <v>7463100</v>
      </c>
      <c r="G469" s="121" t="n">
        <v>-0.00608922800698708</v>
      </c>
      <c r="H469" s="122" t="n">
        <v>63.86202582237124</v>
      </c>
      <c r="I469" s="119" t="n">
        <v>106.7033181762695</v>
      </c>
      <c r="J469" s="119" t="n">
        <v>105.1912105941772</v>
      </c>
      <c r="K469" s="121" t="n">
        <v>0.308370545121245</v>
      </c>
      <c r="L469" s="121" t="n">
        <v>-0.1807077229440137</v>
      </c>
      <c r="M469" s="121" t="n">
        <v>-0.1883960801186684</v>
      </c>
      <c r="N469" t="n">
        <v>35.73305249509946</v>
      </c>
      <c r="O469" t="n">
        <v>-0.3750433434957624</v>
      </c>
      <c r="P469" t="n">
        <v>101.2971248577793</v>
      </c>
      <c r="Q469" t="n">
        <v>99.59198113705396</v>
      </c>
    </row>
    <row r="470">
      <c r="A470" s="118" t="n">
        <v>45117</v>
      </c>
      <c r="B470" s="119" t="n">
        <v>98.15368186628805</v>
      </c>
      <c r="C470" s="119" t="n">
        <v>99.8728689156344</v>
      </c>
      <c r="D470" s="119" t="n">
        <v>97.93760533872984</v>
      </c>
      <c r="E470" s="119" t="n">
        <v>99.37496185302734</v>
      </c>
      <c r="F470" s="120" t="n">
        <v>5374600</v>
      </c>
      <c r="G470" s="121" t="n">
        <v>0.01263626764379411</v>
      </c>
      <c r="H470" s="122" t="n">
        <v>64.66900347293762</v>
      </c>
      <c r="I470" s="119" t="n">
        <v>106.3716230773926</v>
      </c>
      <c r="J470" s="119" t="n">
        <v>105.2113982772827</v>
      </c>
      <c r="K470" s="121" t="n">
        <v>0.3107975399298214</v>
      </c>
      <c r="L470" s="121" t="n">
        <v>-0.1703549264526406</v>
      </c>
      <c r="M470" s="121" t="n">
        <v>-0.1781404357662955</v>
      </c>
      <c r="N470" t="n">
        <v>39.72036055932924</v>
      </c>
      <c r="O470" t="n">
        <v>-0.4015539246861983</v>
      </c>
      <c r="P470" t="n">
        <v>101.5535060345425</v>
      </c>
      <c r="Q470" t="n">
        <v>99.62460710991211</v>
      </c>
    </row>
    <row r="471">
      <c r="A471" s="118" t="n">
        <v>45118</v>
      </c>
      <c r="B471" s="119" t="n">
        <v>99.25284155891545</v>
      </c>
      <c r="C471" s="119" t="n">
        <v>101.1035582291033</v>
      </c>
      <c r="D471" s="119" t="n">
        <v>99.2246592205765</v>
      </c>
      <c r="E471" s="119" t="n">
        <v>100.8874816894531</v>
      </c>
      <c r="F471" s="120" t="n">
        <v>5454900</v>
      </c>
      <c r="G471" s="121" t="n">
        <v>0.01522033124060718</v>
      </c>
      <c r="H471" s="122" t="n">
        <v>65.6532871267957</v>
      </c>
      <c r="I471" s="119" t="n">
        <v>106.0353454589844</v>
      </c>
      <c r="J471" s="119" t="n">
        <v>105.2513891983032</v>
      </c>
      <c r="K471" s="121" t="n">
        <v>0.3151434370337366</v>
      </c>
      <c r="L471" s="121" t="n">
        <v>-0.157727453621112</v>
      </c>
      <c r="M471" s="121" t="n">
        <v>-0.1656314609653974</v>
      </c>
      <c r="N471" t="n">
        <v>44.26271846609433</v>
      </c>
      <c r="O471" t="n">
        <v>-0.2916549301635547</v>
      </c>
      <c r="P471" t="n">
        <v>102.2002685270885</v>
      </c>
      <c r="Q471" t="n">
        <v>100.1168253003274</v>
      </c>
    </row>
    <row r="472">
      <c r="A472" s="118" t="n">
        <v>45119</v>
      </c>
      <c r="B472" s="119" t="n">
        <v>101.9584421586902</v>
      </c>
      <c r="C472" s="119" t="n">
        <v>102.4845315287177</v>
      </c>
      <c r="D472" s="119" t="n">
        <v>100.7277657391915</v>
      </c>
      <c r="E472" s="119" t="n">
        <v>101.2350692749023</v>
      </c>
      <c r="F472" s="120" t="n">
        <v>8305000</v>
      </c>
      <c r="G472" s="121" t="n">
        <v>0.003445299452702555</v>
      </c>
      <c r="H472" s="122" t="n">
        <v>65.87948236100178</v>
      </c>
      <c r="I472" s="119" t="n">
        <v>105.6869180297852</v>
      </c>
      <c r="J472" s="119" t="n">
        <v>105.2988893127441</v>
      </c>
      <c r="K472" s="121" t="n">
        <v>0.3138064999735883</v>
      </c>
      <c r="L472" s="121" t="n">
        <v>-0.1548255724780464</v>
      </c>
      <c r="M472" s="121" t="n">
        <v>-0.1627568114945092</v>
      </c>
      <c r="N472" t="n">
        <v>45.2831402713098</v>
      </c>
      <c r="O472" t="n">
        <v>-0.1756966573505636</v>
      </c>
      <c r="P472" t="n">
        <v>103.0225540804043</v>
      </c>
      <c r="Q472" t="n">
        <v>101.381284394374</v>
      </c>
    </row>
    <row r="473">
      <c r="A473" s="118" t="n">
        <v>45120</v>
      </c>
      <c r="B473" s="119" t="n">
        <v>102.4657447147899</v>
      </c>
      <c r="C473" s="119" t="n">
        <v>102.5221093846311</v>
      </c>
      <c r="D473" s="119" t="n">
        <v>101.1599106356486</v>
      </c>
      <c r="E473" s="119" t="n">
        <v>101.3102188110352</v>
      </c>
      <c r="F473" s="120" t="n">
        <v>6692300</v>
      </c>
      <c r="G473" s="121" t="n">
        <v>0.0007423271073065951</v>
      </c>
      <c r="H473" s="122" t="n">
        <v>65.92838648657367</v>
      </c>
      <c r="I473" s="119" t="n">
        <v>105.3175205993652</v>
      </c>
      <c r="J473" s="119" t="n">
        <v>105.3538862228393</v>
      </c>
      <c r="K473" s="121" t="n">
        <v>0.3137803853537335</v>
      </c>
      <c r="L473" s="121" t="n">
        <v>-0.1541981765900946</v>
      </c>
      <c r="M473" s="121" t="n">
        <v>-0.1621353031802738</v>
      </c>
      <c r="N473" t="n">
        <v>45.51538963228209</v>
      </c>
      <c r="O473" t="n">
        <v>-0.07900518218622765</v>
      </c>
      <c r="P473" t="n">
        <v>103.8402300406448</v>
      </c>
      <c r="Q473" t="n">
        <v>103.1026253184811</v>
      </c>
    </row>
    <row r="474">
      <c r="A474" s="118" t="n">
        <v>45121</v>
      </c>
      <c r="B474" s="119" t="n">
        <v>101.4041772552824</v>
      </c>
      <c r="C474" s="119" t="n">
        <v>102.0617890119269</v>
      </c>
      <c r="D474" s="119" t="n">
        <v>100.6995901585502</v>
      </c>
      <c r="E474" s="119" t="n">
        <v>101.4135665893555</v>
      </c>
      <c r="F474" s="120" t="n">
        <v>6933600</v>
      </c>
      <c r="G474" s="121" t="n">
        <v>0.001020112082800617</v>
      </c>
      <c r="H474" s="122" t="n">
        <v>65.99564083022817</v>
      </c>
      <c r="I474" s="119" t="n">
        <v>104.962550201416</v>
      </c>
      <c r="J474" s="119" t="n">
        <v>105.4138679122925</v>
      </c>
      <c r="K474" s="121" t="n">
        <v>0.233243838907047</v>
      </c>
      <c r="L474" s="121" t="n">
        <v>-0.1533353639303794</v>
      </c>
      <c r="M474" s="121" t="n">
        <v>-0.161280587279296</v>
      </c>
      <c r="N474" t="n">
        <v>45.85575486392612</v>
      </c>
      <c r="O474" t="n">
        <v>0.002521125300081861</v>
      </c>
      <c r="P474" t="n">
        <v>103.7755494013015</v>
      </c>
      <c r="Q474" t="n">
        <v>103.0808577827595</v>
      </c>
    </row>
    <row r="475">
      <c r="A475" s="118" t="n">
        <v>45124</v>
      </c>
      <c r="B475" s="119" t="n">
        <v>100.7653418630385</v>
      </c>
      <c r="C475" s="119" t="n">
        <v>102.4939252708479</v>
      </c>
      <c r="D475" s="119" t="n">
        <v>100.2956171760342</v>
      </c>
      <c r="E475" s="119" t="n">
        <v>102.1275405883789</v>
      </c>
      <c r="F475" s="120" t="n">
        <v>6682900</v>
      </c>
      <c r="G475" s="121" t="n">
        <v>0.007040221767512289</v>
      </c>
      <c r="H475" s="122" t="n">
        <v>66.46026477736207</v>
      </c>
      <c r="I475" s="119" t="n">
        <v>104.631597442627</v>
      </c>
      <c r="J475" s="119" t="n">
        <v>105.476348991394</v>
      </c>
      <c r="K475" s="121" t="n">
        <v>0.2353469369462944</v>
      </c>
      <c r="L475" s="121" t="n">
        <v>-0.1473746571297391</v>
      </c>
      <c r="M475" s="121" t="n">
        <v>-0.1553758166130245</v>
      </c>
      <c r="N475" t="n">
        <v>48.26044945918105</v>
      </c>
      <c r="O475" t="n">
        <v>0.1092314484462042</v>
      </c>
      <c r="P475" t="n">
        <v>104.1358732435071</v>
      </c>
      <c r="Q475" t="n">
        <v>104.0434844099946</v>
      </c>
    </row>
    <row r="476">
      <c r="A476" s="118" t="n">
        <v>45125</v>
      </c>
      <c r="B476" s="119" t="n">
        <v>102.005406244973</v>
      </c>
      <c r="C476" s="119" t="n">
        <v>103.6588318448184</v>
      </c>
      <c r="D476" s="119" t="n">
        <v>101.7517509213794</v>
      </c>
      <c r="E476" s="119" t="n">
        <v>103.0763778686523</v>
      </c>
      <c r="F476" s="120" t="n">
        <v>5717200</v>
      </c>
      <c r="G476" s="121" t="n">
        <v>0.009290709193690461</v>
      </c>
      <c r="H476" s="122" t="n">
        <v>67.07772777034421</v>
      </c>
      <c r="I476" s="119" t="n">
        <v>104.3771141052246</v>
      </c>
      <c r="J476" s="119" t="n">
        <v>105.5323575592041</v>
      </c>
      <c r="K476" s="121" t="n">
        <v>0.2345643716031391</v>
      </c>
      <c r="L476" s="121" t="n">
        <v>-0.1394531630179608</v>
      </c>
      <c r="M476" s="121" t="n">
        <v>-0.1475286589472179</v>
      </c>
      <c r="N476" t="n">
        <v>51.35260439019029</v>
      </c>
      <c r="O476" t="n">
        <v>0.2408721586023561</v>
      </c>
      <c r="P476" t="n">
        <v>104.9096922182019</v>
      </c>
      <c r="Q476" t="n">
        <v>104.8946305197231</v>
      </c>
    </row>
    <row r="477">
      <c r="A477" s="118" t="n">
        <v>45126</v>
      </c>
      <c r="B477" s="119" t="n">
        <v>102.4751521663898</v>
      </c>
      <c r="C477" s="119" t="n">
        <v>103.5743063503324</v>
      </c>
      <c r="D477" s="119" t="n">
        <v>102.0054274210368</v>
      </c>
      <c r="E477" s="119" t="n">
        <v>103.2267074584961</v>
      </c>
      <c r="F477" s="120" t="n">
        <v>5027100</v>
      </c>
      <c r="G477" s="121" t="n">
        <v>0.001458429108125214</v>
      </c>
      <c r="H477" s="122" t="n">
        <v>67.17555588103139</v>
      </c>
      <c r="I477" s="119" t="n">
        <v>104.0709535217285</v>
      </c>
      <c r="J477" s="119" t="n">
        <v>105.6048025512695</v>
      </c>
      <c r="K477" s="121" t="n">
        <v>0.1971710531107841</v>
      </c>
      <c r="L477" s="121" t="n">
        <v>-0.1381981164620011</v>
      </c>
      <c r="M477" s="121" t="n">
        <v>-0.1462853899295841</v>
      </c>
      <c r="N477" t="n">
        <v>51.84365866292452</v>
      </c>
      <c r="O477" t="n">
        <v>0.3297300370856409</v>
      </c>
      <c r="P477" t="n">
        <v>105.1429668950731</v>
      </c>
      <c r="Q477" t="n">
        <v>104.8701694836543</v>
      </c>
    </row>
    <row r="478">
      <c r="A478" s="118" t="n">
        <v>45127</v>
      </c>
      <c r="B478" s="119" t="n">
        <v>102.9354749111363</v>
      </c>
      <c r="C478" s="119" t="n">
        <v>103.3582242923984</v>
      </c>
      <c r="D478" s="119" t="n">
        <v>100.972029020815</v>
      </c>
      <c r="E478" s="119" t="n">
        <v>101.0189971923828</v>
      </c>
      <c r="F478" s="120" t="n">
        <v>6458000</v>
      </c>
      <c r="G478" s="121" t="n">
        <v>-0.02138700652639658</v>
      </c>
      <c r="H478" s="122" t="n">
        <v>65.73887182898945</v>
      </c>
      <c r="I478" s="119" t="n">
        <v>103.7152081298828</v>
      </c>
      <c r="J478" s="119" t="n">
        <v>105.7230372238159</v>
      </c>
      <c r="K478" s="121" t="n">
        <v>0.2108437005564194</v>
      </c>
      <c r="L478" s="121" t="n">
        <v>-0.1566294789696892</v>
      </c>
      <c r="M478" s="121" t="n">
        <v>-0.1645437898668402</v>
      </c>
      <c r="N478" t="n">
        <v>44.70653533006781</v>
      </c>
      <c r="O478" t="n">
        <v>0.2358782724486119</v>
      </c>
      <c r="P478" t="n">
        <v>104.4454110769252</v>
      </c>
      <c r="Q478" t="n">
        <v>102.4526980387687</v>
      </c>
    </row>
    <row r="479">
      <c r="A479" s="118" t="n">
        <v>45128</v>
      </c>
      <c r="B479" s="119" t="n">
        <v>101.4605305794199</v>
      </c>
      <c r="C479" s="119" t="n">
        <v>102.6724211103212</v>
      </c>
      <c r="D479" s="119" t="n">
        <v>101.0002024012639</v>
      </c>
      <c r="E479" s="119" t="n">
        <v>102.4563446044922</v>
      </c>
      <c r="F479" s="120" t="n">
        <v>6631600</v>
      </c>
      <c r="G479" s="121" t="n">
        <v>0.01422848624573114</v>
      </c>
      <c r="H479" s="122" t="n">
        <v>66.6742364626181</v>
      </c>
      <c r="I479" s="119" t="n">
        <v>103.421544342041</v>
      </c>
      <c r="J479" s="119" t="n">
        <v>105.8378470230103</v>
      </c>
      <c r="K479" s="121" t="n">
        <v>0.2170151831951107</v>
      </c>
      <c r="L479" s="121" t="n">
        <v>-0.1446295931111544</v>
      </c>
      <c r="M479" s="121" t="n">
        <v>-0.1526565126720497</v>
      </c>
      <c r="N479" t="n">
        <v>49.57383266428342</v>
      </c>
      <c r="O479" t="n">
        <v>0.2645089589713587</v>
      </c>
      <c r="P479" t="n">
        <v>104.4454110769252</v>
      </c>
      <c r="Q479" t="n">
        <v>102.1454025790899</v>
      </c>
    </row>
    <row r="480">
      <c r="A480" s="118" t="n">
        <v>45131</v>
      </c>
      <c r="B480" s="119" t="n">
        <v>103.7246178865839</v>
      </c>
      <c r="C480" s="119" t="n">
        <v>103.8561402370412</v>
      </c>
      <c r="D480" s="119" t="n">
        <v>101.9396624865385</v>
      </c>
      <c r="E480" s="119" t="n">
        <v>102.1839141845703</v>
      </c>
      <c r="F480" s="120" t="n">
        <v>6787600</v>
      </c>
      <c r="G480" s="121" t="n">
        <v>-0.00265899023602223</v>
      </c>
      <c r="H480" s="122" t="n">
        <v>66.49695031886976</v>
      </c>
      <c r="I480" s="119" t="n">
        <v>103.1522082519531</v>
      </c>
      <c r="J480" s="119" t="n">
        <v>105.9362149047852</v>
      </c>
      <c r="K480" s="121" t="n">
        <v>0.2151540652170828</v>
      </c>
      <c r="L480" s="121" t="n">
        <v>-0.1469040146712541</v>
      </c>
      <c r="M480" s="121" t="n">
        <v>-0.1549095907314119</v>
      </c>
      <c r="N480" t="n">
        <v>48.69882652156231</v>
      </c>
      <c r="O480" t="n">
        <v>0.2586915087945474</v>
      </c>
      <c r="P480" t="n">
        <v>104.9119970147396</v>
      </c>
      <c r="Q480" t="n">
        <v>102.3085831048291</v>
      </c>
    </row>
    <row r="481">
      <c r="A481" s="118" t="n">
        <v>45132</v>
      </c>
      <c r="B481" s="119" t="n">
        <v>101.7235852321146</v>
      </c>
      <c r="C481" s="119" t="n">
        <v>102.2590711315642</v>
      </c>
      <c r="D481" s="119" t="n">
        <v>100.8874757955605</v>
      </c>
      <c r="E481" s="119" t="n">
        <v>101.7423782348633</v>
      </c>
      <c r="F481" s="120" t="n">
        <v>7692800</v>
      </c>
      <c r="G481" s="121" t="n">
        <v>-0.004320992724055395</v>
      </c>
      <c r="H481" s="122" t="n">
        <v>66.20961748037006</v>
      </c>
      <c r="I481" s="119" t="n">
        <v>102.8981999206543</v>
      </c>
      <c r="J481" s="119" t="n">
        <v>106.0209256744385</v>
      </c>
      <c r="K481" s="121" t="n">
        <v>0.2012990369512361</v>
      </c>
      <c r="L481" s="121" t="n">
        <v>-0.1505902362167805</v>
      </c>
      <c r="M481" s="121" t="n">
        <v>-0.1585612202410304</v>
      </c>
      <c r="N481" t="n">
        <v>47.2433849829863</v>
      </c>
      <c r="O481" t="n">
        <v>0.2202060641309052</v>
      </c>
      <c r="P481" t="n">
        <v>105.1984063978224</v>
      </c>
      <c r="Q481" t="n">
        <v>103.0019947945361</v>
      </c>
    </row>
    <row r="482">
      <c r="A482" s="118" t="n">
        <v>45133</v>
      </c>
      <c r="B482" s="119" t="n">
        <v>101.7423818768542</v>
      </c>
      <c r="C482" s="119" t="n">
        <v>102.9542654025968</v>
      </c>
      <c r="D482" s="119" t="n">
        <v>101.4135688238564</v>
      </c>
      <c r="E482" s="119" t="n">
        <v>102.6818313598633</v>
      </c>
      <c r="F482" s="120" t="n">
        <v>5148900</v>
      </c>
      <c r="G482" s="121" t="n">
        <v>0.009233646208184343</v>
      </c>
      <c r="H482" s="122" t="n">
        <v>66.820973663763</v>
      </c>
      <c r="I482" s="119" t="n">
        <v>102.7006225585938</v>
      </c>
      <c r="J482" s="119" t="n">
        <v>106.1146622085571</v>
      </c>
      <c r="K482" s="121" t="n">
        <v>0.1939188982332089</v>
      </c>
      <c r="L482" s="121" t="n">
        <v>-0.1427470869722289</v>
      </c>
      <c r="M482" s="121" t="n">
        <v>-0.1507916722428897</v>
      </c>
      <c r="N482" t="n">
        <v>50.6246571010061</v>
      </c>
      <c r="O482" t="n">
        <v>0.2508920263528801</v>
      </c>
      <c r="P482" t="n">
        <v>105.2145692408438</v>
      </c>
      <c r="Q482" t="n">
        <v>102.6593629745025</v>
      </c>
    </row>
    <row r="483">
      <c r="A483" s="118" t="n">
        <v>45134</v>
      </c>
      <c r="B483" s="119" t="n">
        <v>103.1797423547773</v>
      </c>
      <c r="C483" s="119" t="n">
        <v>103.5555235957281</v>
      </c>
      <c r="D483" s="119" t="n">
        <v>100.8968797377326</v>
      </c>
      <c r="E483" s="119" t="n">
        <v>101.1505279541016</v>
      </c>
      <c r="F483" s="120" t="n">
        <v>6544600</v>
      </c>
      <c r="G483" s="121" t="n">
        <v>-0.01491309012979181</v>
      </c>
      <c r="H483" s="122" t="n">
        <v>65.82446646095487</v>
      </c>
      <c r="I483" s="119" t="n">
        <v>102.4795358276367</v>
      </c>
      <c r="J483" s="119" t="n">
        <v>106.2147514343262</v>
      </c>
      <c r="K483" s="121" t="n">
        <v>0.1991500426734363</v>
      </c>
      <c r="L483" s="121" t="n">
        <v>-0.1511517552582256</v>
      </c>
      <c r="M483" s="121" t="n">
        <v>-0.1634559925737012</v>
      </c>
      <c r="N483" t="n">
        <v>45.50508199617227</v>
      </c>
      <c r="O483" t="n">
        <v>0.1650749341583327</v>
      </c>
      <c r="P483" t="n">
        <v>104.5170134226959</v>
      </c>
      <c r="Q483" t="n">
        <v>102.4146259601928</v>
      </c>
    </row>
    <row r="484">
      <c r="A484" s="118" t="n">
        <v>45135</v>
      </c>
      <c r="B484" s="119" t="n">
        <v>101.5638856468448</v>
      </c>
      <c r="C484" s="119" t="n">
        <v>102.3624162854373</v>
      </c>
      <c r="D484" s="119" t="n">
        <v>101.1129467348249</v>
      </c>
      <c r="E484" s="119" t="n">
        <v>102.0430068969727</v>
      </c>
      <c r="F484" s="120" t="n">
        <v>5988300</v>
      </c>
      <c r="G484" s="121" t="n">
        <v>0.008823275181282897</v>
      </c>
      <c r="H484" s="122" t="n">
        <v>66.40525384220099</v>
      </c>
      <c r="I484" s="119" t="n">
        <v>102.3390350341797</v>
      </c>
      <c r="J484" s="119" t="n">
        <v>106.3214905166626</v>
      </c>
      <c r="K484" s="121" t="n">
        <v>0.2022708761374671</v>
      </c>
      <c r="L484" s="121" t="n">
        <v>-0.1410974382191308</v>
      </c>
      <c r="M484" s="121" t="n">
        <v>-0.1560749345949258</v>
      </c>
      <c r="N484" t="n">
        <v>48.75762105690838</v>
      </c>
      <c r="O484" t="n">
        <v>0.1650385461996444</v>
      </c>
      <c r="P484" t="n">
        <v>105.5402626004688</v>
      </c>
      <c r="Q484" t="n">
        <v>104.2800733746646</v>
      </c>
    </row>
    <row r="485">
      <c r="A485" s="118" t="n">
        <v>45138</v>
      </c>
      <c r="B485" s="119" t="n">
        <v>102.7851693442782</v>
      </c>
      <c r="C485" s="119" t="n">
        <v>104.1379716992128</v>
      </c>
      <c r="D485" s="119" t="n">
        <v>102.4469669636869</v>
      </c>
      <c r="E485" s="119" t="n">
        <v>103.7058258056641</v>
      </c>
      <c r="F485" s="120" t="n">
        <v>6406000</v>
      </c>
      <c r="G485" s="121" t="n">
        <v>0.0162952754848773</v>
      </c>
      <c r="H485" s="122" t="n">
        <v>67.48734574720287</v>
      </c>
      <c r="I485" s="119" t="n">
        <v>102.2224266052246</v>
      </c>
      <c r="J485" s="119" t="n">
        <v>106.4304932403564</v>
      </c>
      <c r="K485" s="121" t="n">
        <v>0.1904530364153703</v>
      </c>
      <c r="L485" s="121" t="n">
        <v>-0.1271013843602447</v>
      </c>
      <c r="M485" s="121" t="n">
        <v>-0.142322943165557</v>
      </c>
      <c r="N485" t="n">
        <v>54.23791643537186</v>
      </c>
      <c r="O485" t="n">
        <v>0.2675548900579129</v>
      </c>
      <c r="P485" t="n">
        <v>105.7412115912972</v>
      </c>
      <c r="Q485" t="n">
        <v>104.3344668832443</v>
      </c>
    </row>
    <row r="486">
      <c r="A486" s="118" t="n">
        <v>45139</v>
      </c>
      <c r="B486" s="119" t="n">
        <v>103.3394326645618</v>
      </c>
      <c r="C486" s="119" t="n">
        <v>103.8373396933386</v>
      </c>
      <c r="D486" s="119" t="n">
        <v>102.5315056176081</v>
      </c>
      <c r="E486" s="119" t="n">
        <v>102.775764465332</v>
      </c>
      <c r="F486" s="120" t="n">
        <v>4566700</v>
      </c>
      <c r="G486" s="121" t="n">
        <v>-0.008968265120176455</v>
      </c>
      <c r="H486" s="122" t="n">
        <v>66.88210133828494</v>
      </c>
      <c r="I486" s="119" t="n">
        <v>102.0518223571777</v>
      </c>
      <c r="J486" s="119" t="n">
        <v>106.5324253463745</v>
      </c>
      <c r="K486" s="121" t="n">
        <v>0.1886835443428531</v>
      </c>
      <c r="L486" s="121" t="n">
        <v>-0.134929770568337</v>
      </c>
      <c r="M486" s="121" t="n">
        <v>-0.150014818398741</v>
      </c>
      <c r="N486" t="n">
        <v>50.95533388766631</v>
      </c>
      <c r="O486" t="n">
        <v>0.2628938515303308</v>
      </c>
      <c r="P486" t="n">
        <v>105.438639365193</v>
      </c>
      <c r="Q486" t="n">
        <v>104.0924402564313</v>
      </c>
    </row>
    <row r="487">
      <c r="A487" s="118" t="n">
        <v>45140</v>
      </c>
      <c r="B487" s="119" t="n">
        <v>101.7235711867323</v>
      </c>
      <c r="C487" s="119" t="n">
        <v>101.949037016572</v>
      </c>
      <c r="D487" s="119" t="n">
        <v>100.9438265312257</v>
      </c>
      <c r="E487" s="119" t="n">
        <v>101.0001983642578</v>
      </c>
      <c r="F487" s="120" t="n">
        <v>6213200</v>
      </c>
      <c r="G487" s="121" t="n">
        <v>-0.01727611670232965</v>
      </c>
      <c r="H487" s="122" t="n">
        <v>65.72663835026769</v>
      </c>
      <c r="I487" s="119" t="n">
        <v>101.9226760864258</v>
      </c>
      <c r="J487" s="119" t="n">
        <v>106.6205927658081</v>
      </c>
      <c r="K487" s="121" t="n">
        <v>0.1872221907639393</v>
      </c>
      <c r="L487" s="121" t="n">
        <v>-0.1498748248077094</v>
      </c>
      <c r="M487" s="121" t="n">
        <v>-0.1646992615913351</v>
      </c>
      <c r="N487" t="n">
        <v>45.31661947396818</v>
      </c>
      <c r="O487" t="n">
        <v>0.1367431185930018</v>
      </c>
      <c r="P487" t="n">
        <v>103.9718961158689</v>
      </c>
      <c r="Q487" t="n">
        <v>101.8082253083488</v>
      </c>
    </row>
    <row r="488">
      <c r="A488" s="118" t="n">
        <v>45141</v>
      </c>
      <c r="B488" s="119" t="n">
        <v>100.521086385337</v>
      </c>
      <c r="C488" s="119" t="n">
        <v>102.4845322024037</v>
      </c>
      <c r="D488" s="119" t="n">
        <v>100.1922805269083</v>
      </c>
      <c r="E488" s="119" t="n">
        <v>102.0617828369141</v>
      </c>
      <c r="F488" s="120" t="n">
        <v>5084300</v>
      </c>
      <c r="G488" s="121" t="n">
        <v>0.01051071670995762</v>
      </c>
      <c r="H488" s="122" t="n">
        <v>66.41747242626519</v>
      </c>
      <c r="I488" s="119" t="n">
        <v>101.9005328369141</v>
      </c>
      <c r="J488" s="119" t="n">
        <v>106.7234231185913</v>
      </c>
      <c r="K488" s="121" t="n">
        <v>0.1764316453195907</v>
      </c>
      <c r="L488" s="121" t="n">
        <v>-0.1287161613610983</v>
      </c>
      <c r="M488" s="121" t="n">
        <v>-0.1559196521623032</v>
      </c>
      <c r="N488" t="n">
        <v>48.95373280012834</v>
      </c>
      <c r="O488" t="n">
        <v>0.1218066850077538</v>
      </c>
      <c r="P488" t="n">
        <v>103.6739188492113</v>
      </c>
      <c r="Q488" t="n">
        <v>101.6450616697591</v>
      </c>
    </row>
    <row r="489">
      <c r="A489" s="118" t="n">
        <v>45142</v>
      </c>
      <c r="B489" s="119" t="n">
        <v>102.1275530666381</v>
      </c>
      <c r="C489" s="119" t="n">
        <v>103.6306708152213</v>
      </c>
      <c r="D489" s="119" t="n">
        <v>101.6860106601162</v>
      </c>
      <c r="E489" s="119" t="n">
        <v>102.2214965820312</v>
      </c>
      <c r="F489" s="120" t="n">
        <v>5621400</v>
      </c>
      <c r="G489" s="121" t="n">
        <v>0.001564873164839664</v>
      </c>
      <c r="H489" s="122" t="n">
        <v>66.52140734654152</v>
      </c>
      <c r="I489" s="119" t="n">
        <v>101.9078021240234</v>
      </c>
      <c r="J489" s="119" t="n">
        <v>106.8157886886597</v>
      </c>
      <c r="K489" s="121" t="n">
        <v>0.174015656504926</v>
      </c>
      <c r="L489" s="121" t="n">
        <v>-0.1161187951027834</v>
      </c>
      <c r="M489" s="121" t="n">
        <v>-0.1545987734770033</v>
      </c>
      <c r="N489" t="n">
        <v>49.49796319312929</v>
      </c>
      <c r="O489" t="n">
        <v>0.119527307236023</v>
      </c>
      <c r="P489" t="n">
        <v>103.2050354316736</v>
      </c>
      <c r="Q489" t="n">
        <v>101.1691986836467</v>
      </c>
    </row>
    <row r="490">
      <c r="A490" s="118" t="n">
        <v>45145</v>
      </c>
      <c r="B490" s="119" t="n">
        <v>103.2173176252984</v>
      </c>
      <c r="C490" s="119" t="n">
        <v>104.2225282887984</v>
      </c>
      <c r="D490" s="119" t="n">
        <v>102.5690951862662</v>
      </c>
      <c r="E490" s="119" t="n">
        <v>103.7903823852539</v>
      </c>
      <c r="F490" s="120" t="n">
        <v>4887300</v>
      </c>
      <c r="G490" s="121" t="n">
        <v>0.01534790485055804</v>
      </c>
      <c r="H490" s="122" t="n">
        <v>67.54237157702147</v>
      </c>
      <c r="I490" s="119" t="n">
        <v>101.9556256103516</v>
      </c>
      <c r="J490" s="119" t="n">
        <v>106.9173484039307</v>
      </c>
      <c r="K490" s="121" t="n">
        <v>0.1764426801264596</v>
      </c>
      <c r="L490" s="121" t="n">
        <v>-0.0930806734769547</v>
      </c>
      <c r="M490" s="121" t="n">
        <v>-0.1416236358917834</v>
      </c>
      <c r="N490" t="n">
        <v>54.61654957208446</v>
      </c>
      <c r="O490" t="n">
        <v>0.2149582573439233</v>
      </c>
      <c r="P490" t="n">
        <v>104.1058669876308</v>
      </c>
      <c r="Q490" t="n">
        <v>102.0257655683687</v>
      </c>
    </row>
    <row r="491">
      <c r="A491" s="118" t="n">
        <v>45146</v>
      </c>
      <c r="B491" s="119" t="n">
        <v>102.9918459296803</v>
      </c>
      <c r="C491" s="119" t="n">
        <v>103.2361048061458</v>
      </c>
      <c r="D491" s="119" t="n">
        <v>100.8499022201097</v>
      </c>
      <c r="E491" s="119" t="n">
        <v>103.0482177734375</v>
      </c>
      <c r="F491" s="120" t="n">
        <v>5851900</v>
      </c>
      <c r="G491" s="121" t="n">
        <v>-0.007150610632318588</v>
      </c>
      <c r="H491" s="122" t="n">
        <v>67.0594023766908</v>
      </c>
      <c r="I491" s="119" t="n">
        <v>102.003775177002</v>
      </c>
      <c r="J491" s="119" t="n">
        <v>107.0203635787964</v>
      </c>
      <c r="K491" s="121" t="n">
        <v>0.1724296396535956</v>
      </c>
      <c r="L491" s="121" t="n">
        <v>-0.08450979546896997</v>
      </c>
      <c r="M491" s="121" t="n">
        <v>-0.1477615510475065</v>
      </c>
      <c r="N491" t="n">
        <v>51.93494691559727</v>
      </c>
      <c r="O491" t="n">
        <v>0.2186537281036181</v>
      </c>
      <c r="P491" t="n">
        <v>103.6531244626713</v>
      </c>
      <c r="Q491" t="n">
        <v>101.1583064722111</v>
      </c>
    </row>
    <row r="492">
      <c r="A492" s="118" t="n">
        <v>45147</v>
      </c>
      <c r="B492" s="119" t="n">
        <v>103.1421612897917</v>
      </c>
      <c r="C492" s="119" t="n">
        <v>103.3582306606631</v>
      </c>
      <c r="D492" s="119" t="n">
        <v>101.7423835440514</v>
      </c>
      <c r="E492" s="119" t="n">
        <v>103.0482177734375</v>
      </c>
      <c r="F492" s="120" t="n">
        <v>4328600</v>
      </c>
      <c r="G492" s="121" t="n">
        <v>0</v>
      </c>
      <c r="H492" s="122" t="n">
        <v>67.0594023766908</v>
      </c>
      <c r="I492" s="119" t="n">
        <v>102.0513629150391</v>
      </c>
      <c r="J492" s="119" t="n">
        <v>107.1314771270752</v>
      </c>
      <c r="K492" s="121" t="n">
        <v>0.1722460300078182</v>
      </c>
      <c r="L492" s="121" t="n">
        <v>-0.08160650404204361</v>
      </c>
      <c r="M492" s="121" t="n">
        <v>-0.1477615510475065</v>
      </c>
      <c r="N492" t="n">
        <v>51.93494691559727</v>
      </c>
      <c r="O492" t="n">
        <v>0.2115223105545624</v>
      </c>
      <c r="P492" t="n">
        <v>102.9601928712276</v>
      </c>
      <c r="Q492" t="n">
        <v>100.0461103617438</v>
      </c>
    </row>
    <row r="493">
      <c r="A493" s="118" t="n">
        <v>45148</v>
      </c>
      <c r="B493" s="119" t="n">
        <v>103.6306633628805</v>
      </c>
      <c r="C493" s="119" t="n">
        <v>105.1713598403119</v>
      </c>
      <c r="D493" s="119" t="n">
        <v>101.9490480387778</v>
      </c>
      <c r="E493" s="119" t="n">
        <v>102.4281692504883</v>
      </c>
      <c r="F493" s="120" t="n">
        <v>7276500</v>
      </c>
      <c r="G493" s="121" t="n">
        <v>-0.006017071778111283</v>
      </c>
      <c r="H493" s="122" t="n">
        <v>66.65590113919301</v>
      </c>
      <c r="I493" s="119" t="n">
        <v>102.1050895690918</v>
      </c>
      <c r="J493" s="119" t="n">
        <v>107.2317179107666</v>
      </c>
      <c r="K493" s="121" t="n">
        <v>0.1740130761565036</v>
      </c>
      <c r="L493" s="121" t="n">
        <v>-0.07976038544400643</v>
      </c>
      <c r="M493" s="121" t="n">
        <v>-0.1528895309669199</v>
      </c>
      <c r="N493" t="n">
        <v>49.57642365685294</v>
      </c>
      <c r="O493" t="n">
        <v>0.1579264995367498</v>
      </c>
      <c r="P493" t="n">
        <v>102.9971574176034</v>
      </c>
      <c r="Q493" t="n">
        <v>100.2310246489056</v>
      </c>
    </row>
    <row r="494">
      <c r="A494" s="118" t="n">
        <v>45149</v>
      </c>
      <c r="B494" s="119" t="n">
        <v>102.3060486658559</v>
      </c>
      <c r="C494" s="119" t="n">
        <v>102.897899251388</v>
      </c>
      <c r="D494" s="119" t="n">
        <v>101.3290203574478</v>
      </c>
      <c r="E494" s="119" t="n">
        <v>101.5450897216797</v>
      </c>
      <c r="F494" s="120" t="n">
        <v>5104300</v>
      </c>
      <c r="G494" s="121" t="n">
        <v>-0.008621451845429617</v>
      </c>
      <c r="H494" s="122" t="n">
        <v>66.08123049730774</v>
      </c>
      <c r="I494" s="119" t="n">
        <v>102.1647511291504</v>
      </c>
      <c r="J494" s="119" t="n">
        <v>107.3298238372803</v>
      </c>
      <c r="K494" s="121" t="n">
        <v>0.1770478792320643</v>
      </c>
      <c r="L494" s="121" t="n">
        <v>-0.08769418696715758</v>
      </c>
      <c r="M494" s="121" t="n">
        <v>-0.1601928530834479</v>
      </c>
      <c r="N494" t="n">
        <v>46.34814057446364</v>
      </c>
      <c r="O494" t="n">
        <v>0.06087131709078361</v>
      </c>
      <c r="P494" t="n">
        <v>102.9370863713355</v>
      </c>
      <c r="Q494" t="n">
        <v>99.59198113705398</v>
      </c>
    </row>
    <row r="495">
      <c r="A495" s="118" t="n">
        <v>45152</v>
      </c>
      <c r="B495" s="119" t="n">
        <v>101.385366739741</v>
      </c>
      <c r="C495" s="119" t="n">
        <v>101.7423620609096</v>
      </c>
      <c r="D495" s="119" t="n">
        <v>100.586836268196</v>
      </c>
      <c r="E495" s="119" t="n">
        <v>101.1223220825195</v>
      </c>
      <c r="F495" s="120" t="n">
        <v>5305200</v>
      </c>
      <c r="G495" s="121" t="n">
        <v>-0.004163348915431575</v>
      </c>
      <c r="H495" s="122" t="n">
        <v>65.80611127798639</v>
      </c>
      <c r="I495" s="119" t="n">
        <v>102.2464828491211</v>
      </c>
      <c r="J495" s="119" t="n">
        <v>107.4085486602783</v>
      </c>
      <c r="K495" s="121" t="n">
        <v>0.1757045089404891</v>
      </c>
      <c r="L495" s="121" t="n">
        <v>-0.09149243438438981</v>
      </c>
      <c r="M495" s="121" t="n">
        <v>-0.1636892632577346</v>
      </c>
      <c r="N495" t="n">
        <v>44.84266258597056</v>
      </c>
      <c r="O495" t="n">
        <v>-0.02909827299828499</v>
      </c>
      <c r="P495" t="n">
        <v>103.5052955444257</v>
      </c>
      <c r="Q495" t="n">
        <v>100.7096149096643</v>
      </c>
    </row>
    <row r="496">
      <c r="A496" s="118" t="n">
        <v>45153</v>
      </c>
      <c r="B496" s="119" t="n">
        <v>99.64741159576755</v>
      </c>
      <c r="C496" s="119" t="n">
        <v>100.3519987449318</v>
      </c>
      <c r="D496" s="119" t="n">
        <v>99.20586916883566</v>
      </c>
      <c r="E496" s="119" t="n">
        <v>100.0983505249023</v>
      </c>
      <c r="F496" s="120" t="n">
        <v>6197600</v>
      </c>
      <c r="G496" s="121" t="n">
        <v>-0.01012606847360165</v>
      </c>
      <c r="H496" s="122" t="n">
        <v>65.13975408920405</v>
      </c>
      <c r="I496" s="119" t="n">
        <v>102.2233724975586</v>
      </c>
      <c r="J496" s="119" t="n">
        <v>107.4790352630615</v>
      </c>
      <c r="K496" s="121" t="n">
        <v>0.1749643593000509</v>
      </c>
      <c r="L496" s="121" t="n">
        <v>-0.06848438277330005</v>
      </c>
      <c r="M496" s="121" t="n">
        <v>-0.1721578030431949</v>
      </c>
      <c r="N496" t="n">
        <v>41.34011075557612</v>
      </c>
      <c r="O496" t="n">
        <v>-0.1482115051924455</v>
      </c>
      <c r="P496" t="n">
        <v>102.2995796490123</v>
      </c>
      <c r="Q496" t="n">
        <v>99.64093698349068</v>
      </c>
    </row>
    <row r="497">
      <c r="A497" s="118" t="n">
        <v>45154</v>
      </c>
      <c r="B497" s="119" t="n">
        <v>99.64741339364593</v>
      </c>
      <c r="C497" s="119" t="n">
        <v>101.8175395586481</v>
      </c>
      <c r="D497" s="119" t="n">
        <v>99.64741339364593</v>
      </c>
      <c r="E497" s="119" t="n">
        <v>100.0795593261719</v>
      </c>
      <c r="F497" s="120" t="n">
        <v>5953100</v>
      </c>
      <c r="G497" s="121" t="n">
        <v>-0.0001877273564642179</v>
      </c>
      <c r="H497" s="122" t="n">
        <v>65.12752557536815</v>
      </c>
      <c r="I497" s="119" t="n">
        <v>102.2483619689941</v>
      </c>
      <c r="J497" s="119" t="n">
        <v>107.5580382919312</v>
      </c>
      <c r="K497" s="121" t="n">
        <v>0.1747041695184941</v>
      </c>
      <c r="L497" s="121" t="n">
        <v>-0.0623183538767067</v>
      </c>
      <c r="M497" s="121" t="n">
        <v>-0.1723132116703991</v>
      </c>
      <c r="N497" t="n">
        <v>41.27639509129035</v>
      </c>
      <c r="O497" t="n">
        <v>-0.214861228974993</v>
      </c>
      <c r="P497" t="n">
        <v>101.5488964414672</v>
      </c>
      <c r="Q497" t="n">
        <v>98.58583632552509</v>
      </c>
    </row>
    <row r="498">
      <c r="A498" s="118" t="n">
        <v>45155</v>
      </c>
      <c r="B498" s="119" t="n">
        <v>100.925058021712</v>
      </c>
      <c r="C498" s="119" t="n">
        <v>101.3008392475653</v>
      </c>
      <c r="D498" s="119" t="n">
        <v>98.43551546379329</v>
      </c>
      <c r="E498" s="119" t="n">
        <v>98.68917083740234</v>
      </c>
      <c r="F498" s="120" t="n">
        <v>5692800</v>
      </c>
      <c r="G498" s="121" t="n">
        <v>-0.0138928318442938</v>
      </c>
      <c r="H498" s="122" t="n">
        <v>64.22271981411461</v>
      </c>
      <c r="I498" s="119" t="n">
        <v>102.2269424438477</v>
      </c>
      <c r="J498" s="119" t="n">
        <v>107.6147768783569</v>
      </c>
      <c r="K498" s="121" t="n">
        <v>0.1651474498991994</v>
      </c>
      <c r="L498" s="121" t="n">
        <v>-0.07534540730977834</v>
      </c>
      <c r="M498" s="121" t="n">
        <v>-0.1838121250404059</v>
      </c>
      <c r="N498" t="n">
        <v>36.76162498076025</v>
      </c>
      <c r="O498" t="n">
        <v>-0.3321763759642382</v>
      </c>
      <c r="P498" t="n">
        <v>100.7750921004012</v>
      </c>
      <c r="Q498" t="n">
        <v>97.5089765754127</v>
      </c>
    </row>
    <row r="499">
      <c r="A499" s="118" t="n">
        <v>45156</v>
      </c>
      <c r="B499" s="119" t="n">
        <v>97.54303529083026</v>
      </c>
      <c r="C499" s="119" t="n">
        <v>98.68916473345065</v>
      </c>
      <c r="D499" s="119" t="n">
        <v>97.47727411793058</v>
      </c>
      <c r="E499" s="119" t="n">
        <v>98.46369171142578</v>
      </c>
      <c r="F499" s="120" t="n">
        <v>5836100</v>
      </c>
      <c r="G499" s="121" t="n">
        <v>-0.00228474030193293</v>
      </c>
      <c r="H499" s="122" t="n">
        <v>64.07598757785557</v>
      </c>
      <c r="I499" s="119" t="n">
        <v>102.1841035461426</v>
      </c>
      <c r="J499" s="119" t="n">
        <v>107.6757405471802</v>
      </c>
      <c r="K499" s="121" t="n">
        <v>0.1548829034415082</v>
      </c>
      <c r="L499" s="121" t="n">
        <v>-0.07745800292306482</v>
      </c>
      <c r="M499" s="121" t="n">
        <v>-0.1856769023722752</v>
      </c>
      <c r="N499" t="n">
        <v>36.07255139290444</v>
      </c>
      <c r="O499" t="n">
        <v>-0.3999988835618298</v>
      </c>
      <c r="P499" t="n">
        <v>100.823609896723</v>
      </c>
      <c r="Q499" t="n">
        <v>97.38662917719472</v>
      </c>
    </row>
    <row r="500">
      <c r="A500" s="118" t="n">
        <v>45159</v>
      </c>
      <c r="B500" s="119" t="n">
        <v>99.08374646223251</v>
      </c>
      <c r="C500" s="119" t="n">
        <v>99.09314296473435</v>
      </c>
      <c r="D500" s="119" t="n">
        <v>96.41570597878383</v>
      </c>
      <c r="E500" s="119" t="n">
        <v>96.63178253173828</v>
      </c>
      <c r="F500" s="120" t="n">
        <v>6697600</v>
      </c>
      <c r="G500" s="121" t="n">
        <v>-0.01860492073622833</v>
      </c>
      <c r="H500" s="122" t="n">
        <v>62.88385890787401</v>
      </c>
      <c r="I500" s="119" t="n">
        <v>102.1213482666016</v>
      </c>
      <c r="J500" s="119" t="n">
        <v>107.7224715423584</v>
      </c>
      <c r="K500" s="121" t="n">
        <v>0.1658208503801846</v>
      </c>
      <c r="L500" s="121" t="n">
        <v>-0.0946218236545231</v>
      </c>
      <c r="M500" s="121" t="n">
        <v>-0.2008273190573189</v>
      </c>
      <c r="N500" t="n">
        <v>30.99007057438638</v>
      </c>
      <c r="O500" t="n">
        <v>-0.5348519304480829</v>
      </c>
      <c r="P500" t="n">
        <v>101.4795842586053</v>
      </c>
      <c r="Q500" t="n">
        <v>98.95566489984861</v>
      </c>
    </row>
    <row r="501">
      <c r="A501" s="118" t="n">
        <v>45160</v>
      </c>
      <c r="B501" s="119" t="n">
        <v>94.84681883812387</v>
      </c>
      <c r="C501" s="119" t="n">
        <v>96.17144604804771</v>
      </c>
      <c r="D501" s="119" t="n">
        <v>94.63074947103534</v>
      </c>
      <c r="E501" s="119" t="n">
        <v>95.31654357910156</v>
      </c>
      <c r="F501" s="120" t="n">
        <v>9814700</v>
      </c>
      <c r="G501" s="121" t="n">
        <v>-0.01361083194553236</v>
      </c>
      <c r="H501" s="122" t="n">
        <v>62.02795727219237</v>
      </c>
      <c r="I501" s="119" t="n">
        <v>102.0386769104004</v>
      </c>
      <c r="J501" s="119" t="n">
        <v>107.778776550293</v>
      </c>
      <c r="K501" s="121" t="n">
        <v>0.1702179248226477</v>
      </c>
      <c r="L501" s="121" t="n">
        <v>-0.106944773859914</v>
      </c>
      <c r="M501" s="121" t="n">
        <v>-0.2117047241130903</v>
      </c>
      <c r="N501" t="n">
        <v>27.94568880185786</v>
      </c>
      <c r="O501" t="n">
        <v>-0.6704574786178215</v>
      </c>
      <c r="P501" t="n">
        <v>101.2047281254686</v>
      </c>
      <c r="Q501" t="n">
        <v>98.81426879698054</v>
      </c>
    </row>
    <row r="502">
      <c r="A502" s="118" t="n">
        <v>45161</v>
      </c>
      <c r="B502" s="119" t="n">
        <v>91.1078075692152</v>
      </c>
      <c r="C502" s="119" t="n">
        <v>93.18398991966549</v>
      </c>
      <c r="D502" s="119" t="n">
        <v>90.70384403340802</v>
      </c>
      <c r="E502" s="119" t="n">
        <v>92.7706298828125</v>
      </c>
      <c r="F502" s="120" t="n">
        <v>20909100</v>
      </c>
      <c r="G502" s="121" t="n">
        <v>-0.02671009250536083</v>
      </c>
      <c r="H502" s="122" t="n">
        <v>60.37118479553354</v>
      </c>
      <c r="I502" s="119" t="n">
        <v>101.8868618774414</v>
      </c>
      <c r="J502" s="119" t="n">
        <v>107.8218864822388</v>
      </c>
      <c r="K502" s="121" t="n">
        <v>0.1827453063211429</v>
      </c>
      <c r="L502" s="121" t="n">
        <v>-0.1307983615625117</v>
      </c>
      <c r="M502" s="121" t="n">
        <v>-0.2327601638535686</v>
      </c>
      <c r="N502" t="n">
        <v>23.19556252318898</v>
      </c>
      <c r="O502" t="n">
        <v>-0.8764366919469819</v>
      </c>
      <c r="P502" t="n">
        <v>102.3319199686839</v>
      </c>
      <c r="Q502" t="n">
        <v>100.3724291953484</v>
      </c>
    </row>
    <row r="503">
      <c r="A503" s="118" t="n">
        <v>45162</v>
      </c>
      <c r="B503" s="119" t="n">
        <v>92.72367084875052</v>
      </c>
      <c r="C503" s="119" t="n">
        <v>93.18400630434378</v>
      </c>
      <c r="D503" s="119" t="n">
        <v>91.6526988989847</v>
      </c>
      <c r="E503" s="119" t="n">
        <v>91.71846008300781</v>
      </c>
      <c r="F503" s="120" t="n">
        <v>10310000</v>
      </c>
      <c r="G503" s="121" t="n">
        <v>-0.01134162612815914</v>
      </c>
      <c r="H503" s="122" t="n">
        <v>59.68647738866859</v>
      </c>
      <c r="I503" s="119" t="n">
        <v>101.7149430847168</v>
      </c>
      <c r="J503" s="119" t="n">
        <v>107.8346492767334</v>
      </c>
      <c r="K503" s="121" t="n">
        <v>0.1806027403297477</v>
      </c>
      <c r="L503" s="121" t="n">
        <v>-0.140656521575653</v>
      </c>
      <c r="M503" s="121" t="n">
        <v>-0.2414619112257715</v>
      </c>
      <c r="N503" t="n">
        <v>21.56419984393297</v>
      </c>
      <c r="O503" t="n">
        <v>-1.018402162185013</v>
      </c>
      <c r="P503" t="n">
        <v>100.9137091493104</v>
      </c>
      <c r="Q503" t="n">
        <v>98.22689996263713</v>
      </c>
    </row>
    <row r="504">
      <c r="A504" s="118" t="n">
        <v>45163</v>
      </c>
      <c r="B504" s="119" t="n">
        <v>92.53576946506858</v>
      </c>
      <c r="C504" s="119" t="n">
        <v>93.09004119205622</v>
      </c>
      <c r="D504" s="119" t="n">
        <v>91.88754706051728</v>
      </c>
      <c r="E504" s="119" t="n">
        <v>92.85517883300781</v>
      </c>
      <c r="F504" s="120" t="n">
        <v>7290600</v>
      </c>
      <c r="G504" s="121" t="n">
        <v>0.01239356558070459</v>
      </c>
      <c r="H504" s="122" t="n">
        <v>60.42620566046629</v>
      </c>
      <c r="I504" s="119" t="n">
        <v>101.4515211486816</v>
      </c>
      <c r="J504" s="119" t="n">
        <v>107.8640330505371</v>
      </c>
      <c r="K504" s="121" t="n">
        <v>0.18458097208581</v>
      </c>
      <c r="L504" s="121" t="n">
        <v>-0.1300061918194501</v>
      </c>
      <c r="M504" s="121" t="n">
        <v>-0.2320609196770858</v>
      </c>
      <c r="N504" t="n">
        <v>27.49692102600105</v>
      </c>
      <c r="O504" t="n">
        <v>-0.9707920957341574</v>
      </c>
      <c r="P504" t="n">
        <v>101.6251156971276</v>
      </c>
      <c r="Q504" t="n">
        <v>98.98829931628148</v>
      </c>
    </row>
    <row r="505">
      <c r="A505" s="118" t="n">
        <v>45166</v>
      </c>
      <c r="B505" s="119" t="n">
        <v>93.55975698147655</v>
      </c>
      <c r="C505" s="119" t="n">
        <v>94.00129932113875</v>
      </c>
      <c r="D505" s="119" t="n">
        <v>92.88335947260924</v>
      </c>
      <c r="E505" s="119" t="n">
        <v>93.59733581542969</v>
      </c>
      <c r="F505" s="120" t="n">
        <v>6006600</v>
      </c>
      <c r="G505" s="121" t="n">
        <v>0.00799262886302321</v>
      </c>
      <c r="H505" s="122" t="n">
        <v>60.90916989591111</v>
      </c>
      <c r="I505" s="119" t="n">
        <v>101.2113973999023</v>
      </c>
      <c r="J505" s="119" t="n">
        <v>107.8956848526001</v>
      </c>
      <c r="K505" s="121" t="n">
        <v>0.1741478367062388</v>
      </c>
      <c r="L505" s="121" t="n">
        <v>-0.1230526541975349</v>
      </c>
      <c r="M505" s="121" t="n">
        <v>-0.2259230676186533</v>
      </c>
      <c r="N505" t="n">
        <v>31.15809146032643</v>
      </c>
      <c r="O505" t="n">
        <v>-0.8298229326117759</v>
      </c>
      <c r="P505" t="n">
        <v>102.2695514426927</v>
      </c>
      <c r="Q505" t="n">
        <v>99.73340257064628</v>
      </c>
    </row>
    <row r="506">
      <c r="A506" s="118" t="n">
        <v>45167</v>
      </c>
      <c r="B506" s="119" t="n">
        <v>93.97313269777456</v>
      </c>
      <c r="C506" s="119" t="n">
        <v>95.97416472758675</v>
      </c>
      <c r="D506" s="119" t="n">
        <v>93.68190564523815</v>
      </c>
      <c r="E506" s="119" t="n">
        <v>95.60777282714844</v>
      </c>
      <c r="F506" s="120" t="n">
        <v>8641600</v>
      </c>
      <c r="G506" s="121" t="n">
        <v>0.02147963928891361</v>
      </c>
      <c r="H506" s="122" t="n">
        <v>62.21747689466244</v>
      </c>
      <c r="I506" s="119" t="n">
        <v>100.9893116760254</v>
      </c>
      <c r="J506" s="119" t="n">
        <v>107.945068359375</v>
      </c>
      <c r="K506" s="121" t="n">
        <v>0.197103630409847</v>
      </c>
      <c r="L506" s="121" t="n">
        <v>-0.1042161415343277</v>
      </c>
      <c r="M506" s="121" t="n">
        <v>-0.2092961743292332</v>
      </c>
      <c r="N506" t="n">
        <v>39.99730507516946</v>
      </c>
      <c r="O506" t="n">
        <v>-0.5548979299776642</v>
      </c>
      <c r="P506" t="n">
        <v>103.7478406251485</v>
      </c>
      <c r="Q506" t="n">
        <v>101.9115577762157</v>
      </c>
    </row>
    <row r="507">
      <c r="A507" s="118" t="n">
        <v>45168</v>
      </c>
      <c r="B507" s="119" t="n">
        <v>95.48564736060506</v>
      </c>
      <c r="C507" s="119" t="n">
        <v>96.58480156410108</v>
      </c>
      <c r="D507" s="119" t="n">
        <v>95.36352150491581</v>
      </c>
      <c r="E507" s="119" t="n">
        <v>95.91779327392578</v>
      </c>
      <c r="F507" s="120" t="n">
        <v>4822100</v>
      </c>
      <c r="G507" s="121" t="n">
        <v>0.003242628058472086</v>
      </c>
      <c r="H507" s="122" t="n">
        <v>62.41922503096841</v>
      </c>
      <c r="I507" s="119" t="n">
        <v>100.8495216369629</v>
      </c>
      <c r="J507" s="119" t="n">
        <v>107.961607131958</v>
      </c>
      <c r="K507" s="121" t="n">
        <v>0.1915085391524871</v>
      </c>
      <c r="L507" s="121" t="n">
        <v>-0.1013114476605406</v>
      </c>
      <c r="M507" s="121" t="n">
        <v>-0.2067322159181719</v>
      </c>
      <c r="N507" t="n">
        <v>41.2500221159944</v>
      </c>
      <c r="O507" t="n">
        <v>-0.317675913288253</v>
      </c>
      <c r="P507" t="n">
        <v>104.1751572200494</v>
      </c>
      <c r="Q507" t="n">
        <v>102.4798863494837</v>
      </c>
    </row>
    <row r="508">
      <c r="A508" s="118" t="n">
        <v>45169</v>
      </c>
      <c r="B508" s="119" t="n">
        <v>96.40630163979129</v>
      </c>
      <c r="C508" s="119" t="n">
        <v>96.65994982841461</v>
      </c>
      <c r="D508" s="119" t="n">
        <v>95.45745572285321</v>
      </c>
      <c r="E508" s="119" t="n">
        <v>95.55139923095703</v>
      </c>
      <c r="F508" s="120" t="n">
        <v>7046200</v>
      </c>
      <c r="G508" s="121" t="n">
        <v>-0.003819875650416527</v>
      </c>
      <c r="H508" s="122" t="n">
        <v>62.18079135315474</v>
      </c>
      <c r="I508" s="119" t="n">
        <v>100.6941366577149</v>
      </c>
      <c r="J508" s="119" t="n">
        <v>107.9455960083008</v>
      </c>
      <c r="K508" s="121" t="n">
        <v>0.1852399955965466</v>
      </c>
      <c r="L508" s="121" t="n">
        <v>-0.1047443261789301</v>
      </c>
      <c r="M508" s="121" t="n">
        <v>-0.2097624002108459</v>
      </c>
      <c r="N508" t="n">
        <v>40.18229633180653</v>
      </c>
      <c r="O508" t="n">
        <v>-0.158964112708825</v>
      </c>
      <c r="P508" t="n">
        <v>104.022711391914</v>
      </c>
      <c r="Q508" t="n">
        <v>102.7871733655877</v>
      </c>
    </row>
    <row r="509">
      <c r="A509" s="118" t="n">
        <v>45170</v>
      </c>
      <c r="B509" s="119" t="n">
        <v>96.11695979940653</v>
      </c>
      <c r="C509" s="119" t="n">
        <v>97.05013214160824</v>
      </c>
      <c r="D509" s="119" t="n">
        <v>95.6927853227912</v>
      </c>
      <c r="E509" s="119" t="n">
        <v>96.48457336425781</v>
      </c>
      <c r="F509" s="120" t="n">
        <v>6359400</v>
      </c>
      <c r="G509" s="121" t="n">
        <v>0.009766200608378517</v>
      </c>
      <c r="H509" s="122" t="n">
        <v>62.78806143549738</v>
      </c>
      <c r="I509" s="119" t="n">
        <v>100.5483964538574</v>
      </c>
      <c r="J509" s="119" t="n">
        <v>107.9421628952026</v>
      </c>
      <c r="K509" s="121" t="n">
        <v>0.1902721848315217</v>
      </c>
      <c r="L509" s="121" t="n">
        <v>-0.09600107967260452</v>
      </c>
      <c r="M509" s="121" t="n">
        <v>-0.2020447812830216</v>
      </c>
      <c r="N509" t="n">
        <v>44.14759918178405</v>
      </c>
      <c r="O509" t="n">
        <v>0.02551678691260517</v>
      </c>
      <c r="P509" t="n">
        <v>104.2167313595006</v>
      </c>
      <c r="Q509" t="n">
        <v>102.678394792003</v>
      </c>
    </row>
    <row r="510">
      <c r="A510" s="118" t="n">
        <v>45174</v>
      </c>
      <c r="B510" s="119" t="n">
        <v>95.67395255340976</v>
      </c>
      <c r="C510" s="119" t="n">
        <v>96.10754792860629</v>
      </c>
      <c r="D510" s="119" t="n">
        <v>94.47685306009227</v>
      </c>
      <c r="E510" s="119" t="n">
        <v>94.56168365478516</v>
      </c>
      <c r="F510" s="120" t="n">
        <v>6698700</v>
      </c>
      <c r="G510" s="121" t="n">
        <v>-0.0199295041935168</v>
      </c>
      <c r="H510" s="122" t="n">
        <v>61.53672650181584</v>
      </c>
      <c r="I510" s="119" t="n">
        <v>100.3818603515625</v>
      </c>
      <c r="J510" s="119" t="n">
        <v>107.918317565918</v>
      </c>
      <c r="K510" s="121" t="n">
        <v>0.1867813357759896</v>
      </c>
      <c r="L510" s="121" t="n">
        <v>-0.1140173299462039</v>
      </c>
      <c r="M510" s="121" t="n">
        <v>-0.2179476331606802</v>
      </c>
      <c r="N510" t="n">
        <v>38.48615174308569</v>
      </c>
      <c r="O510" t="n">
        <v>0.0341529849060076</v>
      </c>
      <c r="P510" t="n">
        <v>103.7663009478932</v>
      </c>
      <c r="Q510" t="n">
        <v>102.8089324577345</v>
      </c>
    </row>
    <row r="511">
      <c r="A511" s="118" t="n">
        <v>45175</v>
      </c>
      <c r="B511" s="119" t="n">
        <v>94.03381993763202</v>
      </c>
      <c r="C511" s="119" t="n">
        <v>94.55224585388656</v>
      </c>
      <c r="D511" s="119" t="n">
        <v>93.34571846660337</v>
      </c>
      <c r="E511" s="119" t="n">
        <v>94.42971038818359</v>
      </c>
      <c r="F511" s="120" t="n">
        <v>6096000</v>
      </c>
      <c r="G511" s="121" t="n">
        <v>-0.001395631523264274</v>
      </c>
      <c r="H511" s="122" t="n">
        <v>61.45084390647142</v>
      </c>
      <c r="I511" s="119" t="n">
        <v>100.1709732055664</v>
      </c>
      <c r="J511" s="119" t="n">
        <v>107.9007005310059</v>
      </c>
      <c r="K511" s="121" t="n">
        <v>0.1868476514023591</v>
      </c>
      <c r="L511" s="121" t="n">
        <v>-0.1152538352895968</v>
      </c>
      <c r="M511" s="121" t="n">
        <v>-0.2190390900966847</v>
      </c>
      <c r="N511" t="n">
        <v>38.12478839184817</v>
      </c>
      <c r="O511" t="n">
        <v>0.04633466874309389</v>
      </c>
      <c r="P511" t="n">
        <v>103.0687524465597</v>
      </c>
      <c r="Q511" t="n">
        <v>101.9034012830011</v>
      </c>
    </row>
    <row r="512">
      <c r="A512" s="118" t="n">
        <v>45176</v>
      </c>
      <c r="B512" s="119" t="n">
        <v>92.61992064794626</v>
      </c>
      <c r="C512" s="119" t="n">
        <v>93.0912208648928</v>
      </c>
      <c r="D512" s="119" t="n">
        <v>92.03550579000313</v>
      </c>
      <c r="E512" s="119" t="n">
        <v>92.30886077880859</v>
      </c>
      <c r="F512" s="120" t="n">
        <v>9927100</v>
      </c>
      <c r="G512" s="121" t="n">
        <v>-0.02245955855055115</v>
      </c>
      <c r="H512" s="122" t="n">
        <v>60.07068507977324</v>
      </c>
      <c r="I512" s="119" t="n">
        <v>99.88253341674805</v>
      </c>
      <c r="J512" s="119" t="n">
        <v>107.8718741607666</v>
      </c>
      <c r="K512" s="121" t="n">
        <v>0.1967513898472821</v>
      </c>
      <c r="L512" s="121" t="n">
        <v>-0.1351248435782857</v>
      </c>
      <c r="M512" s="121" t="n">
        <v>-0.2365791273783499</v>
      </c>
      <c r="N512" t="n">
        <v>32.79557133828044</v>
      </c>
      <c r="O512" t="n">
        <v>-0.06693103747709772</v>
      </c>
      <c r="P512" t="n">
        <v>102.7523002235286</v>
      </c>
      <c r="Q512" t="n">
        <v>101.1746279022149</v>
      </c>
    </row>
    <row r="513">
      <c r="A513" s="118" t="n">
        <v>45177</v>
      </c>
      <c r="B513" s="119" t="n">
        <v>92.46910020848969</v>
      </c>
      <c r="C513" s="119" t="n">
        <v>92.49737707059043</v>
      </c>
      <c r="D513" s="119" t="n">
        <v>91.69616814803064</v>
      </c>
      <c r="E513" s="119" t="n">
        <v>92.06378173828125</v>
      </c>
      <c r="F513" s="120" t="n">
        <v>6435000</v>
      </c>
      <c r="G513" s="121" t="n">
        <v>-0.00265498933103081</v>
      </c>
      <c r="H513" s="122" t="n">
        <v>59.91119805177873</v>
      </c>
      <c r="I513" s="119" t="n">
        <v>99.60008956909179</v>
      </c>
      <c r="J513" s="119" t="n">
        <v>107.8415432357788</v>
      </c>
      <c r="K513" s="121" t="n">
        <v>0.1969766431616187</v>
      </c>
      <c r="L513" s="121" t="n">
        <v>-0.137421077891259</v>
      </c>
      <c r="M513" s="121" t="n">
        <v>-0.2386060016502466</v>
      </c>
      <c r="N513" t="n">
        <v>32.23483030617658</v>
      </c>
      <c r="O513" t="n">
        <v>-0.1330273170476575</v>
      </c>
      <c r="P513" t="n">
        <v>102.907058165016</v>
      </c>
      <c r="Q513" t="n">
        <v>101.316024005083</v>
      </c>
    </row>
    <row r="514">
      <c r="A514" s="118" t="n">
        <v>45180</v>
      </c>
      <c r="B514" s="119" t="n">
        <v>92.68589651582288</v>
      </c>
      <c r="C514" s="119" t="n">
        <v>92.73302221964815</v>
      </c>
      <c r="D514" s="119" t="n">
        <v>91.03634586106571</v>
      </c>
      <c r="E514" s="119" t="n">
        <v>91.23429107666016</v>
      </c>
      <c r="F514" s="120" t="n">
        <v>7584700</v>
      </c>
      <c r="G514" s="121" t="n">
        <v>-0.009009956423245424</v>
      </c>
      <c r="H514" s="122" t="n">
        <v>59.37140076806779</v>
      </c>
      <c r="I514" s="119" t="n">
        <v>99.2946678161621</v>
      </c>
      <c r="J514" s="119" t="n">
        <v>107.8144650650024</v>
      </c>
      <c r="K514" s="121" t="n">
        <v>0.1970697373610425</v>
      </c>
      <c r="L514" s="121" t="n">
        <v>-0.1451928763910687</v>
      </c>
      <c r="M514" s="121" t="n">
        <v>-0.2454661283962984</v>
      </c>
      <c r="N514" t="n">
        <v>30.34376464047998</v>
      </c>
      <c r="O514" t="n">
        <v>-0.2030864258257747</v>
      </c>
      <c r="P514" t="n">
        <v>103.5838342302527</v>
      </c>
      <c r="Q514" t="n">
        <v>102.5098019348451</v>
      </c>
    </row>
    <row r="515">
      <c r="A515" s="118" t="n">
        <v>45181</v>
      </c>
      <c r="B515" s="119" t="n">
        <v>91.42282755443429</v>
      </c>
      <c r="C515" s="119" t="n">
        <v>91.59249594521975</v>
      </c>
      <c r="D515" s="119" t="n">
        <v>90.65932339163555</v>
      </c>
      <c r="E515" s="119" t="n">
        <v>90.77243804931641</v>
      </c>
      <c r="F515" s="120" t="n">
        <v>6307700</v>
      </c>
      <c r="G515" s="121" t="n">
        <v>-0.005062274523026433</v>
      </c>
      <c r="H515" s="122" t="n">
        <v>59.07084643856321</v>
      </c>
      <c r="I515" s="119" t="n">
        <v>99.03637573242187</v>
      </c>
      <c r="J515" s="119" t="n">
        <v>107.7751176071167</v>
      </c>
      <c r="K515" s="121" t="n">
        <v>0.1970288649909078</v>
      </c>
      <c r="L515" s="121" t="n">
        <v>-0.1495201447150156</v>
      </c>
      <c r="M515" s="121" t="n">
        <v>-0.2492857859912783</v>
      </c>
      <c r="N515" t="n">
        <v>29.31263548769599</v>
      </c>
      <c r="O515" t="n">
        <v>-0.2480320949334334</v>
      </c>
      <c r="P515" t="n">
        <v>103.0156250571625</v>
      </c>
      <c r="Q515" t="n">
        <v>101.373144788309</v>
      </c>
    </row>
    <row r="516">
      <c r="A516" s="118" t="n">
        <v>45182</v>
      </c>
      <c r="B516" s="119" t="n">
        <v>90.7724225232995</v>
      </c>
      <c r="C516" s="119" t="n">
        <v>91.62075714065317</v>
      </c>
      <c r="D516" s="119" t="n">
        <v>90.16915883512912</v>
      </c>
      <c r="E516" s="119" t="n">
        <v>90.61217498779297</v>
      </c>
      <c r="F516" s="120" t="n">
        <v>7140700</v>
      </c>
      <c r="G516" s="121" t="n">
        <v>-0.001765547615195318</v>
      </c>
      <c r="H516" s="122" t="n">
        <v>58.96655404650603</v>
      </c>
      <c r="I516" s="119" t="n">
        <v>98.79855285644531</v>
      </c>
      <c r="J516" s="119" t="n">
        <v>107.7318039703369</v>
      </c>
      <c r="K516" s="121" t="n">
        <v>0.1965532790408271</v>
      </c>
      <c r="L516" s="121" t="n">
        <v>-0.1510217073952856</v>
      </c>
      <c r="M516" s="121" t="n">
        <v>-0.2506112076815147</v>
      </c>
      <c r="N516" t="n">
        <v>28.945071834049</v>
      </c>
      <c r="O516" t="n">
        <v>-0.2550689379744178</v>
      </c>
      <c r="P516" t="n">
        <v>103.135745199255</v>
      </c>
      <c r="Q516" t="n">
        <v>101.7592525747625</v>
      </c>
    </row>
    <row r="517">
      <c r="A517" s="118" t="n">
        <v>45183</v>
      </c>
      <c r="B517" s="119" t="n">
        <v>91.16830482046883</v>
      </c>
      <c r="C517" s="119" t="n">
        <v>92.07320027183324</v>
      </c>
      <c r="D517" s="119" t="n">
        <v>90.39537283962821</v>
      </c>
      <c r="E517" s="119" t="n">
        <v>91.611328125</v>
      </c>
      <c r="F517" s="120" t="n">
        <v>7075300</v>
      </c>
      <c r="G517" s="121" t="n">
        <v>0.01102669853517635</v>
      </c>
      <c r="H517" s="122" t="n">
        <v>59.61676046163505</v>
      </c>
      <c r="I517" s="119" t="n">
        <v>98.61847869873047</v>
      </c>
      <c r="J517" s="119" t="n">
        <v>107.6966975021362</v>
      </c>
      <c r="K517" s="121" t="n">
        <v>0.2040035642821368</v>
      </c>
      <c r="L517" s="121" t="n">
        <v>-0.1416602796998246</v>
      </c>
      <c r="M517" s="121" t="n">
        <v>-0.2423479233829789</v>
      </c>
      <c r="N517" t="n">
        <v>34.4626661659893</v>
      </c>
      <c r="O517" t="n">
        <v>-0.1634037934126495</v>
      </c>
      <c r="P517" t="n">
        <v>104.0250088716373</v>
      </c>
      <c r="Q517" t="n">
        <v>102.5913921977147</v>
      </c>
    </row>
    <row r="518">
      <c r="A518" s="118" t="n">
        <v>45184</v>
      </c>
      <c r="B518" s="119" t="n">
        <v>92.5162403180715</v>
      </c>
      <c r="C518" s="119" t="n">
        <v>92.5162403180715</v>
      </c>
      <c r="D518" s="119" t="n">
        <v>90.61218328486551</v>
      </c>
      <c r="E518" s="119" t="n">
        <v>90.73472595214844</v>
      </c>
      <c r="F518" s="120" t="n">
        <v>10467300</v>
      </c>
      <c r="G518" s="121" t="n">
        <v>-0.009568709359343397</v>
      </c>
      <c r="H518" s="122" t="n">
        <v>59.04630500783207</v>
      </c>
      <c r="I518" s="119" t="n">
        <v>98.45845062255859</v>
      </c>
      <c r="J518" s="119" t="n">
        <v>107.6618622207642</v>
      </c>
      <c r="K518" s="121" t="n">
        <v>0.2018821410436119</v>
      </c>
      <c r="L518" s="121" t="n">
        <v>-0.1498734830149571</v>
      </c>
      <c r="M518" s="121" t="n">
        <v>-0.2495976758996301</v>
      </c>
      <c r="N518" t="n">
        <v>32.10701659663393</v>
      </c>
      <c r="O518" t="n">
        <v>-0.1340132850272604</v>
      </c>
      <c r="P518" t="n">
        <v>102.7716970985171</v>
      </c>
      <c r="Q518" t="n">
        <v>100.834706469678</v>
      </c>
    </row>
    <row r="519">
      <c r="A519" s="118" t="n">
        <v>45187</v>
      </c>
      <c r="B519" s="119" t="n">
        <v>90.48965854006894</v>
      </c>
      <c r="C519" s="119" t="n">
        <v>90.83842335462202</v>
      </c>
      <c r="D519" s="119" t="n">
        <v>89.81098495038292</v>
      </c>
      <c r="E519" s="119" t="n">
        <v>90.02778625488281</v>
      </c>
      <c r="F519" s="120" t="n">
        <v>6946300</v>
      </c>
      <c r="G519" s="121" t="n">
        <v>-0.007791280459021332</v>
      </c>
      <c r="H519" s="122" t="n">
        <v>58.58625868544713</v>
      </c>
      <c r="I519" s="119" t="n">
        <v>98.29630828857422</v>
      </c>
      <c r="J519" s="119" t="n">
        <v>107.6174882507324</v>
      </c>
      <c r="K519" s="121" t="n">
        <v>0.202165748046441</v>
      </c>
      <c r="L519" s="121" t="n">
        <v>-0.1564970571344385</v>
      </c>
      <c r="M519" s="121" t="n">
        <v>-0.2554442708637975</v>
      </c>
      <c r="N519" t="n">
        <v>30.30781061489272</v>
      </c>
      <c r="O519" t="n">
        <v>-0.134063104938055</v>
      </c>
      <c r="P519" t="n">
        <v>102.8319510651451</v>
      </c>
      <c r="Q519" t="n">
        <v>100.9398289753933</v>
      </c>
    </row>
    <row r="520">
      <c r="A520" s="118" t="n">
        <v>45188</v>
      </c>
      <c r="B520" s="119" t="n">
        <v>89.58473317259042</v>
      </c>
      <c r="C520" s="119" t="n">
        <v>90.00890043004433</v>
      </c>
      <c r="D520" s="119" t="n">
        <v>88.99089757386103</v>
      </c>
      <c r="E520" s="119" t="n">
        <v>89.1888427734375</v>
      </c>
      <c r="F520" s="120" t="n">
        <v>9386600</v>
      </c>
      <c r="G520" s="121" t="n">
        <v>-0.009318717213262717</v>
      </c>
      <c r="H520" s="122" t="n">
        <v>58.04030990817439</v>
      </c>
      <c r="I520" s="119" t="n">
        <v>98.09258590698242</v>
      </c>
      <c r="J520" s="119" t="n">
        <v>107.5529090118408</v>
      </c>
      <c r="K520" s="121" t="n">
        <v>0.196102721837434</v>
      </c>
      <c r="L520" s="121" t="n">
        <v>-0.1643574225275576</v>
      </c>
      <c r="M520" s="121" t="n">
        <v>-0.2623825751531323</v>
      </c>
      <c r="N520" t="n">
        <v>28.2823167442471</v>
      </c>
      <c r="O520" t="n">
        <v>-0.1606815568159767</v>
      </c>
      <c r="P520" t="n">
        <v>102.6187098261158</v>
      </c>
      <c r="Q520" t="n">
        <v>100.7246782470294</v>
      </c>
    </row>
    <row r="521">
      <c r="A521" s="118" t="n">
        <v>45189</v>
      </c>
      <c r="B521" s="119" t="n">
        <v>88.57616150859698</v>
      </c>
      <c r="C521" s="119" t="n">
        <v>89.92408037997278</v>
      </c>
      <c r="D521" s="119" t="n">
        <v>88.44419802676749</v>
      </c>
      <c r="E521" s="119" t="n">
        <v>88.64214324951172</v>
      </c>
      <c r="F521" s="120" t="n">
        <v>10274200</v>
      </c>
      <c r="G521" s="121" t="n">
        <v>-0.006129685136901486</v>
      </c>
      <c r="H521" s="122" t="n">
        <v>57.6845410831891</v>
      </c>
      <c r="I521" s="119" t="n">
        <v>97.84767913818359</v>
      </c>
      <c r="J521" s="119" t="n">
        <v>107.4789873123169</v>
      </c>
      <c r="K521" s="121" t="n">
        <v>0.1929759346521325</v>
      </c>
      <c r="L521" s="121" t="n">
        <v>-0.1694796484144524</v>
      </c>
      <c r="M521" s="121" t="n">
        <v>-0.2669039377189357</v>
      </c>
      <c r="N521" t="n">
        <v>27.01528750442984</v>
      </c>
      <c r="O521" t="n">
        <v>-0.1835407768543886</v>
      </c>
      <c r="P521" t="n">
        <v>101.6752870935051</v>
      </c>
      <c r="Q521" t="n">
        <v>99.27321085928146</v>
      </c>
    </row>
    <row r="522">
      <c r="A522" s="118" t="n">
        <v>45190</v>
      </c>
      <c r="B522" s="119" t="n">
        <v>88.05772405965246</v>
      </c>
      <c r="C522" s="119" t="n">
        <v>88.12370579730934</v>
      </c>
      <c r="D522" s="119" t="n">
        <v>86.22908424824564</v>
      </c>
      <c r="E522" s="119" t="n">
        <v>86.332763671875</v>
      </c>
      <c r="F522" s="120" t="n">
        <v>7958600</v>
      </c>
      <c r="G522" s="121" t="n">
        <v>-0.02605284002594832</v>
      </c>
      <c r="H522" s="122" t="n">
        <v>56.18169496237853</v>
      </c>
      <c r="I522" s="119" t="n">
        <v>97.54963302612305</v>
      </c>
      <c r="J522" s="119" t="n">
        <v>107.3868426895142</v>
      </c>
      <c r="K522" s="121" t="n">
        <v>0.1919411859883727</v>
      </c>
      <c r="L522" s="121" t="n">
        <v>-0.1894046600567213</v>
      </c>
      <c r="M522" s="121" t="n">
        <v>-0.2860031721531969</v>
      </c>
      <c r="N522" t="n">
        <v>22.4416849181124</v>
      </c>
      <c r="O522" t="n">
        <v>-0.3149172616456233</v>
      </c>
      <c r="P522" t="n">
        <v>99.99476847770003</v>
      </c>
      <c r="Q522" t="n">
        <v>97.45406800877285</v>
      </c>
    </row>
    <row r="523">
      <c r="A523" s="118" t="n">
        <v>45191</v>
      </c>
      <c r="B523" s="119" t="n">
        <v>86.3233477441521</v>
      </c>
      <c r="C523" s="119" t="n">
        <v>87.03029805550446</v>
      </c>
      <c r="D523" s="119" t="n">
        <v>85.3524704671968</v>
      </c>
      <c r="E523" s="119" t="n">
        <v>85.63524627685547</v>
      </c>
      <c r="F523" s="120" t="n">
        <v>9289400</v>
      </c>
      <c r="G523" s="121" t="n">
        <v>-0.008079405376973492</v>
      </c>
      <c r="H523" s="122" t="n">
        <v>55.727780274012</v>
      </c>
      <c r="I523" s="119" t="n">
        <v>97.23613357543945</v>
      </c>
      <c r="J523" s="119" t="n">
        <v>107.3032552337646</v>
      </c>
      <c r="K523" s="121" t="n">
        <v>0.1905220775833009</v>
      </c>
      <c r="L523" s="121" t="n">
        <v>-0.1959537884048088</v>
      </c>
      <c r="M523" s="121" t="n">
        <v>-0.2917718419632445</v>
      </c>
      <c r="N523" t="n">
        <v>21.27038378814562</v>
      </c>
      <c r="O523" t="n">
        <v>-0.4038402542018766</v>
      </c>
      <c r="P523" t="n">
        <v>99.7699300878382</v>
      </c>
      <c r="Q523" t="n">
        <v>97.46769593842944</v>
      </c>
    </row>
    <row r="524">
      <c r="A524" s="118" t="n">
        <v>45194</v>
      </c>
      <c r="B524" s="119" t="n">
        <v>84.83403835059224</v>
      </c>
      <c r="C524" s="119" t="n">
        <v>85.63524727449817</v>
      </c>
      <c r="D524" s="119" t="n">
        <v>84.63609312408398</v>
      </c>
      <c r="E524" s="119" t="n">
        <v>85.39959716796875</v>
      </c>
      <c r="F524" s="120" t="n">
        <v>8291700</v>
      </c>
      <c r="G524" s="121" t="n">
        <v>-0.002751777090999163</v>
      </c>
      <c r="H524" s="122" t="n">
        <v>55.57442984492174</v>
      </c>
      <c r="I524" s="119" t="n">
        <v>96.91585418701172</v>
      </c>
      <c r="J524" s="119" t="n">
        <v>107.2263793945312</v>
      </c>
      <c r="K524" s="121" t="n">
        <v>0.1812764292090286</v>
      </c>
      <c r="L524" s="121" t="n">
        <v>-0.1771916125043399</v>
      </c>
      <c r="M524" s="121" t="n">
        <v>-0.2937207279837305</v>
      </c>
      <c r="N524" t="n">
        <v>20.87400148733056</v>
      </c>
      <c r="O524" t="n">
        <v>-0.4310969414377004</v>
      </c>
      <c r="P524" t="n">
        <v>100.1894835426551</v>
      </c>
      <c r="Q524" t="n">
        <v>97.93062336801532</v>
      </c>
    </row>
    <row r="525">
      <c r="A525" s="118" t="n">
        <v>45195</v>
      </c>
      <c r="B525" s="119" t="n">
        <v>84.83403760901523</v>
      </c>
      <c r="C525" s="119" t="n">
        <v>85.4938550249416</v>
      </c>
      <c r="D525" s="119" t="n">
        <v>84.6266643664468</v>
      </c>
      <c r="E525" s="119" t="n">
        <v>84.99427795410156</v>
      </c>
      <c r="F525" s="120" t="n">
        <v>8060500</v>
      </c>
      <c r="G525" s="121" t="n">
        <v>-0.004746149013677203</v>
      </c>
      <c r="H525" s="122" t="n">
        <v>55.31066531952759</v>
      </c>
      <c r="I525" s="119" t="n">
        <v>96.57318893432617</v>
      </c>
      <c r="J525" s="119" t="n">
        <v>107.1456095123291</v>
      </c>
      <c r="K525" s="121" t="n">
        <v>0.1755414729896895</v>
      </c>
      <c r="L525" s="121" t="n">
        <v>-0.1810967837210978</v>
      </c>
      <c r="M525" s="121" t="n">
        <v>-0.2970728346539911</v>
      </c>
      <c r="N525" t="n">
        <v>20.17749952072435</v>
      </c>
      <c r="O525" t="n">
        <v>-0.4281189351771775</v>
      </c>
      <c r="P525" t="n">
        <v>98.71756730554638</v>
      </c>
      <c r="Q525" t="n">
        <v>96.46008194489301</v>
      </c>
    </row>
    <row r="526">
      <c r="A526" s="118" t="n">
        <v>45196</v>
      </c>
      <c r="B526" s="119" t="n">
        <v>85.36189456658215</v>
      </c>
      <c r="C526" s="119" t="n">
        <v>85.49385805444359</v>
      </c>
      <c r="D526" s="119" t="n">
        <v>84.08938539564924</v>
      </c>
      <c r="E526" s="119" t="n">
        <v>84.28733062744141</v>
      </c>
      <c r="F526" s="120" t="n">
        <v>7631000</v>
      </c>
      <c r="G526" s="121" t="n">
        <v>-0.008317587297369866</v>
      </c>
      <c r="H526" s="122" t="n">
        <v>54.85061403225681</v>
      </c>
      <c r="I526" s="119" t="n">
        <v>96.19740798950195</v>
      </c>
      <c r="J526" s="119" t="n">
        <v>107.0471593093872</v>
      </c>
      <c r="K526" s="121" t="n">
        <v>0.1458390366933982</v>
      </c>
      <c r="L526" s="121" t="n">
        <v>-0.1879080827105946</v>
      </c>
      <c r="M526" s="121" t="n">
        <v>-0.3029194927154494</v>
      </c>
      <c r="N526" t="n">
        <v>18.98746857941509</v>
      </c>
      <c r="O526" t="n">
        <v>-0.4246199526329368</v>
      </c>
      <c r="P526" t="n">
        <v>98.75696835111916</v>
      </c>
      <c r="Q526" t="n">
        <v>96.68611644111766</v>
      </c>
    </row>
    <row r="527">
      <c r="A527" s="118" t="n">
        <v>45197</v>
      </c>
      <c r="B527" s="119" t="n">
        <v>83.98569059922427</v>
      </c>
      <c r="C527" s="119" t="n">
        <v>84.62665913138937</v>
      </c>
      <c r="D527" s="119" t="n">
        <v>83.57095133121392</v>
      </c>
      <c r="E527" s="119" t="n">
        <v>84.48526763916016</v>
      </c>
      <c r="F527" s="120" t="n">
        <v>16315600</v>
      </c>
      <c r="G527" s="121" t="n">
        <v>0.00234836018942941</v>
      </c>
      <c r="H527" s="122" t="n">
        <v>54.97942303061591</v>
      </c>
      <c r="I527" s="119" t="n">
        <v>95.82257919311523</v>
      </c>
      <c r="J527" s="119" t="n">
        <v>106.9587557220459</v>
      </c>
      <c r="K527" s="121" t="n">
        <v>0.1451004352744419</v>
      </c>
      <c r="L527" s="121" t="n">
        <v>-0.1860009983818748</v>
      </c>
      <c r="M527" s="121" t="n">
        <v>-0.3012824966033151</v>
      </c>
      <c r="N527" t="n">
        <v>20.40297671734905</v>
      </c>
      <c r="O527" t="n">
        <v>-0.3622624554294465</v>
      </c>
      <c r="P527" t="n">
        <v>99.32950907833734</v>
      </c>
      <c r="Q527" t="n">
        <v>97.49491802344356</v>
      </c>
    </row>
    <row r="528">
      <c r="A528" s="118" t="n">
        <v>45198</v>
      </c>
      <c r="B528" s="119" t="n">
        <v>93.66619810312933</v>
      </c>
      <c r="C528" s="119" t="n">
        <v>93.76045669856204</v>
      </c>
      <c r="D528" s="119" t="n">
        <v>89.18884650111212</v>
      </c>
      <c r="E528" s="119" t="n">
        <v>90.13144683837891</v>
      </c>
      <c r="F528" s="120" t="n">
        <v>34935400</v>
      </c>
      <c r="G528" s="121" t="n">
        <v>0.06683034044863057</v>
      </c>
      <c r="H528" s="122" t="n">
        <v>58.65371658942126</v>
      </c>
      <c r="I528" s="119" t="n">
        <v>95.60482818603515</v>
      </c>
      <c r="J528" s="119" t="n">
        <v>106.8862113952637</v>
      </c>
      <c r="K528" s="121" t="n">
        <v>0.2976028482084391</v>
      </c>
      <c r="L528" s="121" t="n">
        <v>-0.1316011679788901</v>
      </c>
      <c r="M528" s="121" t="n">
        <v>-0.2545869679738975</v>
      </c>
      <c r="N528" t="n">
        <v>48.20433075191515</v>
      </c>
      <c r="O528" t="n">
        <v>0.0822372931724189</v>
      </c>
      <c r="P528" t="n">
        <v>99.08844199412447</v>
      </c>
      <c r="Q528" t="n">
        <v>97.56571739777468</v>
      </c>
    </row>
    <row r="529">
      <c r="A529" s="118" t="n">
        <v>45201</v>
      </c>
      <c r="B529" s="119" t="n">
        <v>90.67815005792124</v>
      </c>
      <c r="C529" s="119" t="n">
        <v>90.84781840720386</v>
      </c>
      <c r="D529" s="119" t="n">
        <v>88.34993325314018</v>
      </c>
      <c r="E529" s="119" t="n">
        <v>89.13228607177734</v>
      </c>
      <c r="F529" s="120" t="n">
        <v>12776300</v>
      </c>
      <c r="G529" s="121" t="n">
        <v>-0.01108559555682298</v>
      </c>
      <c r="H529" s="122" t="n">
        <v>58.00350520940641</v>
      </c>
      <c r="I529" s="119" t="n">
        <v>95.33834701538086</v>
      </c>
      <c r="J529" s="119" t="n">
        <v>106.8050298309326</v>
      </c>
      <c r="K529" s="121" t="n">
        <v>0.2951630227059584</v>
      </c>
      <c r="L529" s="121" t="n">
        <v>-0.1412278862126936</v>
      </c>
      <c r="M529" s="121" t="n">
        <v>-0.2628503153697239</v>
      </c>
      <c r="N529" t="n">
        <v>45.19594195912955</v>
      </c>
      <c r="O529" t="n">
        <v>0.3186774829835772</v>
      </c>
      <c r="P529" t="n">
        <v>99.04902631492287</v>
      </c>
      <c r="Q529" t="n">
        <v>98.37998197296787</v>
      </c>
    </row>
    <row r="530">
      <c r="A530" s="118" t="n">
        <v>45202</v>
      </c>
      <c r="B530" s="119" t="n">
        <v>88.90607489617997</v>
      </c>
      <c r="C530" s="119" t="n">
        <v>90.5367768524971</v>
      </c>
      <c r="D530" s="119" t="n">
        <v>88.77411140739949</v>
      </c>
      <c r="E530" s="119" t="n">
        <v>89.63187408447266</v>
      </c>
      <c r="F530" s="120" t="n">
        <v>10964300</v>
      </c>
      <c r="G530" s="121" t="n">
        <v>0.005605017381614008</v>
      </c>
      <c r="H530" s="122" t="n">
        <v>58.32861586429967</v>
      </c>
      <c r="I530" s="119" t="n">
        <v>95.08730621337891</v>
      </c>
      <c r="J530" s="119" t="n">
        <v>106.7328821182251</v>
      </c>
      <c r="K530" s="121" t="n">
        <v>0.2905314665825771</v>
      </c>
      <c r="L530" s="121" t="n">
        <v>-0.1364144535880704</v>
      </c>
      <c r="M530" s="121" t="n">
        <v>-0.2587185785745199</v>
      </c>
      <c r="N530" t="n">
        <v>46.97777565456964</v>
      </c>
      <c r="O530" t="n">
        <v>0.5072357019781548</v>
      </c>
      <c r="P530" t="n">
        <v>97.72316101015926</v>
      </c>
      <c r="Q530" t="n">
        <v>96.65344825038574</v>
      </c>
    </row>
    <row r="531">
      <c r="A531" s="118" t="n">
        <v>45203</v>
      </c>
      <c r="B531" s="119" t="n">
        <v>90.09375197478946</v>
      </c>
      <c r="C531" s="119" t="n">
        <v>90.7347205630259</v>
      </c>
      <c r="D531" s="119" t="n">
        <v>89.66015663443402</v>
      </c>
      <c r="E531" s="119" t="n">
        <v>90.38595581054688</v>
      </c>
      <c r="F531" s="120" t="n">
        <v>8045400</v>
      </c>
      <c r="G531" s="121" t="n">
        <v>0.00841309783798061</v>
      </c>
      <c r="H531" s="122" t="n">
        <v>58.81934021632001</v>
      </c>
      <c r="I531" s="119" t="n">
        <v>94.86017776489258</v>
      </c>
      <c r="J531" s="119" t="n">
        <v>106.6782302474976</v>
      </c>
      <c r="K531" s="121" t="n">
        <v>0.2931093195435236</v>
      </c>
      <c r="L531" s="121" t="n">
        <v>-0.1291490238946408</v>
      </c>
      <c r="M531" s="121" t="n">
        <v>-0.25248210545059</v>
      </c>
      <c r="N531" t="n">
        <v>49.63933990427242</v>
      </c>
      <c r="O531" t="n">
        <v>0.6709829973515253</v>
      </c>
      <c r="P531" t="n">
        <v>98.43477242877981</v>
      </c>
      <c r="Q531" t="n">
        <v>97.96875455161448</v>
      </c>
    </row>
    <row r="532">
      <c r="A532" s="118" t="n">
        <v>45204</v>
      </c>
      <c r="B532" s="119" t="n">
        <v>90.29170227050781</v>
      </c>
      <c r="C532" s="119" t="n">
        <v>90.70644878953942</v>
      </c>
      <c r="D532" s="119" t="n">
        <v>89.81097400449127</v>
      </c>
      <c r="E532" s="119" t="n">
        <v>90.29170227050781</v>
      </c>
      <c r="F532" s="120" t="n">
        <v>7430000</v>
      </c>
      <c r="G532" s="121" t="n">
        <v>-0.001042789659010945</v>
      </c>
      <c r="H532" s="122" t="n">
        <v>58.75800401659259</v>
      </c>
      <c r="I532" s="119" t="n">
        <v>94.61237518310547</v>
      </c>
      <c r="J532" s="119" t="n">
        <v>106.63505859375</v>
      </c>
      <c r="K532" s="121" t="n">
        <v>0.2829936120207414</v>
      </c>
      <c r="L532" s="121" t="n">
        <v>-0.130057138287063</v>
      </c>
      <c r="M532" s="121" t="n">
        <v>-0.2532616093809519</v>
      </c>
      <c r="N532" t="n">
        <v>49.30618641789346</v>
      </c>
      <c r="O532" t="n">
        <v>0.7549273018691984</v>
      </c>
      <c r="P532" t="n">
        <v>98.39770544700234</v>
      </c>
      <c r="Q532" t="n">
        <v>97.68009406142275</v>
      </c>
    </row>
    <row r="533">
      <c r="A533" s="118" t="n">
        <v>45205</v>
      </c>
      <c r="B533" s="119" t="n">
        <v>90.29169455948291</v>
      </c>
      <c r="C533" s="119" t="n">
        <v>92.10148562920065</v>
      </c>
      <c r="D533" s="119" t="n">
        <v>89.60359309271529</v>
      </c>
      <c r="E533" s="119" t="n">
        <v>91.53592681884766</v>
      </c>
      <c r="F533" s="120" t="n">
        <v>8532900</v>
      </c>
      <c r="G533" s="121" t="n">
        <v>0.01378005416945438</v>
      </c>
      <c r="H533" s="122" t="n">
        <v>59.56769249483026</v>
      </c>
      <c r="I533" s="119" t="n">
        <v>94.4200831604004</v>
      </c>
      <c r="J533" s="119" t="n">
        <v>106.6116467285156</v>
      </c>
      <c r="K533" s="121" t="n">
        <v>0.2876609495502911</v>
      </c>
      <c r="L533" s="121" t="n">
        <v>-0.1180692785283285</v>
      </c>
      <c r="M533" s="121" t="n">
        <v>-0.2429715139078102</v>
      </c>
      <c r="N533" t="n">
        <v>53.72170292486297</v>
      </c>
      <c r="O533" t="n">
        <v>0.8681500512495717</v>
      </c>
      <c r="P533" t="n">
        <v>99.56594461903163</v>
      </c>
      <c r="Q533" t="n">
        <v>99.31677126144892</v>
      </c>
    </row>
    <row r="534">
      <c r="A534" s="118" t="n">
        <v>45208</v>
      </c>
      <c r="B534" s="119" t="n">
        <v>91.22486371465531</v>
      </c>
      <c r="C534" s="119" t="n">
        <v>91.56420042710359</v>
      </c>
      <c r="D534" s="119" t="n">
        <v>90.41422681174781</v>
      </c>
      <c r="E534" s="119" t="n">
        <v>91.31912231445312</v>
      </c>
      <c r="F534" s="120" t="n">
        <v>5964200</v>
      </c>
      <c r="G534" s="121" t="n">
        <v>-0.002368518153791022</v>
      </c>
      <c r="H534" s="122" t="n">
        <v>59.42660533377682</v>
      </c>
      <c r="I534" s="119" t="n">
        <v>94.20560546874999</v>
      </c>
      <c r="J534" s="119" t="n">
        <v>106.5864039230347</v>
      </c>
      <c r="K534" s="121" t="n">
        <v>0.2859042321515376</v>
      </c>
      <c r="L534" s="121" t="n">
        <v>-0.1201581474525201</v>
      </c>
      <c r="M534" s="121" t="n">
        <v>-0.2447645496200566</v>
      </c>
      <c r="N534" t="n">
        <v>52.85775125029812</v>
      </c>
      <c r="O534" t="n">
        <v>0.8985704885471593</v>
      </c>
      <c r="P534" t="n">
        <v>100.2033854900252</v>
      </c>
      <c r="Q534" t="n">
        <v>99.82329286750128</v>
      </c>
    </row>
    <row r="535">
      <c r="A535" s="118" t="n">
        <v>45209</v>
      </c>
      <c r="B535" s="119" t="n">
        <v>91.66787502533167</v>
      </c>
      <c r="C535" s="119" t="n">
        <v>93.18546201495033</v>
      </c>
      <c r="D535" s="119" t="n">
        <v>91.64902618443153</v>
      </c>
      <c r="E535" s="119" t="n">
        <v>92.01663970947266</v>
      </c>
      <c r="F535" s="120" t="n">
        <v>8499000</v>
      </c>
      <c r="G535" s="121" t="n">
        <v>0.007638240243020178</v>
      </c>
      <c r="H535" s="122" t="n">
        <v>59.88052002214334</v>
      </c>
      <c r="I535" s="119" t="n">
        <v>93.97182174682617</v>
      </c>
      <c r="J535" s="119" t="n">
        <v>106.505965385437</v>
      </c>
      <c r="K535" s="121" t="n">
        <v>0.2863600913204484</v>
      </c>
      <c r="L535" s="121" t="n">
        <v>-0.1134377040068987</v>
      </c>
      <c r="M535" s="121" t="n">
        <v>-0.238995879810009</v>
      </c>
      <c r="N535" t="n">
        <v>55.34587886383273</v>
      </c>
      <c r="O535" t="n">
        <v>0.931799214880523</v>
      </c>
      <c r="P535" t="n">
        <v>100.7249280208381</v>
      </c>
      <c r="Q535" t="n">
        <v>100.3761105939421</v>
      </c>
    </row>
    <row r="536">
      <c r="A536" s="118" t="n">
        <v>45210</v>
      </c>
      <c r="B536" s="119" t="n">
        <v>92.66704568456544</v>
      </c>
      <c r="C536" s="119" t="n">
        <v>93.27030938257639</v>
      </c>
      <c r="D536" s="119" t="n">
        <v>92.38426987132497</v>
      </c>
      <c r="E536" s="119" t="n">
        <v>92.98753356933594</v>
      </c>
      <c r="F536" s="120" t="n">
        <v>7642900</v>
      </c>
      <c r="G536" s="121" t="n">
        <v>0.01055128575580144</v>
      </c>
      <c r="H536" s="122" t="n">
        <v>60.51233650010297</v>
      </c>
      <c r="I536" s="119" t="n">
        <v>93.77605712890625</v>
      </c>
      <c r="J536" s="119" t="n">
        <v>106.4260395812988</v>
      </c>
      <c r="K536" s="121" t="n">
        <v>0.2882103054540851</v>
      </c>
      <c r="L536" s="121" t="n">
        <v>-0.1040833318815561</v>
      </c>
      <c r="M536" s="121" t="n">
        <v>-0.230966307876542</v>
      </c>
      <c r="N536" t="n">
        <v>58.6197170297574</v>
      </c>
      <c r="O536" t="n">
        <v>0.9803687060683921</v>
      </c>
      <c r="P536" t="n">
        <v>101.1375378187843</v>
      </c>
      <c r="Q536" t="n">
        <v>101.0923283790658</v>
      </c>
    </row>
    <row r="537">
      <c r="A537" s="118" t="n">
        <v>45211</v>
      </c>
      <c r="B537" s="119" t="n">
        <v>93.82644794503479</v>
      </c>
      <c r="C537" s="119" t="n">
        <v>94.30717617938042</v>
      </c>
      <c r="D537" s="119" t="n">
        <v>92.8649914763435</v>
      </c>
      <c r="E537" s="119" t="n">
        <v>93.55309295654297</v>
      </c>
      <c r="F537" s="120" t="n">
        <v>10705200</v>
      </c>
      <c r="G537" s="121" t="n">
        <v>0.006082099024438792</v>
      </c>
      <c r="H537" s="122" t="n">
        <v>60.88037852289676</v>
      </c>
      <c r="I537" s="119" t="n">
        <v>93.62711502075196</v>
      </c>
      <c r="J537" s="119" t="n">
        <v>106.3510891342163</v>
      </c>
      <c r="K537" s="121" t="n">
        <v>0.2865601963768213</v>
      </c>
      <c r="L537" s="121" t="n">
        <v>-0.09863427798841429</v>
      </c>
      <c r="M537" s="121" t="n">
        <v>-0.2262889688079174</v>
      </c>
      <c r="N537" t="n">
        <v>60.43921552254589</v>
      </c>
      <c r="O537" t="n">
        <v>1.007905440782681</v>
      </c>
      <c r="P537" t="n">
        <v>100.5209425520315</v>
      </c>
      <c r="Q537" t="n">
        <v>100.7410250077575</v>
      </c>
    </row>
    <row r="538">
      <c r="A538" s="118" t="n">
        <v>45212</v>
      </c>
      <c r="B538" s="119" t="n">
        <v>93.87357001478532</v>
      </c>
      <c r="C538" s="119" t="n">
        <v>95.06124852772456</v>
      </c>
      <c r="D538" s="119" t="n">
        <v>93.74160653462211</v>
      </c>
      <c r="E538" s="119" t="n">
        <v>94.17520904541016</v>
      </c>
      <c r="F538" s="120" t="n">
        <v>8774700</v>
      </c>
      <c r="G538" s="121" t="n">
        <v>0.006649871951921238</v>
      </c>
      <c r="H538" s="122" t="n">
        <v>61.28522524445852</v>
      </c>
      <c r="I538" s="119" t="n">
        <v>93.46938354492187</v>
      </c>
      <c r="J538" s="119" t="n">
        <v>106.2731334686279</v>
      </c>
      <c r="K538" s="121" t="n">
        <v>0.2842503695318866</v>
      </c>
      <c r="L538" s="121" t="n">
        <v>-0.09264031135518624</v>
      </c>
      <c r="M538" s="121" t="n">
        <v>-0.2211438895227011</v>
      </c>
      <c r="N538" t="n">
        <v>62.39783040003104</v>
      </c>
      <c r="O538" t="n">
        <v>1.022127826270857</v>
      </c>
      <c r="P538" t="n">
        <v>100.0202675759027</v>
      </c>
      <c r="Q538" t="n">
        <v>99.47472521441399</v>
      </c>
    </row>
    <row r="539">
      <c r="A539" s="118" t="n">
        <v>45215</v>
      </c>
      <c r="B539" s="119" t="n">
        <v>93.99611262084363</v>
      </c>
      <c r="C539" s="119" t="n">
        <v>96.69195032817886</v>
      </c>
      <c r="D539" s="119" t="n">
        <v>93.88299798441707</v>
      </c>
      <c r="E539" s="119" t="n">
        <v>96.18294525146484</v>
      </c>
      <c r="F539" s="120" t="n">
        <v>10845400</v>
      </c>
      <c r="G539" s="121" t="n">
        <v>0.02131915847499299</v>
      </c>
      <c r="H539" s="122" t="n">
        <v>62.59177467362077</v>
      </c>
      <c r="I539" s="119" t="n">
        <v>93.34861251831055</v>
      </c>
      <c r="J539" s="119" t="n">
        <v>106.2172612380981</v>
      </c>
      <c r="K539" s="121" t="n">
        <v>0.2896665608330983</v>
      </c>
      <c r="L539" s="121" t="n">
        <v>-0.07329616635914715</v>
      </c>
      <c r="M539" s="121" t="n">
        <v>-0.2045393326742191</v>
      </c>
      <c r="N539" t="n">
        <v>67.91814172760596</v>
      </c>
      <c r="O539" t="n">
        <v>1.113356877403632</v>
      </c>
      <c r="P539" t="n">
        <v>101.0726084077513</v>
      </c>
      <c r="Q539" t="n">
        <v>100.5994262590953</v>
      </c>
    </row>
    <row r="540">
      <c r="A540" s="118" t="n">
        <v>45216</v>
      </c>
      <c r="B540" s="119" t="n">
        <v>96.11696944513572</v>
      </c>
      <c r="C540" s="119" t="n">
        <v>97.64397757807636</v>
      </c>
      <c r="D540" s="119" t="n">
        <v>96.11696944513572</v>
      </c>
      <c r="E540" s="119" t="n">
        <v>97.09727478027344</v>
      </c>
      <c r="F540" s="120" t="n">
        <v>9253800</v>
      </c>
      <c r="G540" s="121" t="n">
        <v>0.009506150247511558</v>
      </c>
      <c r="H540" s="122" t="n">
        <v>63.1867814879266</v>
      </c>
      <c r="I540" s="119" t="n">
        <v>93.21475036621094</v>
      </c>
      <c r="J540" s="119" t="n">
        <v>106.1548962783813</v>
      </c>
      <c r="K540" s="121" t="n">
        <v>0.2863348277118987</v>
      </c>
      <c r="L540" s="121" t="n">
        <v>-0.06448678048161216</v>
      </c>
      <c r="M540" s="121" t="n">
        <v>-0.1969775640546344</v>
      </c>
      <c r="N540" t="n">
        <v>70.07288853928999</v>
      </c>
      <c r="O540" t="n">
        <v>1.175753611809159</v>
      </c>
      <c r="P540" t="n">
        <v>101.0679622306039</v>
      </c>
      <c r="Q540" t="n">
        <v>100.2699073106581</v>
      </c>
    </row>
    <row r="541">
      <c r="A541" s="118" t="n">
        <v>45217</v>
      </c>
      <c r="B541" s="119" t="n">
        <v>97.05957594329738</v>
      </c>
      <c r="C541" s="119" t="n">
        <v>97.93619470776672</v>
      </c>
      <c r="D541" s="119" t="n">
        <v>97.02187105981285</v>
      </c>
      <c r="E541" s="119" t="n">
        <v>97.81365203857422</v>
      </c>
      <c r="F541" s="120" t="n">
        <v>8757300</v>
      </c>
      <c r="G541" s="121" t="n">
        <v>0.007377933725966068</v>
      </c>
      <c r="H541" s="122" t="n">
        <v>63.65296937410162</v>
      </c>
      <c r="I541" s="119" t="n">
        <v>93.11005905151367</v>
      </c>
      <c r="J541" s="119" t="n">
        <v>106.0977004241943</v>
      </c>
      <c r="K541" s="121" t="n">
        <v>0.2837446690877877</v>
      </c>
      <c r="L541" s="121" t="n">
        <v>-0.05758462594824043</v>
      </c>
      <c r="M541" s="121" t="n">
        <v>-0.1910529177417656</v>
      </c>
      <c r="N541" t="n">
        <v>71.67792718598969</v>
      </c>
      <c r="O541" t="n">
        <v>1.201495236978567</v>
      </c>
      <c r="P541" t="n">
        <v>99.72122937115623</v>
      </c>
      <c r="Q541" t="n">
        <v>98.95457567870505</v>
      </c>
    </row>
    <row r="542">
      <c r="A542" s="118" t="n">
        <v>45218</v>
      </c>
      <c r="B542" s="119" t="n">
        <v>97.8136455312042</v>
      </c>
      <c r="C542" s="119" t="n">
        <v>98.36035551815131</v>
      </c>
      <c r="D542" s="119" t="n">
        <v>96.94645484316646</v>
      </c>
      <c r="E542" s="119" t="n">
        <v>97.13497924804688</v>
      </c>
      <c r="F542" s="120" t="n">
        <v>8391100</v>
      </c>
      <c r="G542" s="121" t="n">
        <v>-0.006938426041588786</v>
      </c>
      <c r="H542" s="122" t="n">
        <v>63.2113179537719</v>
      </c>
      <c r="I542" s="119" t="n">
        <v>92.99179428100587</v>
      </c>
      <c r="J542" s="119" t="n">
        <v>106.0289879989624</v>
      </c>
      <c r="K542" s="121" t="n">
        <v>0.263301539899552</v>
      </c>
      <c r="L542" s="121" t="n">
        <v>-0.06412350532155486</v>
      </c>
      <c r="M542" s="121" t="n">
        <v>-0.1966657372435734</v>
      </c>
      <c r="N542" t="n">
        <v>67.95937890627124</v>
      </c>
      <c r="O542" t="n">
        <v>1.111145445571339</v>
      </c>
      <c r="P542" t="n">
        <v>98.84505547974507</v>
      </c>
      <c r="Q542" t="n">
        <v>98.02867860165955</v>
      </c>
    </row>
    <row r="543">
      <c r="A543" s="118" t="n">
        <v>45219</v>
      </c>
      <c r="B543" s="119" t="n">
        <v>97.38947085937799</v>
      </c>
      <c r="C543" s="119" t="n">
        <v>97.81363815329095</v>
      </c>
      <c r="D543" s="119" t="n">
        <v>96.68252057520961</v>
      </c>
      <c r="E543" s="119" t="n">
        <v>96.77677917480469</v>
      </c>
      <c r="F543" s="120" t="n">
        <v>7823500</v>
      </c>
      <c r="G543" s="121" t="n">
        <v>-0.003687652748938897</v>
      </c>
      <c r="H543" s="122" t="n">
        <v>62.97821656335562</v>
      </c>
      <c r="I543" s="119" t="n">
        <v>92.87876647949219</v>
      </c>
      <c r="J543" s="119" t="n">
        <v>105.9470000457764</v>
      </c>
      <c r="K543" s="121" t="n">
        <v>0.2606262103260748</v>
      </c>
      <c r="L543" s="121" t="n">
        <v>-0.0675746928498232</v>
      </c>
      <c r="M543" s="121" t="n">
        <v>-0.199628155045944</v>
      </c>
      <c r="N543" t="n">
        <v>66.01282593082624</v>
      </c>
      <c r="O543" t="n">
        <v>0.9706873835822424</v>
      </c>
      <c r="P543" t="n">
        <v>97.63044233801472</v>
      </c>
      <c r="Q543" t="n">
        <v>96.56627678460227</v>
      </c>
    </row>
    <row r="544">
      <c r="A544" s="118" t="n">
        <v>45222</v>
      </c>
      <c r="B544" s="119" t="n">
        <v>96.26776867349119</v>
      </c>
      <c r="C544" s="119" t="n">
        <v>97.80421180690176</v>
      </c>
      <c r="D544" s="119" t="n">
        <v>95.92843198092626</v>
      </c>
      <c r="E544" s="119" t="n">
        <v>96.90873718261719</v>
      </c>
      <c r="F544" s="120" t="n">
        <v>5966100</v>
      </c>
      <c r="G544" s="121" t="n">
        <v>0.001363529649753614</v>
      </c>
      <c r="H544" s="122" t="n">
        <v>63.06408922892835</v>
      </c>
      <c r="I544" s="119" t="n">
        <v>92.78603942871094</v>
      </c>
      <c r="J544" s="119" t="n">
        <v>105.8684262466431</v>
      </c>
      <c r="K544" s="121" t="n">
        <v>0.2591444622523943</v>
      </c>
      <c r="L544" s="121" t="n">
        <v>-0.06630330329734335</v>
      </c>
      <c r="M544" s="121" t="n">
        <v>-0.1985368243045211</v>
      </c>
      <c r="N544" t="n">
        <v>66.39469930237115</v>
      </c>
      <c r="O544" t="n">
        <v>0.8352538227935591</v>
      </c>
      <c r="P544" t="n">
        <v>97.46123368807672</v>
      </c>
      <c r="Q544" t="n">
        <v>96.85767299301502</v>
      </c>
    </row>
    <row r="545">
      <c r="A545" s="118" t="n">
        <v>45223</v>
      </c>
      <c r="B545" s="119" t="n">
        <v>97.70995841758754</v>
      </c>
      <c r="C545" s="119" t="n">
        <v>99.58573115201474</v>
      </c>
      <c r="D545" s="119" t="n">
        <v>97.70995841758754</v>
      </c>
      <c r="E545" s="119" t="n">
        <v>99.14270782470703</v>
      </c>
      <c r="F545" s="120" t="n">
        <v>9252200</v>
      </c>
      <c r="G545" s="121" t="n">
        <v>0.02305231403315156</v>
      </c>
      <c r="H545" s="122" t="n">
        <v>64.5178624180483</v>
      </c>
      <c r="I545" s="119" t="n">
        <v>92.74644714355469</v>
      </c>
      <c r="J545" s="119" t="n">
        <v>105.7827684402466</v>
      </c>
      <c r="K545" s="121" t="n">
        <v>0.261966327980684</v>
      </c>
      <c r="L545" s="121" t="n">
        <v>-0.04477943383323746</v>
      </c>
      <c r="M545" s="121" t="n">
        <v>-0.1800612434923821</v>
      </c>
      <c r="N545" t="n">
        <v>72.10825428988329</v>
      </c>
      <c r="O545" t="n">
        <v>0.8423109962846167</v>
      </c>
      <c r="P545" t="n">
        <v>98.19603940836221</v>
      </c>
      <c r="Q545" t="n">
        <v>97.79991683078862</v>
      </c>
    </row>
    <row r="546">
      <c r="A546" s="118" t="n">
        <v>45224</v>
      </c>
      <c r="B546" s="119" t="n">
        <v>98.4640304901948</v>
      </c>
      <c r="C546" s="119" t="n">
        <v>99.01074041244127</v>
      </c>
      <c r="D546" s="119" t="n">
        <v>97.54970701127534</v>
      </c>
      <c r="E546" s="119" t="n">
        <v>97.59683990478516</v>
      </c>
      <c r="F546" s="120" t="n">
        <v>7054700</v>
      </c>
      <c r="G546" s="121" t="n">
        <v>-0.0155923512060524</v>
      </c>
      <c r="H546" s="122" t="n">
        <v>63.51187724816232</v>
      </c>
      <c r="I546" s="119" t="n">
        <v>92.69641693115234</v>
      </c>
      <c r="J546" s="119" t="n">
        <v>105.6878874206543</v>
      </c>
      <c r="K546" s="121" t="n">
        <v>0.2690981626427512</v>
      </c>
      <c r="L546" s="121" t="n">
        <v>-0.05967356838015381</v>
      </c>
      <c r="M546" s="121" t="n">
        <v>-0.1928460165513027</v>
      </c>
      <c r="N546" t="n">
        <v>63.99948885455088</v>
      </c>
      <c r="O546" t="n">
        <v>0.6951683890440845</v>
      </c>
      <c r="P546" t="n">
        <v>96.78670388486243</v>
      </c>
      <c r="Q546" t="n">
        <v>95.40618871811755</v>
      </c>
    </row>
    <row r="547">
      <c r="A547" s="118" t="n">
        <v>45225</v>
      </c>
      <c r="B547" s="119" t="n">
        <v>96.31491291232395</v>
      </c>
      <c r="C547" s="119" t="n">
        <v>96.73908023226241</v>
      </c>
      <c r="D547" s="119" t="n">
        <v>94.21291077417784</v>
      </c>
      <c r="E547" s="119" t="n">
        <v>94.27889251708984</v>
      </c>
      <c r="F547" s="120" t="n">
        <v>11222600</v>
      </c>
      <c r="G547" s="121" t="n">
        <v>-0.03399646331717587</v>
      </c>
      <c r="H547" s="122" t="n">
        <v>61.35269804309019</v>
      </c>
      <c r="I547" s="119" t="n">
        <v>92.5804035949707</v>
      </c>
      <c r="J547" s="119" t="n">
        <v>105.5717947769165</v>
      </c>
      <c r="K547" s="121" t="n">
        <v>0.3066184450486332</v>
      </c>
      <c r="L547" s="121" t="n">
        <v>-0.0916413414188888</v>
      </c>
      <c r="M547" s="121" t="n">
        <v>-0.2202863973409287</v>
      </c>
      <c r="N547" t="n">
        <v>50.79618432339733</v>
      </c>
      <c r="O547" t="n">
        <v>0.3444154040910572</v>
      </c>
      <c r="P547" t="n">
        <v>95.62772048305591</v>
      </c>
      <c r="Q547" t="n">
        <v>93.58706275475845</v>
      </c>
    </row>
    <row r="548">
      <c r="A548" s="118" t="n">
        <v>45226</v>
      </c>
      <c r="B548" s="119" t="n">
        <v>94.0526639023707</v>
      </c>
      <c r="C548" s="119" t="n">
        <v>94.58051780905458</v>
      </c>
      <c r="D548" s="119" t="n">
        <v>92.19574002018184</v>
      </c>
      <c r="E548" s="119" t="n">
        <v>92.35598754882812</v>
      </c>
      <c r="F548" s="120" t="n">
        <v>9602700</v>
      </c>
      <c r="G548" s="121" t="n">
        <v>-0.02039592232071619</v>
      </c>
      <c r="H548" s="122" t="n">
        <v>60.10135317963697</v>
      </c>
      <c r="I548" s="119" t="n">
        <v>92.45373992919922</v>
      </c>
      <c r="J548" s="119" t="n">
        <v>105.4362836456299</v>
      </c>
      <c r="K548" s="121" t="n">
        <v>0.2199439332009566</v>
      </c>
      <c r="L548" s="121" t="n">
        <v>-0.1101681540586591</v>
      </c>
      <c r="M548" s="121" t="n">
        <v>-0.236189375413169</v>
      </c>
      <c r="N548" t="n">
        <v>45.00177952048733</v>
      </c>
      <c r="O548" t="n">
        <v>-0.02732621419978187</v>
      </c>
      <c r="P548" t="n">
        <v>95.19425776405451</v>
      </c>
      <c r="Q548" t="n">
        <v>94.0364044725615</v>
      </c>
    </row>
    <row r="549">
      <c r="A549" s="118" t="n">
        <v>45229</v>
      </c>
      <c r="B549" s="119" t="n">
        <v>93.31744200948353</v>
      </c>
      <c r="C549" s="119" t="n">
        <v>96.1923761803033</v>
      </c>
      <c r="D549" s="119" t="n">
        <v>93.31744200948353</v>
      </c>
      <c r="E549" s="119" t="n">
        <v>95.95672607421875</v>
      </c>
      <c r="F549" s="120" t="n">
        <v>8206700</v>
      </c>
      <c r="G549" s="121" t="n">
        <v>0.03898760243873678</v>
      </c>
      <c r="H549" s="122" t="n">
        <v>62.44456084343477</v>
      </c>
      <c r="I549" s="119" t="n">
        <v>92.40360061645508</v>
      </c>
      <c r="J549" s="119" t="n">
        <v>105.3190097427368</v>
      </c>
      <c r="K549" s="121" t="n">
        <v>0.251994101937221</v>
      </c>
      <c r="L549" s="121" t="n">
        <v>-0.07547574381177069</v>
      </c>
      <c r="M549" s="121" t="n">
        <v>-0.2064102304432944</v>
      </c>
      <c r="N549" t="n">
        <v>55.2873156240499</v>
      </c>
      <c r="O549" t="n">
        <v>-0.04016748584843421</v>
      </c>
      <c r="P549" t="n">
        <v>96.33237361117699</v>
      </c>
      <c r="Q549" t="n">
        <v>95.09573536147992</v>
      </c>
    </row>
    <row r="550">
      <c r="A550" s="118" t="n">
        <v>45230</v>
      </c>
      <c r="B550" s="119" t="n">
        <v>95.57968239344055</v>
      </c>
      <c r="C550" s="119" t="n">
        <v>97.02185986076756</v>
      </c>
      <c r="D550" s="119" t="n">
        <v>95.57968239344055</v>
      </c>
      <c r="E550" s="119" t="n">
        <v>96.87104034423828</v>
      </c>
      <c r="F550" s="120" t="n">
        <v>6558500</v>
      </c>
      <c r="G550" s="121" t="n">
        <v>0.009528402097757516</v>
      </c>
      <c r="H550" s="122" t="n">
        <v>63.0395577279689</v>
      </c>
      <c r="I550" s="119" t="n">
        <v>92.40838577270507</v>
      </c>
      <c r="J550" s="119" t="n">
        <v>105.2018255996704</v>
      </c>
      <c r="K550" s="121" t="n">
        <v>0.2527474013855842</v>
      </c>
      <c r="L550" s="121" t="n">
        <v>-0.05994453434197555</v>
      </c>
      <c r="M550" s="121" t="n">
        <v>-0.1988485880182914</v>
      </c>
      <c r="N550" t="n">
        <v>57.46270384269862</v>
      </c>
      <c r="O550" t="n">
        <v>0.001266417226481575</v>
      </c>
      <c r="P550" t="n">
        <v>96.93737172709729</v>
      </c>
      <c r="Q550" t="n">
        <v>95.55051474142601</v>
      </c>
    </row>
    <row r="551">
      <c r="A551" s="118" t="n">
        <v>45231</v>
      </c>
      <c r="B551" s="119" t="n">
        <v>96.66367140842796</v>
      </c>
      <c r="C551" s="119" t="n">
        <v>96.77677885097552</v>
      </c>
      <c r="D551" s="119" t="n">
        <v>94.2317607130734</v>
      </c>
      <c r="E551" s="119" t="n">
        <v>95.08952331542969</v>
      </c>
      <c r="F551" s="120" t="n">
        <v>7272400</v>
      </c>
      <c r="G551" s="121" t="n">
        <v>-0.01839060489572364</v>
      </c>
      <c r="H551" s="122" t="n">
        <v>61.88022212899266</v>
      </c>
      <c r="I551" s="119" t="n">
        <v>92.40384536743164</v>
      </c>
      <c r="J551" s="119" t="n">
        <v>105.079048500061</v>
      </c>
      <c r="K551" s="121" t="n">
        <v>0.2642043482231251</v>
      </c>
      <c r="L551" s="121" t="n">
        <v>-0.07723272299095785</v>
      </c>
      <c r="M551" s="121" t="n">
        <v>-0.2135822470976981</v>
      </c>
      <c r="N551" t="n">
        <v>52.13973403319825</v>
      </c>
      <c r="O551" t="n">
        <v>-0.09749762729094913</v>
      </c>
      <c r="P551" t="n">
        <v>97.97117906805718</v>
      </c>
      <c r="Q551" t="n">
        <v>97.20896792074855</v>
      </c>
    </row>
    <row r="552">
      <c r="A552" s="118" t="n">
        <v>45232</v>
      </c>
      <c r="B552" s="119" t="n">
        <v>96.19237615044499</v>
      </c>
      <c r="C552" s="119" t="n">
        <v>99.49147763460469</v>
      </c>
      <c r="D552" s="119" t="n">
        <v>96.04155663069183</v>
      </c>
      <c r="E552" s="119" t="n">
        <v>99.04845428466797</v>
      </c>
      <c r="F552" s="120" t="n">
        <v>8135100</v>
      </c>
      <c r="G552" s="121" t="n">
        <v>0.04163372400244114</v>
      </c>
      <c r="H552" s="122" t="n">
        <v>64.45652621832089</v>
      </c>
      <c r="I552" s="119" t="n">
        <v>92.52940185546875</v>
      </c>
      <c r="J552" s="119" t="n">
        <v>104.9840492630005</v>
      </c>
      <c r="K552" s="121" t="n">
        <v>0.297569666996075</v>
      </c>
      <c r="L552" s="121" t="n">
        <v>-0.03299595209551376</v>
      </c>
      <c r="M552" s="121" t="n">
        <v>-0.1808407474227438</v>
      </c>
      <c r="N552" t="n">
        <v>60.82445103341119</v>
      </c>
      <c r="O552" t="n">
        <v>0.08760654245623933</v>
      </c>
      <c r="P552" t="n">
        <v>99.84873949579814</v>
      </c>
      <c r="Q552" t="n">
        <v>98.97364127050461</v>
      </c>
    </row>
    <row r="553">
      <c r="A553" s="118" t="n">
        <v>45233</v>
      </c>
      <c r="B553" s="119" t="n">
        <v>100.3209668527238</v>
      </c>
      <c r="C553" s="119" t="n">
        <v>101.4709405600572</v>
      </c>
      <c r="D553" s="119" t="n">
        <v>99.96278126825545</v>
      </c>
      <c r="E553" s="119" t="n">
        <v>100.9148025512695</v>
      </c>
      <c r="F553" s="120" t="n">
        <v>7568000</v>
      </c>
      <c r="G553" s="121" t="n">
        <v>0.01884278033494224</v>
      </c>
      <c r="H553" s="122" t="n">
        <v>65.67106638300615</v>
      </c>
      <c r="I553" s="119" t="n">
        <v>92.71332870483398</v>
      </c>
      <c r="J553" s="119" t="n">
        <v>104.9072519302368</v>
      </c>
      <c r="K553" s="121" t="n">
        <v>0.3001265834037416</v>
      </c>
      <c r="L553" s="121" t="n">
        <v>-0.006206968472209473</v>
      </c>
      <c r="M553" s="121" t="n">
        <v>-0.1654055095670952</v>
      </c>
      <c r="N553" t="n">
        <v>64.12907871380992</v>
      </c>
      <c r="O553" t="n">
        <v>0.3071869305562673</v>
      </c>
      <c r="P553" t="n">
        <v>100.7596975228923</v>
      </c>
      <c r="Q553" t="n">
        <v>100.1364650552104</v>
      </c>
    </row>
    <row r="554">
      <c r="A554" s="118" t="n">
        <v>45236</v>
      </c>
      <c r="B554" s="119" t="n">
        <v>100.8205475827184</v>
      </c>
      <c r="C554" s="119" t="n">
        <v>101.4238113212119</v>
      </c>
      <c r="D554" s="119" t="n">
        <v>100.2644167453298</v>
      </c>
      <c r="E554" s="119" t="n">
        <v>101.0939025878906</v>
      </c>
      <c r="F554" s="120" t="n">
        <v>5231900</v>
      </c>
      <c r="G554" s="121" t="n">
        <v>0.001774764772790371</v>
      </c>
      <c r="H554" s="122" t="n">
        <v>65.78761707821428</v>
      </c>
      <c r="I554" s="119" t="n">
        <v>92.87810317993164</v>
      </c>
      <c r="J554" s="119" t="n">
        <v>104.8215928649902</v>
      </c>
      <c r="K554" s="121" t="n">
        <v>0.2991254439152138</v>
      </c>
      <c r="L554" s="121" t="n">
        <v>-0.0002810407637366952</v>
      </c>
      <c r="M554" s="121" t="n">
        <v>-0.1639243006659099</v>
      </c>
      <c r="N554" t="n">
        <v>64.43908326083829</v>
      </c>
      <c r="O554" t="n">
        <v>0.428489196150813</v>
      </c>
      <c r="P554" t="n">
        <v>100.9915088368824</v>
      </c>
      <c r="Q554" t="n">
        <v>100.5449314276185</v>
      </c>
    </row>
    <row r="555">
      <c r="A555" s="118" t="n">
        <v>45237</v>
      </c>
      <c r="B555" s="119" t="n">
        <v>101.1598807646674</v>
      </c>
      <c r="C555" s="119" t="n">
        <v>103.0827865600586</v>
      </c>
      <c r="D555" s="119" t="n">
        <v>101.0750501754374</v>
      </c>
      <c r="E555" s="119" t="n">
        <v>103.0827865600586</v>
      </c>
      <c r="F555" s="120" t="n">
        <v>7745800</v>
      </c>
      <c r="G555" s="121" t="n">
        <v>0.01967362938075157</v>
      </c>
      <c r="H555" s="122" t="n">
        <v>67.08189827445388</v>
      </c>
      <c r="I555" s="119" t="n">
        <v>93.06781219482421</v>
      </c>
      <c r="J555" s="119" t="n">
        <v>104.7380818176269</v>
      </c>
      <c r="K555" s="121" t="n">
        <v>0.3034117888587501</v>
      </c>
      <c r="L555" s="121" t="n">
        <v>0</v>
      </c>
      <c r="M555" s="121" t="n">
        <v>-0.1474756572229583</v>
      </c>
      <c r="N555" t="n">
        <v>67.77014263044404</v>
      </c>
      <c r="O555" t="n">
        <v>0.5963533425464271</v>
      </c>
      <c r="P555" t="n">
        <v>101.2789206235388</v>
      </c>
      <c r="Q555" t="n">
        <v>101.4953570893308</v>
      </c>
    </row>
    <row r="556">
      <c r="A556" s="118" t="n">
        <v>45238</v>
      </c>
      <c r="B556" s="119" t="n">
        <v>103.0922198797225</v>
      </c>
      <c r="C556" s="119" t="n">
        <v>104.3458730865712</v>
      </c>
      <c r="D556" s="119" t="n">
        <v>102.6491964914838</v>
      </c>
      <c r="E556" s="119" t="n">
        <v>103.1110687255859</v>
      </c>
      <c r="F556" s="120" t="n">
        <v>8639700</v>
      </c>
      <c r="G556" s="121" t="n">
        <v>0.0002743636107553904</v>
      </c>
      <c r="H556" s="122" t="n">
        <v>67.10030310628078</v>
      </c>
      <c r="I556" s="119" t="n">
        <v>93.21787811279297</v>
      </c>
      <c r="J556" s="119" t="n">
        <v>104.6615281295776</v>
      </c>
      <c r="K556" s="121" t="n">
        <v>0.3035004303421846</v>
      </c>
      <c r="L556" s="121" t="n">
        <v>0</v>
      </c>
      <c r="M556" s="121" t="n">
        <v>-0.147241755566017</v>
      </c>
      <c r="N556" t="n">
        <v>67.81630979042373</v>
      </c>
      <c r="O556" t="n">
        <v>0.658121620964202</v>
      </c>
      <c r="P556" t="n">
        <v>101.3530911711657</v>
      </c>
      <c r="Q556" t="n">
        <v>101.5607188015189</v>
      </c>
    </row>
    <row r="557">
      <c r="A557" s="118" t="n">
        <v>45239</v>
      </c>
      <c r="B557" s="119" t="n">
        <v>103.5163866007917</v>
      </c>
      <c r="C557" s="119" t="n">
        <v>103.5917963667291</v>
      </c>
      <c r="D557" s="119" t="n">
        <v>100.7828437130665</v>
      </c>
      <c r="E557" s="119" t="n">
        <v>100.8582534790039</v>
      </c>
      <c r="F557" s="120" t="n">
        <v>9154200</v>
      </c>
      <c r="G557" s="121" t="n">
        <v>-0.02184843270878656</v>
      </c>
      <c r="H557" s="122" t="n">
        <v>65.63426664912402</v>
      </c>
      <c r="I557" s="119" t="n">
        <v>93.31668731689453</v>
      </c>
      <c r="J557" s="119" t="n">
        <v>104.5737570953369</v>
      </c>
      <c r="K557" s="121" t="n">
        <v>0.3184367310526676</v>
      </c>
      <c r="L557" s="121" t="n">
        <v>-0.02184843270878667</v>
      </c>
      <c r="M557" s="121" t="n">
        <v>-0.1658731866863959</v>
      </c>
      <c r="N557" t="n">
        <v>60.39510955876093</v>
      </c>
      <c r="O557" t="n">
        <v>0.5030787694502403</v>
      </c>
      <c r="P557" t="n">
        <v>100.5626703445852</v>
      </c>
      <c r="Q557" t="n">
        <v>100.7791646349314</v>
      </c>
    </row>
    <row r="558">
      <c r="A558" s="118" t="n">
        <v>45240</v>
      </c>
      <c r="B558" s="119" t="n">
        <v>101.178719677505</v>
      </c>
      <c r="C558" s="119" t="n">
        <v>101.6405990339866</v>
      </c>
      <c r="D558" s="119" t="n">
        <v>99.54802507407911</v>
      </c>
      <c r="E558" s="119" t="n">
        <v>100.0193252563477</v>
      </c>
      <c r="F558" s="120" t="n">
        <v>8897700</v>
      </c>
      <c r="G558" s="121" t="n">
        <v>-0.008317893615229943</v>
      </c>
      <c r="H558" s="122" t="n">
        <v>65.08832780162297</v>
      </c>
      <c r="I558" s="119" t="n">
        <v>93.40604583740235</v>
      </c>
      <c r="J558" s="119" t="n">
        <v>104.4784767532349</v>
      </c>
      <c r="K558" s="121" t="n">
        <v>0.3211782860269839</v>
      </c>
      <c r="L558" s="121" t="n">
        <v>-0.02998459338508541</v>
      </c>
      <c r="M558" s="121" t="n">
        <v>-0.1728113647811492</v>
      </c>
      <c r="N558" t="n">
        <v>57.85605112840476</v>
      </c>
      <c r="O558" t="n">
        <v>0.3093548529882806</v>
      </c>
      <c r="P558" t="n">
        <v>102.1319221637282</v>
      </c>
      <c r="Q558" t="n">
        <v>103.0448965978726</v>
      </c>
    </row>
    <row r="559">
      <c r="A559" s="118" t="n">
        <v>45243</v>
      </c>
      <c r="B559" s="119" t="n">
        <v>99.32181932574233</v>
      </c>
      <c r="C559" s="119" t="n">
        <v>99.65172806926344</v>
      </c>
      <c r="D559" s="119" t="n">
        <v>98.20012240629931</v>
      </c>
      <c r="E559" s="119" t="n">
        <v>98.21897125244141</v>
      </c>
      <c r="F559" s="120" t="n">
        <v>7055600</v>
      </c>
      <c r="G559" s="121" t="n">
        <v>-0.0180000614810385</v>
      </c>
      <c r="H559" s="122" t="n">
        <v>63.91673389949577</v>
      </c>
      <c r="I559" s="119" t="n">
        <v>93.44073379516601</v>
      </c>
      <c r="J559" s="119" t="n">
        <v>104.3741946411133</v>
      </c>
      <c r="K559" s="121" t="n">
        <v>0.3220956671576832</v>
      </c>
      <c r="L559" s="121" t="n">
        <v>-0.04744493034170838</v>
      </c>
      <c r="M559" s="121" t="n">
        <v>-0.1877008110715049</v>
      </c>
      <c r="N559" t="n">
        <v>52.7325430525682</v>
      </c>
      <c r="O559" t="n">
        <v>0.03948069262876475</v>
      </c>
      <c r="P559" t="n">
        <v>102.0345792648795</v>
      </c>
      <c r="Q559" t="n">
        <v>102.7235425862247</v>
      </c>
    </row>
    <row r="560">
      <c r="A560" s="118" t="n">
        <v>45244</v>
      </c>
      <c r="B560" s="119" t="n">
        <v>99.50088868214887</v>
      </c>
      <c r="C560" s="119" t="n">
        <v>100.9524940554934</v>
      </c>
      <c r="D560" s="119" t="n">
        <v>99.33122033483666</v>
      </c>
      <c r="E560" s="119" t="n">
        <v>99.67998504638672</v>
      </c>
      <c r="F560" s="120" t="n">
        <v>9674800</v>
      </c>
      <c r="G560" s="121" t="n">
        <v>0.01487506716182385</v>
      </c>
      <c r="H560" s="122" t="n">
        <v>64.86749960901518</v>
      </c>
      <c r="I560" s="119" t="n">
        <v>93.54309982299804</v>
      </c>
      <c r="J560" s="119" t="n">
        <v>104.2826331329346</v>
      </c>
      <c r="K560" s="121" t="n">
        <v>0.3244776185180077</v>
      </c>
      <c r="L560" s="121" t="n">
        <v>-0.0332756097052056</v>
      </c>
      <c r="M560" s="121" t="n">
        <v>-0.1756178060806985</v>
      </c>
      <c r="N560" t="n">
        <v>56.12791968726585</v>
      </c>
      <c r="O560" t="n">
        <v>-0.055932826674012</v>
      </c>
      <c r="P560" t="n">
        <v>104.0141141349878</v>
      </c>
      <c r="Q560" t="n">
        <v>104.9348134919881</v>
      </c>
    </row>
    <row r="561">
      <c r="A561" s="118" t="n">
        <v>45245</v>
      </c>
      <c r="B561" s="119" t="n">
        <v>100.688564246214</v>
      </c>
      <c r="C561" s="119" t="n">
        <v>102.7999869148331</v>
      </c>
      <c r="D561" s="119" t="n">
        <v>100.5943056540512</v>
      </c>
      <c r="E561" s="119" t="n">
        <v>101.6311645507812</v>
      </c>
      <c r="F561" s="120" t="n">
        <v>11140800</v>
      </c>
      <c r="G561" s="121" t="n">
        <v>0.01957443616676446</v>
      </c>
      <c r="H561" s="122" t="n">
        <v>66.13724433940948</v>
      </c>
      <c r="I561" s="119" t="n">
        <v>93.68712890625</v>
      </c>
      <c r="J561" s="119" t="n">
        <v>104.1963457870483</v>
      </c>
      <c r="K561" s="121" t="n">
        <v>0.3302396289656843</v>
      </c>
      <c r="L561" s="121" t="n">
        <v>-0.01435252483652572</v>
      </c>
      <c r="M561" s="121" t="n">
        <v>-0.159480989448808</v>
      </c>
      <c r="N561" t="n">
        <v>60.2360381572894</v>
      </c>
      <c r="O561" t="n">
        <v>-0.005587348931034963</v>
      </c>
      <c r="P561" t="n">
        <v>104.234320981331</v>
      </c>
      <c r="Q561" t="n">
        <v>105.0137862466832</v>
      </c>
    </row>
    <row r="562">
      <c r="A562" s="118" t="n">
        <v>45246</v>
      </c>
      <c r="B562" s="119" t="n">
        <v>100.9524993313099</v>
      </c>
      <c r="C562" s="119" t="n">
        <v>101.8008411122056</v>
      </c>
      <c r="D562" s="119" t="n">
        <v>100.8582407315371</v>
      </c>
      <c r="E562" s="119" t="n">
        <v>101.4332275390625</v>
      </c>
      <c r="F562" s="120" t="n">
        <v>5386800</v>
      </c>
      <c r="G562" s="121" t="n">
        <v>-0.001947601531416598</v>
      </c>
      <c r="H562" s="122" t="n">
        <v>66.00843534105036</v>
      </c>
      <c r="I562" s="119" t="n">
        <v>93.86961624145508</v>
      </c>
      <c r="J562" s="119" t="n">
        <v>104.0989380645752</v>
      </c>
      <c r="K562" s="121" t="n">
        <v>0.3288962513074081</v>
      </c>
      <c r="L562" s="121" t="n">
        <v>-0.01627217336859121</v>
      </c>
      <c r="M562" s="121" t="n">
        <v>-0.1611179855609421</v>
      </c>
      <c r="N562" t="n">
        <v>59.6260724741773</v>
      </c>
      <c r="O562" t="n">
        <v>-0.003661009427939454</v>
      </c>
      <c r="P562" t="n">
        <v>104.3618091555297</v>
      </c>
      <c r="Q562" t="n">
        <v>105.1036680999635</v>
      </c>
    </row>
    <row r="563">
      <c r="A563" s="118" t="n">
        <v>45247</v>
      </c>
      <c r="B563" s="119" t="n">
        <v>101.8574122757546</v>
      </c>
      <c r="C563" s="119" t="n">
        <v>101.9988037953607</v>
      </c>
      <c r="D563" s="119" t="n">
        <v>99.4632060358981</v>
      </c>
      <c r="E563" s="119" t="n">
        <v>99.87795257568359</v>
      </c>
      <c r="F563" s="120" t="n">
        <v>6352600</v>
      </c>
      <c r="G563" s="121" t="n">
        <v>-0.01533299295617863</v>
      </c>
      <c r="H563" s="122" t="n">
        <v>64.99632846691766</v>
      </c>
      <c r="I563" s="119" t="n">
        <v>94.02589965820313</v>
      </c>
      <c r="J563" s="119" t="n">
        <v>103.9958081054688</v>
      </c>
      <c r="K563" s="121" t="n">
        <v>0.3342944707356222</v>
      </c>
      <c r="L563" s="121" t="n">
        <v>-0.03135566520512745</v>
      </c>
      <c r="M563" s="121" t="n">
        <v>-0.1739805575794011</v>
      </c>
      <c r="N563" t="n">
        <v>54.92014197885445</v>
      </c>
      <c r="O563" t="n">
        <v>-0.1187976225438625</v>
      </c>
      <c r="P563" t="n">
        <v>104.4916240767093</v>
      </c>
      <c r="Q563" t="n">
        <v>105.1281713539061</v>
      </c>
    </row>
    <row r="564">
      <c r="A564" s="118" t="n">
        <v>45250</v>
      </c>
      <c r="B564" s="119" t="n">
        <v>99.91563807019087</v>
      </c>
      <c r="C564" s="119" t="n">
        <v>100.4340711443129</v>
      </c>
      <c r="D564" s="119" t="n">
        <v>99.06729630865939</v>
      </c>
      <c r="E564" s="119" t="n">
        <v>100.2172698974609</v>
      </c>
      <c r="F564" s="120" t="n">
        <v>6197400</v>
      </c>
      <c r="G564" s="121" t="n">
        <v>0.003397319558790635</v>
      </c>
      <c r="H564" s="122" t="n">
        <v>65.2171417648679</v>
      </c>
      <c r="I564" s="119" t="n">
        <v>94.20555923461914</v>
      </c>
      <c r="J564" s="119" t="n">
        <v>103.90114402771</v>
      </c>
      <c r="K564" s="121" t="n">
        <v>0.3343381752724446</v>
      </c>
      <c r="L564" s="121" t="n">
        <v>-0.02806487086101705</v>
      </c>
      <c r="M564" s="121" t="n">
        <v>-0.1711743055717242</v>
      </c>
      <c r="N564" t="n">
        <v>55.74086341227084</v>
      </c>
      <c r="O564" t="n">
        <v>-0.1800921576236618</v>
      </c>
      <c r="P564" t="n">
        <v>105.2959541674744</v>
      </c>
      <c r="Q564" t="n">
        <v>106.4080990769062</v>
      </c>
    </row>
    <row r="565">
      <c r="A565" s="118" t="n">
        <v>45251</v>
      </c>
      <c r="B565" s="119" t="n">
        <v>100.0758968555882</v>
      </c>
      <c r="C565" s="119" t="n">
        <v>100.5754739874075</v>
      </c>
      <c r="D565" s="119" t="n">
        <v>99.30296470624161</v>
      </c>
      <c r="E565" s="119" t="n">
        <v>100.4340896606445</v>
      </c>
      <c r="F565" s="120" t="n">
        <v>5803500</v>
      </c>
      <c r="G565" s="121" t="n">
        <v>0.002163497004113557</v>
      </c>
      <c r="H565" s="122" t="n">
        <v>65.35823885569305</v>
      </c>
      <c r="I565" s="119" t="n">
        <v>94.3987922668457</v>
      </c>
      <c r="J565" s="119" t="n">
        <v>103.8163409805298</v>
      </c>
      <c r="K565" s="121" t="n">
        <v>0.3248901421831709</v>
      </c>
      <c r="L565" s="121" t="n">
        <v>-0.02596209212093215</v>
      </c>
      <c r="M565" s="121" t="n">
        <v>-0.1693811436648963</v>
      </c>
      <c r="N565" t="n">
        <v>56.28849253849703</v>
      </c>
      <c r="O565" t="n">
        <v>-0.2118334020281964</v>
      </c>
      <c r="P565" t="n">
        <v>105.0664696004652</v>
      </c>
      <c r="Q565" t="n">
        <v>105.789928081852</v>
      </c>
    </row>
    <row r="566">
      <c r="A566" s="118" t="n">
        <v>45252</v>
      </c>
      <c r="B566" s="119" t="n">
        <v>101.329542907922</v>
      </c>
      <c r="C566" s="119" t="n">
        <v>101.8291199688328</v>
      </c>
      <c r="D566" s="119" t="n">
        <v>100.6885743488456</v>
      </c>
      <c r="E566" s="119" t="n">
        <v>101.7254333496094</v>
      </c>
      <c r="F566" s="120" t="n">
        <v>6280300</v>
      </c>
      <c r="G566" s="121" t="n">
        <v>0.01285762327640105</v>
      </c>
      <c r="H566" s="122" t="n">
        <v>66.19859046890858</v>
      </c>
      <c r="I566" s="119" t="n">
        <v>94.62105743408203</v>
      </c>
      <c r="J566" s="119" t="n">
        <v>103.7398619842529</v>
      </c>
      <c r="K566" s="121" t="n">
        <v>0.3214764522017317</v>
      </c>
      <c r="L566" s="121" t="n">
        <v>-0.0134382796444894</v>
      </c>
      <c r="M566" s="121" t="n">
        <v>-0.1587013593238645</v>
      </c>
      <c r="N566" t="n">
        <v>59.50244923932957</v>
      </c>
      <c r="O566" t="n">
        <v>-0.1543308700659896</v>
      </c>
      <c r="P566" t="n">
        <v>105.4721211079119</v>
      </c>
      <c r="Q566" t="n">
        <v>106.222923038927</v>
      </c>
    </row>
    <row r="567">
      <c r="A567" s="118" t="n">
        <v>45254</v>
      </c>
      <c r="B567" s="119" t="n">
        <v>101.3295309807713</v>
      </c>
      <c r="C567" s="119" t="n">
        <v>101.8008311248679</v>
      </c>
      <c r="D567" s="119" t="n">
        <v>101.2352723902459</v>
      </c>
      <c r="E567" s="119" t="n">
        <v>101.4614944458008</v>
      </c>
      <c r="F567" s="120" t="n">
        <v>2443600</v>
      </c>
      <c r="G567" s="121" t="n">
        <v>-0.002594620589144947</v>
      </c>
      <c r="H567" s="122" t="n">
        <v>66.02683024310558</v>
      </c>
      <c r="I567" s="119" t="n">
        <v>94.81806076049804</v>
      </c>
      <c r="J567" s="119" t="n">
        <v>103.6733610916138</v>
      </c>
      <c r="K567" s="121" t="n">
        <v>0.2925141820287031</v>
      </c>
      <c r="L567" s="121" t="n">
        <v>-0.01599803299658598</v>
      </c>
      <c r="M567" s="121" t="n">
        <v>-0.1608842100985826</v>
      </c>
      <c r="N567" t="n">
        <v>58.55478847180622</v>
      </c>
      <c r="O567" t="n">
        <v>-0.1428091961365219</v>
      </c>
      <c r="P567" t="n">
        <v>105.5370066180585</v>
      </c>
      <c r="Q567" t="n">
        <v>106.0731340227512</v>
      </c>
    </row>
    <row r="568">
      <c r="A568" s="118" t="n">
        <v>45257</v>
      </c>
      <c r="B568" s="119" t="n">
        <v>101.4803696218588</v>
      </c>
      <c r="C568" s="119" t="n">
        <v>102.0082235815501</v>
      </c>
      <c r="D568" s="119" t="n">
        <v>100.7639912540841</v>
      </c>
      <c r="E568" s="119" t="n">
        <v>101.7631454467773</v>
      </c>
      <c r="F568" s="120" t="n">
        <v>5785000</v>
      </c>
      <c r="G568" s="121" t="n">
        <v>0.002973058918797067</v>
      </c>
      <c r="H568" s="122" t="n">
        <v>66.22313189963974</v>
      </c>
      <c r="I568" s="119" t="n">
        <v>95.03862915039062</v>
      </c>
      <c r="J568" s="119" t="n">
        <v>103.6117765045166</v>
      </c>
      <c r="K568" s="121" t="n">
        <v>0.2782503152608675</v>
      </c>
      <c r="L568" s="121" t="n">
        <v>-0.0130725371724727</v>
      </c>
      <c r="M568" s="121" t="n">
        <v>-0.1583894694155128</v>
      </c>
      <c r="N568" t="n">
        <v>59.35158551687367</v>
      </c>
      <c r="O568" t="n">
        <v>-0.1242913009632247</v>
      </c>
      <c r="P568" t="n">
        <v>105.3469450470652</v>
      </c>
      <c r="Q568" t="n">
        <v>105.9805417819742</v>
      </c>
    </row>
    <row r="569">
      <c r="A569" s="118" t="n">
        <v>45258</v>
      </c>
      <c r="B569" s="119" t="n">
        <v>102.3381212585932</v>
      </c>
      <c r="C569" s="119" t="n">
        <v>103.591781468994</v>
      </c>
      <c r="D569" s="119" t="n">
        <v>101.9422308315625</v>
      </c>
      <c r="E569" s="119" t="n">
        <v>102.5077896118164</v>
      </c>
      <c r="F569" s="120" t="n">
        <v>7287400</v>
      </c>
      <c r="G569" s="121" t="n">
        <v>0.007317424808065853</v>
      </c>
      <c r="H569" s="122" t="n">
        <v>66.70771468786998</v>
      </c>
      <c r="I569" s="119" t="n">
        <v>95.28822921752929</v>
      </c>
      <c r="J569" s="119" t="n">
        <v>103.5536817169189</v>
      </c>
      <c r="K569" s="121" t="n">
        <v>0.2480191516213786</v>
      </c>
      <c r="L569" s="121" t="n">
        <v>-0.005850769672216982</v>
      </c>
      <c r="M569" s="121" t="n">
        <v>-0.1522310476402844</v>
      </c>
      <c r="N569" t="n">
        <v>61.32808946416375</v>
      </c>
      <c r="O569" t="n">
        <v>-0.07380497468385805</v>
      </c>
      <c r="P569" t="n">
        <v>105.4512681868566</v>
      </c>
      <c r="Q569" t="n">
        <v>106.2583185043051</v>
      </c>
    </row>
    <row r="570">
      <c r="A570" s="118" t="n">
        <v>45259</v>
      </c>
      <c r="B570" s="119" t="n">
        <v>104.4401314032303</v>
      </c>
      <c r="C570" s="119" t="n">
        <v>105.7126405561904</v>
      </c>
      <c r="D570" s="119" t="n">
        <v>103.8274396802583</v>
      </c>
      <c r="E570" s="119" t="n">
        <v>104.0348129272461</v>
      </c>
      <c r="F570" s="120" t="n">
        <v>9601800</v>
      </c>
      <c r="G570" s="121" t="n">
        <v>0.01489665635374959</v>
      </c>
      <c r="H570" s="122" t="n">
        <v>67.70143658971915</v>
      </c>
      <c r="I570" s="119" t="n">
        <v>95.58514862060547</v>
      </c>
      <c r="J570" s="119" t="n">
        <v>103.4895899200439</v>
      </c>
      <c r="K570" s="121" t="n">
        <v>0.2504916389112317</v>
      </c>
      <c r="L570" s="121" t="n">
        <v>0</v>
      </c>
      <c r="M570" s="121" t="n">
        <v>-0.1396021248896034</v>
      </c>
      <c r="N570" t="n">
        <v>65.07810789822115</v>
      </c>
      <c r="O570" t="n">
        <v>0.04416979429717705</v>
      </c>
      <c r="P570" t="n">
        <v>105.3770830056009</v>
      </c>
      <c r="Q570" t="n">
        <v>106.1548340520926</v>
      </c>
    </row>
    <row r="571">
      <c r="A571" s="118" t="n">
        <v>45260</v>
      </c>
      <c r="B571" s="119" t="n">
        <v>104.1856298962066</v>
      </c>
      <c r="C571" s="119" t="n">
        <v>104.251611642143</v>
      </c>
      <c r="D571" s="119" t="n">
        <v>102.7057474303728</v>
      </c>
      <c r="E571" s="119" t="n">
        <v>103.9405517578125</v>
      </c>
      <c r="F571" s="120" t="n">
        <v>8690900</v>
      </c>
      <c r="G571" s="121" t="n">
        <v>-0.0009060541061337579</v>
      </c>
      <c r="H571" s="122" t="n">
        <v>67.64009542510588</v>
      </c>
      <c r="I571" s="119" t="n">
        <v>95.89111679077149</v>
      </c>
      <c r="J571" s="119" t="n">
        <v>103.4201248931885</v>
      </c>
      <c r="K571" s="121" t="n">
        <v>0.2373952134006984</v>
      </c>
      <c r="L571" s="121" t="n">
        <v>-0.0009060541061337579</v>
      </c>
      <c r="M571" s="121" t="n">
        <v>-0.140381691917256</v>
      </c>
      <c r="N571" t="n">
        <v>64.66128273519337</v>
      </c>
      <c r="O571" t="n">
        <v>0.09469331925754521</v>
      </c>
      <c r="P571" t="n">
        <v>105.7919976000847</v>
      </c>
      <c r="Q571" t="n">
        <v>105.8879748719215</v>
      </c>
    </row>
    <row r="572">
      <c r="A572" s="118" t="n">
        <v>45261</v>
      </c>
      <c r="B572" s="119" t="n">
        <v>104.3472196288918</v>
      </c>
      <c r="C572" s="119" t="n">
        <v>107.3926122601411</v>
      </c>
      <c r="D572" s="119" t="n">
        <v>103.7986691218149</v>
      </c>
      <c r="E572" s="119" t="n">
        <v>107.3264083862305</v>
      </c>
      <c r="F572" s="120" t="n">
        <v>8051800</v>
      </c>
      <c r="G572" s="121" t="n">
        <v>0.03257493414415591</v>
      </c>
      <c r="H572" s="122" t="n">
        <v>69.84346707908313</v>
      </c>
      <c r="I572" s="119" t="n">
        <v>96.31098968505859</v>
      </c>
      <c r="J572" s="119" t="n">
        <v>103.3616134262085</v>
      </c>
      <c r="K572" s="121" t="n">
        <v>0.22018870727621</v>
      </c>
      <c r="L572" s="121" t="n">
        <v>0</v>
      </c>
      <c r="M572" s="121" t="n">
        <v>-0.1123796821423498</v>
      </c>
      <c r="N572" t="n">
        <v>71.67838039268536</v>
      </c>
      <c r="O572" t="n">
        <v>0.3221683469889973</v>
      </c>
      <c r="P572" t="n">
        <v>106.4178559538746</v>
      </c>
      <c r="Q572" t="n">
        <v>106.1902379610455</v>
      </c>
    </row>
    <row r="573">
      <c r="A573" s="118" t="n">
        <v>45264</v>
      </c>
      <c r="B573" s="119" t="n">
        <v>106.9481093086766</v>
      </c>
      <c r="C573" s="119" t="n">
        <v>109.0666407245457</v>
      </c>
      <c r="D573" s="119" t="n">
        <v>106.8724456684751</v>
      </c>
      <c r="E573" s="119" t="n">
        <v>108.9058609008789</v>
      </c>
      <c r="F573" s="120" t="n">
        <v>10086600</v>
      </c>
      <c r="G573" s="121" t="n">
        <v>0.01471634557046331</v>
      </c>
      <c r="H573" s="122" t="n">
        <v>70.8713076764582</v>
      </c>
      <c r="I573" s="119" t="n">
        <v>96.77640197753907</v>
      </c>
      <c r="J573" s="119" t="n">
        <v>103.3254717254639</v>
      </c>
      <c r="K573" s="121" t="n">
        <v>0.2169913315215655</v>
      </c>
      <c r="L573" s="121" t="n">
        <v>0</v>
      </c>
      <c r="M573" s="121" t="n">
        <v>-0.09931715480939218</v>
      </c>
      <c r="N573" t="n">
        <v>74.24730907497633</v>
      </c>
      <c r="O573" t="n">
        <v>0.5326137544166116</v>
      </c>
      <c r="P573" t="n">
        <v>105.859224490841</v>
      </c>
      <c r="Q573" t="n">
        <v>105.2044252775297</v>
      </c>
    </row>
    <row r="574">
      <c r="A574" s="118" t="n">
        <v>45265</v>
      </c>
      <c r="B574" s="119" t="n">
        <v>108.4424335257603</v>
      </c>
      <c r="C574" s="119" t="n">
        <v>109.7475988461846</v>
      </c>
      <c r="D574" s="119" t="n">
        <v>108.3856821878762</v>
      </c>
      <c r="E574" s="119" t="n">
        <v>109.1517639160156</v>
      </c>
      <c r="F574" s="120" t="n">
        <v>6960000</v>
      </c>
      <c r="G574" s="121" t="n">
        <v>0.002257941061230229</v>
      </c>
      <c r="H574" s="122" t="n">
        <v>71.03133091212395</v>
      </c>
      <c r="I574" s="119" t="n">
        <v>97.2514453125</v>
      </c>
      <c r="J574" s="119" t="n">
        <v>103.2884119415283</v>
      </c>
      <c r="K574" s="121" t="n">
        <v>0.2169351580641228</v>
      </c>
      <c r="L574" s="121" t="n">
        <v>0</v>
      </c>
      <c r="M574" s="121" t="n">
        <v>-0.09728346603009075</v>
      </c>
      <c r="N574" t="n">
        <v>74.63309240086269</v>
      </c>
      <c r="O574" t="n">
        <v>0.6350354816273889</v>
      </c>
      <c r="P574" t="n">
        <v>105.8383642529713</v>
      </c>
      <c r="Q574" t="n">
        <v>105.4685909573536</v>
      </c>
    </row>
    <row r="575">
      <c r="A575" s="118" t="n">
        <v>45266</v>
      </c>
      <c r="B575" s="119" t="n">
        <v>109.709768923507</v>
      </c>
      <c r="C575" s="119" t="n">
        <v>110.7879505580869</v>
      </c>
      <c r="D575" s="119" t="n">
        <v>109.3030858707667</v>
      </c>
      <c r="E575" s="119" t="n">
        <v>109.8138046264648</v>
      </c>
      <c r="F575" s="120" t="n">
        <v>6317000</v>
      </c>
      <c r="G575" s="121" t="n">
        <v>0.00606532305752383</v>
      </c>
      <c r="H575" s="122" t="n">
        <v>71.46215888131185</v>
      </c>
      <c r="I575" s="119" t="n">
        <v>97.74783584594726</v>
      </c>
      <c r="J575" s="119" t="n">
        <v>103.2721226882935</v>
      </c>
      <c r="K575" s="121" t="n">
        <v>0.2090721949053591</v>
      </c>
      <c r="L575" s="121" t="n">
        <v>0</v>
      </c>
      <c r="M575" s="121" t="n">
        <v>-0.09180819862219491</v>
      </c>
      <c r="N575" t="n">
        <v>75.68900762118562</v>
      </c>
      <c r="O575" t="n">
        <v>0.6894905038846488</v>
      </c>
      <c r="P575" t="n">
        <v>105.4118671412838</v>
      </c>
      <c r="Q575" t="n">
        <v>104.8585680119392</v>
      </c>
    </row>
    <row r="576">
      <c r="A576" s="118" t="n">
        <v>45267</v>
      </c>
      <c r="B576" s="119" t="n">
        <v>107.931718107678</v>
      </c>
      <c r="C576" s="119" t="n">
        <v>109.7097704097771</v>
      </c>
      <c r="D576" s="119" t="n">
        <v>107.931718107678</v>
      </c>
      <c r="E576" s="119" t="n">
        <v>108.5842971801758</v>
      </c>
      <c r="F576" s="120" t="n">
        <v>7294500</v>
      </c>
      <c r="G576" s="121" t="n">
        <v>-0.01119629221910001</v>
      </c>
      <c r="H576" s="122" t="n">
        <v>70.66204766786893</v>
      </c>
      <c r="I576" s="119" t="n">
        <v>98.23377517700196</v>
      </c>
      <c r="J576" s="119" t="n">
        <v>103.2552881240845</v>
      </c>
      <c r="K576" s="121" t="n">
        <v>0.2151148374964756</v>
      </c>
      <c r="L576" s="121" t="n">
        <v>-0.01119629221910001</v>
      </c>
      <c r="M576" s="121" t="n">
        <v>-0.1019765794214117</v>
      </c>
      <c r="N576" t="n">
        <v>69.87204679494783</v>
      </c>
      <c r="O576" t="n">
        <v>0.5887406298075746</v>
      </c>
      <c r="P576" t="n">
        <v>106.2161825984201</v>
      </c>
      <c r="Q576" t="n">
        <v>106.3236802164932</v>
      </c>
    </row>
    <row r="577">
      <c r="A577" s="118" t="n">
        <v>45268</v>
      </c>
      <c r="B577" s="119" t="n">
        <v>108.2911120090655</v>
      </c>
      <c r="C577" s="119" t="n">
        <v>109.984048163124</v>
      </c>
      <c r="D577" s="119" t="n">
        <v>108.2627399464544</v>
      </c>
      <c r="E577" s="119" t="n">
        <v>109.6246566772461</v>
      </c>
      <c r="F577" s="120" t="n">
        <v>6122200</v>
      </c>
      <c r="G577" s="121" t="n">
        <v>0.00958112290715496</v>
      </c>
      <c r="H577" s="122" t="n">
        <v>71.33906943144602</v>
      </c>
      <c r="I577" s="119" t="n">
        <v>98.73656295776367</v>
      </c>
      <c r="J577" s="119" t="n">
        <v>103.2433752059937</v>
      </c>
      <c r="K577" s="121" t="n">
        <v>0.1956383853512014</v>
      </c>
      <c r="L577" s="121" t="n">
        <v>-0.001722442363800702</v>
      </c>
      <c r="M577" s="121" t="n">
        <v>-0.09337250665534447</v>
      </c>
      <c r="N577" t="n">
        <v>71.84389237236984</v>
      </c>
      <c r="O577" t="n">
        <v>0.5395085549238612</v>
      </c>
      <c r="P577" t="n">
        <v>106.672832302272</v>
      </c>
      <c r="Q577" t="n">
        <v>106.7975251882389</v>
      </c>
    </row>
    <row r="578">
      <c r="A578" s="118" t="n">
        <v>45271</v>
      </c>
      <c r="B578" s="119" t="n">
        <v>111.402703639827</v>
      </c>
      <c r="C578" s="119" t="n">
        <v>112.9443124312768</v>
      </c>
      <c r="D578" s="119" t="n">
        <v>111.0622244735698</v>
      </c>
      <c r="E578" s="119" t="n">
        <v>112.1782379150391</v>
      </c>
      <c r="F578" s="120" t="n">
        <v>7972800</v>
      </c>
      <c r="G578" s="121" t="n">
        <v>0.02329385847301801</v>
      </c>
      <c r="H578" s="122" t="n">
        <v>73.00083161837894</v>
      </c>
      <c r="I578" s="119" t="n">
        <v>99.17749877929687</v>
      </c>
      <c r="J578" s="119" t="n">
        <v>103.2531938552856</v>
      </c>
      <c r="K578" s="121" t="n">
        <v>0.2008201874799646</v>
      </c>
      <c r="L578" s="121" t="n">
        <v>0</v>
      </c>
      <c r="M578" s="121" t="n">
        <v>-0.07225365413762697</v>
      </c>
      <c r="N578" t="n">
        <v>75.9965641774717</v>
      </c>
      <c r="O578" t="n">
        <v>0.6204882924294495</v>
      </c>
      <c r="P578" t="n">
        <v>107.0877468967558</v>
      </c>
      <c r="Q578" t="n">
        <v>107.7098112227773</v>
      </c>
    </row>
    <row r="579">
      <c r="A579" s="118" t="n">
        <v>45272</v>
      </c>
      <c r="B579" s="119" t="n">
        <v>113.1902137165403</v>
      </c>
      <c r="C579" s="119" t="n">
        <v>113.483401298587</v>
      </c>
      <c r="D579" s="119" t="n">
        <v>112.1498639333171</v>
      </c>
      <c r="E579" s="119" t="n">
        <v>113.1523818969727</v>
      </c>
      <c r="F579" s="120" t="n">
        <v>7378400</v>
      </c>
      <c r="G579" s="121" t="n">
        <v>0.008683894488264121</v>
      </c>
      <c r="H579" s="122" t="n">
        <v>73.63476313770848</v>
      </c>
      <c r="I579" s="119" t="n">
        <v>99.65790069580078</v>
      </c>
      <c r="J579" s="119" t="n">
        <v>103.2655956268311</v>
      </c>
      <c r="K579" s="121" t="n">
        <v>0.1800943540487657</v>
      </c>
      <c r="L579" s="121" t="n">
        <v>0</v>
      </c>
      <c r="M579" s="121" t="n">
        <v>-0.06419720275828544</v>
      </c>
      <c r="N579" t="n">
        <v>77.36788267718592</v>
      </c>
      <c r="O579" t="n">
        <v>0.6766269655200912</v>
      </c>
      <c r="P579" t="n">
        <v>107.5768466724955</v>
      </c>
      <c r="Q579" t="n">
        <v>108.5676446437128</v>
      </c>
    </row>
    <row r="580">
      <c r="A580" s="118" t="n">
        <v>45273</v>
      </c>
      <c r="B580" s="119" t="n">
        <v>112.878110477193</v>
      </c>
      <c r="C580" s="119" t="n">
        <v>114.8547816270308</v>
      </c>
      <c r="D580" s="119" t="n">
        <v>112.7362429528832</v>
      </c>
      <c r="E580" s="119" t="n">
        <v>114.5994186401367</v>
      </c>
      <c r="F580" s="120" t="n">
        <v>8182900</v>
      </c>
      <c r="G580" s="121" t="n">
        <v>0.01278838959379236</v>
      </c>
      <c r="H580" s="122" t="n">
        <v>74.5764331763601</v>
      </c>
      <c r="I580" s="119" t="n">
        <v>100.1572515869141</v>
      </c>
      <c r="J580" s="119" t="n">
        <v>103.2840187072754</v>
      </c>
      <c r="K580" s="121" t="n">
        <v>0.1790584741890004</v>
      </c>
      <c r="L580" s="121" t="n">
        <v>0</v>
      </c>
      <c r="M580" s="121" t="n">
        <v>-0.05222979200419775</v>
      </c>
      <c r="N580" t="n">
        <v>79.2630633373948</v>
      </c>
      <c r="O580" t="n">
        <v>0.7428896002146681</v>
      </c>
      <c r="P580" t="n">
        <v>109.0603454268078</v>
      </c>
      <c r="Q580" t="n">
        <v>109.9483295442791</v>
      </c>
    </row>
    <row r="581">
      <c r="A581" s="118" t="n">
        <v>45274</v>
      </c>
      <c r="B581" s="119" t="n">
        <v>114.854780556329</v>
      </c>
      <c r="C581" s="119" t="n">
        <v>115.9424147293072</v>
      </c>
      <c r="D581" s="119" t="n">
        <v>113.3226242962935</v>
      </c>
      <c r="E581" s="119" t="n">
        <v>114.4575500488281</v>
      </c>
      <c r="F581" s="120" t="n">
        <v>9590500</v>
      </c>
      <c r="G581" s="121" t="n">
        <v>-0.001237952103004036</v>
      </c>
      <c r="H581" s="122" t="n">
        <v>74.48411112407489</v>
      </c>
      <c r="I581" s="119" t="n">
        <v>100.6386834716797</v>
      </c>
      <c r="J581" s="119" t="n">
        <v>103.3027128601074</v>
      </c>
      <c r="K581" s="121" t="n">
        <v>0.1749565387246153</v>
      </c>
      <c r="L581" s="121" t="n">
        <v>-0.001237952103004036</v>
      </c>
      <c r="M581" s="121" t="n">
        <v>-0.0534030861263507</v>
      </c>
      <c r="N581" t="n">
        <v>78.56841531328624</v>
      </c>
      <c r="O581" t="n">
        <v>0.7089307189609033</v>
      </c>
      <c r="P581" t="n">
        <v>109.4103671943307</v>
      </c>
      <c r="Q581" t="n">
        <v>109.8530184724306</v>
      </c>
    </row>
    <row r="582">
      <c r="A582" s="118" t="n">
        <v>45275</v>
      </c>
      <c r="B582" s="119" t="n">
        <v>114.3724341325829</v>
      </c>
      <c r="C582" s="119" t="n">
        <v>115.4411560056533</v>
      </c>
      <c r="D582" s="119" t="n">
        <v>114.0603270244155</v>
      </c>
      <c r="E582" s="119" t="n">
        <v>114.9588165283203</v>
      </c>
      <c r="F582" s="120" t="n">
        <v>13633300</v>
      </c>
      <c r="G582" s="121" t="n">
        <v>0.004379496846458331</v>
      </c>
      <c r="H582" s="122" t="n">
        <v>74.81031405385403</v>
      </c>
      <c r="I582" s="119" t="n">
        <v>101.1320257568359</v>
      </c>
      <c r="J582" s="119" t="n">
        <v>103.3192447662354</v>
      </c>
      <c r="K582" s="121" t="n">
        <v>0.1725611786787514</v>
      </c>
      <c r="L582" s="121" t="n">
        <v>0</v>
      </c>
      <c r="M582" s="121" t="n">
        <v>-0.04925746792717389</v>
      </c>
      <c r="N582" t="n">
        <v>79.2600376427298</v>
      </c>
      <c r="O582" t="n">
        <v>0.6533626950211122</v>
      </c>
      <c r="P582" t="n">
        <v>109.2301906395991</v>
      </c>
      <c r="Q582" t="n">
        <v>110.3840348888509</v>
      </c>
    </row>
    <row r="583">
      <c r="A583" s="118" t="n">
        <v>45278</v>
      </c>
      <c r="B583" s="119" t="n">
        <v>114.8264079050769</v>
      </c>
      <c r="C583" s="119" t="n">
        <v>115.2330837381727</v>
      </c>
      <c r="D583" s="119" t="n">
        <v>114.3062293953559</v>
      </c>
      <c r="E583" s="119" t="n">
        <v>114.571044921875</v>
      </c>
      <c r="F583" s="120" t="n">
        <v>6874800</v>
      </c>
      <c r="G583" s="121" t="n">
        <v>-0.003373134990040438</v>
      </c>
      <c r="H583" s="122" t="n">
        <v>74.55796876590306</v>
      </c>
      <c r="I583" s="119" t="n">
        <v>101.5927281188965</v>
      </c>
      <c r="J583" s="119" t="n">
        <v>103.3258786773682</v>
      </c>
      <c r="K583" s="121" t="n">
        <v>0.1571807351357253</v>
      </c>
      <c r="L583" s="121" t="n">
        <v>-0.003373134990040549</v>
      </c>
      <c r="M583" s="121" t="n">
        <v>-0.05246445082862827</v>
      </c>
      <c r="N583" t="n">
        <v>77.18493636573643</v>
      </c>
      <c r="O583" t="n">
        <v>0.5289379672880128</v>
      </c>
      <c r="P583" t="n">
        <v>109.8446347629167</v>
      </c>
      <c r="Q583" t="n">
        <v>111.0793126085791</v>
      </c>
    </row>
    <row r="584">
      <c r="A584" s="118" t="n">
        <v>45279</v>
      </c>
      <c r="B584" s="119" t="n">
        <v>115.1385175859212</v>
      </c>
      <c r="C584" s="119" t="n">
        <v>116.6517544487654</v>
      </c>
      <c r="D584" s="119" t="n">
        <v>115.0439416349339</v>
      </c>
      <c r="E584" s="119" t="n">
        <v>115.9897155761719</v>
      </c>
      <c r="F584" s="120" t="n">
        <v>7697300</v>
      </c>
      <c r="G584" s="121" t="n">
        <v>0.01238245365802726</v>
      </c>
      <c r="H584" s="122" t="n">
        <v>75.4811793589835</v>
      </c>
      <c r="I584" s="119" t="n">
        <v>102.0861399841309</v>
      </c>
      <c r="J584" s="119" t="n">
        <v>103.3432110595703</v>
      </c>
      <c r="K584" s="121" t="n">
        <v>0.1577357411164071</v>
      </c>
      <c r="L584" s="121" t="n">
        <v>0</v>
      </c>
      <c r="M584" s="121" t="n">
        <v>-0.04073163580168038</v>
      </c>
      <c r="N584" t="n">
        <v>79.31828500539194</v>
      </c>
      <c r="O584" t="n">
        <v>0.4819551097046402</v>
      </c>
      <c r="P584" t="n">
        <v>110.5125867499805</v>
      </c>
      <c r="Q584" t="n">
        <v>111.6468897036939</v>
      </c>
    </row>
    <row r="585">
      <c r="A585" s="118" t="n">
        <v>45280</v>
      </c>
      <c r="B585" s="119" t="n">
        <v>114.5615942177245</v>
      </c>
      <c r="C585" s="119" t="n">
        <v>116.6990453324997</v>
      </c>
      <c r="D585" s="119" t="n">
        <v>114.4386462037464</v>
      </c>
      <c r="E585" s="119" t="n">
        <v>114.845329284668</v>
      </c>
      <c r="F585" s="120" t="n">
        <v>9176600</v>
      </c>
      <c r="G585" s="121" t="n">
        <v>-0.009866273796941716</v>
      </c>
      <c r="H585" s="122" t="n">
        <v>74.73646137691171</v>
      </c>
      <c r="I585" s="119" t="n">
        <v>102.5427137756348</v>
      </c>
      <c r="J585" s="119" t="n">
        <v>103.3575369262695</v>
      </c>
      <c r="K585" s="121" t="n">
        <v>0.1684309207420942</v>
      </c>
      <c r="L585" s="121" t="n">
        <v>-0.009866273796941605</v>
      </c>
      <c r="M585" s="121" t="n">
        <v>-0.05019604012760548</v>
      </c>
      <c r="N585" t="n">
        <v>73.35931546049447</v>
      </c>
      <c r="O585" t="n">
        <v>0.3213074553656243</v>
      </c>
      <c r="P585" t="n">
        <v>108.9811848117564</v>
      </c>
      <c r="Q585" t="n">
        <v>109.9878370305636</v>
      </c>
    </row>
    <row r="586">
      <c r="A586" s="118" t="n">
        <v>45281</v>
      </c>
      <c r="B586" s="119" t="n">
        <v>115.6681495691518</v>
      </c>
      <c r="C586" s="119" t="n">
        <v>116.6139234586275</v>
      </c>
      <c r="D586" s="119" t="n">
        <v>114.7223756796761</v>
      </c>
      <c r="E586" s="119" t="n">
        <v>115.8856735229492</v>
      </c>
      <c r="F586" s="120" t="n">
        <v>16533300</v>
      </c>
      <c r="G586" s="121" t="n">
        <v>0.009058655190952836</v>
      </c>
      <c r="H586" s="122" t="n">
        <v>75.41347321071711</v>
      </c>
      <c r="I586" s="119" t="n">
        <v>103.000676574707</v>
      </c>
      <c r="J586" s="119" t="n">
        <v>103.3758003997803</v>
      </c>
      <c r="K586" s="121" t="n">
        <v>0.1671476381756303</v>
      </c>
      <c r="L586" s="121" t="n">
        <v>-0.0008969937783348536</v>
      </c>
      <c r="M586" s="121" t="n">
        <v>-0.04159209355611981</v>
      </c>
      <c r="N586" t="n">
        <v>75.18451253479083</v>
      </c>
      <c r="O586" t="n">
        <v>0.2365303977687718</v>
      </c>
      <c r="P586" t="n">
        <v>110.0145385102232</v>
      </c>
      <c r="Q586" t="n">
        <v>111.2675874384938</v>
      </c>
    </row>
    <row r="587">
      <c r="A587" s="118" t="n">
        <v>45282</v>
      </c>
      <c r="B587" s="119" t="n">
        <v>102.3894755081391</v>
      </c>
      <c r="C587" s="119" t="n">
        <v>104.7917418705929</v>
      </c>
      <c r="D587" s="119" t="n">
        <v>101.6233938092618</v>
      </c>
      <c r="E587" s="119" t="n">
        <v>102.1814041137695</v>
      </c>
      <c r="F587" s="120" t="n">
        <v>46666200</v>
      </c>
      <c r="G587" s="121" t="n">
        <v>-0.118256804249973</v>
      </c>
      <c r="H587" s="122" t="n">
        <v>66.49531687142675</v>
      </c>
      <c r="I587" s="119" t="n">
        <v>103.1732427978516</v>
      </c>
      <c r="J587" s="119" t="n">
        <v>103.3348593902588</v>
      </c>
      <c r="K587" s="121" t="n">
        <v>0.4740004128004236</v>
      </c>
      <c r="L587" s="121" t="n">
        <v>-0.1190477224106499</v>
      </c>
      <c r="M587" s="121" t="n">
        <v>-0.1549303497400801</v>
      </c>
      <c r="N587" t="n">
        <v>38.1276811243715</v>
      </c>
      <c r="O587" t="n">
        <v>-0.737754183697839</v>
      </c>
      <c r="P587" t="n">
        <v>110.2356233742951</v>
      </c>
      <c r="Q587" t="n">
        <v>111.4340271840889</v>
      </c>
    </row>
    <row r="588">
      <c r="A588" s="118" t="n">
        <v>45286</v>
      </c>
      <c r="B588" s="119" t="n">
        <v>102.4273135910087</v>
      </c>
      <c r="C588" s="119" t="n">
        <v>102.7961648251562</v>
      </c>
      <c r="D588" s="119" t="n">
        <v>101.6517793018162</v>
      </c>
      <c r="E588" s="119" t="n">
        <v>102.1624908447266</v>
      </c>
      <c r="F588" s="120" t="n">
        <v>12846700</v>
      </c>
      <c r="G588" s="121" t="n">
        <v>-0.0001850950200479318</v>
      </c>
      <c r="H588" s="122" t="n">
        <v>66.48300891941736</v>
      </c>
      <c r="I588" s="119" t="n">
        <v>103.3329884338379</v>
      </c>
      <c r="J588" s="119" t="n">
        <v>103.2956029129028</v>
      </c>
      <c r="K588" s="121" t="n">
        <v>0.4739415301126018</v>
      </c>
      <c r="L588" s="121" t="n">
        <v>-0.1192107822901314</v>
      </c>
      <c r="M588" s="121" t="n">
        <v>-0.1550867679239369</v>
      </c>
      <c r="N588" t="n">
        <v>38.09977126438028</v>
      </c>
      <c r="O588" t="n">
        <v>-1.343442292418974</v>
      </c>
      <c r="P588" t="n">
        <v>110.7010971563199</v>
      </c>
      <c r="Q588" t="n">
        <v>112.116217362945</v>
      </c>
    </row>
    <row r="589">
      <c r="A589" s="118" t="n">
        <v>45287</v>
      </c>
      <c r="B589" s="119" t="n">
        <v>102.4651328389959</v>
      </c>
      <c r="C589" s="119" t="n">
        <v>102.7015762954814</v>
      </c>
      <c r="D589" s="119" t="n">
        <v>101.0559318587337</v>
      </c>
      <c r="E589" s="119" t="n">
        <v>101.3207473754883</v>
      </c>
      <c r="F589" s="120" t="n">
        <v>10157900</v>
      </c>
      <c r="G589" s="121" t="n">
        <v>-0.008239261418533927</v>
      </c>
      <c r="H589" s="122" t="n">
        <v>65.93523802903954</v>
      </c>
      <c r="I589" s="119" t="n">
        <v>103.4357444763184</v>
      </c>
      <c r="J589" s="119" t="n">
        <v>103.2550872802734</v>
      </c>
      <c r="K589" s="121" t="n">
        <v>0.4742552034411514</v>
      </c>
      <c r="L589" s="121" t="n">
        <v>-0.1264678349094692</v>
      </c>
      <c r="M589" s="121" t="n">
        <v>-0.1620482289189901</v>
      </c>
      <c r="N589" t="n">
        <v>36.80836861528232</v>
      </c>
      <c r="O589" t="n">
        <v>-1.735799225772499</v>
      </c>
      <c r="P589" t="n">
        <v>110.9012632480069</v>
      </c>
      <c r="Q589" t="n">
        <v>112.3444471886062</v>
      </c>
    </row>
    <row r="590">
      <c r="A590" s="118" t="n">
        <v>45288</v>
      </c>
      <c r="B590" s="119" t="n">
        <v>101.3964091211794</v>
      </c>
      <c r="C590" s="119" t="n">
        <v>103.4676560703585</v>
      </c>
      <c r="D590" s="119" t="n">
        <v>101.018098154726</v>
      </c>
      <c r="E590" s="119" t="n">
        <v>102.9191055297852</v>
      </c>
      <c r="F590" s="120" t="n">
        <v>9352900</v>
      </c>
      <c r="G590" s="121" t="n">
        <v>0.01577523059885722</v>
      </c>
      <c r="H590" s="122" t="n">
        <v>66.97538161353819</v>
      </c>
      <c r="I590" s="119" t="n">
        <v>103.5521810913086</v>
      </c>
      <c r="J590" s="119" t="n">
        <v>103.2125443649292</v>
      </c>
      <c r="K590" s="121" t="n">
        <v>0.4746344950913251</v>
      </c>
      <c r="L590" s="121" t="n">
        <v>-0.1126876635696469</v>
      </c>
      <c r="M590" s="121" t="n">
        <v>-0.1488293464994664</v>
      </c>
      <c r="N590" t="n">
        <v>40.90449000326986</v>
      </c>
      <c r="O590" t="n">
        <v>-1.814198489888466</v>
      </c>
      <c r="P590" t="n">
        <v>110.9431593272919</v>
      </c>
      <c r="Q590" t="n">
        <v>112.2898510342323</v>
      </c>
    </row>
    <row r="591">
      <c r="A591" s="118" t="n">
        <v>45289</v>
      </c>
      <c r="B591" s="119" t="n">
        <v>103.0515218318305</v>
      </c>
      <c r="C591" s="119" t="n">
        <v>103.9972957185569</v>
      </c>
      <c r="D591" s="119" t="n">
        <v>102.2286959527329</v>
      </c>
      <c r="E591" s="119" t="n">
        <v>102.6826705932617</v>
      </c>
      <c r="F591" s="120" t="n">
        <v>7667500</v>
      </c>
      <c r="G591" s="121" t="n">
        <v>-0.002297289072872966</v>
      </c>
      <c r="H591" s="122" t="n">
        <v>66.82151980120591</v>
      </c>
      <c r="I591" s="119" t="n">
        <v>103.6495614624023</v>
      </c>
      <c r="J591" s="119" t="n">
        <v>103.1727052307129</v>
      </c>
      <c r="K591" s="121" t="n">
        <v>0.4746920961851623</v>
      </c>
      <c r="L591" s="121" t="n">
        <v>-0.1147260765043537</v>
      </c>
      <c r="M591" s="121" t="n">
        <v>-0.1507847315409033</v>
      </c>
      <c r="N591" t="n">
        <v>40.48642395264313</v>
      </c>
      <c r="O591" t="n">
        <v>-1.804662633635392</v>
      </c>
      <c r="P591" t="n">
        <v>110.6219658085261</v>
      </c>
      <c r="Q591" t="n">
        <v>111.8038979762862</v>
      </c>
    </row>
    <row r="592">
      <c r="A592" s="118" t="n">
        <v>45293</v>
      </c>
      <c r="B592" s="119" t="n">
        <v>101.7747194596725</v>
      </c>
      <c r="C592" s="119" t="n">
        <v>102.0017031518714</v>
      </c>
      <c r="D592" s="119" t="n">
        <v>100.677618385295</v>
      </c>
      <c r="E592" s="119" t="n">
        <v>100.7722015380859</v>
      </c>
      <c r="F592" s="120" t="n">
        <v>9326600</v>
      </c>
      <c r="G592" s="121" t="n">
        <v>-0.01860556454305107</v>
      </c>
      <c r="H592" s="122" t="n">
        <v>65.57826770167981</v>
      </c>
      <c r="I592" s="119" t="n">
        <v>103.7223059082031</v>
      </c>
      <c r="J592" s="119" t="n">
        <v>103.1117026519775</v>
      </c>
      <c r="K592" s="121" t="n">
        <v>0.4624962778759977</v>
      </c>
      <c r="L592" s="121" t="n">
        <v>-0.1311970976262321</v>
      </c>
      <c r="M592" s="121" t="n">
        <v>-0.1665848610291635</v>
      </c>
      <c r="N592" t="n">
        <v>37.17973565667489</v>
      </c>
      <c r="O592" t="n">
        <v>-1.843230388279099</v>
      </c>
      <c r="P592" t="n">
        <v>110.0028974585043</v>
      </c>
      <c r="Q592" t="n">
        <v>109.9119208499302</v>
      </c>
    </row>
    <row r="593">
      <c r="A593" s="118" t="n">
        <v>45294</v>
      </c>
      <c r="B593" s="119" t="n">
        <v>99.98721583814554</v>
      </c>
      <c r="C593" s="119" t="n">
        <v>101.6517798888354</v>
      </c>
      <c r="D593" s="119" t="n">
        <v>98.36048360857158</v>
      </c>
      <c r="E593" s="119" t="n">
        <v>98.3983154296875</v>
      </c>
      <c r="F593" s="120" t="n">
        <v>10573700</v>
      </c>
      <c r="G593" s="121" t="n">
        <v>-0.02355695392346124</v>
      </c>
      <c r="H593" s="122" t="n">
        <v>64.03344347105092</v>
      </c>
      <c r="I593" s="119" t="n">
        <v>103.7547366333008</v>
      </c>
      <c r="J593" s="119" t="n">
        <v>103.0400479888916</v>
      </c>
      <c r="K593" s="121" t="n">
        <v>0.4633184260860549</v>
      </c>
      <c r="L593" s="121" t="n">
        <v>-0.1516634475660205</v>
      </c>
      <c r="M593" s="121" t="n">
        <v>-0.1862175830570145</v>
      </c>
      <c r="N593" t="n">
        <v>33.51663536660848</v>
      </c>
      <c r="O593" t="n">
        <v>-1.935299867690358</v>
      </c>
      <c r="P593" t="n">
        <v>109.1045316690017</v>
      </c>
      <c r="Q593" t="n">
        <v>108.7488775322808</v>
      </c>
    </row>
    <row r="594">
      <c r="A594" s="118" t="n">
        <v>45295</v>
      </c>
      <c r="B594" s="119" t="n">
        <v>96.90397507326094</v>
      </c>
      <c r="C594" s="119" t="n">
        <v>98.00107605864416</v>
      </c>
      <c r="D594" s="119" t="n">
        <v>96.75265502929688</v>
      </c>
      <c r="E594" s="119" t="n">
        <v>96.75265502929688</v>
      </c>
      <c r="F594" s="120" t="n">
        <v>10420600</v>
      </c>
      <c r="G594" s="121" t="n">
        <v>-0.01672447737752747</v>
      </c>
      <c r="H594" s="122" t="n">
        <v>62.96251759431415</v>
      </c>
      <c r="I594" s="119" t="n">
        <v>103.7516149902344</v>
      </c>
      <c r="J594" s="119" t="n">
        <v>102.9563726806641</v>
      </c>
      <c r="K594" s="121" t="n">
        <v>0.4644751259346033</v>
      </c>
      <c r="L594" s="121" t="n">
        <v>-0.1658514330457321</v>
      </c>
      <c r="M594" s="121" t="n">
        <v>-0.1998276686794072</v>
      </c>
      <c r="N594" t="n">
        <v>31.22025423424691</v>
      </c>
      <c r="O594" t="n">
        <v>-2.005192154150538</v>
      </c>
      <c r="P594" t="n">
        <v>108.7530977562986</v>
      </c>
      <c r="Q594" t="n">
        <v>108.1891951795632</v>
      </c>
    </row>
    <row r="595">
      <c r="A595" s="118" t="n">
        <v>45296</v>
      </c>
      <c r="B595" s="119" t="n">
        <v>96.90399292477167</v>
      </c>
      <c r="C595" s="119" t="n">
        <v>98.05783823724099</v>
      </c>
      <c r="D595" s="119" t="n">
        <v>96.37436184980827</v>
      </c>
      <c r="E595" s="119" t="n">
        <v>96.54460144042969</v>
      </c>
      <c r="F595" s="120" t="n">
        <v>8044500</v>
      </c>
      <c r="G595" s="121" t="n">
        <v>-0.002150365680447575</v>
      </c>
      <c r="H595" s="122" t="n">
        <v>62.82712515732476</v>
      </c>
      <c r="I595" s="119" t="n">
        <v>103.6996528625488</v>
      </c>
      <c r="J595" s="119" t="n">
        <v>102.8510102462769</v>
      </c>
      <c r="K595" s="121" t="n">
        <v>0.462655897017527</v>
      </c>
      <c r="L595" s="121" t="n">
        <v>-0.1676451574965051</v>
      </c>
      <c r="M595" s="121" t="n">
        <v>-0.2015483317991227</v>
      </c>
      <c r="N595" t="n">
        <v>30.93171344875715</v>
      </c>
      <c r="O595" t="n">
        <v>-1.961205389837053</v>
      </c>
      <c r="P595" t="n">
        <v>108.9020534639626</v>
      </c>
      <c r="Q595" t="n">
        <v>108.3175375158581</v>
      </c>
    </row>
    <row r="596">
      <c r="A596" s="118" t="n">
        <v>45299</v>
      </c>
      <c r="B596" s="119" t="n">
        <v>96.54461340980292</v>
      </c>
      <c r="C596" s="119" t="n">
        <v>98.06731015478526</v>
      </c>
      <c r="D596" s="119" t="n">
        <v>96.21359394691179</v>
      </c>
      <c r="E596" s="119" t="n">
        <v>98.00110626220703</v>
      </c>
      <c r="F596" s="120" t="n">
        <v>9414200</v>
      </c>
      <c r="G596" s="121" t="n">
        <v>0.0150863414426754</v>
      </c>
      <c r="H596" s="122" t="n">
        <v>63.77495661930986</v>
      </c>
      <c r="I596" s="119" t="n">
        <v>103.7077381896973</v>
      </c>
      <c r="J596" s="119" t="n">
        <v>102.7815364456177</v>
      </c>
      <c r="K596" s="121" t="n">
        <v>0.4681054016717425</v>
      </c>
      <c r="L596" s="121" t="n">
        <v>-0.1550879681410331</v>
      </c>
      <c r="M596" s="121" t="n">
        <v>-0.1895026173071704</v>
      </c>
      <c r="N596" t="n">
        <v>35.43073443944871</v>
      </c>
      <c r="O596" t="n">
        <v>-1.737449088722603</v>
      </c>
      <c r="P596" t="n">
        <v>110.4567375056246</v>
      </c>
      <c r="Q596" t="n">
        <v>110.5562162652802</v>
      </c>
    </row>
    <row r="597">
      <c r="A597" s="118" t="n">
        <v>45300</v>
      </c>
      <c r="B597" s="119" t="n">
        <v>97.57549104700752</v>
      </c>
      <c r="C597" s="119" t="n">
        <v>97.79302221782817</v>
      </c>
      <c r="D597" s="119" t="n">
        <v>96.94182426891589</v>
      </c>
      <c r="E597" s="119" t="n">
        <v>97.16880798339844</v>
      </c>
      <c r="F597" s="120" t="n">
        <v>7759500</v>
      </c>
      <c r="G597" s="121" t="n">
        <v>-0.008492743710277528</v>
      </c>
      <c r="H597" s="122" t="n">
        <v>63.233332257608</v>
      </c>
      <c r="I597" s="119" t="n">
        <v>103.7655364990234</v>
      </c>
      <c r="J597" s="119" t="n">
        <v>102.7010187149048</v>
      </c>
      <c r="K597" s="121" t="n">
        <v>0.4651931363334595</v>
      </c>
      <c r="L597" s="121" t="n">
        <v>-0.162263589485341</v>
      </c>
      <c r="M597" s="121" t="n">
        <v>-0.1963859638562313</v>
      </c>
      <c r="N597" t="n">
        <v>34.06520188703438</v>
      </c>
      <c r="O597" t="n">
        <v>-1.554852468595167</v>
      </c>
      <c r="P597" t="n">
        <v>110.289160505299</v>
      </c>
      <c r="Q597" t="n">
        <v>110.7746431006495</v>
      </c>
    </row>
    <row r="598">
      <c r="A598" s="118" t="n">
        <v>45301</v>
      </c>
      <c r="B598" s="119" t="n">
        <v>97.12152166288196</v>
      </c>
      <c r="C598" s="119" t="n">
        <v>98.19970330457184</v>
      </c>
      <c r="D598" s="119" t="n">
        <v>96.81887431110378</v>
      </c>
      <c r="E598" s="119" t="n">
        <v>98.14295196533203</v>
      </c>
      <c r="F598" s="120" t="n">
        <v>6784700</v>
      </c>
      <c r="G598" s="121" t="n">
        <v>0.01002527459326275</v>
      </c>
      <c r="H598" s="122" t="n">
        <v>63.86726377693753</v>
      </c>
      <c r="I598" s="119" t="n">
        <v>103.8812757873535</v>
      </c>
      <c r="J598" s="119" t="n">
        <v>102.6265890884399</v>
      </c>
      <c r="K598" s="121" t="n">
        <v>0.4565757485765935</v>
      </c>
      <c r="L598" s="121" t="n">
        <v>-0.1538650519331574</v>
      </c>
      <c r="M598" s="121" t="n">
        <v>-0.1883295124768898</v>
      </c>
      <c r="N598" t="n">
        <v>37.11987094539965</v>
      </c>
      <c r="O598" t="n">
        <v>-1.28879920747623</v>
      </c>
      <c r="P598" t="n">
        <v>110.912889666097</v>
      </c>
      <c r="Q598" t="n">
        <v>111.5254204372505</v>
      </c>
    </row>
    <row r="599">
      <c r="A599" s="118" t="n">
        <v>45302</v>
      </c>
      <c r="B599" s="119" t="n">
        <v>98.56855503557631</v>
      </c>
      <c r="C599" s="119" t="n">
        <v>100.2614911485039</v>
      </c>
      <c r="D599" s="119" t="n">
        <v>98.10512785426202</v>
      </c>
      <c r="E599" s="119" t="n">
        <v>100.1574554443359</v>
      </c>
      <c r="F599" s="120" t="n">
        <v>9537700</v>
      </c>
      <c r="G599" s="121" t="n">
        <v>0.02052621648995756</v>
      </c>
      <c r="H599" s="122" t="n">
        <v>65.17821705984417</v>
      </c>
      <c r="I599" s="119" t="n">
        <v>103.9652903747559</v>
      </c>
      <c r="J599" s="119" t="n">
        <v>102.575809211731</v>
      </c>
      <c r="K599" s="121" t="n">
        <v>0.4635910191285761</v>
      </c>
      <c r="L599" s="121" t="n">
        <v>-0.1364971028094184</v>
      </c>
      <c r="M599" s="121" t="n">
        <v>-0.1716689883314811</v>
      </c>
      <c r="N599" t="n">
        <v>43.00082281064174</v>
      </c>
      <c r="O599" t="n">
        <v>-0.9150531454629902</v>
      </c>
      <c r="P599" t="n">
        <v>110.8640133458693</v>
      </c>
      <c r="Q599" t="n">
        <v>111.7574920894259</v>
      </c>
    </row>
    <row r="600">
      <c r="A600" s="118" t="n">
        <v>45303</v>
      </c>
      <c r="B600" s="119" t="n">
        <v>100.2520286957032</v>
      </c>
      <c r="C600" s="119" t="n">
        <v>100.5546760408743</v>
      </c>
      <c r="D600" s="119" t="n">
        <v>99.04143931501891</v>
      </c>
      <c r="E600" s="119" t="n">
        <v>99.36299896240234</v>
      </c>
      <c r="F600" s="120" t="n">
        <v>6680900</v>
      </c>
      <c r="G600" s="121" t="n">
        <v>-0.00793207533487239</v>
      </c>
      <c r="H600" s="122" t="n">
        <v>64.66121853193283</v>
      </c>
      <c r="I600" s="119" t="n">
        <v>104.0151295471191</v>
      </c>
      <c r="J600" s="119" t="n">
        <v>102.5207761764526</v>
      </c>
      <c r="K600" s="121" t="n">
        <v>0.4584679364505482</v>
      </c>
      <c r="L600" s="121" t="n">
        <v>-0.1433464728418146</v>
      </c>
      <c r="M600" s="121" t="n">
        <v>-0.1782393723182468</v>
      </c>
      <c r="N600" t="n">
        <v>41.35803718486367</v>
      </c>
      <c r="O600" t="n">
        <v>-0.6705753796119316</v>
      </c>
      <c r="P600" t="n">
        <v>110.9408252634966</v>
      </c>
      <c r="Q600" t="n">
        <v>111.8148070748713</v>
      </c>
    </row>
    <row r="601">
      <c r="A601" s="118" t="n">
        <v>45307</v>
      </c>
      <c r="B601" s="119" t="n">
        <v>98.30374371094884</v>
      </c>
      <c r="C601" s="119" t="n">
        <v>98.56855925446294</v>
      </c>
      <c r="D601" s="119" t="n">
        <v>95.86364526168477</v>
      </c>
      <c r="E601" s="119" t="n">
        <v>96.20412445068359</v>
      </c>
      <c r="F601" s="120" t="n">
        <v>10547900</v>
      </c>
      <c r="G601" s="121" t="n">
        <v>-0.03179125574615582</v>
      </c>
      <c r="H601" s="122" t="n">
        <v>62.60555719672608</v>
      </c>
      <c r="I601" s="119" t="n">
        <v>104.0374215698242</v>
      </c>
      <c r="J601" s="119" t="n">
        <v>102.4376823425293</v>
      </c>
      <c r="K601" s="121" t="n">
        <v>0.4664128951445943</v>
      </c>
      <c r="L601" s="121" t="n">
        <v>-0.1705805642095469</v>
      </c>
      <c r="M601" s="121" t="n">
        <v>-0.204364174594999</v>
      </c>
      <c r="N601" t="n">
        <v>35.54354474402108</v>
      </c>
      <c r="O601" t="n">
        <v>-0.6692996639342019</v>
      </c>
      <c r="P601" t="n">
        <v>110.5335421064375</v>
      </c>
      <c r="Q601" t="n">
        <v>111.8038979762862</v>
      </c>
    </row>
    <row r="602">
      <c r="A602" s="118" t="n">
        <v>45308</v>
      </c>
      <c r="B602" s="119" t="n">
        <v>95.57045169550983</v>
      </c>
      <c r="C602" s="119" t="n">
        <v>95.81634770447813</v>
      </c>
      <c r="D602" s="119" t="n">
        <v>94.80436996019216</v>
      </c>
      <c r="E602" s="119" t="n">
        <v>95.35292053222656</v>
      </c>
      <c r="F602" s="120" t="n">
        <v>8226200</v>
      </c>
      <c r="G602" s="121" t="n">
        <v>-0.008847894238602771</v>
      </c>
      <c r="H602" s="122" t="n">
        <v>62.05162984790065</v>
      </c>
      <c r="I602" s="119" t="n">
        <v>103.9635108947754</v>
      </c>
      <c r="J602" s="119" t="n">
        <v>102.3521584320068</v>
      </c>
      <c r="K602" s="121" t="n">
        <v>0.4640339933199574</v>
      </c>
      <c r="L602" s="121" t="n">
        <v>-0.1779191796568625</v>
      </c>
      <c r="M602" s="121" t="n">
        <v>-0.211403876230626</v>
      </c>
      <c r="N602" t="n">
        <v>34.15028482058459</v>
      </c>
      <c r="O602" t="n">
        <v>-0.6717295413801176</v>
      </c>
      <c r="P602" t="n">
        <v>109.9191126167487</v>
      </c>
      <c r="Q602" t="n">
        <v>111.1732304905928</v>
      </c>
    </row>
    <row r="603">
      <c r="A603" s="118" t="n">
        <v>45309</v>
      </c>
      <c r="B603" s="119" t="n">
        <v>95.52315952765781</v>
      </c>
      <c r="C603" s="119" t="n">
        <v>95.92984257467016</v>
      </c>
      <c r="D603" s="119" t="n">
        <v>94.64358955229071</v>
      </c>
      <c r="E603" s="119" t="n">
        <v>95.46641540527344</v>
      </c>
      <c r="F603" s="120" t="n">
        <v>8852400</v>
      </c>
      <c r="G603" s="121" t="n">
        <v>0.001190261110130431</v>
      </c>
      <c r="H603" s="122" t="n">
        <v>62.12548748972881</v>
      </c>
      <c r="I603" s="119" t="n">
        <v>103.8545431518555</v>
      </c>
      <c r="J603" s="119" t="n">
        <v>102.2553101348877</v>
      </c>
      <c r="K603" s="121" t="n">
        <v>0.4650330377653088</v>
      </c>
      <c r="L603" s="121" t="n">
        <v>-0.176940688827024</v>
      </c>
      <c r="M603" s="121" t="n">
        <v>-0.2104652409329035</v>
      </c>
      <c r="N603" t="n">
        <v>34.51885060384051</v>
      </c>
      <c r="O603" t="n">
        <v>-0.6132588039525224</v>
      </c>
      <c r="P603" t="n">
        <v>110.8965951204163</v>
      </c>
      <c r="Q603" t="n">
        <v>112.7512501767873</v>
      </c>
    </row>
    <row r="604">
      <c r="A604" s="118" t="n">
        <v>45310</v>
      </c>
      <c r="B604" s="119" t="n">
        <v>95.54208166174904</v>
      </c>
      <c r="C604" s="119" t="n">
        <v>96.63918291195769</v>
      </c>
      <c r="D604" s="119" t="n">
        <v>94.26528826693787</v>
      </c>
      <c r="E604" s="119" t="n">
        <v>96.26087188720703</v>
      </c>
      <c r="F604" s="120" t="n">
        <v>8517200</v>
      </c>
      <c r="G604" s="121" t="n">
        <v>0.008321842593135731</v>
      </c>
      <c r="H604" s="122" t="n">
        <v>62.64248601764017</v>
      </c>
      <c r="I604" s="119" t="n">
        <v>103.7578825378418</v>
      </c>
      <c r="J604" s="119" t="n">
        <v>102.166975479126</v>
      </c>
      <c r="K604" s="121" t="n">
        <v>0.4628158836622982</v>
      </c>
      <c r="L604" s="121" t="n">
        <v>-0.1700913187946277</v>
      </c>
      <c r="M604" s="121" t="n">
        <v>-0.2038948569461378</v>
      </c>
      <c r="N604" t="n">
        <v>37.16983906825786</v>
      </c>
      <c r="O604" t="n">
        <v>-0.4748267537450857</v>
      </c>
      <c r="P604" t="n">
        <v>112.2790559846052</v>
      </c>
      <c r="Q604" t="n">
        <v>114.987210095138</v>
      </c>
    </row>
    <row r="605">
      <c r="A605" s="118" t="n">
        <v>45313</v>
      </c>
      <c r="B605" s="119" t="n">
        <v>96.23249072500494</v>
      </c>
      <c r="C605" s="119" t="n">
        <v>96.28923484786387</v>
      </c>
      <c r="D605" s="119" t="n">
        <v>94.6625026462097</v>
      </c>
      <c r="E605" s="119" t="n">
        <v>95.10701751708984</v>
      </c>
      <c r="F605" s="120" t="n">
        <v>9897400</v>
      </c>
      <c r="G605" s="121" t="n">
        <v>-0.01198674339319517</v>
      </c>
      <c r="H605" s="122" t="n">
        <v>61.8916066122349</v>
      </c>
      <c r="I605" s="119" t="n">
        <v>103.5983671569824</v>
      </c>
      <c r="J605" s="119" t="n">
        <v>102.0634142303467</v>
      </c>
      <c r="K605" s="121" t="n">
        <v>0.462938944719706</v>
      </c>
      <c r="L605" s="121" t="n">
        <v>-0.1800392211960214</v>
      </c>
      <c r="M605" s="121" t="n">
        <v>-0.2134375650099274</v>
      </c>
      <c r="N605" t="n">
        <v>34.95632214466342</v>
      </c>
      <c r="O605" t="n">
        <v>-0.4167877593644174</v>
      </c>
      <c r="P605" t="n">
        <v>112.516457344801</v>
      </c>
      <c r="Q605" t="n">
        <v>115.137370628603</v>
      </c>
    </row>
    <row r="606">
      <c r="A606" s="118" t="n">
        <v>45314</v>
      </c>
      <c r="B606" s="119" t="n">
        <v>96.11900375346949</v>
      </c>
      <c r="C606" s="119" t="n">
        <v>96.60135048742028</v>
      </c>
      <c r="D606" s="119" t="n">
        <v>95.74069994675307</v>
      </c>
      <c r="E606" s="119" t="n">
        <v>96.37436676025391</v>
      </c>
      <c r="F606" s="120" t="n">
        <v>8208000</v>
      </c>
      <c r="G606" s="121" t="n">
        <v>0.01332550716287928</v>
      </c>
      <c r="H606" s="122" t="n">
        <v>62.71634365946834</v>
      </c>
      <c r="I606" s="119" t="n">
        <v>103.4636331176758</v>
      </c>
      <c r="J606" s="119" t="n">
        <v>101.9792520523071</v>
      </c>
      <c r="K606" s="121" t="n">
        <v>0.4653822296203934</v>
      </c>
      <c r="L606" s="121" t="n">
        <v>-0.1691128279647889</v>
      </c>
      <c r="M606" s="121" t="n">
        <v>-0.2029562216484154</v>
      </c>
      <c r="N606" t="n">
        <v>39.2365287775177</v>
      </c>
      <c r="O606" t="n">
        <v>-0.2567145730563816</v>
      </c>
      <c r="P606" t="n">
        <v>112.8445945204375</v>
      </c>
      <c r="Q606" t="n">
        <v>115.6151418626103</v>
      </c>
    </row>
    <row r="607">
      <c r="A607" s="118" t="n">
        <v>45315</v>
      </c>
      <c r="B607" s="119" t="n">
        <v>96.26085152041681</v>
      </c>
      <c r="C607" s="119" t="n">
        <v>96.27977103627681</v>
      </c>
      <c r="D607" s="119" t="n">
        <v>95.22996159216079</v>
      </c>
      <c r="E607" s="119" t="n">
        <v>95.29616546630859</v>
      </c>
      <c r="F607" s="120" t="n">
        <v>7879300</v>
      </c>
      <c r="G607" s="121" t="n">
        <v>-0.0111876355735494</v>
      </c>
      <c r="H607" s="122" t="n">
        <v>62.01469606210073</v>
      </c>
      <c r="I607" s="119" t="n">
        <v>103.3523913574219</v>
      </c>
      <c r="J607" s="119" t="n">
        <v>101.8928825378418</v>
      </c>
      <c r="K607" s="121" t="n">
        <v>0.2235679361125656</v>
      </c>
      <c r="L607" s="121" t="n">
        <v>-0.1784084908482559</v>
      </c>
      <c r="M607" s="121" t="n">
        <v>-0.2118732569767778</v>
      </c>
      <c r="N607" t="n">
        <v>37.00545652949</v>
      </c>
      <c r="O607" t="n">
        <v>-0.1901820841183022</v>
      </c>
      <c r="P607" t="n">
        <v>112.967963328126</v>
      </c>
      <c r="Q607" t="n">
        <v>116.2567100033141</v>
      </c>
    </row>
    <row r="608">
      <c r="A608" s="118" t="n">
        <v>45316</v>
      </c>
      <c r="B608" s="119" t="n">
        <v>96.02440836160325</v>
      </c>
      <c r="C608" s="119" t="n">
        <v>96.22301998462513</v>
      </c>
      <c r="D608" s="119" t="n">
        <v>94.66249184296053</v>
      </c>
      <c r="E608" s="119" t="n">
        <v>95.30561828613281</v>
      </c>
      <c r="F608" s="120" t="n">
        <v>10063700</v>
      </c>
      <c r="G608" s="121" t="n">
        <v>9.919412578640596e-05</v>
      </c>
      <c r="H608" s="122" t="n">
        <v>62.02084755566252</v>
      </c>
      <c r="I608" s="119" t="n">
        <v>103.2581172180176</v>
      </c>
      <c r="J608" s="119" t="n">
        <v>101.7986479568481</v>
      </c>
      <c r="K608" s="121" t="n">
        <v>0.2236242136670628</v>
      </c>
      <c r="L608" s="121" t="n">
        <v>-0.178326993796752</v>
      </c>
      <c r="M608" s="121" t="n">
        <v>-0.2117950794334948</v>
      </c>
      <c r="N608" t="n">
        <v>37.03925827330233</v>
      </c>
      <c r="O608" t="n">
        <v>-0.1159218270950961</v>
      </c>
      <c r="P608" t="n">
        <v>113.5823708673716</v>
      </c>
      <c r="Q608" t="n">
        <v>116.3986887128403</v>
      </c>
    </row>
    <row r="609">
      <c r="A609" s="118" t="n">
        <v>45317</v>
      </c>
      <c r="B609" s="119" t="n">
        <v>96.06224739782846</v>
      </c>
      <c r="C609" s="119" t="n">
        <v>97.67006001876238</v>
      </c>
      <c r="D609" s="119" t="n">
        <v>95.73122800124578</v>
      </c>
      <c r="E609" s="119" t="n">
        <v>97.17826080322266</v>
      </c>
      <c r="F609" s="120" t="n">
        <v>9735800</v>
      </c>
      <c r="G609" s="121" t="n">
        <v>0.01964881557630394</v>
      </c>
      <c r="H609" s="122" t="n">
        <v>63.23948375116979</v>
      </c>
      <c r="I609" s="119" t="n">
        <v>103.2373030090332</v>
      </c>
      <c r="J609" s="119" t="n">
        <v>101.7072687911987</v>
      </c>
      <c r="K609" s="121" t="n">
        <v>0.2370813324667757</v>
      </c>
      <c r="L609" s="121" t="n">
        <v>-0.1621820924338373</v>
      </c>
      <c r="M609" s="121" t="n">
        <v>-0.1963077863129483</v>
      </c>
      <c r="N609" t="n">
        <v>43.50641640558121</v>
      </c>
      <c r="O609" t="n">
        <v>0.07845782289086634</v>
      </c>
      <c r="P609" t="n">
        <v>113.4380906041126</v>
      </c>
      <c r="Q609" t="n">
        <v>115.7052348052595</v>
      </c>
    </row>
    <row r="610">
      <c r="A610" s="118" t="n">
        <v>45320</v>
      </c>
      <c r="B610" s="119" t="n">
        <v>97.30122008116346</v>
      </c>
      <c r="C610" s="119" t="n">
        <v>98.36994924845236</v>
      </c>
      <c r="D610" s="119" t="n">
        <v>95.84472735169908</v>
      </c>
      <c r="E610" s="119" t="n">
        <v>98.24699401855469</v>
      </c>
      <c r="F610" s="120" t="n">
        <v>8860800</v>
      </c>
      <c r="G610" s="121" t="n">
        <v>0.01099765736182623</v>
      </c>
      <c r="H610" s="122" t="n">
        <v>63.93496992520393</v>
      </c>
      <c r="I610" s="119" t="n">
        <v>103.2086431884766</v>
      </c>
      <c r="J610" s="119" t="n">
        <v>101.619547958374</v>
      </c>
      <c r="K610" s="121" t="n">
        <v>0.2329059317268231</v>
      </c>
      <c r="L610" s="121" t="n">
        <v>-0.1529680581548224</v>
      </c>
      <c r="M610" s="121" t="n">
        <v>-0.1874690547224505</v>
      </c>
      <c r="N610" t="n">
        <v>46.86112725206668</v>
      </c>
      <c r="O610" t="n">
        <v>0.2864538440289022</v>
      </c>
      <c r="P610" t="n">
        <v>114.3364417599863</v>
      </c>
      <c r="Q610" t="n">
        <v>116.890096320079</v>
      </c>
    </row>
    <row r="611">
      <c r="A611" s="118" t="n">
        <v>45321</v>
      </c>
      <c r="B611" s="119" t="n">
        <v>97.73627732455407</v>
      </c>
      <c r="C611" s="119" t="n">
        <v>98.65367921802633</v>
      </c>
      <c r="D611" s="119" t="n">
        <v>97.53766565932028</v>
      </c>
      <c r="E611" s="119" t="n">
        <v>98.53073120117188</v>
      </c>
      <c r="F611" s="120" t="n">
        <v>7542800</v>
      </c>
      <c r="G611" s="121" t="n">
        <v>0.002887998614630405</v>
      </c>
      <c r="H611" s="122" t="n">
        <v>64.11961402977437</v>
      </c>
      <c r="I611" s="119" t="n">
        <v>103.1466345214844</v>
      </c>
      <c r="J611" s="119" t="n">
        <v>101.5202770996094</v>
      </c>
      <c r="K611" s="121" t="n">
        <v>0.2336086259767937</v>
      </c>
      <c r="L611" s="121" t="n">
        <v>-0.1505218310802257</v>
      </c>
      <c r="M611" s="121" t="n">
        <v>-0.1851224664781446</v>
      </c>
      <c r="N611" t="n">
        <v>47.74825948303211</v>
      </c>
      <c r="O611" t="n">
        <v>0.441331348518728</v>
      </c>
      <c r="P611" t="n">
        <v>114.2480034242689</v>
      </c>
      <c r="Q611" t="n">
        <v>116.1120040191416</v>
      </c>
    </row>
    <row r="612">
      <c r="A612" s="118" t="n">
        <v>45322</v>
      </c>
      <c r="B612" s="119" t="n">
        <v>98.44560835786346</v>
      </c>
      <c r="C612" s="119" t="n">
        <v>98.6442272399199</v>
      </c>
      <c r="D612" s="119" t="n">
        <v>95.63666574856396</v>
      </c>
      <c r="E612" s="119" t="n">
        <v>96.02442932128906</v>
      </c>
      <c r="F612" s="120" t="n">
        <v>11547600</v>
      </c>
      <c r="G612" s="121" t="n">
        <v>-0.02543675307519699</v>
      </c>
      <c r="H612" s="122" t="n">
        <v>62.48861924042206</v>
      </c>
      <c r="I612" s="119" t="n">
        <v>103.0384585571289</v>
      </c>
      <c r="J612" s="119" t="n">
        <v>101.4107219314575</v>
      </c>
      <c r="K612" s="121" t="n">
        <v>0.2412002363826378</v>
      </c>
      <c r="L612" s="121" t="n">
        <v>-0.1721297975058084</v>
      </c>
      <c r="M612" s="121" t="n">
        <v>-0.2058503050848656</v>
      </c>
      <c r="N612" t="n">
        <v>41.20456303500175</v>
      </c>
      <c r="O612" t="n">
        <v>0.3757366027976428</v>
      </c>
      <c r="P612" t="n">
        <v>112.3837961828177</v>
      </c>
      <c r="Q612" t="n">
        <v>113.8378369250189</v>
      </c>
    </row>
    <row r="613">
      <c r="A613" s="118" t="n">
        <v>45323</v>
      </c>
      <c r="B613" s="119" t="n">
        <v>96.37436639314696</v>
      </c>
      <c r="C613" s="119" t="n">
        <v>96.7053858306042</v>
      </c>
      <c r="D613" s="119" t="n">
        <v>95.15431713879093</v>
      </c>
      <c r="E613" s="119" t="n">
        <v>96.24195861816406</v>
      </c>
      <c r="F613" s="120" t="n">
        <v>7666700</v>
      </c>
      <c r="G613" s="121" t="n">
        <v>0.002265353706473627</v>
      </c>
      <c r="H613" s="122" t="n">
        <v>62.63017806563077</v>
      </c>
      <c r="I613" s="119" t="n">
        <v>102.9657386779785</v>
      </c>
      <c r="J613" s="119" t="n">
        <v>101.3011308670044</v>
      </c>
      <c r="K613" s="121" t="n">
        <v>0.2280760000124607</v>
      </c>
      <c r="L613" s="121" t="n">
        <v>-0.1702543786741091</v>
      </c>
      <c r="M613" s="121" t="n">
        <v>-0.2040512751299947</v>
      </c>
      <c r="N613" t="n">
        <v>41.94818204534649</v>
      </c>
      <c r="O613" t="n">
        <v>0.348364869475414</v>
      </c>
      <c r="P613" t="n">
        <v>113.8546953827241</v>
      </c>
      <c r="Q613" t="n">
        <v>115.1783219661708</v>
      </c>
    </row>
    <row r="614">
      <c r="A614" s="118" t="n">
        <v>45324</v>
      </c>
      <c r="B614" s="119" t="n">
        <v>95.40966593542362</v>
      </c>
      <c r="C614" s="119" t="n">
        <v>95.91093215046773</v>
      </c>
      <c r="D614" s="119" t="n">
        <v>94.03829670261486</v>
      </c>
      <c r="E614" s="119" t="n">
        <v>95.24888610839844</v>
      </c>
      <c r="F614" s="120" t="n">
        <v>8966900</v>
      </c>
      <c r="G614" s="121" t="n">
        <v>-0.01031849854288192</v>
      </c>
      <c r="H614" s="122" t="n">
        <v>61.98392866452013</v>
      </c>
      <c r="I614" s="119" t="n">
        <v>102.8663710021973</v>
      </c>
      <c r="J614" s="119" t="n">
        <v>101.1864807510376</v>
      </c>
      <c r="K614" s="121" t="n">
        <v>0.2233051721457504</v>
      </c>
      <c r="L614" s="121" t="n">
        <v>-0.1788161076587229</v>
      </c>
      <c r="M614" s="121" t="n">
        <v>-0.2095786857015834</v>
      </c>
      <c r="N614" t="n">
        <v>39.49251468947141</v>
      </c>
      <c r="O614" t="n">
        <v>0.2683336781946506</v>
      </c>
      <c r="P614" t="n">
        <v>115.0532773840923</v>
      </c>
      <c r="Q614" t="n">
        <v>117.1248952469007</v>
      </c>
    </row>
    <row r="615">
      <c r="A615" s="118" t="n">
        <v>45327</v>
      </c>
      <c r="B615" s="119" t="n">
        <v>95.0502764316079</v>
      </c>
      <c r="C615" s="119" t="n">
        <v>95.13539261861621</v>
      </c>
      <c r="D615" s="119" t="n">
        <v>93.67890717036005</v>
      </c>
      <c r="E615" s="119" t="n">
        <v>94.27474212646484</v>
      </c>
      <c r="F615" s="120" t="n">
        <v>10097900</v>
      </c>
      <c r="G615" s="121" t="n">
        <v>-0.01022735300888411</v>
      </c>
      <c r="H615" s="122" t="n">
        <v>61.34999714519059</v>
      </c>
      <c r="I615" s="119" t="n">
        <v>102.7431840515137</v>
      </c>
      <c r="J615" s="119" t="n">
        <v>101.0694881057739</v>
      </c>
      <c r="K615" s="121" t="n">
        <v>0.2258327019184973</v>
      </c>
      <c r="L615" s="121" t="n">
        <v>-0.1872146452109066</v>
      </c>
      <c r="M615" s="121" t="n">
        <v>-0.2129347885351013</v>
      </c>
      <c r="N615" t="n">
        <v>37.19245994845247</v>
      </c>
      <c r="O615" t="n">
        <v>0.160088313835729</v>
      </c>
      <c r="P615" t="n">
        <v>114.6343385416855</v>
      </c>
      <c r="Q615" t="n">
        <v>116.9720243259388</v>
      </c>
    </row>
    <row r="616">
      <c r="A616" s="118" t="n">
        <v>45328</v>
      </c>
      <c r="B616" s="119" t="n">
        <v>94.10451028745143</v>
      </c>
      <c r="C616" s="119" t="n">
        <v>97.06478022447622</v>
      </c>
      <c r="D616" s="119" t="n">
        <v>93.75457131989251</v>
      </c>
      <c r="E616" s="119" t="n">
        <v>97.04586791992188</v>
      </c>
      <c r="F616" s="120" t="n">
        <v>11368600</v>
      </c>
      <c r="G616" s="121" t="n">
        <v>0.0293941487502527</v>
      </c>
      <c r="H616" s="122" t="n">
        <v>63.1533280871039</v>
      </c>
      <c r="I616" s="119" t="n">
        <v>102.6495927429199</v>
      </c>
      <c r="J616" s="119" t="n">
        <v>100.9720629501343</v>
      </c>
      <c r="K616" s="121" t="n">
        <v>0.2443770484230413</v>
      </c>
      <c r="L616" s="121" t="n">
        <v>-0.1633235115902091</v>
      </c>
      <c r="M616" s="121" t="n">
        <v>-0.1897996766331529</v>
      </c>
      <c r="N616" t="n">
        <v>46.70186169633294</v>
      </c>
      <c r="O616" t="n">
        <v>0.2784827470400388</v>
      </c>
      <c r="P616" t="n">
        <v>114.9671657953558</v>
      </c>
      <c r="Q616" t="n">
        <v>116.7372169555425</v>
      </c>
    </row>
    <row r="617">
      <c r="A617" s="118" t="n">
        <v>45329</v>
      </c>
      <c r="B617" s="119" t="n">
        <v>96.83778797524296</v>
      </c>
      <c r="C617" s="119" t="n">
        <v>98.68204417362065</v>
      </c>
      <c r="D617" s="119" t="n">
        <v>96.79995615377852</v>
      </c>
      <c r="E617" s="119" t="n">
        <v>98.16187286376953</v>
      </c>
      <c r="F617" s="120" t="n">
        <v>9447800</v>
      </c>
      <c r="G617" s="121" t="n">
        <v>0.01149976776722261</v>
      </c>
      <c r="H617" s="122" t="n">
        <v>63.87957669383281</v>
      </c>
      <c r="I617" s="119" t="n">
        <v>102.5836003112793</v>
      </c>
      <c r="J617" s="119" t="n">
        <v>100.8751614761352</v>
      </c>
      <c r="K617" s="121" t="n">
        <v>0.2458705551247682</v>
      </c>
      <c r="L617" s="121" t="n">
        <v>-0.1537019262772013</v>
      </c>
      <c r="M617" s="121" t="n">
        <v>-0.1804825610695056</v>
      </c>
      <c r="N617" t="n">
        <v>49.98604345964608</v>
      </c>
      <c r="O617" t="n">
        <v>0.4264635183186058</v>
      </c>
      <c r="P617" t="n">
        <v>115.9260416399906</v>
      </c>
      <c r="Q617" t="n">
        <v>117.9384758925386</v>
      </c>
    </row>
    <row r="618">
      <c r="A618" s="118" t="n">
        <v>45330</v>
      </c>
      <c r="B618" s="119" t="n">
        <v>98.76716618719566</v>
      </c>
      <c r="C618" s="119" t="n">
        <v>99.26842518710808</v>
      </c>
      <c r="D618" s="119" t="n">
        <v>97.46200083559266</v>
      </c>
      <c r="E618" s="119" t="n">
        <v>98.14295196533203</v>
      </c>
      <c r="F618" s="120" t="n">
        <v>6330400</v>
      </c>
      <c r="G618" s="121" t="n">
        <v>-0.0001927520114022307</v>
      </c>
      <c r="H618" s="122" t="n">
        <v>63.86726377693754</v>
      </c>
      <c r="I618" s="119" t="n">
        <v>102.5111964416504</v>
      </c>
      <c r="J618" s="119" t="n">
        <v>100.7708617401123</v>
      </c>
      <c r="K618" s="121" t="n">
        <v>0.2433502277232117</v>
      </c>
      <c r="L618" s="121" t="n">
        <v>-0.1538650519331572</v>
      </c>
      <c r="M618" s="121" t="n">
        <v>-0.1806405247042385</v>
      </c>
      <c r="N618" t="n">
        <v>49.92986938912716</v>
      </c>
      <c r="O618" t="n">
        <v>0.5118307240785669</v>
      </c>
      <c r="P618" t="n">
        <v>115.9772520240136</v>
      </c>
      <c r="Q618" t="n">
        <v>118.1568858407584</v>
      </c>
    </row>
    <row r="619">
      <c r="A619" s="118" t="n">
        <v>45331</v>
      </c>
      <c r="B619" s="119" t="n">
        <v>98.17132001326299</v>
      </c>
      <c r="C619" s="119" t="n">
        <v>99.24950153162284</v>
      </c>
      <c r="D619" s="119" t="n">
        <v>97.72680518775509</v>
      </c>
      <c r="E619" s="119" t="n">
        <v>98.83335876464844</v>
      </c>
      <c r="F619" s="120" t="n">
        <v>5449000</v>
      </c>
      <c r="G619" s="121" t="n">
        <v>0.007034705860083479</v>
      </c>
      <c r="H619" s="122" t="n">
        <v>64.31655119169668</v>
      </c>
      <c r="I619" s="119" t="n">
        <v>102.437707824707</v>
      </c>
      <c r="J619" s="119" t="n">
        <v>100.68139087677</v>
      </c>
      <c r="K619" s="121" t="n">
        <v>0.2328237096782078</v>
      </c>
      <c r="L619" s="121" t="n">
        <v>-0.1479127414555699</v>
      </c>
      <c r="M619" s="121" t="n">
        <v>-0.1748765718018606</v>
      </c>
      <c r="N619" t="n">
        <v>52.04748211064261</v>
      </c>
      <c r="O619" t="n">
        <v>0.5975789408081733</v>
      </c>
      <c r="P619" t="n">
        <v>116.6475161244295</v>
      </c>
      <c r="Q619" t="n">
        <v>119.3199122712582</v>
      </c>
    </row>
    <row r="620">
      <c r="A620" s="118" t="n">
        <v>45334</v>
      </c>
      <c r="B620" s="119" t="n">
        <v>99.06034402297662</v>
      </c>
      <c r="C620" s="119" t="n">
        <v>101.6044778085715</v>
      </c>
      <c r="D620" s="119" t="n">
        <v>98.97522784602339</v>
      </c>
      <c r="E620" s="119" t="n">
        <v>101.368034362793</v>
      </c>
      <c r="F620" s="120" t="n">
        <v>7501900</v>
      </c>
      <c r="G620" s="121" t="n">
        <v>0.02564595223542221</v>
      </c>
      <c r="H620" s="122" t="n">
        <v>65.96601039150602</v>
      </c>
      <c r="I620" s="119" t="n">
        <v>102.384372253418</v>
      </c>
      <c r="J620" s="119" t="n">
        <v>100.6084324645996</v>
      </c>
      <c r="K620" s="121" t="n">
        <v>0.2486952769962196</v>
      </c>
      <c r="L620" s="121" t="n">
        <v>-0.1260601523225275</v>
      </c>
      <c r="M620" s="121" t="n">
        <v>-0.1537154957739633</v>
      </c>
      <c r="N620" t="n">
        <v>58.91707739548989</v>
      </c>
      <c r="O620" t="n">
        <v>0.7954058275281199</v>
      </c>
      <c r="P620" t="n">
        <v>116.5963130572209</v>
      </c>
      <c r="Q620" t="n">
        <v>118.8530585794107</v>
      </c>
    </row>
    <row r="621">
      <c r="A621" s="118" t="n">
        <v>45335</v>
      </c>
      <c r="B621" s="119" t="n">
        <v>99.29678413857971</v>
      </c>
      <c r="C621" s="119" t="n">
        <v>100.0628657838729</v>
      </c>
      <c r="D621" s="119" t="n">
        <v>98.59691358293806</v>
      </c>
      <c r="E621" s="119" t="n">
        <v>99.30624389648438</v>
      </c>
      <c r="F621" s="120" t="n">
        <v>6180500</v>
      </c>
      <c r="G621" s="121" t="n">
        <v>-0.02033965124478498</v>
      </c>
      <c r="H621" s="122" t="n">
        <v>64.62428474613291</v>
      </c>
      <c r="I621" s="119" t="n">
        <v>102.2916860961914</v>
      </c>
      <c r="J621" s="119" t="n">
        <v>100.5164568710327</v>
      </c>
      <c r="K621" s="121" t="n">
        <v>0.2313124725048448</v>
      </c>
      <c r="L621" s="121" t="n">
        <v>-0.143835784033208</v>
      </c>
      <c r="M621" s="121" t="n">
        <v>-0.1709286274437866</v>
      </c>
      <c r="N621" t="n">
        <v>52.34770059796249</v>
      </c>
      <c r="O621" t="n">
        <v>0.7579624241524858</v>
      </c>
      <c r="P621" t="n">
        <v>114.9904332651648</v>
      </c>
      <c r="Q621" t="n">
        <v>116.9992886288267</v>
      </c>
    </row>
    <row r="622">
      <c r="A622" s="118" t="n">
        <v>45336</v>
      </c>
      <c r="B622" s="119" t="n">
        <v>99.13602723430715</v>
      </c>
      <c r="C622" s="119" t="n">
        <v>100.6492641429803</v>
      </c>
      <c r="D622" s="119" t="n">
        <v>98.79554802789535</v>
      </c>
      <c r="E622" s="119" t="n">
        <v>100.5641479492188</v>
      </c>
      <c r="F622" s="120" t="n">
        <v>5743300</v>
      </c>
      <c r="G622" s="121" t="n">
        <v>0.01266691804440412</v>
      </c>
      <c r="H622" s="122" t="n">
        <v>65.44287526469043</v>
      </c>
      <c r="I622" s="119" t="n">
        <v>102.1564408874512</v>
      </c>
      <c r="J622" s="119" t="n">
        <v>100.4259954071045</v>
      </c>
      <c r="K622" s="121" t="n">
        <v>0.2309210127299303</v>
      </c>
      <c r="L622" s="121" t="n">
        <v>-0.1329908220770049</v>
      </c>
      <c r="M622" s="121" t="n">
        <v>-0.1604268483146554</v>
      </c>
      <c r="N622" t="n">
        <v>55.60044031565309</v>
      </c>
      <c r="O622" t="n">
        <v>0.7851466050740593</v>
      </c>
      <c r="P622" t="n">
        <v>116.0354206985361</v>
      </c>
      <c r="Q622" t="n">
        <v>118.2742768605944</v>
      </c>
    </row>
    <row r="623">
      <c r="A623" s="118" t="n">
        <v>45337</v>
      </c>
      <c r="B623" s="119" t="n">
        <v>101.2167263479995</v>
      </c>
      <c r="C623" s="119" t="n">
        <v>101.5193737275401</v>
      </c>
      <c r="D623" s="119" t="n">
        <v>100.0912602386644</v>
      </c>
      <c r="E623" s="119" t="n">
        <v>100.2993316650391</v>
      </c>
      <c r="F623" s="120" t="n">
        <v>7201300</v>
      </c>
      <c r="G623" s="121" t="n">
        <v>-0.002633307093830362</v>
      </c>
      <c r="H623" s="122" t="n">
        <v>65.27054407701526</v>
      </c>
      <c r="I623" s="119" t="n">
        <v>101.9843103027344</v>
      </c>
      <c r="J623" s="119" t="n">
        <v>100.3285916137695</v>
      </c>
      <c r="K623" s="121" t="n">
        <v>0.2316643758964158</v>
      </c>
      <c r="L623" s="121" t="n">
        <v>-0.1352739234956456</v>
      </c>
      <c r="M623" s="121" t="n">
        <v>-0.162637702250778</v>
      </c>
      <c r="N623" t="n">
        <v>54.75310355818462</v>
      </c>
      <c r="O623" t="n">
        <v>0.7524471016238393</v>
      </c>
      <c r="P623" t="n">
        <v>116.8360338475832</v>
      </c>
      <c r="Q623" t="n">
        <v>118.6264583636774</v>
      </c>
    </row>
    <row r="624">
      <c r="A624" s="118" t="n">
        <v>45338</v>
      </c>
      <c r="B624" s="119" t="n">
        <v>98.95633413364612</v>
      </c>
      <c r="C624" s="119" t="n">
        <v>99.02253802710032</v>
      </c>
      <c r="D624" s="119" t="n">
        <v>96.13793156581504</v>
      </c>
      <c r="E624" s="119" t="n">
        <v>97.89707183837891</v>
      </c>
      <c r="F624" s="120" t="n">
        <v>14590100</v>
      </c>
      <c r="G624" s="121" t="n">
        <v>-0.0239509056220113</v>
      </c>
      <c r="H624" s="122" t="n">
        <v>63.70725543592933</v>
      </c>
      <c r="I624" s="119" t="n">
        <v>101.7592164611816</v>
      </c>
      <c r="J624" s="119" t="n">
        <v>100.2222665405273</v>
      </c>
      <c r="K624" s="121" t="n">
        <v>0.2487376794982261</v>
      </c>
      <c r="L624" s="121" t="n">
        <v>-0.1559848961428936</v>
      </c>
      <c r="M624" s="121" t="n">
        <v>-0.1826932876156001</v>
      </c>
      <c r="N624" t="n">
        <v>47.65778862418525</v>
      </c>
      <c r="O624" t="n">
        <v>0.5458061943810969</v>
      </c>
      <c r="P624" t="n">
        <v>116.2541934492558</v>
      </c>
      <c r="Q624" t="n">
        <v>117.5507976011804</v>
      </c>
    </row>
    <row r="625">
      <c r="A625" s="118" t="n">
        <v>45342</v>
      </c>
      <c r="B625" s="119" t="n">
        <v>97.53765351505039</v>
      </c>
      <c r="C625" s="119" t="n">
        <v>98.2091520755238</v>
      </c>
      <c r="D625" s="119" t="n">
        <v>96.62971149459275</v>
      </c>
      <c r="E625" s="119" t="n">
        <v>97.69844055175781</v>
      </c>
      <c r="F625" s="120" t="n">
        <v>8759500</v>
      </c>
      <c r="G625" s="121" t="n">
        <v>-0.002028980876455866</v>
      </c>
      <c r="H625" s="122" t="n">
        <v>63.57799463295834</v>
      </c>
      <c r="I625" s="119" t="n">
        <v>101.5169091796875</v>
      </c>
      <c r="J625" s="119" t="n">
        <v>100.117382850647</v>
      </c>
      <c r="K625" s="121" t="n">
        <v>0.244336087196438</v>
      </c>
      <c r="L625" s="121" t="n">
        <v>-0.1576973866480595</v>
      </c>
      <c r="M625" s="121" t="n">
        <v>-0.184351587305227</v>
      </c>
      <c r="N625" t="n">
        <v>47.11412976439567</v>
      </c>
      <c r="O625" t="n">
        <v>0.3803610654867243</v>
      </c>
      <c r="P625" t="n">
        <v>115.6141697427771</v>
      </c>
      <c r="Q625" t="n">
        <v>116.6635045479204</v>
      </c>
    </row>
    <row r="626">
      <c r="A626" s="118" t="n">
        <v>45343</v>
      </c>
      <c r="B626" s="119" t="n">
        <v>97.74573083924842</v>
      </c>
      <c r="C626" s="119" t="n">
        <v>99.79805846455073</v>
      </c>
      <c r="D626" s="119" t="n">
        <v>97.34850753416066</v>
      </c>
      <c r="E626" s="119" t="n">
        <v>99.56161499023438</v>
      </c>
      <c r="F626" s="120" t="n">
        <v>8888100</v>
      </c>
      <c r="G626" s="121" t="n">
        <v>0.01907066712584338</v>
      </c>
      <c r="H626" s="122" t="n">
        <v>64.79046940513216</v>
      </c>
      <c r="I626" s="119" t="n">
        <v>101.3364555358887</v>
      </c>
      <c r="J626" s="119" t="n">
        <v>100.0361882019043</v>
      </c>
      <c r="K626" s="121" t="n">
        <v>0.2488466762621183</v>
      </c>
      <c r="L626" s="121" t="n">
        <v>-0.1416341138895967</v>
      </c>
      <c r="M626" s="121" t="n">
        <v>-0.1687966279350025</v>
      </c>
      <c r="N626" t="n">
        <v>52.57870644701953</v>
      </c>
      <c r="O626" t="n">
        <v>0.3801222642222798</v>
      </c>
      <c r="P626" t="n">
        <v>115.7189099409896</v>
      </c>
      <c r="Q626" t="n">
        <v>116.1966424124981</v>
      </c>
    </row>
    <row r="627">
      <c r="A627" s="118" t="n">
        <v>45344</v>
      </c>
      <c r="B627" s="119" t="n">
        <v>100.0628782008546</v>
      </c>
      <c r="C627" s="119" t="n">
        <v>100.2614898474119</v>
      </c>
      <c r="D627" s="119" t="n">
        <v>98.43614599208199</v>
      </c>
      <c r="E627" s="119" t="n">
        <v>99.38191986083984</v>
      </c>
      <c r="F627" s="120" t="n">
        <v>6705500</v>
      </c>
      <c r="G627" s="121" t="n">
        <v>-0.001804863545174062</v>
      </c>
      <c r="H627" s="122" t="n">
        <v>64.67353144882811</v>
      </c>
      <c r="I627" s="119" t="n">
        <v>101.1316007995605</v>
      </c>
      <c r="J627" s="119" t="n">
        <v>99.94042411804199</v>
      </c>
      <c r="K627" s="121" t="n">
        <v>0.2445714139620536</v>
      </c>
      <c r="L627" s="121" t="n">
        <v>-0.1431833471858583</v>
      </c>
      <c r="M627" s="121" t="n">
        <v>-0.1702968365998684</v>
      </c>
      <c r="N627" t="n">
        <v>52.02041858740368</v>
      </c>
      <c r="O627" t="n">
        <v>0.3522065680579886</v>
      </c>
      <c r="P627" t="n">
        <v>118.1137691471884</v>
      </c>
      <c r="Q627" t="n">
        <v>119.5983898102939</v>
      </c>
    </row>
    <row r="628">
      <c r="A628" s="118" t="n">
        <v>45345</v>
      </c>
      <c r="B628" s="119" t="n">
        <v>99.55216026370171</v>
      </c>
      <c r="C628" s="119" t="n">
        <v>100.838413313034</v>
      </c>
      <c r="D628" s="119" t="n">
        <v>99.48595638097204</v>
      </c>
      <c r="E628" s="119" t="n">
        <v>99.90209197998047</v>
      </c>
      <c r="F628" s="120" t="n">
        <v>6947300</v>
      </c>
      <c r="G628" s="121" t="n">
        <v>0.005234071950602326</v>
      </c>
      <c r="H628" s="122" t="n">
        <v>65.01203736573082</v>
      </c>
      <c r="I628" s="119" t="n">
        <v>100.8860778808594</v>
      </c>
      <c r="J628" s="119" t="n">
        <v>99.84590324401856</v>
      </c>
      <c r="K628" s="121" t="n">
        <v>0.2446617190669446</v>
      </c>
      <c r="L628" s="121" t="n">
        <v>-0.138698707176555</v>
      </c>
      <c r="M628" s="121" t="n">
        <v>-0.1659541105449899</v>
      </c>
      <c r="N628" t="n">
        <v>53.5577139731886</v>
      </c>
      <c r="O628" t="n">
        <v>0.3522680600538207</v>
      </c>
      <c r="P628" t="n">
        <v>118.1952126083343</v>
      </c>
      <c r="Q628" t="n">
        <v>119.2461914200615</v>
      </c>
    </row>
    <row r="629">
      <c r="A629" s="118" t="n">
        <v>45348</v>
      </c>
      <c r="B629" s="119" t="n">
        <v>99.59944326155781</v>
      </c>
      <c r="C629" s="119" t="n">
        <v>100.3466054796451</v>
      </c>
      <c r="D629" s="119" t="n">
        <v>98.13349810246262</v>
      </c>
      <c r="E629" s="119" t="n">
        <v>98.87120056152344</v>
      </c>
      <c r="F629" s="120" t="n">
        <v>5831500</v>
      </c>
      <c r="G629" s="121" t="n">
        <v>-0.01031901733012375</v>
      </c>
      <c r="H629" s="122" t="n">
        <v>64.3411770254872</v>
      </c>
      <c r="I629" s="119" t="n">
        <v>100.6004542541504</v>
      </c>
      <c r="J629" s="119" t="n">
        <v>99.75456157684326</v>
      </c>
      <c r="K629" s="121" t="n">
        <v>0.2398322445376914</v>
      </c>
      <c r="L629" s="121" t="n">
        <v>-0.147586490143658</v>
      </c>
      <c r="M629" s="121" t="n">
        <v>-0.1745606445323945</v>
      </c>
      <c r="N629" t="n">
        <v>50.12967097841221</v>
      </c>
      <c r="O629" t="n">
        <v>0.2700737465005578</v>
      </c>
      <c r="P629" t="n">
        <v>117.7623279176709</v>
      </c>
      <c r="Q629" t="n">
        <v>119.1833881110245</v>
      </c>
    </row>
    <row r="630">
      <c r="A630" s="118" t="n">
        <v>45349</v>
      </c>
      <c r="B630" s="119" t="n">
        <v>99.14547277884667</v>
      </c>
      <c r="C630" s="119" t="n">
        <v>99.54269605747869</v>
      </c>
      <c r="D630" s="119" t="n">
        <v>98.35101900590089</v>
      </c>
      <c r="E630" s="119" t="n">
        <v>99.4481201171875</v>
      </c>
      <c r="F630" s="120" t="n">
        <v>5317400</v>
      </c>
      <c r="G630" s="121" t="n">
        <v>0.005835061700348865</v>
      </c>
      <c r="H630" s="122" t="n">
        <v>64.71661176330397</v>
      </c>
      <c r="I630" s="119" t="n">
        <v>100.2974282836914</v>
      </c>
      <c r="J630" s="119" t="n">
        <v>99.67354858398437</v>
      </c>
      <c r="K630" s="121" t="n">
        <v>0.2376602637020059</v>
      </c>
      <c r="L630" s="121" t="n">
        <v>-0.1426126047194355</v>
      </c>
      <c r="M630" s="121" t="n">
        <v>-0.1697441549633448</v>
      </c>
      <c r="N630" t="n">
        <v>51.98198843607279</v>
      </c>
      <c r="O630" t="n">
        <v>0.2426230368552527</v>
      </c>
      <c r="P630" t="n">
        <v>117.9810933515763</v>
      </c>
      <c r="Q630" t="n">
        <v>119.4700643611485</v>
      </c>
    </row>
    <row r="631">
      <c r="A631" s="118" t="n">
        <v>45350</v>
      </c>
      <c r="B631" s="119" t="n">
        <v>98.455061956146</v>
      </c>
      <c r="C631" s="119" t="n">
        <v>99.72240273956915</v>
      </c>
      <c r="D631" s="119" t="n">
        <v>98.07675095143689</v>
      </c>
      <c r="E631" s="119" t="n">
        <v>98.69150543212891</v>
      </c>
      <c r="F631" s="120" t="n">
        <v>4219800</v>
      </c>
      <c r="G631" s="121" t="n">
        <v>-0.007608134614983331</v>
      </c>
      <c r="H631" s="122" t="n">
        <v>64.22423906918314</v>
      </c>
      <c r="I631" s="119" t="n">
        <v>99.98210739135742</v>
      </c>
      <c r="J631" s="119" t="n">
        <v>99.594792137146</v>
      </c>
      <c r="K631" s="121" t="n">
        <v>0.2393016314913327</v>
      </c>
      <c r="L631" s="121" t="n">
        <v>-0.1491357234399199</v>
      </c>
      <c r="M631" s="121" t="n">
        <v>-0.1760608531972604</v>
      </c>
      <c r="N631" t="n">
        <v>49.3910015862806</v>
      </c>
      <c r="O631" t="n">
        <v>0.1652675422970017</v>
      </c>
      <c r="P631" t="n">
        <v>117.825164719784</v>
      </c>
      <c r="Q631" t="n">
        <v>118.8339507697373</v>
      </c>
    </row>
    <row r="632">
      <c r="A632" s="118" t="n">
        <v>45351</v>
      </c>
      <c r="B632" s="119" t="n">
        <v>99.28734647996149</v>
      </c>
      <c r="C632" s="119" t="n">
        <v>99.84534961340476</v>
      </c>
      <c r="D632" s="119" t="n">
        <v>98.05783753256669</v>
      </c>
      <c r="E632" s="119" t="n">
        <v>98.29428100585938</v>
      </c>
      <c r="F632" s="120" t="n">
        <v>10811600</v>
      </c>
      <c r="G632" s="121" t="n">
        <v>-0.004024909991293124</v>
      </c>
      <c r="H632" s="122" t="n">
        <v>63.96574228767039</v>
      </c>
      <c r="I632" s="119" t="n">
        <v>99.6488166809082</v>
      </c>
      <c r="J632" s="119" t="n">
        <v>99.52346004486084</v>
      </c>
      <c r="K632" s="121" t="n">
        <v>0.2201974713732086</v>
      </c>
      <c r="L632" s="121" t="n">
        <v>-0.1525603755678809</v>
      </c>
      <c r="M632" s="121" t="n">
        <v>-0.1793771341014443</v>
      </c>
      <c r="N632" t="n">
        <v>48.03725805564316</v>
      </c>
      <c r="O632" t="n">
        <v>0.08324656677594906</v>
      </c>
      <c r="P632" t="n">
        <v>118.2487424225238</v>
      </c>
      <c r="Q632" t="n">
        <v>119.8522881032142</v>
      </c>
    </row>
    <row r="633">
      <c r="A633" s="118" t="n">
        <v>45352</v>
      </c>
      <c r="B633" s="119" t="n">
        <v>98.5885111972967</v>
      </c>
      <c r="C633" s="119" t="n">
        <v>98.65495160852709</v>
      </c>
      <c r="D633" s="119" t="n">
        <v>96.65223847384593</v>
      </c>
      <c r="E633" s="119" t="n">
        <v>96.69969177246094</v>
      </c>
      <c r="F633" s="120" t="n">
        <v>7349300</v>
      </c>
      <c r="G633" s="121" t="n">
        <v>-0.01622260437820777</v>
      </c>
      <c r="H633" s="122" t="n">
        <v>62.92805135677912</v>
      </c>
      <c r="I633" s="119" t="n">
        <v>99.29138961791992</v>
      </c>
      <c r="J633" s="119" t="n">
        <v>99.44593418121337</v>
      </c>
      <c r="K633" s="121" t="n">
        <v>0.2286931983658246</v>
      </c>
      <c r="L633" s="121" t="n">
        <v>-0.1663080533294602</v>
      </c>
      <c r="M633" s="121" t="n">
        <v>-0.1926897741986275</v>
      </c>
      <c r="N633" t="n">
        <v>42.94826613911628</v>
      </c>
      <c r="O633" t="n">
        <v>-0.07400172725033845</v>
      </c>
      <c r="P633" t="n">
        <v>119.3588934049891</v>
      </c>
      <c r="Q633" t="n">
        <v>121.6568911179926</v>
      </c>
    </row>
    <row r="634">
      <c r="A634" s="118" t="n">
        <v>45355</v>
      </c>
      <c r="B634" s="119" t="n">
        <v>96.48138894112874</v>
      </c>
      <c r="C634" s="119" t="n">
        <v>96.59528264893608</v>
      </c>
      <c r="D634" s="119" t="n">
        <v>93.97562598890519</v>
      </c>
      <c r="E634" s="119" t="n">
        <v>94.47867584228516</v>
      </c>
      <c r="F634" s="120" t="n">
        <v>11050900</v>
      </c>
      <c r="G634" s="121" t="n">
        <v>-0.02296818003724288</v>
      </c>
      <c r="H634" s="122" t="n">
        <v>61.48270854382376</v>
      </c>
      <c r="I634" s="119" t="n">
        <v>98.86116882324218</v>
      </c>
      <c r="J634" s="119" t="n">
        <v>99.37298732757569</v>
      </c>
      <c r="K634" s="121" t="n">
        <v>0.240606960711745</v>
      </c>
      <c r="L634" s="121" t="n">
        <v>-0.1854564400561884</v>
      </c>
      <c r="M634" s="121" t="n">
        <v>-0.2112322208107407</v>
      </c>
      <c r="N634" t="n">
        <v>37.05930895057202</v>
      </c>
      <c r="O634" t="n">
        <v>-0.3099662551429371</v>
      </c>
      <c r="P634" t="n">
        <v>119.230893053782</v>
      </c>
      <c r="Q634" t="n">
        <v>121.222806939774</v>
      </c>
    </row>
    <row r="635">
      <c r="A635" s="118" t="n">
        <v>45356</v>
      </c>
      <c r="B635" s="119" t="n">
        <v>93.96612838988496</v>
      </c>
      <c r="C635" s="119" t="n">
        <v>94.12748262997749</v>
      </c>
      <c r="D635" s="119" t="n">
        <v>93.01697557786592</v>
      </c>
      <c r="E635" s="119" t="n">
        <v>93.31121063232422</v>
      </c>
      <c r="F635" s="120" t="n">
        <v>8670600</v>
      </c>
      <c r="G635" s="121" t="n">
        <v>-0.01235691757481661</v>
      </c>
      <c r="H635" s="122" t="n">
        <v>60.72297178207126</v>
      </c>
      <c r="I635" s="119" t="n">
        <v>98.43048645019532</v>
      </c>
      <c r="J635" s="119" t="n">
        <v>99.29186214447022</v>
      </c>
      <c r="K635" s="121" t="n">
        <v>0.2418880187207092</v>
      </c>
      <c r="L635" s="121" t="n">
        <v>-0.1955216876875119</v>
      </c>
      <c r="M635" s="121" t="n">
        <v>-0.2209789592438536</v>
      </c>
      <c r="N635" t="n">
        <v>34.38998259245062</v>
      </c>
      <c r="O635" t="n">
        <v>-0.5149573214983532</v>
      </c>
      <c r="P635" t="n">
        <v>118.039283976542</v>
      </c>
      <c r="Q635" t="n">
        <v>119.0468977250898</v>
      </c>
    </row>
    <row r="636">
      <c r="A636" s="118" t="n">
        <v>45357</v>
      </c>
      <c r="B636" s="119" t="n">
        <v>94.91529715136701</v>
      </c>
      <c r="C636" s="119" t="n">
        <v>95.01021100022588</v>
      </c>
      <c r="D636" s="119" t="n">
        <v>92.12478509784883</v>
      </c>
      <c r="E636" s="119" t="n">
        <v>92.66580200195312</v>
      </c>
      <c r="F636" s="120" t="n">
        <v>10045300</v>
      </c>
      <c r="G636" s="121" t="n">
        <v>-0.00691673193389597</v>
      </c>
      <c r="H636" s="122" t="n">
        <v>60.30296726402514</v>
      </c>
      <c r="I636" s="119" t="n">
        <v>97.9660890197754</v>
      </c>
      <c r="J636" s="119" t="n">
        <v>99.1986612701416</v>
      </c>
      <c r="K636" s="121" t="n">
        <v>0.2154571898392435</v>
      </c>
      <c r="L636" s="121" t="n">
        <v>-0.2010860485204103</v>
      </c>
      <c r="M636" s="121" t="n">
        <v>-0.2263672389536285</v>
      </c>
      <c r="N636" t="n">
        <v>32.97589455568179</v>
      </c>
      <c r="O636" t="n">
        <v>-0.6552987285969458</v>
      </c>
      <c r="P636" t="n">
        <v>118.6374116037357</v>
      </c>
      <c r="Q636" t="n">
        <v>119.7949562306193</v>
      </c>
    </row>
    <row r="637">
      <c r="A637" s="118" t="n">
        <v>45358</v>
      </c>
      <c r="B637" s="119" t="n">
        <v>93.00749934690911</v>
      </c>
      <c r="C637" s="119" t="n">
        <v>93.39665554822757</v>
      </c>
      <c r="D637" s="119" t="n">
        <v>92.7132642376428</v>
      </c>
      <c r="E637" s="119" t="n">
        <v>93.19733428955078</v>
      </c>
      <c r="F637" s="120" t="n">
        <v>8133900</v>
      </c>
      <c r="G637" s="121" t="n">
        <v>0.005736013460353462</v>
      </c>
      <c r="H637" s="122" t="n">
        <v>60.64886589595084</v>
      </c>
      <c r="I637" s="119" t="n">
        <v>97.78640762329101</v>
      </c>
      <c r="J637" s="119" t="n">
        <v>99.12736038208008</v>
      </c>
      <c r="K637" s="121" t="n">
        <v>0.2115251913238387</v>
      </c>
      <c r="L637" s="121" t="n">
        <v>-0.1965034673410593</v>
      </c>
      <c r="M637" s="121" t="n">
        <v>-0.2219296710228961</v>
      </c>
      <c r="N637" t="n">
        <v>35.33419297324723</v>
      </c>
      <c r="O637" t="n">
        <v>-0.6711588750901564</v>
      </c>
      <c r="P637" t="n">
        <v>119.8150601990903</v>
      </c>
      <c r="Q637" t="n">
        <v>121.6132209493532</v>
      </c>
    </row>
    <row r="638">
      <c r="A638" s="118" t="n">
        <v>45359</v>
      </c>
      <c r="B638" s="119" t="n">
        <v>93.48206590677604</v>
      </c>
      <c r="C638" s="119" t="n">
        <v>94.26986454172699</v>
      </c>
      <c r="D638" s="119" t="n">
        <v>93.03596289080474</v>
      </c>
      <c r="E638" s="119" t="n">
        <v>94.11800384521484</v>
      </c>
      <c r="F638" s="120" t="n">
        <v>9043500</v>
      </c>
      <c r="G638" s="121" t="n">
        <v>0.009878711260170592</v>
      </c>
      <c r="H638" s="122" t="n">
        <v>61.24799853039374</v>
      </c>
      <c r="I638" s="119" t="n">
        <v>97.62551788330079</v>
      </c>
      <c r="J638" s="119" t="n">
        <v>99.08210567474366</v>
      </c>
      <c r="K638" s="121" t="n">
        <v>0.2159613369117495</v>
      </c>
      <c r="L638" s="121" t="n">
        <v>-0.1885659570963735</v>
      </c>
      <c r="M638" s="121" t="n">
        <v>-0.2142433389028253</v>
      </c>
      <c r="N638" t="n">
        <v>39.31703723529112</v>
      </c>
      <c r="O638" t="n">
        <v>-0.5818016257616814</v>
      </c>
      <c r="P638" t="n">
        <v>119.0959124616322</v>
      </c>
      <c r="Q638" t="n">
        <v>119.8577426525067</v>
      </c>
    </row>
    <row r="639">
      <c r="A639" s="118" t="n">
        <v>45362</v>
      </c>
      <c r="B639" s="119" t="n">
        <v>94.82038311727611</v>
      </c>
      <c r="C639" s="119" t="n">
        <v>96.58580822015976</v>
      </c>
      <c r="D639" s="119" t="n">
        <v>94.38377362020823</v>
      </c>
      <c r="E639" s="119" t="n">
        <v>95.94038391113281</v>
      </c>
      <c r="F639" s="120" t="n">
        <v>8537400</v>
      </c>
      <c r="G639" s="121" t="n">
        <v>0.01936271479912621</v>
      </c>
      <c r="H639" s="122" t="n">
        <v>62.43392605795506</v>
      </c>
      <c r="I639" s="119" t="n">
        <v>97.51791061401367</v>
      </c>
      <c r="J639" s="119" t="n">
        <v>99.0525174331665</v>
      </c>
      <c r="K639" s="121" t="n">
        <v>0.2269579759157112</v>
      </c>
      <c r="L639" s="121" t="n">
        <v>-0.1728543911453286</v>
      </c>
      <c r="M639" s="121" t="n">
        <v>-0.199028956772487</v>
      </c>
      <c r="N639" t="n">
        <v>46.35959658574222</v>
      </c>
      <c r="O639" t="n">
        <v>-0.3723093040017916</v>
      </c>
      <c r="P639" t="n">
        <v>118.9934916935862</v>
      </c>
      <c r="Q639" t="n">
        <v>119.4127409321283</v>
      </c>
    </row>
    <row r="640">
      <c r="A640" s="118" t="n">
        <v>45363</v>
      </c>
      <c r="B640" s="119" t="n">
        <v>95.66512737656723</v>
      </c>
      <c r="C640" s="119" t="n">
        <v>96.21563782941455</v>
      </c>
      <c r="D640" s="119" t="n">
        <v>94.58309358522587</v>
      </c>
      <c r="E640" s="119" t="n">
        <v>95.08614349365234</v>
      </c>
      <c r="F640" s="120" t="n">
        <v>7040900</v>
      </c>
      <c r="G640" s="121" t="n">
        <v>-0.008903866991732401</v>
      </c>
      <c r="H640" s="122" t="n">
        <v>61.87802268456337</v>
      </c>
      <c r="I640" s="119" t="n">
        <v>97.36125137329101</v>
      </c>
      <c r="J640" s="119" t="n">
        <v>99.02095211029052</v>
      </c>
      <c r="K640" s="121" t="n">
        <v>0.2043895425264671</v>
      </c>
      <c r="L640" s="121" t="n">
        <v>-0.1802191856293661</v>
      </c>
      <c r="M640" s="121" t="n">
        <v>-0.206160696405614</v>
      </c>
      <c r="N640" t="n">
        <v>43.79391167408888</v>
      </c>
      <c r="O640" t="n">
        <v>-0.2684676778840436</v>
      </c>
      <c r="P640" t="n">
        <v>120.2735537401724</v>
      </c>
      <c r="Q640" t="n">
        <v>121.1245152860366</v>
      </c>
    </row>
    <row r="641">
      <c r="A641" s="118" t="n">
        <v>45364</v>
      </c>
      <c r="B641" s="119" t="n">
        <v>95.49428150813407</v>
      </c>
      <c r="C641" s="119" t="n">
        <v>96.81360356564298</v>
      </c>
      <c r="D641" s="119" t="n">
        <v>95.22851983345062</v>
      </c>
      <c r="E641" s="119" t="n">
        <v>96.20614624023438</v>
      </c>
      <c r="F641" s="120" t="n">
        <v>7326400</v>
      </c>
      <c r="G641" s="121" t="n">
        <v>0.01177882187068402</v>
      </c>
      <c r="H641" s="122" t="n">
        <v>62.60687289147499</v>
      </c>
      <c r="I641" s="119" t="n">
        <v>97.23172088623046</v>
      </c>
      <c r="J641" s="119" t="n">
        <v>98.99877914428711</v>
      </c>
      <c r="K641" s="121" t="n">
        <v>0.2002443482207769</v>
      </c>
      <c r="L641" s="121" t="n">
        <v>-0.1705631334438902</v>
      </c>
      <c r="M641" s="121" t="n">
        <v>-0.1968102046546278</v>
      </c>
      <c r="N641" t="n">
        <v>47.8676630568478</v>
      </c>
      <c r="O641" t="n">
        <v>-0.1096859319501591</v>
      </c>
      <c r="P641" t="n">
        <v>120.0850287002043</v>
      </c>
      <c r="Q641" t="n">
        <v>120.1935436205625</v>
      </c>
    </row>
    <row r="642">
      <c r="A642" s="118" t="n">
        <v>45365</v>
      </c>
      <c r="B642" s="119" t="n">
        <v>97.00343069614217</v>
      </c>
      <c r="C642" s="119" t="n">
        <v>97.27868592658432</v>
      </c>
      <c r="D642" s="119" t="n">
        <v>95.0007173489127</v>
      </c>
      <c r="E642" s="119" t="n">
        <v>95.16207885742188</v>
      </c>
      <c r="F642" s="120" t="n">
        <v>8350900</v>
      </c>
      <c r="G642" s="121" t="n">
        <v>-0.01085239793521486</v>
      </c>
      <c r="H642" s="122" t="n">
        <v>61.92743819337728</v>
      </c>
      <c r="I642" s="119" t="n">
        <v>97.11951843261718</v>
      </c>
      <c r="J642" s="119" t="n">
        <v>98.9712453842163</v>
      </c>
      <c r="K642" s="121" t="n">
        <v>0.195508699908777</v>
      </c>
      <c r="L642" s="121" t="n">
        <v>-0.1795645123818947</v>
      </c>
      <c r="M642" s="121" t="n">
        <v>-0.2055267399312196</v>
      </c>
      <c r="N642" t="n">
        <v>44.62094868816028</v>
      </c>
      <c r="O642" t="n">
        <v>-0.06264828834818448</v>
      </c>
      <c r="P642" t="n">
        <v>119.8476346568229</v>
      </c>
      <c r="Q642" t="n">
        <v>119.8905206097104</v>
      </c>
    </row>
    <row r="643">
      <c r="A643" s="118" t="n">
        <v>45366</v>
      </c>
      <c r="B643" s="119" t="n">
        <v>95.20003752135621</v>
      </c>
      <c r="C643" s="119" t="n">
        <v>96.01630958399622</v>
      </c>
      <c r="D643" s="119" t="n">
        <v>94.28884437678822</v>
      </c>
      <c r="E643" s="119" t="n">
        <v>94.57359313964844</v>
      </c>
      <c r="F643" s="120" t="n">
        <v>15208500</v>
      </c>
      <c r="G643" s="121" t="n">
        <v>-0.00618403596095396</v>
      </c>
      <c r="H643" s="122" t="n">
        <v>61.54447668861969</v>
      </c>
      <c r="I643" s="119" t="n">
        <v>97.04302398681641</v>
      </c>
      <c r="J643" s="119" t="n">
        <v>98.9454041671753</v>
      </c>
      <c r="K643" s="121" t="n">
        <v>0.1959021804614335</v>
      </c>
      <c r="L643" s="121" t="n">
        <v>-0.1846381149409679</v>
      </c>
      <c r="M643" s="121" t="n">
        <v>-0.2104397911415012</v>
      </c>
      <c r="N643" t="n">
        <v>42.85649372950812</v>
      </c>
      <c r="O643" t="n">
        <v>-0.05889852858594979</v>
      </c>
      <c r="P643" t="n">
        <v>119.0247125406538</v>
      </c>
      <c r="Q643" t="n">
        <v>118.4653802880524</v>
      </c>
    </row>
    <row r="644">
      <c r="A644" s="118" t="n">
        <v>45369</v>
      </c>
      <c r="B644" s="119" t="n">
        <v>93.94715462570998</v>
      </c>
      <c r="C644" s="119" t="n">
        <v>94.59257886948885</v>
      </c>
      <c r="D644" s="119" t="n">
        <v>93.51053793131867</v>
      </c>
      <c r="E644" s="119" t="n">
        <v>93.71935272216797</v>
      </c>
      <c r="F644" s="120" t="n">
        <v>7207000</v>
      </c>
      <c r="G644" s="121" t="n">
        <v>-0.009032546920566764</v>
      </c>
      <c r="H644" s="122" t="n">
        <v>60.988573315228</v>
      </c>
      <c r="I644" s="119" t="n">
        <v>96.98235794067382</v>
      </c>
      <c r="J644" s="119" t="n">
        <v>98.92119087219238</v>
      </c>
      <c r="K644" s="121" t="n">
        <v>0.1812084514807411</v>
      </c>
      <c r="L644" s="121" t="n">
        <v>-0.1912774903654639</v>
      </c>
      <c r="M644" s="121" t="n">
        <v>-0.2175715307746282</v>
      </c>
      <c r="N644" t="n">
        <v>40.36150817819902</v>
      </c>
      <c r="O644" t="n">
        <v>-0.09930294681499308</v>
      </c>
      <c r="P644" t="n">
        <v>119.7320728901049</v>
      </c>
      <c r="Q644" t="n">
        <v>119.595231913335</v>
      </c>
    </row>
    <row r="645">
      <c r="A645" s="118" t="n">
        <v>45370</v>
      </c>
      <c r="B645" s="119" t="n">
        <v>93.49157957853167</v>
      </c>
      <c r="C645" s="119" t="n">
        <v>94.95327620944573</v>
      </c>
      <c r="D645" s="119" t="n">
        <v>93.43463271026988</v>
      </c>
      <c r="E645" s="119" t="n">
        <v>94.87734222412109</v>
      </c>
      <c r="F645" s="120" t="n">
        <v>6168900</v>
      </c>
      <c r="G645" s="121" t="n">
        <v>0.01235592722653567</v>
      </c>
      <c r="H645" s="122" t="n">
        <v>61.7421436887612</v>
      </c>
      <c r="I645" s="119" t="n">
        <v>96.94901275634766</v>
      </c>
      <c r="J645" s="119" t="n">
        <v>98.91039890289306</v>
      </c>
      <c r="K645" s="121" t="n">
        <v>0.1883536721222663</v>
      </c>
      <c r="L645" s="121" t="n">
        <v>-0.1812849738899582</v>
      </c>
      <c r="M645" s="121" t="n">
        <v>-0.2079039015489099</v>
      </c>
      <c r="N645" t="n">
        <v>45.03306969319544</v>
      </c>
      <c r="O645" t="n">
        <v>-0.03662213800671921</v>
      </c>
      <c r="P645" t="n">
        <v>120.3974566753125</v>
      </c>
      <c r="Q645" t="n">
        <v>119.8932141100576</v>
      </c>
    </row>
    <row r="646">
      <c r="A646" s="118" t="n">
        <v>45371</v>
      </c>
      <c r="B646" s="119" t="n">
        <v>94.39324950596706</v>
      </c>
      <c r="C646" s="119" t="n">
        <v>95.33291605595348</v>
      </c>
      <c r="D646" s="119" t="n">
        <v>93.99460704070951</v>
      </c>
      <c r="E646" s="119" t="n">
        <v>95.17155456542969</v>
      </c>
      <c r="F646" s="120" t="n">
        <v>7771700</v>
      </c>
      <c r="G646" s="121" t="n">
        <v>0.003100975790548688</v>
      </c>
      <c r="H646" s="122" t="n">
        <v>61.93360458159663</v>
      </c>
      <c r="I646" s="119" t="n">
        <v>96.89242172241211</v>
      </c>
      <c r="J646" s="119" t="n">
        <v>98.87998733520507</v>
      </c>
      <c r="K646" s="121" t="n">
        <v>0.1732627965231497</v>
      </c>
      <c r="L646" s="121" t="n">
        <v>-0.07527806352838218</v>
      </c>
      <c r="M646" s="121" t="n">
        <v>-0.205447630723825</v>
      </c>
      <c r="N646" t="n">
        <v>46.18643824267313</v>
      </c>
      <c r="O646" t="n">
        <v>0.0323438912520041</v>
      </c>
      <c r="P646" t="n">
        <v>121.5110319269194</v>
      </c>
      <c r="Q646" t="n">
        <v>121.3147490252947</v>
      </c>
    </row>
    <row r="647">
      <c r="A647" s="118" t="n">
        <v>45372</v>
      </c>
      <c r="B647" s="119" t="n">
        <v>95.33292038814947</v>
      </c>
      <c r="C647" s="119" t="n">
        <v>96.73766263664346</v>
      </c>
      <c r="D647" s="119" t="n">
        <v>94.68749612110948</v>
      </c>
      <c r="E647" s="119" t="n">
        <v>95.69359588623047</v>
      </c>
      <c r="F647" s="120" t="n">
        <v>17176000</v>
      </c>
      <c r="G647" s="121" t="n">
        <v>0.005485266298155045</v>
      </c>
      <c r="H647" s="122" t="n">
        <v>62.27332689553132</v>
      </c>
      <c r="I647" s="119" t="n">
        <v>96.86291748046875</v>
      </c>
      <c r="J647" s="119" t="n">
        <v>98.86430488586426</v>
      </c>
      <c r="K647" s="121" t="n">
        <v>0.1754001026842607</v>
      </c>
      <c r="L647" s="121" t="n">
        <v>-0.07020571745508963</v>
      </c>
      <c r="M647" s="121" t="n">
        <v>-0.2010892993905151</v>
      </c>
      <c r="N647" t="n">
        <v>48.26094011444847</v>
      </c>
      <c r="O647" t="n">
        <v>0.1160998566599059</v>
      </c>
      <c r="P647" t="n">
        <v>121.9126079687423</v>
      </c>
      <c r="Q647" t="n">
        <v>121.8888445601213</v>
      </c>
    </row>
    <row r="648">
      <c r="A648" s="118" t="n">
        <v>45373</v>
      </c>
      <c r="B648" s="119" t="n">
        <v>89.07800033964877</v>
      </c>
      <c r="C648" s="119" t="n">
        <v>90.33088190784945</v>
      </c>
      <c r="D648" s="119" t="n">
        <v>87.05630722139331</v>
      </c>
      <c r="E648" s="119" t="n">
        <v>89.08749389648438</v>
      </c>
      <c r="F648" s="120" t="n">
        <v>41837400</v>
      </c>
      <c r="G648" s="121" t="n">
        <v>-0.06903389854426667</v>
      </c>
      <c r="H648" s="122" t="n">
        <v>57.97435636461125</v>
      </c>
      <c r="I648" s="119" t="n">
        <v>96.6818083190918</v>
      </c>
      <c r="J648" s="119" t="n">
        <v>98.81094161987305</v>
      </c>
      <c r="K648" s="121" t="n">
        <v>0.2938446053349927</v>
      </c>
      <c r="L648" s="121" t="n">
        <v>-0.1343930416233343</v>
      </c>
      <c r="M648" s="121" t="n">
        <v>-0.2562412196423194</v>
      </c>
      <c r="N648" t="n">
        <v>31.63929591380392</v>
      </c>
      <c r="O648" t="n">
        <v>-0.2504308270839444</v>
      </c>
      <c r="P648" t="n">
        <v>121.6814698016775</v>
      </c>
      <c r="Q648" t="n">
        <v>122.0282648664964</v>
      </c>
    </row>
    <row r="649">
      <c r="A649" s="118" t="n">
        <v>45376</v>
      </c>
      <c r="B649" s="119" t="n">
        <v>89.28681427495741</v>
      </c>
      <c r="C649" s="119" t="n">
        <v>90.6630831028192</v>
      </c>
      <c r="D649" s="119" t="n">
        <v>88.05291259093769</v>
      </c>
      <c r="E649" s="119" t="n">
        <v>88.98308563232422</v>
      </c>
      <c r="F649" s="120" t="n">
        <v>14548800</v>
      </c>
      <c r="G649" s="121" t="n">
        <v>-0.001171974421925848</v>
      </c>
      <c r="H649" s="122" t="n">
        <v>57.90641190182432</v>
      </c>
      <c r="I649" s="119" t="n">
        <v>96.45832092285156</v>
      </c>
      <c r="J649" s="119" t="n">
        <v>98.75282886505127</v>
      </c>
      <c r="K649" s="121" t="n">
        <v>0.2936671493148554</v>
      </c>
      <c r="L649" s="121" t="n">
        <v>-0.1354075108379927</v>
      </c>
      <c r="M649" s="121" t="n">
        <v>-0.2571128859089814</v>
      </c>
      <c r="N649" t="n">
        <v>31.45490443026007</v>
      </c>
      <c r="O649" t="n">
        <v>-0.4644846279722843</v>
      </c>
      <c r="P649" t="n">
        <v>121.3452914470096</v>
      </c>
      <c r="Q649" t="n">
        <v>121.5853909269566</v>
      </c>
    </row>
    <row r="650">
      <c r="A650" s="118" t="n">
        <v>45377</v>
      </c>
      <c r="B650" s="119" t="n">
        <v>88.97359513377458</v>
      </c>
      <c r="C650" s="119" t="n">
        <v>89.08749609422529</v>
      </c>
      <c r="D650" s="119" t="n">
        <v>87.71122721905847</v>
      </c>
      <c r="E650" s="119" t="n">
        <v>87.87258148193359</v>
      </c>
      <c r="F650" s="120" t="n">
        <v>10816900</v>
      </c>
      <c r="G650" s="121" t="n">
        <v>-0.01247994652578355</v>
      </c>
      <c r="H650" s="122" t="n">
        <v>57.18374297778956</v>
      </c>
      <c r="I650" s="119" t="n">
        <v>96.22851257324218</v>
      </c>
      <c r="J650" s="119" t="n">
        <v>98.69334403991699</v>
      </c>
      <c r="K650" s="121" t="n">
        <v>0.2918229000491025</v>
      </c>
      <c r="L650" s="121" t="n">
        <v>-0.1442316315475726</v>
      </c>
      <c r="M650" s="121" t="n">
        <v>-0.2663840773675309</v>
      </c>
      <c r="N650" t="n">
        <v>29.48653002248714</v>
      </c>
      <c r="O650" t="n">
        <v>-0.6348958533181999</v>
      </c>
      <c r="P650" t="n">
        <v>121.1211774217739</v>
      </c>
      <c r="Q650" t="n">
        <v>121.191734584671</v>
      </c>
    </row>
    <row r="651">
      <c r="A651" s="118" t="n">
        <v>45378</v>
      </c>
      <c r="B651" s="119" t="n">
        <v>88.52748557654911</v>
      </c>
      <c r="C651" s="119" t="n">
        <v>89.36274474213704</v>
      </c>
      <c r="D651" s="119" t="n">
        <v>87.6257932407477</v>
      </c>
      <c r="E651" s="119" t="n">
        <v>89.34375762939453</v>
      </c>
      <c r="F651" s="120" t="n">
        <v>11095700</v>
      </c>
      <c r="G651" s="121" t="n">
        <v>0.01674215236027199</v>
      </c>
      <c r="H651" s="122" t="n">
        <v>58.14112191525433</v>
      </c>
      <c r="I651" s="119" t="n">
        <v>96.09130523681641</v>
      </c>
      <c r="J651" s="119" t="n">
        <v>98.64281227111816</v>
      </c>
      <c r="K651" s="121" t="n">
        <v>0.3026462238062644</v>
      </c>
      <c r="L651" s="121" t="n">
        <v>-0.1186200049057271</v>
      </c>
      <c r="M651" s="121" t="n">
        <v>-0.2541017678168968</v>
      </c>
      <c r="N651" t="n">
        <v>35.26591379231763</v>
      </c>
      <c r="O651" t="n">
        <v>-0.6028156583785982</v>
      </c>
      <c r="P651" t="n">
        <v>122.1390414241445</v>
      </c>
      <c r="Q651" t="n">
        <v>121.6045156237795</v>
      </c>
    </row>
    <row r="652">
      <c r="A652" s="118" t="n">
        <v>45379</v>
      </c>
      <c r="B652" s="119" t="n">
        <v>89.57156984183614</v>
      </c>
      <c r="C652" s="119" t="n">
        <v>89.98919223123022</v>
      </c>
      <c r="D652" s="119" t="n">
        <v>88.67936371826509</v>
      </c>
      <c r="E652" s="119" t="n">
        <v>89.20140075683594</v>
      </c>
      <c r="F652" s="120" t="n">
        <v>11331700</v>
      </c>
      <c r="G652" s="121" t="n">
        <v>-0.001593361151756123</v>
      </c>
      <c r="H652" s="122" t="n">
        <v>58.04848211027506</v>
      </c>
      <c r="I652" s="119" t="n">
        <v>95.9682748413086</v>
      </c>
      <c r="J652" s="119" t="n">
        <v>98.58701236724853</v>
      </c>
      <c r="K652" s="121" t="n">
        <v>0.3028502652881801</v>
      </c>
      <c r="L652" s="121" t="n">
        <v>-0.1200243615498451</v>
      </c>
      <c r="M652" s="121" t="n">
        <v>-0.2552902530832208</v>
      </c>
      <c r="N652" t="n">
        <v>34.96725900254454</v>
      </c>
      <c r="O652" t="n">
        <v>-0.5470974299512665</v>
      </c>
      <c r="P652" t="n">
        <v>122.1157227366347</v>
      </c>
      <c r="Q652" t="n">
        <v>121.3803556011508</v>
      </c>
    </row>
    <row r="653">
      <c r="A653" s="118" t="n">
        <v>45383</v>
      </c>
      <c r="B653" s="119" t="n">
        <v>89.04003306841881</v>
      </c>
      <c r="C653" s="119" t="n">
        <v>89.14444046888944</v>
      </c>
      <c r="D653" s="119" t="n">
        <v>87.0278335134475</v>
      </c>
      <c r="E653" s="119" t="n">
        <v>87.85359191894531</v>
      </c>
      <c r="F653" s="120" t="n">
        <v>10360000</v>
      </c>
      <c r="G653" s="121" t="n">
        <v>-0.01510972727395576</v>
      </c>
      <c r="H653" s="122" t="n">
        <v>57.17138537692171</v>
      </c>
      <c r="I653" s="119" t="n">
        <v>95.81601837158203</v>
      </c>
      <c r="J653" s="119" t="n">
        <v>98.52470832824707</v>
      </c>
      <c r="K653" s="121" t="n">
        <v>0.3023121995950244</v>
      </c>
      <c r="L653" s="121" t="n">
        <v>-0.1333205534545521</v>
      </c>
      <c r="M653" s="121" t="n">
        <v>-0.26654261425739</v>
      </c>
      <c r="N653" t="n">
        <v>32.18791835738557</v>
      </c>
      <c r="O653" t="n">
        <v>-0.5551663642454072</v>
      </c>
      <c r="P653" t="n">
        <v>121.9032643967467</v>
      </c>
      <c r="Q653" t="n">
        <v>121.6373357988571</v>
      </c>
    </row>
    <row r="654">
      <c r="A654" s="118" t="n">
        <v>45384</v>
      </c>
      <c r="B654" s="119" t="n">
        <v>87.09428119450482</v>
      </c>
      <c r="C654" s="119" t="n">
        <v>87.22716203501523</v>
      </c>
      <c r="D654" s="119" t="n">
        <v>86.03122722895877</v>
      </c>
      <c r="E654" s="119" t="n">
        <v>86.32546234130859</v>
      </c>
      <c r="F654" s="120" t="n">
        <v>11107300</v>
      </c>
      <c r="G654" s="121" t="n">
        <v>-0.01739404780451759</v>
      </c>
      <c r="H654" s="122" t="n">
        <v>56.17694356662503</v>
      </c>
      <c r="I654" s="119" t="n">
        <v>95.61731018066406</v>
      </c>
      <c r="J654" s="119" t="n">
        <v>98.42620426177979</v>
      </c>
      <c r="K654" s="121" t="n">
        <v>0.2984450101581685</v>
      </c>
      <c r="L654" s="121" t="n">
        <v>-0.1483956171789564</v>
      </c>
      <c r="M654" s="121" t="n">
        <v>-0.2793004070875735</v>
      </c>
      <c r="N654" t="n">
        <v>29.34042240437837</v>
      </c>
      <c r="O654" t="n">
        <v>-0.6130351814074504</v>
      </c>
      <c r="P654" t="n">
        <v>121.1281869299742</v>
      </c>
      <c r="Q654" t="n">
        <v>120.5875630365627</v>
      </c>
    </row>
    <row r="655">
      <c r="A655" s="118" t="n">
        <v>45385</v>
      </c>
      <c r="B655" s="119" t="n">
        <v>86.38240083572431</v>
      </c>
      <c r="C655" s="119" t="n">
        <v>86.7905368411007</v>
      </c>
      <c r="D655" s="119" t="n">
        <v>85.68951608558805</v>
      </c>
      <c r="E655" s="119" t="n">
        <v>85.73697662353516</v>
      </c>
      <c r="F655" s="120" t="n">
        <v>8876600</v>
      </c>
      <c r="G655" s="121" t="n">
        <v>-0.006817058395201192</v>
      </c>
      <c r="H655" s="122" t="n">
        <v>55.79398206186742</v>
      </c>
      <c r="I655" s="119" t="n">
        <v>95.42990936279297</v>
      </c>
      <c r="J655" s="119" t="n">
        <v>98.32687152862549</v>
      </c>
      <c r="K655" s="121" t="n">
        <v>0.2971135553702728</v>
      </c>
      <c r="L655" s="121" t="n">
        <v>-0.1542010539862568</v>
      </c>
      <c r="M655" s="121" t="n">
        <v>-0.2842134582978552</v>
      </c>
      <c r="N655" t="n">
        <v>28.30206058771367</v>
      </c>
      <c r="O655" t="n">
        <v>-0.6377209142079288</v>
      </c>
      <c r="P655" t="n">
        <v>121.261235883121</v>
      </c>
      <c r="Q655" t="n">
        <v>120.8582218253741</v>
      </c>
    </row>
    <row r="656">
      <c r="A656" s="118" t="n">
        <v>45386</v>
      </c>
      <c r="B656" s="119" t="n">
        <v>86.32546651846798</v>
      </c>
      <c r="C656" s="119" t="n">
        <v>86.42038761610797</v>
      </c>
      <c r="D656" s="119" t="n">
        <v>84.37021356366348</v>
      </c>
      <c r="E656" s="119" t="n">
        <v>84.54106140136719</v>
      </c>
      <c r="F656" s="120" t="n">
        <v>12110300</v>
      </c>
      <c r="G656" s="121" t="n">
        <v>-0.01394865167008563</v>
      </c>
      <c r="H656" s="122" t="n">
        <v>55.01573124079943</v>
      </c>
      <c r="I656" s="119" t="n">
        <v>95.19324325561523</v>
      </c>
      <c r="J656" s="119" t="n">
        <v>98.21601654052735</v>
      </c>
      <c r="K656" s="121" t="n">
        <v>0.2990548199205118</v>
      </c>
      <c r="L656" s="121" t="n">
        <v>-0.165998808867128</v>
      </c>
      <c r="M656" s="121" t="n">
        <v>-0.2941977154381936</v>
      </c>
      <c r="N656" t="n">
        <v>26.26758864823351</v>
      </c>
      <c r="O656" t="n">
        <v>-0.677625302632336</v>
      </c>
      <c r="P656" t="n">
        <v>119.7811101802495</v>
      </c>
      <c r="Q656" t="n">
        <v>119.0102103927739</v>
      </c>
    </row>
    <row r="657">
      <c r="A657" s="118" t="n">
        <v>45387</v>
      </c>
      <c r="B657" s="119" t="n">
        <v>84.61697330935961</v>
      </c>
      <c r="C657" s="119" t="n">
        <v>85.66103993787247</v>
      </c>
      <c r="D657" s="119" t="n">
        <v>84.2847712786684</v>
      </c>
      <c r="E657" s="119" t="n">
        <v>84.32273101806641</v>
      </c>
      <c r="F657" s="120" t="n">
        <v>9716700</v>
      </c>
      <c r="G657" s="121" t="n">
        <v>-0.002582536576684724</v>
      </c>
      <c r="H657" s="122" t="n">
        <v>54.873651102577</v>
      </c>
      <c r="I657" s="119" t="n">
        <v>94.97377456665039</v>
      </c>
      <c r="J657" s="119" t="n">
        <v>98.12309371948243</v>
      </c>
      <c r="K657" s="121" t="n">
        <v>0.2967628228443699</v>
      </c>
      <c r="L657" s="121" t="n">
        <v>-0.1681526474482274</v>
      </c>
      <c r="M657" s="121" t="n">
        <v>-0.2960204756539822</v>
      </c>
      <c r="N657" t="n">
        <v>25.90152429708037</v>
      </c>
      <c r="O657" t="n">
        <v>-0.6610449698531053</v>
      </c>
      <c r="P657" t="n">
        <v>121.0324464134803</v>
      </c>
      <c r="Q657" t="n">
        <v>120.4126290547628</v>
      </c>
    </row>
    <row r="658">
      <c r="A658" s="118" t="n">
        <v>45390</v>
      </c>
      <c r="B658" s="119" t="n">
        <v>84.57900642004226</v>
      </c>
      <c r="C658" s="119" t="n">
        <v>85.67053358617575</v>
      </c>
      <c r="D658" s="119" t="n">
        <v>84.28477136989176</v>
      </c>
      <c r="E658" s="119" t="n">
        <v>85.42375183105469</v>
      </c>
      <c r="F658" s="120" t="n">
        <v>8452500</v>
      </c>
      <c r="G658" s="121" t="n">
        <v>0.01305722430589196</v>
      </c>
      <c r="H658" s="122" t="n">
        <v>55.59014867350661</v>
      </c>
      <c r="I658" s="119" t="n">
        <v>94.77613723754882</v>
      </c>
      <c r="J658" s="119" t="n">
        <v>98.0336092376709</v>
      </c>
      <c r="K658" s="121" t="n">
        <v>0.2990564806563957</v>
      </c>
      <c r="L658" s="121" t="n">
        <v>-0.1572910299776964</v>
      </c>
      <c r="M658" s="121" t="n">
        <v>-0.2868284570978411</v>
      </c>
      <c r="N658" t="n">
        <v>31.11500641309246</v>
      </c>
      <c r="O658" t="n">
        <v>-0.5242257102521624</v>
      </c>
      <c r="P658" t="n">
        <v>121.1001342635441</v>
      </c>
      <c r="Q658" t="n">
        <v>120.4481680609118</v>
      </c>
    </row>
    <row r="659">
      <c r="A659" s="118" t="n">
        <v>45391</v>
      </c>
      <c r="B659" s="119" t="n">
        <v>85.4237566937457</v>
      </c>
      <c r="C659" s="119" t="n">
        <v>86.52477747814443</v>
      </c>
      <c r="D659" s="119" t="n">
        <v>85.30036942989202</v>
      </c>
      <c r="E659" s="119" t="n">
        <v>86.37290954589844</v>
      </c>
      <c r="F659" s="120" t="n">
        <v>7191900</v>
      </c>
      <c r="G659" s="121" t="n">
        <v>0.0111111686679477</v>
      </c>
      <c r="H659" s="122" t="n">
        <v>56.20782019169424</v>
      </c>
      <c r="I659" s="119" t="n">
        <v>94.56003021240234</v>
      </c>
      <c r="J659" s="119" t="n">
        <v>97.94661586761475</v>
      </c>
      <c r="K659" s="121" t="n">
        <v>0.2916063980663688</v>
      </c>
      <c r="L659" s="121" t="n">
        <v>-0.147927548473786</v>
      </c>
      <c r="M659" s="121" t="n">
        <v>-0.2789042877954748</v>
      </c>
      <c r="N659" t="n">
        <v>35.33868336949362</v>
      </c>
      <c r="O659" t="n">
        <v>-0.3277120441159425</v>
      </c>
      <c r="P659" t="n">
        <v>121.2402366257777</v>
      </c>
      <c r="Q659" t="n">
        <v>120.8937523879484</v>
      </c>
    </row>
    <row r="660">
      <c r="A660" s="118" t="n">
        <v>45392</v>
      </c>
      <c r="B660" s="119" t="n">
        <v>85.32884844618567</v>
      </c>
      <c r="C660" s="119" t="n">
        <v>85.51867613246601</v>
      </c>
      <c r="D660" s="119" t="n">
        <v>84.25630101846176</v>
      </c>
      <c r="E660" s="119" t="n">
        <v>84.474609375</v>
      </c>
      <c r="F660" s="120" t="n">
        <v>7932900</v>
      </c>
      <c r="G660" s="121" t="n">
        <v>-0.02197795791387214</v>
      </c>
      <c r="H660" s="122" t="n">
        <v>54.97248708509068</v>
      </c>
      <c r="I660" s="119" t="n">
        <v>94.28458251953126</v>
      </c>
      <c r="J660" s="119" t="n">
        <v>97.85454647064209</v>
      </c>
      <c r="K660" s="121" t="n">
        <v>0.2975170398872535</v>
      </c>
      <c r="L660" s="121" t="n">
        <v>-0.1666543609529991</v>
      </c>
      <c r="M660" s="121" t="n">
        <v>-0.2947524990101795</v>
      </c>
      <c r="N660" t="n">
        <v>31.21621356468063</v>
      </c>
      <c r="O660" t="n">
        <v>-0.2850558395879044</v>
      </c>
      <c r="P660" t="n">
        <v>120.0262454132718</v>
      </c>
      <c r="Q660" t="n">
        <v>119.8385504070857</v>
      </c>
    </row>
    <row r="661">
      <c r="A661" s="118" t="n">
        <v>45393</v>
      </c>
      <c r="B661" s="119" t="n">
        <v>86.59123027566935</v>
      </c>
      <c r="C661" s="119" t="n">
        <v>87.71123109109264</v>
      </c>
      <c r="D661" s="119" t="n">
        <v>86.21156763220232</v>
      </c>
      <c r="E661" s="119" t="n">
        <v>87.32207489013672</v>
      </c>
      <c r="F661" s="120" t="n">
        <v>15330200</v>
      </c>
      <c r="G661" s="121" t="n">
        <v>0.0337079453365241</v>
      </c>
      <c r="H661" s="122" t="n">
        <v>56.82549667476769</v>
      </c>
      <c r="I661" s="119" t="n">
        <v>94.06040939331055</v>
      </c>
      <c r="J661" s="119" t="n">
        <v>97.76628650665283</v>
      </c>
      <c r="K661" s="121" t="n">
        <v>0.323664744733694</v>
      </c>
      <c r="L661" s="121" t="n">
        <v>-0.1385639917055721</v>
      </c>
      <c r="M661" s="121" t="n">
        <v>-0.2709800547980944</v>
      </c>
      <c r="N661" t="n">
        <v>42.12288569351514</v>
      </c>
      <c r="O661" t="n">
        <v>-0.03755724098085089</v>
      </c>
      <c r="P661" t="n">
        <v>120.9320816702822</v>
      </c>
      <c r="Q661" t="n">
        <v>121.7521515283924</v>
      </c>
    </row>
    <row r="662">
      <c r="A662" s="118" t="n">
        <v>45394</v>
      </c>
      <c r="B662" s="119" t="n">
        <v>87.33156844762561</v>
      </c>
      <c r="C662" s="119" t="n">
        <v>88.14784059656782</v>
      </c>
      <c r="D662" s="119" t="n">
        <v>86.48682286767934</v>
      </c>
      <c r="E662" s="119" t="n">
        <v>87.32207489013672</v>
      </c>
      <c r="F662" s="120" t="n">
        <v>10905900</v>
      </c>
      <c r="G662" s="121" t="n">
        <v>0</v>
      </c>
      <c r="H662" s="122" t="n">
        <v>56.82549667476769</v>
      </c>
      <c r="I662" s="119" t="n">
        <v>93.88636230468749</v>
      </c>
      <c r="J662" s="119" t="n">
        <v>97.66924263000489</v>
      </c>
      <c r="K662" s="121" t="n">
        <v>0.3231900530585759</v>
      </c>
      <c r="L662" s="121" t="n">
        <v>-0.1385639917055721</v>
      </c>
      <c r="M662" s="121" t="n">
        <v>-0.2709800547980944</v>
      </c>
      <c r="N662" t="n">
        <v>42.12288569351514</v>
      </c>
      <c r="O662" t="n">
        <v>0.1437253198391391</v>
      </c>
      <c r="P662" t="n">
        <v>119.2628309486614</v>
      </c>
      <c r="Q662" t="n">
        <v>119.811210112025</v>
      </c>
    </row>
    <row r="663">
      <c r="A663" s="118" t="n">
        <v>45397</v>
      </c>
      <c r="B663" s="119" t="n">
        <v>88.83122521229359</v>
      </c>
      <c r="C663" s="119" t="n">
        <v>89.14444743819317</v>
      </c>
      <c r="D663" s="119" t="n">
        <v>87.83461891369853</v>
      </c>
      <c r="E663" s="119" t="n">
        <v>88.36614227294922</v>
      </c>
      <c r="F663" s="120" t="n">
        <v>11597300</v>
      </c>
      <c r="G663" s="121" t="n">
        <v>0.01195651138759679</v>
      </c>
      <c r="H663" s="122" t="n">
        <v>57.5049313728654</v>
      </c>
      <c r="I663" s="119" t="n">
        <v>93.72884597778321</v>
      </c>
      <c r="J663" s="119" t="n">
        <v>97.58014347076416</v>
      </c>
      <c r="K663" s="121" t="n">
        <v>0.3280087154466466</v>
      </c>
      <c r="L663" s="121" t="n">
        <v>-0.1282642222627138</v>
      </c>
      <c r="M663" s="121" t="n">
        <v>-0.2622635195215026</v>
      </c>
      <c r="N663" t="n">
        <v>45.77894761817023</v>
      </c>
      <c r="O663" t="n">
        <v>0.3403041817613635</v>
      </c>
      <c r="P663" t="n">
        <v>117.7687081798325</v>
      </c>
      <c r="Q663" t="n">
        <v>117.840184238801</v>
      </c>
    </row>
    <row r="664">
      <c r="A664" s="118" t="n">
        <v>45398</v>
      </c>
      <c r="B664" s="119" t="n">
        <v>88.30917827498773</v>
      </c>
      <c r="C664" s="119" t="n">
        <v>89.40070545433022</v>
      </c>
      <c r="D664" s="119" t="n">
        <v>86.98985644894826</v>
      </c>
      <c r="E664" s="119" t="n">
        <v>88.64138031005859</v>
      </c>
      <c r="F664" s="120" t="n">
        <v>10388200</v>
      </c>
      <c r="G664" s="121" t="n">
        <v>0.003114745422055476</v>
      </c>
      <c r="H664" s="122" t="n">
        <v>57.68404459460464</v>
      </c>
      <c r="I664" s="119" t="n">
        <v>93.5966958618164</v>
      </c>
      <c r="J664" s="119" t="n">
        <v>97.49082347869873</v>
      </c>
      <c r="K664" s="121" t="n">
        <v>0.3279687524075779</v>
      </c>
      <c r="L664" s="121" t="n">
        <v>-0.1255489872397647</v>
      </c>
      <c r="M664" s="121" t="n">
        <v>-0.2599656581962489</v>
      </c>
      <c r="N664" t="n">
        <v>46.73420346869227</v>
      </c>
      <c r="O664" t="n">
        <v>0.486324965318814</v>
      </c>
      <c r="P664" t="n">
        <v>117.5539084593348</v>
      </c>
      <c r="Q664" t="n">
        <v>117.8511271116851</v>
      </c>
    </row>
    <row r="665">
      <c r="A665" s="118" t="n">
        <v>45399</v>
      </c>
      <c r="B665" s="119" t="n">
        <v>89.79936853656669</v>
      </c>
      <c r="C665" s="119" t="n">
        <v>90.23597806036499</v>
      </c>
      <c r="D665" s="119" t="n">
        <v>88.89767605677105</v>
      </c>
      <c r="E665" s="119" t="n">
        <v>90.01766967773438</v>
      </c>
      <c r="F665" s="120" t="n">
        <v>10181200</v>
      </c>
      <c r="G665" s="121" t="n">
        <v>0.0155264884511237</v>
      </c>
      <c r="H665" s="122" t="n">
        <v>58.57967524681688</v>
      </c>
      <c r="I665" s="119" t="n">
        <v>93.5115544128418</v>
      </c>
      <c r="J665" s="119" t="n">
        <v>97.42247661590577</v>
      </c>
      <c r="K665" s="121" t="n">
        <v>0.3300693990860647</v>
      </c>
      <c r="L665" s="121" t="n">
        <v>-0.1119718336890695</v>
      </c>
      <c r="M665" s="121" t="n">
        <v>-0.2484755235347981</v>
      </c>
      <c r="N665" t="n">
        <v>51.34974701563411</v>
      </c>
      <c r="O665" t="n">
        <v>0.6621603647586647</v>
      </c>
      <c r="P665" t="n">
        <v>116.8581818447882</v>
      </c>
      <c r="Q665" t="n">
        <v>116.413177887122</v>
      </c>
    </row>
    <row r="666">
      <c r="A666" s="118" t="n">
        <v>45400</v>
      </c>
      <c r="B666" s="119" t="n">
        <v>90.32139925190759</v>
      </c>
      <c r="C666" s="119" t="n">
        <v>91.00478330105399</v>
      </c>
      <c r="D666" s="119" t="n">
        <v>89.72342825189368</v>
      </c>
      <c r="E666" s="119" t="n">
        <v>90.87190246582031</v>
      </c>
      <c r="F666" s="120" t="n">
        <v>10062900</v>
      </c>
      <c r="G666" s="121" t="n">
        <v>0.009489612329935948</v>
      </c>
      <c r="H666" s="122" t="n">
        <v>59.13557365532272</v>
      </c>
      <c r="I666" s="119" t="n">
        <v>93.38807510375976</v>
      </c>
      <c r="J666" s="119" t="n">
        <v>97.36431953430176</v>
      </c>
      <c r="K666" s="121" t="n">
        <v>0.3322572882241515</v>
      </c>
      <c r="L666" s="121" t="n">
        <v>-0.1035447906527148</v>
      </c>
      <c r="M666" s="121" t="n">
        <v>-0.2413438475966853</v>
      </c>
      <c r="N666" t="n">
        <v>54.01327969787078</v>
      </c>
      <c r="O666" t="n">
        <v>0.812639776933044</v>
      </c>
      <c r="P666" t="n">
        <v>116.6177293729854</v>
      </c>
      <c r="Q666" t="n">
        <v>115.7488796431744</v>
      </c>
    </row>
    <row r="667">
      <c r="A667" s="118" t="n">
        <v>45401</v>
      </c>
      <c r="B667" s="119" t="n">
        <v>90.56816466017106</v>
      </c>
      <c r="C667" s="119" t="n">
        <v>91.32748984892193</v>
      </c>
      <c r="D667" s="119" t="n">
        <v>89.68545220586941</v>
      </c>
      <c r="E667" s="119" t="n">
        <v>89.72341918945312</v>
      </c>
      <c r="F667" s="120" t="n">
        <v>11241900</v>
      </c>
      <c r="G667" s="121" t="n">
        <v>-0.01263848610189677</v>
      </c>
      <c r="H667" s="122" t="n">
        <v>58.38818952955223</v>
      </c>
      <c r="I667" s="119" t="n">
        <v>93.21930603027344</v>
      </c>
      <c r="J667" s="119" t="n">
        <v>97.30986145019531</v>
      </c>
      <c r="K667" s="121" t="n">
        <v>0.3329999061124321</v>
      </c>
      <c r="L667" s="121" t="n">
        <v>-0.1148746273570235</v>
      </c>
      <c r="M667" s="121" t="n">
        <v>-0.250932112834953</v>
      </c>
      <c r="N667" t="n">
        <v>50.04614726448713</v>
      </c>
      <c r="O667" t="n">
        <v>0.8096773371196413</v>
      </c>
      <c r="P667" t="n">
        <v>115.5998507369859</v>
      </c>
      <c r="Q667" t="n">
        <v>113.3541383015326</v>
      </c>
    </row>
    <row r="668">
      <c r="A668" s="118" t="n">
        <v>45404</v>
      </c>
      <c r="B668" s="119" t="n">
        <v>89.81834106282277</v>
      </c>
      <c r="C668" s="119" t="n">
        <v>90.22647712103237</v>
      </c>
      <c r="D668" s="119" t="n">
        <v>89.07800292036401</v>
      </c>
      <c r="E668" s="119" t="n">
        <v>89.40071868896484</v>
      </c>
      <c r="F668" s="120" t="n">
        <v>8642000</v>
      </c>
      <c r="G668" s="121" t="n">
        <v>-0.003596613943199101</v>
      </c>
      <c r="H668" s="122" t="n">
        <v>58.17818975297209</v>
      </c>
      <c r="I668" s="119" t="n">
        <v>93.0444613647461</v>
      </c>
      <c r="J668" s="119" t="n">
        <v>97.26318439483643</v>
      </c>
      <c r="K668" s="121" t="n">
        <v>0.2241069839131792</v>
      </c>
      <c r="L668" s="121" t="n">
        <v>-0.1180580816137505</v>
      </c>
      <c r="M668" s="121" t="n">
        <v>-0.2536262208423334</v>
      </c>
      <c r="N668" t="n">
        <v>48.95806914217098</v>
      </c>
      <c r="O668" t="n">
        <v>0.7615499222784508</v>
      </c>
      <c r="P668" t="n">
        <v>116.6644252825203</v>
      </c>
      <c r="Q668" t="n">
        <v>114.4940968857984</v>
      </c>
    </row>
    <row r="669">
      <c r="A669" s="118" t="n">
        <v>45405</v>
      </c>
      <c r="B669" s="119" t="n">
        <v>89.57155866183935</v>
      </c>
      <c r="C669" s="119" t="n">
        <v>89.90376071698263</v>
      </c>
      <c r="D669" s="119" t="n">
        <v>89.13494921201365</v>
      </c>
      <c r="E669" s="119" t="n">
        <v>89.23934936523438</v>
      </c>
      <c r="F669" s="120" t="n">
        <v>6582700</v>
      </c>
      <c r="G669" s="121" t="n">
        <v>-0.00180501148197576</v>
      </c>
      <c r="H669" s="122" t="n">
        <v>58.07317745246741</v>
      </c>
      <c r="I669" s="119" t="n">
        <v>92.85258117675781</v>
      </c>
      <c r="J669" s="119" t="n">
        <v>97.21870662689209</v>
      </c>
      <c r="K669" s="121" t="n">
        <v>0.2241722542140771</v>
      </c>
      <c r="L669" s="121" t="n">
        <v>-0.1196499969028735</v>
      </c>
      <c r="M669" s="121" t="n">
        <v>-0.2549734340835587</v>
      </c>
      <c r="N669" t="n">
        <v>48.39148501744052</v>
      </c>
      <c r="O669" t="n">
        <v>0.6961969471766247</v>
      </c>
      <c r="P669" t="n">
        <v>118.048832419341</v>
      </c>
      <c r="Q669" t="n">
        <v>116.2026795684488</v>
      </c>
    </row>
    <row r="670">
      <c r="A670" s="118" t="n">
        <v>45406</v>
      </c>
      <c r="B670" s="119" t="n">
        <v>89.3152916183259</v>
      </c>
      <c r="C670" s="119" t="n">
        <v>90.3498721048493</v>
      </c>
      <c r="D670" s="119" t="n">
        <v>89.3152916183259</v>
      </c>
      <c r="E670" s="119" t="n">
        <v>89.82783508300781</v>
      </c>
      <c r="F670" s="120" t="n">
        <v>6493200</v>
      </c>
      <c r="G670" s="121" t="n">
        <v>0.006594464459449556</v>
      </c>
      <c r="H670" s="122" t="n">
        <v>58.45613895722501</v>
      </c>
      <c r="I670" s="119" t="n">
        <v>92.62177719116211</v>
      </c>
      <c r="J670" s="119" t="n">
        <v>97.17097099304199</v>
      </c>
      <c r="K670" s="121" t="n">
        <v>0.2200056521531948</v>
      </c>
      <c r="L670" s="121" t="n">
        <v>-0.1138445600955731</v>
      </c>
      <c r="M670" s="121" t="n">
        <v>-0.250060382873277</v>
      </c>
      <c r="N670" t="n">
        <v>50.63514784494727</v>
      </c>
      <c r="O670" t="n">
        <v>0.6697404588453828</v>
      </c>
      <c r="P670" t="n">
        <v>117.9928002546249</v>
      </c>
      <c r="Q670" t="n">
        <v>116.5963190235849</v>
      </c>
    </row>
    <row r="671">
      <c r="A671" s="118" t="n">
        <v>45407</v>
      </c>
      <c r="B671" s="119" t="n">
        <v>89.22038375349958</v>
      </c>
      <c r="C671" s="119" t="n">
        <v>89.97021550721198</v>
      </c>
      <c r="D671" s="119" t="n">
        <v>87.73970736166706</v>
      </c>
      <c r="E671" s="119" t="n">
        <v>89.16343688964844</v>
      </c>
      <c r="F671" s="120" t="n">
        <v>5317900</v>
      </c>
      <c r="G671" s="121" t="n">
        <v>-0.007396350950074848</v>
      </c>
      <c r="H671" s="122" t="n">
        <v>58.02377683831104</v>
      </c>
      <c r="I671" s="119" t="n">
        <v>92.41892105102539</v>
      </c>
      <c r="J671" s="119" t="n">
        <v>97.11235076904296</v>
      </c>
      <c r="K671" s="121" t="n">
        <v>0.2139793119346994</v>
      </c>
      <c r="L671" s="121" t="n">
        <v>-0.1203988767254242</v>
      </c>
      <c r="M671" s="121" t="n">
        <v>-0.255607199472911</v>
      </c>
      <c r="N671" t="n">
        <v>48.09303061375371</v>
      </c>
      <c r="O671" t="n">
        <v>0.5875678294838742</v>
      </c>
      <c r="P671" t="n">
        <v>117.5445575705247</v>
      </c>
      <c r="Q671" t="n">
        <v>116.0331916923667</v>
      </c>
    </row>
    <row r="672">
      <c r="A672" s="118" t="n">
        <v>45408</v>
      </c>
      <c r="B672" s="119" t="n">
        <v>89.78036240835239</v>
      </c>
      <c r="C672" s="119" t="n">
        <v>90.56816099252292</v>
      </c>
      <c r="D672" s="119" t="n">
        <v>89.13494543795115</v>
      </c>
      <c r="E672" s="119" t="n">
        <v>89.33426666259766</v>
      </c>
      <c r="F672" s="120" t="n">
        <v>6115700</v>
      </c>
      <c r="G672" s="121" t="n">
        <v>0.00191591731889651</v>
      </c>
      <c r="H672" s="122" t="n">
        <v>58.13494559726335</v>
      </c>
      <c r="I672" s="119" t="n">
        <v>92.19432342529296</v>
      </c>
      <c r="J672" s="119" t="n">
        <v>97.05284675598145</v>
      </c>
      <c r="K672" s="121" t="n">
        <v>0.213998589211349</v>
      </c>
      <c r="L672" s="121" t="n">
        <v>-0.1187136336996215</v>
      </c>
      <c r="M672" s="121" t="n">
        <v>-0.2541810044143192</v>
      </c>
      <c r="N672" t="n">
        <v>48.80472441208176</v>
      </c>
      <c r="O672" t="n">
        <v>0.5267441389694461</v>
      </c>
      <c r="P672" t="n">
        <v>118.6581767230181</v>
      </c>
      <c r="Q672" t="n">
        <v>117.8237868166244</v>
      </c>
    </row>
    <row r="673">
      <c r="A673" s="118" t="n">
        <v>45411</v>
      </c>
      <c r="B673" s="119" t="n">
        <v>89.63801126424612</v>
      </c>
      <c r="C673" s="119" t="n">
        <v>90.06512721588362</v>
      </c>
      <c r="D673" s="119" t="n">
        <v>88.93563283331586</v>
      </c>
      <c r="E673" s="119" t="n">
        <v>89.27732849121094</v>
      </c>
      <c r="F673" s="120" t="n">
        <v>5030700</v>
      </c>
      <c r="G673" s="121" t="n">
        <v>-0.00063736093118405</v>
      </c>
      <c r="H673" s="122" t="n">
        <v>58.09789265420314</v>
      </c>
      <c r="I673" s="119" t="n">
        <v>91.97388336181641</v>
      </c>
      <c r="J673" s="119" t="n">
        <v>96.99268230438233</v>
      </c>
      <c r="K673" s="121" t="n">
        <v>0.2063305251145862</v>
      </c>
      <c r="L673" s="121" t="n">
        <v>-0.1192753311986865</v>
      </c>
      <c r="M673" s="121" t="n">
        <v>-0.2546563603038405</v>
      </c>
      <c r="N673" t="n">
        <v>48.5657112066171</v>
      </c>
      <c r="O673" t="n">
        <v>0.466753853547662</v>
      </c>
      <c r="P673" t="n">
        <v>119.0783960079458</v>
      </c>
      <c r="Q673" t="n">
        <v>118.3021828751637</v>
      </c>
    </row>
    <row r="674">
      <c r="A674" s="118" t="n">
        <v>45412</v>
      </c>
      <c r="B674" s="119" t="n">
        <v>88.1858138493151</v>
      </c>
      <c r="C674" s="119" t="n">
        <v>88.75530423423793</v>
      </c>
      <c r="D674" s="119" t="n">
        <v>87.55936935687579</v>
      </c>
      <c r="E674" s="119" t="n">
        <v>87.56886291503906</v>
      </c>
      <c r="F674" s="120" t="n">
        <v>6493300</v>
      </c>
      <c r="G674" s="121" t="n">
        <v>-0.01913661178089654</v>
      </c>
      <c r="H674" s="122" t="n">
        <v>56.98609583719146</v>
      </c>
      <c r="I674" s="119" t="n">
        <v>91.76731918334961</v>
      </c>
      <c r="J674" s="119" t="n">
        <v>96.92345878601074</v>
      </c>
      <c r="K674" s="121" t="n">
        <v>0.2084596525351399</v>
      </c>
      <c r="L674" s="121" t="n">
        <v>-0.1361294172713959</v>
      </c>
      <c r="M674" s="121" t="n">
        <v>-0.2689197121800663</v>
      </c>
      <c r="N674" t="n">
        <v>41.93020027438709</v>
      </c>
      <c r="O674" t="n">
        <v>0.3039702730321696</v>
      </c>
      <c r="P674" t="n">
        <v>117.192048086104</v>
      </c>
      <c r="Q674" t="n">
        <v>116.071457973162</v>
      </c>
    </row>
    <row r="675">
      <c r="A675" s="118" t="n">
        <v>45413</v>
      </c>
      <c r="B675" s="119" t="n">
        <v>87.14173123426683</v>
      </c>
      <c r="C675" s="119" t="n">
        <v>87.19868533625338</v>
      </c>
      <c r="D675" s="119" t="n">
        <v>85.50918697892617</v>
      </c>
      <c r="E675" s="119" t="n">
        <v>85.74647521972656</v>
      </c>
      <c r="F675" s="120" t="n">
        <v>9783100</v>
      </c>
      <c r="G675" s="121" t="n">
        <v>-0.02081090966181232</v>
      </c>
      <c r="H675" s="122" t="n">
        <v>55.80016334474428</v>
      </c>
      <c r="I675" s="119" t="n">
        <v>91.52827987670898</v>
      </c>
      <c r="J675" s="119" t="n">
        <v>96.84155345916749</v>
      </c>
      <c r="K675" s="121" t="n">
        <v>0.2207921858945343</v>
      </c>
      <c r="L675" s="121" t="n">
        <v>-0.1541073499280582</v>
      </c>
      <c r="M675" s="121" t="n">
        <v>-0.2804215019412807</v>
      </c>
      <c r="N675" t="n">
        <v>36.24198734083176</v>
      </c>
      <c r="O675" t="n">
        <v>0.07732817762695754</v>
      </c>
      <c r="P675" t="n">
        <v>116.8115078856965</v>
      </c>
      <c r="Q675" t="n">
        <v>115.2322004166903</v>
      </c>
    </row>
    <row r="676">
      <c r="A676" s="118" t="n">
        <v>45414</v>
      </c>
      <c r="B676" s="119" t="n">
        <v>86.68613295478016</v>
      </c>
      <c r="C676" s="119" t="n">
        <v>87.74917952973607</v>
      </c>
      <c r="D676" s="119" t="n">
        <v>86.28749048917169</v>
      </c>
      <c r="E676" s="119" t="n">
        <v>87.71121978759766</v>
      </c>
      <c r="F676" s="120" t="n">
        <v>7333300</v>
      </c>
      <c r="G676" s="121" t="n">
        <v>0.02291341495771593</v>
      </c>
      <c r="H676" s="122" t="n">
        <v>57.07873564217073</v>
      </c>
      <c r="I676" s="119" t="n">
        <v>91.29127197265625</v>
      </c>
      <c r="J676" s="119" t="n">
        <v>96.76472766876221</v>
      </c>
      <c r="K676" s="121" t="n">
        <v>0.2283330862662795</v>
      </c>
      <c r="L676" s="121" t="n">
        <v>-0.1347250606272778</v>
      </c>
      <c r="M676" s="121" t="n">
        <v>-0.2617290134486673</v>
      </c>
      <c r="N676" t="n">
        <v>44.91780046007383</v>
      </c>
      <c r="O676" t="n">
        <v>0.06405144242948313</v>
      </c>
      <c r="P676" t="n">
        <v>117.9040911967745</v>
      </c>
      <c r="Q676" t="n">
        <v>116.7029444856068</v>
      </c>
    </row>
    <row r="677">
      <c r="A677" s="118" t="n">
        <v>45415</v>
      </c>
      <c r="B677" s="119" t="n">
        <v>88.35664588284391</v>
      </c>
      <c r="C677" s="119" t="n">
        <v>88.88817646651734</v>
      </c>
      <c r="D677" s="119" t="n">
        <v>87.19868535037887</v>
      </c>
      <c r="E677" s="119" t="n">
        <v>87.46444702148438</v>
      </c>
      <c r="F677" s="120" t="n">
        <v>5736700</v>
      </c>
      <c r="G677" s="121" t="n">
        <v>-0.002813468638457772</v>
      </c>
      <c r="H677" s="122" t="n">
        <v>56.91814640951867</v>
      </c>
      <c r="I677" s="119" t="n">
        <v>91.05292251586914</v>
      </c>
      <c r="J677" s="119" t="n">
        <v>96.68591636657715</v>
      </c>
      <c r="K677" s="121" t="n">
        <v>0.2283952189040404</v>
      </c>
      <c r="L677" s="121" t="n">
        <v>-0.1371594845328463</v>
      </c>
      <c r="M677" s="121" t="n">
        <v>-0.2638061157160126</v>
      </c>
      <c r="N677" t="n">
        <v>44.10600071066835</v>
      </c>
      <c r="O677" t="n">
        <v>0.04392411389339568</v>
      </c>
      <c r="P677" t="n">
        <v>119.365551706098</v>
      </c>
      <c r="Q677" t="n">
        <v>119.0484935607187</v>
      </c>
    </row>
    <row r="678">
      <c r="A678" s="118" t="n">
        <v>45418</v>
      </c>
      <c r="B678" s="119" t="n">
        <v>88.09088563360051</v>
      </c>
      <c r="C678" s="119" t="n">
        <v>88.6224162258533</v>
      </c>
      <c r="D678" s="119" t="n">
        <v>87.77767065414915</v>
      </c>
      <c r="E678" s="119" t="n">
        <v>88.61292266845703</v>
      </c>
      <c r="F678" s="120" t="n">
        <v>6696300</v>
      </c>
      <c r="G678" s="121" t="n">
        <v>0.01313077125715489</v>
      </c>
      <c r="H678" s="122" t="n">
        <v>57.66552557040331</v>
      </c>
      <c r="I678" s="119" t="n">
        <v>90.82713912963867</v>
      </c>
      <c r="J678" s="119" t="n">
        <v>96.62388599395751</v>
      </c>
      <c r="K678" s="121" t="n">
        <v>0.2284428923632587</v>
      </c>
      <c r="L678" s="121" t="n">
        <v>-0.1258297230928415</v>
      </c>
      <c r="M678" s="121" t="n">
        <v>-0.2541393222205632</v>
      </c>
      <c r="N678" t="n">
        <v>48.74844521575023</v>
      </c>
      <c r="O678" t="n">
        <v>0.1094994562193613</v>
      </c>
      <c r="P678" t="n">
        <v>120.5982373794095</v>
      </c>
      <c r="Q678" t="n">
        <v>120.3524770281993</v>
      </c>
    </row>
    <row r="679">
      <c r="A679" s="118" t="n">
        <v>45419</v>
      </c>
      <c r="B679" s="119" t="n">
        <v>89.29630730163282</v>
      </c>
      <c r="C679" s="119" t="n">
        <v>89.52410197188999</v>
      </c>
      <c r="D679" s="119" t="n">
        <v>88.47054166494031</v>
      </c>
      <c r="E679" s="119" t="n">
        <v>89.01155853271484</v>
      </c>
      <c r="F679" s="120" t="n">
        <v>7113500</v>
      </c>
      <c r="G679" s="121" t="n">
        <v>0.00449861997836698</v>
      </c>
      <c r="H679" s="122" t="n">
        <v>57.92494085579736</v>
      </c>
      <c r="I679" s="119" t="n">
        <v>90.6299462890625</v>
      </c>
      <c r="J679" s="119" t="n">
        <v>96.55666206359864</v>
      </c>
      <c r="K679" s="121" t="n">
        <v>0.2261129945778814</v>
      </c>
      <c r="L679" s="121" t="n">
        <v>-0.1218971632206524</v>
      </c>
      <c r="M679" s="121" t="n">
        <v>-0.2507839784744264</v>
      </c>
      <c r="N679" t="n">
        <v>50.2917416199394</v>
      </c>
      <c r="O679" t="n">
        <v>0.1772514099215704</v>
      </c>
      <c r="P679" t="n">
        <v>120.7312863325563</v>
      </c>
      <c r="Q679" t="n">
        <v>120.3716101685969</v>
      </c>
    </row>
    <row r="680">
      <c r="A680" s="118" t="n">
        <v>45420</v>
      </c>
      <c r="B680" s="119" t="n">
        <v>88.38512672337913</v>
      </c>
      <c r="C680" s="119" t="n">
        <v>88.87868307902306</v>
      </c>
      <c r="D680" s="119" t="n">
        <v>88.01495764628058</v>
      </c>
      <c r="E680" s="119" t="n">
        <v>88.83122253417969</v>
      </c>
      <c r="F680" s="120" t="n">
        <v>5372900</v>
      </c>
      <c r="G680" s="121" t="n">
        <v>-0.00202598405766452</v>
      </c>
      <c r="H680" s="122" t="n">
        <v>57.80758584908236</v>
      </c>
      <c r="I680" s="119" t="n">
        <v>90.41760833740234</v>
      </c>
      <c r="J680" s="119" t="n">
        <v>96.48989860534668</v>
      </c>
      <c r="K680" s="121" t="n">
        <v>0.208957591682424</v>
      </c>
      <c r="L680" s="121" t="n">
        <v>-0.116671056776255</v>
      </c>
      <c r="M680" s="121" t="n">
        <v>-0.2416631729406431</v>
      </c>
      <c r="N680" t="n">
        <v>49.56462368590722</v>
      </c>
      <c r="O680" t="n">
        <v>0.2054633285815071</v>
      </c>
      <c r="P680" t="n">
        <v>120.7429566515328</v>
      </c>
      <c r="Q680" t="n">
        <v>120.3005237127241</v>
      </c>
    </row>
    <row r="681">
      <c r="A681" s="118" t="n">
        <v>45421</v>
      </c>
      <c r="B681" s="119" t="n">
        <v>88.87866851246082</v>
      </c>
      <c r="C681" s="119" t="n">
        <v>89.2013842332877</v>
      </c>
      <c r="D681" s="119" t="n">
        <v>88.28070484933326</v>
      </c>
      <c r="E681" s="119" t="n">
        <v>88.64138031005859</v>
      </c>
      <c r="F681" s="120" t="n">
        <v>6429800</v>
      </c>
      <c r="G681" s="121" t="n">
        <v>-0.002137111464924901</v>
      </c>
      <c r="H681" s="122" t="n">
        <v>57.68404459460466</v>
      </c>
      <c r="I681" s="119" t="n">
        <v>90.21660583496094</v>
      </c>
      <c r="J681" s="119" t="n">
        <v>96.42439361572265</v>
      </c>
      <c r="K681" s="121" t="n">
        <v>0.1739926246420357</v>
      </c>
      <c r="L681" s="121" t="n">
        <v>-0.1185588291881184</v>
      </c>
      <c r="M681" s="121" t="n">
        <v>-0.2357824151069091</v>
      </c>
      <c r="N681" t="n">
        <v>48.76531545260372</v>
      </c>
      <c r="O681" t="n">
        <v>0.2063384463051579</v>
      </c>
      <c r="P681" t="n">
        <v>121.4386613156362</v>
      </c>
      <c r="Q681" t="n">
        <v>120.5629753468725</v>
      </c>
    </row>
    <row r="682">
      <c r="A682" s="118" t="n">
        <v>45422</v>
      </c>
      <c r="B682" s="119" t="n">
        <v>88.33766454603185</v>
      </c>
      <c r="C682" s="119" t="n">
        <v>88.40410496270727</v>
      </c>
      <c r="D682" s="119" t="n">
        <v>86.2590172734597</v>
      </c>
      <c r="E682" s="119" t="n">
        <v>86.31597137451172</v>
      </c>
      <c r="F682" s="120" t="n">
        <v>10548400</v>
      </c>
      <c r="G682" s="121" t="n">
        <v>-0.02623389806671361</v>
      </c>
      <c r="H682" s="122" t="n">
        <v>56.17076724863404</v>
      </c>
      <c r="I682" s="119" t="n">
        <v>89.97703964233398</v>
      </c>
      <c r="J682" s="119" t="n">
        <v>96.3425643157959</v>
      </c>
      <c r="K682" s="121" t="n">
        <v>0.1987627899213351</v>
      </c>
      <c r="L682" s="121" t="n">
        <v>-0.1394162858156053</v>
      </c>
      <c r="M682" s="121" t="n">
        <v>-0.2558308213297845</v>
      </c>
      <c r="N682" t="n">
        <v>40.21110894169369</v>
      </c>
      <c r="O682" t="n">
        <v>0.05327634617956745</v>
      </c>
      <c r="P682" t="n">
        <v>121.5950948076224</v>
      </c>
      <c r="Q682" t="n">
        <v>120.84727895249</v>
      </c>
    </row>
    <row r="683">
      <c r="A683" s="118" t="n">
        <v>45425</v>
      </c>
      <c r="B683" s="119" t="n">
        <v>86.62917901459029</v>
      </c>
      <c r="C683" s="119" t="n">
        <v>88.05290831557912</v>
      </c>
      <c r="D683" s="119" t="n">
        <v>86.51528530504667</v>
      </c>
      <c r="E683" s="119" t="n">
        <v>88.00545501708984</v>
      </c>
      <c r="F683" s="120" t="n">
        <v>8792100</v>
      </c>
      <c r="G683" s="121" t="n">
        <v>0.01957324485462508</v>
      </c>
      <c r="H683" s="122" t="n">
        <v>57.27021142966371</v>
      </c>
      <c r="I683" s="119" t="n">
        <v>89.80315490722656</v>
      </c>
      <c r="J683" s="119" t="n">
        <v>96.27683895111085</v>
      </c>
      <c r="K683" s="121" t="n">
        <v>0.2067735833661543</v>
      </c>
      <c r="L683" s="121" t="n">
        <v>-0.1190829613985914</v>
      </c>
      <c r="M683" s="121" t="n">
        <v>-0.2412650157824072</v>
      </c>
      <c r="N683" t="n">
        <v>47.42671982502613</v>
      </c>
      <c r="O683" t="n">
        <v>0.06785278562244512</v>
      </c>
      <c r="P683" t="n">
        <v>121.611440571004</v>
      </c>
      <c r="Q683" t="n">
        <v>121.1261195652402</v>
      </c>
    </row>
    <row r="684">
      <c r="A684" s="118" t="n">
        <v>45426</v>
      </c>
      <c r="B684" s="119" t="n">
        <v>88.26174239121156</v>
      </c>
      <c r="C684" s="119" t="n">
        <v>89.54309759379973</v>
      </c>
      <c r="D684" s="119" t="n">
        <v>87.89157327138527</v>
      </c>
      <c r="E684" s="119" t="n">
        <v>88.07191467285156</v>
      </c>
      <c r="F684" s="120" t="n">
        <v>7811000</v>
      </c>
      <c r="G684" s="121" t="n">
        <v>0.0007551765484175021</v>
      </c>
      <c r="H684" s="122" t="n">
        <v>57.3134605502583</v>
      </c>
      <c r="I684" s="119" t="n">
        <v>89.67501968383789</v>
      </c>
      <c r="J684" s="119" t="n">
        <v>96.20698348999024</v>
      </c>
      <c r="K684" s="121" t="n">
        <v>0.2064528226549981</v>
      </c>
      <c r="L684" s="121" t="n">
        <v>-0.1184177135099383</v>
      </c>
      <c r="M684" s="121" t="n">
        <v>-0.2406920369158622</v>
      </c>
      <c r="N684" t="n">
        <v>47.69413850794774</v>
      </c>
      <c r="O684" t="n">
        <v>0.08300544354433126</v>
      </c>
      <c r="P684" t="n">
        <v>122.1693988871123</v>
      </c>
      <c r="Q684" t="n">
        <v>121.9052419822979</v>
      </c>
    </row>
    <row r="685">
      <c r="A685" s="118" t="n">
        <v>45427</v>
      </c>
      <c r="B685" s="119" t="n">
        <v>87.59731985873603</v>
      </c>
      <c r="C685" s="119" t="n">
        <v>87.9105420459947</v>
      </c>
      <c r="D685" s="119" t="n">
        <v>86.23053739903403</v>
      </c>
      <c r="E685" s="119" t="n">
        <v>87.00884246826172</v>
      </c>
      <c r="F685" s="120" t="n">
        <v>15614400</v>
      </c>
      <c r="G685" s="121" t="n">
        <v>-0.01207050180001978</v>
      </c>
      <c r="H685" s="122" t="n">
        <v>56.62165832152104</v>
      </c>
      <c r="I685" s="119" t="n">
        <v>89.54897232055664</v>
      </c>
      <c r="J685" s="119" t="n">
        <v>96.12349857330322</v>
      </c>
      <c r="K685" s="121" t="n">
        <v>0.2016824245796721</v>
      </c>
      <c r="L685" s="121" t="n">
        <v>-0.1290588540858822</v>
      </c>
      <c r="M685" s="121" t="n">
        <v>-0.2498572650510386</v>
      </c>
      <c r="N685" t="n">
        <v>43.8517362949065</v>
      </c>
      <c r="O685" t="n">
        <v>0.02545166594744142</v>
      </c>
      <c r="P685" t="n">
        <v>123.6822307503757</v>
      </c>
      <c r="Q685" t="n">
        <v>123.8106443925163</v>
      </c>
    </row>
    <row r="686">
      <c r="A686" s="118" t="n">
        <v>45428</v>
      </c>
      <c r="B686" s="119" t="n">
        <v>87.02782541324231</v>
      </c>
      <c r="C686" s="119" t="n">
        <v>88.1193453759939</v>
      </c>
      <c r="D686" s="119" t="n">
        <v>86.87595748434316</v>
      </c>
      <c r="E686" s="119" t="n">
        <v>87.10375213623047</v>
      </c>
      <c r="F686" s="120" t="n">
        <v>12711700</v>
      </c>
      <c r="G686" s="121" t="n">
        <v>0.001090804857027949</v>
      </c>
      <c r="H686" s="122" t="n">
        <v>56.68342150143113</v>
      </c>
      <c r="I686" s="119" t="n">
        <v>89.43773132324219</v>
      </c>
      <c r="J686" s="119" t="n">
        <v>96.04513851165771</v>
      </c>
      <c r="K686" s="121" t="n">
        <v>0.1977097711141679</v>
      </c>
      <c r="L686" s="121" t="n">
        <v>-0.1281088272537337</v>
      </c>
      <c r="M686" s="121" t="n">
        <v>-0.2490390057122921</v>
      </c>
      <c r="N686" t="n">
        <v>44.28331051419808</v>
      </c>
      <c r="O686" t="n">
        <v>-0.0008143443953045892</v>
      </c>
      <c r="P686" t="n">
        <v>123.427737311729</v>
      </c>
      <c r="Q686" t="n">
        <v>123.5591609619763</v>
      </c>
    </row>
    <row r="687">
      <c r="A687" s="118" t="n">
        <v>45429</v>
      </c>
      <c r="B687" s="119" t="n">
        <v>87.33155804170836</v>
      </c>
      <c r="C687" s="119" t="n">
        <v>87.5973196880299</v>
      </c>
      <c r="D687" s="119" t="n">
        <v>86.69562011205412</v>
      </c>
      <c r="E687" s="119" t="n">
        <v>87.49291229248047</v>
      </c>
      <c r="F687" s="120" t="n">
        <v>12019600</v>
      </c>
      <c r="G687" s="121" t="n">
        <v>0.004467777181875521</v>
      </c>
      <c r="H687" s="122" t="n">
        <v>56.93667039860586</v>
      </c>
      <c r="I687" s="119" t="n">
        <v>89.32364288330078</v>
      </c>
      <c r="J687" s="119" t="n">
        <v>95.97760208129883</v>
      </c>
      <c r="K687" s="121" t="n">
        <v>0.1948529270338024</v>
      </c>
      <c r="L687" s="121" t="n">
        <v>-0.1242134117670591</v>
      </c>
      <c r="M687" s="121" t="n">
        <v>-0.2456838793175349</v>
      </c>
      <c r="N687" t="n">
        <v>46.11230081407249</v>
      </c>
      <c r="O687" t="n">
        <v>0.01268735409169375</v>
      </c>
      <c r="P687" t="n">
        <v>123.6051846946874</v>
      </c>
      <c r="Q687" t="n">
        <v>123.4990004918381</v>
      </c>
    </row>
    <row r="688">
      <c r="A688" s="118" t="n">
        <v>45432</v>
      </c>
      <c r="B688" s="119" t="n">
        <v>87.55934868146649</v>
      </c>
      <c r="C688" s="119" t="n">
        <v>87.98646455893785</v>
      </c>
      <c r="D688" s="119" t="n">
        <v>86.21155339906295</v>
      </c>
      <c r="E688" s="119" t="n">
        <v>87.10375213623047</v>
      </c>
      <c r="F688" s="120" t="n">
        <v>9701500</v>
      </c>
      <c r="G688" s="121" t="n">
        <v>-0.004447904933705615</v>
      </c>
      <c r="H688" s="122" t="n">
        <v>56.68342150143113</v>
      </c>
      <c r="I688" s="119" t="n">
        <v>89.18335784912109</v>
      </c>
      <c r="J688" s="119" t="n">
        <v>95.90281192779541</v>
      </c>
      <c r="K688" s="121" t="n">
        <v>0.195015962937043</v>
      </c>
      <c r="L688" s="121" t="n">
        <v>-0.1241287212509459</v>
      </c>
      <c r="M688" s="121" t="n">
        <v>-0.2490390057122921</v>
      </c>
      <c r="N688" t="n">
        <v>44.53781172107033</v>
      </c>
      <c r="O688" t="n">
        <v>0.0007073996074704603</v>
      </c>
      <c r="P688" t="n">
        <v>123.7476138039018</v>
      </c>
      <c r="Q688" t="n">
        <v>124.360143794078</v>
      </c>
    </row>
    <row r="689">
      <c r="A689" s="118" t="n">
        <v>45433</v>
      </c>
      <c r="B689" s="119" t="n">
        <v>86.91394623701481</v>
      </c>
      <c r="C689" s="119" t="n">
        <v>88.12886100667752</v>
      </c>
      <c r="D689" s="119" t="n">
        <v>86.80004526181021</v>
      </c>
      <c r="E689" s="119" t="n">
        <v>88.10038757324219</v>
      </c>
      <c r="F689" s="120" t="n">
        <v>7809700</v>
      </c>
      <c r="G689" s="121" t="n">
        <v>0.0114419346189929</v>
      </c>
      <c r="H689" s="122" t="n">
        <v>57.33198950423132</v>
      </c>
      <c r="I689" s="119" t="n">
        <v>89.02655792236328</v>
      </c>
      <c r="J689" s="119" t="n">
        <v>95.83220638275147</v>
      </c>
      <c r="K689" s="121" t="n">
        <v>0.200099470995609</v>
      </c>
      <c r="L689" s="121" t="n">
        <v>-0.1141070593448456</v>
      </c>
      <c r="M689" s="121" t="n">
        <v>-0.2404465591142382</v>
      </c>
      <c r="N689" t="n">
        <v>49.31120754602841</v>
      </c>
      <c r="O689" t="n">
        <v>0.06182067269652947</v>
      </c>
      <c r="P689" t="n">
        <v>124.0511006318067</v>
      </c>
      <c r="Q689" t="n">
        <v>124.6034200699549</v>
      </c>
    </row>
    <row r="690">
      <c r="A690" s="118" t="n">
        <v>45434</v>
      </c>
      <c r="B690" s="119" t="n">
        <v>87.27460152549493</v>
      </c>
      <c r="C690" s="119" t="n">
        <v>88.04342025699584</v>
      </c>
      <c r="D690" s="119" t="n">
        <v>86.98986001581369</v>
      </c>
      <c r="E690" s="119" t="n">
        <v>87.79663848876953</v>
      </c>
      <c r="F690" s="120" t="n">
        <v>7611900</v>
      </c>
      <c r="G690" s="121" t="n">
        <v>-0.00344776104668254</v>
      </c>
      <c r="H690" s="122" t="n">
        <v>57.13432250408982</v>
      </c>
      <c r="I690" s="119" t="n">
        <v>88.88076782226562</v>
      </c>
      <c r="J690" s="119" t="n">
        <v>95.75223766326904</v>
      </c>
      <c r="K690" s="121" t="n">
        <v>0.1985017067698106</v>
      </c>
      <c r="L690" s="121" t="n">
        <v>-0.1103931579081222</v>
      </c>
      <c r="M690" s="121" t="n">
        <v>-0.2430653178805978</v>
      </c>
      <c r="N690" t="n">
        <v>47.95651300347503</v>
      </c>
      <c r="O690" t="n">
        <v>0.08241530197326696</v>
      </c>
      <c r="P690" t="n">
        <v>123.6939230197954</v>
      </c>
      <c r="Q690" t="n">
        <v>124.57882393669</v>
      </c>
    </row>
    <row r="691">
      <c r="A691" s="118" t="n">
        <v>45435</v>
      </c>
      <c r="B691" s="119" t="n">
        <v>87.74918496105866</v>
      </c>
      <c r="C691" s="119" t="n">
        <v>87.87257947576201</v>
      </c>
      <c r="D691" s="119" t="n">
        <v>86.51529050426004</v>
      </c>
      <c r="E691" s="119" t="n">
        <v>86.75257873535156</v>
      </c>
      <c r="F691" s="120" t="n">
        <v>7729000</v>
      </c>
      <c r="G691" s="121" t="n">
        <v>-0.01189179644447913</v>
      </c>
      <c r="H691" s="122" t="n">
        <v>56.45489277087796</v>
      </c>
      <c r="I691" s="119" t="n">
        <v>88.69169647216796</v>
      </c>
      <c r="J691" s="119" t="n">
        <v>95.67075946807861</v>
      </c>
      <c r="K691" s="121" t="n">
        <v>0.2010277126417505</v>
      </c>
      <c r="L691" s="121" t="n">
        <v>-0.1174198758300061</v>
      </c>
      <c r="M691" s="121" t="n">
        <v>-0.2520666310421282</v>
      </c>
      <c r="N691" t="n">
        <v>43.52983599489367</v>
      </c>
      <c r="O691" t="n">
        <v>0.02910128725183947</v>
      </c>
      <c r="P691" t="n">
        <v>122.7903988761371</v>
      </c>
      <c r="Q691" t="n">
        <v>124.0184154365432</v>
      </c>
    </row>
    <row r="692">
      <c r="A692" s="118" t="n">
        <v>45436</v>
      </c>
      <c r="B692" s="119" t="n">
        <v>87.1037424415114</v>
      </c>
      <c r="C692" s="119" t="n">
        <v>87.5118784031752</v>
      </c>
      <c r="D692" s="119" t="n">
        <v>86.8379808369788</v>
      </c>
      <c r="E692" s="119" t="n">
        <v>87.08476257324219</v>
      </c>
      <c r="F692" s="120" t="n">
        <v>6936800</v>
      </c>
      <c r="G692" s="121" t="n">
        <v>0.003829094682061163</v>
      </c>
      <c r="H692" s="122" t="n">
        <v>56.67106390056327</v>
      </c>
      <c r="I692" s="119" t="n">
        <v>88.53015014648437</v>
      </c>
      <c r="J692" s="119" t="n">
        <v>95.59094219207763</v>
      </c>
      <c r="K692" s="121" t="n">
        <v>0.2015468327703598</v>
      </c>
      <c r="L692" s="121" t="n">
        <v>-0.09943081537263909</v>
      </c>
      <c r="M692" s="121" t="n">
        <v>-0.2492027233565156</v>
      </c>
      <c r="N692" t="n">
        <v>45.26110321023335</v>
      </c>
      <c r="O692" t="n">
        <v>0.02001989819078076</v>
      </c>
      <c r="P692" t="n">
        <v>123.6028433140777</v>
      </c>
      <c r="Q692" t="n">
        <v>125.1911857523118</v>
      </c>
    </row>
    <row r="693">
      <c r="A693" s="118" t="n">
        <v>45440</v>
      </c>
      <c r="B693" s="119" t="n">
        <v>87.07529308566376</v>
      </c>
      <c r="C693" s="119" t="n">
        <v>87.81563125762003</v>
      </c>
      <c r="D693" s="119" t="n">
        <v>86.70512399968563</v>
      </c>
      <c r="E693" s="119" t="n">
        <v>87.32207489013672</v>
      </c>
      <c r="F693" s="120" t="n">
        <v>10835000</v>
      </c>
      <c r="G693" s="121" t="n">
        <v>0.002725072789800054</v>
      </c>
      <c r="H693" s="122" t="n">
        <v>56.82549667476772</v>
      </c>
      <c r="I693" s="119" t="n">
        <v>88.38511978149414</v>
      </c>
      <c r="J693" s="119" t="n">
        <v>95.51541172027588</v>
      </c>
      <c r="K693" s="121" t="n">
        <v>0.2020236431443017</v>
      </c>
      <c r="L693" s="121" t="n">
        <v>-0.092344114147482</v>
      </c>
      <c r="M693" s="121" t="n">
        <v>-0.2471567461272786</v>
      </c>
      <c r="N693" t="n">
        <v>46.52247416515851</v>
      </c>
      <c r="O693" t="n">
        <v>0.03303861515577106</v>
      </c>
      <c r="P693" t="n">
        <v>123.6892256249472</v>
      </c>
      <c r="Q693" t="n">
        <v>125.6641188179838</v>
      </c>
    </row>
    <row r="694">
      <c r="A694" s="118" t="n">
        <v>45441</v>
      </c>
      <c r="B694" s="119" t="n">
        <v>87.01833602463792</v>
      </c>
      <c r="C694" s="119" t="n">
        <v>88.00545588537139</v>
      </c>
      <c r="D694" s="119" t="n">
        <v>86.73358726504608</v>
      </c>
      <c r="E694" s="119" t="n">
        <v>87.00884246826172</v>
      </c>
      <c r="F694" s="120" t="n">
        <v>7237300</v>
      </c>
      <c r="G694" s="121" t="n">
        <v>-0.003587093209467263</v>
      </c>
      <c r="H694" s="122" t="n">
        <v>56.62165832152105</v>
      </c>
      <c r="I694" s="119" t="n">
        <v>88.25090957641602</v>
      </c>
      <c r="J694" s="119" t="n">
        <v>95.44273048400879</v>
      </c>
      <c r="K694" s="121" t="n">
        <v>0.1907653257671572</v>
      </c>
      <c r="L694" s="121" t="n">
        <v>-0.09559996041215668</v>
      </c>
      <c r="M694" s="121" t="n">
        <v>-0.2498572650510386</v>
      </c>
      <c r="N694" t="n">
        <v>45.04695998946633</v>
      </c>
      <c r="O694" t="n">
        <v>0.02401700702961018</v>
      </c>
      <c r="P694" t="n">
        <v>122.823105036529</v>
      </c>
      <c r="Q694" t="n">
        <v>124.7783878260538</v>
      </c>
    </row>
    <row r="695">
      <c r="A695" s="118" t="n">
        <v>45442</v>
      </c>
      <c r="B695" s="119" t="n">
        <v>87.54038083924405</v>
      </c>
      <c r="C695" s="119" t="n">
        <v>89.10647743279699</v>
      </c>
      <c r="D695" s="119" t="n">
        <v>87.28410548437954</v>
      </c>
      <c r="E695" s="119" t="n">
        <v>88.69834136962891</v>
      </c>
      <c r="F695" s="120" t="n">
        <v>9300100</v>
      </c>
      <c r="G695" s="121" t="n">
        <v>0.01941755404898604</v>
      </c>
      <c r="H695" s="122" t="n">
        <v>57.72111243232241</v>
      </c>
      <c r="I695" s="119" t="n">
        <v>88.12732955932617</v>
      </c>
      <c r="J695" s="119" t="n">
        <v>95.38061058044434</v>
      </c>
      <c r="K695" s="121" t="n">
        <v>0.1866646936282931</v>
      </c>
      <c r="L695" s="121" t="n">
        <v>-0.07803872376155463</v>
      </c>
      <c r="M695" s="121" t="n">
        <v>-0.2352913279507129</v>
      </c>
      <c r="N695" t="n">
        <v>53.59590924170673</v>
      </c>
      <c r="O695" t="n">
        <v>0.1294087724204564</v>
      </c>
      <c r="P695" t="n">
        <v>122.0083045843499</v>
      </c>
      <c r="Q695" t="n">
        <v>123.4415926270704</v>
      </c>
    </row>
    <row r="696">
      <c r="A696" s="118" t="n">
        <v>45443</v>
      </c>
      <c r="B696" s="119" t="n">
        <v>88.74579769270422</v>
      </c>
      <c r="C696" s="119" t="n">
        <v>90.23596748194996</v>
      </c>
      <c r="D696" s="119" t="n">
        <v>88.2427478055934</v>
      </c>
      <c r="E696" s="119" t="n">
        <v>90.21698760986328</v>
      </c>
      <c r="F696" s="120" t="n">
        <v>12565600</v>
      </c>
      <c r="G696" s="121" t="n">
        <v>0.0171214728120539</v>
      </c>
      <c r="H696" s="122" t="n">
        <v>58.70938288951392</v>
      </c>
      <c r="I696" s="119" t="n">
        <v>88.02823822021485</v>
      </c>
      <c r="J696" s="119" t="n">
        <v>95.33120376586913</v>
      </c>
      <c r="K696" s="121" t="n">
        <v>0.1789310348003317</v>
      </c>
      <c r="L696" s="121" t="n">
        <v>-0.06225338883667164</v>
      </c>
      <c r="M696" s="121" t="n">
        <v>-0.2221983892130792</v>
      </c>
      <c r="N696" t="n">
        <v>59.66940867139957</v>
      </c>
      <c r="O696" t="n">
        <v>0.2897894468233817</v>
      </c>
      <c r="P696" t="n">
        <v>123.1195677226047</v>
      </c>
      <c r="Q696" t="n">
        <v>123.2119611679995</v>
      </c>
    </row>
    <row r="697">
      <c r="A697" s="118" t="n">
        <v>45446</v>
      </c>
      <c r="B697" s="119" t="n">
        <v>90.06451884843672</v>
      </c>
      <c r="C697" s="119" t="n">
        <v>90.76011135198122</v>
      </c>
      <c r="D697" s="119" t="n">
        <v>89.61667978615971</v>
      </c>
      <c r="E697" s="119" t="n">
        <v>89.95018005371094</v>
      </c>
      <c r="F697" s="120" t="n">
        <v>9668100</v>
      </c>
      <c r="G697" s="121" t="n">
        <v>-0.002957398193188743</v>
      </c>
      <c r="H697" s="122" t="n">
        <v>58.53575586663325</v>
      </c>
      <c r="I697" s="119" t="n">
        <v>87.91336990356446</v>
      </c>
      <c r="J697" s="119" t="n">
        <v>95.28055686950684</v>
      </c>
      <c r="K697" s="121" t="n">
        <v>0.1789774550439775</v>
      </c>
      <c r="L697" s="121" t="n">
        <v>-0.06502667897019487</v>
      </c>
      <c r="M697" s="121" t="n">
        <v>-0.2244986582914797</v>
      </c>
      <c r="N697" t="n">
        <v>58.22750224538889</v>
      </c>
      <c r="O697" t="n">
        <v>0.3616247052067287</v>
      </c>
      <c r="P697" t="n">
        <v>123.2199836835037</v>
      </c>
      <c r="Q697" t="n">
        <v>123.8735236937261</v>
      </c>
    </row>
    <row r="698">
      <c r="A698" s="118" t="n">
        <v>45447</v>
      </c>
      <c r="B698" s="119" t="n">
        <v>89.84536202644725</v>
      </c>
      <c r="C698" s="119" t="n">
        <v>90.62670860326043</v>
      </c>
      <c r="D698" s="119" t="n">
        <v>89.00684605393762</v>
      </c>
      <c r="E698" s="119" t="n">
        <v>90.27414703369141</v>
      </c>
      <c r="F698" s="120" t="n">
        <v>7838400</v>
      </c>
      <c r="G698" s="121" t="n">
        <v>0.003601626809274006</v>
      </c>
      <c r="H698" s="122" t="n">
        <v>58.74657981426363</v>
      </c>
      <c r="I698" s="119" t="n">
        <v>87.9371029663086</v>
      </c>
      <c r="J698" s="119" t="n">
        <v>95.23848175048828</v>
      </c>
      <c r="K698" s="121" t="n">
        <v>0.1738610608448224</v>
      </c>
      <c r="L698" s="121" t="n">
        <v>-0.06165925399121797</v>
      </c>
      <c r="M698" s="121" t="n">
        <v>-0.2217055918685544</v>
      </c>
      <c r="N698" t="n">
        <v>59.50703734051768</v>
      </c>
      <c r="O698" t="n">
        <v>0.4110733241788063</v>
      </c>
      <c r="P698" t="n">
        <v>123.3577007642411</v>
      </c>
      <c r="Q698" t="n">
        <v>124.2124994458903</v>
      </c>
    </row>
    <row r="699">
      <c r="A699" s="118" t="n">
        <v>45448</v>
      </c>
      <c r="B699" s="119" t="n">
        <v>90.82681689194561</v>
      </c>
      <c r="C699" s="119" t="n">
        <v>90.82681689194561</v>
      </c>
      <c r="D699" s="119" t="n">
        <v>89.28317764205748</v>
      </c>
      <c r="E699" s="119" t="n">
        <v>89.87395477294922</v>
      </c>
      <c r="F699" s="120" t="n">
        <v>7463300</v>
      </c>
      <c r="G699" s="121" t="n">
        <v>-0.004433077175382549</v>
      </c>
      <c r="H699" s="122" t="n">
        <v>58.48615169215723</v>
      </c>
      <c r="I699" s="119" t="n">
        <v>87.9549203491211</v>
      </c>
      <c r="J699" s="119" t="n">
        <v>95.1955330657959</v>
      </c>
      <c r="K699" s="121" t="n">
        <v>0.1743578026020698</v>
      </c>
      <c r="L699" s="121" t="n">
        <v>-0.06581899093508092</v>
      </c>
      <c r="M699" s="121" t="n">
        <v>-0.2251558310449698</v>
      </c>
      <c r="N699" t="n">
        <v>57.17713988675427</v>
      </c>
      <c r="O699" t="n">
        <v>0.3967471827203936</v>
      </c>
      <c r="P699" t="n">
        <v>124.8238440347839</v>
      </c>
      <c r="Q699" t="n">
        <v>126.7166019677749</v>
      </c>
    </row>
    <row r="700">
      <c r="A700" s="118" t="n">
        <v>45449</v>
      </c>
      <c r="B700" s="119" t="n">
        <v>90.38850004261342</v>
      </c>
      <c r="C700" s="119" t="n">
        <v>92.23705485633312</v>
      </c>
      <c r="D700" s="119" t="n">
        <v>89.55950739249189</v>
      </c>
      <c r="E700" s="119" t="n">
        <v>91.20796203613281</v>
      </c>
      <c r="F700" s="120" t="n">
        <v>9760100</v>
      </c>
      <c r="G700" s="121" t="n">
        <v>0.0148430907102477</v>
      </c>
      <c r="H700" s="122" t="n">
        <v>59.35426694701722</v>
      </c>
      <c r="I700" s="119" t="n">
        <v>88.02162796020508</v>
      </c>
      <c r="J700" s="119" t="n">
        <v>95.16841396331787</v>
      </c>
      <c r="K700" s="121" t="n">
        <v>0.181213009763242</v>
      </c>
      <c r="L700" s="121" t="n">
        <v>-0.0519528574777397</v>
      </c>
      <c r="M700" s="121" t="n">
        <v>-0.2136547487588637</v>
      </c>
      <c r="N700" t="n">
        <v>62.45432774698084</v>
      </c>
      <c r="O700" t="n">
        <v>0.4529675520822058</v>
      </c>
      <c r="P700" t="n">
        <v>124.8214880205454</v>
      </c>
      <c r="Q700" t="n">
        <v>126.6728726941124</v>
      </c>
    </row>
    <row r="701">
      <c r="A701" s="118" t="n">
        <v>45450</v>
      </c>
      <c r="B701" s="119" t="n">
        <v>90.89351678649224</v>
      </c>
      <c r="C701" s="119" t="n">
        <v>93.32331809348027</v>
      </c>
      <c r="D701" s="119" t="n">
        <v>90.80776268542164</v>
      </c>
      <c r="E701" s="119" t="n">
        <v>91.99884033203125</v>
      </c>
      <c r="F701" s="120" t="n">
        <v>9397400</v>
      </c>
      <c r="G701" s="121" t="n">
        <v>0.008671154121228097</v>
      </c>
      <c r="H701" s="122" t="n">
        <v>59.86893694346732</v>
      </c>
      <c r="I701" s="119" t="n">
        <v>88.07472961425782</v>
      </c>
      <c r="J701" s="119" t="n">
        <v>95.15182544708252</v>
      </c>
      <c r="K701" s="121" t="n">
        <v>0.1824851686111839</v>
      </c>
      <c r="L701" s="121" t="n">
        <v>-0.03861026978850135</v>
      </c>
      <c r="M701" s="121" t="n">
        <v>-0.2068362278928559</v>
      </c>
      <c r="N701" t="n">
        <v>65.19293898287106</v>
      </c>
      <c r="O701" t="n">
        <v>0.5147643165304365</v>
      </c>
      <c r="P701" t="n">
        <v>124.6697519234074</v>
      </c>
      <c r="Q701" t="n">
        <v>126.5607757956485</v>
      </c>
    </row>
    <row r="702">
      <c r="A702" s="118" t="n">
        <v>45453</v>
      </c>
      <c r="B702" s="119" t="n">
        <v>91.21747717769054</v>
      </c>
      <c r="C702" s="119" t="n">
        <v>92.41807799395488</v>
      </c>
      <c r="D702" s="119" t="n">
        <v>91.09360047221585</v>
      </c>
      <c r="E702" s="119" t="n">
        <v>91.47474670410156</v>
      </c>
      <c r="F702" s="120" t="n">
        <v>7035100</v>
      </c>
      <c r="G702" s="121" t="n">
        <v>-0.005696741676723183</v>
      </c>
      <c r="H702" s="122" t="n">
        <v>59.52787907524036</v>
      </c>
      <c r="I702" s="119" t="n">
        <v>88.12019653320313</v>
      </c>
      <c r="J702" s="119" t="n">
        <v>95.14534603118896</v>
      </c>
      <c r="K702" s="121" t="n">
        <v>0.1525640481406366</v>
      </c>
      <c r="L702" s="121" t="n">
        <v>-0.04408705873217067</v>
      </c>
      <c r="M702" s="121" t="n">
        <v>-0.2113546770098856</v>
      </c>
      <c r="N702" t="n">
        <v>61.96729137934477</v>
      </c>
      <c r="O702" t="n">
        <v>0.4917250807114254</v>
      </c>
      <c r="P702" t="n">
        <v>125.0549529345911</v>
      </c>
      <c r="Q702" t="n">
        <v>127.0719920292653</v>
      </c>
    </row>
    <row r="703">
      <c r="A703" s="118" t="n">
        <v>45454</v>
      </c>
      <c r="B703" s="119" t="n">
        <v>91.01738356623594</v>
      </c>
      <c r="C703" s="119" t="n">
        <v>91.47476056776955</v>
      </c>
      <c r="D703" s="119" t="n">
        <v>90.06452147698833</v>
      </c>
      <c r="E703" s="119" t="n">
        <v>91.35089111328125</v>
      </c>
      <c r="F703" s="120" t="n">
        <v>7301500</v>
      </c>
      <c r="G703" s="121" t="n">
        <v>-0.001353986704340948</v>
      </c>
      <c r="H703" s="122" t="n">
        <v>59.44727911843487</v>
      </c>
      <c r="I703" s="119" t="n">
        <v>88.19014251708984</v>
      </c>
      <c r="J703" s="119" t="n">
        <v>95.14350818634033</v>
      </c>
      <c r="K703" s="121" t="n">
        <v>0.1398791288194572</v>
      </c>
      <c r="L703" s="121" t="n">
        <v>-0.04538135214515482</v>
      </c>
      <c r="M703" s="121" t="n">
        <v>-0.212422492291655</v>
      </c>
      <c r="N703" t="n">
        <v>61.19667960946757</v>
      </c>
      <c r="O703" t="n">
        <v>0.4411415538580681</v>
      </c>
      <c r="P703" t="n">
        <v>125.3561130155151</v>
      </c>
      <c r="Q703" t="n">
        <v>127.9440444300902</v>
      </c>
    </row>
    <row r="704">
      <c r="A704" s="118" t="n">
        <v>45455</v>
      </c>
      <c r="B704" s="119" t="n">
        <v>91.80825423012195</v>
      </c>
      <c r="C704" s="119" t="n">
        <v>91.95118498716286</v>
      </c>
      <c r="D704" s="119" t="n">
        <v>89.09259892538577</v>
      </c>
      <c r="E704" s="119" t="n">
        <v>89.26411437988281</v>
      </c>
      <c r="F704" s="120" t="n">
        <v>9861300</v>
      </c>
      <c r="G704" s="121" t="n">
        <v>-0.02284352903367626</v>
      </c>
      <c r="H704" s="122" t="n">
        <v>58.08929347191985</v>
      </c>
      <c r="I704" s="119" t="n">
        <v>88.24891555786132</v>
      </c>
      <c r="J704" s="119" t="n">
        <v>95.12555286407471</v>
      </c>
      <c r="K704" s="121" t="n">
        <v>0.1652337680159326</v>
      </c>
      <c r="L704" s="121" t="n">
        <v>-0.06718821094351579</v>
      </c>
      <c r="M704" s="121" t="n">
        <v>-0.230413541955261</v>
      </c>
      <c r="N704" t="n">
        <v>49.93034288896939</v>
      </c>
      <c r="O704" t="n">
        <v>0.2496709786563153</v>
      </c>
      <c r="P704" t="n">
        <v>126.3856766041199</v>
      </c>
      <c r="Q704" t="n">
        <v>129.6198322683873</v>
      </c>
    </row>
    <row r="705">
      <c r="A705" s="118" t="n">
        <v>45456</v>
      </c>
      <c r="B705" s="119" t="n">
        <v>89.60714707621283</v>
      </c>
      <c r="C705" s="119" t="n">
        <v>90.07404744008316</v>
      </c>
      <c r="D705" s="119" t="n">
        <v>89.30223151433172</v>
      </c>
      <c r="E705" s="119" t="n">
        <v>89.74054718017578</v>
      </c>
      <c r="F705" s="120" t="n">
        <v>8348200</v>
      </c>
      <c r="G705" s="121" t="n">
        <v>0.005337338566598016</v>
      </c>
      <c r="H705" s="122" t="n">
        <v>58.39933569827396</v>
      </c>
      <c r="I705" s="119" t="n">
        <v>88.32898696899414</v>
      </c>
      <c r="J705" s="119" t="n">
        <v>95.10626892089844</v>
      </c>
      <c r="K705" s="121" t="n">
        <v>0.1587839829428443</v>
      </c>
      <c r="L705" s="121" t="n">
        <v>-0.06220947860640724</v>
      </c>
      <c r="M705" s="121" t="n">
        <v>-0.2263059984724072</v>
      </c>
      <c r="N705" t="n">
        <v>52.0986126374551</v>
      </c>
      <c r="O705" t="n">
        <v>0.1429413285794255</v>
      </c>
      <c r="P705" t="n">
        <v>126.6401554091378</v>
      </c>
      <c r="Q705" t="n">
        <v>130.3223967931302</v>
      </c>
    </row>
    <row r="706">
      <c r="A706" s="118" t="n">
        <v>45457</v>
      </c>
      <c r="B706" s="119" t="n">
        <v>89.37846226526391</v>
      </c>
      <c r="C706" s="119" t="n">
        <v>90.31226299345407</v>
      </c>
      <c r="D706" s="119" t="n">
        <v>88.90203124523534</v>
      </c>
      <c r="E706" s="119" t="n">
        <v>88.98778533935547</v>
      </c>
      <c r="F706" s="120" t="n">
        <v>7426800</v>
      </c>
      <c r="G706" s="121" t="n">
        <v>-0.00838820203880597</v>
      </c>
      <c r="H706" s="122" t="n">
        <v>57.90947027150478</v>
      </c>
      <c r="I706" s="119" t="n">
        <v>88.41792144775391</v>
      </c>
      <c r="J706" s="119" t="n">
        <v>95.07316898345947</v>
      </c>
      <c r="K706" s="121" t="n">
        <v>0.162699428288528</v>
      </c>
      <c r="L706" s="121" t="n">
        <v>-0.07007585496993396</v>
      </c>
      <c r="M706" s="121" t="n">
        <v>-0.2327959000734329</v>
      </c>
      <c r="N706" t="n">
        <v>48.52318019945297</v>
      </c>
      <c r="O706" t="n">
        <v>0.01615047071077241</v>
      </c>
      <c r="P706" t="n">
        <v>126.7172160984549</v>
      </c>
      <c r="Q706" t="n">
        <v>130.9976294663871</v>
      </c>
    </row>
    <row r="707">
      <c r="A707" s="118" t="n">
        <v>45460</v>
      </c>
      <c r="B707" s="119" t="n">
        <v>87.6728408175925</v>
      </c>
      <c r="C707" s="119" t="n">
        <v>90.63624242745512</v>
      </c>
      <c r="D707" s="119" t="n">
        <v>87.6728408175925</v>
      </c>
      <c r="E707" s="119" t="n">
        <v>90.52189636230469</v>
      </c>
      <c r="F707" s="120" t="n">
        <v>6365400</v>
      </c>
      <c r="G707" s="121" t="n">
        <v>0.01723956852166708</v>
      </c>
      <c r="H707" s="122" t="n">
        <v>58.90780455230383</v>
      </c>
      <c r="I707" s="119" t="n">
        <v>88.54190475463867</v>
      </c>
      <c r="J707" s="119" t="n">
        <v>95.04618949890137</v>
      </c>
      <c r="K707" s="121" t="n">
        <v>0.1722220704022913</v>
      </c>
      <c r="L707" s="121" t="n">
        <v>-0.01605394116269443</v>
      </c>
      <c r="M707" s="121" t="n">
        <v>-0.2195696324226449</v>
      </c>
      <c r="N707" t="n">
        <v>55.26171704962729</v>
      </c>
      <c r="O707" t="n">
        <v>0.02933829615398276</v>
      </c>
      <c r="P707" t="n">
        <v>127.7257365288299</v>
      </c>
      <c r="Q707" t="n">
        <v>132.6023224052366</v>
      </c>
    </row>
    <row r="708">
      <c r="A708" s="118" t="n">
        <v>45461</v>
      </c>
      <c r="B708" s="119" t="n">
        <v>90.2074557027475</v>
      </c>
      <c r="C708" s="119" t="n">
        <v>90.76964813723283</v>
      </c>
      <c r="D708" s="119" t="n">
        <v>89.76913999726052</v>
      </c>
      <c r="E708" s="119" t="n">
        <v>90.31227111816406</v>
      </c>
      <c r="F708" s="120" t="n">
        <v>6712000</v>
      </c>
      <c r="G708" s="121" t="n">
        <v>-0.002315740749637252</v>
      </c>
      <c r="H708" s="122" t="n">
        <v>58.7713893488304</v>
      </c>
      <c r="I708" s="119" t="n">
        <v>88.63967514038086</v>
      </c>
      <c r="J708" s="119" t="n">
        <v>95.0199938583374</v>
      </c>
      <c r="K708" s="121" t="n">
        <v>0.1713670578910947</v>
      </c>
      <c r="L708" s="121" t="n">
        <v>-0.01833250514658891</v>
      </c>
      <c r="M708" s="121" t="n">
        <v>-0.2213769068270981</v>
      </c>
      <c r="N708" t="n">
        <v>54.21732522987805</v>
      </c>
      <c r="O708" t="n">
        <v>0.01822267806645816</v>
      </c>
      <c r="P708" t="n">
        <v>128.0502665149645</v>
      </c>
      <c r="Q708" t="n">
        <v>132.6433244042529</v>
      </c>
    </row>
    <row r="709">
      <c r="A709" s="118" t="n">
        <v>45463</v>
      </c>
      <c r="B709" s="119" t="n">
        <v>89.45468614757493</v>
      </c>
      <c r="C709" s="119" t="n">
        <v>91.56051039418494</v>
      </c>
      <c r="D709" s="119" t="n">
        <v>89.11165522987045</v>
      </c>
      <c r="E709" s="119" t="n">
        <v>91.06502532958984</v>
      </c>
      <c r="F709" s="120" t="n">
        <v>9393800</v>
      </c>
      <c r="G709" s="121" t="n">
        <v>0.008335015852285244</v>
      </c>
      <c r="H709" s="122" t="n">
        <v>59.26124981071372</v>
      </c>
      <c r="I709" s="119" t="n">
        <v>88.73351745605468</v>
      </c>
      <c r="J709" s="119" t="n">
        <v>94.99289611816407</v>
      </c>
      <c r="K709" s="121" t="n">
        <v>0.1694079790570573</v>
      </c>
      <c r="L709" s="121" t="n">
        <v>-0.01015029101531262</v>
      </c>
      <c r="M709" s="121" t="n">
        <v>-0.2148870710025466</v>
      </c>
      <c r="N709" t="n">
        <v>57.33549725456876</v>
      </c>
      <c r="O709" t="n">
        <v>0.0538321068686346</v>
      </c>
      <c r="P709" t="n">
        <v>127.7024105245056</v>
      </c>
      <c r="Q709" t="n">
        <v>131.6209257113183</v>
      </c>
    </row>
    <row r="710">
      <c r="A710" s="118" t="n">
        <v>45464</v>
      </c>
      <c r="B710" s="119" t="n">
        <v>91.4366359291178</v>
      </c>
      <c r="C710" s="119" t="n">
        <v>92.62771341975829</v>
      </c>
      <c r="D710" s="119" t="n">
        <v>90.9220895807899</v>
      </c>
      <c r="E710" s="119" t="n">
        <v>92.59912872314453</v>
      </c>
      <c r="F710" s="120" t="n">
        <v>15124400</v>
      </c>
      <c r="G710" s="121" t="n">
        <v>0.01684624133142587</v>
      </c>
      <c r="H710" s="122" t="n">
        <v>60.25957912662692</v>
      </c>
      <c r="I710" s="119" t="n">
        <v>88.89600784301757</v>
      </c>
      <c r="J710" s="119" t="n">
        <v>94.98308334350585</v>
      </c>
      <c r="K710" s="121" t="n">
        <v>0.1763848773239523</v>
      </c>
      <c r="L710" s="121" t="n">
        <v>0</v>
      </c>
      <c r="M710" s="121" t="n">
        <v>-0.2016608691282328</v>
      </c>
      <c r="N710" t="n">
        <v>62.88367090835568</v>
      </c>
      <c r="O710" t="n">
        <v>0.1666023699157405</v>
      </c>
      <c r="P710" t="n">
        <v>127.5311824337918</v>
      </c>
      <c r="Q710" t="n">
        <v>131.2682798116237</v>
      </c>
    </row>
    <row r="711">
      <c r="A711" s="118" t="n">
        <v>45467</v>
      </c>
      <c r="B711" s="119" t="n">
        <v>92.71348396271269</v>
      </c>
      <c r="C711" s="119" t="n">
        <v>93.4185998714814</v>
      </c>
      <c r="D711" s="119" t="n">
        <v>92.12270685172439</v>
      </c>
      <c r="E711" s="119" t="n">
        <v>92.58960723876953</v>
      </c>
      <c r="F711" s="120" t="n">
        <v>9466900</v>
      </c>
      <c r="G711" s="121" t="n">
        <v>-0.0001028247728277476</v>
      </c>
      <c r="H711" s="122" t="n">
        <v>60.25338294909254</v>
      </c>
      <c r="I711" s="119" t="n">
        <v>89.00135848999024</v>
      </c>
      <c r="J711" s="119" t="n">
        <v>94.97388282775879</v>
      </c>
      <c r="K711" s="121" t="n">
        <v>0.168201787142686</v>
      </c>
      <c r="L711" s="121" t="n">
        <v>-0.0001028247728276366</v>
      </c>
      <c r="M711" s="121" t="n">
        <v>-0.2017429581680041</v>
      </c>
      <c r="N711" t="n">
        <v>62.82906009660367</v>
      </c>
      <c r="O711" t="n">
        <v>0.2229336914593123</v>
      </c>
      <c r="P711" t="n">
        <v>127.1166409968426</v>
      </c>
      <c r="Q711" t="n">
        <v>129.773817741217</v>
      </c>
    </row>
    <row r="712">
      <c r="A712" s="118" t="n">
        <v>45468</v>
      </c>
      <c r="B712" s="119" t="n">
        <v>92.72301625670733</v>
      </c>
      <c r="C712" s="119" t="n">
        <v>93.03746252033201</v>
      </c>
      <c r="D712" s="119" t="n">
        <v>90.04547586164247</v>
      </c>
      <c r="E712" s="119" t="n">
        <v>90.28369140625</v>
      </c>
      <c r="F712" s="120" t="n">
        <v>9006500</v>
      </c>
      <c r="G712" s="121" t="n">
        <v>-0.02490469396390294</v>
      </c>
      <c r="H712" s="122" t="n">
        <v>58.75279088645554</v>
      </c>
      <c r="I712" s="119" t="n">
        <v>89.0605908203125</v>
      </c>
      <c r="J712" s="119" t="n">
        <v>94.96375698089599</v>
      </c>
      <c r="K712" s="121" t="n">
        <v>0.1957102707129856</v>
      </c>
      <c r="L712" s="121" t="n">
        <v>-0.02500495791723134</v>
      </c>
      <c r="M712" s="121" t="n">
        <v>-0.2216233054993605</v>
      </c>
      <c r="N712" t="n">
        <v>51.22638936844463</v>
      </c>
      <c r="O712" t="n">
        <v>0.09387856343367529</v>
      </c>
      <c r="P712" t="n">
        <v>127.6061358805601</v>
      </c>
      <c r="Q712" t="n">
        <v>131.2578604403745</v>
      </c>
    </row>
    <row r="713">
      <c r="A713" s="118" t="n">
        <v>45469</v>
      </c>
      <c r="B713" s="119" t="n">
        <v>89.65479014374193</v>
      </c>
      <c r="C713" s="119" t="n">
        <v>90.02641304530222</v>
      </c>
      <c r="D713" s="119" t="n">
        <v>88.75910472672403</v>
      </c>
      <c r="E713" s="119" t="n">
        <v>89.62620544433594</v>
      </c>
      <c r="F713" s="120" t="n">
        <v>10160400</v>
      </c>
      <c r="G713" s="121" t="n">
        <v>-0.007282444389159592</v>
      </c>
      <c r="H713" s="122" t="n">
        <v>58.324926954117</v>
      </c>
      <c r="I713" s="119" t="n">
        <v>89.08579208374023</v>
      </c>
      <c r="J713" s="119" t="n">
        <v>94.95156909942627</v>
      </c>
      <c r="K713" s="121" t="n">
        <v>0.1983418024749204</v>
      </c>
      <c r="L713" s="121" t="n">
        <v>-0.03210530509090559</v>
      </c>
      <c r="M713" s="121" t="n">
        <v>-0.2272917904908793</v>
      </c>
      <c r="N713" t="n">
        <v>48.47745163185957</v>
      </c>
      <c r="O713" t="n">
        <v>-0.03962294151141466</v>
      </c>
      <c r="P713" t="n">
        <v>127.7654082965357</v>
      </c>
      <c r="Q713" t="n">
        <v>131.5289245207742</v>
      </c>
    </row>
    <row r="714">
      <c r="A714" s="118" t="n">
        <v>45470</v>
      </c>
      <c r="B714" s="119" t="n">
        <v>89.34988390992079</v>
      </c>
      <c r="C714" s="119" t="n">
        <v>90.27416139275159</v>
      </c>
      <c r="D714" s="119" t="n">
        <v>88.98779889664918</v>
      </c>
      <c r="E714" s="119" t="n">
        <v>89.75009155273438</v>
      </c>
      <c r="F714" s="120" t="n">
        <v>25772700</v>
      </c>
      <c r="G714" s="121" t="n">
        <v>0.001382253190171934</v>
      </c>
      <c r="H714" s="122" t="n">
        <v>58.40554677046588</v>
      </c>
      <c r="I714" s="119" t="n">
        <v>89.10796630859375</v>
      </c>
      <c r="J714" s="119" t="n">
        <v>94.94414810180665</v>
      </c>
      <c r="K714" s="121" t="n">
        <v>0.197474587468625</v>
      </c>
      <c r="L714" s="121" t="n">
        <v>-0.030767429561117</v>
      </c>
      <c r="M714" s="121" t="n">
        <v>-0.2262237121032132</v>
      </c>
      <c r="N714" t="n">
        <v>49.03244243784047</v>
      </c>
      <c r="O714" t="n">
        <v>-0.1189573310806769</v>
      </c>
      <c r="P714" t="n">
        <v>127.966825563486</v>
      </c>
      <c r="Q714" t="n">
        <v>131.8684491052976</v>
      </c>
    </row>
    <row r="715">
      <c r="A715" s="118" t="n">
        <v>45471</v>
      </c>
      <c r="B715" s="119" t="n">
        <v>73.49424693119107</v>
      </c>
      <c r="C715" s="119" t="n">
        <v>75.32374758304353</v>
      </c>
      <c r="D715" s="119" t="n">
        <v>71.03586837952517</v>
      </c>
      <c r="E715" s="119" t="n">
        <v>71.81721496582031</v>
      </c>
      <c r="F715" s="120" t="n">
        <v>129967000</v>
      </c>
      <c r="G715" s="121" t="n">
        <v>-0.1998090060596457</v>
      </c>
      <c r="H715" s="122" t="n">
        <v>46.73559252188894</v>
      </c>
      <c r="I715" s="119" t="n">
        <v>88.74395721435548</v>
      </c>
      <c r="J715" s="119" t="n">
        <v>94.84937198638916</v>
      </c>
      <c r="K715" s="121" t="n">
        <v>0.7355896206554402</v>
      </c>
      <c r="L715" s="121" t="n">
        <v>-0.2244288261011457</v>
      </c>
      <c r="M715" s="121" t="n">
        <v>-0.3808311831003925</v>
      </c>
      <c r="N715" t="n">
        <v>18.30120175215001</v>
      </c>
      <c r="O715" t="n">
        <v>-1.312251265833354</v>
      </c>
      <c r="P715" t="n">
        <v>127.4632677624814</v>
      </c>
      <c r="Q715" t="n">
        <v>131.1839284998088</v>
      </c>
    </row>
    <row r="716">
      <c r="A716" s="118" t="n">
        <v>45474</v>
      </c>
      <c r="B716" s="119" t="n">
        <v>71.94108107614281</v>
      </c>
      <c r="C716" s="119" t="n">
        <v>73.42754347139284</v>
      </c>
      <c r="D716" s="119" t="n">
        <v>70.78811892729371</v>
      </c>
      <c r="E716" s="119" t="n">
        <v>73.20838928222656</v>
      </c>
      <c r="F716" s="120" t="n">
        <v>44369000</v>
      </c>
      <c r="G716" s="121" t="n">
        <v>0.01937104240352872</v>
      </c>
      <c r="H716" s="122" t="n">
        <v>47.64090966638449</v>
      </c>
      <c r="I716" s="119" t="n">
        <v>88.39068695068359</v>
      </c>
      <c r="J716" s="119" t="n">
        <v>94.76235305786133</v>
      </c>
      <c r="K716" s="121" t="n">
        <v>0.7367052424386163</v>
      </c>
      <c r="L716" s="121" t="n">
        <v>-0.2094052040045965</v>
      </c>
      <c r="M716" s="121" t="n">
        <v>-0.3688372376932875</v>
      </c>
      <c r="N716" t="n">
        <v>22.36622955943849</v>
      </c>
      <c r="O716" t="n">
        <v>-1.904992352420403</v>
      </c>
      <c r="P716" t="n">
        <v>127.725575558913</v>
      </c>
      <c r="Q716" t="n">
        <v>131.9533239187473</v>
      </c>
    </row>
    <row r="717">
      <c r="A717" s="118" t="n">
        <v>45475</v>
      </c>
      <c r="B717" s="119" t="n">
        <v>73.19885863915793</v>
      </c>
      <c r="C717" s="119" t="n">
        <v>73.31320469641209</v>
      </c>
      <c r="D717" s="119" t="n">
        <v>71.83626568669314</v>
      </c>
      <c r="E717" s="119" t="n">
        <v>72.45562744140625</v>
      </c>
      <c r="F717" s="120" t="n">
        <v>26183400</v>
      </c>
      <c r="G717" s="121" t="n">
        <v>-0.01028245325707589</v>
      </c>
      <c r="H717" s="122" t="n">
        <v>47.15104423961532</v>
      </c>
      <c r="I717" s="119" t="n">
        <v>88.04533111572266</v>
      </c>
      <c r="J717" s="119" t="n">
        <v>94.66657455444336</v>
      </c>
      <c r="K717" s="121" t="n">
        <v>0.7363377171330878</v>
      </c>
      <c r="L717" s="121" t="n">
        <v>-0.2175344580397066</v>
      </c>
      <c r="M717" s="121" t="n">
        <v>-0.3753271392943132</v>
      </c>
      <c r="N717" t="n">
        <v>21.73601489677326</v>
      </c>
      <c r="O717" t="n">
        <v>-2.222725215219107</v>
      </c>
      <c r="P717" t="n">
        <v>128.5851549152528</v>
      </c>
      <c r="Q717" t="n">
        <v>133.3388047697752</v>
      </c>
    </row>
    <row r="718">
      <c r="A718" s="118" t="n">
        <v>45476</v>
      </c>
      <c r="B718" s="119" t="n">
        <v>71.9410826480246</v>
      </c>
      <c r="C718" s="119" t="n">
        <v>72.34128295244996</v>
      </c>
      <c r="D718" s="119" t="n">
        <v>71.48370567885257</v>
      </c>
      <c r="E718" s="119" t="n">
        <v>71.69333648681641</v>
      </c>
      <c r="F718" s="120" t="n">
        <v>15952000</v>
      </c>
      <c r="G718" s="121" t="n">
        <v>-0.01052079709345277</v>
      </c>
      <c r="H718" s="122" t="n">
        <v>46.65497767042591</v>
      </c>
      <c r="I718" s="119" t="n">
        <v>87.69118347167969</v>
      </c>
      <c r="J718" s="119" t="n">
        <v>94.5713676071167</v>
      </c>
      <c r="K718" s="121" t="n">
        <v>0.7346868005467047</v>
      </c>
      <c r="L718" s="121" t="n">
        <v>-0.2257666192392895</v>
      </c>
      <c r="M718" s="121" t="n">
        <v>-0.3818991957115844</v>
      </c>
      <c r="N718" t="n">
        <v>21.08800871076571</v>
      </c>
      <c r="O718" t="n">
        <v>-2.346974254847834</v>
      </c>
      <c r="P718" t="n">
        <v>129.1589834018063</v>
      </c>
      <c r="Q718" t="n">
        <v>134.4504604914581</v>
      </c>
    </row>
    <row r="719">
      <c r="A719" s="118" t="n">
        <v>45478</v>
      </c>
      <c r="B719" s="119" t="n">
        <v>71.80768196884202</v>
      </c>
      <c r="C719" s="119" t="n">
        <v>72.50326716811468</v>
      </c>
      <c r="D719" s="119" t="n">
        <v>71.25502025588551</v>
      </c>
      <c r="E719" s="119" t="n">
        <v>71.87438201904297</v>
      </c>
      <c r="F719" s="120" t="n">
        <v>19603700</v>
      </c>
      <c r="G719" s="121" t="n">
        <v>0.002525276979679303</v>
      </c>
      <c r="H719" s="122" t="n">
        <v>46.77279441152449</v>
      </c>
      <c r="I719" s="119" t="n">
        <v>87.34388412475586</v>
      </c>
      <c r="J719" s="119" t="n">
        <v>94.48060058593749</v>
      </c>
      <c r="K719" s="121" t="n">
        <v>0.7358375045619997</v>
      </c>
      <c r="L719" s="121" t="n">
        <v>-0.2238114655059552</v>
      </c>
      <c r="M719" s="121" t="n">
        <v>-0.3803383199793935</v>
      </c>
      <c r="N719" t="n">
        <v>21.68517453070251</v>
      </c>
      <c r="O719" t="n">
        <v>-2.277887282695563</v>
      </c>
      <c r="P719" t="n">
        <v>129.9037765737551</v>
      </c>
      <c r="Q719" t="n">
        <v>135.8523387646626</v>
      </c>
    </row>
    <row r="720">
      <c r="A720" s="118" t="n">
        <v>45481</v>
      </c>
      <c r="B720" s="119" t="n">
        <v>71.85533788672147</v>
      </c>
      <c r="C720" s="119" t="n">
        <v>71.93156133334833</v>
      </c>
      <c r="D720" s="119" t="n">
        <v>69.5589366264187</v>
      </c>
      <c r="E720" s="119" t="n">
        <v>69.60658264160156</v>
      </c>
      <c r="F720" s="120" t="n">
        <v>29905000</v>
      </c>
      <c r="G720" s="121" t="n">
        <v>-0.03155226262454069</v>
      </c>
      <c r="H720" s="122" t="n">
        <v>45.29700691856841</v>
      </c>
      <c r="I720" s="119" t="n">
        <v>86.93945907592773</v>
      </c>
      <c r="J720" s="119" t="n">
        <v>94.38268928527832</v>
      </c>
      <c r="K720" s="121" t="n">
        <v>0.7335318707636127</v>
      </c>
      <c r="L720" s="121" t="n">
        <v>-0.2483019699924687</v>
      </c>
      <c r="M720" s="121" t="n">
        <v>-0.3998900480457678</v>
      </c>
      <c r="N720" t="n">
        <v>19.67653475058859</v>
      </c>
      <c r="O720" t="n">
        <v>-2.242330492441252</v>
      </c>
      <c r="P720" t="n">
        <v>130.0536542000342</v>
      </c>
      <c r="Q720" t="n">
        <v>136.1754405962851</v>
      </c>
    </row>
    <row r="721">
      <c r="A721" s="118" t="n">
        <v>45482</v>
      </c>
      <c r="B721" s="119" t="n">
        <v>69.84480349020673</v>
      </c>
      <c r="C721" s="119" t="n">
        <v>70.64520426387433</v>
      </c>
      <c r="D721" s="119" t="n">
        <v>68.96816472459135</v>
      </c>
      <c r="E721" s="119" t="n">
        <v>69.04439544677734</v>
      </c>
      <c r="F721" s="120" t="n">
        <v>23445500</v>
      </c>
      <c r="G721" s="121" t="n">
        <v>-0.008076638350698384</v>
      </c>
      <c r="H721" s="122" t="n">
        <v>44.93115937531806</v>
      </c>
      <c r="I721" s="119" t="n">
        <v>86.53707824707031</v>
      </c>
      <c r="J721" s="119" t="n">
        <v>94.28470054626465</v>
      </c>
      <c r="K721" s="121" t="n">
        <v>0.7295896986446608</v>
      </c>
      <c r="L721" s="121" t="n">
        <v>-0.2543731631297719</v>
      </c>
      <c r="M721" s="121" t="n">
        <v>-0.4047369190983572</v>
      </c>
      <c r="N721" t="n">
        <v>19.20170285569958</v>
      </c>
      <c r="O721" t="n">
        <v>-2.115694806670294</v>
      </c>
      <c r="P721" t="n">
        <v>130.1801180202162</v>
      </c>
      <c r="Q721" t="n">
        <v>136.2931946898357</v>
      </c>
    </row>
    <row r="722">
      <c r="A722" s="118" t="n">
        <v>45483</v>
      </c>
      <c r="B722" s="119" t="n">
        <v>68.85381289070767</v>
      </c>
      <c r="C722" s="119" t="n">
        <v>69.21589784797763</v>
      </c>
      <c r="D722" s="119" t="n">
        <v>68.29162050809967</v>
      </c>
      <c r="E722" s="119" t="n">
        <v>69.12061309814453</v>
      </c>
      <c r="F722" s="120" t="n">
        <v>21378200</v>
      </c>
      <c r="G722" s="121" t="n">
        <v>0.001103893384452048</v>
      </c>
      <c r="H722" s="122" t="n">
        <v>44.98075858490823</v>
      </c>
      <c r="I722" s="119" t="n">
        <v>86.13280517578124</v>
      </c>
      <c r="J722" s="119" t="n">
        <v>94.198639793396</v>
      </c>
      <c r="K722" s="121" t="n">
        <v>0.7309036960791083</v>
      </c>
      <c r="L722" s="121" t="n">
        <v>-0.253550070597281</v>
      </c>
      <c r="M722" s="121" t="n">
        <v>-0.4040798121213413</v>
      </c>
      <c r="N722" t="n">
        <v>19.48538062717545</v>
      </c>
      <c r="O722" t="n">
        <v>-1.893047483305318</v>
      </c>
      <c r="P722" t="n">
        <v>131.4683017307922</v>
      </c>
      <c r="Q722" t="n">
        <v>137.7142398777369</v>
      </c>
    </row>
    <row r="723">
      <c r="A723" s="118" t="n">
        <v>45484</v>
      </c>
      <c r="B723" s="119" t="n">
        <v>69.27307243982614</v>
      </c>
      <c r="C723" s="119" t="n">
        <v>70.27358056251893</v>
      </c>
      <c r="D723" s="119" t="n">
        <v>68.88240275527971</v>
      </c>
      <c r="E723" s="119" t="n">
        <v>69.93054962158203</v>
      </c>
      <c r="F723" s="120" t="n">
        <v>15876700</v>
      </c>
      <c r="G723" s="121" t="n">
        <v>0.01171772771007507</v>
      </c>
      <c r="H723" s="122" t="n">
        <v>45.50783086619881</v>
      </c>
      <c r="I723" s="119" t="n">
        <v>85.74586959838867</v>
      </c>
      <c r="J723" s="119" t="n">
        <v>94.12011631011963</v>
      </c>
      <c r="K723" s="121" t="n">
        <v>0.7350712462326439</v>
      </c>
      <c r="L723" s="121" t="n">
        <v>-0.2448033735753351</v>
      </c>
      <c r="M723" s="121" t="n">
        <v>-0.3970969816228425</v>
      </c>
      <c r="N723" t="n">
        <v>22.59544736522557</v>
      </c>
      <c r="O723" t="n">
        <v>-1.570754603695918</v>
      </c>
      <c r="P723" t="n">
        <v>130.3347076749723</v>
      </c>
      <c r="Q723" t="n">
        <v>134.6941420589233</v>
      </c>
    </row>
    <row r="724">
      <c r="A724" s="118" t="n">
        <v>45485</v>
      </c>
      <c r="B724" s="119" t="n">
        <v>70.10206773863727</v>
      </c>
      <c r="C724" s="119" t="n">
        <v>70.55944476707431</v>
      </c>
      <c r="D724" s="119" t="n">
        <v>69.72092142656662</v>
      </c>
      <c r="E724" s="119" t="n">
        <v>69.95913696289062</v>
      </c>
      <c r="F724" s="120" t="n">
        <v>14527500</v>
      </c>
      <c r="G724" s="121" t="n">
        <v>0.0004087961765393278</v>
      </c>
      <c r="H724" s="122" t="n">
        <v>45.5264342934595</v>
      </c>
      <c r="I724" s="119" t="n">
        <v>85.3936750793457</v>
      </c>
      <c r="J724" s="119" t="n">
        <v>94.04291400909423</v>
      </c>
      <c r="K724" s="121" t="n">
        <v>0.7352022756609191</v>
      </c>
      <c r="L724" s="121" t="n">
        <v>-0.2444946520819175</v>
      </c>
      <c r="M724" s="121" t="n">
        <v>-0.3968505171741058</v>
      </c>
      <c r="N724" t="n">
        <v>22.70893061059111</v>
      </c>
      <c r="O724" t="n">
        <v>-1.249184757157093</v>
      </c>
      <c r="P724" t="n">
        <v>131.1568103079279</v>
      </c>
      <c r="Q724" t="n">
        <v>135.4854401107796</v>
      </c>
    </row>
    <row r="725">
      <c r="A725" s="118" t="n">
        <v>45488</v>
      </c>
      <c r="B725" s="119" t="n">
        <v>69.5589245837909</v>
      </c>
      <c r="C725" s="119" t="n">
        <v>69.56845523912969</v>
      </c>
      <c r="D725" s="119" t="n">
        <v>67.88188546240232</v>
      </c>
      <c r="E725" s="119" t="n">
        <v>67.94858551025391</v>
      </c>
      <c r="F725" s="120" t="n">
        <v>20775800</v>
      </c>
      <c r="G725" s="121" t="n">
        <v>-0.02873894018594314</v>
      </c>
      <c r="H725" s="122" t="n">
        <v>44.2180528214205</v>
      </c>
      <c r="I725" s="119" t="n">
        <v>85.03771728515625</v>
      </c>
      <c r="J725" s="119" t="n">
        <v>93.957685546875</v>
      </c>
      <c r="K725" s="121" t="n">
        <v>0.7351411053805456</v>
      </c>
      <c r="L725" s="121" t="n">
        <v>-0.2662070750858954</v>
      </c>
      <c r="M725" s="121" t="n">
        <v>-0.4141843940842218</v>
      </c>
      <c r="N725" t="n">
        <v>20.43928970617341</v>
      </c>
      <c r="O725" t="n">
        <v>-1.072211245747881</v>
      </c>
      <c r="P725" t="n">
        <v>131.517485357225</v>
      </c>
      <c r="Q725" t="n">
        <v>135.8496199335912</v>
      </c>
    </row>
    <row r="726">
      <c r="A726" s="118" t="n">
        <v>45489</v>
      </c>
      <c r="B726" s="119" t="n">
        <v>68.13917509443324</v>
      </c>
      <c r="C726" s="119" t="n">
        <v>69.52082231847395</v>
      </c>
      <c r="D726" s="119" t="n">
        <v>68.13917509443324</v>
      </c>
      <c r="E726" s="119" t="n">
        <v>69.37789154052734</v>
      </c>
      <c r="F726" s="120" t="n">
        <v>20980700</v>
      </c>
      <c r="G726" s="121" t="n">
        <v>0.02103511087891219</v>
      </c>
      <c r="H726" s="122" t="n">
        <v>45.14818446536868</v>
      </c>
      <c r="I726" s="119" t="n">
        <v>84.67105072021485</v>
      </c>
      <c r="J726" s="119" t="n">
        <v>93.88313835144044</v>
      </c>
      <c r="K726" s="121" t="n">
        <v>0.7447608231891231</v>
      </c>
      <c r="L726" s="121" t="n">
        <v>-0.2507716595481658</v>
      </c>
      <c r="M726" s="121" t="n">
        <v>-0.4018616978591862</v>
      </c>
      <c r="N726" t="n">
        <v>26.09429660390336</v>
      </c>
      <c r="O726" t="n">
        <v>-0.7731777050641773</v>
      </c>
      <c r="P726" t="n">
        <v>132.2973992383194</v>
      </c>
      <c r="Q726" t="n">
        <v>135.9016492412391</v>
      </c>
    </row>
    <row r="727">
      <c r="A727" s="118" t="n">
        <v>45490</v>
      </c>
      <c r="B727" s="119" t="n">
        <v>69.11108683423548</v>
      </c>
      <c r="C727" s="119" t="n">
        <v>69.88290280762097</v>
      </c>
      <c r="D727" s="119" t="n">
        <v>69.08250213444504</v>
      </c>
      <c r="E727" s="119" t="n">
        <v>69.62563323974609</v>
      </c>
      <c r="F727" s="120" t="n">
        <v>11161600</v>
      </c>
      <c r="G727" s="121" t="n">
        <v>0.00357090268553395</v>
      </c>
      <c r="H727" s="122" t="n">
        <v>45.30940423852305</v>
      </c>
      <c r="I727" s="119" t="n">
        <v>84.31427444458008</v>
      </c>
      <c r="J727" s="119" t="n">
        <v>93.80884017944337</v>
      </c>
      <c r="K727" s="121" t="n">
        <v>0.7394038445260258</v>
      </c>
      <c r="L727" s="121" t="n">
        <v>-0.2480962380551681</v>
      </c>
      <c r="M727" s="121" t="n">
        <v>-0.3997258041897509</v>
      </c>
      <c r="N727" t="n">
        <v>27.06201020806166</v>
      </c>
      <c r="O727" t="n">
        <v>-0.4869575819296799</v>
      </c>
      <c r="P727" t="n">
        <v>130.4424697175342</v>
      </c>
      <c r="Q727" t="n">
        <v>131.9122628147078</v>
      </c>
    </row>
    <row r="728">
      <c r="A728" s="118" t="n">
        <v>45491</v>
      </c>
      <c r="B728" s="119" t="n">
        <v>69.5303550077054</v>
      </c>
      <c r="C728" s="119" t="n">
        <v>70.44510183563224</v>
      </c>
      <c r="D728" s="119" t="n">
        <v>68.93957783414862</v>
      </c>
      <c r="E728" s="119" t="n">
        <v>68.96816253662109</v>
      </c>
      <c r="F728" s="120" t="n">
        <v>14440100</v>
      </c>
      <c r="G728" s="121" t="n">
        <v>-0.009442940373139419</v>
      </c>
      <c r="H728" s="122" t="n">
        <v>44.8815502359562</v>
      </c>
      <c r="I728" s="119" t="n">
        <v>83.92137924194336</v>
      </c>
      <c r="J728" s="119" t="n">
        <v>93.70302375793457</v>
      </c>
      <c r="K728" s="121" t="n">
        <v>0.7386154742963725</v>
      </c>
      <c r="L728" s="121" t="n">
        <v>-0.2551964204455525</v>
      </c>
      <c r="M728" s="121" t="n">
        <v>-0.4053941576283213</v>
      </c>
      <c r="N728" t="n">
        <v>26.08581801828157</v>
      </c>
      <c r="O728" t="n">
        <v>-0.2804314584346397</v>
      </c>
      <c r="P728" t="n">
        <v>129.4400222431156</v>
      </c>
      <c r="Q728" t="n">
        <v>131.2879871151048</v>
      </c>
    </row>
    <row r="729">
      <c r="A729" s="118" t="n">
        <v>45492</v>
      </c>
      <c r="B729" s="119" t="n">
        <v>68.89192468005608</v>
      </c>
      <c r="C729" s="119" t="n">
        <v>69.38740971540756</v>
      </c>
      <c r="D729" s="119" t="n">
        <v>68.46313242335263</v>
      </c>
      <c r="E729" s="119" t="n">
        <v>69.27306365966797</v>
      </c>
      <c r="F729" s="120" t="n">
        <v>11913300</v>
      </c>
      <c r="G729" s="121" t="n">
        <v>0.004420896712812539</v>
      </c>
      <c r="H729" s="122" t="n">
        <v>45.07996693386028</v>
      </c>
      <c r="I729" s="119" t="n">
        <v>83.52660934448242</v>
      </c>
      <c r="J729" s="119" t="n">
        <v>93.60372764587402</v>
      </c>
      <c r="K729" s="121" t="n">
        <v>0.7373002096694218</v>
      </c>
      <c r="L729" s="121" t="n">
        <v>-0.2519037207490091</v>
      </c>
      <c r="M729" s="121" t="n">
        <v>-0.4027654666143612</v>
      </c>
      <c r="N729" t="n">
        <v>27.39384296726037</v>
      </c>
      <c r="O729" t="n">
        <v>-0.07262694895669419</v>
      </c>
      <c r="P729" t="n">
        <v>128.5804721540333</v>
      </c>
      <c r="Q729" t="n">
        <v>130.1242936421992</v>
      </c>
    </row>
    <row r="730">
      <c r="A730" s="118" t="n">
        <v>45495</v>
      </c>
      <c r="B730" s="119" t="n">
        <v>69.67327513406995</v>
      </c>
      <c r="C730" s="119" t="n">
        <v>71.7886227608908</v>
      </c>
      <c r="D730" s="119" t="n">
        <v>69.62562912406173</v>
      </c>
      <c r="E730" s="119" t="n">
        <v>71.33125305175781</v>
      </c>
      <c r="F730" s="120" t="n">
        <v>19385500</v>
      </c>
      <c r="G730" s="121" t="n">
        <v>0.02971125114664397</v>
      </c>
      <c r="H730" s="122" t="n">
        <v>46.4193491531146</v>
      </c>
      <c r="I730" s="119" t="n">
        <v>83.17660995483398</v>
      </c>
      <c r="J730" s="119" t="n">
        <v>93.51222454071045</v>
      </c>
      <c r="K730" s="121" t="n">
        <v>0.7454416557933261</v>
      </c>
      <c r="L730" s="121" t="n">
        <v>-0.2296768443143131</v>
      </c>
      <c r="M730" s="121" t="n">
        <v>-0.3850208813994919</v>
      </c>
      <c r="N730" t="n">
        <v>35.66973114890521</v>
      </c>
      <c r="O730" t="n">
        <v>0.2371416651582328</v>
      </c>
      <c r="P730" t="n">
        <v>129.9061325879936</v>
      </c>
      <c r="Q730" t="n">
        <v>132.0628455269106</v>
      </c>
    </row>
    <row r="731">
      <c r="A731" s="118" t="n">
        <v>45496</v>
      </c>
      <c r="B731" s="119" t="n">
        <v>71.11208727565391</v>
      </c>
      <c r="C731" s="119" t="n">
        <v>71.50276417872621</v>
      </c>
      <c r="D731" s="119" t="n">
        <v>69.78760969897466</v>
      </c>
      <c r="E731" s="119" t="n">
        <v>69.94007110595703</v>
      </c>
      <c r="F731" s="120" t="n">
        <v>11041800</v>
      </c>
      <c r="G731" s="121" t="n">
        <v>-0.01950311940814142</v>
      </c>
      <c r="H731" s="122" t="n">
        <v>45.5140270437332</v>
      </c>
      <c r="I731" s="119" t="n">
        <v>82.80258377075195</v>
      </c>
      <c r="J731" s="119" t="n">
        <v>93.40999511718751</v>
      </c>
      <c r="K731" s="121" t="n">
        <v>0.7445936512544142</v>
      </c>
      <c r="L731" s="121" t="n">
        <v>-0.2447005488025074</v>
      </c>
      <c r="M731" s="121" t="n">
        <v>-0.3970148925830711</v>
      </c>
      <c r="N731" t="n">
        <v>32.93693273369536</v>
      </c>
      <c r="O731" t="n">
        <v>0.3739095078188592</v>
      </c>
      <c r="P731" t="n">
        <v>129.702344673176</v>
      </c>
      <c r="Q731" t="n">
        <v>131.5973934684727</v>
      </c>
    </row>
    <row r="732">
      <c r="A732" s="118" t="n">
        <v>45497</v>
      </c>
      <c r="B732" s="119" t="n">
        <v>69.79715366367644</v>
      </c>
      <c r="C732" s="119" t="n">
        <v>69.93055378534351</v>
      </c>
      <c r="D732" s="119" t="n">
        <v>67.72944450807545</v>
      </c>
      <c r="E732" s="119" t="n">
        <v>67.73896789550781</v>
      </c>
      <c r="F732" s="120" t="n">
        <v>18563300</v>
      </c>
      <c r="G732" s="121" t="n">
        <v>-0.03147127498790525</v>
      </c>
      <c r="H732" s="122" t="n">
        <v>44.08164258283292</v>
      </c>
      <c r="I732" s="119" t="n">
        <v>82.43104370117187</v>
      </c>
      <c r="J732" s="119" t="n">
        <v>93.29723144531251</v>
      </c>
      <c r="K732" s="121" t="n">
        <v>0.7463788416375037</v>
      </c>
      <c r="L732" s="121" t="n">
        <v>-0.2684707855293574</v>
      </c>
      <c r="M732" s="121" t="n">
        <v>-0.4159916027122008</v>
      </c>
      <c r="N732" t="n">
        <v>29.13376459857325</v>
      </c>
      <c r="O732" t="n">
        <v>0.3425347238148744</v>
      </c>
      <c r="P732" t="n">
        <v>126.7629608221171</v>
      </c>
      <c r="Q732" t="n">
        <v>126.8769454523961</v>
      </c>
    </row>
    <row r="733">
      <c r="A733" s="118" t="n">
        <v>45498</v>
      </c>
      <c r="B733" s="119" t="n">
        <v>68.15821543150253</v>
      </c>
      <c r="C733" s="119" t="n">
        <v>69.01579265695175</v>
      </c>
      <c r="D733" s="119" t="n">
        <v>67.56744566378408</v>
      </c>
      <c r="E733" s="119" t="n">
        <v>68.04387664794922</v>
      </c>
      <c r="F733" s="120" t="n">
        <v>13855400</v>
      </c>
      <c r="G733" s="121" t="n">
        <v>0.004501231151200047</v>
      </c>
      <c r="H733" s="122" t="n">
        <v>44.28006424562284</v>
      </c>
      <c r="I733" s="119" t="n">
        <v>82.03181213378906</v>
      </c>
      <c r="J733" s="119" t="n">
        <v>93.17977119445801</v>
      </c>
      <c r="K733" s="121" t="n">
        <v>0.7487593201277942</v>
      </c>
      <c r="L733" s="121" t="n">
        <v>-0.2651780034411693</v>
      </c>
      <c r="M733" s="121" t="n">
        <v>-0.4133628459217665</v>
      </c>
      <c r="N733" t="n">
        <v>30.33381250667372</v>
      </c>
      <c r="O733" t="n">
        <v>0.366563239950934</v>
      </c>
      <c r="P733" t="n">
        <v>126.1025012530043</v>
      </c>
      <c r="Q733" t="n">
        <v>125.4777944538378</v>
      </c>
    </row>
    <row r="734">
      <c r="A734" s="118" t="n">
        <v>45499</v>
      </c>
      <c r="B734" s="119" t="n">
        <v>68.60607087850757</v>
      </c>
      <c r="C734" s="119" t="n">
        <v>69.34930214986299</v>
      </c>
      <c r="D734" s="119" t="n">
        <v>68.48220142320194</v>
      </c>
      <c r="E734" s="119" t="n">
        <v>69.13967132568359</v>
      </c>
      <c r="F734" s="120" t="n">
        <v>8892000</v>
      </c>
      <c r="G734" s="121" t="n">
        <v>0.01610423643855396</v>
      </c>
      <c r="H734" s="122" t="n">
        <v>44.99316086974871</v>
      </c>
      <c r="I734" s="119" t="n">
        <v>81.6531672668457</v>
      </c>
      <c r="J734" s="119" t="n">
        <v>93.06887393951416</v>
      </c>
      <c r="K734" s="121" t="n">
        <v>0.754178922791757</v>
      </c>
      <c r="L734" s="121" t="n">
        <v>-0.2533442562683356</v>
      </c>
      <c r="M734" s="121" t="n">
        <v>-0.4039155024888502</v>
      </c>
      <c r="N734" t="n">
        <v>34.61886046082859</v>
      </c>
      <c r="O734" t="n">
        <v>0.4736948770799012</v>
      </c>
      <c r="P734" t="n">
        <v>127.5147927695238</v>
      </c>
      <c r="Q734" t="n">
        <v>126.7646712388623</v>
      </c>
    </row>
    <row r="735">
      <c r="A735" s="118" t="n">
        <v>45502</v>
      </c>
      <c r="B735" s="119" t="n">
        <v>69.08249973600532</v>
      </c>
      <c r="C735" s="119" t="n">
        <v>70.38792338261332</v>
      </c>
      <c r="D735" s="119" t="n">
        <v>68.79663820850381</v>
      </c>
      <c r="E735" s="119" t="n">
        <v>70.0830078125</v>
      </c>
      <c r="F735" s="120" t="n">
        <v>10471800</v>
      </c>
      <c r="G735" s="121" t="n">
        <v>0.01364392495261946</v>
      </c>
      <c r="H735" s="122" t="n">
        <v>45.6070441800367</v>
      </c>
      <c r="I735" s="119" t="n">
        <v>81.31465057373048</v>
      </c>
      <c r="J735" s="119" t="n">
        <v>92.95920578002929</v>
      </c>
      <c r="K735" s="121" t="n">
        <v>0.2793487159330172</v>
      </c>
      <c r="L735" s="121" t="n">
        <v>-0.2431569413354184</v>
      </c>
      <c r="M735" s="121" t="n">
        <v>-0.3957825703393882</v>
      </c>
      <c r="N735" t="n">
        <v>38.14600706952334</v>
      </c>
      <c r="O735" t="n">
        <v>0.6164887510095305</v>
      </c>
      <c r="P735" t="n">
        <v>127.5897462162921</v>
      </c>
      <c r="Q735" t="n">
        <v>127.0193041227864</v>
      </c>
    </row>
    <row r="736">
      <c r="A736" s="118" t="n">
        <v>45503</v>
      </c>
      <c r="B736" s="119" t="n">
        <v>70.21641091612662</v>
      </c>
      <c r="C736" s="119" t="n">
        <v>70.97869623905554</v>
      </c>
      <c r="D736" s="119" t="n">
        <v>69.99724943305598</v>
      </c>
      <c r="E736" s="119" t="n">
        <v>70.81671142578125</v>
      </c>
      <c r="F736" s="120" t="n">
        <v>8515700</v>
      </c>
      <c r="G736" s="121" t="n">
        <v>0.0104690657005504</v>
      </c>
      <c r="H736" s="122" t="n">
        <v>46.0845073219654</v>
      </c>
      <c r="I736" s="119" t="n">
        <v>80.98890975952149</v>
      </c>
      <c r="J736" s="119" t="n">
        <v>92.84835166931153</v>
      </c>
      <c r="K736" s="121" t="n">
        <v>0.2724085901605761</v>
      </c>
      <c r="L736" s="121" t="n">
        <v>-0.2352335016292534</v>
      </c>
      <c r="M736" s="121" t="n">
        <v>-0.3894569783708536</v>
      </c>
      <c r="N736" t="n">
        <v>40.82014398277069</v>
      </c>
      <c r="O736" t="n">
        <v>0.7593661504316094</v>
      </c>
      <c r="P736" t="n">
        <v>126.94330566358</v>
      </c>
      <c r="Q736" t="n">
        <v>125.2751655468375</v>
      </c>
    </row>
    <row r="737">
      <c r="A737" s="118" t="n">
        <v>45504</v>
      </c>
      <c r="B737" s="119" t="n">
        <v>70.98822213502785</v>
      </c>
      <c r="C737" s="119" t="n">
        <v>71.87438412495352</v>
      </c>
      <c r="D737" s="119" t="n">
        <v>70.43556040587842</v>
      </c>
      <c r="E737" s="119" t="n">
        <v>71.33125305175781</v>
      </c>
      <c r="F737" s="120" t="n">
        <v>14632900</v>
      </c>
      <c r="G737" s="121" t="n">
        <v>0.007265822086582219</v>
      </c>
      <c r="H737" s="122" t="n">
        <v>46.4193491531146</v>
      </c>
      <c r="I737" s="119" t="n">
        <v>80.66567657470704</v>
      </c>
      <c r="J737" s="119" t="n">
        <v>92.7372424697876</v>
      </c>
      <c r="K737" s="121" t="n">
        <v>0.2720424762114779</v>
      </c>
      <c r="L737" s="121" t="n">
        <v>-0.2296768443143132</v>
      </c>
      <c r="M737" s="121" t="n">
        <v>-0.3850208813994919</v>
      </c>
      <c r="N737" t="n">
        <v>42.69134587503705</v>
      </c>
      <c r="O737" t="n">
        <v>0.8790888775545502</v>
      </c>
      <c r="P737" t="n">
        <v>129.0067204940311</v>
      </c>
      <c r="Q737" t="n">
        <v>128.9825365765103</v>
      </c>
    </row>
    <row r="738">
      <c r="A738" s="118" t="n">
        <v>45505</v>
      </c>
      <c r="B738" s="119" t="n">
        <v>71.17879731321889</v>
      </c>
      <c r="C738" s="119" t="n">
        <v>71.26455868412249</v>
      </c>
      <c r="D738" s="119" t="n">
        <v>69.80668080661064</v>
      </c>
      <c r="E738" s="119" t="n">
        <v>70.36886596679688</v>
      </c>
      <c r="F738" s="120" t="n">
        <v>9563500</v>
      </c>
      <c r="G738" s="121" t="n">
        <v>-0.01349180119214544</v>
      </c>
      <c r="H738" s="122" t="n">
        <v>45.79306852287199</v>
      </c>
      <c r="I738" s="119" t="n">
        <v>80.33097885131836</v>
      </c>
      <c r="J738" s="119" t="n">
        <v>92.61821075439452</v>
      </c>
      <c r="K738" s="121" t="n">
        <v>0.2736730188531674</v>
      </c>
      <c r="L738" s="121" t="n">
        <v>-0.2400698911845306</v>
      </c>
      <c r="M738" s="121" t="n">
        <v>-0.3933180574049707</v>
      </c>
      <c r="N738" t="n">
        <v>40.13519725755344</v>
      </c>
      <c r="O738" t="n">
        <v>0.8817648801421223</v>
      </c>
      <c r="P738" t="n">
        <v>127.1798582733048</v>
      </c>
      <c r="Q738" t="n">
        <v>125.8583716988261</v>
      </c>
    </row>
    <row r="739">
      <c r="A739" s="118" t="n">
        <v>45506</v>
      </c>
      <c r="B739" s="119" t="n">
        <v>69.3969541269518</v>
      </c>
      <c r="C739" s="119" t="n">
        <v>70.6356705957536</v>
      </c>
      <c r="D739" s="119" t="n">
        <v>68.52984605600521</v>
      </c>
      <c r="E739" s="119" t="n">
        <v>70.52133178710938</v>
      </c>
      <c r="F739" s="120" t="n">
        <v>11526600</v>
      </c>
      <c r="G739" s="121" t="n">
        <v>0.002166665871586426</v>
      </c>
      <c r="H739" s="122" t="n">
        <v>45.89228680159571</v>
      </c>
      <c r="I739" s="119" t="n">
        <v>79.9793977355957</v>
      </c>
      <c r="J739" s="119" t="n">
        <v>92.48990268707276</v>
      </c>
      <c r="K739" s="121" t="n">
        <v>0.2736183567954839</v>
      </c>
      <c r="L739" s="121" t="n">
        <v>-0.2384233765529692</v>
      </c>
      <c r="M739" s="121" t="n">
        <v>-0.3920035803450423</v>
      </c>
      <c r="N739" t="n">
        <v>40.74055379188174</v>
      </c>
      <c r="O739" t="n">
        <v>0.8800755702756144</v>
      </c>
      <c r="P739" t="n">
        <v>124.8119907954473</v>
      </c>
      <c r="Q739" t="n">
        <v>122.8711278293891</v>
      </c>
    </row>
    <row r="740">
      <c r="A740" s="118" t="n">
        <v>45509</v>
      </c>
      <c r="B740" s="119" t="n">
        <v>67.71037484266485</v>
      </c>
      <c r="C740" s="119" t="n">
        <v>69.19684458181858</v>
      </c>
      <c r="D740" s="119" t="n">
        <v>67.41498993394195</v>
      </c>
      <c r="E740" s="119" t="n">
        <v>68.05340576171875</v>
      </c>
      <c r="F740" s="120" t="n">
        <v>13191500</v>
      </c>
      <c r="G740" s="121" t="n">
        <v>-0.03499545403993265</v>
      </c>
      <c r="H740" s="122" t="n">
        <v>44.28626538804306</v>
      </c>
      <c r="I740" s="119" t="n">
        <v>79.58453308105469</v>
      </c>
      <c r="J740" s="119" t="n">
        <v>92.34468334197999</v>
      </c>
      <c r="K740" s="121" t="n">
        <v>0.2789703027266479</v>
      </c>
      <c r="L740" s="121" t="n">
        <v>-0.2650750962766968</v>
      </c>
      <c r="M740" s="121" t="n">
        <v>-0.413280691105521</v>
      </c>
      <c r="N740" t="n">
        <v>34.63530911926765</v>
      </c>
      <c r="O740" t="n">
        <v>0.7065055674224192</v>
      </c>
      <c r="P740" t="n">
        <v>121.1770047156867</v>
      </c>
      <c r="Q740" t="n">
        <v>119.2075958398507</v>
      </c>
    </row>
    <row r="741">
      <c r="A741" s="118" t="n">
        <v>45510</v>
      </c>
      <c r="B741" s="119" t="n">
        <v>68.28209603351445</v>
      </c>
      <c r="C741" s="119" t="n">
        <v>69.78761250430414</v>
      </c>
      <c r="D741" s="119" t="n">
        <v>68.13916527616294</v>
      </c>
      <c r="E741" s="119" t="n">
        <v>69.08249664306641</v>
      </c>
      <c r="F741" s="120" t="n">
        <v>13469700</v>
      </c>
      <c r="G741" s="121" t="n">
        <v>0.01512181307943505</v>
      </c>
      <c r="H741" s="122" t="n">
        <v>44.9559540152273</v>
      </c>
      <c r="I741" s="119" t="n">
        <v>79.23113143920898</v>
      </c>
      <c r="J741" s="119" t="n">
        <v>92.20102756500245</v>
      </c>
      <c r="K741" s="121" t="n">
        <v>0.2832636825535454</v>
      </c>
      <c r="L741" s="121" t="n">
        <v>-0.2539616992551713</v>
      </c>
      <c r="M741" s="121" t="n">
        <v>-0.4044084313863234</v>
      </c>
      <c r="N741" t="n">
        <v>38.75667509365849</v>
      </c>
      <c r="O741" t="n">
        <v>0.6558640826673079</v>
      </c>
      <c r="P741" t="n">
        <v>122.2942017904243</v>
      </c>
      <c r="Q741" t="n">
        <v>120.3466256308933</v>
      </c>
    </row>
    <row r="742">
      <c r="A742" s="118" t="n">
        <v>45511</v>
      </c>
      <c r="B742" s="119" t="n">
        <v>69.44459256850908</v>
      </c>
      <c r="C742" s="119" t="n">
        <v>70.71190100365907</v>
      </c>
      <c r="D742" s="119" t="n">
        <v>69.11109226182789</v>
      </c>
      <c r="E742" s="119" t="n">
        <v>69.19685363769531</v>
      </c>
      <c r="F742" s="120" t="n">
        <v>9571200</v>
      </c>
      <c r="G742" s="121" t="n">
        <v>0.001655368583734829</v>
      </c>
      <c r="H742" s="122" t="n">
        <v>45.03037268915593</v>
      </c>
      <c r="I742" s="119" t="n">
        <v>78.87337326049804</v>
      </c>
      <c r="J742" s="119" t="n">
        <v>92.06133693695068</v>
      </c>
      <c r="K742" s="121" t="n">
        <v>0.2832943040418847</v>
      </c>
      <c r="L742" s="121" t="n">
        <v>-0.2527267308898554</v>
      </c>
      <c r="M742" s="121" t="n">
        <v>-0.4034225078149029</v>
      </c>
      <c r="N742" t="n">
        <v>39.21532966032211</v>
      </c>
      <c r="O742" t="n">
        <v>0.6250554952695788</v>
      </c>
      <c r="P742" t="n">
        <v>121.476781918688</v>
      </c>
      <c r="Q742" t="n">
        <v>119.0432923186689</v>
      </c>
    </row>
    <row r="743">
      <c r="A743" s="118" t="n">
        <v>45512</v>
      </c>
      <c r="B743" s="119" t="n">
        <v>69.77809384482495</v>
      </c>
      <c r="C743" s="119" t="n">
        <v>70.71189461922125</v>
      </c>
      <c r="D743" s="119" t="n">
        <v>69.60657837833736</v>
      </c>
      <c r="E743" s="119" t="n">
        <v>70.69284057617188</v>
      </c>
      <c r="F743" s="120" t="n">
        <v>8828000</v>
      </c>
      <c r="G743" s="121" t="n">
        <v>0.02161929133814855</v>
      </c>
      <c r="H743" s="122" t="n">
        <v>46.0038974353882</v>
      </c>
      <c r="I743" s="119" t="n">
        <v>78.54078857421875</v>
      </c>
      <c r="J743" s="119" t="n">
        <v>91.93091724395752</v>
      </c>
      <c r="K743" s="121" t="n">
        <v>0.2907132136893421</v>
      </c>
      <c r="L743" s="121" t="n">
        <v>-0.2365712123757525</v>
      </c>
      <c r="M743" s="121" t="n">
        <v>-0.3905249252055712</v>
      </c>
      <c r="N743" t="n">
        <v>45.01642118341164</v>
      </c>
      <c r="O743" t="n">
        <v>0.6950405881359991</v>
      </c>
      <c r="P743" t="n">
        <v>124.2850045547167</v>
      </c>
      <c r="Q743" t="n">
        <v>122.6849554495886</v>
      </c>
    </row>
    <row r="744">
      <c r="A744" s="118" t="n">
        <v>45513</v>
      </c>
      <c r="B744" s="119" t="n">
        <v>70.62613847740455</v>
      </c>
      <c r="C744" s="119" t="n">
        <v>71.06445415246627</v>
      </c>
      <c r="D744" s="119" t="n">
        <v>69.91149193267684</v>
      </c>
      <c r="E744" s="119" t="n">
        <v>70.83576202392578</v>
      </c>
      <c r="F744" s="120" t="n">
        <v>7186600</v>
      </c>
      <c r="G744" s="121" t="n">
        <v>0.002021724499808641</v>
      </c>
      <c r="H744" s="122" t="n">
        <v>46.09690464192001</v>
      </c>
      <c r="I744" s="119" t="n">
        <v>78.21732696533203</v>
      </c>
      <c r="J744" s="119" t="n">
        <v>91.80055236816406</v>
      </c>
      <c r="K744" s="121" t="n">
        <v>0.2907479734182626</v>
      </c>
      <c r="L744" s="121" t="n">
        <v>-0.2350277696919534</v>
      </c>
      <c r="M744" s="121" t="n">
        <v>-0.3892927345148367</v>
      </c>
      <c r="N744" t="n">
        <v>45.55105863799681</v>
      </c>
      <c r="O744" t="n">
        <v>0.7365988561781167</v>
      </c>
      <c r="P744" t="n">
        <v>124.8330632209346</v>
      </c>
      <c r="Q744" t="n">
        <v>123.3256539020924</v>
      </c>
    </row>
    <row r="745">
      <c r="A745" s="118" t="n">
        <v>45516</v>
      </c>
      <c r="B745" s="119" t="n">
        <v>71.18832022844492</v>
      </c>
      <c r="C745" s="119" t="n">
        <v>71.46465108501152</v>
      </c>
      <c r="D745" s="119" t="n">
        <v>70.55943507917215</v>
      </c>
      <c r="E745" s="119" t="n">
        <v>71.12162017822266</v>
      </c>
      <c r="F745" s="120" t="n">
        <v>7067300</v>
      </c>
      <c r="G745" s="121" t="n">
        <v>0.004035506164249636</v>
      </c>
      <c r="H745" s="122" t="n">
        <v>46.28292898475531</v>
      </c>
      <c r="I745" s="119" t="n">
        <v>77.86579254150391</v>
      </c>
      <c r="J745" s="119" t="n">
        <v>91.66044692993164</v>
      </c>
      <c r="K745" s="121" t="n">
        <v>0.2690775897877524</v>
      </c>
      <c r="L745" s="121" t="n">
        <v>-0.2319407195410654</v>
      </c>
      <c r="M745" s="121" t="n">
        <v>-0.3868282215804192</v>
      </c>
      <c r="N745" t="n">
        <v>46.66805475316621</v>
      </c>
      <c r="O745" t="n">
        <v>0.7656042169504511</v>
      </c>
      <c r="P745" t="n">
        <v>124.898665778893</v>
      </c>
      <c r="Q745" t="n">
        <v>123.5912465460501</v>
      </c>
    </row>
    <row r="746">
      <c r="A746" s="118" t="n">
        <v>45517</v>
      </c>
      <c r="B746" s="119" t="n">
        <v>71.70288047061605</v>
      </c>
      <c r="C746" s="119" t="n">
        <v>75.32375973451195</v>
      </c>
      <c r="D746" s="119" t="n">
        <v>71.53136498401547</v>
      </c>
      <c r="E746" s="119" t="n">
        <v>74.7996826171875</v>
      </c>
      <c r="F746" s="120" t="n">
        <v>22114800</v>
      </c>
      <c r="G746" s="121" t="n">
        <v>0.0517151103946738</v>
      </c>
      <c r="H746" s="122" t="n">
        <v>48.67645576659078</v>
      </c>
      <c r="I746" s="119" t="n">
        <v>77.55744644165038</v>
      </c>
      <c r="J746" s="119" t="n">
        <v>91.54646114349366</v>
      </c>
      <c r="K746" s="121" t="n">
        <v>0.3152944439336202</v>
      </c>
      <c r="L746" s="121" t="n">
        <v>-0.1922204490624779</v>
      </c>
      <c r="M746" s="121" t="n">
        <v>-0.3551179753685522</v>
      </c>
      <c r="N746" t="n">
        <v>58.4726190057658</v>
      </c>
      <c r="O746" t="n">
        <v>0.9999587354590522</v>
      </c>
      <c r="P746" t="n">
        <v>126.9526711860188</v>
      </c>
      <c r="Q746" t="n">
        <v>126.6578937924948</v>
      </c>
    </row>
    <row r="747">
      <c r="A747" s="118" t="n">
        <v>45518</v>
      </c>
      <c r="B747" s="119" t="n">
        <v>74.32324809340432</v>
      </c>
      <c r="C747" s="119" t="n">
        <v>75.36186435291646</v>
      </c>
      <c r="D747" s="119" t="n">
        <v>73.77058629873628</v>
      </c>
      <c r="E747" s="119" t="n">
        <v>74.81873321533203</v>
      </c>
      <c r="F747" s="120" t="n">
        <v>13613000</v>
      </c>
      <c r="G747" s="121" t="n">
        <v>0.0002546882216336588</v>
      </c>
      <c r="H747" s="122" t="n">
        <v>48.6888530865454</v>
      </c>
      <c r="I747" s="119" t="n">
        <v>77.25481750488281</v>
      </c>
      <c r="J747" s="119" t="n">
        <v>91.44916034698487</v>
      </c>
      <c r="K747" s="121" t="n">
        <v>0.3155677741696306</v>
      </c>
      <c r="L747" s="121" t="n">
        <v>-0.1920147171251776</v>
      </c>
      <c r="M747" s="121" t="n">
        <v>-0.3549537315125353</v>
      </c>
      <c r="N747" t="n">
        <v>58.52382672321497</v>
      </c>
      <c r="O747" t="n">
        <v>1.114948180858476</v>
      </c>
      <c r="P747" t="n">
        <v>127.3532082401962</v>
      </c>
      <c r="Q747" t="n">
        <v>126.6989633401092</v>
      </c>
    </row>
    <row r="748">
      <c r="A748" s="118" t="n">
        <v>45519</v>
      </c>
      <c r="B748" s="119" t="n">
        <v>78.22997584281927</v>
      </c>
      <c r="C748" s="119" t="n">
        <v>79.14472257343093</v>
      </c>
      <c r="D748" s="119" t="n">
        <v>76.86738276841881</v>
      </c>
      <c r="E748" s="119" t="n">
        <v>78.61112213134766</v>
      </c>
      <c r="F748" s="120" t="n">
        <v>23583600</v>
      </c>
      <c r="G748" s="121" t="n">
        <v>0.05068769214657709</v>
      </c>
      <c r="H748" s="122" t="n">
        <v>51.15677868276614</v>
      </c>
      <c r="I748" s="119" t="n">
        <v>77.02155700683593</v>
      </c>
      <c r="J748" s="119" t="n">
        <v>91.38043601989746</v>
      </c>
      <c r="K748" s="121" t="n">
        <v>0.3521838545186281</v>
      </c>
      <c r="L748" s="121" t="n">
        <v>-0.1510598078478534</v>
      </c>
      <c r="M748" s="121" t="n">
        <v>-0.3222578248351444</v>
      </c>
      <c r="N748" t="n">
        <v>67.19582102956318</v>
      </c>
      <c r="O748" t="n">
        <v>1.387358417985137</v>
      </c>
      <c r="P748" t="n">
        <v>129.5360627490001</v>
      </c>
      <c r="Q748" t="n">
        <v>129.8997789894307</v>
      </c>
    </row>
    <row r="749">
      <c r="A749" s="118" t="n">
        <v>45520</v>
      </c>
      <c r="B749" s="119" t="n">
        <v>78.9732017660434</v>
      </c>
      <c r="C749" s="119" t="n">
        <v>79.98324045279782</v>
      </c>
      <c r="D749" s="119" t="n">
        <v>78.55394741980149</v>
      </c>
      <c r="E749" s="119" t="n">
        <v>79.30670928955078</v>
      </c>
      <c r="F749" s="120" t="n">
        <v>13794200</v>
      </c>
      <c r="G749" s="121" t="n">
        <v>0.008848457309143853</v>
      </c>
      <c r="H749" s="122" t="n">
        <v>51.60943725501392</v>
      </c>
      <c r="I749" s="119" t="n">
        <v>76.81021209716796</v>
      </c>
      <c r="J749" s="119" t="n">
        <v>91.29718593597413</v>
      </c>
      <c r="K749" s="121" t="n">
        <v>0.352138390700661</v>
      </c>
      <c r="L749" s="121" t="n">
        <v>-0.1435479967995789</v>
      </c>
      <c r="M749" s="121" t="n">
        <v>-0.3162608521315919</v>
      </c>
      <c r="N749" t="n">
        <v>68.49688074888539</v>
      </c>
      <c r="O749" t="n">
        <v>1.543364038893785</v>
      </c>
      <c r="P749" t="n">
        <v>129.8264671127482</v>
      </c>
      <c r="Q749" t="n">
        <v>130.0667928981092</v>
      </c>
    </row>
    <row r="750">
      <c r="A750" s="118" t="n">
        <v>45523</v>
      </c>
      <c r="B750" s="119" t="n">
        <v>79.30672373986911</v>
      </c>
      <c r="C750" s="119" t="n">
        <v>80.0308937743094</v>
      </c>
      <c r="D750" s="119" t="n">
        <v>79.01133151579005</v>
      </c>
      <c r="E750" s="119" t="n">
        <v>79.35436248779297</v>
      </c>
      <c r="F750" s="120" t="n">
        <v>9627300</v>
      </c>
      <c r="G750" s="121" t="n">
        <v>0.0006008722171060299</v>
      </c>
      <c r="H750" s="122" t="n">
        <v>51.64044793200093</v>
      </c>
      <c r="I750" s="119" t="n">
        <v>76.57314010620117</v>
      </c>
      <c r="J750" s="119" t="n">
        <v>91.2096025466919</v>
      </c>
      <c r="K750" s="121" t="n">
        <v>0.3422796308261283</v>
      </c>
      <c r="L750" s="121" t="n">
        <v>-0.1430333785855709</v>
      </c>
      <c r="M750" s="121" t="n">
        <v>-0.3158500122738901</v>
      </c>
      <c r="N750" t="n">
        <v>68.58879394157405</v>
      </c>
      <c r="O750" t="n">
        <v>1.573364158586128</v>
      </c>
      <c r="P750" t="n">
        <v>131.0677939438725</v>
      </c>
      <c r="Q750" t="n">
        <v>131.77535869361</v>
      </c>
    </row>
    <row r="751">
      <c r="A751" s="118" t="n">
        <v>45524</v>
      </c>
      <c r="B751" s="119" t="n">
        <v>79.55445472891697</v>
      </c>
      <c r="C751" s="119" t="n">
        <v>79.94513167957628</v>
      </c>
      <c r="D751" s="119" t="n">
        <v>78.86839285344951</v>
      </c>
      <c r="E751" s="119" t="n">
        <v>79.62115478515625</v>
      </c>
      <c r="F751" s="120" t="n">
        <v>7863100</v>
      </c>
      <c r="G751" s="121" t="n">
        <v>0.003362036931546353</v>
      </c>
      <c r="H751" s="122" t="n">
        <v>51.81406502510991</v>
      </c>
      <c r="I751" s="119" t="n">
        <v>76.32558639526367</v>
      </c>
      <c r="J751" s="119" t="n">
        <v>91.13226070404053</v>
      </c>
      <c r="K751" s="121" t="n">
        <v>0.3294538144660753</v>
      </c>
      <c r="L751" s="121" t="n">
        <v>-0.1401522251552731</v>
      </c>
      <c r="M751" s="121" t="n">
        <v>-0.3135498747484379</v>
      </c>
      <c r="N751" t="n">
        <v>69.13179611938321</v>
      </c>
      <c r="O751" t="n">
        <v>1.533212745581918</v>
      </c>
      <c r="P751" t="n">
        <v>130.8546844075024</v>
      </c>
      <c r="Q751" t="n">
        <v>131.4988147331935</v>
      </c>
    </row>
    <row r="752">
      <c r="A752" s="118" t="n">
        <v>45525</v>
      </c>
      <c r="B752" s="119" t="n">
        <v>79.72596667882837</v>
      </c>
      <c r="C752" s="119" t="n">
        <v>80.26909776130717</v>
      </c>
      <c r="D752" s="119" t="n">
        <v>79.29718166046743</v>
      </c>
      <c r="E752" s="119" t="n">
        <v>80.04041290283203</v>
      </c>
      <c r="F752" s="120" t="n">
        <v>6915900</v>
      </c>
      <c r="G752" s="121" t="n">
        <v>0.005265662358290069</v>
      </c>
      <c r="H752" s="122" t="n">
        <v>52.08690039694262</v>
      </c>
      <c r="I752" s="119" t="n">
        <v>76.09689971923828</v>
      </c>
      <c r="J752" s="119" t="n">
        <v>91.03722049713134</v>
      </c>
      <c r="K752" s="121" t="n">
        <v>0.2972229237503353</v>
      </c>
      <c r="L752" s="121" t="n">
        <v>-0.1356245570934138</v>
      </c>
      <c r="M752" s="121" t="n">
        <v>-0.3099352601630573</v>
      </c>
      <c r="N752" t="n">
        <v>70.00919673403556</v>
      </c>
      <c r="O752" t="n">
        <v>1.457432024841454</v>
      </c>
      <c r="P752" t="n">
        <v>131.3043465535973</v>
      </c>
      <c r="Q752" t="n">
        <v>132.1121391163376</v>
      </c>
    </row>
    <row r="753">
      <c r="A753" s="118" t="n">
        <v>45526</v>
      </c>
      <c r="B753" s="119" t="n">
        <v>80.46920355003337</v>
      </c>
      <c r="C753" s="119" t="n">
        <v>80.68836503748285</v>
      </c>
      <c r="D753" s="119" t="n">
        <v>79.2876565505417</v>
      </c>
      <c r="E753" s="119" t="n">
        <v>79.47823333740234</v>
      </c>
      <c r="F753" s="120" t="n">
        <v>8485500</v>
      </c>
      <c r="G753" s="121" t="n">
        <v>-0.007023696468334895</v>
      </c>
      <c r="H753" s="122" t="n">
        <v>51.72105781857811</v>
      </c>
      <c r="I753" s="119" t="n">
        <v>75.85944656372071</v>
      </c>
      <c r="J753" s="119" t="n">
        <v>90.93003765106201</v>
      </c>
      <c r="K753" s="121" t="n">
        <v>0.3020770588008732</v>
      </c>
      <c r="L753" s="121" t="n">
        <v>-0.1416956678390722</v>
      </c>
      <c r="M753" s="121" t="n">
        <v>-0.3147820654391724</v>
      </c>
      <c r="N753" t="n">
        <v>67.24893512758527</v>
      </c>
      <c r="O753" t="n">
        <v>1.297337252358</v>
      </c>
      <c r="P753" t="n">
        <v>130.273817145491</v>
      </c>
      <c r="Q753" t="n">
        <v>130.0175246394065</v>
      </c>
    </row>
    <row r="754">
      <c r="A754" s="118" t="n">
        <v>45527</v>
      </c>
      <c r="B754" s="119" t="n">
        <v>79.41152001658332</v>
      </c>
      <c r="C754" s="119" t="n">
        <v>80.26909731833315</v>
      </c>
      <c r="D754" s="119" t="n">
        <v>79.29718122285705</v>
      </c>
      <c r="E754" s="119" t="n">
        <v>80.08805847167969</v>
      </c>
      <c r="F754" s="120" t="n">
        <v>9219700</v>
      </c>
      <c r="G754" s="121" t="n">
        <v>0.007672857192088101</v>
      </c>
      <c r="H754" s="122" t="n">
        <v>52.11790610904379</v>
      </c>
      <c r="I754" s="119" t="n">
        <v>75.67592544555664</v>
      </c>
      <c r="J754" s="119" t="n">
        <v>90.82500843048096</v>
      </c>
      <c r="K754" s="121" t="n">
        <v>0.3005431647322284</v>
      </c>
      <c r="L754" s="121" t="n">
        <v>-0.1351100212710509</v>
      </c>
      <c r="M754" s="121" t="n">
        <v>-0.3095244860818296</v>
      </c>
      <c r="N754" t="n">
        <v>68.6909825310756</v>
      </c>
      <c r="O754" t="n">
        <v>1.164626206090482</v>
      </c>
      <c r="P754" t="n">
        <v>131.6579974610652</v>
      </c>
      <c r="Q754" t="n">
        <v>131.4276269544236</v>
      </c>
    </row>
    <row r="755">
      <c r="A755" s="118" t="n">
        <v>45530</v>
      </c>
      <c r="B755" s="119" t="n">
        <v>79.53540444745867</v>
      </c>
      <c r="C755" s="119" t="n">
        <v>80.5263819511427</v>
      </c>
      <c r="D755" s="119" t="n">
        <v>79.44964307408847</v>
      </c>
      <c r="E755" s="119" t="n">
        <v>80.30722045898438</v>
      </c>
      <c r="F755" s="120" t="n">
        <v>7853300</v>
      </c>
      <c r="G755" s="121" t="n">
        <v>0.002736512677257386</v>
      </c>
      <c r="H755" s="122" t="n">
        <v>52.2605274198233</v>
      </c>
      <c r="I755" s="119" t="n">
        <v>75.48725891113281</v>
      </c>
      <c r="J755" s="119" t="n">
        <v>90.71113059997559</v>
      </c>
      <c r="K755" s="121" t="n">
        <v>0.300100899602814</v>
      </c>
      <c r="L755" s="121" t="n">
        <v>-0.1327432388798262</v>
      </c>
      <c r="M755" s="121" t="n">
        <v>-0.3076349910846566</v>
      </c>
      <c r="N755" t="n">
        <v>69.21558414445057</v>
      </c>
      <c r="O755" t="n">
        <v>1.028450053161334</v>
      </c>
      <c r="P755" t="n">
        <v>131.3441646575912</v>
      </c>
      <c r="Q755" t="n">
        <v>130.1516761551337</v>
      </c>
    </row>
    <row r="756">
      <c r="A756" s="118" t="n">
        <v>45531</v>
      </c>
      <c r="B756" s="119" t="n">
        <v>80.10711464506639</v>
      </c>
      <c r="C756" s="119" t="n">
        <v>81.36489229783884</v>
      </c>
      <c r="D756" s="119" t="n">
        <v>79.66879896134759</v>
      </c>
      <c r="E756" s="119" t="n">
        <v>81.26960754394531</v>
      </c>
      <c r="F756" s="120" t="n">
        <v>14954000</v>
      </c>
      <c r="G756" s="121" t="n">
        <v>0.01198381763757417</v>
      </c>
      <c r="H756" s="122" t="n">
        <v>52.8868080500659</v>
      </c>
      <c r="I756" s="119" t="n">
        <v>75.33289535522461</v>
      </c>
      <c r="J756" s="119" t="n">
        <v>90.60192329406738</v>
      </c>
      <c r="K756" s="121" t="n">
        <v>0.3003812141570451</v>
      </c>
      <c r="L756" s="121" t="n">
        <v>-0.1223501920096088</v>
      </c>
      <c r="M756" s="121" t="n">
        <v>-0.2993378150791778</v>
      </c>
      <c r="N756" t="n">
        <v>71.47576614048305</v>
      </c>
      <c r="O756" t="n">
        <v>0.942327461181774</v>
      </c>
      <c r="P756" t="n">
        <v>131.5245241326829</v>
      </c>
      <c r="Q756" t="n">
        <v>130.540494329084</v>
      </c>
    </row>
    <row r="757">
      <c r="A757" s="118" t="n">
        <v>45532</v>
      </c>
      <c r="B757" s="119" t="n">
        <v>81.0409214726197</v>
      </c>
      <c r="C757" s="119" t="n">
        <v>81.40300643992201</v>
      </c>
      <c r="D757" s="119" t="n">
        <v>78.02034320391969</v>
      </c>
      <c r="E757" s="119" t="n">
        <v>78.887451171875</v>
      </c>
      <c r="F757" s="120" t="n">
        <v>11088600</v>
      </c>
      <c r="G757" s="121" t="n">
        <v>-0.02931177403289653</v>
      </c>
      <c r="H757" s="122" t="n">
        <v>51.3366018831812</v>
      </c>
      <c r="I757" s="119" t="n">
        <v>75.10020645141601</v>
      </c>
      <c r="J757" s="119" t="n">
        <v>90.49206928253174</v>
      </c>
      <c r="K757" s="121" t="n">
        <v>0.3269582034998392</v>
      </c>
      <c r="L757" s="121" t="n">
        <v>-0.1480756648614383</v>
      </c>
      <c r="M757" s="121" t="n">
        <v>-0.3198754667169725</v>
      </c>
      <c r="N757" t="n">
        <v>59.77673610601912</v>
      </c>
      <c r="O757" t="n">
        <v>0.6765034552275422</v>
      </c>
      <c r="P757" t="n">
        <v>130.7609706485988</v>
      </c>
      <c r="Q757" t="n">
        <v>129.0591789045727</v>
      </c>
    </row>
    <row r="758">
      <c r="A758" s="118" t="n">
        <v>45533</v>
      </c>
      <c r="B758" s="119" t="n">
        <v>79.51635077124372</v>
      </c>
      <c r="C758" s="119" t="n">
        <v>79.93561248185544</v>
      </c>
      <c r="D758" s="119" t="n">
        <v>78.95416554088887</v>
      </c>
      <c r="E758" s="119" t="n">
        <v>79.33531188964844</v>
      </c>
      <c r="F758" s="120" t="n">
        <v>7477200</v>
      </c>
      <c r="G758" s="121" t="n">
        <v>0.005677211154885287</v>
      </c>
      <c r="H758" s="122" t="n">
        <v>51.62805061204629</v>
      </c>
      <c r="I758" s="119" t="n">
        <v>74.88066726684571</v>
      </c>
      <c r="J758" s="119" t="n">
        <v>90.38864921569824</v>
      </c>
      <c r="K758" s="121" t="n">
        <v>0.319379954462519</v>
      </c>
      <c r="L758" s="121" t="n">
        <v>-0.1432391105228714</v>
      </c>
      <c r="M758" s="121" t="n">
        <v>-0.316014256129907</v>
      </c>
      <c r="N758" t="n">
        <v>61.06696477600075</v>
      </c>
      <c r="O758" t="n">
        <v>0.4910442090552087</v>
      </c>
      <c r="P758" t="n">
        <v>130.7726775516473</v>
      </c>
      <c r="Q758" t="n">
        <v>128.8702708065513</v>
      </c>
    </row>
    <row r="759">
      <c r="A759" s="118" t="n">
        <v>45534</v>
      </c>
      <c r="B759" s="119" t="n">
        <v>79.6592638880947</v>
      </c>
      <c r="C759" s="119" t="n">
        <v>79.92606409210737</v>
      </c>
      <c r="D759" s="119" t="n">
        <v>78.18233211023592</v>
      </c>
      <c r="E759" s="119" t="n">
        <v>79.39246368408203</v>
      </c>
      <c r="F759" s="120" t="n">
        <v>13755300</v>
      </c>
      <c r="G759" s="121" t="n">
        <v>0.0007203828039787918</v>
      </c>
      <c r="H759" s="122" t="n">
        <v>51.66524257191016</v>
      </c>
      <c r="I759" s="119" t="n">
        <v>74.64721603393555</v>
      </c>
      <c r="J759" s="119" t="n">
        <v>90.29451667785645</v>
      </c>
      <c r="K759" s="121" t="n">
        <v>0.319663618941476</v>
      </c>
      <c r="L759" s="121" t="n">
        <v>-0.1426219147109705</v>
      </c>
      <c r="M759" s="121" t="n">
        <v>-0.3155215245618563</v>
      </c>
      <c r="N759" t="n">
        <v>61.23783601818419</v>
      </c>
      <c r="O759" t="n">
        <v>0.3396247977305658</v>
      </c>
      <c r="P759" t="n">
        <v>132.0210431582295</v>
      </c>
      <c r="Q759" t="n">
        <v>130.4063174826326</v>
      </c>
    </row>
    <row r="760">
      <c r="A760" s="118" t="n">
        <v>45538</v>
      </c>
      <c r="B760" s="119" t="n">
        <v>79.16277565012051</v>
      </c>
      <c r="C760" s="119" t="n">
        <v>79.38291474267585</v>
      </c>
      <c r="D760" s="119" t="n">
        <v>77.53568728705402</v>
      </c>
      <c r="E760" s="119" t="n">
        <v>77.83238983154297</v>
      </c>
      <c r="F760" s="120" t="n">
        <v>10133700</v>
      </c>
      <c r="G760" s="121" t="n">
        <v>-0.01965015040655371</v>
      </c>
      <c r="H760" s="122" t="n">
        <v>50.65001278458104</v>
      </c>
      <c r="I760" s="119" t="n">
        <v>74.35188125610351</v>
      </c>
      <c r="J760" s="119" t="n">
        <v>90.18527870178222</v>
      </c>
      <c r="K760" s="121" t="n">
        <v>0.2973391700636634</v>
      </c>
      <c r="L760" s="121" t="n">
        <v>-0.159469523042183</v>
      </c>
      <c r="M760" s="121" t="n">
        <v>-0.3289716295542644</v>
      </c>
      <c r="N760" t="n">
        <v>54.2399057482067</v>
      </c>
      <c r="O760" t="n">
        <v>0.1134969149087175</v>
      </c>
      <c r="P760" t="n">
        <v>129.3041782668659</v>
      </c>
      <c r="Q760" t="n">
        <v>126.4470577308314</v>
      </c>
    </row>
    <row r="761">
      <c r="A761" s="118" t="n">
        <v>45539</v>
      </c>
      <c r="B761" s="119" t="n">
        <v>76.66470066687536</v>
      </c>
      <c r="C761" s="119" t="n">
        <v>77.6122398845104</v>
      </c>
      <c r="D761" s="119" t="n">
        <v>76.25314204876106</v>
      </c>
      <c r="E761" s="119" t="n">
        <v>77.54524230957031</v>
      </c>
      <c r="F761" s="120" t="n">
        <v>12837400</v>
      </c>
      <c r="G761" s="121" t="n">
        <v>-0.003689306246334567</v>
      </c>
      <c r="H761" s="122" t="n">
        <v>50.46314937603796</v>
      </c>
      <c r="I761" s="119" t="n">
        <v>74.05099395751954</v>
      </c>
      <c r="J761" s="119" t="n">
        <v>90.06484909057617</v>
      </c>
      <c r="K761" s="121" t="n">
        <v>0.2979369571910333</v>
      </c>
      <c r="L761" s="121" t="n">
        <v>-0.1625704973810581</v>
      </c>
      <c r="M761" s="121" t="n">
        <v>-0.3314472587128175</v>
      </c>
      <c r="N761" t="n">
        <v>53.0385110880629</v>
      </c>
      <c r="O761" t="n">
        <v>-0.06662629102622053</v>
      </c>
      <c r="P761" t="n">
        <v>129.0395144561958</v>
      </c>
      <c r="Q761" t="n">
        <v>126.1185097934912</v>
      </c>
    </row>
    <row r="762">
      <c r="A762" s="118" t="n">
        <v>45540</v>
      </c>
      <c r="B762" s="119" t="n">
        <v>77.65051736687073</v>
      </c>
      <c r="C762" s="119" t="n">
        <v>77.75580030282092</v>
      </c>
      <c r="D762" s="119" t="n">
        <v>76.76997581363941</v>
      </c>
      <c r="E762" s="119" t="n">
        <v>77.36338806152344</v>
      </c>
      <c r="F762" s="120" t="n">
        <v>7596300</v>
      </c>
      <c r="G762" s="121" t="n">
        <v>-0.002345137401478348</v>
      </c>
      <c r="H762" s="122" t="n">
        <v>50.34480635703983</v>
      </c>
      <c r="I762" s="119" t="n">
        <v>73.792587890625</v>
      </c>
      <c r="J762" s="119" t="n">
        <v>89.94449989318848</v>
      </c>
      <c r="K762" s="121" t="n">
        <v>0.2990397786063252</v>
      </c>
      <c r="L762" s="121" t="n">
        <v>-0.1645343846287511</v>
      </c>
      <c r="M762" s="121" t="n">
        <v>-0.333015106751271</v>
      </c>
      <c r="N762" t="n">
        <v>52.24919771952371</v>
      </c>
      <c r="O762" t="n">
        <v>-0.2016008751005383</v>
      </c>
      <c r="P762" t="n">
        <v>128.725667019093</v>
      </c>
      <c r="Q762" t="n">
        <v>126.2362385563175</v>
      </c>
    </row>
    <row r="763">
      <c r="A763" s="118" t="n">
        <v>45541</v>
      </c>
      <c r="B763" s="119" t="n">
        <v>77.41125229452788</v>
      </c>
      <c r="C763" s="119" t="n">
        <v>78.36836474412378</v>
      </c>
      <c r="D763" s="119" t="n">
        <v>76.90398386459222</v>
      </c>
      <c r="E763" s="119" t="n">
        <v>77.17197418212891</v>
      </c>
      <c r="F763" s="120" t="n">
        <v>8512200</v>
      </c>
      <c r="G763" s="121" t="n">
        <v>-0.002474217898036035</v>
      </c>
      <c r="H763" s="122" t="n">
        <v>50.22024233607808</v>
      </c>
      <c r="I763" s="119" t="n">
        <v>73.54350326538086</v>
      </c>
      <c r="J763" s="119" t="n">
        <v>89.83097000122071</v>
      </c>
      <c r="K763" s="121" t="n">
        <v>0.2942832086243235</v>
      </c>
      <c r="L763" s="121" t="n">
        <v>-0.1666015086074963</v>
      </c>
      <c r="M763" s="121" t="n">
        <v>-0.3346653727118667</v>
      </c>
      <c r="N763" t="n">
        <v>51.38242076912564</v>
      </c>
      <c r="O763" t="n">
        <v>-0.301352171100211</v>
      </c>
      <c r="P763" t="n">
        <v>126.559202174557</v>
      </c>
      <c r="Q763" t="n">
        <v>122.8547135200629</v>
      </c>
    </row>
    <row r="764">
      <c r="A764" s="118" t="n">
        <v>45544</v>
      </c>
      <c r="B764" s="119" t="n">
        <v>77.28681989186396</v>
      </c>
      <c r="C764" s="119" t="n">
        <v>78.08122487052205</v>
      </c>
      <c r="D764" s="119" t="n">
        <v>75.63101236419031</v>
      </c>
      <c r="E764" s="119" t="n">
        <v>76.08085632324219</v>
      </c>
      <c r="F764" s="120" t="n">
        <v>8003300</v>
      </c>
      <c r="G764" s="121" t="n">
        <v>-0.01413878380656219</v>
      </c>
      <c r="H764" s="122" t="n">
        <v>49.51018918697511</v>
      </c>
      <c r="I764" s="119" t="n">
        <v>73.27011856079102</v>
      </c>
      <c r="J764" s="119" t="n">
        <v>89.7102879333496</v>
      </c>
      <c r="K764" s="121" t="n">
        <v>0.301627183691596</v>
      </c>
      <c r="L764" s="121" t="n">
        <v>-0.17838474970201</v>
      </c>
      <c r="M764" s="121" t="n">
        <v>-0.3440723951661132</v>
      </c>
      <c r="N764" t="n">
        <v>46.63336366034165</v>
      </c>
      <c r="O764" t="n">
        <v>-0.4305272282991197</v>
      </c>
      <c r="P764" t="n">
        <v>127.976176452296</v>
      </c>
      <c r="Q764" t="n">
        <v>124.4345654619795</v>
      </c>
    </row>
    <row r="765">
      <c r="A765" s="118" t="n">
        <v>45545</v>
      </c>
      <c r="B765" s="119" t="n">
        <v>76.14785442177731</v>
      </c>
      <c r="C765" s="119" t="n">
        <v>76.14785442177731</v>
      </c>
      <c r="D765" s="119" t="n">
        <v>74.22406390151752</v>
      </c>
      <c r="E765" s="119" t="n">
        <v>74.74089813232422</v>
      </c>
      <c r="F765" s="120" t="n">
        <v>9748400</v>
      </c>
      <c r="G765" s="121" t="n">
        <v>-0.01761229112912366</v>
      </c>
      <c r="H765" s="122" t="n">
        <v>48.63820132115612</v>
      </c>
      <c r="I765" s="119" t="n">
        <v>73.3285922241211</v>
      </c>
      <c r="J765" s="119" t="n">
        <v>89.58182197570801</v>
      </c>
      <c r="K765" s="121" t="n">
        <v>0.3109945932909661</v>
      </c>
      <c r="L765" s="121" t="n">
        <v>-0.192855276686386</v>
      </c>
      <c r="M765" s="121" t="n">
        <v>-0.3556247831020765</v>
      </c>
      <c r="N765" t="n">
        <v>41.55399347771225</v>
      </c>
      <c r="O765" t="n">
        <v>-0.5862721090485423</v>
      </c>
      <c r="P765" t="n">
        <v>128.5336006409527</v>
      </c>
      <c r="Q765" t="n">
        <v>125.5845803437801</v>
      </c>
    </row>
    <row r="766">
      <c r="A766" s="118" t="n">
        <v>45546</v>
      </c>
      <c r="B766" s="119" t="n">
        <v>74.65476649820043</v>
      </c>
      <c r="C766" s="119" t="n">
        <v>75.21945930384169</v>
      </c>
      <c r="D766" s="119" t="n">
        <v>73.44880284092454</v>
      </c>
      <c r="E766" s="119" t="n">
        <v>75.03761291503906</v>
      </c>
      <c r="F766" s="120" t="n">
        <v>8265500</v>
      </c>
      <c r="G766" s="121" t="n">
        <v>0.003969911924118552</v>
      </c>
      <c r="H766" s="122" t="n">
        <v>48.83129069654865</v>
      </c>
      <c r="I766" s="119" t="n">
        <v>73.36517669677734</v>
      </c>
      <c r="J766" s="119" t="n">
        <v>89.44838287353515</v>
      </c>
      <c r="K766" s="121" t="n">
        <v>0.2516291033985625</v>
      </c>
      <c r="L766" s="121" t="n">
        <v>-0.189650983224814</v>
      </c>
      <c r="M766" s="121" t="n">
        <v>-0.3530666702449069</v>
      </c>
      <c r="N766" t="n">
        <v>43.0336607046506</v>
      </c>
      <c r="O766" t="n">
        <v>-0.6447211581133889</v>
      </c>
      <c r="P766" t="n">
        <v>129.8522369330838</v>
      </c>
      <c r="Q766" t="n">
        <v>128.3116861185519</v>
      </c>
    </row>
    <row r="767">
      <c r="A767" s="118" t="n">
        <v>45547</v>
      </c>
      <c r="B767" s="119" t="n">
        <v>74.87490556109375</v>
      </c>
      <c r="C767" s="119" t="n">
        <v>75.67887646448565</v>
      </c>
      <c r="D767" s="119" t="n">
        <v>74.20492250607914</v>
      </c>
      <c r="E767" s="119" t="n">
        <v>75.03761291503906</v>
      </c>
      <c r="F767" s="120" t="n">
        <v>7176900</v>
      </c>
      <c r="G767" s="121" t="n">
        <v>0</v>
      </c>
      <c r="H767" s="122" t="n">
        <v>48.83129069654865</v>
      </c>
      <c r="I767" s="119" t="n">
        <v>73.41681640625001</v>
      </c>
      <c r="J767" s="119" t="n">
        <v>89.31626346588135</v>
      </c>
      <c r="K767" s="121" t="n">
        <v>0.2516310234289106</v>
      </c>
      <c r="L767" s="121" t="n">
        <v>-0.189650983224814</v>
      </c>
      <c r="M767" s="121" t="n">
        <v>-0.3530666702449069</v>
      </c>
      <c r="N767" t="n">
        <v>43.0336607046506</v>
      </c>
      <c r="O767" t="n">
        <v>-0.6565892633973854</v>
      </c>
      <c r="P767" t="n">
        <v>130.9460128849099</v>
      </c>
      <c r="Q767" t="n">
        <v>129.5711972777914</v>
      </c>
    </row>
    <row r="768">
      <c r="A768" s="118" t="n">
        <v>45548</v>
      </c>
      <c r="B768" s="119" t="n">
        <v>74.94190340773314</v>
      </c>
      <c r="C768" s="119" t="n">
        <v>76.08086219166238</v>
      </c>
      <c r="D768" s="119" t="n">
        <v>74.760049716084</v>
      </c>
      <c r="E768" s="119" t="n">
        <v>75.62145233154297</v>
      </c>
      <c r="F768" s="120" t="n">
        <v>5814200</v>
      </c>
      <c r="G768" s="121" t="n">
        <v>0.007780623527629427</v>
      </c>
      <c r="H768" s="122" t="n">
        <v>49.21122858582672</v>
      </c>
      <c r="I768" s="119" t="n">
        <v>73.49537872314453</v>
      </c>
      <c r="J768" s="119" t="n">
        <v>89.18555500030517</v>
      </c>
      <c r="K768" s="121" t="n">
        <v>0.170658808120878</v>
      </c>
      <c r="L768" s="121" t="n">
        <v>-0.1833459625993017</v>
      </c>
      <c r="M768" s="121" t="n">
        <v>-0.3480331255586067</v>
      </c>
      <c r="N768" t="n">
        <v>46.14507764137304</v>
      </c>
      <c r="O768" t="n">
        <v>-0.5998834225006756</v>
      </c>
      <c r="P768" t="n">
        <v>131.6298862601198</v>
      </c>
      <c r="Q768" t="n">
        <v>130.1516761551337</v>
      </c>
    </row>
    <row r="769">
      <c r="A769" s="118" t="n">
        <v>45551</v>
      </c>
      <c r="B769" s="119" t="n">
        <v>75.92771953300986</v>
      </c>
      <c r="C769" s="119" t="n">
        <v>76.55940984573157</v>
      </c>
      <c r="D769" s="119" t="n">
        <v>75.31516825307908</v>
      </c>
      <c r="E769" s="119" t="n">
        <v>76.3775634765625</v>
      </c>
      <c r="F769" s="120" t="n">
        <v>9547700</v>
      </c>
      <c r="G769" s="121" t="n">
        <v>0.009998632950138919</v>
      </c>
      <c r="H769" s="122" t="n">
        <v>49.7032735974818</v>
      </c>
      <c r="I769" s="119" t="n">
        <v>73.58544235229492</v>
      </c>
      <c r="J769" s="119" t="n">
        <v>89.0549038696289</v>
      </c>
      <c r="K769" s="121" t="n">
        <v>0.1716638080214333</v>
      </c>
      <c r="L769" s="121" t="n">
        <v>-0.1751805386320829</v>
      </c>
      <c r="M769" s="121" t="n">
        <v>-0.3415143480854178</v>
      </c>
      <c r="N769" t="n">
        <v>49.95713132128726</v>
      </c>
      <c r="O769" t="n">
        <v>-0.4908081395982842</v>
      </c>
      <c r="P769" t="n">
        <v>131.8242940188698</v>
      </c>
      <c r="Q769" t="n">
        <v>129.5766771578083</v>
      </c>
    </row>
    <row r="770">
      <c r="A770" s="118" t="n">
        <v>45552</v>
      </c>
      <c r="B770" s="119" t="n">
        <v>76.5785557047823</v>
      </c>
      <c r="C770" s="119" t="n">
        <v>77.50695578639765</v>
      </c>
      <c r="D770" s="119" t="n">
        <v>76.43498740208733</v>
      </c>
      <c r="E770" s="119" t="n">
        <v>77.18153381347656</v>
      </c>
      <c r="F770" s="120" t="n">
        <v>7580600</v>
      </c>
      <c r="G770" s="121" t="n">
        <v>0.01052626321551586</v>
      </c>
      <c r="H770" s="122" t="n">
        <v>50.2264633380417</v>
      </c>
      <c r="I770" s="119" t="n">
        <v>73.73694137573243</v>
      </c>
      <c r="J770" s="119" t="n">
        <v>88.92063747406006</v>
      </c>
      <c r="K770" s="121" t="n">
        <v>0.1770540036122119</v>
      </c>
      <c r="L770" s="121" t="n">
        <v>-0.1664125584371334</v>
      </c>
      <c r="M770" s="121" t="n">
        <v>-0.3345829547897244</v>
      </c>
      <c r="N770" t="n">
        <v>53.70917266713415</v>
      </c>
      <c r="O770" t="n">
        <v>-0.3504536987301761</v>
      </c>
      <c r="P770" t="n">
        <v>131.8781750401508</v>
      </c>
      <c r="Q770" t="n">
        <v>129.6451292183571</v>
      </c>
    </row>
    <row r="771">
      <c r="A771" s="118" t="n">
        <v>45553</v>
      </c>
      <c r="B771" s="119" t="n">
        <v>77.20068448838374</v>
      </c>
      <c r="C771" s="119" t="n">
        <v>78.25350659702218</v>
      </c>
      <c r="D771" s="119" t="n">
        <v>76.78912589202109</v>
      </c>
      <c r="E771" s="119" t="n">
        <v>77.43038940429688</v>
      </c>
      <c r="F771" s="120" t="n">
        <v>7637000</v>
      </c>
      <c r="G771" s="121" t="n">
        <v>0.003224289263565439</v>
      </c>
      <c r="H771" s="122" t="n">
        <v>50.3884079845294</v>
      </c>
      <c r="I771" s="119" t="n">
        <v>73.90466125488281</v>
      </c>
      <c r="J771" s="119" t="n">
        <v>88.78808666229249</v>
      </c>
      <c r="K771" s="121" t="n">
        <v>0.1770062816143875</v>
      </c>
      <c r="L771" s="121" t="n">
        <v>-0.142365711921515</v>
      </c>
      <c r="M771" s="121" t="n">
        <v>-0.3324374577550595</v>
      </c>
      <c r="N771" t="n">
        <v>54.83790650200122</v>
      </c>
      <c r="O771" t="n">
        <v>-0.2324790707197041</v>
      </c>
      <c r="P771" t="n">
        <v>131.4870474092987</v>
      </c>
      <c r="Q771" t="n">
        <v>129.0838172557115</v>
      </c>
    </row>
    <row r="772">
      <c r="A772" s="118" t="n">
        <v>45554</v>
      </c>
      <c r="B772" s="119" t="n">
        <v>79.05746749321357</v>
      </c>
      <c r="C772" s="119" t="n">
        <v>79.55516993420444</v>
      </c>
      <c r="D772" s="119" t="n">
        <v>77.01882110418872</v>
      </c>
      <c r="E772" s="119" t="n">
        <v>77.50695037841797</v>
      </c>
      <c r="F772" s="120" t="n">
        <v>15067100</v>
      </c>
      <c r="G772" s="121" t="n">
        <v>0.0009887716529661805</v>
      </c>
      <c r="H772" s="122" t="n">
        <v>50.4382306139826</v>
      </c>
      <c r="I772" s="119" t="n">
        <v>74.07238800048827</v>
      </c>
      <c r="J772" s="119" t="n">
        <v>88.63898937225342</v>
      </c>
      <c r="K772" s="121" t="n">
        <v>0.1755360802908147</v>
      </c>
      <c r="L772" s="121" t="n">
        <v>-0.1364136900865747</v>
      </c>
      <c r="M772" s="121" t="n">
        <v>-0.3317773908367057</v>
      </c>
      <c r="N772" t="n">
        <v>55.19983348357528</v>
      </c>
      <c r="O772" t="n">
        <v>-0.1451816738817788</v>
      </c>
      <c r="P772" t="n">
        <v>133.7307924475839</v>
      </c>
      <c r="Q772" t="n">
        <v>132.3476219727145</v>
      </c>
    </row>
    <row r="773">
      <c r="A773" s="118" t="n">
        <v>45555</v>
      </c>
      <c r="B773" s="119" t="n">
        <v>84.10145644559667</v>
      </c>
      <c r="C773" s="119" t="n">
        <v>84.2258784099149</v>
      </c>
      <c r="D773" s="119" t="n">
        <v>81.17268798085564</v>
      </c>
      <c r="E773" s="119" t="n">
        <v>82.80934906005859</v>
      </c>
      <c r="F773" s="120" t="n">
        <v>52039300</v>
      </c>
      <c r="G773" s="121" t="n">
        <v>0.0684119121672615</v>
      </c>
      <c r="H773" s="122" t="n">
        <v>53.88880641661846</v>
      </c>
      <c r="I773" s="119" t="n">
        <v>74.32996398925781</v>
      </c>
      <c r="J773" s="119" t="n">
        <v>88.50850681304932</v>
      </c>
      <c r="K773" s="121" t="n">
        <v>0.3025841852515934</v>
      </c>
      <c r="L773" s="121" t="n">
        <v>-0.07733409930392787</v>
      </c>
      <c r="M773" s="121" t="n">
        <v>-0.2860630043904481</v>
      </c>
      <c r="N773" t="n">
        <v>71.95990790238845</v>
      </c>
      <c r="O773" t="n">
        <v>0.2521432073657487</v>
      </c>
      <c r="P773" t="n">
        <v>133.4996250132615</v>
      </c>
      <c r="Q773" t="n">
        <v>132.095707919862</v>
      </c>
    </row>
    <row r="774">
      <c r="A774" s="118" t="n">
        <v>45558</v>
      </c>
      <c r="B774" s="119" t="n">
        <v>81.73740432947957</v>
      </c>
      <c r="C774" s="119" t="n">
        <v>82.81893876441558</v>
      </c>
      <c r="D774" s="119" t="n">
        <v>81.4024164338966</v>
      </c>
      <c r="E774" s="119" t="n">
        <v>82.50308990478516</v>
      </c>
      <c r="F774" s="120" t="n">
        <v>17712400</v>
      </c>
      <c r="G774" s="121" t="n">
        <v>-0.003698364481180993</v>
      </c>
      <c r="H774" s="122" t="n">
        <v>53.689505969034</v>
      </c>
      <c r="I774" s="119" t="n">
        <v>74.5808430480957</v>
      </c>
      <c r="J774" s="119" t="n">
        <v>88.37526344299316</v>
      </c>
      <c r="K774" s="121" t="n">
        <v>0.3025602342235146</v>
      </c>
      <c r="L774" s="121" t="n">
        <v>-0.003698364481180993</v>
      </c>
      <c r="M774" s="121" t="n">
        <v>-0.2887034036168116</v>
      </c>
      <c r="N774" t="n">
        <v>70.32347566461118</v>
      </c>
      <c r="O774" t="n">
        <v>0.4644527571101099</v>
      </c>
      <c r="P774" t="n">
        <v>133.8332278492587</v>
      </c>
      <c r="Q774" t="n">
        <v>132.4458629650034</v>
      </c>
    </row>
    <row r="775">
      <c r="A775" s="118" t="n">
        <v>45559</v>
      </c>
      <c r="B775" s="119" t="n">
        <v>83.68990637608331</v>
      </c>
      <c r="C775" s="119" t="n">
        <v>84.49387724652591</v>
      </c>
      <c r="D775" s="119" t="n">
        <v>82.94335991004728</v>
      </c>
      <c r="E775" s="119" t="n">
        <v>83.70904541015625</v>
      </c>
      <c r="F775" s="120" t="n">
        <v>21123300</v>
      </c>
      <c r="G775" s="121" t="n">
        <v>0.01461709502956632</v>
      </c>
      <c r="H775" s="122" t="n">
        <v>54.47429057987384</v>
      </c>
      <c r="I775" s="119" t="n">
        <v>74.89605224609375</v>
      </c>
      <c r="J775" s="119" t="n">
        <v>88.24473964691163</v>
      </c>
      <c r="K775" s="121" t="n">
        <v>0.3060425239965313</v>
      </c>
      <c r="L775" s="121" t="n">
        <v>0</v>
      </c>
      <c r="M775" s="121" t="n">
        <v>-0.2783063136732714</v>
      </c>
      <c r="N775" t="n">
        <v>72.93361981633876</v>
      </c>
      <c r="O775" t="n">
        <v>0.6451160890389704</v>
      </c>
      <c r="P775" t="n">
        <v>134.2161752816056</v>
      </c>
      <c r="Q775" t="n">
        <v>133.0847291617852</v>
      </c>
    </row>
    <row r="776">
      <c r="A776" s="118" t="n">
        <v>45560</v>
      </c>
      <c r="B776" s="119" t="n">
        <v>84.0823151766017</v>
      </c>
      <c r="C776" s="119" t="n">
        <v>84.32159325468092</v>
      </c>
      <c r="D776" s="119" t="n">
        <v>83.4984760819134</v>
      </c>
      <c r="E776" s="119" t="n">
        <v>84.22588348388672</v>
      </c>
      <c r="F776" s="120" t="n">
        <v>12392800</v>
      </c>
      <c r="G776" s="121" t="n">
        <v>0.006174220135925168</v>
      </c>
      <c r="H776" s="122" t="n">
        <v>54.81062684166233</v>
      </c>
      <c r="I776" s="119" t="n">
        <v>75.19301208496094</v>
      </c>
      <c r="J776" s="119" t="n">
        <v>88.12294757843017</v>
      </c>
      <c r="K776" s="121" t="n">
        <v>0.3042812517688289</v>
      </c>
      <c r="L776" s="121" t="n">
        <v>0</v>
      </c>
      <c r="M776" s="121" t="n">
        <v>-0.2738504179831828</v>
      </c>
      <c r="N776" t="n">
        <v>73.98948461896784</v>
      </c>
      <c r="O776" t="n">
        <v>0.7510252996946567</v>
      </c>
      <c r="P776" t="n">
        <v>133.9201516043942</v>
      </c>
      <c r="Q776" t="n">
        <v>133.2081066761234</v>
      </c>
    </row>
    <row r="777">
      <c r="A777" s="118" t="n">
        <v>45561</v>
      </c>
      <c r="B777" s="119" t="n">
        <v>86.06354280325877</v>
      </c>
      <c r="C777" s="119" t="n">
        <v>86.73352584548175</v>
      </c>
      <c r="D777" s="119" t="n">
        <v>85.23085971238487</v>
      </c>
      <c r="E777" s="119" t="n">
        <v>85.5562744140625</v>
      </c>
      <c r="F777" s="120" t="n">
        <v>13592800</v>
      </c>
      <c r="G777" s="121" t="n">
        <v>0.01579551172568339</v>
      </c>
      <c r="H777" s="122" t="n">
        <v>55.67638874063186</v>
      </c>
      <c r="I777" s="119" t="n">
        <v>75.51162490844726</v>
      </c>
      <c r="J777" s="119" t="n">
        <v>88.00260566711425</v>
      </c>
      <c r="K777" s="121" t="n">
        <v>0.284267665258282</v>
      </c>
      <c r="L777" s="121" t="n">
        <v>0</v>
      </c>
      <c r="M777" s="121" t="n">
        <v>-0.262380513745836</v>
      </c>
      <c r="N777" t="n">
        <v>76.52777790252659</v>
      </c>
      <c r="O777" t="n">
        <v>0.8547354436507786</v>
      </c>
      <c r="P777" t="n">
        <v>134.4511035585324</v>
      </c>
      <c r="Q777" t="n">
        <v>134.2089151484063</v>
      </c>
    </row>
    <row r="778">
      <c r="A778" s="118" t="n">
        <v>45562</v>
      </c>
      <c r="B778" s="119" t="n">
        <v>85.61369947218193</v>
      </c>
      <c r="C778" s="119" t="n">
        <v>86.38896546548837</v>
      </c>
      <c r="D778" s="119" t="n">
        <v>85.38399454558905</v>
      </c>
      <c r="E778" s="119" t="n">
        <v>85.60413360595703</v>
      </c>
      <c r="F778" s="120" t="n">
        <v>9181000</v>
      </c>
      <c r="G778" s="121" t="n">
        <v>0.0005593884518966252</v>
      </c>
      <c r="H778" s="122" t="n">
        <v>55.70753346953668</v>
      </c>
      <c r="I778" s="119" t="n">
        <v>75.84434432983399</v>
      </c>
      <c r="J778" s="119" t="n">
        <v>87.86973514556885</v>
      </c>
      <c r="K778" s="121" t="n">
        <v>0.2844986145913787</v>
      </c>
      <c r="L778" s="121" t="n">
        <v>0</v>
      </c>
      <c r="M778" s="121" t="n">
        <v>-0.2619678979233314</v>
      </c>
      <c r="N778" t="n">
        <v>76.61618334647616</v>
      </c>
      <c r="O778" t="n">
        <v>0.867834303803156</v>
      </c>
      <c r="P778" t="n">
        <v>134.2560811873724</v>
      </c>
      <c r="Q778" t="n">
        <v>133.463102633762</v>
      </c>
    </row>
    <row r="779">
      <c r="A779" s="118" t="n">
        <v>45565</v>
      </c>
      <c r="B779" s="119" t="n">
        <v>85.85298355982047</v>
      </c>
      <c r="C779" s="119" t="n">
        <v>85.90084210303739</v>
      </c>
      <c r="D779" s="119" t="n">
        <v>83.9674781734027</v>
      </c>
      <c r="E779" s="119" t="n">
        <v>84.60874176025391</v>
      </c>
      <c r="F779" s="120" t="n">
        <v>12027100</v>
      </c>
      <c r="G779" s="121" t="n">
        <v>-0.01162784790609528</v>
      </c>
      <c r="H779" s="122" t="n">
        <v>55.0597747431292</v>
      </c>
      <c r="I779" s="119" t="n">
        <v>76.15105789184571</v>
      </c>
      <c r="J779" s="119" t="n">
        <v>87.72701694488525</v>
      </c>
      <c r="K779" s="121" t="n">
        <v>0.2896915007395992</v>
      </c>
      <c r="L779" s="121" t="n">
        <v>-0.01162784790609539</v>
      </c>
      <c r="M779" s="121" t="n">
        <v>-0.2705496229560947</v>
      </c>
      <c r="N779" t="n">
        <v>70.65565027368228</v>
      </c>
      <c r="O779" t="n">
        <v>0.7548972888875645</v>
      </c>
      <c r="P779" t="n">
        <v>134.7940865505973</v>
      </c>
      <c r="Q779" t="n">
        <v>133.8250449092632</v>
      </c>
    </row>
    <row r="780">
      <c r="A780" s="118" t="n">
        <v>45566</v>
      </c>
      <c r="B780" s="119" t="n">
        <v>84.22588452573335</v>
      </c>
      <c r="C780" s="119" t="n">
        <v>85.79554815317429</v>
      </c>
      <c r="D780" s="119" t="n">
        <v>83.9483210754656</v>
      </c>
      <c r="E780" s="119" t="n">
        <v>85.30741882324219</v>
      </c>
      <c r="F780" s="120" t="n">
        <v>20623400</v>
      </c>
      <c r="G780" s="121" t="n">
        <v>0.008257740848670814</v>
      </c>
      <c r="H780" s="122" t="n">
        <v>55.51444409414415</v>
      </c>
      <c r="I780" s="119" t="n">
        <v>76.4305812072754</v>
      </c>
      <c r="J780" s="119" t="n">
        <v>87.58055694580078</v>
      </c>
      <c r="K780" s="121" t="n">
        <v>0.2769744237256646</v>
      </c>
      <c r="L780" s="121" t="n">
        <v>-0.003466126812060821</v>
      </c>
      <c r="M780" s="121" t="n">
        <v>-0.264526010780501</v>
      </c>
      <c r="N780" t="n">
        <v>72.2854686781055</v>
      </c>
      <c r="O780" t="n">
        <v>0.6752747306189022</v>
      </c>
      <c r="P780" t="n">
        <v>133.586548768397</v>
      </c>
      <c r="Q780" t="n">
        <v>131.9605347315893</v>
      </c>
    </row>
    <row r="781">
      <c r="A781" s="118" t="n">
        <v>45567</v>
      </c>
      <c r="B781" s="119" t="n">
        <v>79.33504091615143</v>
      </c>
      <c r="C781" s="119" t="n">
        <v>81.57468757866194</v>
      </c>
      <c r="D781" s="119" t="n">
        <v>78.26307247145888</v>
      </c>
      <c r="E781" s="119" t="n">
        <v>79.53603363037109</v>
      </c>
      <c r="F781" s="120" t="n">
        <v>33208800</v>
      </c>
      <c r="G781" s="121" t="n">
        <v>-0.06765396576855132</v>
      </c>
      <c r="H781" s="122" t="n">
        <v>51.75867179373876</v>
      </c>
      <c r="I781" s="119" t="n">
        <v>76.62250045776368</v>
      </c>
      <c r="J781" s="119" t="n">
        <v>87.4059493637085</v>
      </c>
      <c r="K781" s="121" t="n">
        <v>0.3775750605510036</v>
      </c>
      <c r="L781" s="121" t="n">
        <v>-0.07088559535591954</v>
      </c>
      <c r="M781" s="121" t="n">
        <v>-0.3142837428708168</v>
      </c>
      <c r="N781" t="n">
        <v>48.38104672786774</v>
      </c>
      <c r="O781" t="n">
        <v>0.2062636288138093</v>
      </c>
      <c r="P781" t="n">
        <v>133.6429321402046</v>
      </c>
      <c r="Q781" t="n">
        <v>132.1469941929314</v>
      </c>
    </row>
    <row r="782">
      <c r="A782" s="118" t="n">
        <v>45568</v>
      </c>
      <c r="B782" s="119" t="n">
        <v>78.8660550682258</v>
      </c>
      <c r="C782" s="119" t="n">
        <v>80.1868674149086</v>
      </c>
      <c r="D782" s="119" t="n">
        <v>78.46406965430332</v>
      </c>
      <c r="E782" s="119" t="n">
        <v>78.57891845703125</v>
      </c>
      <c r="F782" s="120" t="n">
        <v>18143800</v>
      </c>
      <c r="G782" s="121" t="n">
        <v>-0.01203373024342469</v>
      </c>
      <c r="H782" s="122" t="n">
        <v>51.13582189961495</v>
      </c>
      <c r="I782" s="119" t="n">
        <v>76.83929946899414</v>
      </c>
      <c r="J782" s="119" t="n">
        <v>87.22404987335204</v>
      </c>
      <c r="K782" s="121" t="n">
        <v>0.380451797256426</v>
      </c>
      <c r="L782" s="121" t="n">
        <v>-0.08206630746668664</v>
      </c>
      <c r="M782" s="121" t="n">
        <v>-0.3225354673326403</v>
      </c>
      <c r="N782" t="n">
        <v>45.68299285544529</v>
      </c>
      <c r="O782" t="n">
        <v>-0.1754569823084855</v>
      </c>
      <c r="P782" t="n">
        <v>133.3986090735813</v>
      </c>
      <c r="Q782" t="n">
        <v>132.0482719168814</v>
      </c>
    </row>
    <row r="783">
      <c r="A783" s="118" t="n">
        <v>45569</v>
      </c>
      <c r="B783" s="119" t="n">
        <v>79.08618845651776</v>
      </c>
      <c r="C783" s="119" t="n">
        <v>79.95716417368961</v>
      </c>
      <c r="D783" s="119" t="n">
        <v>78.57892009473086</v>
      </c>
      <c r="E783" s="119" t="n">
        <v>78.72248840332031</v>
      </c>
      <c r="F783" s="120" t="n">
        <v>10322600</v>
      </c>
      <c r="G783" s="121" t="n">
        <v>0.001827079693996758</v>
      </c>
      <c r="H783" s="122" t="n">
        <v>51.22925112144357</v>
      </c>
      <c r="I783" s="119" t="n">
        <v>77.05287170410156</v>
      </c>
      <c r="J783" s="119" t="n">
        <v>87.04480709075928</v>
      </c>
      <c r="K783" s="121" t="n">
        <v>0.3802291522340693</v>
      </c>
      <c r="L783" s="121" t="n">
        <v>-0.08038916945662355</v>
      </c>
      <c r="M783" s="121" t="n">
        <v>-0.3212976856416009</v>
      </c>
      <c r="N783" t="n">
        <v>46.1679466066273</v>
      </c>
      <c r="O783" t="n">
        <v>-0.4118121248826667</v>
      </c>
      <c r="P783" t="n">
        <v>134.6108588842587</v>
      </c>
      <c r="Q783" t="n">
        <v>133.6193932025001</v>
      </c>
    </row>
    <row r="784">
      <c r="A784" s="118" t="n">
        <v>45572</v>
      </c>
      <c r="B784" s="119" t="n">
        <v>78.61720282323732</v>
      </c>
      <c r="C784" s="119" t="n">
        <v>78.93305163108788</v>
      </c>
      <c r="D784" s="119" t="n">
        <v>76.65511971018813</v>
      </c>
      <c r="E784" s="119" t="n">
        <v>77.36338806152344</v>
      </c>
      <c r="F784" s="120" t="n">
        <v>12767400</v>
      </c>
      <c r="G784" s="121" t="n">
        <v>-0.01726444843605268</v>
      </c>
      <c r="H784" s="122" t="n">
        <v>50.34480635703981</v>
      </c>
      <c r="I784" s="119" t="n">
        <v>77.21734603881836</v>
      </c>
      <c r="J784" s="119" t="n">
        <v>86.85167545318603</v>
      </c>
      <c r="K784" s="121" t="n">
        <v>0.3820664171470092</v>
      </c>
      <c r="L784" s="121" t="n">
        <v>-0.09626574322177528</v>
      </c>
      <c r="M784" s="121" t="n">
        <v>-0.333015106751271</v>
      </c>
      <c r="N784" t="n">
        <v>42.31631290918815</v>
      </c>
      <c r="O784" t="n">
        <v>-0.6396231849761034</v>
      </c>
      <c r="P784" t="n">
        <v>133.3939116787331</v>
      </c>
      <c r="Q784" t="n">
        <v>132.1881144019943</v>
      </c>
    </row>
    <row r="785">
      <c r="A785" s="118" t="n">
        <v>45573</v>
      </c>
      <c r="B785" s="119" t="n">
        <v>77.28682257477199</v>
      </c>
      <c r="C785" s="119" t="n">
        <v>77.9280860993379</v>
      </c>
      <c r="D785" s="119" t="n">
        <v>76.50199073668844</v>
      </c>
      <c r="E785" s="119" t="n">
        <v>77.30596160888672</v>
      </c>
      <c r="F785" s="120" t="n">
        <v>10569600</v>
      </c>
      <c r="G785" s="121" t="n">
        <v>-0.0007422949547019053</v>
      </c>
      <c r="H785" s="122" t="n">
        <v>50.30743566128554</v>
      </c>
      <c r="I785" s="119" t="n">
        <v>77.36180511474609</v>
      </c>
      <c r="J785" s="119" t="n">
        <v>86.66397861480714</v>
      </c>
      <c r="K785" s="121" t="n">
        <v>0.3757413339252615</v>
      </c>
      <c r="L785" s="121" t="n">
        <v>-0.0969365806009731</v>
      </c>
      <c r="M785" s="121" t="n">
        <v>-0.3335102062723919</v>
      </c>
      <c r="N785" t="n">
        <v>42.15627906382101</v>
      </c>
      <c r="O785" t="n">
        <v>-0.7656091302072932</v>
      </c>
      <c r="P785" t="n">
        <v>134.6555060857601</v>
      </c>
      <c r="Q785" t="n">
        <v>134.1622981721771</v>
      </c>
    </row>
    <row r="786">
      <c r="A786" s="118" t="n">
        <v>45574</v>
      </c>
      <c r="B786" s="119" t="n">
        <v>77.66009507705432</v>
      </c>
      <c r="C786" s="119" t="n">
        <v>79.37332705060055</v>
      </c>
      <c r="D786" s="119" t="n">
        <v>77.59309750500223</v>
      </c>
      <c r="E786" s="119" t="n">
        <v>78.91390991210938</v>
      </c>
      <c r="F786" s="120" t="n">
        <v>11750600</v>
      </c>
      <c r="G786" s="121" t="n">
        <v>0.02079979693361467</v>
      </c>
      <c r="H786" s="122" t="n">
        <v>51.35382010729116</v>
      </c>
      <c r="I786" s="119" t="n">
        <v>77.52374908447266</v>
      </c>
      <c r="J786" s="119" t="n">
        <v>86.47911979675293</v>
      </c>
      <c r="K786" s="121" t="n">
        <v>0.3816408304381154</v>
      </c>
      <c r="L786" s="121" t="n">
        <v>-0.07815304485929775</v>
      </c>
      <c r="M786" s="121" t="n">
        <v>-0.3196473539045309</v>
      </c>
      <c r="N786" t="n">
        <v>48.07741586410795</v>
      </c>
      <c r="O786" t="n">
        <v>-0.7131433703177987</v>
      </c>
      <c r="P786" t="n">
        <v>135.5881804180094</v>
      </c>
      <c r="Q786" t="n">
        <v>135.2179392189271</v>
      </c>
    </row>
    <row r="787">
      <c r="A787" s="118" t="n">
        <v>45575</v>
      </c>
      <c r="B787" s="119" t="n">
        <v>79.8231673692912</v>
      </c>
      <c r="C787" s="119" t="n">
        <v>79.87101860303206</v>
      </c>
      <c r="D787" s="119" t="n">
        <v>78.51192088804417</v>
      </c>
      <c r="E787" s="119" t="n">
        <v>78.57891845703125</v>
      </c>
      <c r="F787" s="120" t="n">
        <v>8370200</v>
      </c>
      <c r="G787" s="121" t="n">
        <v>-0.004245024171926404</v>
      </c>
      <c r="H787" s="122" t="n">
        <v>51.13582189961495</v>
      </c>
      <c r="I787" s="119" t="n">
        <v>77.66870239257813</v>
      </c>
      <c r="J787" s="119" t="n">
        <v>86.36110736846923</v>
      </c>
      <c r="K787" s="121" t="n">
        <v>0.3823502817080426</v>
      </c>
      <c r="L787" s="121" t="n">
        <v>-0.08206630746668664</v>
      </c>
      <c r="M787" s="121" t="n">
        <v>-0.3225354673326403</v>
      </c>
      <c r="N787" t="n">
        <v>46.99803453921295</v>
      </c>
      <c r="O787" t="n">
        <v>-0.6739463589898296</v>
      </c>
      <c r="P787" t="n">
        <v>135.3508814932152</v>
      </c>
      <c r="Q787" t="n">
        <v>135.0643928119848</v>
      </c>
    </row>
    <row r="788">
      <c r="A788" s="118" t="n">
        <v>45576</v>
      </c>
      <c r="B788" s="119" t="n">
        <v>78.52150232993385</v>
      </c>
      <c r="C788" s="119" t="n">
        <v>78.74163409315054</v>
      </c>
      <c r="D788" s="119" t="n">
        <v>77.69838508010598</v>
      </c>
      <c r="E788" s="119" t="n">
        <v>78.62678527832031</v>
      </c>
      <c r="F788" s="120" t="n">
        <v>10171100</v>
      </c>
      <c r="G788" s="121" t="n">
        <v>0.0006091560208383306</v>
      </c>
      <c r="H788" s="122" t="n">
        <v>51.16697159340562</v>
      </c>
      <c r="I788" s="119" t="n">
        <v>77.8338607788086</v>
      </c>
      <c r="J788" s="119" t="n">
        <v>86.24342884063721</v>
      </c>
      <c r="K788" s="121" t="n">
        <v>0.3819048792983721</v>
      </c>
      <c r="L788" s="121" t="n">
        <v>-0.08150714263114955</v>
      </c>
      <c r="M788" s="121" t="n">
        <v>-0.3221227857336616</v>
      </c>
      <c r="N788" t="n">
        <v>47.18051379362868</v>
      </c>
      <c r="O788" t="n">
        <v>-0.6191515334571867</v>
      </c>
      <c r="P788" t="n">
        <v>136.161379658524</v>
      </c>
      <c r="Q788" t="n">
        <v>135.2755075116151</v>
      </c>
    </row>
    <row r="789">
      <c r="A789" s="118" t="n">
        <v>45579</v>
      </c>
      <c r="B789" s="119" t="n">
        <v>78.48321107758187</v>
      </c>
      <c r="C789" s="119" t="n">
        <v>78.52149644705297</v>
      </c>
      <c r="D789" s="119" t="n">
        <v>77.33467920219961</v>
      </c>
      <c r="E789" s="119" t="n">
        <v>78.10036468505859</v>
      </c>
      <c r="F789" s="120" t="n">
        <v>8177700</v>
      </c>
      <c r="G789" s="121" t="n">
        <v>-0.006695181437194941</v>
      </c>
      <c r="H789" s="122" t="n">
        <v>50.82439943499597</v>
      </c>
      <c r="I789" s="119" t="n">
        <v>77.98544143676757</v>
      </c>
      <c r="J789" s="119" t="n">
        <v>86.12732692718505</v>
      </c>
      <c r="K789" s="121" t="n">
        <v>0.3819959705599686</v>
      </c>
      <c r="L789" s="121" t="n">
        <v>-0.08765661896000165</v>
      </c>
      <c r="M789" s="121" t="n">
        <v>-0.326661296675315</v>
      </c>
      <c r="N789" t="n">
        <v>45.33205450089446</v>
      </c>
      <c r="O789" t="n">
        <v>-0.5926912450297908</v>
      </c>
      <c r="P789" t="n">
        <v>137.2749695437598</v>
      </c>
      <c r="Q789" t="n">
        <v>136.4106785889941</v>
      </c>
    </row>
    <row r="790">
      <c r="A790" s="118" t="n">
        <v>45580</v>
      </c>
      <c r="B790" s="119" t="n">
        <v>77.57395832236452</v>
      </c>
      <c r="C790" s="119" t="n">
        <v>79.17233418267708</v>
      </c>
      <c r="D790" s="119" t="n">
        <v>77.57395832236452</v>
      </c>
      <c r="E790" s="119" t="n">
        <v>78.59806823730469</v>
      </c>
      <c r="F790" s="120" t="n">
        <v>11804400</v>
      </c>
      <c r="G790" s="121" t="n">
        <v>0.00637261495836916</v>
      </c>
      <c r="H790" s="122" t="n">
        <v>51.14828376308556</v>
      </c>
      <c r="I790" s="119" t="n">
        <v>78.1963346862793</v>
      </c>
      <c r="J790" s="119" t="n">
        <v>86.00572174072266</v>
      </c>
      <c r="K790" s="121" t="n">
        <v>0.3809617192584926</v>
      </c>
      <c r="L790" s="121" t="n">
        <v>-0.081842605882817</v>
      </c>
      <c r="M790" s="121" t="n">
        <v>-0.3223703683824591</v>
      </c>
      <c r="N790" t="n">
        <v>47.42913406937615</v>
      </c>
      <c r="O790" t="n">
        <v>-0.5186695139095664</v>
      </c>
      <c r="P790" t="n">
        <v>136.2083828742639</v>
      </c>
      <c r="Q790" t="n">
        <v>134.5873055075326</v>
      </c>
    </row>
    <row r="791">
      <c r="A791" s="118" t="n">
        <v>45581</v>
      </c>
      <c r="B791" s="119" t="n">
        <v>78.61719901001472</v>
      </c>
      <c r="C791" s="119" t="n">
        <v>80.48356496190193</v>
      </c>
      <c r="D791" s="119" t="n">
        <v>78.53106241324464</v>
      </c>
      <c r="E791" s="119" t="n">
        <v>80.34000396728516</v>
      </c>
      <c r="F791" s="120" t="n">
        <v>11220600</v>
      </c>
      <c r="G791" s="121" t="n">
        <v>0.02216257688065792</v>
      </c>
      <c r="H791" s="122" t="n">
        <v>52.28186153429865</v>
      </c>
      <c r="I791" s="119" t="n">
        <v>78.42148483276367</v>
      </c>
      <c r="J791" s="119" t="n">
        <v>85.89400840759278</v>
      </c>
      <c r="K791" s="121" t="n">
        <v>0.3881700398909519</v>
      </c>
      <c r="L791" s="121" t="n">
        <v>-0.0614938720471504</v>
      </c>
      <c r="M791" s="121" t="n">
        <v>-0.3073523495751235</v>
      </c>
      <c r="N791" t="n">
        <v>54.06999945722943</v>
      </c>
      <c r="O791" t="n">
        <v>-0.338131389820144</v>
      </c>
      <c r="P791" t="n">
        <v>136.8004009614291</v>
      </c>
      <c r="Q791" t="n">
        <v>134.6037451475831</v>
      </c>
    </row>
    <row r="792">
      <c r="A792" s="118" t="n">
        <v>45582</v>
      </c>
      <c r="B792" s="119" t="n">
        <v>80.50272243283035</v>
      </c>
      <c r="C792" s="119" t="n">
        <v>81.1248469369206</v>
      </c>
      <c r="D792" s="119" t="n">
        <v>79.80402718622699</v>
      </c>
      <c r="E792" s="119" t="n">
        <v>79.82317352294922</v>
      </c>
      <c r="F792" s="120" t="n">
        <v>9204500</v>
      </c>
      <c r="G792" s="121" t="n">
        <v>-0.006433039815960107</v>
      </c>
      <c r="H792" s="122" t="n">
        <v>51.94553023739599</v>
      </c>
      <c r="I792" s="119" t="n">
        <v>78.63401123046874</v>
      </c>
      <c r="J792" s="119" t="n">
        <v>85.78926326751709</v>
      </c>
      <c r="K792" s="121" t="n">
        <v>0.3893518388276169</v>
      </c>
      <c r="L792" s="121" t="n">
        <v>-0.0675313193357937</v>
      </c>
      <c r="M792" s="121" t="n">
        <v>-0.3118081794887378</v>
      </c>
      <c r="N792" t="n">
        <v>51.97225885793702</v>
      </c>
      <c r="O792" t="n">
        <v>-0.2436734714938291</v>
      </c>
      <c r="P792" t="n">
        <v>136.8121517653641</v>
      </c>
      <c r="Q792" t="n">
        <v>134.6969791000415</v>
      </c>
    </row>
    <row r="793">
      <c r="A793" s="118" t="n">
        <v>45583</v>
      </c>
      <c r="B793" s="119" t="n">
        <v>80.18687147725207</v>
      </c>
      <c r="C793" s="119" t="n">
        <v>80.34957882415112</v>
      </c>
      <c r="D793" s="119" t="n">
        <v>79.08619081482786</v>
      </c>
      <c r="E793" s="119" t="n">
        <v>79.36375427246094</v>
      </c>
      <c r="F793" s="120" t="n">
        <v>7214800</v>
      </c>
      <c r="G793" s="121" t="n">
        <v>-0.005755462107206233</v>
      </c>
      <c r="H793" s="122" t="n">
        <v>51.64655970647591</v>
      </c>
      <c r="I793" s="119" t="n">
        <v>78.80742950439453</v>
      </c>
      <c r="J793" s="119" t="n">
        <v>85.69409046173095</v>
      </c>
      <c r="K793" s="121" t="n">
        <v>0.299623329048528</v>
      </c>
      <c r="L793" s="121" t="n">
        <v>-0.07289810749351322</v>
      </c>
      <c r="M793" s="121" t="n">
        <v>-0.3157690414341797</v>
      </c>
      <c r="N793" t="n">
        <v>50.11113431625176</v>
      </c>
      <c r="O793" t="n">
        <v>-0.2039013692521571</v>
      </c>
      <c r="P793" t="n">
        <v>137.3384063246541</v>
      </c>
      <c r="Q793" t="n">
        <v>135.5798730508535</v>
      </c>
    </row>
    <row r="794">
      <c r="A794" s="118" t="n">
        <v>45586</v>
      </c>
      <c r="B794" s="119" t="n">
        <v>79.29675868753222</v>
      </c>
      <c r="C794" s="119" t="n">
        <v>79.52646361256973</v>
      </c>
      <c r="D794" s="119" t="n">
        <v>77.94723403797545</v>
      </c>
      <c r="E794" s="119" t="n">
        <v>77.98551940917969</v>
      </c>
      <c r="F794" s="120" t="n">
        <v>7550200</v>
      </c>
      <c r="G794" s="121" t="n">
        <v>-0.01736604922380158</v>
      </c>
      <c r="H794" s="122" t="n">
        <v>50.74966300837325</v>
      </c>
      <c r="I794" s="119" t="n">
        <v>78.95042465209961</v>
      </c>
      <c r="J794" s="119" t="n">
        <v>85.60025478363038</v>
      </c>
      <c r="K794" s="121" t="n">
        <v>0.30456893042378</v>
      </c>
      <c r="L794" s="121" t="n">
        <v>-0.08899820459426044</v>
      </c>
      <c r="M794" s="121" t="n">
        <v>-0.3276514299410827</v>
      </c>
      <c r="N794" t="n">
        <v>44.91485410732984</v>
      </c>
      <c r="O794" t="n">
        <v>-0.2586621298339474</v>
      </c>
      <c r="P794" t="n">
        <v>137.1128728374238</v>
      </c>
      <c r="Q794" t="n">
        <v>135.8403573320836</v>
      </c>
    </row>
    <row r="795">
      <c r="A795" s="118" t="n">
        <v>45587</v>
      </c>
      <c r="B795" s="119" t="n">
        <v>77.86108013229386</v>
      </c>
      <c r="C795" s="119" t="n">
        <v>78.88518994843284</v>
      </c>
      <c r="D795" s="119" t="n">
        <v>77.74623133561205</v>
      </c>
      <c r="E795" s="119" t="n">
        <v>77.92807769775391</v>
      </c>
      <c r="F795" s="120" t="n">
        <v>7308800</v>
      </c>
      <c r="G795" s="121" t="n">
        <v>-0.0007365689407592413</v>
      </c>
      <c r="H795" s="122" t="n">
        <v>50.71228238284728</v>
      </c>
      <c r="I795" s="119" t="n">
        <v>79.08655380249023</v>
      </c>
      <c r="J795" s="119" t="n">
        <v>85.50717216491699</v>
      </c>
      <c r="K795" s="121" t="n">
        <v>0.2978377269169995</v>
      </c>
      <c r="L795" s="121" t="n">
        <v>-0.08966922022173218</v>
      </c>
      <c r="M795" s="121" t="n">
        <v>-0.328146661015152</v>
      </c>
      <c r="N795" t="n">
        <v>44.70677880662458</v>
      </c>
      <c r="O795" t="n">
        <v>-0.2849241312163572</v>
      </c>
      <c r="P795" t="n">
        <v>137.040041266833</v>
      </c>
      <c r="Q795" t="n">
        <v>135.9884154154344</v>
      </c>
    </row>
    <row r="796">
      <c r="A796" s="118" t="n">
        <v>45588</v>
      </c>
      <c r="B796" s="119" t="n">
        <v>77.52609796085021</v>
      </c>
      <c r="C796" s="119" t="n">
        <v>77.56438332993288</v>
      </c>
      <c r="D796" s="119" t="n">
        <v>76.36799292930247</v>
      </c>
      <c r="E796" s="119" t="n">
        <v>76.61684417724609</v>
      </c>
      <c r="F796" s="120" t="n">
        <v>7253100</v>
      </c>
      <c r="G796" s="121" t="n">
        <v>-0.01682620127745826</v>
      </c>
      <c r="H796" s="122" t="n">
        <v>49.85898731223419</v>
      </c>
      <c r="I796" s="119" t="n">
        <v>79.1228970336914</v>
      </c>
      <c r="J796" s="119" t="n">
        <v>85.40025085449219</v>
      </c>
      <c r="K796" s="121" t="n">
        <v>0.2992184873111876</v>
      </c>
      <c r="L796" s="121" t="n">
        <v>-0.1049866291513469</v>
      </c>
      <c r="M796" s="121" t="n">
        <v>-0.3394514005258434</v>
      </c>
      <c r="N796" t="n">
        <v>40.13588873069461</v>
      </c>
      <c r="O796" t="n">
        <v>-0.37131162937701</v>
      </c>
      <c r="P796" t="n">
        <v>135.7878416495024</v>
      </c>
      <c r="Q796" t="n">
        <v>133.904549609168</v>
      </c>
    </row>
    <row r="797">
      <c r="A797" s="118" t="n">
        <v>45589</v>
      </c>
      <c r="B797" s="119" t="n">
        <v>77.04754491125472</v>
      </c>
      <c r="C797" s="119" t="n">
        <v>77.33468153987364</v>
      </c>
      <c r="D797" s="119" t="n">
        <v>75.64058857496002</v>
      </c>
      <c r="E797" s="119" t="n">
        <v>75.65016174316406</v>
      </c>
      <c r="F797" s="120" t="n">
        <v>7424500</v>
      </c>
      <c r="G797" s="121" t="n">
        <v>-0.01261710064494037</v>
      </c>
      <c r="H797" s="122" t="n">
        <v>49.22991145126093</v>
      </c>
      <c r="I797" s="119" t="n">
        <v>79.13952560424805</v>
      </c>
      <c r="J797" s="119" t="n">
        <v>85.29265762329102</v>
      </c>
      <c r="K797" s="121" t="n">
        <v>0.2904642761768159</v>
      </c>
      <c r="L797" s="121" t="n">
        <v>-0.1162791029299117</v>
      </c>
      <c r="M797" s="121" t="n">
        <v>-0.3477856086862833</v>
      </c>
      <c r="N797" t="n">
        <v>37.12251334100834</v>
      </c>
      <c r="O797" t="n">
        <v>-0.4680213089781933</v>
      </c>
      <c r="P797" t="n">
        <v>136.0815385797329</v>
      </c>
      <c r="Q797" t="n">
        <v>134.9903679920968</v>
      </c>
    </row>
    <row r="798">
      <c r="A798" s="118" t="n">
        <v>45590</v>
      </c>
      <c r="B798" s="119" t="n">
        <v>75.82244169414643</v>
      </c>
      <c r="C798" s="119" t="n">
        <v>76.16700272504308</v>
      </c>
      <c r="D798" s="119" t="n">
        <v>75.15245866643065</v>
      </c>
      <c r="E798" s="119" t="n">
        <v>75.46830749511719</v>
      </c>
      <c r="F798" s="120" t="n">
        <v>9385400</v>
      </c>
      <c r="G798" s="121" t="n">
        <v>-0.002403884457832128</v>
      </c>
      <c r="H798" s="122" t="n">
        <v>49.11156843226279</v>
      </c>
      <c r="I798" s="119" t="n">
        <v>79.07666931152343</v>
      </c>
      <c r="J798" s="119" t="n">
        <v>85.17928440093993</v>
      </c>
      <c r="K798" s="121" t="n">
        <v>0.2897703604758786</v>
      </c>
      <c r="L798" s="121" t="n">
        <v>-0.1184034658594401</v>
      </c>
      <c r="M798" s="121" t="n">
        <v>-0.3493534567247367</v>
      </c>
      <c r="N798" t="n">
        <v>36.56631983540608</v>
      </c>
      <c r="O798" t="n">
        <v>-0.5149784341573869</v>
      </c>
      <c r="P798" t="n">
        <v>136.0345207303642</v>
      </c>
      <c r="Q798" t="n">
        <v>135.8129326012753</v>
      </c>
    </row>
    <row r="799">
      <c r="A799" s="118" t="n">
        <v>45593</v>
      </c>
      <c r="B799" s="119" t="n">
        <v>75.91815385667475</v>
      </c>
      <c r="C799" s="119" t="n">
        <v>76.22442952686161</v>
      </c>
      <c r="D799" s="119" t="n">
        <v>75.43959766562102</v>
      </c>
      <c r="E799" s="119" t="n">
        <v>75.52574157714844</v>
      </c>
      <c r="F799" s="120" t="n">
        <v>6617200</v>
      </c>
      <c r="G799" s="121" t="n">
        <v>0.0007610357769711751</v>
      </c>
      <c r="H799" s="122" t="n">
        <v>49.14894409290291</v>
      </c>
      <c r="I799" s="119" t="n">
        <v>79.00104995727538</v>
      </c>
      <c r="J799" s="119" t="n">
        <v>85.05612583160401</v>
      </c>
      <c r="K799" s="121" t="n">
        <v>0.2899831907824692</v>
      </c>
      <c r="L799" s="121" t="n">
        <v>-0.1177325393561052</v>
      </c>
      <c r="M799" s="121" t="n">
        <v>-0.3488582914271416</v>
      </c>
      <c r="N799" t="n">
        <v>36.88793155975971</v>
      </c>
      <c r="O799" t="n">
        <v>-0.5118454897718623</v>
      </c>
      <c r="P799" t="n">
        <v>136.4550765887546</v>
      </c>
      <c r="Q799" t="n">
        <v>135.8348690084921</v>
      </c>
    </row>
    <row r="800">
      <c r="A800" s="118" t="n">
        <v>45594</v>
      </c>
      <c r="B800" s="119" t="n">
        <v>75.49702277349499</v>
      </c>
      <c r="C800" s="119" t="n">
        <v>76.0617228813243</v>
      </c>
      <c r="D800" s="119" t="n">
        <v>74.84618605552572</v>
      </c>
      <c r="E800" s="119" t="n">
        <v>75.03761291503906</v>
      </c>
      <c r="F800" s="120" t="n">
        <v>7241100</v>
      </c>
      <c r="G800" s="121" t="n">
        <v>-0.006463076719488536</v>
      </c>
      <c r="H800" s="122" t="n">
        <v>48.83129069654862</v>
      </c>
      <c r="I800" s="119" t="n">
        <v>78.91471496582031</v>
      </c>
      <c r="J800" s="119" t="n">
        <v>84.93449890136719</v>
      </c>
      <c r="K800" s="121" t="n">
        <v>0.2853923399670415</v>
      </c>
      <c r="L800" s="121" t="n">
        <v>-0.1234347016413551</v>
      </c>
      <c r="M800" s="121" t="n">
        <v>-0.3530666702449069</v>
      </c>
      <c r="N800" t="n">
        <v>35.2520723408819</v>
      </c>
      <c r="O800" t="n">
        <v>-0.5111312347008529</v>
      </c>
      <c r="P800" t="n">
        <v>136.6759126811367</v>
      </c>
      <c r="Q800" t="n">
        <v>137.1400261328638</v>
      </c>
    </row>
    <row r="801">
      <c r="A801" s="118" t="n">
        <v>45595</v>
      </c>
      <c r="B801" s="119" t="n">
        <v>74.65475336746219</v>
      </c>
      <c r="C801" s="119" t="n">
        <v>74.76003629612971</v>
      </c>
      <c r="D801" s="119" t="n">
        <v>73.14251430313493</v>
      </c>
      <c r="E801" s="119" t="n">
        <v>73.17122650146484</v>
      </c>
      <c r="F801" s="120" t="n">
        <v>15691300</v>
      </c>
      <c r="G801" s="121" t="n">
        <v>-0.02487267839513263</v>
      </c>
      <c r="H801" s="122" t="n">
        <v>47.61672570743414</v>
      </c>
      <c r="I801" s="119" t="n">
        <v>78.78571640014648</v>
      </c>
      <c r="J801" s="119" t="n">
        <v>84.8193344116211</v>
      </c>
      <c r="K801" s="121" t="n">
        <v>0.186574183826665</v>
      </c>
      <c r="L801" s="121" t="n">
        <v>-0.1452372283997632</v>
      </c>
      <c r="M801" s="121" t="n">
        <v>-0.3691576348989976</v>
      </c>
      <c r="N801" t="n">
        <v>29.80882130187126</v>
      </c>
      <c r="O801" t="n">
        <v>-0.5987626280274168</v>
      </c>
      <c r="P801" t="n">
        <v>136.2624248654618</v>
      </c>
      <c r="Q801" t="n">
        <v>136.1035857751095</v>
      </c>
    </row>
    <row r="802">
      <c r="A802" s="118" t="n">
        <v>45596</v>
      </c>
      <c r="B802" s="119" t="n">
        <v>72.93196008887509</v>
      </c>
      <c r="C802" s="119" t="n">
        <v>74.02306761271994</v>
      </c>
      <c r="D802" s="119" t="n">
        <v>71.97484771341905</v>
      </c>
      <c r="E802" s="119" t="n">
        <v>73.82207489013672</v>
      </c>
      <c r="F802" s="120" t="n">
        <v>13990100</v>
      </c>
      <c r="G802" s="121" t="n">
        <v>0.008894867829758901</v>
      </c>
      <c r="H802" s="122" t="n">
        <v>48.04027018908765</v>
      </c>
      <c r="I802" s="119" t="n">
        <v>78.66134963989258</v>
      </c>
      <c r="J802" s="119" t="n">
        <v>84.71168018341065</v>
      </c>
      <c r="K802" s="121" t="n">
        <v>0.1895314592429027</v>
      </c>
      <c r="L802" s="121" t="n">
        <v>-0.1376342265205805</v>
      </c>
      <c r="M802" s="121" t="n">
        <v>-0.3635463754400117</v>
      </c>
      <c r="N802" t="n">
        <v>33.65596615254954</v>
      </c>
      <c r="O802" t="n">
        <v>-0.575164834281396</v>
      </c>
      <c r="P802" t="n">
        <v>133.591260796874</v>
      </c>
      <c r="Q802" t="n">
        <v>132.6679458682422</v>
      </c>
    </row>
    <row r="803">
      <c r="A803" s="118" t="n">
        <v>45597</v>
      </c>
      <c r="B803" s="119" t="n">
        <v>73.74550296094723</v>
      </c>
      <c r="C803" s="119" t="n">
        <v>74.77917865779094</v>
      </c>
      <c r="D803" s="119" t="n">
        <v>73.65935905993446</v>
      </c>
      <c r="E803" s="119" t="n">
        <v>74.71218109130859</v>
      </c>
      <c r="F803" s="120" t="n">
        <v>9623700</v>
      </c>
      <c r="G803" s="121" t="n">
        <v>0.01205745303822114</v>
      </c>
      <c r="H803" s="122" t="n">
        <v>48.61951349083603</v>
      </c>
      <c r="I803" s="119" t="n">
        <v>78.5660285949707</v>
      </c>
      <c r="J803" s="119" t="n">
        <v>84.60790901184082</v>
      </c>
      <c r="K803" s="121" t="n">
        <v>0.1963780206773816</v>
      </c>
      <c r="L803" s="121" t="n">
        <v>-0.1272362917050832</v>
      </c>
      <c r="M803" s="121" t="n">
        <v>-0.355872365750874</v>
      </c>
      <c r="N803" t="n">
        <v>38.61149212324376</v>
      </c>
      <c r="O803" t="n">
        <v>-0.4665079846423288</v>
      </c>
      <c r="P803" t="n">
        <v>134.155079881321</v>
      </c>
      <c r="Q803" t="n">
        <v>133.6495452079546</v>
      </c>
    </row>
    <row r="804">
      <c r="A804" s="118" t="n">
        <v>45600</v>
      </c>
      <c r="B804" s="119" t="n">
        <v>74.64519451582429</v>
      </c>
      <c r="C804" s="119" t="n">
        <v>75.18118242879069</v>
      </c>
      <c r="D804" s="119" t="n">
        <v>73.80293822714589</v>
      </c>
      <c r="E804" s="119" t="n">
        <v>73.87950897216797</v>
      </c>
      <c r="F804" s="120" t="n">
        <v>6593800</v>
      </c>
      <c r="G804" s="121" t="n">
        <v>-0.01114506506138513</v>
      </c>
      <c r="H804" s="122" t="n">
        <v>48.07764584972777</v>
      </c>
      <c r="I804" s="119" t="n">
        <v>78.44185760498047</v>
      </c>
      <c r="J804" s="119" t="n">
        <v>84.49600219726562</v>
      </c>
      <c r="K804" s="121" t="n">
        <v>0.1914307174135898</v>
      </c>
      <c r="L804" s="121" t="n">
        <v>-0.1369633000172459</v>
      </c>
      <c r="M804" s="121" t="n">
        <v>-0.3630512101424166</v>
      </c>
      <c r="N804" t="n">
        <v>35.90932616692621</v>
      </c>
      <c r="O804" t="n">
        <v>-0.4191141598584254</v>
      </c>
      <c r="P804" t="n">
        <v>133.8661096131964</v>
      </c>
      <c r="Q804" t="n">
        <v>133.2602035323694</v>
      </c>
    </row>
    <row r="805">
      <c r="A805" s="118" t="n">
        <v>45601</v>
      </c>
      <c r="B805" s="119" t="n">
        <v>73.93692492756331</v>
      </c>
      <c r="C805" s="119" t="n">
        <v>74.65475915016101</v>
      </c>
      <c r="D805" s="119" t="n">
        <v>73.69764685336408</v>
      </c>
      <c r="E805" s="119" t="n">
        <v>74.6356201171875</v>
      </c>
      <c r="F805" s="120" t="n">
        <v>5629200</v>
      </c>
      <c r="G805" s="121" t="n">
        <v>0.01023438238205365</v>
      </c>
      <c r="H805" s="122" t="n">
        <v>48.56969086138284</v>
      </c>
      <c r="I805" s="119" t="n">
        <v>78.32842559814453</v>
      </c>
      <c r="J805" s="119" t="n">
        <v>84.39364521026611</v>
      </c>
      <c r="K805" s="121" t="n">
        <v>0.1964629228884573</v>
      </c>
      <c r="L805" s="121" t="n">
        <v>-0.1281306524198765</v>
      </c>
      <c r="M805" s="121" t="n">
        <v>-0.3565324326692277</v>
      </c>
      <c r="N805" t="n">
        <v>40.01455718852517</v>
      </c>
      <c r="O805" t="n">
        <v>-0.3102555926217985</v>
      </c>
      <c r="P805" t="n">
        <v>135.4848084640907</v>
      </c>
      <c r="Q805" t="n">
        <v>134.9601906559179</v>
      </c>
    </row>
    <row r="806">
      <c r="A806" s="118" t="n">
        <v>45602</v>
      </c>
      <c r="B806" s="119" t="n">
        <v>73.57323357710467</v>
      </c>
      <c r="C806" s="119" t="n">
        <v>73.64979702023292</v>
      </c>
      <c r="D806" s="119" t="n">
        <v>71.89828685979552</v>
      </c>
      <c r="E806" s="119" t="n">
        <v>72.08970642089844</v>
      </c>
      <c r="F806" s="120" t="n">
        <v>16193700</v>
      </c>
      <c r="G806" s="121" t="n">
        <v>-0.03411124195513682</v>
      </c>
      <c r="H806" s="122" t="n">
        <v>46.91291838472401</v>
      </c>
      <c r="I806" s="119" t="n">
        <v>78.14482757568359</v>
      </c>
      <c r="J806" s="119" t="n">
        <v>84.27222190856934</v>
      </c>
      <c r="K806" s="121" t="n">
        <v>0.2093818878085618</v>
      </c>
      <c r="L806" s="121" t="n">
        <v>-0.1578711986884495</v>
      </c>
      <c r="M806" s="121" t="n">
        <v>-0.378481910548731</v>
      </c>
      <c r="N806" t="n">
        <v>32.47233948065019</v>
      </c>
      <c r="O806" t="n">
        <v>-0.3785990375469042</v>
      </c>
      <c r="P806" t="n">
        <v>138.8537039543721</v>
      </c>
      <c r="Q806" t="n">
        <v>138.6261543949861</v>
      </c>
    </row>
    <row r="807">
      <c r="A807" s="118" t="n">
        <v>45603</v>
      </c>
      <c r="B807" s="119" t="n">
        <v>72.45341266025382</v>
      </c>
      <c r="C807" s="119" t="n">
        <v>73.09468357899732</v>
      </c>
      <c r="D807" s="119" t="n">
        <v>71.98442958419623</v>
      </c>
      <c r="E807" s="119" t="n">
        <v>72.66397857666016</v>
      </c>
      <c r="F807" s="120" t="n">
        <v>11831100</v>
      </c>
      <c r="G807" s="121" t="n">
        <v>0.007966077048626286</v>
      </c>
      <c r="H807" s="122" t="n">
        <v>47.28663030715263</v>
      </c>
      <c r="I807" s="119" t="n">
        <v>78.0203581237793</v>
      </c>
      <c r="J807" s="119" t="n">
        <v>84.15906097412109</v>
      </c>
      <c r="K807" s="121" t="n">
        <v>0.2139606075487561</v>
      </c>
      <c r="L807" s="121" t="n">
        <v>-0.1511627357723344</v>
      </c>
      <c r="M807" s="121" t="n">
        <v>-0.3735308495610473</v>
      </c>
      <c r="N807" t="n">
        <v>35.42884288553677</v>
      </c>
      <c r="O807" t="n">
        <v>-0.3544407188622802</v>
      </c>
      <c r="P807" t="n">
        <v>139.9273293993259</v>
      </c>
      <c r="Q807" t="n">
        <v>140.8087087030036</v>
      </c>
    </row>
    <row r="808">
      <c r="A808" s="118" t="n">
        <v>45604</v>
      </c>
      <c r="B808" s="119" t="n">
        <v>72.26197896929369</v>
      </c>
      <c r="C808" s="119" t="n">
        <v>73.27651567507654</v>
      </c>
      <c r="D808" s="119" t="n">
        <v>72.02270089323643</v>
      </c>
      <c r="E808" s="119" t="n">
        <v>72.62567901611328</v>
      </c>
      <c r="F808" s="120" t="n">
        <v>8140800</v>
      </c>
      <c r="G808" s="121" t="n">
        <v>-0.0005270776703545366</v>
      </c>
      <c r="H808" s="122" t="n">
        <v>47.26170658021142</v>
      </c>
      <c r="I808" s="119" t="n">
        <v>77.8861654663086</v>
      </c>
      <c r="J808" s="119" t="n">
        <v>84.04566127777099</v>
      </c>
      <c r="K808" s="121" t="n">
        <v>0.2136865987717763</v>
      </c>
      <c r="L808" s="121" t="n">
        <v>-0.1516101389400737</v>
      </c>
      <c r="M808" s="121" t="n">
        <v>-0.3738610474614096</v>
      </c>
      <c r="N808" t="n">
        <v>35.31778462982761</v>
      </c>
      <c r="O808" t="n">
        <v>-0.3118555595505215</v>
      </c>
      <c r="P808" t="n">
        <v>140.5334835719222</v>
      </c>
      <c r="Q808" t="n">
        <v>140.9732402007037</v>
      </c>
    </row>
    <row r="809">
      <c r="A809" s="118" t="n">
        <v>45607</v>
      </c>
      <c r="B809" s="119" t="n">
        <v>72.88410644329879</v>
      </c>
      <c r="C809" s="119" t="n">
        <v>74.08049687308969</v>
      </c>
      <c r="D809" s="119" t="n">
        <v>72.83624790523209</v>
      </c>
      <c r="E809" s="119" t="n">
        <v>73.31480407714844</v>
      </c>
      <c r="F809" s="120" t="n">
        <v>9877200</v>
      </c>
      <c r="G809" s="121" t="n">
        <v>0.009488724516878655</v>
      </c>
      <c r="H809" s="122" t="n">
        <v>47.7101598941486</v>
      </c>
      <c r="I809" s="119" t="n">
        <v>77.76461227416992</v>
      </c>
      <c r="J809" s="119" t="n">
        <v>83.92634399414062</v>
      </c>
      <c r="K809" s="121" t="n">
        <v>0.2185212004009974</v>
      </c>
      <c r="L809" s="121" t="n">
        <v>-0.1435600012655631</v>
      </c>
      <c r="M809" s="121" t="n">
        <v>-0.3679197874314839</v>
      </c>
      <c r="N809" t="n">
        <v>39.021676472412</v>
      </c>
      <c r="O809" t="n">
        <v>-0.2128198760857447</v>
      </c>
      <c r="P809" t="n">
        <v>140.6673666419112</v>
      </c>
      <c r="Q809" t="n">
        <v>140.8909997825779</v>
      </c>
    </row>
    <row r="810">
      <c r="A810" s="118" t="n">
        <v>45608</v>
      </c>
      <c r="B810" s="119" t="n">
        <v>73.18081130290182</v>
      </c>
      <c r="C810" s="119" t="n">
        <v>74.1092114748327</v>
      </c>
      <c r="D810" s="119" t="n">
        <v>72.87453563504515</v>
      </c>
      <c r="E810" s="119" t="n">
        <v>73.37223815917969</v>
      </c>
      <c r="F810" s="120" t="n">
        <v>9013900</v>
      </c>
      <c r="G810" s="121" t="n">
        <v>0.0007833899681544132</v>
      </c>
      <c r="H810" s="122" t="n">
        <v>47.74753555478872</v>
      </c>
      <c r="I810" s="119" t="n">
        <v>77.67540924072266</v>
      </c>
      <c r="J810" s="119" t="n">
        <v>83.80197021484375</v>
      </c>
      <c r="K810" s="121" t="n">
        <v>0.2162076556998654</v>
      </c>
      <c r="L810" s="121" t="n">
        <v>-0.1428890747622283</v>
      </c>
      <c r="M810" s="121" t="n">
        <v>-0.3674246221338888</v>
      </c>
      <c r="N810" t="n">
        <v>39.33347842347577</v>
      </c>
      <c r="O810" t="n">
        <v>-0.1234216948742746</v>
      </c>
      <c r="P810" t="n">
        <v>140.230406485624</v>
      </c>
      <c r="Q810" t="n">
        <v>140.6359784942151</v>
      </c>
    </row>
    <row r="811">
      <c r="A811" s="118" t="n">
        <v>45609</v>
      </c>
      <c r="B811" s="119" t="n">
        <v>73.61150834834962</v>
      </c>
      <c r="C811" s="119" t="n">
        <v>73.97520838294092</v>
      </c>
      <c r="D811" s="119" t="n">
        <v>73.19037661194811</v>
      </c>
      <c r="E811" s="119" t="n">
        <v>73.23822784423828</v>
      </c>
      <c r="F811" s="120" t="n">
        <v>6835300</v>
      </c>
      <c r="G811" s="121" t="n">
        <v>-0.001826444419627427</v>
      </c>
      <c r="H811" s="122" t="n">
        <v>47.66032733492371</v>
      </c>
      <c r="I811" s="119" t="n">
        <v>77.58926895141602</v>
      </c>
      <c r="J811" s="119" t="n">
        <v>83.67550769805908</v>
      </c>
      <c r="K811" s="121" t="n">
        <v>0.1943320021587491</v>
      </c>
      <c r="L811" s="121" t="n">
        <v>-0.1444545402286306</v>
      </c>
      <c r="M811" s="121" t="n">
        <v>-0.3685799859027861</v>
      </c>
      <c r="N811" t="n">
        <v>38.83450847736705</v>
      </c>
      <c r="O811" t="n">
        <v>-0.05668674490582948</v>
      </c>
      <c r="P811" t="n">
        <v>140.2985552949954</v>
      </c>
      <c r="Q811" t="n">
        <v>140.4550158000392</v>
      </c>
    </row>
    <row r="812">
      <c r="A812" s="118" t="n">
        <v>45610</v>
      </c>
      <c r="B812" s="119" t="n">
        <v>73.39137751574401</v>
      </c>
      <c r="C812" s="119" t="n">
        <v>73.67851415032676</v>
      </c>
      <c r="D812" s="119" t="n">
        <v>72.42469196831587</v>
      </c>
      <c r="E812" s="119" t="n">
        <v>72.43426513671875</v>
      </c>
      <c r="F812" s="120" t="n">
        <v>6991600</v>
      </c>
      <c r="G812" s="121" t="n">
        <v>-0.01097736429709062</v>
      </c>
      <c r="H812" s="122" t="n">
        <v>47.13714255924967</v>
      </c>
      <c r="I812" s="119" t="n">
        <v>77.49068649291992</v>
      </c>
      <c r="J812" s="119" t="n">
        <v>83.55755687713624</v>
      </c>
      <c r="K812" s="121" t="n">
        <v>0.1955830583967569</v>
      </c>
      <c r="L812" s="121" t="n">
        <v>-0.1538461744132629</v>
      </c>
      <c r="M812" s="121" t="n">
        <v>-0.3755113134220053</v>
      </c>
      <c r="N812" t="n">
        <v>35.89278685268533</v>
      </c>
      <c r="O812" t="n">
        <v>-0.0502806215775855</v>
      </c>
      <c r="P812" t="n">
        <v>139.3963920788165</v>
      </c>
      <c r="Q812" t="n">
        <v>139.4788963403436</v>
      </c>
    </row>
    <row r="813">
      <c r="A813" s="118" t="n">
        <v>45611</v>
      </c>
      <c r="B813" s="119" t="n">
        <v>72.74054048674461</v>
      </c>
      <c r="C813" s="119" t="n">
        <v>74.3197773656444</v>
      </c>
      <c r="D813" s="119" t="n">
        <v>72.36726724473766</v>
      </c>
      <c r="E813" s="119" t="n">
        <v>73.37223815917969</v>
      </c>
      <c r="F813" s="120" t="n">
        <v>13584900</v>
      </c>
      <c r="G813" s="121" t="n">
        <v>0.01294929990233928</v>
      </c>
      <c r="H813" s="122" t="n">
        <v>47.74753555478871</v>
      </c>
      <c r="I813" s="119" t="n">
        <v>77.41469177246094</v>
      </c>
      <c r="J813" s="119" t="n">
        <v>83.44320827484131</v>
      </c>
      <c r="K813" s="121" t="n">
        <v>0.2053610598454807</v>
      </c>
      <c r="L813" s="121" t="n">
        <v>-0.1428890747622285</v>
      </c>
      <c r="M813" s="121" t="n">
        <v>-0.3674246221338888</v>
      </c>
      <c r="N813" t="n">
        <v>41.46395496061722</v>
      </c>
      <c r="O813" t="n">
        <v>0.02925761092085355</v>
      </c>
      <c r="P813" t="n">
        <v>137.610899126738</v>
      </c>
      <c r="Q813" t="n">
        <v>136.1556826313556</v>
      </c>
    </row>
    <row r="814">
      <c r="A814" s="118" t="n">
        <v>45614</v>
      </c>
      <c r="B814" s="119" t="n">
        <v>72.89367542906116</v>
      </c>
      <c r="C814" s="119" t="n">
        <v>72.93195349469309</v>
      </c>
      <c r="D814" s="119" t="n">
        <v>71.06558745217748</v>
      </c>
      <c r="E814" s="119" t="n">
        <v>71.67813873291016</v>
      </c>
      <c r="F814" s="120" t="n">
        <v>12595100</v>
      </c>
      <c r="G814" s="121" t="n">
        <v>-0.02308910657181007</v>
      </c>
      <c r="H814" s="122" t="n">
        <v>46.6450876178229</v>
      </c>
      <c r="I814" s="119" t="n">
        <v>77.32663742065429</v>
      </c>
      <c r="J814" s="119" t="n">
        <v>83.32535453796386</v>
      </c>
      <c r="K814" s="121" t="n">
        <v>0.2112811949263435</v>
      </c>
      <c r="L814" s="121" t="n">
        <v>-0.1626790002589061</v>
      </c>
      <c r="M814" s="121" t="n">
        <v>-0.3820302224481424</v>
      </c>
      <c r="N814" t="n">
        <v>35.46857942588328</v>
      </c>
      <c r="O814" t="n">
        <v>-0.01757529162579008</v>
      </c>
      <c r="P814" t="n">
        <v>138.1747621120714</v>
      </c>
      <c r="Q814" t="n">
        <v>137.1016500855967</v>
      </c>
    </row>
    <row r="815">
      <c r="A815" s="118" t="n">
        <v>45615</v>
      </c>
      <c r="B815" s="119" t="n">
        <v>71.30487378002984</v>
      </c>
      <c r="C815" s="119" t="n">
        <v>71.52501284493094</v>
      </c>
      <c r="D815" s="119" t="n">
        <v>70.44347115983346</v>
      </c>
      <c r="E815" s="119" t="n">
        <v>70.74018096923828</v>
      </c>
      <c r="F815" s="120" t="n">
        <v>12028400</v>
      </c>
      <c r="G815" s="121" t="n">
        <v>-0.01308568805290733</v>
      </c>
      <c r="H815" s="122" t="n">
        <v>46.03470455205554</v>
      </c>
      <c r="I815" s="119" t="n">
        <v>77.24662307739258</v>
      </c>
      <c r="J815" s="119" t="n">
        <v>83.20768173217773</v>
      </c>
      <c r="K815" s="121" t="n">
        <v>0.2131945766318541</v>
      </c>
      <c r="L815" s="121" t="n">
        <v>-0.1736359216616665</v>
      </c>
      <c r="M815" s="121" t="n">
        <v>-0.3901167821833106</v>
      </c>
      <c r="N815" t="n">
        <v>32.653417507466</v>
      </c>
      <c r="O815" t="n">
        <v>-0.09286486319686071</v>
      </c>
      <c r="P815" t="n">
        <v>138.6798564441011</v>
      </c>
      <c r="Q815" t="n">
        <v>138.0448564908925</v>
      </c>
    </row>
    <row r="816">
      <c r="A816" s="118" t="n">
        <v>45616</v>
      </c>
      <c r="B816" s="119" t="n">
        <v>70.50090465343233</v>
      </c>
      <c r="C816" s="119" t="n">
        <v>70.67317787964312</v>
      </c>
      <c r="D816" s="119" t="n">
        <v>69.59164346936394</v>
      </c>
      <c r="E816" s="119" t="n">
        <v>70.21376800537109</v>
      </c>
      <c r="F816" s="120" t="n">
        <v>12290300</v>
      </c>
      <c r="G816" s="121" t="n">
        <v>-0.007441498687939418</v>
      </c>
      <c r="H816" s="122" t="n">
        <v>45.69213735853175</v>
      </c>
      <c r="I816" s="119" t="n">
        <v>77.15014617919923</v>
      </c>
      <c r="J816" s="119" t="n">
        <v>83.07352123260497</v>
      </c>
      <c r="K816" s="121" t="n">
        <v>0.2086935682568908</v>
      </c>
      <c r="L816" s="121" t="n">
        <v>-0.1797853088663816</v>
      </c>
      <c r="M816" s="121" t="n">
        <v>-0.3946552273484898</v>
      </c>
      <c r="N816" t="n">
        <v>31.15867448279627</v>
      </c>
      <c r="O816" t="n">
        <v>-0.155568234375592</v>
      </c>
      <c r="P816" t="n">
        <v>138.7268450262122</v>
      </c>
      <c r="Q816" t="n">
        <v>137.9653517909877</v>
      </c>
    </row>
    <row r="817">
      <c r="A817" s="118" t="n">
        <v>45617</v>
      </c>
      <c r="B817" s="119" t="n">
        <v>70.21376170813215</v>
      </c>
      <c r="C817" s="119" t="n">
        <v>72.31940593110532</v>
      </c>
      <c r="D817" s="119" t="n">
        <v>70.06062022898404</v>
      </c>
      <c r="E817" s="119" t="n">
        <v>71.87913513183594</v>
      </c>
      <c r="F817" s="120" t="n">
        <v>12818600</v>
      </c>
      <c r="G817" s="121" t="n">
        <v>0.02371852663337259</v>
      </c>
      <c r="H817" s="122" t="n">
        <v>46.77588753540579</v>
      </c>
      <c r="I817" s="119" t="n">
        <v>77.08697662353515</v>
      </c>
      <c r="J817" s="119" t="n">
        <v>82.94210754394531</v>
      </c>
      <c r="K817" s="121" t="n">
        <v>0.2283513845354259</v>
      </c>
      <c r="L817" s="121" t="n">
        <v>-0.1603310248696455</v>
      </c>
      <c r="M817" s="121" t="n">
        <v>-0.380297341235982</v>
      </c>
      <c r="N817" t="n">
        <v>40.44648578123274</v>
      </c>
      <c r="O817" t="n">
        <v>-0.0668669482125881</v>
      </c>
      <c r="P817" t="n">
        <v>139.471565030017</v>
      </c>
      <c r="Q817" t="n">
        <v>138.4616397844355</v>
      </c>
    </row>
    <row r="818">
      <c r="A818" s="118" t="n">
        <v>45618</v>
      </c>
      <c r="B818" s="119" t="n">
        <v>72.86495345734518</v>
      </c>
      <c r="C818" s="119" t="n">
        <v>74.17619987751569</v>
      </c>
      <c r="D818" s="119" t="n">
        <v>72.57782416171217</v>
      </c>
      <c r="E818" s="119" t="n">
        <v>74.08049011230469</v>
      </c>
      <c r="F818" s="120" t="n">
        <v>12248600</v>
      </c>
      <c r="G818" s="121" t="n">
        <v>0.03062578558341267</v>
      </c>
      <c r="H818" s="122" t="n">
        <v>48.20843583753896</v>
      </c>
      <c r="I818" s="119" t="n">
        <v>77.05615737915039</v>
      </c>
      <c r="J818" s="119" t="n">
        <v>82.82179523468018</v>
      </c>
      <c r="K818" s="121" t="n">
        <v>0.2567776449902048</v>
      </c>
      <c r="L818" s="121" t="n">
        <v>-0.1346155028762593</v>
      </c>
      <c r="M818" s="121" t="n">
        <v>-0.3613184604832045</v>
      </c>
      <c r="N818" t="n">
        <v>50.04136476257874</v>
      </c>
      <c r="O818" t="n">
        <v>0.146439871961926</v>
      </c>
      <c r="P818" t="n">
        <v>139.9038570587135</v>
      </c>
      <c r="Q818" t="n">
        <v>138.683731131249</v>
      </c>
    </row>
    <row r="819">
      <c r="A819" s="118" t="n">
        <v>45621</v>
      </c>
      <c r="B819" s="119" t="n">
        <v>75.13331798662921</v>
      </c>
      <c r="C819" s="119" t="n">
        <v>76.43499134101843</v>
      </c>
      <c r="D819" s="119" t="n">
        <v>75.04718138188566</v>
      </c>
      <c r="E819" s="119" t="n">
        <v>75.86072540283203</v>
      </c>
      <c r="F819" s="120" t="n">
        <v>18328900</v>
      </c>
      <c r="G819" s="121" t="n">
        <v>0.02403109493239763</v>
      </c>
      <c r="H819" s="122" t="n">
        <v>49.36693733569326</v>
      </c>
      <c r="I819" s="119" t="n">
        <v>77.04582061767579</v>
      </c>
      <c r="J819" s="119" t="n">
        <v>82.70693206787109</v>
      </c>
      <c r="K819" s="121" t="n">
        <v>0.2715198438658175</v>
      </c>
      <c r="L819" s="121" t="n">
        <v>-0.1138193658728535</v>
      </c>
      <c r="M819" s="121" t="n">
        <v>-0.3459702437755064</v>
      </c>
      <c r="N819" t="n">
        <v>56.18874169313082</v>
      </c>
      <c r="O819" t="n">
        <v>0.3994564899685162</v>
      </c>
      <c r="P819" t="n">
        <v>140.3784110074153</v>
      </c>
      <c r="Q819" t="n">
        <v>138.9030867598415</v>
      </c>
    </row>
    <row r="820">
      <c r="A820" s="118" t="n">
        <v>45622</v>
      </c>
      <c r="B820" s="119" t="n">
        <v>75.51617001608639</v>
      </c>
      <c r="C820" s="119" t="n">
        <v>75.51617001608639</v>
      </c>
      <c r="D820" s="119" t="n">
        <v>74.24320876826323</v>
      </c>
      <c r="E820" s="119" t="n">
        <v>74.281494140625</v>
      </c>
      <c r="F820" s="120" t="n">
        <v>9495600</v>
      </c>
      <c r="G820" s="121" t="n">
        <v>-0.02081750805599436</v>
      </c>
      <c r="H820" s="122" t="n">
        <v>48.33924072000769</v>
      </c>
      <c r="I820" s="119" t="n">
        <v>76.98781982421875</v>
      </c>
      <c r="J820" s="119" t="n">
        <v>82.57149936676025</v>
      </c>
      <c r="K820" s="121" t="n">
        <v>0.280922539502326</v>
      </c>
      <c r="L820" s="121" t="n">
        <v>-0.1322674383628616</v>
      </c>
      <c r="M820" s="121" t="n">
        <v>-0.3595855134945699</v>
      </c>
      <c r="N820" t="n">
        <v>50.27838603847885</v>
      </c>
      <c r="O820" t="n">
        <v>0.4487951415321176</v>
      </c>
      <c r="P820" t="n">
        <v>141.1114094745427</v>
      </c>
      <c r="Q820" t="n">
        <v>139.6488739437615</v>
      </c>
    </row>
    <row r="821">
      <c r="A821" s="118" t="n">
        <v>45623</v>
      </c>
      <c r="B821" s="119" t="n">
        <v>74.28149845721587</v>
      </c>
      <c r="C821" s="119" t="n">
        <v>75.65974273357836</v>
      </c>
      <c r="D821" s="119" t="n">
        <v>74.26235211882832</v>
      </c>
      <c r="E821" s="119" t="n">
        <v>74.98018646240234</v>
      </c>
      <c r="F821" s="120" t="n">
        <v>8713500</v>
      </c>
      <c r="G821" s="121" t="n">
        <v>0.009406007914361858</v>
      </c>
      <c r="H821" s="122" t="n">
        <v>48.79392000079433</v>
      </c>
      <c r="I821" s="119" t="n">
        <v>76.93881576538087</v>
      </c>
      <c r="J821" s="119" t="n">
        <v>82.44986907958985</v>
      </c>
      <c r="K821" s="121" t="n">
        <v>0.2672661993967027</v>
      </c>
      <c r="L821" s="121" t="n">
        <v>-0.1241055390205531</v>
      </c>
      <c r="M821" s="121" t="n">
        <v>-0.3535617697660278</v>
      </c>
      <c r="N821" t="n">
        <v>52.65137959858517</v>
      </c>
      <c r="O821" t="n">
        <v>0.5122348425595429</v>
      </c>
      <c r="P821" t="n">
        <v>140.6838148406944</v>
      </c>
      <c r="Q821" t="n">
        <v>138.5493685261529</v>
      </c>
    </row>
    <row r="822">
      <c r="A822" s="118" t="n">
        <v>45625</v>
      </c>
      <c r="B822" s="119" t="n">
        <v>74.84618512758141</v>
      </c>
      <c r="C822" s="119" t="n">
        <v>75.78415847209764</v>
      </c>
      <c r="D822" s="119" t="n">
        <v>74.68347777565334</v>
      </c>
      <c r="E822" s="119" t="n">
        <v>75.39173889160156</v>
      </c>
      <c r="F822" s="120" t="n">
        <v>7123500</v>
      </c>
      <c r="G822" s="121" t="n">
        <v>0.00548881576075555</v>
      </c>
      <c r="H822" s="122" t="n">
        <v>49.06174083792374</v>
      </c>
      <c r="I822" s="119" t="n">
        <v>76.89651153564454</v>
      </c>
      <c r="J822" s="119" t="n">
        <v>82.32400703430176</v>
      </c>
      <c r="K822" s="121" t="n">
        <v>0.2662636392021224</v>
      </c>
      <c r="L822" s="121" t="n">
        <v>-0.1192979156983707</v>
      </c>
      <c r="M822" s="121" t="n">
        <v>-0.3500135894195647</v>
      </c>
      <c r="N822" t="n">
        <v>54.04270801299847</v>
      </c>
      <c r="O822" t="n">
        <v>0.5616951102973243</v>
      </c>
      <c r="P822" t="n">
        <v>141.5577644205263</v>
      </c>
      <c r="Q822" t="n">
        <v>139.7667884652325</v>
      </c>
    </row>
    <row r="823">
      <c r="A823" s="118" t="n">
        <v>45628</v>
      </c>
      <c r="B823" s="119" t="n">
        <v>74.958838238669</v>
      </c>
      <c r="C823" s="119" t="n">
        <v>76.09399550350199</v>
      </c>
      <c r="D823" s="119" t="n">
        <v>74.26619891240372</v>
      </c>
      <c r="E823" s="119" t="n">
        <v>76.08437347412109</v>
      </c>
      <c r="F823" s="120" t="n">
        <v>11221000</v>
      </c>
      <c r="G823" s="121" t="n">
        <v>0.009187141624567241</v>
      </c>
      <c r="H823" s="122" t="n">
        <v>49.51247799934955</v>
      </c>
      <c r="I823" s="119" t="n">
        <v>76.76201202392578</v>
      </c>
      <c r="J823" s="119" t="n">
        <v>82.20293224334716</v>
      </c>
      <c r="K823" s="121" t="n">
        <v>0.2649007859115799</v>
      </c>
      <c r="L823" s="121" t="n">
        <v>-0.1112067809208401</v>
      </c>
      <c r="M823" s="121" t="n">
        <v>-0.3440420722115182</v>
      </c>
      <c r="N823" t="n">
        <v>56.36654476460782</v>
      </c>
      <c r="O823" t="n">
        <v>0.6164583407018789</v>
      </c>
      <c r="P823" t="n">
        <v>141.811482276846</v>
      </c>
      <c r="Q823" t="n">
        <v>141.2885570564009</v>
      </c>
    </row>
    <row r="824">
      <c r="A824" s="118" t="n">
        <v>45629</v>
      </c>
      <c r="B824" s="119" t="n">
        <v>75.9978077342285</v>
      </c>
      <c r="C824" s="119" t="n">
        <v>76.38260822862273</v>
      </c>
      <c r="D824" s="119" t="n">
        <v>74.6606317042893</v>
      </c>
      <c r="E824" s="119" t="n">
        <v>75.86312866210938</v>
      </c>
      <c r="F824" s="120" t="n">
        <v>9414500</v>
      </c>
      <c r="G824" s="121" t="n">
        <v>-0.00290788767665906</v>
      </c>
      <c r="H824" s="122" t="n">
        <v>49.36850127473439</v>
      </c>
      <c r="I824" s="119" t="n">
        <v>76.62921279907226</v>
      </c>
      <c r="J824" s="119" t="n">
        <v>82.09276252746582</v>
      </c>
      <c r="K824" s="121" t="n">
        <v>0.261465586685435</v>
      </c>
      <c r="L824" s="121" t="n">
        <v>-0.1137912917696985</v>
      </c>
      <c r="M824" s="121" t="n">
        <v>-0.3459495241861411</v>
      </c>
      <c r="N824" t="n">
        <v>55.40285567187161</v>
      </c>
      <c r="O824" t="n">
        <v>0.6119479051155367</v>
      </c>
      <c r="P824" t="n">
        <v>141.87726043835</v>
      </c>
      <c r="Q824" t="n">
        <v>141.7217884335691</v>
      </c>
    </row>
    <row r="825">
      <c r="A825" s="118" t="n">
        <v>45630</v>
      </c>
      <c r="B825" s="119" t="n">
        <v>74.86264496158971</v>
      </c>
      <c r="C825" s="119" t="n">
        <v>75.52642558348892</v>
      </c>
      <c r="D825" s="119" t="n">
        <v>74.17000558907897</v>
      </c>
      <c r="E825" s="119" t="n">
        <v>75.39174652099609</v>
      </c>
      <c r="F825" s="120" t="n">
        <v>15042600</v>
      </c>
      <c r="G825" s="121" t="n">
        <v>-0.006213586882407585</v>
      </c>
      <c r="H825" s="122" t="n">
        <v>49.06174580280958</v>
      </c>
      <c r="I825" s="119" t="n">
        <v>76.46286682128907</v>
      </c>
      <c r="J825" s="119" t="n">
        <v>81.98122905731201</v>
      </c>
      <c r="K825" s="121" t="n">
        <v>0.2606576742502422</v>
      </c>
      <c r="L825" s="121" t="n">
        <v>-0.1192978265742337</v>
      </c>
      <c r="M825" s="121" t="n">
        <v>-0.3500135236430906</v>
      </c>
      <c r="N825" t="n">
        <v>53.31153129592608</v>
      </c>
      <c r="O825" t="n">
        <v>0.5531643954574247</v>
      </c>
      <c r="P825" t="n">
        <v>142.75824879364</v>
      </c>
      <c r="Q825" t="n">
        <v>143.4738639697888</v>
      </c>
    </row>
    <row r="826">
      <c r="A826" s="118" t="n">
        <v>45631</v>
      </c>
      <c r="B826" s="119" t="n">
        <v>75.28593395090745</v>
      </c>
      <c r="C826" s="119" t="n">
        <v>75.90161182545975</v>
      </c>
      <c r="D826" s="119" t="n">
        <v>75.13201081253976</v>
      </c>
      <c r="E826" s="119" t="n">
        <v>75.59377288818359</v>
      </c>
      <c r="F826" s="120" t="n">
        <v>8316500</v>
      </c>
      <c r="G826" s="121" t="n">
        <v>0.002679688115876599</v>
      </c>
      <c r="H826" s="122" t="n">
        <v>49.19321597998152</v>
      </c>
      <c r="I826" s="119" t="n">
        <v>76.290224609375</v>
      </c>
      <c r="J826" s="119" t="n">
        <v>81.86138984680176</v>
      </c>
      <c r="K826" s="121" t="n">
        <v>0.2260313615142209</v>
      </c>
      <c r="L826" s="121" t="n">
        <v>-0.116937819426478</v>
      </c>
      <c r="M826" s="121" t="n">
        <v>-0.3482717626069164</v>
      </c>
      <c r="N826" t="n">
        <v>54.11102892864418</v>
      </c>
      <c r="O826" t="n">
        <v>0.5051596873705385</v>
      </c>
      <c r="P826" t="n">
        <v>142.5233058830843</v>
      </c>
      <c r="Q826" t="n">
        <v>143.0762729216668</v>
      </c>
    </row>
    <row r="827">
      <c r="A827" s="118" t="n">
        <v>45632</v>
      </c>
      <c r="B827" s="119" t="n">
        <v>76.20943631091993</v>
      </c>
      <c r="C827" s="119" t="n">
        <v>78.09495036161329</v>
      </c>
      <c r="D827" s="119" t="n">
        <v>75.8438725963492</v>
      </c>
      <c r="E827" s="119" t="n">
        <v>75.89197540283203</v>
      </c>
      <c r="F827" s="120" t="n">
        <v>13931100</v>
      </c>
      <c r="G827" s="121" t="n">
        <v>0.003944802637242839</v>
      </c>
      <c r="H827" s="122" t="n">
        <v>49.38727350811381</v>
      </c>
      <c r="I827" s="119" t="n">
        <v>76.09693862915039</v>
      </c>
      <c r="J827" s="119" t="n">
        <v>81.74394012451172</v>
      </c>
      <c r="K827" s="121" t="n">
        <v>0.2251840735701236</v>
      </c>
      <c r="L827" s="121" t="n">
        <v>-0.1134543134077023</v>
      </c>
      <c r="M827" s="121" t="n">
        <v>-0.3457008233372826</v>
      </c>
      <c r="N827" t="n">
        <v>55.32704731264968</v>
      </c>
      <c r="O827" t="n">
        <v>0.4714137853454662</v>
      </c>
      <c r="P827" t="n">
        <v>142.7935012054449</v>
      </c>
      <c r="Q827" t="n">
        <v>144.3567748077503</v>
      </c>
    </row>
    <row r="828">
      <c r="A828" s="118" t="n">
        <v>45635</v>
      </c>
      <c r="B828" s="119" t="n">
        <v>76.421074233364</v>
      </c>
      <c r="C828" s="119" t="n">
        <v>76.43068892275677</v>
      </c>
      <c r="D828" s="119" t="n">
        <v>74.57403368535239</v>
      </c>
      <c r="E828" s="119" t="n">
        <v>74.68947601318359</v>
      </c>
      <c r="F828" s="120" t="n">
        <v>12043400</v>
      </c>
      <c r="G828" s="121" t="n">
        <v>-0.01584488192942157</v>
      </c>
      <c r="H828" s="122" t="n">
        <v>48.60473799056169</v>
      </c>
      <c r="I828" s="119" t="n">
        <v>75.87864547729492</v>
      </c>
      <c r="J828" s="119" t="n">
        <v>81.61787704467774</v>
      </c>
      <c r="K828" s="121" t="n">
        <v>0.2340964323798541</v>
      </c>
      <c r="L828" s="121" t="n">
        <v>-0.1275015251367951</v>
      </c>
      <c r="M828" s="121" t="n">
        <v>-0.3560681165380211</v>
      </c>
      <c r="N828" t="n">
        <v>49.6172256454288</v>
      </c>
      <c r="O828" t="n">
        <v>0.3515283056746321</v>
      </c>
      <c r="P828" t="n">
        <v>142.0581759913366</v>
      </c>
      <c r="Q828" t="n">
        <v>143.2325803775544</v>
      </c>
    </row>
    <row r="829">
      <c r="A829" s="118" t="n">
        <v>45636</v>
      </c>
      <c r="B829" s="119" t="n">
        <v>74.5548048335407</v>
      </c>
      <c r="C829" s="119" t="n">
        <v>75.1127651344101</v>
      </c>
      <c r="D829" s="119" t="n">
        <v>73.70824969182937</v>
      </c>
      <c r="E829" s="119" t="n">
        <v>73.82368469238281</v>
      </c>
      <c r="F829" s="120" t="n">
        <v>12193100</v>
      </c>
      <c r="G829" s="121" t="n">
        <v>-0.01159187836112219</v>
      </c>
      <c r="H829" s="122" t="n">
        <v>48.0413177800009</v>
      </c>
      <c r="I829" s="119" t="n">
        <v>75.6629443359375</v>
      </c>
      <c r="J829" s="119" t="n">
        <v>81.49263946533203</v>
      </c>
      <c r="K829" s="121" t="n">
        <v>0.2365079968199479</v>
      </c>
      <c r="L829" s="121" t="n">
        <v>-0.1376154213276739</v>
      </c>
      <c r="M829" s="121" t="n">
        <v>-0.3635324966039606</v>
      </c>
      <c r="N829" t="n">
        <v>45.94102836141465</v>
      </c>
      <c r="O829" t="n">
        <v>0.2046235207089792</v>
      </c>
      <c r="P829" t="n">
        <v>141.6164891729436</v>
      </c>
      <c r="Q829" t="n">
        <v>142.7445079823444</v>
      </c>
    </row>
    <row r="830">
      <c r="A830" s="118" t="n">
        <v>45637</v>
      </c>
      <c r="B830" s="119" t="n">
        <v>73.87178046195903</v>
      </c>
      <c r="C830" s="119" t="n">
        <v>75.97855709477457</v>
      </c>
      <c r="D830" s="119" t="n">
        <v>73.41001848537815</v>
      </c>
      <c r="E830" s="119" t="n">
        <v>75.85349273681641</v>
      </c>
      <c r="F830" s="120" t="n">
        <v>12033200</v>
      </c>
      <c r="G830" s="121" t="n">
        <v>0.02749534993940816</v>
      </c>
      <c r="H830" s="122" t="n">
        <v>49.36223062391233</v>
      </c>
      <c r="I830" s="119" t="n">
        <v>75.47386581420898</v>
      </c>
      <c r="J830" s="119" t="n">
        <v>81.37466632843018</v>
      </c>
      <c r="K830" s="121" t="n">
        <v>0.2552686091151745</v>
      </c>
      <c r="L830" s="121" t="n">
        <v>-0.1139038555547293</v>
      </c>
      <c r="M830" s="121" t="n">
        <v>-0.3460325998730251</v>
      </c>
      <c r="N830" t="n">
        <v>54.45997705767618</v>
      </c>
      <c r="O830" t="n">
        <v>0.2328085586584062</v>
      </c>
      <c r="P830" t="n">
        <v>142.7112602115288</v>
      </c>
      <c r="Q830" t="n">
        <v>145.2999896566209</v>
      </c>
    </row>
    <row r="831">
      <c r="A831" s="118" t="n">
        <v>45638</v>
      </c>
      <c r="B831" s="119" t="n">
        <v>75.71880478137989</v>
      </c>
      <c r="C831" s="119" t="n">
        <v>76.35372650705062</v>
      </c>
      <c r="D831" s="119" t="n">
        <v>74.90110856393522</v>
      </c>
      <c r="E831" s="119" t="n">
        <v>74.99730682373047</v>
      </c>
      <c r="F831" s="120" t="n">
        <v>6983200</v>
      </c>
      <c r="G831" s="121" t="n">
        <v>-0.01128736307577272</v>
      </c>
      <c r="H831" s="122" t="n">
        <v>48.8050612046302</v>
      </c>
      <c r="I831" s="119" t="n">
        <v>75.38309127807617</v>
      </c>
      <c r="J831" s="119" t="n">
        <v>81.25619533538818</v>
      </c>
      <c r="K831" s="121" t="n">
        <v>0.2592230716311149</v>
      </c>
      <c r="L831" s="121" t="n">
        <v>-0.1239055444571255</v>
      </c>
      <c r="M831" s="121" t="n">
        <v>-0.3534141673579774</v>
      </c>
      <c r="N831" t="n">
        <v>50.82193894003895</v>
      </c>
      <c r="O831" t="n">
        <v>0.1845509893362654</v>
      </c>
      <c r="P831" t="n">
        <v>141.9759642646781</v>
      </c>
      <c r="Q831" t="n">
        <v>144.3622293570428</v>
      </c>
    </row>
    <row r="832">
      <c r="A832" s="118" t="n">
        <v>45639</v>
      </c>
      <c r="B832" s="119" t="n">
        <v>74.41049117174281</v>
      </c>
      <c r="C832" s="119" t="n">
        <v>74.8722531143169</v>
      </c>
      <c r="D832" s="119" t="n">
        <v>73.85253096514074</v>
      </c>
      <c r="E832" s="119" t="n">
        <v>74.31429290771484</v>
      </c>
      <c r="F832" s="120" t="n">
        <v>8037300</v>
      </c>
      <c r="G832" s="121" t="n">
        <v>-0.009107179243395325</v>
      </c>
      <c r="H832" s="122" t="n">
        <v>48.36058476425475</v>
      </c>
      <c r="I832" s="119" t="n">
        <v>75.29779876708984</v>
      </c>
      <c r="J832" s="119" t="n">
        <v>81.13629539489746</v>
      </c>
      <c r="K832" s="121" t="n">
        <v>0.2581296809644229</v>
      </c>
      <c r="L832" s="121" t="n">
        <v>-0.1318842936978993</v>
      </c>
      <c r="M832" s="121" t="n">
        <v>-0.3593027404320883</v>
      </c>
      <c r="N832" t="n">
        <v>48.06357228069069</v>
      </c>
      <c r="O832" t="n">
        <v>0.1015412194975676</v>
      </c>
      <c r="P832" t="n">
        <v>141.9477652619599</v>
      </c>
      <c r="Q832" t="n">
        <v>145.4672399853926</v>
      </c>
    </row>
    <row r="833">
      <c r="A833" s="118" t="n">
        <v>45642</v>
      </c>
      <c r="B833" s="119" t="n">
        <v>73.84292333451747</v>
      </c>
      <c r="C833" s="119" t="n">
        <v>76.01703219929495</v>
      </c>
      <c r="D833" s="119" t="n">
        <v>73.74672506129454</v>
      </c>
      <c r="E833" s="119" t="n">
        <v>74.26619720458984</v>
      </c>
      <c r="F833" s="120" t="n">
        <v>13034000</v>
      </c>
      <c r="G833" s="121" t="n">
        <v>-0.0006471931743295967</v>
      </c>
      <c r="H833" s="122" t="n">
        <v>48.32928612388874</v>
      </c>
      <c r="I833" s="119" t="n">
        <v>75.20867294311523</v>
      </c>
      <c r="J833" s="119" t="n">
        <v>81.0241279220581</v>
      </c>
      <c r="K833" s="121" t="n">
        <v>0.2545531834291418</v>
      </c>
      <c r="L833" s="121" t="n">
        <v>-0.1324461322575463</v>
      </c>
      <c r="M833" s="121" t="n">
        <v>-0.3597173953252923</v>
      </c>
      <c r="N833" t="n">
        <v>47.86655950628058</v>
      </c>
      <c r="O833" t="n">
        <v>0.0413885170222598</v>
      </c>
      <c r="P833" t="n">
        <v>142.553860900041</v>
      </c>
      <c r="Q833" t="n">
        <v>147.5620571081178</v>
      </c>
    </row>
    <row r="834">
      <c r="A834" s="118" t="n">
        <v>45643</v>
      </c>
      <c r="B834" s="119" t="n">
        <v>74.42013450454957</v>
      </c>
      <c r="C834" s="119" t="n">
        <v>75.77654729640105</v>
      </c>
      <c r="D834" s="119" t="n">
        <v>74.31431418198805</v>
      </c>
      <c r="E834" s="119" t="n">
        <v>75.03581237792969</v>
      </c>
      <c r="F834" s="120" t="n">
        <v>12452400</v>
      </c>
      <c r="G834" s="121" t="n">
        <v>0.01036292690764395</v>
      </c>
      <c r="H834" s="122" t="n">
        <v>48.83011898348921</v>
      </c>
      <c r="I834" s="119" t="n">
        <v>75.16212142944336</v>
      </c>
      <c r="J834" s="119" t="n">
        <v>80.92691360473633</v>
      </c>
      <c r="K834" s="121" t="n">
        <v>0.2403406224319586</v>
      </c>
      <c r="L834" s="121" t="n">
        <v>-0.1234557349376874</v>
      </c>
      <c r="M834" s="121" t="n">
        <v>-0.3530821934928123</v>
      </c>
      <c r="N834" t="n">
        <v>51.30613328903051</v>
      </c>
      <c r="O834" t="n">
        <v>0.05080555062865292</v>
      </c>
      <c r="P834" t="n">
        <v>141.9665109404664</v>
      </c>
      <c r="Q834" t="n">
        <v>146.9122395948772</v>
      </c>
    </row>
    <row r="835">
      <c r="A835" s="118" t="n">
        <v>45644</v>
      </c>
      <c r="B835" s="119" t="n">
        <v>75.01656676758309</v>
      </c>
      <c r="C835" s="119" t="n">
        <v>75.99780096844695</v>
      </c>
      <c r="D835" s="119" t="n">
        <v>73.91988288738233</v>
      </c>
      <c r="E835" s="119" t="n">
        <v>73.97760772705078</v>
      </c>
      <c r="F835" s="120" t="n">
        <v>14376900</v>
      </c>
      <c r="G835" s="121" t="n">
        <v>-0.01410266134721239</v>
      </c>
      <c r="H835" s="122" t="n">
        <v>48.14148435192098</v>
      </c>
      <c r="I835" s="119" t="n">
        <v>75.09555435180664</v>
      </c>
      <c r="J835" s="119" t="n">
        <v>80.83024559020996</v>
      </c>
      <c r="K835" s="121" t="n">
        <v>0.2412351354095493</v>
      </c>
      <c r="L835" s="121" t="n">
        <v>-0.1358173418637023</v>
      </c>
      <c r="M835" s="121" t="n">
        <v>-0.3622054562374647</v>
      </c>
      <c r="N835" t="n">
        <v>46.7399128903897</v>
      </c>
      <c r="O835" t="n">
        <v>-0.01342909662929476</v>
      </c>
      <c r="P835" t="n">
        <v>137.7354459415457</v>
      </c>
      <c r="Q835" t="n">
        <v>141.6120979539107</v>
      </c>
    </row>
    <row r="836">
      <c r="A836" s="118" t="n">
        <v>45645</v>
      </c>
      <c r="B836" s="119" t="n">
        <v>74.01608240126237</v>
      </c>
      <c r="C836" s="119" t="n">
        <v>74.97807980251835</v>
      </c>
      <c r="D836" s="119" t="n">
        <v>73.52546167157365</v>
      </c>
      <c r="E836" s="119" t="n">
        <v>74.16999816894531</v>
      </c>
      <c r="F836" s="120" t="n">
        <v>27067600</v>
      </c>
      <c r="G836" s="121" t="n">
        <v>0.002600657790995164</v>
      </c>
      <c r="H836" s="122" t="n">
        <v>48.26668387827088</v>
      </c>
      <c r="I836" s="119" t="n">
        <v>75.00067611694335</v>
      </c>
      <c r="J836" s="119" t="n">
        <v>80.73776657104492</v>
      </c>
      <c r="K836" s="121" t="n">
        <v>0.2384471628144043</v>
      </c>
      <c r="L836" s="121" t="n">
        <v>-0.1335698985009773</v>
      </c>
      <c r="M836" s="121" t="n">
        <v>-0.3599726703555191</v>
      </c>
      <c r="N836" t="n">
        <v>47.65210294723541</v>
      </c>
      <c r="O836" t="n">
        <v>-0.04061923940057537</v>
      </c>
      <c r="P836" t="n">
        <v>137.6931401206539</v>
      </c>
      <c r="Q836" t="n">
        <v>140.9814557989415</v>
      </c>
    </row>
    <row r="837">
      <c r="A837" s="118" t="n">
        <v>45646</v>
      </c>
      <c r="B837" s="119" t="n">
        <v>73.07332207646351</v>
      </c>
      <c r="C837" s="119" t="n">
        <v>75.03579766536966</v>
      </c>
      <c r="D837" s="119" t="n">
        <v>72.01512639779216</v>
      </c>
      <c r="E837" s="119" t="n">
        <v>74.01608276367188</v>
      </c>
      <c r="F837" s="120" t="n">
        <v>49883400</v>
      </c>
      <c r="G837" s="121" t="n">
        <v>-0.002075170676462013</v>
      </c>
      <c r="H837" s="122" t="n">
        <v>48.16652227123662</v>
      </c>
      <c r="I837" s="119" t="n">
        <v>74.90941940307617</v>
      </c>
      <c r="J837" s="119" t="n">
        <v>80.64186031341552</v>
      </c>
      <c r="K837" s="121" t="n">
        <v>0.2257481596431374</v>
      </c>
      <c r="L837" s="121" t="n">
        <v>-0.1353678888408121</v>
      </c>
      <c r="M837" s="121" t="n">
        <v>-0.3613008363021316</v>
      </c>
      <c r="N837" t="n">
        <v>46.95917637778417</v>
      </c>
      <c r="O837" t="n">
        <v>-0.06517310288690371</v>
      </c>
      <c r="P837" t="n">
        <v>139.3469596806939</v>
      </c>
      <c r="Q837" t="n">
        <v>142.212596547</v>
      </c>
    </row>
    <row r="838">
      <c r="A838" s="118" t="n">
        <v>45649</v>
      </c>
      <c r="B838" s="119" t="n">
        <v>73.42927441660171</v>
      </c>
      <c r="C838" s="119" t="n">
        <v>75.43023107290576</v>
      </c>
      <c r="D838" s="119" t="n">
        <v>72.86169204818312</v>
      </c>
      <c r="E838" s="119" t="n">
        <v>73.84293365478516</v>
      </c>
      <c r="F838" s="120" t="n">
        <v>14203800</v>
      </c>
      <c r="G838" s="121" t="n">
        <v>-0.002339344402210175</v>
      </c>
      <c r="H838" s="122" t="n">
        <v>48.05384418698747</v>
      </c>
      <c r="I838" s="119" t="n">
        <v>74.81374237060547</v>
      </c>
      <c r="J838" s="119" t="n">
        <v>80.54048496246338</v>
      </c>
      <c r="K838" s="121" t="n">
        <v>0.1980894798250848</v>
      </c>
      <c r="L838" s="121" t="n">
        <v>-0.1343902479596953</v>
      </c>
      <c r="M838" s="121" t="n">
        <v>-0.2825148132149793</v>
      </c>
      <c r="N838" t="n">
        <v>46.14622572732203</v>
      </c>
      <c r="O838" t="n">
        <v>-0.08786635083987565</v>
      </c>
      <c r="P838" t="n">
        <v>140.1814130963658</v>
      </c>
      <c r="Q838" t="n">
        <v>143.5981027287522</v>
      </c>
    </row>
    <row r="839">
      <c r="A839" s="118" t="n">
        <v>45650</v>
      </c>
      <c r="B839" s="119" t="n">
        <v>73.83330724462616</v>
      </c>
      <c r="C839" s="119" t="n">
        <v>74.17962692765339</v>
      </c>
      <c r="D839" s="119" t="n">
        <v>73.45812881125639</v>
      </c>
      <c r="E839" s="119" t="n">
        <v>73.87178802490234</v>
      </c>
      <c r="F839" s="120" t="n">
        <v>4919100</v>
      </c>
      <c r="G839" s="121" t="n">
        <v>0.0003907533014881892</v>
      </c>
      <c r="H839" s="122" t="n">
        <v>48.07262138525273</v>
      </c>
      <c r="I839" s="119" t="n">
        <v>74.72917083740235</v>
      </c>
      <c r="J839" s="119" t="n">
        <v>80.43014198303223</v>
      </c>
      <c r="K839" s="121" t="n">
        <v>0.1765133524508606</v>
      </c>
      <c r="L839" s="121" t="n">
        <v>-0.1340520080912853</v>
      </c>
      <c r="M839" s="121" t="n">
        <v>-0.2822344535094742</v>
      </c>
      <c r="N839" t="n">
        <v>46.31302289961366</v>
      </c>
      <c r="O839" t="n">
        <v>-0.09511212816596619</v>
      </c>
      <c r="P839" t="n">
        <v>141.7395433576126</v>
      </c>
      <c r="Q839" t="n">
        <v>145.5452586161402</v>
      </c>
    </row>
    <row r="840">
      <c r="A840" s="118" t="n">
        <v>45652</v>
      </c>
      <c r="B840" s="119" t="n">
        <v>73.68899982912531</v>
      </c>
      <c r="C840" s="119" t="n">
        <v>74.51631818541293</v>
      </c>
      <c r="D840" s="119" t="n">
        <v>73.63128233339381</v>
      </c>
      <c r="E840" s="119" t="n">
        <v>74.01608276367188</v>
      </c>
      <c r="F840" s="120" t="n">
        <v>6363500</v>
      </c>
      <c r="G840" s="121" t="n">
        <v>0.00195331320152814</v>
      </c>
      <c r="H840" s="122" t="n">
        <v>48.16652227123661</v>
      </c>
      <c r="I840" s="119" t="n">
        <v>74.63753112792969</v>
      </c>
      <c r="J840" s="119" t="n">
        <v>80.32479167938233</v>
      </c>
      <c r="K840" s="121" t="n">
        <v>0.1608798973447869</v>
      </c>
      <c r="L840" s="121" t="n">
        <v>-0.07871447462447834</v>
      </c>
      <c r="M840" s="121" t="n">
        <v>-0.2808324325919122</v>
      </c>
      <c r="N840" t="n">
        <v>47.19382996432221</v>
      </c>
      <c r="O840" t="n">
        <v>-0.08471198013292071</v>
      </c>
      <c r="P840" t="n">
        <v>141.7489820481955</v>
      </c>
      <c r="Q840" t="n">
        <v>145.4464181300436</v>
      </c>
    </row>
    <row r="841">
      <c r="A841" s="118" t="n">
        <v>45653</v>
      </c>
      <c r="B841" s="119" t="n">
        <v>73.61204453332481</v>
      </c>
      <c r="C841" s="119" t="n">
        <v>74.00646702624263</v>
      </c>
      <c r="D841" s="119" t="n">
        <v>72.91941250728931</v>
      </c>
      <c r="E841" s="119" t="n">
        <v>73.51584625244141</v>
      </c>
      <c r="F841" s="120" t="n">
        <v>6334400</v>
      </c>
      <c r="G841" s="121" t="n">
        <v>-0.006758484001749832</v>
      </c>
      <c r="H841" s="122" t="n">
        <v>47.84098960104653</v>
      </c>
      <c r="I841" s="119" t="n">
        <v>74.50104797363281</v>
      </c>
      <c r="J841" s="119" t="n">
        <v>80.21134017944335</v>
      </c>
      <c r="K841" s="121" t="n">
        <v>0.1583841816026889</v>
      </c>
      <c r="L841" s="121" t="n">
        <v>-0.0849409681087725</v>
      </c>
      <c r="M841" s="121" t="n">
        <v>-0.2856929150908171</v>
      </c>
      <c r="N841" t="n">
        <v>44.46994948042421</v>
      </c>
      <c r="O841" t="n">
        <v>-0.1047363037827705</v>
      </c>
      <c r="P841" t="n">
        <v>140.2568640865136</v>
      </c>
      <c r="Q841" t="n">
        <v>143.5129746080597</v>
      </c>
    </row>
    <row r="842">
      <c r="A842" s="118" t="n">
        <v>45656</v>
      </c>
      <c r="B842" s="119" t="n">
        <v>72.72700498362239</v>
      </c>
      <c r="C842" s="119" t="n">
        <v>72.8905427869244</v>
      </c>
      <c r="D842" s="119" t="n">
        <v>71.71691207547062</v>
      </c>
      <c r="E842" s="119" t="n">
        <v>71.8131103515625</v>
      </c>
      <c r="F842" s="120" t="n">
        <v>9042900</v>
      </c>
      <c r="G842" s="121" t="n">
        <v>-0.02316148133603724</v>
      </c>
      <c r="H842" s="122" t="n">
        <v>46.73292141330434</v>
      </c>
      <c r="I842" s="119" t="n">
        <v>74.34084671020508</v>
      </c>
      <c r="J842" s="119" t="n">
        <v>80.09459533691407</v>
      </c>
      <c r="K842" s="121" t="n">
        <v>0.1747666122764547</v>
      </c>
      <c r="L842" s="121" t="n">
        <v>-0.1061350907972934</v>
      </c>
      <c r="M842" s="121" t="n">
        <v>-0.3006306717905421</v>
      </c>
      <c r="N842" t="n">
        <v>36.7043210142773</v>
      </c>
      <c r="O842" t="n">
        <v>-0.2192823752963463</v>
      </c>
      <c r="P842" t="n">
        <v>138.656281668087</v>
      </c>
      <c r="Q842" t="n">
        <v>141.6042623165369</v>
      </c>
    </row>
    <row r="843">
      <c r="A843" s="118" t="n">
        <v>45657</v>
      </c>
      <c r="B843" s="119" t="n">
        <v>72.05361481859644</v>
      </c>
      <c r="C843" s="119" t="n">
        <v>73.48698905049798</v>
      </c>
      <c r="D843" s="119" t="n">
        <v>71.93817247542896</v>
      </c>
      <c r="E843" s="119" t="n">
        <v>72.79434967041016</v>
      </c>
      <c r="F843" s="120" t="n">
        <v>9425600</v>
      </c>
      <c r="G843" s="121" t="n">
        <v>0.01366379083211933</v>
      </c>
      <c r="H843" s="122" t="n">
        <v>47.3714702764696</v>
      </c>
      <c r="I843" s="119" t="n">
        <v>74.20945861816406</v>
      </c>
      <c r="J843" s="119" t="n">
        <v>79.98569911956787</v>
      </c>
      <c r="K843" s="121" t="n">
        <v>0.1793555414680512</v>
      </c>
      <c r="L843" s="121" t="n">
        <v>-0.09392150764577634</v>
      </c>
      <c r="M843" s="121" t="n">
        <v>-0.2818806231372555</v>
      </c>
      <c r="N843" t="n">
        <v>42.89317607983479</v>
      </c>
      <c r="O843" t="n">
        <v>-0.2152833356762142</v>
      </c>
      <c r="P843" t="n">
        <v>138.1518751166114</v>
      </c>
      <c r="Q843" t="n">
        <v>140.401365326038</v>
      </c>
    </row>
    <row r="844">
      <c r="A844" s="118" t="n">
        <v>45659</v>
      </c>
      <c r="B844" s="119" t="n">
        <v>73.35230899742483</v>
      </c>
      <c r="C844" s="119" t="n">
        <v>73.77559024387274</v>
      </c>
      <c r="D844" s="119" t="n">
        <v>70.45669448228141</v>
      </c>
      <c r="E844" s="119" t="n">
        <v>70.87035369873047</v>
      </c>
      <c r="F844" s="120" t="n">
        <v>10883400</v>
      </c>
      <c r="G844" s="121" t="n">
        <v>-0.02643056748759942</v>
      </c>
      <c r="H844" s="122" t="n">
        <v>46.11941543434056</v>
      </c>
      <c r="I844" s="119" t="n">
        <v>74.06715530395508</v>
      </c>
      <c r="J844" s="119" t="n">
        <v>79.87145412445068</v>
      </c>
      <c r="K844" s="121" t="n">
        <v>0.1990346375913831</v>
      </c>
      <c r="L844" s="121" t="n">
        <v>-0.117869676387007</v>
      </c>
      <c r="M844" s="121" t="n">
        <v>-0.3008609257915792</v>
      </c>
      <c r="N844" t="n">
        <v>35.55272088651543</v>
      </c>
      <c r="O844" t="n">
        <v>-0.3221068080756218</v>
      </c>
      <c r="P844" t="n">
        <v>137.8124334627186</v>
      </c>
      <c r="Q844" t="n">
        <v>140.1267296135164</v>
      </c>
    </row>
    <row r="845">
      <c r="A845" s="118" t="n">
        <v>45660</v>
      </c>
      <c r="B845" s="119" t="n">
        <v>71.11084394721158</v>
      </c>
      <c r="C845" s="119" t="n">
        <v>71.37058734763981</v>
      </c>
      <c r="D845" s="119" t="n">
        <v>70.23543015557335</v>
      </c>
      <c r="E845" s="119" t="n">
        <v>70.52402496337891</v>
      </c>
      <c r="F845" s="120" t="n">
        <v>10083500</v>
      </c>
      <c r="G845" s="121" t="n">
        <v>-0.004886792816412355</v>
      </c>
      <c r="H845" s="122" t="n">
        <v>45.89403940629889</v>
      </c>
      <c r="I845" s="119" t="n">
        <v>73.91907424926758</v>
      </c>
      <c r="J845" s="119" t="n">
        <v>79.74968753814697</v>
      </c>
      <c r="K845" s="121" t="n">
        <v>0.1988347270211055</v>
      </c>
      <c r="L845" s="121" t="n">
        <v>-0.1221804645155784</v>
      </c>
      <c r="M845" s="121" t="n">
        <v>-0.3042774735970941</v>
      </c>
      <c r="N845" t="n">
        <v>34.41114964125207</v>
      </c>
      <c r="O845" t="n">
        <v>-0.3913746372042322</v>
      </c>
      <c r="P845" t="n">
        <v>139.535557888806</v>
      </c>
      <c r="Q845" t="n">
        <v>142.4199369687144</v>
      </c>
    </row>
    <row r="846">
      <c r="A846" s="118" t="n">
        <v>45663</v>
      </c>
      <c r="B846" s="119" t="n">
        <v>70.94731238153246</v>
      </c>
      <c r="C846" s="119" t="n">
        <v>71.49565063788597</v>
      </c>
      <c r="D846" s="119" t="n">
        <v>69.23495808412878</v>
      </c>
      <c r="E846" s="119" t="n">
        <v>69.26381683349609</v>
      </c>
      <c r="F846" s="120" t="n">
        <v>14947300</v>
      </c>
      <c r="G846" s="121" t="n">
        <v>-0.01786920316214513</v>
      </c>
      <c r="H846" s="122" t="n">
        <v>45.07394949221624</v>
      </c>
      <c r="I846" s="119" t="n">
        <v>73.77201370239258</v>
      </c>
      <c r="J846" s="119" t="n">
        <v>79.62014884948731</v>
      </c>
      <c r="K846" s="121" t="n">
        <v>0.2040089004146534</v>
      </c>
      <c r="L846" s="121" t="n">
        <v>-0.1378664001348495</v>
      </c>
      <c r="M846" s="121" t="n">
        <v>-0.3167094807658685</v>
      </c>
      <c r="N846" t="n">
        <v>30.56526088524151</v>
      </c>
      <c r="O846" t="n">
        <v>-0.4909018086467503</v>
      </c>
      <c r="P846" t="n">
        <v>140.3393538521195</v>
      </c>
      <c r="Q846" t="n">
        <v>144.0567577095114</v>
      </c>
    </row>
    <row r="847">
      <c r="A847" s="118" t="n">
        <v>45664</v>
      </c>
      <c r="B847" s="119" t="n">
        <v>69.64861941395569</v>
      </c>
      <c r="C847" s="119" t="n">
        <v>70.64909767955129</v>
      </c>
      <c r="D847" s="119" t="n">
        <v>69.2445822315397</v>
      </c>
      <c r="E847" s="119" t="n">
        <v>69.35039520263672</v>
      </c>
      <c r="F847" s="120" t="n">
        <v>10463500</v>
      </c>
      <c r="G847" s="121" t="n">
        <v>0.001249979759976982</v>
      </c>
      <c r="H847" s="122" t="n">
        <v>45.13029101678373</v>
      </c>
      <c r="I847" s="119" t="n">
        <v>73.64601837158203</v>
      </c>
      <c r="J847" s="119" t="n">
        <v>79.48843284606933</v>
      </c>
      <c r="K847" s="121" t="n">
        <v>0.2027877466220423</v>
      </c>
      <c r="L847" s="121" t="n">
        <v>-0.1367887505846219</v>
      </c>
      <c r="M847" s="121" t="n">
        <v>-0.3158553814466416</v>
      </c>
      <c r="N847" t="n">
        <v>31.13470323959183</v>
      </c>
      <c r="O847" t="n">
        <v>-0.5171099382929212</v>
      </c>
      <c r="P847" t="n">
        <v>138.7529514200104</v>
      </c>
      <c r="Q847" t="n">
        <v>141.486170479996</v>
      </c>
    </row>
    <row r="848">
      <c r="A848" s="118" t="n">
        <v>45665</v>
      </c>
      <c r="B848" s="119" t="n">
        <v>68.84053135582072</v>
      </c>
      <c r="C848" s="119" t="n">
        <v>69.0906527339985</v>
      </c>
      <c r="D848" s="119" t="n">
        <v>68.31143719133648</v>
      </c>
      <c r="E848" s="119" t="n">
        <v>68.58079528808594</v>
      </c>
      <c r="F848" s="120" t="n">
        <v>11855000</v>
      </c>
      <c r="G848" s="121" t="n">
        <v>-0.01109726790023424</v>
      </c>
      <c r="H848" s="122" t="n">
        <v>44.62946808695495</v>
      </c>
      <c r="I848" s="119" t="n">
        <v>73.50826812744141</v>
      </c>
      <c r="J848" s="119" t="n">
        <v>79.38589935302734</v>
      </c>
      <c r="K848" s="121" t="n">
        <v>0.1999199048892251</v>
      </c>
      <c r="L848" s="121" t="n">
        <v>-0.1463680370738802</v>
      </c>
      <c r="M848" s="121" t="n">
        <v>-0.3234475175612318</v>
      </c>
      <c r="N848" t="n">
        <v>28.86831316575949</v>
      </c>
      <c r="O848" t="n">
        <v>-0.5494499392307282</v>
      </c>
      <c r="P848" t="n">
        <v>138.955656446296</v>
      </c>
      <c r="Q848" t="n">
        <v>141.5108932668823</v>
      </c>
    </row>
    <row r="849">
      <c r="A849" s="118" t="n">
        <v>45667</v>
      </c>
      <c r="B849" s="119" t="n">
        <v>69.11951674225232</v>
      </c>
      <c r="C849" s="119" t="n">
        <v>69.63899625671699</v>
      </c>
      <c r="D849" s="119" t="n">
        <v>68.38839661010299</v>
      </c>
      <c r="E849" s="119" t="n">
        <v>68.49421691894531</v>
      </c>
      <c r="F849" s="120" t="n">
        <v>15677400</v>
      </c>
      <c r="G849" s="121" t="n">
        <v>-0.00126242877145033</v>
      </c>
      <c r="H849" s="122" t="n">
        <v>44.57312656238746</v>
      </c>
      <c r="I849" s="119" t="n">
        <v>73.36763763427734</v>
      </c>
      <c r="J849" s="119" t="n">
        <v>79.28345500946045</v>
      </c>
      <c r="K849" s="121" t="n">
        <v>0.1981968819653813</v>
      </c>
      <c r="L849" s="121" t="n">
        <v>-0.1474456866241077</v>
      </c>
      <c r="M849" s="121" t="n">
        <v>-0.3243016168804587</v>
      </c>
      <c r="N849" t="n">
        <v>28.61594930661518</v>
      </c>
      <c r="O849" t="n">
        <v>-0.5390968150925588</v>
      </c>
      <c r="P849" t="n">
        <v>136.8341607430953</v>
      </c>
      <c r="Q849" t="n">
        <v>139.2918627159179</v>
      </c>
    </row>
    <row r="850">
      <c r="A850" s="118" t="n">
        <v>45670</v>
      </c>
      <c r="B850" s="119" t="n">
        <v>68.46535337688701</v>
      </c>
      <c r="C850" s="119" t="n">
        <v>69.84100995608918</v>
      </c>
      <c r="D850" s="119" t="n">
        <v>68.0901749770553</v>
      </c>
      <c r="E850" s="119" t="n">
        <v>69.34077453613281</v>
      </c>
      <c r="F850" s="120" t="n">
        <v>14584300</v>
      </c>
      <c r="G850" s="121" t="n">
        <v>0.01235954880963597</v>
      </c>
      <c r="H850" s="122" t="n">
        <v>45.12403029573336</v>
      </c>
      <c r="I850" s="119" t="n">
        <v>73.25370086669922</v>
      </c>
      <c r="J850" s="119" t="n">
        <v>79.19079597473144</v>
      </c>
      <c r="K850" s="121" t="n">
        <v>0.172213858314302</v>
      </c>
      <c r="L850" s="121" t="n">
        <v>-0.1369084999750728</v>
      </c>
      <c r="M850" s="121" t="n">
        <v>-0.3159502897337005</v>
      </c>
      <c r="N850" t="n">
        <v>34.63315782217441</v>
      </c>
      <c r="O850" t="n">
        <v>-0.4417479257737762</v>
      </c>
      <c r="P850" t="n">
        <v>137.0463337272215</v>
      </c>
      <c r="Q850" t="n">
        <v>138.8441843823419</v>
      </c>
    </row>
    <row r="851">
      <c r="A851" s="118" t="n">
        <v>45671</v>
      </c>
      <c r="B851" s="119" t="n">
        <v>69.3311463432383</v>
      </c>
      <c r="C851" s="119" t="n">
        <v>69.46582538046295</v>
      </c>
      <c r="D851" s="119" t="n">
        <v>67.84966959431006</v>
      </c>
      <c r="E851" s="119" t="n">
        <v>68.46534729003906</v>
      </c>
      <c r="F851" s="120" t="n">
        <v>16732900</v>
      </c>
      <c r="G851" s="121" t="n">
        <v>-0.01262499953238294</v>
      </c>
      <c r="H851" s="122" t="n">
        <v>44.5543394343505</v>
      </c>
      <c r="I851" s="119" t="n">
        <v>73.15958328247071</v>
      </c>
      <c r="J851" s="119" t="n">
        <v>79.08640392303467</v>
      </c>
      <c r="K851" s="121" t="n">
        <v>0.1729848291817936</v>
      </c>
      <c r="L851" s="121" t="n">
        <v>-0.142287330002544</v>
      </c>
      <c r="M851" s="121" t="n">
        <v>-0.3245864170059394</v>
      </c>
      <c r="N851" t="n">
        <v>31.661032190539</v>
      </c>
      <c r="O851" t="n">
        <v>-0.4038611840920743</v>
      </c>
      <c r="P851" t="n">
        <v>137.234902668076</v>
      </c>
      <c r="Q851" t="n">
        <v>138.7123548496726</v>
      </c>
    </row>
    <row r="852">
      <c r="A852" s="118" t="n">
        <v>45672</v>
      </c>
      <c r="B852" s="119" t="n">
        <v>69.2541994708949</v>
      </c>
      <c r="C852" s="119" t="n">
        <v>69.50432088136415</v>
      </c>
      <c r="D852" s="119" t="n">
        <v>68.14790085402645</v>
      </c>
      <c r="E852" s="119" t="n">
        <v>68.36916351318359</v>
      </c>
      <c r="F852" s="120" t="n">
        <v>13468100</v>
      </c>
      <c r="G852" s="121" t="n">
        <v>-0.001404853413625506</v>
      </c>
      <c r="H852" s="122" t="n">
        <v>44.49174711850432</v>
      </c>
      <c r="I852" s="119" t="n">
        <v>73.05052505493164</v>
      </c>
      <c r="J852" s="119" t="n">
        <v>78.9822427368164</v>
      </c>
      <c r="K852" s="121" t="n">
        <v>0.1724172692491974</v>
      </c>
      <c r="L852" s="121" t="n">
        <v>-0.138534156556307</v>
      </c>
      <c r="M852" s="121" t="n">
        <v>-0.3255352740836176</v>
      </c>
      <c r="N852" t="n">
        <v>31.34277446150401</v>
      </c>
      <c r="O852" t="n">
        <v>-0.3545802710966499</v>
      </c>
      <c r="P852" t="n">
        <v>139.7311948723761</v>
      </c>
      <c r="Q852" t="n">
        <v>141.9036292595195</v>
      </c>
    </row>
    <row r="853">
      <c r="A853" s="118" t="n">
        <v>45673</v>
      </c>
      <c r="B853" s="119" t="n">
        <v>68.20562757499083</v>
      </c>
      <c r="C853" s="119" t="n">
        <v>68.52308852708637</v>
      </c>
      <c r="D853" s="119" t="n">
        <v>67.64766723605784</v>
      </c>
      <c r="E853" s="119" t="n">
        <v>68.40764617919922</v>
      </c>
      <c r="F853" s="120" t="n">
        <v>13694600</v>
      </c>
      <c r="G853" s="121" t="n">
        <v>0.0005628658307075263</v>
      </c>
      <c r="H853" s="122" t="n">
        <v>44.51679000270581</v>
      </c>
      <c r="I853" s="119" t="n">
        <v>72.92443435668946</v>
      </c>
      <c r="J853" s="119" t="n">
        <v>78.88501300811768</v>
      </c>
      <c r="K853" s="121" t="n">
        <v>0.1727921333547693</v>
      </c>
      <c r="L853" s="121" t="n">
        <v>-0.1228160471654574</v>
      </c>
      <c r="M853" s="121" t="n">
        <v>-0.3251556409353817</v>
      </c>
      <c r="N853" t="n">
        <v>31.63885592649967</v>
      </c>
      <c r="O853" t="n">
        <v>-0.2913388412149391</v>
      </c>
      <c r="P853" t="n">
        <v>139.4624921801542</v>
      </c>
      <c r="Q853" t="n">
        <v>140.9094489934203</v>
      </c>
    </row>
    <row r="854">
      <c r="A854" s="118" t="n">
        <v>45674</v>
      </c>
      <c r="B854" s="119" t="n">
        <v>68.71547812482265</v>
      </c>
      <c r="C854" s="119" t="n">
        <v>68.80205437235473</v>
      </c>
      <c r="D854" s="119" t="n">
        <v>68.14789581298828</v>
      </c>
      <c r="E854" s="119" t="n">
        <v>68.14789581298828</v>
      </c>
      <c r="F854" s="120" t="n">
        <v>9711300</v>
      </c>
      <c r="G854" s="121" t="n">
        <v>-0.00379709551079277</v>
      </c>
      <c r="H854" s="122" t="n">
        <v>44.34775549923163</v>
      </c>
      <c r="I854" s="119" t="n">
        <v>72.80980209350587</v>
      </c>
      <c r="J854" s="119" t="n">
        <v>78.79412517547607</v>
      </c>
      <c r="K854" s="121" t="n">
        <v>0.1642323547352108</v>
      </c>
      <c r="L854" s="121" t="n">
        <v>-0.1255026708434713</v>
      </c>
      <c r="M854" s="121" t="n">
        <v>-0.3277180894216698</v>
      </c>
      <c r="N854" t="n">
        <v>30.67720713424058</v>
      </c>
      <c r="O854" t="n">
        <v>-0.241030965303993</v>
      </c>
      <c r="P854" t="n">
        <v>140.8626816856473</v>
      </c>
      <c r="Q854" t="n">
        <v>143.2877844693107</v>
      </c>
    </row>
    <row r="855">
      <c r="A855" s="118" t="n">
        <v>45678</v>
      </c>
      <c r="B855" s="119" t="n">
        <v>68.59042037638977</v>
      </c>
      <c r="C855" s="119" t="n">
        <v>70.48554916717765</v>
      </c>
      <c r="D855" s="119" t="n">
        <v>68.43649726312037</v>
      </c>
      <c r="E855" s="119" t="n">
        <v>70.38935089111328</v>
      </c>
      <c r="F855" s="120" t="n">
        <v>14199900</v>
      </c>
      <c r="G855" s="121" t="n">
        <v>0.03289103869437149</v>
      </c>
      <c r="H855" s="122" t="n">
        <v>45.80639924136538</v>
      </c>
      <c r="I855" s="119" t="n">
        <v>72.72487670898437</v>
      </c>
      <c r="J855" s="119" t="n">
        <v>78.71738704681397</v>
      </c>
      <c r="K855" s="121" t="n">
        <v>0.2077048282237645</v>
      </c>
      <c r="L855" s="121" t="n">
        <v>-0.08128099444720172</v>
      </c>
      <c r="M855" s="121" t="n">
        <v>-0.305606039087312</v>
      </c>
      <c r="N855" t="n">
        <v>45.9453806631955</v>
      </c>
      <c r="O855" t="n">
        <v>-0.04129636593140829</v>
      </c>
      <c r="P855" t="n">
        <v>142.152050720157</v>
      </c>
      <c r="Q855" t="n">
        <v>144.1281565776502</v>
      </c>
    </row>
    <row r="856">
      <c r="A856" s="118" t="n">
        <v>45679</v>
      </c>
      <c r="B856" s="119" t="n">
        <v>70.5913660396257</v>
      </c>
      <c r="C856" s="119" t="n">
        <v>71.86120230451041</v>
      </c>
      <c r="D856" s="119" t="n">
        <v>70.23543170155183</v>
      </c>
      <c r="E856" s="119" t="n">
        <v>71.22628784179688</v>
      </c>
      <c r="F856" s="120" t="n">
        <v>13029300</v>
      </c>
      <c r="G856" s="121" t="n">
        <v>0.01189010752462072</v>
      </c>
      <c r="H856" s="122" t="n">
        <v>46.35104225366092</v>
      </c>
      <c r="I856" s="119" t="n">
        <v>72.70760833740235</v>
      </c>
      <c r="J856" s="119" t="n">
        <v>78.65081317901611</v>
      </c>
      <c r="K856" s="121" t="n">
        <v>0.2132164987468157</v>
      </c>
      <c r="L856" s="121" t="n">
        <v>-0.0638512931170635</v>
      </c>
      <c r="M856" s="121" t="n">
        <v>-0.2973496202276128</v>
      </c>
      <c r="N856" t="n">
        <v>50.34319783267655</v>
      </c>
      <c r="O856" t="n">
        <v>0.1520866481738556</v>
      </c>
      <c r="P856" t="n">
        <v>142.9511785558799</v>
      </c>
      <c r="Q856" t="n">
        <v>145.9709667682006</v>
      </c>
    </row>
    <row r="857">
      <c r="A857" s="118" t="n">
        <v>45680</v>
      </c>
      <c r="B857" s="119" t="n">
        <v>70.55287976067639</v>
      </c>
      <c r="C857" s="119" t="n">
        <v>71.66880017220311</v>
      </c>
      <c r="D857" s="119" t="n">
        <v>69.61974852760507</v>
      </c>
      <c r="E857" s="119" t="n">
        <v>71.46678161621094</v>
      </c>
      <c r="F857" s="120" t="n">
        <v>10677400</v>
      </c>
      <c r="G857" s="121" t="n">
        <v>0.00337647491819637</v>
      </c>
      <c r="H857" s="122" t="n">
        <v>46.50754538526267</v>
      </c>
      <c r="I857" s="119" t="n">
        <v>72.68366439819336</v>
      </c>
      <c r="J857" s="119" t="n">
        <v>78.58653343200683</v>
      </c>
      <c r="K857" s="121" t="n">
        <v>0.2140462969036861</v>
      </c>
      <c r="L857" s="121" t="n">
        <v>-0.06069041048857138</v>
      </c>
      <c r="M857" s="121" t="n">
        <v>-0.2949771388440502</v>
      </c>
      <c r="N857" t="n">
        <v>51.56269311610367</v>
      </c>
      <c r="O857" t="n">
        <v>0.2929409081898535</v>
      </c>
      <c r="P857" t="n">
        <v>143.7313997431794</v>
      </c>
      <c r="Q857" t="n">
        <v>146.2812850276421</v>
      </c>
    </row>
    <row r="858">
      <c r="A858" s="118" t="n">
        <v>45681</v>
      </c>
      <c r="B858" s="119" t="n">
        <v>71.25516108673123</v>
      </c>
      <c r="C858" s="119" t="n">
        <v>71.42832094623988</v>
      </c>
      <c r="D858" s="119" t="n">
        <v>70.46632335773833</v>
      </c>
      <c r="E858" s="119" t="n">
        <v>70.77416229248047</v>
      </c>
      <c r="F858" s="120" t="n">
        <v>8106700</v>
      </c>
      <c r="G858" s="121" t="n">
        <v>-0.009691486143170058</v>
      </c>
      <c r="H858" s="122" t="n">
        <v>46.05681815360854</v>
      </c>
      <c r="I858" s="119" t="n">
        <v>72.6466340637207</v>
      </c>
      <c r="J858" s="119" t="n">
        <v>78.51328548431397</v>
      </c>
      <c r="K858" s="121" t="n">
        <v>0.2159362495211807</v>
      </c>
      <c r="L858" s="121" t="n">
        <v>-0.06979371635946818</v>
      </c>
      <c r="M858" s="121" t="n">
        <v>-0.3018098581335612</v>
      </c>
      <c r="N858" t="n">
        <v>47.91320426173126</v>
      </c>
      <c r="O858" t="n">
        <v>0.3332705801462494</v>
      </c>
      <c r="P858" t="n">
        <v>143.3117950706617</v>
      </c>
      <c r="Q858" t="n">
        <v>145.4546252847067</v>
      </c>
    </row>
    <row r="859">
      <c r="A859" s="118" t="n">
        <v>45684</v>
      </c>
      <c r="B859" s="119" t="n">
        <v>70.64910469455967</v>
      </c>
      <c r="C859" s="119" t="n">
        <v>72.96751504816211</v>
      </c>
      <c r="D859" s="119" t="n">
        <v>70.62986063284332</v>
      </c>
      <c r="E859" s="119" t="n">
        <v>72.70777893066406</v>
      </c>
      <c r="F859" s="120" t="n">
        <v>11665400</v>
      </c>
      <c r="G859" s="121" t="n">
        <v>0.02732093995253182</v>
      </c>
      <c r="H859" s="122" t="n">
        <v>47.31513371678796</v>
      </c>
      <c r="I859" s="119" t="n">
        <v>72.63449356079101</v>
      </c>
      <c r="J859" s="119" t="n">
        <v>78.4449598312378</v>
      </c>
      <c r="K859" s="121" t="n">
        <v>0.2397861160138005</v>
      </c>
      <c r="L859" s="121" t="n">
        <v>-0.0443796063406573</v>
      </c>
      <c r="M859" s="121" t="n">
        <v>-0.2827346471921786</v>
      </c>
      <c r="N859" t="n">
        <v>57.05218872496509</v>
      </c>
      <c r="O859" t="n">
        <v>0.4753198924036393</v>
      </c>
      <c r="P859" t="n">
        <v>141.2846131051459</v>
      </c>
      <c r="Q859" t="n">
        <v>141.219792583586</v>
      </c>
    </row>
    <row r="860">
      <c r="A860" s="118" t="n">
        <v>45685</v>
      </c>
      <c r="B860" s="119" t="n">
        <v>72.46727594051791</v>
      </c>
      <c r="C860" s="119" t="n">
        <v>72.72701204513115</v>
      </c>
      <c r="D860" s="119" t="n">
        <v>71.34174058809597</v>
      </c>
      <c r="E860" s="119" t="n">
        <v>71.56299591064453</v>
      </c>
      <c r="F860" s="120" t="n">
        <v>8694400</v>
      </c>
      <c r="G860" s="121" t="n">
        <v>-0.01574498680686187</v>
      </c>
      <c r="H860" s="122" t="n">
        <v>46.57015756065223</v>
      </c>
      <c r="I860" s="119" t="n">
        <v>72.59830871582031</v>
      </c>
      <c r="J860" s="119" t="n">
        <v>78.38040176391601</v>
      </c>
      <c r="K860" s="121" t="n">
        <v>0.2453672284541389</v>
      </c>
      <c r="L860" s="121" t="n">
        <v>-0.05942583683119174</v>
      </c>
      <c r="M860" s="121" t="n">
        <v>-0.2940279807091568</v>
      </c>
      <c r="N860" t="n">
        <v>51.31199337907395</v>
      </c>
      <c r="O860" t="n">
        <v>0.4761390202251559</v>
      </c>
      <c r="P860" t="n">
        <v>142.4985750503942</v>
      </c>
      <c r="Q860" t="n">
        <v>143.3070020454559</v>
      </c>
    </row>
    <row r="861">
      <c r="A861" s="118" t="n">
        <v>45686</v>
      </c>
      <c r="B861" s="119" t="n">
        <v>71.62070252615796</v>
      </c>
      <c r="C861" s="119" t="n">
        <v>74.17961909851014</v>
      </c>
      <c r="D861" s="119" t="n">
        <v>71.49564550805306</v>
      </c>
      <c r="E861" s="119" t="n">
        <v>73.66976165771484</v>
      </c>
      <c r="F861" s="120" t="n">
        <v>11764800</v>
      </c>
      <c r="G861" s="121" t="n">
        <v>0.02943931734916294</v>
      </c>
      <c r="H861" s="122" t="n">
        <v>47.94115120808079</v>
      </c>
      <c r="I861" s="119" t="n">
        <v>72.60693939208984</v>
      </c>
      <c r="J861" s="119" t="n">
        <v>78.31214019775391</v>
      </c>
      <c r="K861" s="121" t="n">
        <v>0.2678308752229317</v>
      </c>
      <c r="L861" s="121" t="n">
        <v>-0.03173597555124186</v>
      </c>
      <c r="M861" s="121" t="n">
        <v>-0.2732446463936243</v>
      </c>
      <c r="N861" t="n">
        <v>59.406472503133</v>
      </c>
      <c r="O861" t="n">
        <v>0.5948158934564228</v>
      </c>
      <c r="P861" t="n">
        <v>141.8597732519212</v>
      </c>
      <c r="Q861" t="n">
        <v>143.0378884308249</v>
      </c>
    </row>
    <row r="862">
      <c r="A862" s="118" t="n">
        <v>45687</v>
      </c>
      <c r="B862" s="119" t="n">
        <v>73.92949687970616</v>
      </c>
      <c r="C862" s="119" t="n">
        <v>75.77653008020627</v>
      </c>
      <c r="D862" s="119" t="n">
        <v>73.92949687970616</v>
      </c>
      <c r="E862" s="119" t="n">
        <v>75.35325622558594</v>
      </c>
      <c r="F862" s="120" t="n">
        <v>10902100</v>
      </c>
      <c r="G862" s="121" t="n">
        <v>0.02285190734962561</v>
      </c>
      <c r="H862" s="122" t="n">
        <v>49.03669795372224</v>
      </c>
      <c r="I862" s="119" t="n">
        <v>72.66531921386719</v>
      </c>
      <c r="J862" s="119" t="n">
        <v>78.25229610443115</v>
      </c>
      <c r="K862" s="121" t="n">
        <v>0.264288665532289</v>
      </c>
      <c r="L862" s="121" t="n">
        <v>-0.009609295774563376</v>
      </c>
      <c r="M862" s="121" t="n">
        <v>-0.2566369003871671</v>
      </c>
      <c r="N862" t="n">
        <v>64.48726223168364</v>
      </c>
      <c r="O862" t="n">
        <v>0.7527745968696384</v>
      </c>
      <c r="P862" t="n">
        <v>142.6211316916837</v>
      </c>
      <c r="Q862" t="n">
        <v>143.6475483025247</v>
      </c>
    </row>
    <row r="863">
      <c r="A863" s="118" t="n">
        <v>45688</v>
      </c>
      <c r="B863" s="119" t="n">
        <v>75.14162379785782</v>
      </c>
      <c r="C863" s="119" t="n">
        <v>75.86312190831777</v>
      </c>
      <c r="D863" s="119" t="n">
        <v>73.84292866692159</v>
      </c>
      <c r="E863" s="119" t="n">
        <v>73.97760772705078</v>
      </c>
      <c r="F863" s="120" t="n">
        <v>13098000</v>
      </c>
      <c r="G863" s="121" t="n">
        <v>-0.01825599273927669</v>
      </c>
      <c r="H863" s="122" t="n">
        <v>48.14148435192098</v>
      </c>
      <c r="I863" s="119" t="n">
        <v>72.67742660522461</v>
      </c>
      <c r="J863" s="119" t="n">
        <v>78.18035343170166</v>
      </c>
      <c r="K863" s="121" t="n">
        <v>0.2706796332917587</v>
      </c>
      <c r="L863" s="121" t="n">
        <v>-0.0276898612799501</v>
      </c>
      <c r="M863" s="121" t="n">
        <v>-0.2702077317363453</v>
      </c>
      <c r="N863" t="n">
        <v>58.08917601513586</v>
      </c>
      <c r="O863" t="n">
        <v>0.730130844819129</v>
      </c>
      <c r="P863" t="n">
        <v>141.8621292661597</v>
      </c>
      <c r="Q863" t="n">
        <v>143.4388231345504</v>
      </c>
    </row>
    <row r="864">
      <c r="A864" s="118" t="n">
        <v>45691</v>
      </c>
      <c r="B864" s="119" t="n">
        <v>72.05360413809005</v>
      </c>
      <c r="C864" s="119" t="n">
        <v>73.7755803029325</v>
      </c>
      <c r="D864" s="119" t="n">
        <v>70.43744827060075</v>
      </c>
      <c r="E864" s="119" t="n">
        <v>73.67937469482422</v>
      </c>
      <c r="F864" s="120" t="n">
        <v>18539200</v>
      </c>
      <c r="G864" s="121" t="n">
        <v>-0.004031396004679277</v>
      </c>
      <c r="H864" s="122" t="n">
        <v>47.94740696424532</v>
      </c>
      <c r="I864" s="119" t="n">
        <v>72.71745132446289</v>
      </c>
      <c r="J864" s="119" t="n">
        <v>78.10554340362549</v>
      </c>
      <c r="K864" s="121" t="n">
        <v>0.2516429966979008</v>
      </c>
      <c r="L864" s="121" t="n">
        <v>-0.03160962848849524</v>
      </c>
      <c r="M864" s="121" t="n">
        <v>-0.2731498133708692</v>
      </c>
      <c r="N864" t="n">
        <v>56.77407484722904</v>
      </c>
      <c r="O864" t="n">
        <v>0.6625700175696692</v>
      </c>
      <c r="P864" t="n">
        <v>140.907460589808</v>
      </c>
      <c r="Q864" t="n">
        <v>142.2908515978409</v>
      </c>
    </row>
    <row r="865">
      <c r="A865" s="118" t="n">
        <v>45692</v>
      </c>
      <c r="B865" s="119" t="n">
        <v>74.60290298077192</v>
      </c>
      <c r="C865" s="119" t="n">
        <v>75.18972199510382</v>
      </c>
      <c r="D865" s="119" t="n">
        <v>73.15028481910949</v>
      </c>
      <c r="E865" s="119" t="n">
        <v>73.804443359375</v>
      </c>
      <c r="F865" s="120" t="n">
        <v>11943700</v>
      </c>
      <c r="G865" s="121" t="n">
        <v>0.001697471851095589</v>
      </c>
      <c r="H865" s="122" t="n">
        <v>48.02879633790015</v>
      </c>
      <c r="I865" s="119" t="n">
        <v>72.77873657226563</v>
      </c>
      <c r="J865" s="119" t="n">
        <v>78.02447727203369</v>
      </c>
      <c r="K865" s="121" t="n">
        <v>0.2503127601862861</v>
      </c>
      <c r="L865" s="121" t="n">
        <v>-0.02996581309198232</v>
      </c>
      <c r="M865" s="121" t="n">
        <v>-0.2719160056391027</v>
      </c>
      <c r="N865" t="n">
        <v>57.21156452066009</v>
      </c>
      <c r="O865" t="n">
        <v>0.5959016822614375</v>
      </c>
      <c r="P865" t="n">
        <v>141.8527052092056</v>
      </c>
      <c r="Q865" t="n">
        <v>144.0375232462167</v>
      </c>
    </row>
    <row r="866">
      <c r="A866" s="118" t="n">
        <v>45693</v>
      </c>
      <c r="B866" s="119" t="n">
        <v>73.4004037322194</v>
      </c>
      <c r="C866" s="119" t="n">
        <v>73.87178039788233</v>
      </c>
      <c r="D866" s="119" t="n">
        <v>71.57260722483602</v>
      </c>
      <c r="E866" s="119" t="n">
        <v>71.73614501953125</v>
      </c>
      <c r="F866" s="120" t="n">
        <v>9807400</v>
      </c>
      <c r="G866" s="121" t="n">
        <v>-0.02802403548757371</v>
      </c>
      <c r="H866" s="122" t="n">
        <v>46.68283564490139</v>
      </c>
      <c r="I866" s="119" t="n">
        <v>72.80918411254883</v>
      </c>
      <c r="J866" s="119" t="n">
        <v>77.92879848480224</v>
      </c>
      <c r="K866" s="121" t="n">
        <v>0.2634650497897603</v>
      </c>
      <c r="L866" s="121" t="n">
        <v>-0.0571500855700523</v>
      </c>
      <c r="M866" s="121" t="n">
        <v>-0.2923198573350069</v>
      </c>
      <c r="N866" t="n">
        <v>48.47414785667828</v>
      </c>
      <c r="O866" t="n">
        <v>0.3919538693250014</v>
      </c>
      <c r="P866" t="n">
        <v>142.4278507223521</v>
      </c>
      <c r="Q866" t="n">
        <v>144.6911572552471</v>
      </c>
    </row>
    <row r="867">
      <c r="A867" s="118" t="n">
        <v>45694</v>
      </c>
      <c r="B867" s="119" t="n">
        <v>72.38068582624201</v>
      </c>
      <c r="C867" s="119" t="n">
        <v>72.53460894063599</v>
      </c>
      <c r="D867" s="119" t="n">
        <v>68.90787445690226</v>
      </c>
      <c r="E867" s="119" t="n">
        <v>69.01369476318359</v>
      </c>
      <c r="F867" s="120" t="n">
        <v>16059400</v>
      </c>
      <c r="G867" s="121" t="n">
        <v>-0.0379508859251696</v>
      </c>
      <c r="H867" s="122" t="n">
        <v>44.9111806746783</v>
      </c>
      <c r="I867" s="119" t="n">
        <v>72.75187530517579</v>
      </c>
      <c r="J867" s="119" t="n">
        <v>77.8252498626709</v>
      </c>
      <c r="K867" s="121" t="n">
        <v>0.2990601042908668</v>
      </c>
      <c r="L867" s="121" t="n">
        <v>-0.09293207511713908</v>
      </c>
      <c r="M867" s="121" t="n">
        <v>-0.3191769457007938</v>
      </c>
      <c r="N867" t="n">
        <v>39.84766843597515</v>
      </c>
      <c r="O867" t="n">
        <v>0.07001343147310957</v>
      </c>
      <c r="P867" t="n">
        <v>142.92287711776</v>
      </c>
      <c r="Q867" t="n">
        <v>145.4464181300437</v>
      </c>
    </row>
    <row r="868">
      <c r="A868" s="118" t="n">
        <v>45695</v>
      </c>
      <c r="B868" s="119" t="n">
        <v>67.87854481826062</v>
      </c>
      <c r="C868" s="119" t="n">
        <v>68.1190442058984</v>
      </c>
      <c r="D868" s="119" t="n">
        <v>66.01227456102346</v>
      </c>
      <c r="E868" s="119" t="n">
        <v>66.06999206542969</v>
      </c>
      <c r="F868" s="120" t="n">
        <v>27428700</v>
      </c>
      <c r="G868" s="121" t="n">
        <v>-0.04265389221450966</v>
      </c>
      <c r="H868" s="122" t="n">
        <v>42.9955440149542</v>
      </c>
      <c r="I868" s="119" t="n">
        <v>72.59166534423828</v>
      </c>
      <c r="J868" s="119" t="n">
        <v>77.70859622955322</v>
      </c>
      <c r="K868" s="121" t="n">
        <v>0.3334831228485778</v>
      </c>
      <c r="L868" s="121" t="n">
        <v>-0.1316220526163316</v>
      </c>
      <c r="M868" s="121" t="n">
        <v>-0.3482166988760255</v>
      </c>
      <c r="N868" t="n">
        <v>33.00765760991152</v>
      </c>
      <c r="O868" t="n">
        <v>-0.3232852367423259</v>
      </c>
      <c r="P868" t="n">
        <v>141.6146307020845</v>
      </c>
      <c r="Q868" t="n">
        <v>143.6118319813059</v>
      </c>
    </row>
    <row r="869">
      <c r="A869" s="118" t="n">
        <v>45698</v>
      </c>
      <c r="B869" s="119" t="n">
        <v>66.72414472269703</v>
      </c>
      <c r="C869" s="119" t="n">
        <v>68.25371716826213</v>
      </c>
      <c r="D869" s="119" t="n">
        <v>66.49326738627286</v>
      </c>
      <c r="E869" s="119" t="n">
        <v>68.24410247802734</v>
      </c>
      <c r="F869" s="120" t="n">
        <v>16201300</v>
      </c>
      <c r="G869" s="121" t="n">
        <v>0.03290617032986187</v>
      </c>
      <c r="H869" s="122" t="n">
        <v>44.41036270973536</v>
      </c>
      <c r="I869" s="119" t="n">
        <v>72.43933288574219</v>
      </c>
      <c r="J869" s="119" t="n">
        <v>77.60361999511719</v>
      </c>
      <c r="K869" s="121" t="n">
        <v>0.3553520264141827</v>
      </c>
      <c r="L869" s="121" t="n">
        <v>-0.1030470599690287</v>
      </c>
      <c r="M869" s="121" t="n">
        <v>-0.3267690065510802</v>
      </c>
      <c r="N869" t="n">
        <v>41.05533749521257</v>
      </c>
      <c r="O869" t="n">
        <v>-0.4133487862214256</v>
      </c>
      <c r="P869" t="n">
        <v>142.5763674211517</v>
      </c>
      <c r="Q869" t="n">
        <v>145.3502627007196</v>
      </c>
    </row>
    <row r="870">
      <c r="A870" s="118" t="n">
        <v>45699</v>
      </c>
      <c r="B870" s="119" t="n">
        <v>67.88815622259229</v>
      </c>
      <c r="C870" s="119" t="n">
        <v>69.25419076908562</v>
      </c>
      <c r="D870" s="119" t="n">
        <v>67.83043872722031</v>
      </c>
      <c r="E870" s="119" t="n">
        <v>68.62889099121094</v>
      </c>
      <c r="F870" s="120" t="n">
        <v>9636600</v>
      </c>
      <c r="G870" s="121" t="n">
        <v>0.005638414151720728</v>
      </c>
      <c r="H870" s="122" t="n">
        <v>44.66076672732098</v>
      </c>
      <c r="I870" s="119" t="n">
        <v>72.3262808227539</v>
      </c>
      <c r="J870" s="119" t="n">
        <v>77.4976252746582</v>
      </c>
      <c r="K870" s="121" t="n">
        <v>0.3530589963454082</v>
      </c>
      <c r="L870" s="121" t="n">
        <v>-0.09798966781853069</v>
      </c>
      <c r="M870" s="121" t="n">
        <v>-0.3229730513902408</v>
      </c>
      <c r="N870" t="n">
        <v>42.37475874020722</v>
      </c>
      <c r="O870" t="n">
        <v>-0.4218773957731448</v>
      </c>
      <c r="P870" t="n">
        <v>142.6847733433813</v>
      </c>
      <c r="Q870" t="n">
        <v>145.0042618943582</v>
      </c>
    </row>
    <row r="871">
      <c r="A871" s="118" t="n">
        <v>45700</v>
      </c>
      <c r="B871" s="119" t="n">
        <v>67.91702704245576</v>
      </c>
      <c r="C871" s="119" t="n">
        <v>69.69672108085494</v>
      </c>
      <c r="D871" s="119" t="n">
        <v>67.65729092765633</v>
      </c>
      <c r="E871" s="119" t="n">
        <v>69.51394653320312</v>
      </c>
      <c r="F871" s="120" t="n">
        <v>10810900</v>
      </c>
      <c r="G871" s="121" t="n">
        <v>0.01289625300961861</v>
      </c>
      <c r="H871" s="122" t="n">
        <v>45.23672327464007</v>
      </c>
      <c r="I871" s="119" t="n">
        <v>72.21695602416992</v>
      </c>
      <c r="J871" s="119" t="n">
        <v>77.39937782287598</v>
      </c>
      <c r="K871" s="121" t="n">
        <v>0.3528459391572721</v>
      </c>
      <c r="L871" s="121" t="n">
        <v>-0.08635711435742821</v>
      </c>
      <c r="M871" s="121" t="n">
        <v>-0.3142419405666393</v>
      </c>
      <c r="N871" t="n">
        <v>45.40201187350257</v>
      </c>
      <c r="O871" t="n">
        <v>-0.3459669837815288</v>
      </c>
      <c r="P871" t="n">
        <v>142.2251310624376</v>
      </c>
      <c r="Q871" t="n">
        <v>145.0893731279011</v>
      </c>
    </row>
    <row r="872">
      <c r="A872" s="118" t="n">
        <v>45701</v>
      </c>
      <c r="B872" s="119" t="n">
        <v>69.69671342841886</v>
      </c>
      <c r="C872" s="119" t="n">
        <v>70.80301198145656</v>
      </c>
      <c r="D872" s="119" t="n">
        <v>68.90787580041477</v>
      </c>
      <c r="E872" s="119" t="n">
        <v>70.42783355712891</v>
      </c>
      <c r="F872" s="120" t="n">
        <v>9739600</v>
      </c>
      <c r="G872" s="121" t="n">
        <v>0.01314681541623108</v>
      </c>
      <c r="H872" s="122" t="n">
        <v>45.83144212556689</v>
      </c>
      <c r="I872" s="119" t="n">
        <v>72.11767791748046</v>
      </c>
      <c r="J872" s="119" t="n">
        <v>77.30484565734864</v>
      </c>
      <c r="K872" s="121" t="n">
        <v>0.3553050186810643</v>
      </c>
      <c r="L872" s="121" t="n">
        <v>-0.07434561998353262</v>
      </c>
      <c r="M872" s="121" t="n">
        <v>-0.2996725473904238</v>
      </c>
      <c r="N872" t="n">
        <v>48.4154501095727</v>
      </c>
      <c r="O872" t="n">
        <v>-0.2184826916154911</v>
      </c>
      <c r="P872" t="n">
        <v>143.7266877147023</v>
      </c>
      <c r="Q872" t="n">
        <v>147.1766079204953</v>
      </c>
    </row>
    <row r="873">
      <c r="A873" s="118" t="n">
        <v>45702</v>
      </c>
      <c r="B873" s="119" t="n">
        <v>70.38935451673089</v>
      </c>
      <c r="C873" s="119" t="n">
        <v>70.70681544960729</v>
      </c>
      <c r="D873" s="119" t="n">
        <v>69.59089483929932</v>
      </c>
      <c r="E873" s="119" t="n">
        <v>70.26429748535156</v>
      </c>
      <c r="F873" s="120" t="n">
        <v>9254400</v>
      </c>
      <c r="G873" s="121" t="n">
        <v>-0.002322037517236586</v>
      </c>
      <c r="H873" s="122" t="n">
        <v>45.72501979748226</v>
      </c>
      <c r="I873" s="119" t="n">
        <v>72.00127639770508</v>
      </c>
      <c r="J873" s="119" t="n">
        <v>77.20978050231933</v>
      </c>
      <c r="K873" s="121" t="n">
        <v>0.3555774638551217</v>
      </c>
      <c r="L873" s="121" t="n">
        <v>-0.07649502418192533</v>
      </c>
      <c r="M873" s="121" t="n">
        <v>-0.3012987340097339</v>
      </c>
      <c r="N873" t="n">
        <v>47.90590755406514</v>
      </c>
      <c r="O873" t="n">
        <v>-0.1336164864236359</v>
      </c>
      <c r="P873" t="n">
        <v>143.7196050383579</v>
      </c>
      <c r="Q873" t="n">
        <v>147.7945424954563</v>
      </c>
    </row>
    <row r="874">
      <c r="A874" s="118" t="n">
        <v>45706</v>
      </c>
      <c r="B874" s="119" t="n">
        <v>71.66880431973802</v>
      </c>
      <c r="C874" s="119" t="n">
        <v>74.7279562607897</v>
      </c>
      <c r="D874" s="119" t="n">
        <v>71.66880431973802</v>
      </c>
      <c r="E874" s="119" t="n">
        <v>74.64137268066406</v>
      </c>
      <c r="F874" s="120" t="n">
        <v>28252400</v>
      </c>
      <c r="G874" s="121" t="n">
        <v>0.06229444187106559</v>
      </c>
      <c r="H874" s="122" t="n">
        <v>48.57343438530985</v>
      </c>
      <c r="I874" s="119" t="n">
        <v>71.97684127807617</v>
      </c>
      <c r="J874" s="119" t="n">
        <v>77.14514305114746</v>
      </c>
      <c r="K874" s="121" t="n">
        <v>0.4147864860111139</v>
      </c>
      <c r="L874" s="121" t="n">
        <v>-0.01896579714818636</v>
      </c>
      <c r="M874" s="121" t="n">
        <v>-0.2558138579633078</v>
      </c>
      <c r="N874" t="n">
        <v>60.03078237898154</v>
      </c>
      <c r="O874" t="n">
        <v>0.2101644431616574</v>
      </c>
      <c r="P874" t="n">
        <v>144.1415364578565</v>
      </c>
      <c r="Q874" t="n">
        <v>148.1295666546345</v>
      </c>
    </row>
    <row r="875">
      <c r="A875" s="118" t="n">
        <v>45707</v>
      </c>
      <c r="B875" s="119" t="n">
        <v>73.90064050601563</v>
      </c>
      <c r="C875" s="119" t="n">
        <v>74.72795886312346</v>
      </c>
      <c r="D875" s="119" t="n">
        <v>73.19837916960263</v>
      </c>
      <c r="E875" s="119" t="n">
        <v>73.86215972900391</v>
      </c>
      <c r="F875" s="120" t="n">
        <v>14184100</v>
      </c>
      <c r="G875" s="121" t="n">
        <v>-0.01043942419164556</v>
      </c>
      <c r="H875" s="122" t="n">
        <v>48.06635569931653</v>
      </c>
      <c r="I875" s="119" t="n">
        <v>71.94624954223633</v>
      </c>
      <c r="J875" s="119" t="n">
        <v>77.08572147369385</v>
      </c>
      <c r="K875" s="121" t="n">
        <v>0.4043676112909737</v>
      </c>
      <c r="L875" s="121" t="n">
        <v>-0.02920722933826936</v>
      </c>
      <c r="M875" s="121" t="n">
        <v>-0.2606545241934948</v>
      </c>
      <c r="N875" t="n">
        <v>57.46653094682434</v>
      </c>
      <c r="O875" t="n">
        <v>0.3686652707967356</v>
      </c>
      <c r="P875" t="n">
        <v>144.480992745378</v>
      </c>
      <c r="Q875" t="n">
        <v>148.1707544122955</v>
      </c>
    </row>
    <row r="876">
      <c r="A876" s="118" t="n">
        <v>45708</v>
      </c>
      <c r="B876" s="119" t="n">
        <v>73.98722794083432</v>
      </c>
      <c r="C876" s="119" t="n">
        <v>74.33354027305295</v>
      </c>
      <c r="D876" s="119" t="n">
        <v>73.43888234446432</v>
      </c>
      <c r="E876" s="119" t="n">
        <v>74.29506683349609</v>
      </c>
      <c r="F876" s="120" t="n">
        <v>10689600</v>
      </c>
      <c r="G876" s="121" t="n">
        <v>0.005861013353529065</v>
      </c>
      <c r="H876" s="122" t="n">
        <v>48.3480732519257</v>
      </c>
      <c r="I876" s="119" t="n">
        <v>71.92027542114258</v>
      </c>
      <c r="J876" s="119" t="n">
        <v>77.01864070892334</v>
      </c>
      <c r="K876" s="121" t="n">
        <v>0.4031180425560464</v>
      </c>
      <c r="L876" s="121" t="n">
        <v>-0.0235173999459114</v>
      </c>
      <c r="M876" s="121" t="n">
        <v>-0.2563212104869216</v>
      </c>
      <c r="N876" t="n">
        <v>58.5264698690273</v>
      </c>
      <c r="O876" t="n">
        <v>0.4792416522313568</v>
      </c>
      <c r="P876" t="n">
        <v>143.879916441979</v>
      </c>
      <c r="Q876" t="n">
        <v>147.5418600773009</v>
      </c>
    </row>
    <row r="877">
      <c r="A877" s="118" t="n">
        <v>45709</v>
      </c>
      <c r="B877" s="119" t="n">
        <v>74.45860311655888</v>
      </c>
      <c r="C877" s="119" t="n">
        <v>75.02617808163861</v>
      </c>
      <c r="D877" s="119" t="n">
        <v>72.97712618234915</v>
      </c>
      <c r="E877" s="119" t="n">
        <v>73.59280395507812</v>
      </c>
      <c r="F877" s="120" t="n">
        <v>12823400</v>
      </c>
      <c r="G877" s="121" t="n">
        <v>-0.009452348700241697</v>
      </c>
      <c r="H877" s="122" t="n">
        <v>47.89107040456367</v>
      </c>
      <c r="I877" s="119" t="n">
        <v>71.87429199218749</v>
      </c>
      <c r="J877" s="119" t="n">
        <v>76.94928249359131</v>
      </c>
      <c r="K877" s="121" t="n">
        <v>0.4052788094542505</v>
      </c>
      <c r="L877" s="121" t="n">
        <v>-0.03274745398134138</v>
      </c>
      <c r="M877" s="121" t="n">
        <v>-0.2633507217263729</v>
      </c>
      <c r="N877" t="n">
        <v>56.08481105062412</v>
      </c>
      <c r="O877" t="n">
        <v>0.4804471375934141</v>
      </c>
      <c r="P877" t="n">
        <v>141.4189644512567</v>
      </c>
      <c r="Q877" t="n">
        <v>144.4796794819022</v>
      </c>
    </row>
    <row r="878">
      <c r="A878" s="118" t="n">
        <v>45712</v>
      </c>
      <c r="B878" s="119" t="n">
        <v>75.88235855470144</v>
      </c>
      <c r="C878" s="119" t="n">
        <v>78.00837210405217</v>
      </c>
      <c r="D878" s="119" t="n">
        <v>75.75730152454844</v>
      </c>
      <c r="E878" s="119" t="n">
        <v>77.22915649414062</v>
      </c>
      <c r="F878" s="120" t="n">
        <v>24553500</v>
      </c>
      <c r="G878" s="121" t="n">
        <v>0.04941179495324266</v>
      </c>
      <c r="H878" s="122" t="n">
        <v>50.25745415548528</v>
      </c>
      <c r="I878" s="119" t="n">
        <v>71.92508560180664</v>
      </c>
      <c r="J878" s="119" t="n">
        <v>76.89236366271973</v>
      </c>
      <c r="K878" s="121" t="n">
        <v>0.4362215201285357</v>
      </c>
      <c r="L878" s="121" t="n">
        <v>0</v>
      </c>
      <c r="M878" s="121" t="n">
        <v>-0.2269515586358622</v>
      </c>
      <c r="N878" t="n">
        <v>64.3730497160799</v>
      </c>
      <c r="O878" t="n">
        <v>0.6888231345647784</v>
      </c>
      <c r="P878" t="n">
        <v>140.7754359906779</v>
      </c>
      <c r="Q878" t="n">
        <v>142.7742124783369</v>
      </c>
    </row>
    <row r="879">
      <c r="A879" s="118" t="n">
        <v>45713</v>
      </c>
      <c r="B879" s="119" t="n">
        <v>77.25800585474647</v>
      </c>
      <c r="C879" s="119" t="n">
        <v>78.84530297119436</v>
      </c>
      <c r="D879" s="119" t="n">
        <v>77.00789182483783</v>
      </c>
      <c r="E879" s="119" t="n">
        <v>78.61442565917969</v>
      </c>
      <c r="F879" s="120" t="n">
        <v>15522500</v>
      </c>
      <c r="G879" s="121" t="n">
        <v>0.01793712670090031</v>
      </c>
      <c r="H879" s="122" t="n">
        <v>51.1589284783369</v>
      </c>
      <c r="I879" s="119" t="n">
        <v>72.02090042114258</v>
      </c>
      <c r="J879" s="119" t="n">
        <v>76.84037799835205</v>
      </c>
      <c r="K879" s="121" t="n">
        <v>0.4310165866605419</v>
      </c>
      <c r="L879" s="121" t="n">
        <v>0</v>
      </c>
      <c r="M879" s="121" t="n">
        <v>-0.2130852907971802</v>
      </c>
      <c r="N879" t="n">
        <v>66.93334812165459</v>
      </c>
      <c r="O879" t="n">
        <v>0.8708973313196056</v>
      </c>
      <c r="P879" t="n">
        <v>140.0753485547458</v>
      </c>
      <c r="Q879" t="n">
        <v>140.9753510943928</v>
      </c>
    </row>
    <row r="880">
      <c r="A880" s="118" t="n">
        <v>45714</v>
      </c>
      <c r="B880" s="119" t="n">
        <v>78.97998502346479</v>
      </c>
      <c r="C880" s="119" t="n">
        <v>79.30706795578135</v>
      </c>
      <c r="D880" s="119" t="n">
        <v>77.76786624516318</v>
      </c>
      <c r="E880" s="119" t="n">
        <v>78.0853271484375</v>
      </c>
      <c r="F880" s="120" t="n">
        <v>16058100</v>
      </c>
      <c r="G880" s="121" t="n">
        <v>-0.006730297986733524</v>
      </c>
      <c r="H880" s="122" t="n">
        <v>50.81461364499571</v>
      </c>
      <c r="I880" s="119" t="n">
        <v>72.065537109375</v>
      </c>
      <c r="J880" s="119" t="n">
        <v>76.78664852142334</v>
      </c>
      <c r="K880" s="121" t="n">
        <v>0.426632677514655</v>
      </c>
      <c r="L880" s="121" t="n">
        <v>-0.006730297986733524</v>
      </c>
      <c r="M880" s="121" t="n">
        <v>-0.2148134418586952</v>
      </c>
      <c r="N880" t="n">
        <v>65.01162844115635</v>
      </c>
      <c r="O880" t="n">
        <v>0.9027860150530911</v>
      </c>
      <c r="P880" t="n">
        <v>140.1460728827878</v>
      </c>
      <c r="Q880" t="n">
        <v>141.3158973514616</v>
      </c>
    </row>
    <row r="881">
      <c r="A881" s="118" t="n">
        <v>45715</v>
      </c>
      <c r="B881" s="119" t="n">
        <v>78.3931718809481</v>
      </c>
      <c r="C881" s="119" t="n">
        <v>78.3931718809481</v>
      </c>
      <c r="D881" s="119" t="n">
        <v>76.44031818852841</v>
      </c>
      <c r="E881" s="119" t="n">
        <v>76.97903442382812</v>
      </c>
      <c r="F881" s="120" t="n">
        <v>11651900</v>
      </c>
      <c r="G881" s="121" t="n">
        <v>-0.01416774143119548</v>
      </c>
      <c r="H881" s="122" t="n">
        <v>50.09468533794731</v>
      </c>
      <c r="I881" s="119" t="n">
        <v>72.10517166137696</v>
      </c>
      <c r="J881" s="119" t="n">
        <v>76.72833679199219</v>
      </c>
      <c r="K881" s="121" t="n">
        <v>0.42115462390749</v>
      </c>
      <c r="L881" s="121" t="n">
        <v>-0.02080268629629811</v>
      </c>
      <c r="M881" s="121" t="n">
        <v>-0.2259377619896916</v>
      </c>
      <c r="N881" t="n">
        <v>61.06387475873021</v>
      </c>
      <c r="O881" t="n">
        <v>0.7999768530656375</v>
      </c>
      <c r="P881" t="n">
        <v>137.9090739473843</v>
      </c>
      <c r="Q881" t="n">
        <v>137.3913744662077</v>
      </c>
    </row>
    <row r="882">
      <c r="A882" s="118" t="n">
        <v>45716</v>
      </c>
      <c r="B882" s="119" t="n">
        <v>76.23829342268968</v>
      </c>
      <c r="C882" s="119" t="n">
        <v>76.97902818620491</v>
      </c>
      <c r="D882" s="119" t="n">
        <v>75.2089565053875</v>
      </c>
      <c r="E882" s="119" t="n">
        <v>76.41145324707031</v>
      </c>
      <c r="F882" s="120" t="n">
        <v>14113800</v>
      </c>
      <c r="G882" s="121" t="n">
        <v>-0.007373191687919167</v>
      </c>
      <c r="H882" s="122" t="n">
        <v>49.72532762040463</v>
      </c>
      <c r="I882" s="119" t="n">
        <v>72.14711486816407</v>
      </c>
      <c r="J882" s="119" t="n">
        <v>76.67881420135498</v>
      </c>
      <c r="K882" s="121" t="n">
        <v>0.4154386392159747</v>
      </c>
      <c r="L882" s="121" t="n">
        <v>-0.02802249579053107</v>
      </c>
      <c r="M882" s="121" t="n">
        <v>-0.2257545073155338</v>
      </c>
      <c r="N882" t="n">
        <v>59.08164411294606</v>
      </c>
      <c r="O882" t="n">
        <v>0.6506871204553539</v>
      </c>
      <c r="P882" t="n">
        <v>140.0612124693147</v>
      </c>
      <c r="Q882" t="n">
        <v>139.5609847741238</v>
      </c>
    </row>
    <row r="883">
      <c r="A883" s="118" t="n">
        <v>45719</v>
      </c>
      <c r="B883" s="119" t="n">
        <v>77.33965530167843</v>
      </c>
      <c r="C883" s="119" t="n">
        <v>78.27751706008419</v>
      </c>
      <c r="D883" s="119" t="n">
        <v>75.30923696863658</v>
      </c>
      <c r="E883" s="119" t="n">
        <v>75.81201171875</v>
      </c>
      <c r="F883" s="120" t="n">
        <v>8628800</v>
      </c>
      <c r="G883" s="121" t="n">
        <v>-0.0078449172584385</v>
      </c>
      <c r="H883" s="122" t="n">
        <v>49.33523653957381</v>
      </c>
      <c r="I883" s="119" t="n">
        <v>72.17803115844727</v>
      </c>
      <c r="J883" s="119" t="n">
        <v>76.61784698486328</v>
      </c>
      <c r="K883" s="121" t="n">
        <v>0.4106479551173699</v>
      </c>
      <c r="L883" s="121" t="n">
        <v>-0.03564757888811798</v>
      </c>
      <c r="M883" s="121" t="n">
        <v>-0.2287240829989814</v>
      </c>
      <c r="N883" t="n">
        <v>56.97796129641323</v>
      </c>
      <c r="O883" t="n">
        <v>0.4765739803568594</v>
      </c>
      <c r="P883" t="n">
        <v>137.6073431549368</v>
      </c>
      <c r="Q883" t="n">
        <v>136.5070535512619</v>
      </c>
    </row>
    <row r="884">
      <c r="A884" s="118" t="n">
        <v>45720</v>
      </c>
      <c r="B884" s="119" t="n">
        <v>75.12553195803102</v>
      </c>
      <c r="C884" s="119" t="n">
        <v>76.04405965507924</v>
      </c>
      <c r="D884" s="119" t="n">
        <v>74.23601645536671</v>
      </c>
      <c r="E884" s="119" t="n">
        <v>74.75812530517578</v>
      </c>
      <c r="F884" s="120" t="n">
        <v>10034100</v>
      </c>
      <c r="G884" s="121" t="n">
        <v>-0.01390131180641874</v>
      </c>
      <c r="H884" s="122" t="n">
        <v>48.64941203339377</v>
      </c>
      <c r="I884" s="119" t="n">
        <v>72.17247741699219</v>
      </c>
      <c r="J884" s="119" t="n">
        <v>76.5512780380249</v>
      </c>
      <c r="K884" s="121" t="n">
        <v>0.4139055779364323</v>
      </c>
      <c r="L884" s="121" t="n">
        <v>-0.04905334258526906</v>
      </c>
      <c r="M884" s="121" t="n">
        <v>-0.2269042027446657</v>
      </c>
      <c r="N884" t="n">
        <v>53.37936791902101</v>
      </c>
      <c r="O884" t="n">
        <v>0.2659414884533351</v>
      </c>
      <c r="P884" t="n">
        <v>135.9785178329055</v>
      </c>
      <c r="Q884" t="n">
        <v>136.0951084260543</v>
      </c>
    </row>
    <row r="885">
      <c r="A885" s="118" t="n">
        <v>45721</v>
      </c>
      <c r="B885" s="119" t="n">
        <v>74.76778839775565</v>
      </c>
      <c r="C885" s="119" t="n">
        <v>75.71531343916745</v>
      </c>
      <c r="D885" s="119" t="n">
        <v>73.92661188512572</v>
      </c>
      <c r="E885" s="119" t="n">
        <v>75.23188018798828</v>
      </c>
      <c r="F885" s="120" t="n">
        <v>9853600</v>
      </c>
      <c r="G885" s="121" t="n">
        <v>0.006337169115444574</v>
      </c>
      <c r="H885" s="122" t="n">
        <v>48.95771158481633</v>
      </c>
      <c r="I885" s="119" t="n">
        <v>72.19756286621094</v>
      </c>
      <c r="J885" s="119" t="n">
        <v>76.49239322662353</v>
      </c>
      <c r="K885" s="121" t="n">
        <v>0.4143298038435447</v>
      </c>
      <c r="L885" s="121" t="n">
        <v>-0.04302703279746511</v>
      </c>
      <c r="M885" s="121" t="n">
        <v>-0.2180137846897192</v>
      </c>
      <c r="N885" t="n">
        <v>54.76251665274639</v>
      </c>
      <c r="O885" t="n">
        <v>0.1403454418552645</v>
      </c>
      <c r="P885" t="n">
        <v>137.4399783422289</v>
      </c>
      <c r="Q885" t="n">
        <v>137.8692385795374</v>
      </c>
    </row>
    <row r="886">
      <c r="A886" s="118" t="n">
        <v>45722</v>
      </c>
      <c r="B886" s="119" t="n">
        <v>74.19733874444806</v>
      </c>
      <c r="C886" s="119" t="n">
        <v>75.73466043130949</v>
      </c>
      <c r="D886" s="119" t="n">
        <v>74.19733874444806</v>
      </c>
      <c r="E886" s="119" t="n">
        <v>75.13520050048828</v>
      </c>
      <c r="F886" s="120" t="n">
        <v>9623700</v>
      </c>
      <c r="G886" s="121" t="n">
        <v>-0.001285089343220136</v>
      </c>
      <c r="H886" s="122" t="n">
        <v>48.89479655139024</v>
      </c>
      <c r="I886" s="119" t="n">
        <v>72.21686691284179</v>
      </c>
      <c r="J886" s="119" t="n">
        <v>76.43255046844483</v>
      </c>
      <c r="K886" s="121" t="n">
        <v>0.3998674594556358</v>
      </c>
      <c r="L886" s="121" t="n">
        <v>-0.04425682855936686</v>
      </c>
      <c r="M886" s="121" t="n">
        <v>-0.2190187068415594</v>
      </c>
      <c r="N886" t="n">
        <v>54.40777035062891</v>
      </c>
      <c r="O886" t="n">
        <v>0.03790886675612137</v>
      </c>
      <c r="P886" t="n">
        <v>135.0002597469109</v>
      </c>
      <c r="Q886" t="n">
        <v>134.0765367833779</v>
      </c>
    </row>
    <row r="887">
      <c r="A887" s="118" t="n">
        <v>45723</v>
      </c>
      <c r="B887" s="119" t="n">
        <v>74.91281560821911</v>
      </c>
      <c r="C887" s="119" t="n">
        <v>76.38244936291301</v>
      </c>
      <c r="D887" s="119" t="n">
        <v>74.41971165447733</v>
      </c>
      <c r="E887" s="119" t="n">
        <v>75.98603057861328</v>
      </c>
      <c r="F887" s="120" t="n">
        <v>9294300</v>
      </c>
      <c r="G887" s="121" t="n">
        <v>0.01132398759113551</v>
      </c>
      <c r="H887" s="122" t="n">
        <v>49.44848062080927</v>
      </c>
      <c r="I887" s="119" t="n">
        <v>72.25626586914062</v>
      </c>
      <c r="J887" s="119" t="n">
        <v>76.37501605987549</v>
      </c>
      <c r="K887" s="121" t="n">
        <v>0.3707607466620286</v>
      </c>
      <c r="L887" s="121" t="n">
        <v>-0.03343400474566072</v>
      </c>
      <c r="M887" s="121" t="n">
        <v>-0.2101748843689244</v>
      </c>
      <c r="N887" t="n">
        <v>57.04495727647783</v>
      </c>
      <c r="O887" t="n">
        <v>0.01573955196519883</v>
      </c>
      <c r="P887" t="n">
        <v>135.7569207918252</v>
      </c>
      <c r="Q887" t="n">
        <v>135.0624845640899</v>
      </c>
    </row>
    <row r="888">
      <c r="A888" s="118" t="n">
        <v>45726</v>
      </c>
      <c r="B888" s="119" t="n">
        <v>74.94182129753507</v>
      </c>
      <c r="C888" s="119" t="n">
        <v>77.53302370254626</v>
      </c>
      <c r="D888" s="119" t="n">
        <v>73.53986050611529</v>
      </c>
      <c r="E888" s="119" t="n">
        <v>73.86859893798828</v>
      </c>
      <c r="F888" s="120" t="n">
        <v>15822600</v>
      </c>
      <c r="G888" s="121" t="n">
        <v>-0.02786606465032226</v>
      </c>
      <c r="H888" s="122" t="n">
        <v>48.07054606296959</v>
      </c>
      <c r="I888" s="119" t="n">
        <v>72.25677917480469</v>
      </c>
      <c r="J888" s="119" t="n">
        <v>76.30884029388427</v>
      </c>
      <c r="K888" s="121" t="n">
        <v>0.3485610723874826</v>
      </c>
      <c r="L888" s="121" t="n">
        <v>-0.06036839525822124</v>
      </c>
      <c r="M888" s="121" t="n">
        <v>-0.2321842021035482</v>
      </c>
      <c r="N888" t="n">
        <v>49.38851064540321</v>
      </c>
      <c r="O888" t="n">
        <v>-0.1444210490981377</v>
      </c>
      <c r="P888" t="n">
        <v>132.1409657463329</v>
      </c>
      <c r="Q888" t="n">
        <v>129.8279410554046</v>
      </c>
    </row>
    <row r="889">
      <c r="A889" s="118" t="n">
        <v>45727</v>
      </c>
      <c r="B889" s="119" t="n">
        <v>73.3948314735923</v>
      </c>
      <c r="C889" s="119" t="n">
        <v>73.55919699010708</v>
      </c>
      <c r="D889" s="119" t="n">
        <v>71.18070654721721</v>
      </c>
      <c r="E889" s="119" t="n">
        <v>71.71247863769531</v>
      </c>
      <c r="F889" s="120" t="n">
        <v>12837000</v>
      </c>
      <c r="G889" s="121" t="n">
        <v>-0.02918859070419089</v>
      </c>
      <c r="H889" s="122" t="n">
        <v>46.66743456901062</v>
      </c>
      <c r="I889" s="119" t="n">
        <v>72.21359298706055</v>
      </c>
      <c r="J889" s="119" t="n">
        <v>76.22690074920655</v>
      </c>
      <c r="K889" s="121" t="n">
        <v>0.3542035071375863</v>
      </c>
      <c r="L889" s="121" t="n">
        <v>-0.08779491758175106</v>
      </c>
      <c r="M889" s="121" t="n">
        <v>-0.2545956631645595</v>
      </c>
      <c r="N889" t="n">
        <v>43.051981727132</v>
      </c>
      <c r="O889" t="n">
        <v>-0.3848158867929409</v>
      </c>
      <c r="P889" t="n">
        <v>131.0424777660298</v>
      </c>
      <c r="Q889" t="n">
        <v>129.5176059088136</v>
      </c>
    </row>
    <row r="890">
      <c r="A890" s="118" t="n">
        <v>45728</v>
      </c>
      <c r="B890" s="119" t="n">
        <v>71.89619110226425</v>
      </c>
      <c r="C890" s="119" t="n">
        <v>72.03155181756478</v>
      </c>
      <c r="D890" s="119" t="n">
        <v>70.80363464973698</v>
      </c>
      <c r="E890" s="119" t="n">
        <v>71.14203643798828</v>
      </c>
      <c r="F890" s="120" t="n">
        <v>12304900</v>
      </c>
      <c r="G890" s="121" t="n">
        <v>-0.007954573744257454</v>
      </c>
      <c r="H890" s="122" t="n">
        <v>46.29621501927612</v>
      </c>
      <c r="I890" s="119" t="n">
        <v>72.15611206054687</v>
      </c>
      <c r="J890" s="119" t="n">
        <v>76.14362773895263</v>
      </c>
      <c r="K890" s="121" t="n">
        <v>0.3559967475485868</v>
      </c>
      <c r="L890" s="121" t="n">
        <v>-0.09505112017973338</v>
      </c>
      <c r="M890" s="121" t="n">
        <v>-0.2605250369312063</v>
      </c>
      <c r="N890" t="n">
        <v>41.53370981940355</v>
      </c>
      <c r="O890" t="n">
        <v>-0.5608267497948005</v>
      </c>
      <c r="P890" t="n">
        <v>131.7378531734849</v>
      </c>
      <c r="Q890" t="n">
        <v>130.9786567539099</v>
      </c>
    </row>
    <row r="891">
      <c r="A891" s="118" t="n">
        <v>45729</v>
      </c>
      <c r="B891" s="119" t="n">
        <v>70.75528594468133</v>
      </c>
      <c r="C891" s="119" t="n">
        <v>71.4901065000695</v>
      </c>
      <c r="D891" s="119" t="n">
        <v>69.29531556369584</v>
      </c>
      <c r="E891" s="119" t="n">
        <v>70.23317718505859</v>
      </c>
      <c r="F891" s="120" t="n">
        <v>10195900</v>
      </c>
      <c r="G891" s="121" t="n">
        <v>-0.01277527743701723</v>
      </c>
      <c r="H891" s="122" t="n">
        <v>45.70476802812106</v>
      </c>
      <c r="I891" s="119" t="n">
        <v>72.09045867919922</v>
      </c>
      <c r="J891" s="119" t="n">
        <v>76.06103073120117</v>
      </c>
      <c r="K891" s="121" t="n">
        <v>0.3572683199069854</v>
      </c>
      <c r="L891" s="121" t="n">
        <v>-0.1066120931857553</v>
      </c>
      <c r="M891" s="121" t="n">
        <v>-0.2699720347421382</v>
      </c>
      <c r="N891" t="n">
        <v>39.16390762542051</v>
      </c>
      <c r="O891" t="n">
        <v>-0.7075749526276478</v>
      </c>
      <c r="P891" t="n">
        <v>129.9817299144294</v>
      </c>
      <c r="Q891" t="n">
        <v>128.6223083466847</v>
      </c>
    </row>
    <row r="892">
      <c r="A892" s="118" t="n">
        <v>45730</v>
      </c>
      <c r="B892" s="119" t="n">
        <v>70.85196325991011</v>
      </c>
      <c r="C892" s="119" t="n">
        <v>71.10335057037092</v>
      </c>
      <c r="D892" s="119" t="n">
        <v>68.95690614424667</v>
      </c>
      <c r="E892" s="119" t="n">
        <v>69.28564453125</v>
      </c>
      <c r="F892" s="120" t="n">
        <v>12183000</v>
      </c>
      <c r="G892" s="121" t="n">
        <v>-0.01349124006325275</v>
      </c>
      <c r="H892" s="122" t="n">
        <v>45.08815403061839</v>
      </c>
      <c r="I892" s="119" t="n">
        <v>72.03990936279297</v>
      </c>
      <c r="J892" s="119" t="n">
        <v>75.97203514099121</v>
      </c>
      <c r="K892" s="121" t="n">
        <v>0.3575222153905932</v>
      </c>
      <c r="L892" s="121" t="n">
        <v>-0.1186650039061933</v>
      </c>
      <c r="M892" s="121" t="n">
        <v>-0.27982101727432</v>
      </c>
      <c r="N892" t="n">
        <v>36.80607427171525</v>
      </c>
      <c r="O892" t="n">
        <v>-0.8291444433473165</v>
      </c>
      <c r="P892" t="n">
        <v>132.6666056932129</v>
      </c>
      <c r="Q892" t="n">
        <v>131.7311565797611</v>
      </c>
    </row>
    <row r="893">
      <c r="A893" s="118" t="n">
        <v>45733</v>
      </c>
      <c r="B893" s="119" t="n">
        <v>69.7497398241115</v>
      </c>
      <c r="C893" s="119" t="n">
        <v>71.49976560540236</v>
      </c>
      <c r="D893" s="119" t="n">
        <v>69.64338393254747</v>
      </c>
      <c r="E893" s="119" t="n">
        <v>71.25804901123047</v>
      </c>
      <c r="F893" s="120" t="n">
        <v>15996900</v>
      </c>
      <c r="G893" s="121" t="n">
        <v>0.02846772218581073</v>
      </c>
      <c r="H893" s="122" t="n">
        <v>46.37171107343308</v>
      </c>
      <c r="I893" s="119" t="n">
        <v>72.00918334960937</v>
      </c>
      <c r="J893" s="119" t="n">
        <v>75.89171501159667</v>
      </c>
      <c r="K893" s="121" t="n">
        <v>0.3719480435240611</v>
      </c>
      <c r="L893" s="121" t="n">
        <v>-0.09357540408476217</v>
      </c>
      <c r="M893" s="121" t="n">
        <v>-0.2553519558827246</v>
      </c>
      <c r="N893" t="n">
        <v>44.32069968115042</v>
      </c>
      <c r="O893" t="n">
        <v>-0.7403261772416492</v>
      </c>
      <c r="P893" t="n">
        <v>133.6896573169969</v>
      </c>
      <c r="Q893" t="n">
        <v>132.5852663842291</v>
      </c>
    </row>
    <row r="894">
      <c r="A894" s="118" t="n">
        <v>45734</v>
      </c>
      <c r="B894" s="119" t="n">
        <v>71.4417657911635</v>
      </c>
      <c r="C894" s="119" t="n">
        <v>71.70282387960719</v>
      </c>
      <c r="D894" s="119" t="n">
        <v>70.31053374552363</v>
      </c>
      <c r="E894" s="119" t="n">
        <v>70.8809814453125</v>
      </c>
      <c r="F894" s="120" t="n">
        <v>8972300</v>
      </c>
      <c r="G894" s="121" t="n">
        <v>-0.005291578581649636</v>
      </c>
      <c r="H894" s="122" t="n">
        <v>46.12633152032245</v>
      </c>
      <c r="I894" s="119" t="n">
        <v>72.00939590454101</v>
      </c>
      <c r="J894" s="119" t="n">
        <v>75.81107570648193</v>
      </c>
      <c r="K894" s="121" t="n">
        <v>0.2931489819854574</v>
      </c>
      <c r="L894" s="121" t="n">
        <v>-0.09837182106238773</v>
      </c>
      <c r="M894" s="121" t="n">
        <v>-0.2592923195238429</v>
      </c>
      <c r="N894" t="n">
        <v>43.26158661737973</v>
      </c>
      <c r="O894" t="n">
        <v>-0.6725474053841429</v>
      </c>
      <c r="P894" t="n">
        <v>132.2446742737143</v>
      </c>
      <c r="Q894" t="n">
        <v>130.3250480756037</v>
      </c>
    </row>
    <row r="895">
      <c r="A895" s="118" t="n">
        <v>45735</v>
      </c>
      <c r="B895" s="119" t="n">
        <v>70.23317720278246</v>
      </c>
      <c r="C895" s="119" t="n">
        <v>70.99700257113039</v>
      </c>
      <c r="D895" s="119" t="n">
        <v>69.89477542607274</v>
      </c>
      <c r="E895" s="119" t="n">
        <v>70.57157897949219</v>
      </c>
      <c r="F895" s="120" t="n">
        <v>10830500</v>
      </c>
      <c r="G895" s="121" t="n">
        <v>-0.004365098500491715</v>
      </c>
      <c r="H895" s="122" t="n">
        <v>45.92498553976991</v>
      </c>
      <c r="I895" s="119" t="n">
        <v>72.01034698486328</v>
      </c>
      <c r="J895" s="119" t="n">
        <v>75.72044189453125</v>
      </c>
      <c r="K895" s="121" t="n">
        <v>0.2917348995013096</v>
      </c>
      <c r="L895" s="121" t="n">
        <v>-0.1023075168742693</v>
      </c>
      <c r="M895" s="121" t="n">
        <v>-0.262525581509192</v>
      </c>
      <c r="N895" t="n">
        <v>42.36693885613951</v>
      </c>
      <c r="O895" t="n">
        <v>-0.6156577559490692</v>
      </c>
      <c r="P895" t="n">
        <v>133.6849452885198</v>
      </c>
      <c r="Q895" t="n">
        <v>132.0689586750342</v>
      </c>
    </row>
    <row r="896">
      <c r="A896" s="118" t="n">
        <v>45736</v>
      </c>
      <c r="B896" s="119" t="n">
        <v>70.50390291675525</v>
      </c>
      <c r="C896" s="119" t="n">
        <v>71.20971870252787</v>
      </c>
      <c r="D896" s="119" t="n">
        <v>69.15028835089653</v>
      </c>
      <c r="E896" s="119" t="n">
        <v>69.47902679443359</v>
      </c>
      <c r="F896" s="120" t="n">
        <v>25202300</v>
      </c>
      <c r="G896" s="121" t="n">
        <v>-0.0154814756996734</v>
      </c>
      <c r="H896" s="122" t="n">
        <v>45.21399899212811</v>
      </c>
      <c r="I896" s="119" t="n">
        <v>72.01465118408203</v>
      </c>
      <c r="J896" s="119" t="n">
        <v>75.6167520904541</v>
      </c>
      <c r="K896" s="121" t="n">
        <v>0.2938225324170222</v>
      </c>
      <c r="L896" s="121" t="n">
        <v>-0.1162051212375599</v>
      </c>
      <c r="M896" s="121" t="n">
        <v>-0.2739427737981883</v>
      </c>
      <c r="N896" t="n">
        <v>39.2780475213491</v>
      </c>
      <c r="O896" t="n">
        <v>-0.6171510238607738</v>
      </c>
      <c r="P896" t="n">
        <v>133.2983540825991</v>
      </c>
      <c r="Q896" t="n">
        <v>131.6213141157572</v>
      </c>
    </row>
    <row r="897">
      <c r="A897" s="118" t="n">
        <v>45737</v>
      </c>
      <c r="B897" s="119" t="n">
        <v>64.38362830243913</v>
      </c>
      <c r="C897" s="119" t="n">
        <v>66.45272912922914</v>
      </c>
      <c r="D897" s="119" t="n">
        <v>63.01067982177527</v>
      </c>
      <c r="E897" s="119" t="n">
        <v>65.68890380859375</v>
      </c>
      <c r="F897" s="120" t="n">
        <v>77287000</v>
      </c>
      <c r="G897" s="121" t="n">
        <v>-0.05455060556696645</v>
      </c>
      <c r="H897" s="122" t="n">
        <v>42.74754796700331</v>
      </c>
      <c r="I897" s="119" t="n">
        <v>71.94142135620118</v>
      </c>
      <c r="J897" s="119" t="n">
        <v>75.49544570922852</v>
      </c>
      <c r="K897" s="121" t="n">
        <v>0.345624556929638</v>
      </c>
      <c r="L897" s="121" t="n">
        <v>-0.1644166670710346</v>
      </c>
      <c r="M897" s="121" t="n">
        <v>-0.3135496351637691</v>
      </c>
      <c r="N897" t="n">
        <v>30.86980504755991</v>
      </c>
      <c r="O897" t="n">
        <v>-0.8259053481973433</v>
      </c>
      <c r="P897" t="n">
        <v>133.3423135035464</v>
      </c>
      <c r="Q897" t="n">
        <v>132.0552209789058</v>
      </c>
    </row>
    <row r="898">
      <c r="A898" s="118" t="n">
        <v>45740</v>
      </c>
      <c r="B898" s="119" t="n">
        <v>66.28836708196621</v>
      </c>
      <c r="C898" s="119" t="n">
        <v>66.60743480795291</v>
      </c>
      <c r="D898" s="119" t="n">
        <v>64.48033138792071</v>
      </c>
      <c r="E898" s="119" t="n">
        <v>65.15713500976562</v>
      </c>
      <c r="F898" s="120" t="n">
        <v>26552500</v>
      </c>
      <c r="G898" s="121" t="n">
        <v>-0.008095260660424652</v>
      </c>
      <c r="H898" s="122" t="n">
        <v>42.40149542361642</v>
      </c>
      <c r="I898" s="119" t="n">
        <v>71.87294815063477</v>
      </c>
      <c r="J898" s="119" t="n">
        <v>75.36986064910889</v>
      </c>
      <c r="K898" s="121" t="n">
        <v>0.2783027850697637</v>
      </c>
      <c r="L898" s="121" t="n">
        <v>-0.1711809319546009</v>
      </c>
      <c r="M898" s="121" t="n">
        <v>-0.319106629797562</v>
      </c>
      <c r="N898" t="n">
        <v>29.90260007412655</v>
      </c>
      <c r="O898" t="n">
        <v>-0.9438006832976085</v>
      </c>
      <c r="P898" t="n">
        <v>135.7302875873897</v>
      </c>
      <c r="Q898" t="n">
        <v>134.9530980531227</v>
      </c>
    </row>
    <row r="899">
      <c r="A899" s="118" t="n">
        <v>45741</v>
      </c>
      <c r="B899" s="119" t="n">
        <v>65.3214894509585</v>
      </c>
      <c r="C899" s="119" t="n">
        <v>65.79525928235715</v>
      </c>
      <c r="D899" s="119" t="n">
        <v>64.04522614046996</v>
      </c>
      <c r="E899" s="119" t="n">
        <v>64.33528900146484</v>
      </c>
      <c r="F899" s="120" t="n">
        <v>17394100</v>
      </c>
      <c r="G899" s="121" t="n">
        <v>-0.0126132925914807</v>
      </c>
      <c r="H899" s="122" t="n">
        <v>41.86667295552201</v>
      </c>
      <c r="I899" s="119" t="n">
        <v>71.78976959228515</v>
      </c>
      <c r="J899" s="119" t="n">
        <v>75.24216732025147</v>
      </c>
      <c r="K899" s="121" t="n">
        <v>0.260649306975244</v>
      </c>
      <c r="L899" s="121" t="n">
        <v>-0.181635069365256</v>
      </c>
      <c r="M899" s="121" t="n">
        <v>-0.3052279228909778</v>
      </c>
      <c r="N899" t="n">
        <v>28.42052886341263</v>
      </c>
      <c r="O899" t="n">
        <v>-1.014928033063733</v>
      </c>
      <c r="P899" t="n">
        <v>136.0565589753528</v>
      </c>
      <c r="Q899" t="n">
        <v>135.7232111759155</v>
      </c>
    </row>
    <row r="900">
      <c r="A900" s="118" t="n">
        <v>45742</v>
      </c>
      <c r="B900" s="119" t="n">
        <v>64.18059973469458</v>
      </c>
      <c r="C900" s="119" t="n">
        <v>64.38364082753671</v>
      </c>
      <c r="D900" s="119" t="n">
        <v>62.79798025586879</v>
      </c>
      <c r="E900" s="119" t="n">
        <v>63.56180572509766</v>
      </c>
      <c r="F900" s="120" t="n">
        <v>18688300</v>
      </c>
      <c r="G900" s="121" t="n">
        <v>-0.01202269063172434</v>
      </c>
      <c r="H900" s="122" t="n">
        <v>41.36332289879819</v>
      </c>
      <c r="I900" s="119" t="n">
        <v>71.67419021606446</v>
      </c>
      <c r="J900" s="119" t="n">
        <v>75.10393653869629</v>
      </c>
      <c r="K900" s="121" t="n">
        <v>0.2604881725976463</v>
      </c>
      <c r="L900" s="121" t="n">
        <v>-0.1914740177501301</v>
      </c>
      <c r="M900" s="121" t="n">
        <v>-0.3135809526336201</v>
      </c>
      <c r="N900" t="n">
        <v>27.06111716860627</v>
      </c>
      <c r="O900" t="n">
        <v>-1.047613879607724</v>
      </c>
      <c r="P900" t="n">
        <v>134.4322847118816</v>
      </c>
      <c r="Q900" t="n">
        <v>133.2258128523873</v>
      </c>
    </row>
    <row r="901">
      <c r="A901" s="118" t="n">
        <v>45743</v>
      </c>
      <c r="B901" s="119" t="n">
        <v>63.32975293865016</v>
      </c>
      <c r="C901" s="119" t="n">
        <v>64.87673779465483</v>
      </c>
      <c r="D901" s="119" t="n">
        <v>63.12671186785633</v>
      </c>
      <c r="E901" s="119" t="n">
        <v>63.61981582641602</v>
      </c>
      <c r="F901" s="120" t="n">
        <v>16435800</v>
      </c>
      <c r="G901" s="121" t="n">
        <v>0.000912656597096273</v>
      </c>
      <c r="H901" s="122" t="n">
        <v>41.4010734083196</v>
      </c>
      <c r="I901" s="119" t="n">
        <v>71.57727958679199</v>
      </c>
      <c r="J901" s="119" t="n">
        <v>74.96204141616822</v>
      </c>
      <c r="K901" s="121" t="n">
        <v>0.2628595338814383</v>
      </c>
      <c r="L901" s="121" t="n">
        <v>-0.1907361111785061</v>
      </c>
      <c r="M901" s="121" t="n">
        <v>-0.3129544877616687</v>
      </c>
      <c r="N901" t="n">
        <v>27.34181610311927</v>
      </c>
      <c r="O901" t="n">
        <v>-0.9990402017952418</v>
      </c>
      <c r="P901" t="n">
        <v>134.0752680697873</v>
      </c>
      <c r="Q901" t="n">
        <v>132.4666848203524</v>
      </c>
    </row>
    <row r="902">
      <c r="A902" s="118" t="n">
        <v>45744</v>
      </c>
      <c r="B902" s="119" t="n">
        <v>63.67782833192778</v>
      </c>
      <c r="C902" s="119" t="n">
        <v>63.67782833192778</v>
      </c>
      <c r="D902" s="119" t="n">
        <v>61.04795026953153</v>
      </c>
      <c r="E902" s="119" t="n">
        <v>61.1929817199707</v>
      </c>
      <c r="F902" s="120" t="n">
        <v>19600300</v>
      </c>
      <c r="G902" s="121" t="n">
        <v>-0.03814588387157281</v>
      </c>
      <c r="H902" s="122" t="n">
        <v>39.82179286992738</v>
      </c>
      <c r="I902" s="119" t="n">
        <v>71.43375595092773</v>
      </c>
      <c r="J902" s="119" t="n">
        <v>74.81063259124755</v>
      </c>
      <c r="K902" s="121" t="n">
        <v>0.2817991744305728</v>
      </c>
      <c r="L902" s="121" t="n">
        <v>-0.2216061975029481</v>
      </c>
      <c r="M902" s="121" t="n">
        <v>-0.3391624460859972</v>
      </c>
      <c r="N902" t="n">
        <v>23.30172721773333</v>
      </c>
      <c r="O902" t="n">
        <v>-1.058380878415234</v>
      </c>
      <c r="P902" t="n">
        <v>131.3752172179272</v>
      </c>
      <c r="Q902" t="n">
        <v>128.9791338158836</v>
      </c>
    </row>
    <row r="903">
      <c r="A903" s="118" t="n">
        <v>45747</v>
      </c>
      <c r="B903" s="119" t="n">
        <v>60.75788833880252</v>
      </c>
      <c r="C903" s="119" t="n">
        <v>61.86978624028472</v>
      </c>
      <c r="D903" s="119" t="n">
        <v>60.57418503966059</v>
      </c>
      <c r="E903" s="119" t="n">
        <v>61.37668228149414</v>
      </c>
      <c r="F903" s="120" t="n">
        <v>17400000</v>
      </c>
      <c r="G903" s="121" t="n">
        <v>0.003001987423395747</v>
      </c>
      <c r="H903" s="122" t="n">
        <v>39.94133739129997</v>
      </c>
      <c r="I903" s="119" t="n">
        <v>71.29313667297363</v>
      </c>
      <c r="J903" s="119" t="n">
        <v>74.66076154708863</v>
      </c>
      <c r="K903" s="121" t="n">
        <v>0.2859542634927364</v>
      </c>
      <c r="L903" s="121" t="n">
        <v>-0.2192694690974027</v>
      </c>
      <c r="M903" s="121" t="n">
        <v>-0.3371786200602398</v>
      </c>
      <c r="N903" t="n">
        <v>24.21458738897094</v>
      </c>
      <c r="O903" t="n">
        <v>-1.013238957485645</v>
      </c>
      <c r="P903" t="n">
        <v>132.2570982245745</v>
      </c>
      <c r="Q903" t="n">
        <v>128.9736370487173</v>
      </c>
    </row>
    <row r="904">
      <c r="A904" s="118" t="n">
        <v>45748</v>
      </c>
      <c r="B904" s="119" t="n">
        <v>61.71508698197792</v>
      </c>
      <c r="C904" s="119" t="n">
        <v>63.0010211247809</v>
      </c>
      <c r="D904" s="119" t="n">
        <v>61.20264525785582</v>
      </c>
      <c r="E904" s="119" t="n">
        <v>62.61427307128906</v>
      </c>
      <c r="F904" s="120" t="n">
        <v>13489500</v>
      </c>
      <c r="G904" s="121" t="n">
        <v>0.02016385936468379</v>
      </c>
      <c r="H904" s="122" t="n">
        <v>40.74670890129553</v>
      </c>
      <c r="I904" s="119" t="n">
        <v>71.18246421813964</v>
      </c>
      <c r="J904" s="119" t="n">
        <v>74.52751234054566</v>
      </c>
      <c r="K904" s="121" t="n">
        <v>0.3052565878236349</v>
      </c>
      <c r="L904" s="121" t="n">
        <v>-0.2035269284705679</v>
      </c>
      <c r="M904" s="121" t="n">
        <v>-0.323813582971229</v>
      </c>
      <c r="N904" t="n">
        <v>30.23859053164372</v>
      </c>
      <c r="O904" t="n">
        <v>-0.8354095938350761</v>
      </c>
      <c r="P904" t="n">
        <v>132.6306801344826</v>
      </c>
      <c r="Q904" t="n">
        <v>130.0133028520284</v>
      </c>
    </row>
    <row r="905">
      <c r="A905" s="118" t="n">
        <v>45749</v>
      </c>
      <c r="B905" s="119" t="n">
        <v>62.16951964329046</v>
      </c>
      <c r="C905" s="119" t="n">
        <v>63.23307133067395</v>
      </c>
      <c r="D905" s="119" t="n">
        <v>62.03415892180198</v>
      </c>
      <c r="E905" s="119" t="n">
        <v>62.80764770507812</v>
      </c>
      <c r="F905" s="120" t="n">
        <v>11161400</v>
      </c>
      <c r="G905" s="121" t="n">
        <v>0.003088347501357891</v>
      </c>
      <c r="H905" s="122" t="n">
        <v>40.8725488979194</v>
      </c>
      <c r="I905" s="119" t="n">
        <v>71.03083015441895</v>
      </c>
      <c r="J905" s="119" t="n">
        <v>74.39284784317016</v>
      </c>
      <c r="K905" s="121" t="n">
        <v>0.3033534897021282</v>
      </c>
      <c r="L905" s="121" t="n">
        <v>-0.2010671428502112</v>
      </c>
      <c r="M905" s="121" t="n">
        <v>-0.3217252843397459</v>
      </c>
      <c r="N905" t="n">
        <v>31.15936141919026</v>
      </c>
      <c r="O905" t="n">
        <v>-0.6484717889081897</v>
      </c>
      <c r="P905" t="n">
        <v>133.4700065485484</v>
      </c>
      <c r="Q905" t="n">
        <v>130.96220022671</v>
      </c>
    </row>
    <row r="906">
      <c r="A906" s="118" t="n">
        <v>45750</v>
      </c>
      <c r="B906" s="119" t="n">
        <v>54.50226319387175</v>
      </c>
      <c r="C906" s="119" t="n">
        <v>56.73572612115413</v>
      </c>
      <c r="D906" s="119" t="n">
        <v>53.56440520342923</v>
      </c>
      <c r="E906" s="119" t="n">
        <v>53.73844146728516</v>
      </c>
      <c r="F906" s="120" t="n">
        <v>71499500</v>
      </c>
      <c r="G906" s="121" t="n">
        <v>-0.1443965276390968</v>
      </c>
      <c r="H906" s="122" t="n">
        <v>34.97069476130065</v>
      </c>
      <c r="I906" s="119" t="n">
        <v>70.68107322692872</v>
      </c>
      <c r="J906" s="119" t="n">
        <v>74.21660112380981</v>
      </c>
      <c r="K906" s="121" t="n">
        <v>0.5670293715456121</v>
      </c>
      <c r="L906" s="121" t="n">
        <v>-0.3164302732394232</v>
      </c>
      <c r="M906" s="121" t="n">
        <v>-0.4196657980664823</v>
      </c>
      <c r="N906" t="n">
        <v>18.6959259499224</v>
      </c>
      <c r="O906" t="n">
        <v>-1.055262851850757</v>
      </c>
      <c r="P906" t="n">
        <v>126.892497704349</v>
      </c>
      <c r="Q906" t="n">
        <v>123.951331235105</v>
      </c>
    </row>
    <row r="907">
      <c r="A907" s="118" t="n">
        <v>45751</v>
      </c>
      <c r="B907" s="119" t="n">
        <v>51.45663306843408</v>
      </c>
      <c r="C907" s="119" t="n">
        <v>57.25783170295237</v>
      </c>
      <c r="D907" s="119" t="n">
        <v>50.760488052035</v>
      </c>
      <c r="E907" s="119" t="n">
        <v>55.35310363769531</v>
      </c>
      <c r="F907" s="120" t="n">
        <v>67775700</v>
      </c>
      <c r="G907" s="121" t="n">
        <v>0.03004668774015573</v>
      </c>
      <c r="H907" s="122" t="n">
        <v>36.02144830684975</v>
      </c>
      <c r="I907" s="119" t="n">
        <v>70.3587996673584</v>
      </c>
      <c r="J907" s="119" t="n">
        <v>74.04075716018677</v>
      </c>
      <c r="K907" s="121" t="n">
        <v>0.5826590068611295</v>
      </c>
      <c r="L907" s="121" t="n">
        <v>-0.2958912671108246</v>
      </c>
      <c r="M907" s="121" t="n">
        <v>-0.4022286775160534</v>
      </c>
      <c r="N907" t="n">
        <v>24.48711025664632</v>
      </c>
      <c r="O907" t="n">
        <v>-1.128642327180518</v>
      </c>
      <c r="P907" t="n">
        <v>119.4638311571903</v>
      </c>
      <c r="Q907" t="n">
        <v>116.2528512896505</v>
      </c>
    </row>
    <row r="908">
      <c r="A908" s="118" t="n">
        <v>45754</v>
      </c>
      <c r="B908" s="119" t="n">
        <v>53.56440353850915</v>
      </c>
      <c r="C908" s="119" t="n">
        <v>55.28542466280955</v>
      </c>
      <c r="D908" s="119" t="n">
        <v>51.63067061204028</v>
      </c>
      <c r="E908" s="119" t="n">
        <v>53.7674446105957</v>
      </c>
      <c r="F908" s="120" t="n">
        <v>45374400</v>
      </c>
      <c r="G908" s="121" t="n">
        <v>-0.02864625328831205</v>
      </c>
      <c r="H908" s="122" t="n">
        <v>34.98956877483989</v>
      </c>
      <c r="I908" s="119" t="n">
        <v>70.0186653137207</v>
      </c>
      <c r="J908" s="119" t="n">
        <v>73.85803302764893</v>
      </c>
      <c r="K908" s="121" t="n">
        <v>0.5828935422420783</v>
      </c>
      <c r="L908" s="121" t="n">
        <v>-0.3160613442156804</v>
      </c>
      <c r="M908" s="121" t="n">
        <v>-0.4193525862284179</v>
      </c>
      <c r="N908" t="n">
        <v>22.77171709068928</v>
      </c>
      <c r="O908" t="n">
        <v>-1.190863823426477</v>
      </c>
      <c r="P908" t="n">
        <v>119.2510435606541</v>
      </c>
      <c r="Q908" t="n">
        <v>116.5333975045015</v>
      </c>
    </row>
    <row r="909">
      <c r="A909" s="118" t="n">
        <v>45755</v>
      </c>
      <c r="B909" s="119" t="n">
        <v>56.82274385583447</v>
      </c>
      <c r="C909" s="119" t="n">
        <v>56.82274385583447</v>
      </c>
      <c r="D909" s="119" t="n">
        <v>50.63479686673546</v>
      </c>
      <c r="E909" s="119" t="n">
        <v>51.50497817993164</v>
      </c>
      <c r="F909" s="120" t="n">
        <v>30404300</v>
      </c>
      <c r="G909" s="121" t="n">
        <v>-0.0420787420166554</v>
      </c>
      <c r="H909" s="122" t="n">
        <v>33.51725173708938</v>
      </c>
      <c r="I909" s="119" t="n">
        <v>69.59460929870606</v>
      </c>
      <c r="J909" s="119" t="n">
        <v>73.66023279190064</v>
      </c>
      <c r="K909" s="121" t="n">
        <v>0.5888013819734365</v>
      </c>
      <c r="L909" s="121" t="n">
        <v>-0.3448406224676468</v>
      </c>
      <c r="M909" s="121" t="n">
        <v>-0.4437854989551504</v>
      </c>
      <c r="N909" t="n">
        <v>20.55872740354195</v>
      </c>
      <c r="O909" t="n">
        <v>-1.283308008708747</v>
      </c>
      <c r="P909" t="n">
        <v>117.3832437633299</v>
      </c>
      <c r="Q909" t="n">
        <v>114.4348061038602</v>
      </c>
    </row>
    <row r="910">
      <c r="A910" s="118" t="n">
        <v>45756</v>
      </c>
      <c r="B910" s="119" t="n">
        <v>51.51464108126444</v>
      </c>
      <c r="C910" s="119" t="n">
        <v>57.57689390711411</v>
      </c>
      <c r="D910" s="119" t="n">
        <v>50.7411486918751</v>
      </c>
      <c r="E910" s="119" t="n">
        <v>57.35451507568359</v>
      </c>
      <c r="F910" s="120" t="n">
        <v>44732500</v>
      </c>
      <c r="G910" s="121" t="n">
        <v>0.1135722623804774</v>
      </c>
      <c r="H910" s="122" t="n">
        <v>37.3238818456466</v>
      </c>
      <c r="I910" s="119" t="n">
        <v>69.31043968200683</v>
      </c>
      <c r="J910" s="119" t="n">
        <v>73.48400972366333</v>
      </c>
      <c r="K910" s="121" t="n">
        <v>0.7468459247541003</v>
      </c>
      <c r="L910" s="121" t="n">
        <v>-0.2704326897415122</v>
      </c>
      <c r="M910" s="121" t="n">
        <v>-0.3806149597026585</v>
      </c>
      <c r="N910" t="n">
        <v>37.47673707718022</v>
      </c>
      <c r="O910" t="n">
        <v>-0.8692350933075623</v>
      </c>
      <c r="P910" t="n">
        <v>129.7107590097418</v>
      </c>
      <c r="Q910" t="n">
        <v>128.1704926614781</v>
      </c>
    </row>
    <row r="911">
      <c r="A911" s="118" t="n">
        <v>45757</v>
      </c>
      <c r="B911" s="119" t="n">
        <v>55.33376821523471</v>
      </c>
      <c r="C911" s="119" t="n">
        <v>55.35310598743366</v>
      </c>
      <c r="D911" s="119" t="n">
        <v>50.54777840093139</v>
      </c>
      <c r="E911" s="119" t="n">
        <v>52.59753799438477</v>
      </c>
      <c r="F911" s="120" t="n">
        <v>53919800</v>
      </c>
      <c r="G911" s="121" t="n">
        <v>-0.0829398884293876</v>
      </c>
      <c r="H911" s="122" t="n">
        <v>34.22824324961703</v>
      </c>
      <c r="I911" s="119" t="n">
        <v>68.88899520874024</v>
      </c>
      <c r="J911" s="119" t="n">
        <v>73.28404937744141</v>
      </c>
      <c r="K911" s="121" t="n">
        <v>0.7909830746967835</v>
      </c>
      <c r="L911" s="121" t="n">
        <v>-0.3309429210560796</v>
      </c>
      <c r="M911" s="121" t="n">
        <v>-0.4319866858397517</v>
      </c>
      <c r="N911" t="n">
        <v>31.58574476779017</v>
      </c>
      <c r="O911" t="n">
        <v>-0.834295239172226</v>
      </c>
      <c r="P911" t="n">
        <v>124.0269551442688</v>
      </c>
      <c r="Q911" t="n">
        <v>122.7191265966272</v>
      </c>
    </row>
    <row r="912">
      <c r="A912" s="118" t="n">
        <v>45758</v>
      </c>
      <c r="B912" s="119" t="n">
        <v>52.59753465175549</v>
      </c>
      <c r="C912" s="119" t="n">
        <v>53.20665783994876</v>
      </c>
      <c r="D912" s="119" t="n">
        <v>51.10855948178878</v>
      </c>
      <c r="E912" s="119" t="n">
        <v>52.58786392211914</v>
      </c>
      <c r="F912" s="120" t="n">
        <v>22617100</v>
      </c>
      <c r="G912" s="121" t="n">
        <v>-0.0001839263325720264</v>
      </c>
      <c r="H912" s="122" t="n">
        <v>34.22194777436574</v>
      </c>
      <c r="I912" s="119" t="n">
        <v>68.4336873626709</v>
      </c>
      <c r="J912" s="119" t="n">
        <v>73.09557024002075</v>
      </c>
      <c r="K912" s="121" t="n">
        <v>0.7923147431717884</v>
      </c>
      <c r="L912" s="121" t="n">
        <v>-0.3310659782708911</v>
      </c>
      <c r="M912" s="121" t="n">
        <v>-0.4320911584454773</v>
      </c>
      <c r="N912" t="n">
        <v>31.57487472455152</v>
      </c>
      <c r="O912" t="n">
        <v>-0.7339569326177902</v>
      </c>
      <c r="P912" t="n">
        <v>126.239940294794</v>
      </c>
      <c r="Q912" t="n">
        <v>124.9800035040835</v>
      </c>
    </row>
    <row r="913">
      <c r="A913" s="118" t="n">
        <v>45761</v>
      </c>
      <c r="B913" s="119" t="n">
        <v>53.79645264878081</v>
      </c>
      <c r="C913" s="119" t="n">
        <v>54.81166175836777</v>
      </c>
      <c r="D913" s="119" t="n">
        <v>52.85859094297131</v>
      </c>
      <c r="E913" s="119" t="n">
        <v>53.57407379150391</v>
      </c>
      <c r="F913" s="120" t="n">
        <v>28346600</v>
      </c>
      <c r="G913" s="121" t="n">
        <v>0.01875356395622596</v>
      </c>
      <c r="H913" s="122" t="n">
        <v>34.86373126065894</v>
      </c>
      <c r="I913" s="119" t="n">
        <v>68.02561668395997</v>
      </c>
      <c r="J913" s="119" t="n">
        <v>72.91530958175659</v>
      </c>
      <c r="K913" s="121" t="n">
        <v>0.7863846079408892</v>
      </c>
      <c r="L913" s="121" t="n">
        <v>-0.3185210813118988</v>
      </c>
      <c r="M913" s="121" t="n">
        <v>-0.4214408436640784</v>
      </c>
      <c r="N913" t="n">
        <v>34.06599284778838</v>
      </c>
      <c r="O913" t="n">
        <v>-0.532660219993093</v>
      </c>
      <c r="P913" t="n">
        <v>127.4646579572181</v>
      </c>
      <c r="Q913" t="n">
        <v>125.827130472228</v>
      </c>
    </row>
    <row r="914">
      <c r="A914" s="118" t="n">
        <v>45762</v>
      </c>
      <c r="B914" s="119" t="n">
        <v>52.86825515495914</v>
      </c>
      <c r="C914" s="119" t="n">
        <v>53.55472941516749</v>
      </c>
      <c r="D914" s="119" t="n">
        <v>52.37515122450334</v>
      </c>
      <c r="E914" s="119" t="n">
        <v>53.01328659057617</v>
      </c>
      <c r="F914" s="120" t="n">
        <v>15977100</v>
      </c>
      <c r="G914" s="121" t="n">
        <v>-0.01046751089174536</v>
      </c>
      <c r="H914" s="122" t="n">
        <v>34.49879477396111</v>
      </c>
      <c r="I914" s="119" t="n">
        <v>67.61229492187501</v>
      </c>
      <c r="J914" s="119" t="n">
        <v>72.7316255569458</v>
      </c>
      <c r="K914" s="121" t="n">
        <v>0.7859293566622678</v>
      </c>
      <c r="L914" s="121" t="n">
        <v>-0.3256544693157614</v>
      </c>
      <c r="M914" s="121" t="n">
        <v>-0.4274969179345436</v>
      </c>
      <c r="N914" t="n">
        <v>33.32308097250558</v>
      </c>
      <c r="O914" t="n">
        <v>-0.3761487392083973</v>
      </c>
      <c r="P914" t="n">
        <v>127.1076266814949</v>
      </c>
      <c r="Q914" t="n">
        <v>125.9674035796535</v>
      </c>
    </row>
    <row r="915">
      <c r="A915" s="118" t="n">
        <v>45763</v>
      </c>
      <c r="B915" s="119" t="n">
        <v>52.90693142458056</v>
      </c>
      <c r="C915" s="119" t="n">
        <v>53.32268427821676</v>
      </c>
      <c r="D915" s="119" t="n">
        <v>51.57265473876431</v>
      </c>
      <c r="E915" s="119" t="n">
        <v>51.77569580078125</v>
      </c>
      <c r="F915" s="120" t="n">
        <v>19094900</v>
      </c>
      <c r="G915" s="121" t="n">
        <v>-0.02334491727239796</v>
      </c>
      <c r="H915" s="122" t="n">
        <v>33.69342326396555</v>
      </c>
      <c r="I915" s="119" t="n">
        <v>67.17171997070312</v>
      </c>
      <c r="J915" s="119" t="n">
        <v>72.6314179611206</v>
      </c>
      <c r="K915" s="121" t="n">
        <v>0.785980001613384</v>
      </c>
      <c r="L915" s="121" t="n">
        <v>-0.3413970099425963</v>
      </c>
      <c r="M915" s="121" t="n">
        <v>-0.4408619550235545</v>
      </c>
      <c r="N915" t="n">
        <v>31.68105671868319</v>
      </c>
      <c r="O915" t="n">
        <v>-0.2982470693937787</v>
      </c>
      <c r="P915" t="n">
        <v>124.2822826997577</v>
      </c>
      <c r="Q915" t="n">
        <v>122.1690361448326</v>
      </c>
    </row>
    <row r="916">
      <c r="A916" s="118" t="n">
        <v>45764</v>
      </c>
      <c r="B916" s="119" t="n">
        <v>52.03675586306208</v>
      </c>
      <c r="C916" s="119" t="n">
        <v>54.16386294683711</v>
      </c>
      <c r="D916" s="119" t="n">
        <v>51.87239032488417</v>
      </c>
      <c r="E916" s="119" t="n">
        <v>53.9124755859375</v>
      </c>
      <c r="F916" s="120" t="n">
        <v>18935100</v>
      </c>
      <c r="G916" s="121" t="n">
        <v>0.04126993857075334</v>
      </c>
      <c r="H916" s="122" t="n">
        <v>35.0839487723078</v>
      </c>
      <c r="I916" s="119" t="n">
        <v>66.81524658203125</v>
      </c>
      <c r="J916" s="119" t="n">
        <v>72.53493839263916</v>
      </c>
      <c r="K916" s="121" t="n">
        <v>0.8101687774243439</v>
      </c>
      <c r="L916" s="121" t="n">
        <v>-0.3142165050004128</v>
      </c>
      <c r="M916" s="121" t="n">
        <v>-0.4177863622548056</v>
      </c>
      <c r="N916" t="n">
        <v>37.41522574390333</v>
      </c>
      <c r="O916" t="n">
        <v>-0.05767602807939998</v>
      </c>
      <c r="P916" t="n">
        <v>124.4596130136856</v>
      </c>
      <c r="Q916" t="n">
        <v>122.1470406325926</v>
      </c>
    </row>
    <row r="917">
      <c r="A917" s="118" t="n">
        <v>45768</v>
      </c>
      <c r="B917" s="119" t="n">
        <v>53.40003327791428</v>
      </c>
      <c r="C917" s="119" t="n">
        <v>54.49259339273533</v>
      </c>
      <c r="D917" s="119" t="n">
        <v>51.72735477181455</v>
      </c>
      <c r="E917" s="119" t="n">
        <v>54.26054382324219</v>
      </c>
      <c r="F917" s="120" t="n">
        <v>17280900</v>
      </c>
      <c r="G917" s="121" t="n">
        <v>0.006456172407625083</v>
      </c>
      <c r="H917" s="122" t="n">
        <v>35.31045679432211</v>
      </c>
      <c r="I917" s="119" t="n">
        <v>66.52018356323242</v>
      </c>
      <c r="J917" s="119" t="n">
        <v>72.44396297454834</v>
      </c>
      <c r="K917" s="121" t="n">
        <v>0.7958211939431239</v>
      </c>
      <c r="L917" s="121" t="n">
        <v>-0.3097889685223917</v>
      </c>
      <c r="M917" s="121" t="n">
        <v>-0.4140274906314521</v>
      </c>
      <c r="N917" t="n">
        <v>38.32333796938999</v>
      </c>
      <c r="O917" t="n">
        <v>0.1582219554581963</v>
      </c>
      <c r="P917" t="n">
        <v>121.4971372963635</v>
      </c>
      <c r="Q917" t="n">
        <v>119.1242999748803</v>
      </c>
    </row>
    <row r="918">
      <c r="A918" s="118" t="n">
        <v>45769</v>
      </c>
      <c r="B918" s="119" t="n">
        <v>54.77299175131991</v>
      </c>
      <c r="C918" s="119" t="n">
        <v>56.16527826108482</v>
      </c>
      <c r="D918" s="119" t="n">
        <v>54.37657661177067</v>
      </c>
      <c r="E918" s="119" t="n">
        <v>55.16940689086914</v>
      </c>
      <c r="F918" s="120" t="n">
        <v>16852200</v>
      </c>
      <c r="G918" s="121" t="n">
        <v>0.01674998080718915</v>
      </c>
      <c r="H918" s="122" t="n">
        <v>35.90190626792008</v>
      </c>
      <c r="I918" s="119" t="n">
        <v>66.30217185974121</v>
      </c>
      <c r="J918" s="119" t="n">
        <v>72.3613433265686</v>
      </c>
      <c r="K918" s="121" t="n">
        <v>0.8007703897412234</v>
      </c>
      <c r="L918" s="121" t="n">
        <v>-0.2982279469922315</v>
      </c>
      <c r="M918" s="121" t="n">
        <v>-0.4042124623459884</v>
      </c>
      <c r="N918" t="n">
        <v>40.74125838663635</v>
      </c>
      <c r="O918" t="n">
        <v>0.3827656114370157</v>
      </c>
      <c r="P918" t="n">
        <v>124.6582206239043</v>
      </c>
      <c r="Q918" t="n">
        <v>122.2515636445001</v>
      </c>
    </row>
    <row r="919">
      <c r="A919" s="118" t="n">
        <v>45770</v>
      </c>
      <c r="B919" s="119" t="n">
        <v>57.04511599099308</v>
      </c>
      <c r="C919" s="119" t="n">
        <v>57.23849000319932</v>
      </c>
      <c r="D919" s="119" t="n">
        <v>54.82132407137758</v>
      </c>
      <c r="E919" s="119" t="n">
        <v>55.48846054077148</v>
      </c>
      <c r="F919" s="120" t="n">
        <v>21660300</v>
      </c>
      <c r="G919" s="121" t="n">
        <v>0.005783162587436719</v>
      </c>
      <c r="H919" s="122" t="n">
        <v>36.10953282906637</v>
      </c>
      <c r="I919" s="119" t="n">
        <v>66.04705902099609</v>
      </c>
      <c r="J919" s="119" t="n">
        <v>72.27941371917724</v>
      </c>
      <c r="K919" s="121" t="n">
        <v>0.8017345616959342</v>
      </c>
      <c r="L919" s="121" t="n">
        <v>-0.2941694851103684</v>
      </c>
      <c r="M919" s="121" t="n">
        <v>-0.4007669261481667</v>
      </c>
      <c r="N919" t="n">
        <v>41.60669279622482</v>
      </c>
      <c r="O919" t="n">
        <v>0.5624445985294528</v>
      </c>
      <c r="P919" t="n">
        <v>126.5898449932864</v>
      </c>
      <c r="Q919" t="n">
        <v>125.0239945285635</v>
      </c>
    </row>
    <row r="920">
      <c r="A920" s="118" t="n">
        <v>45771</v>
      </c>
      <c r="B920" s="119" t="n">
        <v>55.89455200400089</v>
      </c>
      <c r="C920" s="119" t="n">
        <v>56.75506257287309</v>
      </c>
      <c r="D920" s="119" t="n">
        <v>55.23708250880131</v>
      </c>
      <c r="E920" s="119" t="n">
        <v>56.54235076904297</v>
      </c>
      <c r="F920" s="120" t="n">
        <v>14508500</v>
      </c>
      <c r="G920" s="121" t="n">
        <v>0.01899296210420376</v>
      </c>
      <c r="H920" s="122" t="n">
        <v>36.79535981768934</v>
      </c>
      <c r="I920" s="119" t="n">
        <v>65.80532821655274</v>
      </c>
      <c r="J920" s="119" t="n">
        <v>72.21409255981445</v>
      </c>
      <c r="K920" s="121" t="n">
        <v>0.8062530323728591</v>
      </c>
      <c r="L920" s="121" t="n">
        <v>-0.2807636728890789</v>
      </c>
      <c r="M920" s="121" t="n">
        <v>-0.3893857150849133</v>
      </c>
      <c r="N920" t="n">
        <v>44.49049476639417</v>
      </c>
      <c r="O920" t="n">
        <v>0.7501978396365248</v>
      </c>
      <c r="P920" t="n">
        <v>129.2544385625382</v>
      </c>
      <c r="Q920" t="n">
        <v>128.5418157485334</v>
      </c>
    </row>
    <row r="921">
      <c r="A921" s="118" t="n">
        <v>45772</v>
      </c>
      <c r="B921" s="119" t="n">
        <v>56.28130117587589</v>
      </c>
      <c r="C921" s="119" t="n">
        <v>56.31997672319617</v>
      </c>
      <c r="D921" s="119" t="n">
        <v>54.7343161660965</v>
      </c>
      <c r="E921" s="119" t="n">
        <v>55.71084976196289</v>
      </c>
      <c r="F921" s="120" t="n">
        <v>17156000</v>
      </c>
      <c r="G921" s="121" t="n">
        <v>-0.01470580893384654</v>
      </c>
      <c r="H921" s="122" t="n">
        <v>36.25425428655826</v>
      </c>
      <c r="I921" s="119" t="n">
        <v>65.52926628112793</v>
      </c>
      <c r="J921" s="119" t="n">
        <v>72.14742483139038</v>
      </c>
      <c r="K921" s="121" t="n">
        <v>0.8067501689745964</v>
      </c>
      <c r="L921" s="121" t="n">
        <v>-0.2913406248938537</v>
      </c>
      <c r="M921" s="121" t="n">
        <v>-0.3983652920911519</v>
      </c>
      <c r="N921" t="n">
        <v>42.69877588241539</v>
      </c>
      <c r="O921" t="n">
        <v>0.8111384149409426</v>
      </c>
      <c r="P921" t="n">
        <v>130.1883421196075</v>
      </c>
      <c r="Q921" t="n">
        <v>129.9747917075652</v>
      </c>
    </row>
    <row r="922">
      <c r="A922" s="118" t="n">
        <v>45775</v>
      </c>
      <c r="B922" s="119" t="n">
        <v>55.81720353480619</v>
      </c>
      <c r="C922" s="119" t="n">
        <v>56.15560902844091</v>
      </c>
      <c r="D922" s="119" t="n">
        <v>54.91801737972143</v>
      </c>
      <c r="E922" s="119" t="n">
        <v>55.4111213684082</v>
      </c>
      <c r="F922" s="120" t="n">
        <v>13321200</v>
      </c>
      <c r="G922" s="121" t="n">
        <v>-0.005380072191240037</v>
      </c>
      <c r="H922" s="122" t="n">
        <v>36.059203781257</v>
      </c>
      <c r="I922" s="119" t="n">
        <v>65.22893203735352</v>
      </c>
      <c r="J922" s="119" t="n">
        <v>72.0788773727417</v>
      </c>
      <c r="K922" s="121" t="n">
        <v>0.7974144180294573</v>
      </c>
      <c r="L922" s="121" t="n">
        <v>-0.2951532634909239</v>
      </c>
      <c r="M922" s="121" t="n">
        <v>-0.4016021302524571</v>
      </c>
      <c r="N922" t="n">
        <v>42.04152543416387</v>
      </c>
      <c r="O922" t="n">
        <v>0.8214883997861828</v>
      </c>
      <c r="P922" t="n">
        <v>130.2379793885333</v>
      </c>
      <c r="Q922" t="n">
        <v>129.9335364013062</v>
      </c>
    </row>
    <row r="923">
      <c r="A923" s="118" t="n">
        <v>45776</v>
      </c>
      <c r="B923" s="119" t="n">
        <v>55.11138657282272</v>
      </c>
      <c r="C923" s="119" t="n">
        <v>55.82686935469152</v>
      </c>
      <c r="D923" s="119" t="n">
        <v>54.86000292358937</v>
      </c>
      <c r="E923" s="119" t="n">
        <v>55.63349533081055</v>
      </c>
      <c r="F923" s="120" t="n">
        <v>12968000</v>
      </c>
      <c r="G923" s="121" t="n">
        <v>0.004013164810794168</v>
      </c>
      <c r="H923" s="122" t="n">
        <v>36.2039153089772</v>
      </c>
      <c r="I923" s="119" t="n">
        <v>64.9363159942627</v>
      </c>
      <c r="J923" s="119" t="n">
        <v>72.00739210128785</v>
      </c>
      <c r="K923" s="121" t="n">
        <v>0.7975354277366935</v>
      </c>
      <c r="L923" s="121" t="n">
        <v>-0.2923245973709625</v>
      </c>
      <c r="M923" s="121" t="n">
        <v>-0.399200660978732</v>
      </c>
      <c r="N923" t="n">
        <v>42.74567432973436</v>
      </c>
      <c r="O923" t="n">
        <v>0.8310336337238367</v>
      </c>
      <c r="P923" t="n">
        <v>131.0583991541758</v>
      </c>
      <c r="Q923" t="n">
        <v>130.7916737909328</v>
      </c>
    </row>
    <row r="924">
      <c r="A924" s="118" t="n">
        <v>45777</v>
      </c>
      <c r="B924" s="119" t="n">
        <v>54.00916408520813</v>
      </c>
      <c r="C924" s="119" t="n">
        <v>54.71497619813286</v>
      </c>
      <c r="D924" s="119" t="n">
        <v>52.93594166408182</v>
      </c>
      <c r="E924" s="119" t="n">
        <v>54.53127288818359</v>
      </c>
      <c r="F924" s="120" t="n">
        <v>17205900</v>
      </c>
      <c r="G924" s="121" t="n">
        <v>-0.01981220910303882</v>
      </c>
      <c r="H924" s="122" t="n">
        <v>35.48663576852704</v>
      </c>
      <c r="I924" s="119" t="n">
        <v>64.53411399841309</v>
      </c>
      <c r="J924" s="119" t="n">
        <v>71.9302527809143</v>
      </c>
      <c r="K924" s="121" t="n">
        <v>0.7943126329191119</v>
      </c>
      <c r="L924" s="121" t="n">
        <v>-0.3063452104249261</v>
      </c>
      <c r="M924" s="121" t="n">
        <v>-0.4111038231123889</v>
      </c>
      <c r="N924" t="n">
        <v>40.14239463888327</v>
      </c>
      <c r="O924" t="n">
        <v>0.7531473466251466</v>
      </c>
      <c r="P924" t="n">
        <v>131.110407070969</v>
      </c>
      <c r="Q924" t="n">
        <v>130.7751581587096</v>
      </c>
    </row>
    <row r="925">
      <c r="A925" s="118" t="n">
        <v>45778</v>
      </c>
      <c r="B925" s="119" t="n">
        <v>54.8019861044706</v>
      </c>
      <c r="C925" s="119" t="n">
        <v>55.31442409991926</v>
      </c>
      <c r="D925" s="119" t="n">
        <v>54.39590031146596</v>
      </c>
      <c r="E925" s="119" t="n">
        <v>54.87933349609375</v>
      </c>
      <c r="F925" s="120" t="n">
        <v>10527000</v>
      </c>
      <c r="G925" s="121" t="n">
        <v>0.006382770646558233</v>
      </c>
      <c r="H925" s="122" t="n">
        <v>35.71313882565549</v>
      </c>
      <c r="I925" s="119" t="n">
        <v>64.15445747375489</v>
      </c>
      <c r="J925" s="119" t="n">
        <v>71.8649065208435</v>
      </c>
      <c r="K925" s="121" t="n">
        <v>0.7948798320311959</v>
      </c>
      <c r="L925" s="121" t="n">
        <v>-0.3019177709951819</v>
      </c>
      <c r="M925" s="121" t="n">
        <v>-0.4073450338806802</v>
      </c>
      <c r="N925" t="n">
        <v>41.35694506879005</v>
      </c>
      <c r="O925" t="n">
        <v>0.7153807048522527</v>
      </c>
      <c r="P925" t="n">
        <v>132.0395839659324</v>
      </c>
      <c r="Q925" t="n">
        <v>132.4831920090008</v>
      </c>
    </row>
    <row r="926">
      <c r="A926" s="118" t="n">
        <v>45779</v>
      </c>
      <c r="B926" s="119" t="n">
        <v>55.95256328372849</v>
      </c>
      <c r="C926" s="119" t="n">
        <v>56.75506424856107</v>
      </c>
      <c r="D926" s="119" t="n">
        <v>55.41112040461542</v>
      </c>
      <c r="E926" s="119" t="n">
        <v>56.64870834350586</v>
      </c>
      <c r="F926" s="120" t="n">
        <v>14723900</v>
      </c>
      <c r="G926" s="121" t="n">
        <v>0.03224118688573463</v>
      </c>
      <c r="H926" s="122" t="n">
        <v>36.86457280880964</v>
      </c>
      <c r="I926" s="119" t="n">
        <v>63.80153030395508</v>
      </c>
      <c r="J926" s="119" t="n">
        <v>71.8012606048584</v>
      </c>
      <c r="K926" s="121" t="n">
        <v>0.611672756114672</v>
      </c>
      <c r="L926" s="121" t="n">
        <v>-0.2794107713882273</v>
      </c>
      <c r="M926" s="121" t="n">
        <v>-0.3882371343592687</v>
      </c>
      <c r="N926" t="n">
        <v>47.21989422413179</v>
      </c>
      <c r="O926" t="n">
        <v>0.7938145262738106</v>
      </c>
      <c r="P926" t="n">
        <v>133.999612208836</v>
      </c>
      <c r="Q926" t="n">
        <v>134.4497512311787</v>
      </c>
    </row>
    <row r="927">
      <c r="A927" s="118" t="n">
        <v>45782</v>
      </c>
      <c r="B927" s="119" t="n">
        <v>56.19427471821191</v>
      </c>
      <c r="C927" s="119" t="n">
        <v>56.40698650867533</v>
      </c>
      <c r="D927" s="119" t="n">
        <v>55.39177751580448</v>
      </c>
      <c r="E927" s="119" t="n">
        <v>55.44978713989258</v>
      </c>
      <c r="F927" s="120" t="n">
        <v>15971000</v>
      </c>
      <c r="G927" s="121" t="n">
        <v>-0.02116414016614954</v>
      </c>
      <c r="H927" s="122" t="n">
        <v>36.08436582271877</v>
      </c>
      <c r="I927" s="119" t="n">
        <v>63.43866996765136</v>
      </c>
      <c r="J927" s="119" t="n">
        <v>71.73038137435913</v>
      </c>
      <c r="K927" s="121" t="n">
        <v>0.6090170502142728</v>
      </c>
      <c r="L927" s="121" t="n">
        <v>-0.2946614228247845</v>
      </c>
      <c r="M927" s="121" t="n">
        <v>-0.4011845693961343</v>
      </c>
      <c r="N927" t="n">
        <v>44.00920314136403</v>
      </c>
      <c r="O927" t="n">
        <v>0.7497299329507463</v>
      </c>
      <c r="P927" t="n">
        <v>133.2312149936156</v>
      </c>
      <c r="Q927" t="n">
        <v>133.6521289418301</v>
      </c>
    </row>
    <row r="928">
      <c r="A928" s="118" t="n">
        <v>45783</v>
      </c>
      <c r="B928" s="119" t="n">
        <v>55.2564184594445</v>
      </c>
      <c r="C928" s="119" t="n">
        <v>55.80753203456314</v>
      </c>
      <c r="D928" s="119" t="n">
        <v>54.90834595130583</v>
      </c>
      <c r="E928" s="119" t="n">
        <v>55.15006256103516</v>
      </c>
      <c r="F928" s="120" t="n">
        <v>11440300</v>
      </c>
      <c r="G928" s="121" t="n">
        <v>-0.005405333263070133</v>
      </c>
      <c r="H928" s="122" t="n">
        <v>35.88931779986043</v>
      </c>
      <c r="I928" s="119" t="n">
        <v>62.99708808898926</v>
      </c>
      <c r="J928" s="119" t="n">
        <v>71.6612908744812</v>
      </c>
      <c r="K928" s="121" t="n">
        <v>0.5996413157001704</v>
      </c>
      <c r="L928" s="121" t="n">
        <v>-0.2984740128977164</v>
      </c>
      <c r="M928" s="121" t="n">
        <v>-0.4044213663616171</v>
      </c>
      <c r="N928" t="n">
        <v>43.21805979670891</v>
      </c>
      <c r="O928" t="n">
        <v>0.6868399998028876</v>
      </c>
      <c r="P928" t="n">
        <v>132.1175958411222</v>
      </c>
      <c r="Q928" t="n">
        <v>132.4089392125944</v>
      </c>
    </row>
    <row r="929">
      <c r="A929" s="118" t="n">
        <v>45784</v>
      </c>
      <c r="B929" s="119" t="n">
        <v>55.95255786780947</v>
      </c>
      <c r="C929" s="119" t="n">
        <v>56.86141464972461</v>
      </c>
      <c r="D929" s="119" t="n">
        <v>55.65283164254182</v>
      </c>
      <c r="E929" s="119" t="n">
        <v>56.67770767211914</v>
      </c>
      <c r="F929" s="120" t="n">
        <v>11883500</v>
      </c>
      <c r="G929" s="121" t="n">
        <v>0.02769978926847672</v>
      </c>
      <c r="H929" s="122" t="n">
        <v>36.88344433990596</v>
      </c>
      <c r="I929" s="119" t="n">
        <v>62.55835372924805</v>
      </c>
      <c r="J929" s="119" t="n">
        <v>71.59831409454345</v>
      </c>
      <c r="K929" s="121" t="n">
        <v>0.5826222072539067</v>
      </c>
      <c r="L929" s="121" t="n">
        <v>-0.2790418908886229</v>
      </c>
      <c r="M929" s="121" t="n">
        <v>-0.3879239637170265</v>
      </c>
      <c r="N929" t="n">
        <v>48.31768685063098</v>
      </c>
      <c r="O929" t="n">
        <v>0.7305130554394017</v>
      </c>
      <c r="P929" t="n">
        <v>132.673234727064</v>
      </c>
      <c r="Q929" t="n">
        <v>132.9287678924626</v>
      </c>
    </row>
    <row r="930">
      <c r="A930" s="118" t="n">
        <v>45785</v>
      </c>
      <c r="B930" s="119" t="n">
        <v>57.71225784071058</v>
      </c>
      <c r="C930" s="119" t="n">
        <v>58.38906510237768</v>
      </c>
      <c r="D930" s="119" t="n">
        <v>56.85174727888788</v>
      </c>
      <c r="E930" s="119" t="n">
        <v>56.95810317993164</v>
      </c>
      <c r="F930" s="120" t="n">
        <v>19009000</v>
      </c>
      <c r="G930" s="121" t="n">
        <v>0.004947192103015086</v>
      </c>
      <c r="H930" s="122" t="n">
        <v>37.06591382447634</v>
      </c>
      <c r="I930" s="119" t="n">
        <v>62.13580924987793</v>
      </c>
      <c r="J930" s="119" t="n">
        <v>71.52644834518432</v>
      </c>
      <c r="K930" s="121" t="n">
        <v>0.4201246916106262</v>
      </c>
      <c r="L930" s="121" t="n">
        <v>-0.2754751726246223</v>
      </c>
      <c r="M930" s="121" t="n">
        <v>-0.3848959059838827</v>
      </c>
      <c r="N930" t="n">
        <v>49.21917740475753</v>
      </c>
      <c r="O930" t="n">
        <v>0.7574267713357807</v>
      </c>
      <c r="P930" t="n">
        <v>133.597655692664</v>
      </c>
      <c r="Q930" t="n">
        <v>134.3012456383659</v>
      </c>
    </row>
    <row r="931">
      <c r="A931" s="118" t="n">
        <v>45786</v>
      </c>
      <c r="B931" s="119" t="n">
        <v>57.18048466423429</v>
      </c>
      <c r="C931" s="119" t="n">
        <v>57.41253424889092</v>
      </c>
      <c r="D931" s="119" t="n">
        <v>56.2909692477071</v>
      </c>
      <c r="E931" s="119" t="n">
        <v>56.36831665039062</v>
      </c>
      <c r="F931" s="120" t="n">
        <v>13954400</v>
      </c>
      <c r="G931" s="121" t="n">
        <v>-0.01035474316407392</v>
      </c>
      <c r="H931" s="122" t="n">
        <v>36.68210580668219</v>
      </c>
      <c r="I931" s="119" t="n">
        <v>61.72359489440918</v>
      </c>
      <c r="J931" s="119" t="n">
        <v>71.45858957290649</v>
      </c>
      <c r="K931" s="121" t="n">
        <v>0.2884550176603413</v>
      </c>
      <c r="L931" s="121" t="n">
        <v>-0.2829774411280894</v>
      </c>
      <c r="M931" s="121" t="n">
        <v>-0.39126515089659</v>
      </c>
      <c r="N931" t="n">
        <v>47.34835478787593</v>
      </c>
      <c r="O931" t="n">
        <v>0.7151658827617675</v>
      </c>
      <c r="P931" t="n">
        <v>133.4274519559669</v>
      </c>
      <c r="Q931" t="n">
        <v>134.2132298151068</v>
      </c>
    </row>
    <row r="932">
      <c r="A932" s="118" t="n">
        <v>45789</v>
      </c>
      <c r="B932" s="119" t="n">
        <v>60.31313003166486</v>
      </c>
      <c r="C932" s="119" t="n">
        <v>61.36701460703994</v>
      </c>
      <c r="D932" s="119" t="n">
        <v>59.76201645161854</v>
      </c>
      <c r="E932" s="119" t="n">
        <v>60.50650405883789</v>
      </c>
      <c r="F932" s="120" t="n">
        <v>29776600</v>
      </c>
      <c r="G932" s="121" t="n">
        <v>0.07341335797045812</v>
      </c>
      <c r="H932" s="122" t="n">
        <v>39.37506237137837</v>
      </c>
      <c r="I932" s="119" t="n">
        <v>61.40549591064453</v>
      </c>
      <c r="J932" s="119" t="n">
        <v>71.42242725372314</v>
      </c>
      <c r="K932" s="121" t="n">
        <v>0.3795019534324279</v>
      </c>
      <c r="L932" s="121" t="n">
        <v>-0.2303384073407319</v>
      </c>
      <c r="M932" s="121" t="n">
        <v>-0.3465758815102685</v>
      </c>
      <c r="N932" t="n">
        <v>59.09627754606762</v>
      </c>
      <c r="O932" t="n">
        <v>0.9318613214555691</v>
      </c>
      <c r="P932" t="n">
        <v>137.8368862564611</v>
      </c>
      <c r="Q932" t="n">
        <v>139.6810946250313</v>
      </c>
    </row>
    <row r="933">
      <c r="A933" s="118" t="n">
        <v>45790</v>
      </c>
      <c r="B933" s="119" t="n">
        <v>60.53551149053889</v>
      </c>
      <c r="C933" s="119" t="n">
        <v>60.69987702334896</v>
      </c>
      <c r="D933" s="119" t="n">
        <v>59.9167175274608</v>
      </c>
      <c r="E933" s="119" t="n">
        <v>60.32279968261719</v>
      </c>
      <c r="F933" s="120" t="n">
        <v>17003100</v>
      </c>
      <c r="G933" s="121" t="n">
        <v>-0.003036109573312351</v>
      </c>
      <c r="H933" s="122" t="n">
        <v>39.25551536756286</v>
      </c>
      <c r="I933" s="119" t="n">
        <v>61.09571166992188</v>
      </c>
      <c r="J933" s="119" t="n">
        <v>71.38382186889649</v>
      </c>
      <c r="K933" s="121" t="n">
        <v>0.3786633170494904</v>
      </c>
      <c r="L933" s="121" t="n">
        <v>-0.2326751842704154</v>
      </c>
      <c r="M933" s="121" t="n">
        <v>-0.3485597487318484</v>
      </c>
      <c r="N933" t="n">
        <v>58.47254960732434</v>
      </c>
      <c r="O933" t="n">
        <v>1.021569098876505</v>
      </c>
      <c r="P933" t="n">
        <v>138.7471418693724</v>
      </c>
      <c r="Q933" t="n">
        <v>141.8099562411738</v>
      </c>
    </row>
    <row r="934">
      <c r="A934" s="118" t="n">
        <v>45791</v>
      </c>
      <c r="B934" s="119" t="n">
        <v>59.99406648418984</v>
      </c>
      <c r="C934" s="119" t="n">
        <v>60.78689673097761</v>
      </c>
      <c r="D934" s="119" t="n">
        <v>59.48162841178637</v>
      </c>
      <c r="E934" s="119" t="n">
        <v>59.68466949462891</v>
      </c>
      <c r="F934" s="120" t="n">
        <v>13736300</v>
      </c>
      <c r="G934" s="121" t="n">
        <v>-0.01057859037288955</v>
      </c>
      <c r="H934" s="122" t="n">
        <v>38.84024735061274</v>
      </c>
      <c r="I934" s="119" t="n">
        <v>60.79424255371094</v>
      </c>
      <c r="J934" s="119" t="n">
        <v>71.3365468597412</v>
      </c>
      <c r="K934" s="121" t="n">
        <v>0.3787284192350427</v>
      </c>
      <c r="L934" s="121" t="n">
        <v>-0.2407923991789717</v>
      </c>
      <c r="M934" s="121" t="n">
        <v>-0.3554510683024265</v>
      </c>
      <c r="N934" t="n">
        <v>56.2515718649291</v>
      </c>
      <c r="O934" t="n">
        <v>0.9956520841399881</v>
      </c>
      <c r="P934" t="n">
        <v>138.9244721833003</v>
      </c>
      <c r="Q934" t="n">
        <v>142.6598189275392</v>
      </c>
    </row>
    <row r="935">
      <c r="A935" s="118" t="n">
        <v>45792</v>
      </c>
      <c r="B935" s="119" t="n">
        <v>58.63077915964944</v>
      </c>
      <c r="C935" s="119" t="n">
        <v>60.60318754302063</v>
      </c>
      <c r="D935" s="119" t="n">
        <v>58.41806736684391</v>
      </c>
      <c r="E935" s="119" t="n">
        <v>60.33246612548828</v>
      </c>
      <c r="F935" s="120" t="n">
        <v>14371100</v>
      </c>
      <c r="G935" s="121" t="n">
        <v>0.01085365197368926</v>
      </c>
      <c r="H935" s="122" t="n">
        <v>39.2618058779283</v>
      </c>
      <c r="I935" s="119" t="n">
        <v>60.49625427246094</v>
      </c>
      <c r="J935" s="119" t="n">
        <v>71.28779415130616</v>
      </c>
      <c r="K935" s="121" t="n">
        <v>0.3624386980308031</v>
      </c>
      <c r="L935" s="121" t="n">
        <v>-0.2325522241038807</v>
      </c>
      <c r="M935" s="121" t="n">
        <v>-0.3484553585177678</v>
      </c>
      <c r="N935" t="n">
        <v>57.99578335503332</v>
      </c>
      <c r="O935" t="n">
        <v>0.9784178553618269</v>
      </c>
      <c r="P935" t="n">
        <v>139.6030189176231</v>
      </c>
      <c r="Q935" t="n">
        <v>142.8166161107627</v>
      </c>
    </row>
    <row r="936">
      <c r="A936" s="118" t="n">
        <v>45793</v>
      </c>
      <c r="B936" s="119" t="n">
        <v>60.42915086931093</v>
      </c>
      <c r="C936" s="119" t="n">
        <v>61.63773388669715</v>
      </c>
      <c r="D936" s="119" t="n">
        <v>60.42915086931093</v>
      </c>
      <c r="E936" s="119" t="n">
        <v>61.01893997192383</v>
      </c>
      <c r="F936" s="120" t="n">
        <v>12950600</v>
      </c>
      <c r="G936" s="121" t="n">
        <v>0.01137818309975458</v>
      </c>
      <c r="H936" s="122" t="n">
        <v>39.70853389403439</v>
      </c>
      <c r="I936" s="119" t="n">
        <v>60.21392906188965</v>
      </c>
      <c r="J936" s="119" t="n">
        <v>71.23880529403687</v>
      </c>
      <c r="K936" s="121" t="n">
        <v>0.3408445657874225</v>
      </c>
      <c r="L936" s="121" t="n">
        <v>-0.2238200627902351</v>
      </c>
      <c r="M936" s="121" t="n">
        <v>-0.3410419642893189</v>
      </c>
      <c r="N936" t="n">
        <v>59.82378146180258</v>
      </c>
      <c r="O936" t="n">
        <v>0.9677675526947161</v>
      </c>
      <c r="P936" t="n">
        <v>140.4872705721377</v>
      </c>
      <c r="Q936" t="n">
        <v>143.4381983100184</v>
      </c>
    </row>
    <row r="937">
      <c r="A937" s="118" t="n">
        <v>45796</v>
      </c>
      <c r="B937" s="119" t="n">
        <v>60.09075546483817</v>
      </c>
      <c r="C937" s="119" t="n">
        <v>60.36147690915183</v>
      </c>
      <c r="D937" s="119" t="n">
        <v>59.71367442529738</v>
      </c>
      <c r="E937" s="119" t="n">
        <v>60.02307510375977</v>
      </c>
      <c r="F937" s="120" t="n">
        <v>15105300</v>
      </c>
      <c r="G937" s="121" t="n">
        <v>-0.01632058617573962</v>
      </c>
      <c r="H937" s="122" t="n">
        <v>39.06046734470452</v>
      </c>
      <c r="I937" s="119" t="n">
        <v>59.89466995239258</v>
      </c>
      <c r="J937" s="119" t="n">
        <v>71.18226440429687</v>
      </c>
      <c r="K937" s="121" t="n">
        <v>0.3502742541318846</v>
      </c>
      <c r="L937" s="121" t="n">
        <v>-0.2364877743433473</v>
      </c>
      <c r="M937" s="121" t="n">
        <v>-0.3517965456973312</v>
      </c>
      <c r="N937" t="n">
        <v>56.0153100891892</v>
      </c>
      <c r="O937" t="n">
        <v>0.8522335692991583</v>
      </c>
      <c r="P937" t="n">
        <v>140.6409529419076</v>
      </c>
      <c r="Q937" t="n">
        <v>143.5757441427976</v>
      </c>
    </row>
    <row r="938">
      <c r="A938" s="118" t="n">
        <v>45797</v>
      </c>
      <c r="B938" s="119" t="n">
        <v>60.42915785376697</v>
      </c>
      <c r="C938" s="119" t="n">
        <v>61.09629442868344</v>
      </c>
      <c r="D938" s="119" t="n">
        <v>60.21644603786472</v>
      </c>
      <c r="E938" s="119" t="n">
        <v>60.4871711730957</v>
      </c>
      <c r="F938" s="120" t="n">
        <v>10771800</v>
      </c>
      <c r="G938" s="121" t="n">
        <v>0.00773196089226813</v>
      </c>
      <c r="H938" s="122" t="n">
        <v>39.36248135064749</v>
      </c>
      <c r="I938" s="119" t="n">
        <v>59.62704139709473</v>
      </c>
      <c r="J938" s="119" t="n">
        <v>71.13285593032838</v>
      </c>
      <c r="K938" s="121" t="n">
        <v>0.347813346951535</v>
      </c>
      <c r="L938" s="121" t="n">
        <v>-0.2305843276738015</v>
      </c>
      <c r="M938" s="121" t="n">
        <v>-0.3467846619384298</v>
      </c>
      <c r="N938" t="n">
        <v>57.37710570895274</v>
      </c>
      <c r="O938" t="n">
        <v>0.7682458926807494</v>
      </c>
      <c r="P938" t="n">
        <v>140.168081860519</v>
      </c>
      <c r="Q938" t="n">
        <v>143.0971623256137</v>
      </c>
    </row>
    <row r="939">
      <c r="A939" s="118" t="n">
        <v>45798</v>
      </c>
      <c r="B939" s="119" t="n">
        <v>59.14321882310345</v>
      </c>
      <c r="C939" s="119" t="n">
        <v>59.71367017465973</v>
      </c>
      <c r="D939" s="119" t="n">
        <v>57.8959639089404</v>
      </c>
      <c r="E939" s="119" t="n">
        <v>57.99264907836914</v>
      </c>
      <c r="F939" s="120" t="n">
        <v>17354700</v>
      </c>
      <c r="G939" s="121" t="n">
        <v>-0.04124051507695747</v>
      </c>
      <c r="H939" s="122" t="n">
        <v>37.73915234503966</v>
      </c>
      <c r="I939" s="119" t="n">
        <v>59.35264480590821</v>
      </c>
      <c r="J939" s="119" t="n">
        <v>71.07021251678466</v>
      </c>
      <c r="K939" s="121" t="n">
        <v>0.3842546160482653</v>
      </c>
      <c r="L939" s="121" t="n">
        <v>-0.2573169480595616</v>
      </c>
      <c r="M939" s="121" t="n">
        <v>-0.373723598936258</v>
      </c>
      <c r="N939" t="n">
        <v>48.65703191963335</v>
      </c>
      <c r="O939" t="n">
        <v>0.5178705156395753</v>
      </c>
      <c r="P939" t="n">
        <v>137.8061263687011</v>
      </c>
      <c r="Q939" t="n">
        <v>141.1085738168968</v>
      </c>
    </row>
    <row r="940">
      <c r="A940" s="118" t="n">
        <v>45799</v>
      </c>
      <c r="B940" s="119" t="n">
        <v>58.57277086735591</v>
      </c>
      <c r="C940" s="119" t="n">
        <v>59.57830916462297</v>
      </c>
      <c r="D940" s="119" t="n">
        <v>58.16668504351691</v>
      </c>
      <c r="E940" s="119" t="n">
        <v>59.28824996948242</v>
      </c>
      <c r="F940" s="120" t="n">
        <v>16764500</v>
      </c>
      <c r="G940" s="121" t="n">
        <v>0.02234077786932009</v>
      </c>
      <c r="H940" s="122" t="n">
        <v>38.58227436455662</v>
      </c>
      <c r="I940" s="119" t="n">
        <v>59.11556907653809</v>
      </c>
      <c r="J940" s="119" t="n">
        <v>71.02638673782349</v>
      </c>
      <c r="K940" s="121" t="n">
        <v>0.3863405455984353</v>
      </c>
      <c r="L940" s="121" t="n">
        <v>-0.2298130209966587</v>
      </c>
      <c r="M940" s="121" t="n">
        <v>-0.3597320969752956</v>
      </c>
      <c r="N940" t="n">
        <v>52.67955811232969</v>
      </c>
      <c r="O940" t="n">
        <v>0.4170281053073747</v>
      </c>
      <c r="P940" t="n">
        <v>137.8605342006192</v>
      </c>
      <c r="Q940" t="n">
        <v>141.372621286674</v>
      </c>
    </row>
    <row r="941">
      <c r="A941" s="118" t="n">
        <v>45800</v>
      </c>
      <c r="B941" s="119" t="n">
        <v>57.87662400089104</v>
      </c>
      <c r="C941" s="119" t="n">
        <v>58.37939497762697</v>
      </c>
      <c r="D941" s="119" t="n">
        <v>57.51888446124723</v>
      </c>
      <c r="E941" s="119" t="n">
        <v>58.03132247924805</v>
      </c>
      <c r="F941" s="120" t="n">
        <v>14282400</v>
      </c>
      <c r="G941" s="121" t="n">
        <v>-0.02120027983422279</v>
      </c>
      <c r="H941" s="122" t="n">
        <v>37.76431935138726</v>
      </c>
      <c r="I941" s="119" t="n">
        <v>58.87153198242188</v>
      </c>
      <c r="J941" s="119" t="n">
        <v>70.97113086700439</v>
      </c>
      <c r="K941" s="121" t="n">
        <v>0.3908714073065105</v>
      </c>
      <c r="L941" s="121" t="n">
        <v>-0.2405415678771557</v>
      </c>
      <c r="M941" s="121" t="n">
        <v>-0.3733059556882903</v>
      </c>
      <c r="N941" t="n">
        <v>48.69376344936296</v>
      </c>
      <c r="O941" t="n">
        <v>0.2513494978231912</v>
      </c>
      <c r="P941" t="n">
        <v>136.9195333335767</v>
      </c>
      <c r="Q941" t="n">
        <v>140.0634112464193</v>
      </c>
    </row>
    <row r="942">
      <c r="A942" s="118" t="n">
        <v>45804</v>
      </c>
      <c r="B942" s="119" t="n">
        <v>59.10454489560985</v>
      </c>
      <c r="C942" s="119" t="n">
        <v>60.7578855776597</v>
      </c>
      <c r="D942" s="119" t="n">
        <v>58.8241527504755</v>
      </c>
      <c r="E942" s="119" t="n">
        <v>60.74821853637695</v>
      </c>
      <c r="F942" s="120" t="n">
        <v>16642100</v>
      </c>
      <c r="G942" s="121" t="n">
        <v>0.04681775188046888</v>
      </c>
      <c r="H942" s="122" t="n">
        <v>39.5323598847153</v>
      </c>
      <c r="I942" s="119" t="n">
        <v>58.70078346252441</v>
      </c>
      <c r="J942" s="119" t="n">
        <v>70.92888769149781</v>
      </c>
      <c r="K942" s="121" t="n">
        <v>0.4200492330097569</v>
      </c>
      <c r="L942" s="121" t="n">
        <v>-0.2005343867314094</v>
      </c>
      <c r="M942" s="121" t="n">
        <v>-0.3439655494167372</v>
      </c>
      <c r="N942" t="n">
        <v>56.37687372061286</v>
      </c>
      <c r="O942" t="n">
        <v>0.3067452232932846</v>
      </c>
      <c r="P942" t="n">
        <v>139.7661546116047</v>
      </c>
      <c r="Q942" t="n">
        <v>143.3584234157214</v>
      </c>
    </row>
    <row r="943">
      <c r="A943" s="118" t="n">
        <v>45805</v>
      </c>
      <c r="B943" s="119" t="n">
        <v>60.66120395272073</v>
      </c>
      <c r="C943" s="119" t="n">
        <v>61.01894351390812</v>
      </c>
      <c r="D943" s="119" t="n">
        <v>59.52030122301762</v>
      </c>
      <c r="E943" s="119" t="n">
        <v>59.73300933837891</v>
      </c>
      <c r="F943" s="120" t="n">
        <v>10015600</v>
      </c>
      <c r="G943" s="121" t="n">
        <v>-0.01671175258234325</v>
      </c>
      <c r="H943" s="122" t="n">
        <v>38.87170486732578</v>
      </c>
      <c r="I943" s="119" t="n">
        <v>58.47028266906738</v>
      </c>
      <c r="J943" s="119" t="n">
        <v>70.87408853530884</v>
      </c>
      <c r="K943" s="121" t="n">
        <v>0.4270366754349597</v>
      </c>
      <c r="L943" s="121" t="n">
        <v>-0.2138948582584456</v>
      </c>
      <c r="M943" s="121" t="n">
        <v>-0.3549290348403782</v>
      </c>
      <c r="N943" t="n">
        <v>53.17265288836992</v>
      </c>
      <c r="O943" t="n">
        <v>0.2589287493554316</v>
      </c>
      <c r="P943" t="n">
        <v>138.9575734516701</v>
      </c>
      <c r="Q943" t="n">
        <v>142.7230781896131</v>
      </c>
    </row>
    <row r="944">
      <c r="A944" s="118" t="n">
        <v>45806</v>
      </c>
      <c r="B944" s="119" t="n">
        <v>60.41948672066727</v>
      </c>
      <c r="C944" s="119" t="n">
        <v>60.8159018218166</v>
      </c>
      <c r="D944" s="119" t="n">
        <v>59.10454774466864</v>
      </c>
      <c r="E944" s="119" t="n">
        <v>59.40427398681641</v>
      </c>
      <c r="F944" s="120" t="n">
        <v>12218000</v>
      </c>
      <c r="G944" s="121" t="n">
        <v>-0.005503411852235018</v>
      </c>
      <c r="H944" s="122" t="n">
        <v>38.65777786604237</v>
      </c>
      <c r="I944" s="119" t="n">
        <v>58.24074851989746</v>
      </c>
      <c r="J944" s="119" t="n">
        <v>70.81693109512329</v>
      </c>
      <c r="K944" s="121" t="n">
        <v>0.4194522662484282</v>
      </c>
      <c r="L944" s="121" t="n">
        <v>-0.2182211186126087</v>
      </c>
      <c r="M944" s="121" t="n">
        <v>-0.3584791260355703</v>
      </c>
      <c r="N944" t="n">
        <v>52.13926841290863</v>
      </c>
      <c r="O944" t="n">
        <v>0.1921464931138286</v>
      </c>
      <c r="P944" t="n">
        <v>139.5060857603811</v>
      </c>
      <c r="Q944" t="n">
        <v>143.0036412916135</v>
      </c>
    </row>
    <row r="945">
      <c r="A945" s="118" t="n">
        <v>45807</v>
      </c>
      <c r="B945" s="119" t="n">
        <v>58.9788545268129</v>
      </c>
      <c r="C945" s="119" t="n">
        <v>59.09487747020641</v>
      </c>
      <c r="D945" s="119" t="n">
        <v>58.10867323060435</v>
      </c>
      <c r="E945" s="119" t="n">
        <v>58.58243942260742</v>
      </c>
      <c r="F945" s="120" t="n">
        <v>18155100</v>
      </c>
      <c r="G945" s="121" t="n">
        <v>-0.01383460328782693</v>
      </c>
      <c r="H945" s="122" t="n">
        <v>38.12296284527673</v>
      </c>
      <c r="I945" s="119" t="n">
        <v>58.00096572875977</v>
      </c>
      <c r="J945" s="119" t="n">
        <v>70.75423519134522</v>
      </c>
      <c r="K945" s="121" t="n">
        <v>0.4244314743533927</v>
      </c>
      <c r="L945" s="121" t="n">
        <v>-0.2290367192954045</v>
      </c>
      <c r="M945" s="121" t="n">
        <v>-0.3673543128277282</v>
      </c>
      <c r="N945" t="n">
        <v>49.54680897711252</v>
      </c>
      <c r="O945" t="n">
        <v>0.08507130767065157</v>
      </c>
      <c r="P945" t="n">
        <v>139.3500620100016</v>
      </c>
      <c r="Q945" t="n">
        <v>142.7780965227247</v>
      </c>
    </row>
    <row r="946">
      <c r="A946" s="118" t="n">
        <v>45810</v>
      </c>
      <c r="B946" s="119" t="n">
        <v>58.44617500946916</v>
      </c>
      <c r="C946" s="119" t="n">
        <v>59.95477663852422</v>
      </c>
      <c r="D946" s="119" t="n">
        <v>58.00819293321091</v>
      </c>
      <c r="E946" s="119" t="n">
        <v>59.92557907104492</v>
      </c>
      <c r="F946" s="120" t="n">
        <v>14065300</v>
      </c>
      <c r="G946" s="121" t="n">
        <v>0.02292734241993988</v>
      </c>
      <c r="H946" s="122" t="n">
        <v>38.99702106849304</v>
      </c>
      <c r="I946" s="119" t="n">
        <v>57.80989677429199</v>
      </c>
      <c r="J946" s="119" t="n">
        <v>70.6798646736145</v>
      </c>
      <c r="K946" s="121" t="n">
        <v>0.4173246465179382</v>
      </c>
      <c r="L946" s="121" t="n">
        <v>-0.2113605801654899</v>
      </c>
      <c r="M946" s="121" t="n">
        <v>-0.3528494285274314</v>
      </c>
      <c r="N946" t="n">
        <v>53.60678059566654</v>
      </c>
      <c r="O946" t="n">
        <v>0.09632405472020678</v>
      </c>
      <c r="P946" t="n">
        <v>140.1350098594069</v>
      </c>
      <c r="Q946" t="n">
        <v>143.9057697057202</v>
      </c>
    </row>
    <row r="947">
      <c r="A947" s="118" t="n">
        <v>45811</v>
      </c>
      <c r="B947" s="119" t="n">
        <v>59.60439131601013</v>
      </c>
      <c r="C947" s="119" t="n">
        <v>60.78207349997848</v>
      </c>
      <c r="D947" s="119" t="n">
        <v>58.84522118920269</v>
      </c>
      <c r="E947" s="119" t="n">
        <v>60.70420837402344</v>
      </c>
      <c r="F947" s="120" t="n">
        <v>10286100</v>
      </c>
      <c r="G947" s="121" t="n">
        <v>0.01299327123823724</v>
      </c>
      <c r="H947" s="122" t="n">
        <v>39.50371994071921</v>
      </c>
      <c r="I947" s="119" t="n">
        <v>57.71020286560059</v>
      </c>
      <c r="J947" s="119" t="n">
        <v>70.60929204940796</v>
      </c>
      <c r="K947" s="121" t="n">
        <v>0.4084619915378646</v>
      </c>
      <c r="L947" s="121" t="n">
        <v>-0.1782136219344864</v>
      </c>
      <c r="M947" s="121" t="n">
        <v>-0.3444408256203082</v>
      </c>
      <c r="N947" t="n">
        <v>55.82597616886851</v>
      </c>
      <c r="O947" t="n">
        <v>0.1449072964154429</v>
      </c>
      <c r="P947" t="n">
        <v>140.934123061501</v>
      </c>
      <c r="Q947" t="n">
        <v>145.0306902833452</v>
      </c>
    </row>
    <row r="948">
      <c r="A948" s="118" t="n">
        <v>45812</v>
      </c>
      <c r="B948" s="119" t="n">
        <v>60.71394931807891</v>
      </c>
      <c r="C948" s="119" t="n">
        <v>61.35632181887389</v>
      </c>
      <c r="D948" s="119" t="n">
        <v>60.60688661581076</v>
      </c>
      <c r="E948" s="119" t="n">
        <v>61.09353256225586</v>
      </c>
      <c r="F948" s="120" t="n">
        <v>10242300</v>
      </c>
      <c r="G948" s="121" t="n">
        <v>0.006413462899205191</v>
      </c>
      <c r="H948" s="122" t="n">
        <v>39.75707558293961</v>
      </c>
      <c r="I948" s="119" t="n">
        <v>57.62893081665039</v>
      </c>
      <c r="J948" s="119" t="n">
        <v>70.52170410156251</v>
      </c>
      <c r="K948" s="121" t="n">
        <v>0.4066784617256404</v>
      </c>
      <c r="L948" s="121" t="n">
        <v>-0.1480766845208116</v>
      </c>
      <c r="M948" s="121" t="n">
        <v>-0.3402364211771904</v>
      </c>
      <c r="N948" t="n">
        <v>56.93522399251287</v>
      </c>
      <c r="O948" t="n">
        <v>0.1891669391574479</v>
      </c>
      <c r="P948" t="n">
        <v>140.8962951310253</v>
      </c>
      <c r="Q948" t="n">
        <v>145.4350193041227</v>
      </c>
    </row>
    <row r="949">
      <c r="A949" s="118" t="n">
        <v>45813</v>
      </c>
      <c r="B949" s="119" t="n">
        <v>61.25899364675856</v>
      </c>
      <c r="C949" s="119" t="n">
        <v>61.95976503485952</v>
      </c>
      <c r="D949" s="119" t="n">
        <v>60.56795725727797</v>
      </c>
      <c r="E949" s="119" t="n">
        <v>60.9962043762207</v>
      </c>
      <c r="F949" s="120" t="n">
        <v>12336300</v>
      </c>
      <c r="G949" s="121" t="n">
        <v>-0.001593101298177135</v>
      </c>
      <c r="H949" s="122" t="n">
        <v>39.69373853421671</v>
      </c>
      <c r="I949" s="119" t="n">
        <v>57.56214912414551</v>
      </c>
      <c r="J949" s="119" t="n">
        <v>70.43015157699585</v>
      </c>
      <c r="K949" s="121" t="n">
        <v>0.3986226748707599</v>
      </c>
      <c r="L949" s="121" t="n">
        <v>-0.1440096210519665</v>
      </c>
      <c r="M949" s="121" t="n">
        <v>-0.341287491391103</v>
      </c>
      <c r="N949" t="n">
        <v>56.552902730394</v>
      </c>
      <c r="O949" t="n">
        <v>0.1969083028935038</v>
      </c>
      <c r="P949" t="n">
        <v>140.2153631152064</v>
      </c>
      <c r="Q949" t="n">
        <v>144.3403436112746</v>
      </c>
    </row>
    <row r="950">
      <c r="A950" s="118" t="n">
        <v>45814</v>
      </c>
      <c r="B950" s="119" t="n">
        <v>60.99620126920625</v>
      </c>
      <c r="C950" s="119" t="n">
        <v>61.40498579571392</v>
      </c>
      <c r="D950" s="119" t="n">
        <v>60.46089146959182</v>
      </c>
      <c r="E950" s="119" t="n">
        <v>61.12273025512695</v>
      </c>
      <c r="F950" s="120" t="n">
        <v>13299600</v>
      </c>
      <c r="G950" s="121" t="n">
        <v>0.002074323807524925</v>
      </c>
      <c r="H950" s="122" t="n">
        <v>39.7760762010679</v>
      </c>
      <c r="I950" s="119" t="n">
        <v>57.51336761474609</v>
      </c>
      <c r="J950" s="119" t="n">
        <v>70.33899341583252</v>
      </c>
      <c r="K950" s="121" t="n">
        <v>0.3986599123863405</v>
      </c>
      <c r="L950" s="121" t="n">
        <v>-0.1422340198299024</v>
      </c>
      <c r="M950" s="121" t="n">
        <v>-0.3399211083521811</v>
      </c>
      <c r="N950" t="n">
        <v>56.95754372686909</v>
      </c>
      <c r="O950" t="n">
        <v>0.1951919513541264</v>
      </c>
      <c r="P950" t="n">
        <v>141.6552390220341</v>
      </c>
      <c r="Q950" t="n">
        <v>145.7513156144917</v>
      </c>
    </row>
    <row r="951">
      <c r="A951" s="118" t="n">
        <v>45817</v>
      </c>
      <c r="B951" s="119" t="n">
        <v>61.60937926592181</v>
      </c>
      <c r="C951" s="119" t="n">
        <v>61.79430711134263</v>
      </c>
      <c r="D951" s="119" t="n">
        <v>60.22730648864054</v>
      </c>
      <c r="E951" s="119" t="n">
        <v>60.25650405883789</v>
      </c>
      <c r="F951" s="120" t="n">
        <v>11640000</v>
      </c>
      <c r="G951" s="121" t="n">
        <v>-0.01417191595783474</v>
      </c>
      <c r="H951" s="122" t="n">
        <v>39.21237299201393</v>
      </c>
      <c r="I951" s="119" t="n">
        <v>57.44610137939453</v>
      </c>
      <c r="J951" s="119" t="n">
        <v>70.24217016220092</v>
      </c>
      <c r="K951" s="121" t="n">
        <v>0.4006862260201768</v>
      </c>
      <c r="L951" s="121" t="n">
        <v>-0.1543902072123627</v>
      </c>
      <c r="M951" s="121" t="n">
        <v>-0.3492756909301548</v>
      </c>
      <c r="N951" t="n">
        <v>53.29776564259556</v>
      </c>
      <c r="O951" t="n">
        <v>0.1238376609608174</v>
      </c>
      <c r="P951" t="n">
        <v>141.7829174334073</v>
      </c>
      <c r="Q951" t="n">
        <v>145.9658668490478</v>
      </c>
    </row>
    <row r="952">
      <c r="A952" s="118" t="n">
        <v>45818</v>
      </c>
      <c r="B952" s="119" t="n">
        <v>60.71395116733281</v>
      </c>
      <c r="C952" s="119" t="n">
        <v>62.44641331415898</v>
      </c>
      <c r="D952" s="119" t="n">
        <v>60.58742217781531</v>
      </c>
      <c r="E952" s="119" t="n">
        <v>62.16415405273438</v>
      </c>
      <c r="F952" s="120" t="n">
        <v>15287000</v>
      </c>
      <c r="G952" s="121" t="n">
        <v>0.03165882295517419</v>
      </c>
      <c r="H952" s="122" t="n">
        <v>40.45379056622036</v>
      </c>
      <c r="I952" s="119" t="n">
        <v>57.4655248260498</v>
      </c>
      <c r="J952" s="119" t="n">
        <v>70.15278886795043</v>
      </c>
      <c r="K952" s="121" t="n">
        <v>0.3243973930935736</v>
      </c>
      <c r="L952" s="121" t="n">
        <v>-0.1276191964933374</v>
      </c>
      <c r="M952" s="121" t="n">
        <v>-0.3286745252366844</v>
      </c>
      <c r="N952" t="n">
        <v>59.47357473675772</v>
      </c>
      <c r="O952" t="n">
        <v>0.1893162165127029</v>
      </c>
      <c r="P952" t="n">
        <v>142.5867865648649</v>
      </c>
      <c r="Q952" t="n">
        <v>146.9312714123778</v>
      </c>
    </row>
    <row r="953">
      <c r="A953" s="118" t="n">
        <v>45819</v>
      </c>
      <c r="B953" s="119" t="n">
        <v>62.6799973119882</v>
      </c>
      <c r="C953" s="119" t="n">
        <v>63.11797567903666</v>
      </c>
      <c r="D953" s="119" t="n">
        <v>60.90860642260196</v>
      </c>
      <c r="E953" s="119" t="n">
        <v>61.4244499206543</v>
      </c>
      <c r="F953" s="120" t="n">
        <v>10238700</v>
      </c>
      <c r="G953" s="121" t="n">
        <v>-0.01189920691999735</v>
      </c>
      <c r="H953" s="122" t="n">
        <v>39.97242254157466</v>
      </c>
      <c r="I953" s="119" t="n">
        <v>57.46648017883301</v>
      </c>
      <c r="J953" s="119" t="n">
        <v>70.0625199508667</v>
      </c>
      <c r="K953" s="121" t="n">
        <v>0.3275693186957406</v>
      </c>
      <c r="L953" s="121" t="n">
        <v>-0.1334142294848766</v>
      </c>
      <c r="M953" s="121" t="n">
        <v>-0.3366627659715585</v>
      </c>
      <c r="N953" t="n">
        <v>56.36127751577612</v>
      </c>
      <c r="O953" t="n">
        <v>0.1677470093600236</v>
      </c>
      <c r="P953" t="n">
        <v>142.1801180202159</v>
      </c>
      <c r="Q953" t="n">
        <v>146.4361908501202</v>
      </c>
    </row>
    <row r="954">
      <c r="A954" s="118" t="n">
        <v>45820</v>
      </c>
      <c r="B954" s="119" t="n">
        <v>61.06433511763581</v>
      </c>
      <c r="C954" s="119" t="n">
        <v>61.24925924104765</v>
      </c>
      <c r="D954" s="119" t="n">
        <v>60.11050579338923</v>
      </c>
      <c r="E954" s="119" t="n">
        <v>61.12273025512695</v>
      </c>
      <c r="F954" s="120" t="n">
        <v>9830500</v>
      </c>
      <c r="G954" s="121" t="n">
        <v>-0.004912045055626812</v>
      </c>
      <c r="H954" s="122" t="n">
        <v>39.77607620106789</v>
      </c>
      <c r="I954" s="119" t="n">
        <v>57.43664932250977</v>
      </c>
      <c r="J954" s="119" t="n">
        <v>69.96769330978394</v>
      </c>
      <c r="K954" s="121" t="n">
        <v>0.3254992830586362</v>
      </c>
      <c r="L954" s="121" t="n">
        <v>-0.1338902836099365</v>
      </c>
      <c r="M954" s="121" t="n">
        <v>-0.3399211083521811</v>
      </c>
      <c r="N954" t="n">
        <v>55.09479884569377</v>
      </c>
      <c r="O954" t="n">
        <v>0.1203174604976562</v>
      </c>
      <c r="P954" t="n">
        <v>142.7451809631118</v>
      </c>
      <c r="Q954" t="n">
        <v>146.7799794398954</v>
      </c>
    </row>
    <row r="955">
      <c r="A955" s="118" t="n">
        <v>45821</v>
      </c>
      <c r="B955" s="119" t="n">
        <v>60.10077796381754</v>
      </c>
      <c r="C955" s="119" t="n">
        <v>61.103267485073</v>
      </c>
      <c r="D955" s="119" t="n">
        <v>58.50457975850487</v>
      </c>
      <c r="E955" s="119" t="n">
        <v>58.91336059570312</v>
      </c>
      <c r="F955" s="120" t="n">
        <v>16509700</v>
      </c>
      <c r="G955" s="121" t="n">
        <v>-0.03614644912296772</v>
      </c>
      <c r="H955" s="122" t="n">
        <v>38.3383122863547</v>
      </c>
      <c r="I955" s="119" t="n">
        <v>57.35876358032227</v>
      </c>
      <c r="J955" s="119" t="n">
        <v>69.86072401046754</v>
      </c>
      <c r="K955" s="121" t="n">
        <v>0.3492631198611064</v>
      </c>
      <c r="L955" s="121" t="n">
        <v>-0.1520698646224699</v>
      </c>
      <c r="M955" s="121" t="n">
        <v>-0.3637806164262739</v>
      </c>
      <c r="N955" t="n">
        <v>46.80151686976738</v>
      </c>
      <c r="O955" t="n">
        <v>-0.06285050804773662</v>
      </c>
      <c r="P955" t="n">
        <v>141.1492959395333</v>
      </c>
      <c r="Q955" t="n">
        <v>144.9371861364946</v>
      </c>
    </row>
    <row r="956">
      <c r="A956" s="118" t="n">
        <v>45824</v>
      </c>
      <c r="B956" s="119" t="n">
        <v>59.74065672748625</v>
      </c>
      <c r="C956" s="119" t="n">
        <v>60.51928949014209</v>
      </c>
      <c r="D956" s="119" t="n">
        <v>59.60439645812321</v>
      </c>
      <c r="E956" s="119" t="n">
        <v>60.24676895141602</v>
      </c>
      <c r="F956" s="120" t="n">
        <v>13681600</v>
      </c>
      <c r="G956" s="121" t="n">
        <v>0.02263337793380171</v>
      </c>
      <c r="H956" s="122" t="n">
        <v>39.20603779767588</v>
      </c>
      <c r="I956" s="119" t="n">
        <v>57.48893013000488</v>
      </c>
      <c r="J956" s="119" t="n">
        <v>69.75560981750488</v>
      </c>
      <c r="K956" s="121" t="n">
        <v>0.3567415464392256</v>
      </c>
      <c r="L956" s="121" t="n">
        <v>-0.08284709504416743</v>
      </c>
      <c r="M956" s="121" t="n">
        <v>-0.3493808226690395</v>
      </c>
      <c r="N956" t="n">
        <v>51.54237962870527</v>
      </c>
      <c r="O956" t="n">
        <v>-0.09525965540660641</v>
      </c>
      <c r="P956" t="n">
        <v>142.4921947882326</v>
      </c>
      <c r="Q956" t="n">
        <v>146.9532584810431</v>
      </c>
    </row>
    <row r="957">
      <c r="A957" s="118" t="n">
        <v>45825</v>
      </c>
      <c r="B957" s="119" t="n">
        <v>59.66279307813626</v>
      </c>
      <c r="C957" s="119" t="n">
        <v>59.66279307813626</v>
      </c>
      <c r="D957" s="119" t="n">
        <v>58.08606123045611</v>
      </c>
      <c r="E957" s="119" t="n">
        <v>58.39751434326172</v>
      </c>
      <c r="F957" s="120" t="n">
        <v>13649700</v>
      </c>
      <c r="G957" s="121" t="n">
        <v>-0.03069466861609738</v>
      </c>
      <c r="H957" s="122" t="n">
        <v>38.00262145972604</v>
      </c>
      <c r="I957" s="119" t="n">
        <v>57.54981834411621</v>
      </c>
      <c r="J957" s="119" t="n">
        <v>69.65316013336182</v>
      </c>
      <c r="K957" s="121" t="n">
        <v>0.3686995318796565</v>
      </c>
      <c r="L957" s="121" t="n">
        <v>-0.1037433684812997</v>
      </c>
      <c r="M957" s="121" t="n">
        <v>-0.3693513627124911</v>
      </c>
      <c r="N957" t="n">
        <v>45.48795634841679</v>
      </c>
      <c r="O957" t="n">
        <v>-0.2343701523206324</v>
      </c>
      <c r="P957" t="n">
        <v>141.2746037030393</v>
      </c>
      <c r="Q957" t="n">
        <v>145.5202825220113</v>
      </c>
    </row>
    <row r="958">
      <c r="A958" s="118" t="n">
        <v>45826</v>
      </c>
      <c r="B958" s="119" t="n">
        <v>58.39751556856138</v>
      </c>
      <c r="C958" s="119" t="n">
        <v>58.8354976778884</v>
      </c>
      <c r="D958" s="119" t="n">
        <v>57.78434061550355</v>
      </c>
      <c r="E958" s="119" t="n">
        <v>57.92060089111328</v>
      </c>
      <c r="F958" s="120" t="n">
        <v>14194300</v>
      </c>
      <c r="G958" s="121" t="n">
        <v>-0.008166673830415694</v>
      </c>
      <c r="H958" s="122" t="n">
        <v>37.6922664455637</v>
      </c>
      <c r="I958" s="119" t="n">
        <v>57.63288146972656</v>
      </c>
      <c r="J958" s="119" t="n">
        <v>69.54608657836914</v>
      </c>
      <c r="K958" s="121" t="n">
        <v>0.3679576062448521</v>
      </c>
      <c r="L958" s="121" t="n">
        <v>-0.09970714688490034</v>
      </c>
      <c r="M958" s="121" t="n">
        <v>-0.3745016644348144</v>
      </c>
      <c r="N958" t="n">
        <v>44.05084600587639</v>
      </c>
      <c r="O958" t="n">
        <v>-0.344952802347282</v>
      </c>
      <c r="P958" t="n">
        <v>141.2532971394909</v>
      </c>
      <c r="Q958" t="n">
        <v>145.495525960826</v>
      </c>
    </row>
    <row r="959">
      <c r="A959" s="118" t="n">
        <v>45828</v>
      </c>
      <c r="B959" s="119" t="n">
        <v>58.15419029718144</v>
      </c>
      <c r="C959" s="119" t="n">
        <v>58.43644583572426</v>
      </c>
      <c r="D959" s="119" t="n">
        <v>57.60914550338983</v>
      </c>
      <c r="E959" s="119" t="n">
        <v>58.19312286376953</v>
      </c>
      <c r="F959" s="120" t="n">
        <v>19084000</v>
      </c>
      <c r="G959" s="121" t="n">
        <v>0.004705095742507437</v>
      </c>
      <c r="H959" s="122" t="n">
        <v>37.86961216794218</v>
      </c>
      <c r="I959" s="119" t="n">
        <v>57.76664436340332</v>
      </c>
      <c r="J959" s="119" t="n">
        <v>69.44008987426758</v>
      </c>
      <c r="K959" s="121" t="n">
        <v>0.3377241015937839</v>
      </c>
      <c r="L959" s="121" t="n">
        <v>-0.08529878453991402</v>
      </c>
      <c r="M959" s="121" t="n">
        <v>-0.371558634879201</v>
      </c>
      <c r="N959" t="n">
        <v>45.11786300291135</v>
      </c>
      <c r="O959" t="n">
        <v>-0.3832443901710426</v>
      </c>
      <c r="P959" t="n">
        <v>140.9215674079814</v>
      </c>
      <c r="Q959" t="n">
        <v>144.9014360409766</v>
      </c>
    </row>
    <row r="960">
      <c r="A960" s="118" t="n">
        <v>45831</v>
      </c>
      <c r="B960" s="119" t="n">
        <v>57.98873373984988</v>
      </c>
      <c r="C960" s="119" t="n">
        <v>59.66279329917871</v>
      </c>
      <c r="D960" s="119" t="n">
        <v>57.85246975378035</v>
      </c>
      <c r="E960" s="119" t="n">
        <v>59.15668106079102</v>
      </c>
      <c r="F960" s="120" t="n">
        <v>15921300</v>
      </c>
      <c r="G960" s="121" t="n">
        <v>0.01655793931659555</v>
      </c>
      <c r="H960" s="122" t="n">
        <v>38.49665490816198</v>
      </c>
      <c r="I960" s="119" t="n">
        <v>57.80268768310547</v>
      </c>
      <c r="J960" s="119" t="n">
        <v>69.34671133041383</v>
      </c>
      <c r="K960" s="121" t="n">
        <v>0.3333334665462693</v>
      </c>
      <c r="L960" s="121" t="n">
        <v>-0.07015321732150959</v>
      </c>
      <c r="M960" s="121" t="n">
        <v>-0.3611529408914924</v>
      </c>
      <c r="N960" t="n">
        <v>48.83343104725745</v>
      </c>
      <c r="O960" t="n">
        <v>-0.3292442234691174</v>
      </c>
      <c r="P960" t="n">
        <v>142.3135181804541</v>
      </c>
      <c r="Q960" t="n">
        <v>146.391372355314</v>
      </c>
    </row>
    <row r="961">
      <c r="A961" s="118" t="n">
        <v>45832</v>
      </c>
      <c r="B961" s="119" t="n">
        <v>59.69199408518201</v>
      </c>
      <c r="C961" s="119" t="n">
        <v>60.32463159329945</v>
      </c>
      <c r="D961" s="119" t="n">
        <v>58.86469374143989</v>
      </c>
      <c r="E961" s="119" t="n">
        <v>59.77958679199219</v>
      </c>
      <c r="F961" s="120" t="n">
        <v>12564000</v>
      </c>
      <c r="G961" s="121" t="n">
        <v>0.01052976130559213</v>
      </c>
      <c r="H961" s="122" t="n">
        <v>38.90201549540867</v>
      </c>
      <c r="I961" s="119" t="n">
        <v>57.94632865905762</v>
      </c>
      <c r="J961" s="119" t="n">
        <v>69.25788305282593</v>
      </c>
      <c r="K961" s="121" t="n">
        <v>0.3253782402953119</v>
      </c>
      <c r="L961" s="121" t="n">
        <v>-0.04821165930786964</v>
      </c>
      <c r="M961" s="121" t="n">
        <v>-0.3544260338483003</v>
      </c>
      <c r="N961" t="n">
        <v>51.13650453778872</v>
      </c>
      <c r="O961" t="n">
        <v>-0.2412173813462966</v>
      </c>
      <c r="P961" t="n">
        <v>143.8856820917304</v>
      </c>
      <c r="Q961" t="n">
        <v>148.6300004432876</v>
      </c>
    </row>
    <row r="962">
      <c r="A962" s="118" t="n">
        <v>45833</v>
      </c>
      <c r="B962" s="119" t="n">
        <v>59.80878891618639</v>
      </c>
      <c r="C962" s="119" t="n">
        <v>59.88665033871904</v>
      </c>
      <c r="D962" s="119" t="n">
        <v>58.74790058037929</v>
      </c>
      <c r="E962" s="119" t="n">
        <v>59.20534896850586</v>
      </c>
      <c r="F962" s="120" t="n">
        <v>12186200</v>
      </c>
      <c r="G962" s="121" t="n">
        <v>-0.009605918245712108</v>
      </c>
      <c r="H962" s="122" t="n">
        <v>38.52832591496635</v>
      </c>
      <c r="I962" s="119" t="n">
        <v>58.07867835998535</v>
      </c>
      <c r="J962" s="119" t="n">
        <v>69.16709285736084</v>
      </c>
      <c r="K962" s="121" t="n">
        <v>0.2800576932014138</v>
      </c>
      <c r="L962" s="121" t="n">
        <v>-0.05735446029578006</v>
      </c>
      <c r="M962" s="121" t="n">
        <v>-0.3605616144819854</v>
      </c>
      <c r="N962" t="n">
        <v>48.94914216323458</v>
      </c>
      <c r="O962" t="n">
        <v>-0.2123269125066266</v>
      </c>
      <c r="P962" t="n">
        <v>143.9663133864773</v>
      </c>
      <c r="Q962" t="n">
        <v>149.0099613073186</v>
      </c>
    </row>
    <row r="963">
      <c r="A963" s="118" t="n">
        <v>45834</v>
      </c>
      <c r="B963" s="119" t="n">
        <v>59.91585284668786</v>
      </c>
      <c r="C963" s="119" t="n">
        <v>61.05460262832507</v>
      </c>
      <c r="D963" s="119" t="n">
        <v>59.19561518125214</v>
      </c>
      <c r="E963" s="119" t="n">
        <v>60.86967849731445</v>
      </c>
      <c r="F963" s="120" t="n">
        <v>39659800</v>
      </c>
      <c r="G963" s="121" t="n">
        <v>0.02811113451411162</v>
      </c>
      <c r="H963" s="122" t="n">
        <v>39.6114008673655</v>
      </c>
      <c r="I963" s="119" t="n">
        <v>58.22459045410156</v>
      </c>
      <c r="J963" s="119" t="n">
        <v>69.08558137893677</v>
      </c>
      <c r="K963" s="121" t="n">
        <v>0.2919401899664091</v>
      </c>
      <c r="L963" s="121" t="n">
        <v>-0.03085562473002745</v>
      </c>
      <c r="M963" s="121" t="n">
        <v>-0.3257954172097501</v>
      </c>
      <c r="N963" t="n">
        <v>54.96224510989394</v>
      </c>
      <c r="O963" t="n">
        <v>-0.07867238818983602</v>
      </c>
      <c r="P963" t="n">
        <v>145.0926784296648</v>
      </c>
      <c r="Q963" t="n">
        <v>150.4032355778465</v>
      </c>
    </row>
    <row r="964">
      <c r="A964" s="118" t="n">
        <v>45835</v>
      </c>
      <c r="B964" s="119" t="n">
        <v>67.92604469527953</v>
      </c>
      <c r="C964" s="119" t="n">
        <v>72.20853067300436</v>
      </c>
      <c r="D964" s="119" t="n">
        <v>67.82871698739154</v>
      </c>
      <c r="E964" s="119" t="n">
        <v>70.11595153808594</v>
      </c>
      <c r="F964" s="120" t="n">
        <v>117530300</v>
      </c>
      <c r="G964" s="121" t="n">
        <v>0.1519027744031771</v>
      </c>
      <c r="H964" s="122" t="n">
        <v>45.62848255711474</v>
      </c>
      <c r="I964" s="119" t="n">
        <v>58.56664375305176</v>
      </c>
      <c r="J964" s="119" t="n">
        <v>69.05575685501098</v>
      </c>
      <c r="K964" s="121" t="n">
        <v>0.608134592827321</v>
      </c>
      <c r="L964" s="121" t="n">
        <v>0</v>
      </c>
      <c r="M964" s="121" t="n">
        <v>-0.2187645680908529</v>
      </c>
      <c r="N964" t="n">
        <v>73.58033141471911</v>
      </c>
      <c r="O964" t="n">
        <v>0.5976810578820966</v>
      </c>
      <c r="P964" t="n">
        <v>145.8135456185081</v>
      </c>
      <c r="Q964" t="n">
        <v>150.9181923150803</v>
      </c>
    </row>
    <row r="965">
      <c r="A965" s="118" t="n">
        <v>45838</v>
      </c>
      <c r="B965" s="119" t="n">
        <v>69.54170021902701</v>
      </c>
      <c r="C965" s="119" t="n">
        <v>69.79475818104684</v>
      </c>
      <c r="D965" s="119" t="n">
        <v>68.18882513171827</v>
      </c>
      <c r="E965" s="119" t="n">
        <v>69.14265441894531</v>
      </c>
      <c r="F965" s="120" t="n">
        <v>31090400</v>
      </c>
      <c r="G965" s="121" t="n">
        <v>-0.01388125095345738</v>
      </c>
      <c r="H965" s="122" t="n">
        <v>44.99510214011398</v>
      </c>
      <c r="I965" s="119" t="n">
        <v>58.91398292541504</v>
      </c>
      <c r="J965" s="119" t="n">
        <v>69.02776563644409</v>
      </c>
      <c r="K965" s="121" t="n">
        <v>0.6081578197583728</v>
      </c>
      <c r="L965" s="121" t="n">
        <v>-0.01388125095345749</v>
      </c>
      <c r="M965" s="121" t="n">
        <v>-0.2296090931749164</v>
      </c>
      <c r="N965" t="n">
        <v>70.28655604650632</v>
      </c>
      <c r="O965" t="n">
        <v>0.9251807801650653</v>
      </c>
      <c r="P965" t="n">
        <v>146.5106916950493</v>
      </c>
      <c r="Q965" t="n">
        <v>151.8956711903118</v>
      </c>
    </row>
    <row r="966">
      <c r="A966" s="118" t="n">
        <v>45839</v>
      </c>
      <c r="B966" s="119" t="n">
        <v>70.06727605105846</v>
      </c>
      <c r="C966" s="119" t="n">
        <v>71.96519955566329</v>
      </c>
      <c r="D966" s="119" t="n">
        <v>69.9115532211659</v>
      </c>
      <c r="E966" s="119" t="n">
        <v>71.44935607910156</v>
      </c>
      <c r="F966" s="120" t="n">
        <v>27512900</v>
      </c>
      <c r="G966" s="121" t="n">
        <v>0.03336148546134221</v>
      </c>
      <c r="H966" s="122" t="n">
        <v>46.496205585993</v>
      </c>
      <c r="I966" s="119" t="n">
        <v>59.26472053527832</v>
      </c>
      <c r="J966" s="119" t="n">
        <v>69.0098243522644</v>
      </c>
      <c r="K966" s="121" t="n">
        <v>0.6124461754766416</v>
      </c>
      <c r="L966" s="121" t="n">
        <v>0</v>
      </c>
      <c r="M966" s="121" t="n">
        <v>-0.1653515657551199</v>
      </c>
      <c r="N966" t="n">
        <v>73.33327625587066</v>
      </c>
      <c r="O966" t="n">
        <v>1.224070855463811</v>
      </c>
      <c r="P966" t="n">
        <v>146.4632933713315</v>
      </c>
      <c r="Q966" t="n">
        <v>150.6153044014243</v>
      </c>
    </row>
    <row r="967">
      <c r="A967" s="118" t="n">
        <v>45840</v>
      </c>
      <c r="B967" s="119" t="n">
        <v>71.21576109638536</v>
      </c>
      <c r="C967" s="119" t="n">
        <v>74.78774031415591</v>
      </c>
      <c r="D967" s="119" t="n">
        <v>71.05030326818536</v>
      </c>
      <c r="E967" s="119" t="n">
        <v>74.34976196289062</v>
      </c>
      <c r="F967" s="120" t="n">
        <v>36882300</v>
      </c>
      <c r="G967" s="121" t="n">
        <v>0.04059387016137728</v>
      </c>
      <c r="H967" s="122" t="n">
        <v>48.3836665185475</v>
      </c>
      <c r="I967" s="119" t="n">
        <v>59.66650489807129</v>
      </c>
      <c r="J967" s="119" t="n">
        <v>69.00638509750367</v>
      </c>
      <c r="K967" s="121" t="n">
        <v>0.6222951330436678</v>
      </c>
      <c r="L967" s="121" t="n">
        <v>0</v>
      </c>
      <c r="M967" s="121" t="n">
        <v>-0.1314699555849863</v>
      </c>
      <c r="N967" t="n">
        <v>76.58442238086553</v>
      </c>
      <c r="O967" t="n">
        <v>1.524459558121467</v>
      </c>
      <c r="P967" t="n">
        <v>147.1272650113588</v>
      </c>
      <c r="Q967" t="n">
        <v>151.6643510162897</v>
      </c>
    </row>
    <row r="968">
      <c r="A968" s="118" t="n">
        <v>45841</v>
      </c>
      <c r="B968" s="119" t="n">
        <v>74.2329642705938</v>
      </c>
      <c r="C968" s="119" t="n">
        <v>74.97266813721905</v>
      </c>
      <c r="D968" s="119" t="n">
        <v>73.5613979603622</v>
      </c>
      <c r="E968" s="119" t="n">
        <v>74.34976196289062</v>
      </c>
      <c r="F968" s="120" t="n">
        <v>12022600</v>
      </c>
      <c r="G968" s="121" t="n">
        <v>0</v>
      </c>
      <c r="H968" s="122" t="n">
        <v>48.3836665185475</v>
      </c>
      <c r="I968" s="119" t="n">
        <v>60.05011199951172</v>
      </c>
      <c r="J968" s="119" t="n">
        <v>69.0000266456604</v>
      </c>
      <c r="K968" s="121" t="n">
        <v>0.6233203633623872</v>
      </c>
      <c r="L968" s="121" t="n">
        <v>0</v>
      </c>
      <c r="M968" s="121" t="n">
        <v>-0.1314699555849863</v>
      </c>
      <c r="N968" t="n">
        <v>76.58442238086553</v>
      </c>
      <c r="O968" t="n">
        <v>1.621469019886503</v>
      </c>
      <c r="P968" t="n">
        <v>148.2868337583178</v>
      </c>
      <c r="Q968" t="n">
        <v>153.1567866287549</v>
      </c>
    </row>
    <row r="969">
      <c r="A969" s="118" t="n">
        <v>45845</v>
      </c>
      <c r="B969" s="119" t="n">
        <v>74.0091120292139</v>
      </c>
      <c r="C969" s="119" t="n">
        <v>75.43011721732958</v>
      </c>
      <c r="D969" s="119" t="n">
        <v>73.82418420435128</v>
      </c>
      <c r="E969" s="119" t="n">
        <v>74.48602294921875</v>
      </c>
      <c r="F969" s="120" t="n">
        <v>17296900</v>
      </c>
      <c r="G969" s="121" t="n">
        <v>0.001832702388423701</v>
      </c>
      <c r="H969" s="122" t="n">
        <v>48.47233937973674</v>
      </c>
      <c r="I969" s="119" t="n">
        <v>60.43006324768066</v>
      </c>
      <c r="J969" s="119" t="n">
        <v>68.99056894302367</v>
      </c>
      <c r="K969" s="121" t="n">
        <v>0.622553129009635</v>
      </c>
      <c r="L969" s="121" t="n">
        <v>0</v>
      </c>
      <c r="M969" s="121" t="n">
        <v>-0.1298781984981692</v>
      </c>
      <c r="N969" t="n">
        <v>76.73894015518546</v>
      </c>
      <c r="O969" t="n">
        <v>1.5909191192156</v>
      </c>
      <c r="P969" t="n">
        <v>147.1817752786786</v>
      </c>
      <c r="Q969" t="n">
        <v>152.0030734612112</v>
      </c>
    </row>
    <row r="970">
      <c r="A970" s="118" t="n">
        <v>45846</v>
      </c>
      <c r="B970" s="119" t="n">
        <v>74.09671408198562</v>
      </c>
      <c r="C970" s="119" t="n">
        <v>74.2621793583068</v>
      </c>
      <c r="D970" s="119" t="n">
        <v>71.6829541847362</v>
      </c>
      <c r="E970" s="119" t="n">
        <v>71.94573974609375</v>
      </c>
      <c r="F970" s="120" t="n">
        <v>19572400</v>
      </c>
      <c r="G970" s="121" t="n">
        <v>-0.03410415944554934</v>
      </c>
      <c r="H970" s="122" t="n">
        <v>46.81923098883141</v>
      </c>
      <c r="I970" s="119" t="n">
        <v>60.73813102722168</v>
      </c>
      <c r="J970" s="119" t="n">
        <v>68.96438997268677</v>
      </c>
      <c r="K970" s="121" t="n">
        <v>0.6421568413309851</v>
      </c>
      <c r="L970" s="121" t="n">
        <v>-0.03410415944554934</v>
      </c>
      <c r="M970" s="121" t="n">
        <v>-0.1595529711536362</v>
      </c>
      <c r="N970" t="n">
        <v>67.76151181801271</v>
      </c>
      <c r="O970" t="n">
        <v>1.307582133921655</v>
      </c>
      <c r="P970" t="n">
        <v>147.1011732511894</v>
      </c>
      <c r="Q970" t="n">
        <v>152.0884380019968</v>
      </c>
    </row>
    <row r="971">
      <c r="A971" s="118" t="n">
        <v>45847</v>
      </c>
      <c r="B971" s="119" t="n">
        <v>72.15012058879471</v>
      </c>
      <c r="C971" s="119" t="n">
        <v>72.9190220245482</v>
      </c>
      <c r="D971" s="119" t="n">
        <v>71.45908428148829</v>
      </c>
      <c r="E971" s="119" t="n">
        <v>71.59534454345703</v>
      </c>
      <c r="F971" s="120" t="n">
        <v>12076700</v>
      </c>
      <c r="G971" s="121" t="n">
        <v>-0.00487027034364107</v>
      </c>
      <c r="H971" s="122" t="n">
        <v>46.59120867663443</v>
      </c>
      <c r="I971" s="119" t="n">
        <v>61.05582092285156</v>
      </c>
      <c r="J971" s="119" t="n">
        <v>68.93521474838256</v>
      </c>
      <c r="K971" s="121" t="n">
        <v>0.6385601635178431</v>
      </c>
      <c r="L971" s="121" t="n">
        <v>-0.03880833331284794</v>
      </c>
      <c r="M971" s="121" t="n">
        <v>-0.1636461753936279</v>
      </c>
      <c r="N971" t="n">
        <v>66.60407406609866</v>
      </c>
      <c r="O971" t="n">
        <v>1.017429386280536</v>
      </c>
      <c r="P971" t="n">
        <v>147.9832883958977</v>
      </c>
      <c r="Q971" t="n">
        <v>153.1650613320161</v>
      </c>
    </row>
    <row r="972">
      <c r="A972" s="118" t="n">
        <v>45848</v>
      </c>
      <c r="B972" s="119" t="n">
        <v>71.16710681916078</v>
      </c>
      <c r="C972" s="119" t="n">
        <v>73.48353888153817</v>
      </c>
      <c r="D972" s="119" t="n">
        <v>71.00164155171186</v>
      </c>
      <c r="E972" s="119" t="n">
        <v>72.62704467773438</v>
      </c>
      <c r="F972" s="120" t="n">
        <v>13033000</v>
      </c>
      <c r="G972" s="121" t="n">
        <v>0.01441015670580548</v>
      </c>
      <c r="H972" s="122" t="n">
        <v>47.26259529477762</v>
      </c>
      <c r="I972" s="119" t="n">
        <v>61.40013938903809</v>
      </c>
      <c r="J972" s="119" t="n">
        <v>68.91081521987915</v>
      </c>
      <c r="K972" s="121" t="n">
        <v>0.6334938063244188</v>
      </c>
      <c r="L972" s="121" t="n">
        <v>-0.02495741077157165</v>
      </c>
      <c r="M972" s="121" t="n">
        <v>-0.1515941857195504</v>
      </c>
      <c r="N972" t="n">
        <v>68.31992957709033</v>
      </c>
      <c r="O972" t="n">
        <v>0.8240981055285115</v>
      </c>
      <c r="P972" t="n">
        <v>148.4006394895785</v>
      </c>
      <c r="Q972" t="n">
        <v>152.9447853537752</v>
      </c>
    </row>
    <row r="973">
      <c r="A973" s="118" t="n">
        <v>45849</v>
      </c>
      <c r="B973" s="119" t="n">
        <v>71.72187223341021</v>
      </c>
      <c r="C973" s="119" t="n">
        <v>71.86786005703659</v>
      </c>
      <c r="D973" s="119" t="n">
        <v>70.46632497083546</v>
      </c>
      <c r="E973" s="119" t="n">
        <v>70.69017791748047</v>
      </c>
      <c r="F973" s="120" t="n">
        <v>12771400</v>
      </c>
      <c r="G973" s="121" t="n">
        <v>-0.02666867100056602</v>
      </c>
      <c r="H973" s="122" t="n">
        <v>46.0021646902283</v>
      </c>
      <c r="I973" s="119" t="n">
        <v>61.70127304077148</v>
      </c>
      <c r="J973" s="119" t="n">
        <v>68.85021936416626</v>
      </c>
      <c r="K973" s="121" t="n">
        <v>0.6419204983994936</v>
      </c>
      <c r="L973" s="121" t="n">
        <v>-0.05096050079524461</v>
      </c>
      <c r="M973" s="121" t="n">
        <v>-0.174220041255563</v>
      </c>
      <c r="N973" t="n">
        <v>61.8909061496825</v>
      </c>
      <c r="O973" t="n">
        <v>0.510262099305014</v>
      </c>
      <c r="P973" t="n">
        <v>147.8789652561063</v>
      </c>
      <c r="Q973" t="n">
        <v>152.6005745852621</v>
      </c>
    </row>
    <row r="974">
      <c r="A974" s="118" t="n">
        <v>45852</v>
      </c>
      <c r="B974" s="119" t="n">
        <v>70.40792808941788</v>
      </c>
      <c r="C974" s="119" t="n">
        <v>70.64152347729751</v>
      </c>
      <c r="D974" s="119" t="n">
        <v>69.13291815615817</v>
      </c>
      <c r="E974" s="119" t="n">
        <v>70.32033538818359</v>
      </c>
      <c r="F974" s="120" t="n">
        <v>11385400</v>
      </c>
      <c r="G974" s="121" t="n">
        <v>-0.005231880017738888</v>
      </c>
      <c r="H974" s="122" t="n">
        <v>45.76148688401276</v>
      </c>
      <c r="I974" s="119" t="n">
        <v>62.01705429077148</v>
      </c>
      <c r="J974" s="119" t="n">
        <v>68.78930559158326</v>
      </c>
      <c r="K974" s="121" t="n">
        <v>0.6420053660400994</v>
      </c>
      <c r="L974" s="121" t="n">
        <v>-0.05592576158717888</v>
      </c>
      <c r="M974" s="121" t="n">
        <v>-0.1785404229207673</v>
      </c>
      <c r="N974" t="n">
        <v>60.71600169460114</v>
      </c>
      <c r="O974" t="n">
        <v>0.2361887027817406</v>
      </c>
      <c r="P974" t="n">
        <v>148.1611308868339</v>
      </c>
      <c r="Q974" t="n">
        <v>153.1540509105339</v>
      </c>
    </row>
    <row r="975">
      <c r="A975" s="118" t="n">
        <v>45853</v>
      </c>
      <c r="B975" s="119" t="n">
        <v>70.33007660858082</v>
      </c>
      <c r="C975" s="119" t="n">
        <v>70.93351284992686</v>
      </c>
      <c r="D975" s="119" t="n">
        <v>69.6682378022837</v>
      </c>
      <c r="E975" s="119" t="n">
        <v>70.06728363037109</v>
      </c>
      <c r="F975" s="120" t="n">
        <v>9708300</v>
      </c>
      <c r="G975" s="121" t="n">
        <v>-0.003598557322225471</v>
      </c>
      <c r="H975" s="122" t="n">
        <v>45.59681155031037</v>
      </c>
      <c r="I975" s="119" t="n">
        <v>62.32081329345703</v>
      </c>
      <c r="J975" s="119" t="n">
        <v>68.72109678268433</v>
      </c>
      <c r="K975" s="121" t="n">
        <v>0.6225818678098618</v>
      </c>
      <c r="L975" s="121" t="n">
        <v>-0.05932306685054378</v>
      </c>
      <c r="M975" s="121" t="n">
        <v>-0.181496492296778</v>
      </c>
      <c r="N975" t="n">
        <v>59.87842750226475</v>
      </c>
      <c r="O975" t="n">
        <v>0.008320112381279721</v>
      </c>
      <c r="P975" t="n">
        <v>147.5279923027107</v>
      </c>
      <c r="Q975" t="n">
        <v>153.2944506715808</v>
      </c>
    </row>
    <row r="976">
      <c r="A976" s="118" t="n">
        <v>45854</v>
      </c>
      <c r="B976" s="119" t="n">
        <v>69.97968389913791</v>
      </c>
      <c r="C976" s="119" t="n">
        <v>70.768047903401</v>
      </c>
      <c r="D976" s="119" t="n">
        <v>69.24971502833806</v>
      </c>
      <c r="E976" s="119" t="n">
        <v>70.17433929443359</v>
      </c>
      <c r="F976" s="120" t="n">
        <v>9008600</v>
      </c>
      <c r="G976" s="121" t="n">
        <v>0.001527898021953522</v>
      </c>
      <c r="H976" s="122" t="n">
        <v>45.66647882848547</v>
      </c>
      <c r="I976" s="119" t="n">
        <v>62.59132591247558</v>
      </c>
      <c r="J976" s="119" t="n">
        <v>68.65083906173706</v>
      </c>
      <c r="K976" s="121" t="n">
        <v>0.6211335473922001</v>
      </c>
      <c r="L976" s="121" t="n">
        <v>-0.0578858084250875</v>
      </c>
      <c r="M976" s="121" t="n">
        <v>-0.1802459024063963</v>
      </c>
      <c r="N976" t="n">
        <v>60.12901652689608</v>
      </c>
      <c r="O976" t="n">
        <v>-0.1556807014650907</v>
      </c>
      <c r="P976" t="n">
        <v>148.0212187617749</v>
      </c>
      <c r="Q976" t="n">
        <v>153.4514167262993</v>
      </c>
    </row>
    <row r="977">
      <c r="A977" s="118" t="n">
        <v>45855</v>
      </c>
      <c r="B977" s="119" t="n">
        <v>70.19380648029134</v>
      </c>
      <c r="C977" s="119" t="n">
        <v>71.25469096576437</v>
      </c>
      <c r="D977" s="119" t="n">
        <v>70.11594135503817</v>
      </c>
      <c r="E977" s="119" t="n">
        <v>71.03083801269531</v>
      </c>
      <c r="F977" s="120" t="n">
        <v>9180400</v>
      </c>
      <c r="G977" s="121" t="n">
        <v>0.01220529793188452</v>
      </c>
      <c r="H977" s="122" t="n">
        <v>46.22385180808723</v>
      </c>
      <c r="I977" s="119" t="n">
        <v>62.90294692993164</v>
      </c>
      <c r="J977" s="119" t="n">
        <v>68.57821187973022</v>
      </c>
      <c r="K977" s="121" t="n">
        <v>0.6038050134404355</v>
      </c>
      <c r="L977" s="121" t="n">
        <v>-0.04638702403105921</v>
      </c>
      <c r="M977" s="121" t="n">
        <v>-0.1702405594143831</v>
      </c>
      <c r="N977" t="n">
        <v>62.1650237584549</v>
      </c>
      <c r="O977" t="n">
        <v>-0.2228707039385345</v>
      </c>
      <c r="P977" t="n">
        <v>148.9270550187854</v>
      </c>
      <c r="Q977" t="n">
        <v>154.6932639271488</v>
      </c>
    </row>
    <row r="978">
      <c r="A978" s="118" t="n">
        <v>45856</v>
      </c>
      <c r="B978" s="119" t="n">
        <v>71.32282600206322</v>
      </c>
      <c r="C978" s="119" t="n">
        <v>71.32282600206322</v>
      </c>
      <c r="D978" s="119" t="n">
        <v>70.19381131070683</v>
      </c>
      <c r="E978" s="119" t="n">
        <v>70.53446197509766</v>
      </c>
      <c r="F978" s="120" t="n">
        <v>8801000</v>
      </c>
      <c r="G978" s="121" t="n">
        <v>-0.006988176565070781</v>
      </c>
      <c r="H978" s="122" t="n">
        <v>45.90083137013465</v>
      </c>
      <c r="I978" s="119" t="n">
        <v>63.21063491821289</v>
      </c>
      <c r="J978" s="119" t="n">
        <v>68.50286352157593</v>
      </c>
      <c r="K978" s="121" t="n">
        <v>0.6033366057474242</v>
      </c>
      <c r="L978" s="121" t="n">
        <v>-0.05305103988187276</v>
      </c>
      <c r="M978" s="121" t="n">
        <v>-0.1760390648917298</v>
      </c>
      <c r="N978" t="n">
        <v>60.24497623037137</v>
      </c>
      <c r="O978" t="n">
        <v>-0.3116886933650749</v>
      </c>
      <c r="P978" t="n">
        <v>148.8179905832593</v>
      </c>
      <c r="Q978" t="n">
        <v>154.5445725756913</v>
      </c>
    </row>
    <row r="979">
      <c r="A979" s="118" t="n">
        <v>45859</v>
      </c>
      <c r="B979" s="119" t="n">
        <v>70.98218325531526</v>
      </c>
      <c r="C979" s="119" t="n">
        <v>72.8119694750218</v>
      </c>
      <c r="D979" s="119" t="n">
        <v>70.96272068330524</v>
      </c>
      <c r="E979" s="119" t="n">
        <v>72.04306793212891</v>
      </c>
      <c r="F979" s="120" t="n">
        <v>12743900</v>
      </c>
      <c r="G979" s="121" t="n">
        <v>0.02138821102178201</v>
      </c>
      <c r="H979" s="122" t="n">
        <v>46.88256803755432</v>
      </c>
      <c r="I979" s="119" t="n">
        <v>63.51794212341309</v>
      </c>
      <c r="J979" s="119" t="n">
        <v>68.4400351524353</v>
      </c>
      <c r="K979" s="121" t="n">
        <v>0.6041026586186846</v>
      </c>
      <c r="L979" s="121" t="n">
        <v>-0.03279749569600932</v>
      </c>
      <c r="M979" s="121" t="n">
        <v>-0.1584160145379292</v>
      </c>
      <c r="N979" t="n">
        <v>63.89490249636522</v>
      </c>
      <c r="O979" t="n">
        <v>-0.2807430317655681</v>
      </c>
      <c r="P979" t="n">
        <v>149.1001708476158</v>
      </c>
      <c r="Q979" t="n">
        <v>155.3458509329093</v>
      </c>
    </row>
    <row r="980">
      <c r="A980" s="118" t="n">
        <v>45860</v>
      </c>
      <c r="B980" s="119" t="n">
        <v>72.09174251111423</v>
      </c>
      <c r="C980" s="119" t="n">
        <v>73.52248302590539</v>
      </c>
      <c r="D980" s="119" t="n">
        <v>72.06254493744569</v>
      </c>
      <c r="E980" s="119" t="n">
        <v>73.37648773193359</v>
      </c>
      <c r="F980" s="120" t="n">
        <v>11297500</v>
      </c>
      <c r="G980" s="121" t="n">
        <v>0.01850864820277898</v>
      </c>
      <c r="H980" s="122" t="n">
        <v>47.75030099620427</v>
      </c>
      <c r="I980" s="119" t="n">
        <v>63.84630981445312</v>
      </c>
      <c r="J980" s="119" t="n">
        <v>68.38038049697876</v>
      </c>
      <c r="K980" s="121" t="n">
        <v>0.6043643204658884</v>
      </c>
      <c r="L980" s="121" t="n">
        <v>-0.01489588480299986</v>
      </c>
      <c r="M980" s="121" t="n">
        <v>-0.142839432617919</v>
      </c>
      <c r="N980" t="n">
        <v>66.79658930667237</v>
      </c>
      <c r="O980" t="n">
        <v>-0.1868941577562633</v>
      </c>
      <c r="P980" t="n">
        <v>149.1215213120506</v>
      </c>
      <c r="Q980" t="n">
        <v>154.5418030831712</v>
      </c>
    </row>
    <row r="981">
      <c r="A981" s="118" t="n">
        <v>45861</v>
      </c>
      <c r="B981" s="119" t="n">
        <v>74.11617591087813</v>
      </c>
      <c r="C981" s="119" t="n">
        <v>75.147862896349</v>
      </c>
      <c r="D981" s="119" t="n">
        <v>73.79498781801841</v>
      </c>
      <c r="E981" s="119" t="n">
        <v>74.70014953613281</v>
      </c>
      <c r="F981" s="120" t="n">
        <v>16428100</v>
      </c>
      <c r="G981" s="121" t="n">
        <v>0.01803931811283954</v>
      </c>
      <c r="H981" s="122" t="n">
        <v>48.61168386585864</v>
      </c>
      <c r="I981" s="119" t="n">
        <v>64.21294647216797</v>
      </c>
      <c r="J981" s="119" t="n">
        <v>68.35620107650757</v>
      </c>
      <c r="K981" s="121" t="n">
        <v>0.6047968776602834</v>
      </c>
      <c r="L981" s="121" t="n">
        <v>0</v>
      </c>
      <c r="M981" s="121" t="n">
        <v>-0.1273768404691317</v>
      </c>
      <c r="N981" t="n">
        <v>69.42360749078955</v>
      </c>
      <c r="O981" t="n">
        <v>-0.05873524479246139</v>
      </c>
      <c r="P981" t="n">
        <v>150.3901544945356</v>
      </c>
      <c r="Q981" t="n">
        <v>155.2467233652711</v>
      </c>
    </row>
    <row r="982">
      <c r="A982" s="118" t="n">
        <v>45862</v>
      </c>
      <c r="B982" s="119" t="n">
        <v>74.46656215281931</v>
      </c>
      <c r="C982" s="119" t="n">
        <v>75.46905157870208</v>
      </c>
      <c r="D982" s="119" t="n">
        <v>73.39594259388512</v>
      </c>
      <c r="E982" s="119" t="n">
        <v>73.40567016601562</v>
      </c>
      <c r="F982" s="120" t="n">
        <v>10037800</v>
      </c>
      <c r="G982" s="121" t="n">
        <v>-0.01732900640969992</v>
      </c>
      <c r="H982" s="122" t="n">
        <v>47.76929168456087</v>
      </c>
      <c r="I982" s="119" t="n">
        <v>64.47092979431153</v>
      </c>
      <c r="J982" s="119" t="n">
        <v>68.3303348350525</v>
      </c>
      <c r="K982" s="121" t="n">
        <v>0.6090366836416715</v>
      </c>
      <c r="L982" s="121" t="n">
        <v>-0.01732900640969992</v>
      </c>
      <c r="M982" s="121" t="n">
        <v>-0.1424985327938947</v>
      </c>
      <c r="N982" t="n">
        <v>64.08373396972499</v>
      </c>
      <c r="O982" t="n">
        <v>-0.08273954988393584</v>
      </c>
      <c r="P982" t="n">
        <v>150.4399527333784</v>
      </c>
      <c r="Q982" t="n">
        <v>155.5771542197819</v>
      </c>
    </row>
    <row r="983">
      <c r="A983" s="118" t="n">
        <v>45863</v>
      </c>
      <c r="B983" s="119" t="n">
        <v>73.88259293310432</v>
      </c>
      <c r="C983" s="119" t="n">
        <v>74.52496173655722</v>
      </c>
      <c r="D983" s="119" t="n">
        <v>73.51273725249602</v>
      </c>
      <c r="E983" s="119" t="n">
        <v>74.23297119140625</v>
      </c>
      <c r="F983" s="120" t="n">
        <v>7208400</v>
      </c>
      <c r="G983" s="121" t="n">
        <v>0.01127026050602886</v>
      </c>
      <c r="H983" s="122" t="n">
        <v>48.30766404603434</v>
      </c>
      <c r="I983" s="119" t="n">
        <v>64.74913322448731</v>
      </c>
      <c r="J983" s="119" t="n">
        <v>68.30788724899293</v>
      </c>
      <c r="K983" s="121" t="n">
        <v>0.6058555469985709</v>
      </c>
      <c r="L983" s="121" t="n">
        <v>-0.006254048320219141</v>
      </c>
      <c r="M983" s="121" t="n">
        <v>-0.1328342678741798</v>
      </c>
      <c r="N983" t="n">
        <v>65.88951386918816</v>
      </c>
      <c r="O983" t="n">
        <v>-0.06526281867680561</v>
      </c>
      <c r="P983" t="n">
        <v>151.075461965369</v>
      </c>
      <c r="Q983" t="n">
        <v>155.9516267602214</v>
      </c>
    </row>
    <row r="984">
      <c r="A984" s="118" t="n">
        <v>45866</v>
      </c>
      <c r="B984" s="119" t="n">
        <v>76.89006161573904</v>
      </c>
      <c r="C984" s="119" t="n">
        <v>77.8536185365579</v>
      </c>
      <c r="D984" s="119" t="n">
        <v>75.48851887590941</v>
      </c>
      <c r="E984" s="119" t="n">
        <v>77.12364959716797</v>
      </c>
      <c r="F984" s="120" t="n">
        <v>22631100</v>
      </c>
      <c r="G984" s="121" t="n">
        <v>0.03894062650824304</v>
      </c>
      <c r="H984" s="122" t="n">
        <v>50.18879474913665</v>
      </c>
      <c r="I984" s="119" t="n">
        <v>65.09791282653809</v>
      </c>
      <c r="J984" s="119" t="n">
        <v>68.30668855667115</v>
      </c>
      <c r="K984" s="121" t="n">
        <v>0.3232465589198707</v>
      </c>
      <c r="L984" s="121" t="n">
        <v>0</v>
      </c>
      <c r="M984" s="121" t="n">
        <v>-0.09906629097872122</v>
      </c>
      <c r="N984" t="n">
        <v>71.31616339041788</v>
      </c>
      <c r="O984" t="n">
        <v>0.1091259344868214</v>
      </c>
      <c r="P984" t="n">
        <v>151.0375315994917</v>
      </c>
      <c r="Q984" t="n">
        <v>156.4389898951518</v>
      </c>
    </row>
    <row r="985">
      <c r="A985" s="118" t="n">
        <v>45867</v>
      </c>
      <c r="B985" s="119" t="n">
        <v>76.65646898291563</v>
      </c>
      <c r="C985" s="119" t="n">
        <v>77.25017761164436</v>
      </c>
      <c r="D985" s="119" t="n">
        <v>75.68317712278687</v>
      </c>
      <c r="E985" s="119" t="n">
        <v>76.23795318603516</v>
      </c>
      <c r="F985" s="120" t="n">
        <v>12885500</v>
      </c>
      <c r="G985" s="121" t="n">
        <v>-0.01148410916442599</v>
      </c>
      <c r="H985" s="122" t="n">
        <v>49.61242115140659</v>
      </c>
      <c r="I985" s="119" t="n">
        <v>65.41602256774902</v>
      </c>
      <c r="J985" s="119" t="n">
        <v>68.30134851455688</v>
      </c>
      <c r="K985" s="121" t="n">
        <v>0.3214996415411684</v>
      </c>
      <c r="L985" s="121" t="n">
        <v>-0.0114841091644261</v>
      </c>
      <c r="M985" s="121" t="n">
        <v>-0.1094127120430327</v>
      </c>
      <c r="N985" t="n">
        <v>67.7591803160648</v>
      </c>
      <c r="O985" t="n">
        <v>0.1314742179245019</v>
      </c>
      <c r="P985" t="n">
        <v>150.6391603223783</v>
      </c>
      <c r="Q985" t="n">
        <v>156.1966761867971</v>
      </c>
    </row>
    <row r="986">
      <c r="A986" s="118" t="n">
        <v>45868</v>
      </c>
      <c r="B986" s="119" t="n">
        <v>75.70264632720728</v>
      </c>
      <c r="C986" s="119" t="n">
        <v>76.2087622971811</v>
      </c>
      <c r="D986" s="119" t="n">
        <v>73.93125528355536</v>
      </c>
      <c r="E986" s="119" t="n">
        <v>74.63202667236328</v>
      </c>
      <c r="F986" s="120" t="n">
        <v>14601700</v>
      </c>
      <c r="G986" s="121" t="n">
        <v>-0.02106465935349955</v>
      </c>
      <c r="H986" s="122" t="n">
        <v>48.56735240014986</v>
      </c>
      <c r="I986" s="119" t="n">
        <v>65.68828430175782</v>
      </c>
      <c r="J986" s="119" t="n">
        <v>68.27993909835816</v>
      </c>
      <c r="K986" s="121" t="n">
        <v>0.3160218589353017</v>
      </c>
      <c r="L986" s="121" t="n">
        <v>-0.03230685967039848</v>
      </c>
      <c r="M986" s="121" t="n">
        <v>-0.1281726298884032</v>
      </c>
      <c r="N986" t="n">
        <v>61.74569849995741</v>
      </c>
      <c r="O986" t="n">
        <v>0.01109188761238</v>
      </c>
      <c r="P986" t="n">
        <v>150.4494353248478</v>
      </c>
      <c r="Q986" t="n">
        <v>156.4059755178549</v>
      </c>
    </row>
    <row r="987">
      <c r="A987" s="118" t="n">
        <v>45869</v>
      </c>
      <c r="B987" s="119" t="n">
        <v>74.31084367994863</v>
      </c>
      <c r="C987" s="119" t="n">
        <v>74.35951125083216</v>
      </c>
      <c r="D987" s="119" t="n">
        <v>72.32532708308732</v>
      </c>
      <c r="E987" s="119" t="n">
        <v>72.69518280029297</v>
      </c>
      <c r="F987" s="120" t="n">
        <v>16700000</v>
      </c>
      <c r="G987" s="121" t="n">
        <v>-0.02595191311865497</v>
      </c>
      <c r="H987" s="122" t="n">
        <v>47.30693669025807</v>
      </c>
      <c r="I987" s="119" t="n">
        <v>65.94172645568848</v>
      </c>
      <c r="J987" s="119" t="n">
        <v>68.25052042007447</v>
      </c>
      <c r="K987" s="121" t="n">
        <v>0.2969707074649</v>
      </c>
      <c r="L987" s="121" t="n">
        <v>-0.05742034797375073</v>
      </c>
      <c r="M987" s="121" t="n">
        <v>-0.1507982180520048</v>
      </c>
      <c r="N987" t="n">
        <v>55.363964887134</v>
      </c>
      <c r="O987" t="n">
        <v>-0.2135842389545024</v>
      </c>
      <c r="P987" t="n">
        <v>149.8850747961347</v>
      </c>
      <c r="Q987" t="n">
        <v>155.5771542197819</v>
      </c>
    </row>
    <row r="988">
      <c r="A988" s="118" t="n">
        <v>45870</v>
      </c>
      <c r="B988" s="119" t="n">
        <v>71.4785599319647</v>
      </c>
      <c r="C988" s="119" t="n">
        <v>72.70490238671439</v>
      </c>
      <c r="D988" s="119" t="n">
        <v>70.59286073346196</v>
      </c>
      <c r="E988" s="119" t="n">
        <v>72.62704467773438</v>
      </c>
      <c r="F988" s="120" t="n">
        <v>11911600</v>
      </c>
      <c r="G988" s="121" t="n">
        <v>-0.0009373127617793298</v>
      </c>
      <c r="H988" s="122" t="n">
        <v>47.2625952947776</v>
      </c>
      <c r="I988" s="119" t="n">
        <v>66.18452392578125</v>
      </c>
      <c r="J988" s="119" t="n">
        <v>68.22052171707153</v>
      </c>
      <c r="K988" s="121" t="n">
        <v>0.2969492236073985</v>
      </c>
      <c r="L988" s="121" t="n">
        <v>-0.05830383991058852</v>
      </c>
      <c r="M988" s="121" t="n">
        <v>-0.1515941857195504</v>
      </c>
      <c r="N988" t="n">
        <v>55.14802039868929</v>
      </c>
      <c r="O988" t="n">
        <v>-0.3721085657122383</v>
      </c>
      <c r="P988" t="n">
        <v>147.4283811913964</v>
      </c>
      <c r="Q988" t="n">
        <v>152.5124743262554</v>
      </c>
    </row>
    <row r="989">
      <c r="A989" s="118" t="n">
        <v>45873</v>
      </c>
      <c r="B989" s="119" t="n">
        <v>73.0260914616274</v>
      </c>
      <c r="C989" s="119" t="n">
        <v>73.24995187017306</v>
      </c>
      <c r="D989" s="119" t="n">
        <v>72.17933224488016</v>
      </c>
      <c r="E989" s="119" t="n">
        <v>72.82170104980469</v>
      </c>
      <c r="F989" s="120" t="n">
        <v>8839000</v>
      </c>
      <c r="G989" s="121" t="n">
        <v>0.002680218821157432</v>
      </c>
      <c r="H989" s="122" t="n">
        <v>47.38926939222341</v>
      </c>
      <c r="I989" s="119" t="n">
        <v>66.48110496520997</v>
      </c>
      <c r="J989" s="119" t="n">
        <v>68.19412839889526</v>
      </c>
      <c r="K989" s="121" t="n">
        <v>0.2970718664648025</v>
      </c>
      <c r="L989" s="121" t="n">
        <v>-0.0557798881385051</v>
      </c>
      <c r="M989" s="121" t="n">
        <v>-0.1493202724881365</v>
      </c>
      <c r="N989" t="n">
        <v>55.67985822851397</v>
      </c>
      <c r="O989" t="n">
        <v>-0.4632410773628295</v>
      </c>
      <c r="P989" t="n">
        <v>149.6692873056923</v>
      </c>
      <c r="Q989" t="n">
        <v>155.3265489210166</v>
      </c>
    </row>
    <row r="990">
      <c r="A990" s="118" t="n">
        <v>45874</v>
      </c>
      <c r="B990" s="119" t="n">
        <v>72.90929881357218</v>
      </c>
      <c r="C990" s="119" t="n">
        <v>73.6879278677325</v>
      </c>
      <c r="D990" s="119" t="n">
        <v>72.25718760585781</v>
      </c>
      <c r="E990" s="119" t="n">
        <v>72.39344787597656</v>
      </c>
      <c r="F990" s="120" t="n">
        <v>6533800</v>
      </c>
      <c r="G990" s="121" t="n">
        <v>-0.005880845512455601</v>
      </c>
      <c r="H990" s="122" t="n">
        <v>47.11058041997961</v>
      </c>
      <c r="I990" s="119" t="n">
        <v>66.74320892333985</v>
      </c>
      <c r="J990" s="119" t="n">
        <v>68.16310529708862</v>
      </c>
      <c r="K990" s="121" t="n">
        <v>0.2710659372960874</v>
      </c>
      <c r="L990" s="121" t="n">
        <v>-0.06133270074611608</v>
      </c>
      <c r="M990" s="121" t="n">
        <v>-0.1543229885462115</v>
      </c>
      <c r="N990" t="n">
        <v>54.15833167506587</v>
      </c>
      <c r="O990" t="n">
        <v>-0.5460531999202365</v>
      </c>
      <c r="P990" t="n">
        <v>148.9104604837141</v>
      </c>
      <c r="Q990" t="n">
        <v>154.2719802082607</v>
      </c>
    </row>
    <row r="991">
      <c r="A991" s="118" t="n">
        <v>45875</v>
      </c>
      <c r="B991" s="119" t="n">
        <v>72.48104631908028</v>
      </c>
      <c r="C991" s="119" t="n">
        <v>73.95071911327923</v>
      </c>
      <c r="D991" s="119" t="n">
        <v>72.26692092084403</v>
      </c>
      <c r="E991" s="119" t="n">
        <v>73.46407318115234</v>
      </c>
      <c r="F991" s="120" t="n">
        <v>7579800</v>
      </c>
      <c r="G991" s="121" t="n">
        <v>0.0147889807239181</v>
      </c>
      <c r="H991" s="122" t="n">
        <v>47.80729788570328</v>
      </c>
      <c r="I991" s="119" t="n">
        <v>67.05186393737793</v>
      </c>
      <c r="J991" s="119" t="n">
        <v>68.12872564315796</v>
      </c>
      <c r="K991" s="121" t="n">
        <v>0.2749052925783119</v>
      </c>
      <c r="L991" s="121" t="n">
        <v>-0.04745076815127813</v>
      </c>
      <c r="M991" s="121" t="n">
        <v>-0.1418162875251608</v>
      </c>
      <c r="N991" t="n">
        <v>57.29980159329497</v>
      </c>
      <c r="O991" t="n">
        <v>-0.522409626907324</v>
      </c>
      <c r="P991" t="n">
        <v>150.0510786813632</v>
      </c>
      <c r="Q991" t="n">
        <v>156.2132087061698</v>
      </c>
    </row>
    <row r="992">
      <c r="A992" s="118" t="n">
        <v>45876</v>
      </c>
      <c r="B992" s="119" t="n">
        <v>74.28164421669099</v>
      </c>
      <c r="C992" s="119" t="n">
        <v>74.31084178822631</v>
      </c>
      <c r="D992" s="119" t="n">
        <v>72.02360710187361</v>
      </c>
      <c r="E992" s="119" t="n">
        <v>72.3642578125</v>
      </c>
      <c r="F992" s="120" t="n">
        <v>8717600</v>
      </c>
      <c r="G992" s="121" t="n">
        <v>-0.01497079213046559</v>
      </c>
      <c r="H992" s="122" t="n">
        <v>47.09158476673716</v>
      </c>
      <c r="I992" s="119" t="n">
        <v>67.28418472290039</v>
      </c>
      <c r="J992" s="119" t="n">
        <v>68.09143106460571</v>
      </c>
      <c r="K992" s="121" t="n">
        <v>0.2762867658298689</v>
      </c>
      <c r="L992" s="121" t="n">
        <v>-0.06171118469532011</v>
      </c>
      <c r="M992" s="121" t="n">
        <v>-0.1546639774943729</v>
      </c>
      <c r="N992" t="n">
        <v>53.2618967294876</v>
      </c>
      <c r="O992" t="n">
        <v>-0.57060289751319</v>
      </c>
      <c r="P992" t="n">
        <v>149.9253904435082</v>
      </c>
      <c r="Q992" t="n">
        <v>156.7418946959573</v>
      </c>
    </row>
    <row r="993">
      <c r="A993" s="118" t="n">
        <v>45877</v>
      </c>
      <c r="B993" s="119" t="n">
        <v>72.21825418363007</v>
      </c>
      <c r="C993" s="119" t="n">
        <v>72.95795808810163</v>
      </c>
      <c r="D993" s="119" t="n">
        <v>71.42989014076565</v>
      </c>
      <c r="E993" s="119" t="n">
        <v>72.20852661132812</v>
      </c>
      <c r="F993" s="120" t="n">
        <v>6739000</v>
      </c>
      <c r="G993" s="121" t="n">
        <v>-0.002152045856331219</v>
      </c>
      <c r="H993" s="122" t="n">
        <v>46.99024151687184</v>
      </c>
      <c r="I993" s="119" t="n">
        <v>67.53369506835938</v>
      </c>
      <c r="J993" s="119" t="n">
        <v>68.05565492630005</v>
      </c>
      <c r="K993" s="121" t="n">
        <v>0.2580480627214572</v>
      </c>
      <c r="L993" s="121" t="n">
        <v>-0.06373042525233841</v>
      </c>
      <c r="M993" s="121" t="n">
        <v>-0.1564831793788137</v>
      </c>
      <c r="N993" t="n">
        <v>52.69563380281082</v>
      </c>
      <c r="O993" t="n">
        <v>-0.5997459736672397</v>
      </c>
      <c r="P993" t="n">
        <v>151.0944271483077</v>
      </c>
      <c r="Q993" t="n">
        <v>158.2040009878981</v>
      </c>
    </row>
    <row r="994">
      <c r="A994" s="118" t="n">
        <v>45880</v>
      </c>
      <c r="B994" s="119" t="n">
        <v>72.33505849167804</v>
      </c>
      <c r="C994" s="119" t="n">
        <v>72.79250690301177</v>
      </c>
      <c r="D994" s="119" t="n">
        <v>71.0989809642606</v>
      </c>
      <c r="E994" s="119" t="n">
        <v>72.04306793212891</v>
      </c>
      <c r="F994" s="120" t="n">
        <v>6985700</v>
      </c>
      <c r="G994" s="121" t="n">
        <v>-0.002291400849235181</v>
      </c>
      <c r="H994" s="122" t="n">
        <v>46.88256803755431</v>
      </c>
      <c r="I994" s="119" t="n">
        <v>67.78647094726563</v>
      </c>
      <c r="J994" s="119" t="n">
        <v>68.02594266891479</v>
      </c>
      <c r="K994" s="121" t="n">
        <v>0.2572877683818399</v>
      </c>
      <c r="L994" s="121" t="n">
        <v>-0.06587579415102829</v>
      </c>
      <c r="M994" s="121" t="n">
        <v>-0.1584160145379292</v>
      </c>
      <c r="N994" t="n">
        <v>52.06231327457682</v>
      </c>
      <c r="O994" t="n">
        <v>-0.6146748713262582</v>
      </c>
      <c r="P994" t="n">
        <v>150.7956523488798</v>
      </c>
      <c r="Q994" t="n">
        <v>157.7358892034119</v>
      </c>
    </row>
    <row r="995">
      <c r="A995" s="118" t="n">
        <v>45881</v>
      </c>
      <c r="B995" s="119" t="n">
        <v>72.72437380690691</v>
      </c>
      <c r="C995" s="119" t="n">
        <v>73.69766573167681</v>
      </c>
      <c r="D995" s="119" t="n">
        <v>72.35451812309238</v>
      </c>
      <c r="E995" s="119" t="n">
        <v>72.89956665039062</v>
      </c>
      <c r="F995" s="120" t="n">
        <v>6397700</v>
      </c>
      <c r="G995" s="121" t="n">
        <v>0.01188870411610754</v>
      </c>
      <c r="H995" s="122" t="n">
        <v>47.43994101715607</v>
      </c>
      <c r="I995" s="119" t="n">
        <v>68.07281349182129</v>
      </c>
      <c r="J995" s="119" t="n">
        <v>68.00080011367798</v>
      </c>
      <c r="K995" s="121" t="n">
        <v>0.2592148819038902</v>
      </c>
      <c r="L995" s="121" t="n">
        <v>-0.05477026785999595</v>
      </c>
      <c r="M995" s="121" t="n">
        <v>-0.1484106715459161</v>
      </c>
      <c r="N995" t="n">
        <v>55.07243242394888</v>
      </c>
      <c r="O995" t="n">
        <v>-0.5532920978000448</v>
      </c>
      <c r="P995" t="n">
        <v>152.4010199639276</v>
      </c>
      <c r="Q995" t="n">
        <v>159.7184405561781</v>
      </c>
    </row>
    <row r="996">
      <c r="A996" s="118" t="n">
        <v>45882</v>
      </c>
      <c r="B996" s="119" t="n">
        <v>73.46406693200628</v>
      </c>
      <c r="C996" s="119" t="n">
        <v>75.61504087796142</v>
      </c>
      <c r="D996" s="119" t="n">
        <v>73.18181142430713</v>
      </c>
      <c r="E996" s="119" t="n">
        <v>75.13812255859375</v>
      </c>
      <c r="F996" s="120" t="n">
        <v>13472600</v>
      </c>
      <c r="G996" s="121" t="n">
        <v>0.03070739664254418</v>
      </c>
      <c r="H996" s="122" t="n">
        <v>48.89669810266879</v>
      </c>
      <c r="I996" s="119" t="n">
        <v>68.37706436157227</v>
      </c>
      <c r="J996" s="119" t="n">
        <v>67.99340650558472</v>
      </c>
      <c r="K996" s="121" t="n">
        <v>0.2783351316515386</v>
      </c>
      <c r="L996" s="121" t="n">
        <v>-0.02574472355684709</v>
      </c>
      <c r="M996" s="121" t="n">
        <v>-0.1222605802605188</v>
      </c>
      <c r="N996" t="n">
        <v>61.8202800019911</v>
      </c>
      <c r="O996" t="n">
        <v>-0.3578357078612999</v>
      </c>
      <c r="P996" t="n">
        <v>152.9227234646575</v>
      </c>
      <c r="Q996" t="n">
        <v>159.7982998862227</v>
      </c>
    </row>
    <row r="997">
      <c r="A997" s="118" t="n">
        <v>45883</v>
      </c>
      <c r="B997" s="119" t="n">
        <v>73.88258604495797</v>
      </c>
      <c r="C997" s="119" t="n">
        <v>74.55415235518957</v>
      </c>
      <c r="D997" s="119" t="n">
        <v>73.33753757320011</v>
      </c>
      <c r="E997" s="119" t="n">
        <v>74.34976196289062</v>
      </c>
      <c r="F997" s="120" t="n">
        <v>7990500</v>
      </c>
      <c r="G997" s="121" t="n">
        <v>-0.01049215190449226</v>
      </c>
      <c r="H997" s="122" t="n">
        <v>48.38366651854749</v>
      </c>
      <c r="I997" s="119" t="n">
        <v>68.64997543334961</v>
      </c>
      <c r="J997" s="119" t="n">
        <v>67.98690450668335</v>
      </c>
      <c r="K997" s="121" t="n">
        <v>0.2806448318710521</v>
      </c>
      <c r="L997" s="121" t="n">
        <v>-0.03596675791104176</v>
      </c>
      <c r="M997" s="121" t="n">
        <v>-0.1314699555849863</v>
      </c>
      <c r="N997" t="n">
        <v>58.48858585406714</v>
      </c>
      <c r="O997" t="n">
        <v>-0.2809458794191999</v>
      </c>
      <c r="P997" t="n">
        <v>152.9369327182326</v>
      </c>
      <c r="Q997" t="n">
        <v>159.6743988702496</v>
      </c>
    </row>
    <row r="998">
      <c r="A998" s="118" t="n">
        <v>45884</v>
      </c>
      <c r="B998" s="119" t="n">
        <v>74.69042333316025</v>
      </c>
      <c r="C998" s="119" t="n">
        <v>75.43012730591681</v>
      </c>
      <c r="D998" s="119" t="n">
        <v>74.12591963680001</v>
      </c>
      <c r="E998" s="119" t="n">
        <v>74.91428375244141</v>
      </c>
      <c r="F998" s="120" t="n">
        <v>9767700</v>
      </c>
      <c r="G998" s="121" t="n">
        <v>0.00759278543262254</v>
      </c>
      <c r="H998" s="122" t="n">
        <v>48.75103331686638</v>
      </c>
      <c r="I998" s="119" t="n">
        <v>68.92639045715332</v>
      </c>
      <c r="J998" s="119" t="n">
        <v>67.98413438796997</v>
      </c>
      <c r="K998" s="121" t="n">
        <v>0.278919755772617</v>
      </c>
      <c r="L998" s="121" t="n">
        <v>-0.02864706035394482</v>
      </c>
      <c r="M998" s="121" t="n">
        <v>-0.1248753933159571</v>
      </c>
      <c r="N998" t="n">
        <v>60.14495798045971</v>
      </c>
      <c r="O998" t="n">
        <v>-0.1954238408328766</v>
      </c>
      <c r="P998" t="n">
        <v>152.5788624548639</v>
      </c>
      <c r="Q998" t="n">
        <v>158.9722649678193</v>
      </c>
    </row>
    <row r="999">
      <c r="A999" s="118" t="n">
        <v>45887</v>
      </c>
      <c r="B999" s="119" t="n">
        <v>75.05053877230689</v>
      </c>
      <c r="C999" s="119" t="n">
        <v>76.16982593899122</v>
      </c>
      <c r="D999" s="119" t="n">
        <v>74.79748079990911</v>
      </c>
      <c r="E999" s="119" t="n">
        <v>75.36199188232422</v>
      </c>
      <c r="F999" s="120" t="n">
        <v>9069100</v>
      </c>
      <c r="G999" s="121" t="n">
        <v>0.005976271913141318</v>
      </c>
      <c r="H999" s="122" t="n">
        <v>49.04238274801459</v>
      </c>
      <c r="I999" s="119" t="n">
        <v>69.21370620727539</v>
      </c>
      <c r="J999" s="119" t="n">
        <v>67.98331563949586</v>
      </c>
      <c r="K999" s="121" t="n">
        <v>0.2708099499255057</v>
      </c>
      <c r="L999" s="121" t="n">
        <v>-0.02284199106299079</v>
      </c>
      <c r="M999" s="121" t="n">
        <v>-0.1196454107085324</v>
      </c>
      <c r="N999" t="n">
        <v>61.45842390423093</v>
      </c>
      <c r="O999" t="n">
        <v>-0.1159838711415686</v>
      </c>
      <c r="P999" t="n">
        <v>152.5456733847213</v>
      </c>
      <c r="Q999" t="n">
        <v>158.9089043828484</v>
      </c>
    </row>
    <row r="1000">
      <c r="A1000" s="118" t="n">
        <v>45888</v>
      </c>
      <c r="B1000" s="119" t="n">
        <v>76.11142813173873</v>
      </c>
      <c r="C1000" s="119" t="n">
        <v>76.68567424818278</v>
      </c>
      <c r="D1000" s="119" t="n">
        <v>74.63202762311974</v>
      </c>
      <c r="E1000" s="119" t="n">
        <v>74.82668304443359</v>
      </c>
      <c r="F1000" s="120" t="n">
        <v>7684800</v>
      </c>
      <c r="G1000" s="121" t="n">
        <v>-0.007103167319761128</v>
      </c>
      <c r="H1000" s="122" t="n">
        <v>48.69402649759568</v>
      </c>
      <c r="I1000" s="119" t="n">
        <v>69.48778526306153</v>
      </c>
      <c r="J1000" s="119" t="n">
        <v>67.98226099014282</v>
      </c>
      <c r="K1000" s="121" t="n">
        <v>0.2658076585116022</v>
      </c>
      <c r="L1000" s="121" t="n">
        <v>-0.02978290789831495</v>
      </c>
      <c r="M1000" s="121" t="n">
        <v>-0.1258987166569893</v>
      </c>
      <c r="N1000" t="n">
        <v>58.95657045064907</v>
      </c>
      <c r="O1000" t="n">
        <v>-0.1069898945569343</v>
      </c>
      <c r="P1000" t="n">
        <v>151.7180685073328</v>
      </c>
      <c r="Q1000" t="n">
        <v>156.7529051174394</v>
      </c>
    </row>
    <row r="1001">
      <c r="A1001" s="118" t="n">
        <v>45889</v>
      </c>
      <c r="B1001" s="119" t="n">
        <v>74.6417595349609</v>
      </c>
      <c r="C1001" s="119" t="n">
        <v>75.48851875084846</v>
      </c>
      <c r="D1001" s="119" t="n">
        <v>74.1259160067471</v>
      </c>
      <c r="E1001" s="119" t="n">
        <v>74.22324371337891</v>
      </c>
      <c r="F1001" s="120" t="n">
        <v>6282600</v>
      </c>
      <c r="G1001" s="121" t="n">
        <v>-0.008064493927872673</v>
      </c>
      <c r="H1001" s="122" t="n">
        <v>48.30133381658215</v>
      </c>
      <c r="I1001" s="119" t="n">
        <v>69.76712005615235</v>
      </c>
      <c r="J1001" s="119" t="n">
        <v>67.9875210762024</v>
      </c>
      <c r="K1001" s="121" t="n">
        <v>0.2598420722544588</v>
      </c>
      <c r="L1001" s="121" t="n">
        <v>-0.03760721774628717</v>
      </c>
      <c r="M1001" s="121" t="n">
        <v>-0.1329479011488547</v>
      </c>
      <c r="N1001" t="n">
        <v>56.18019878700305</v>
      </c>
      <c r="O1001" t="n">
        <v>-0.1467256580972407</v>
      </c>
      <c r="P1001" t="n">
        <v>151.3149559344848</v>
      </c>
      <c r="Q1001" t="n">
        <v>155.8222036463576</v>
      </c>
    </row>
    <row r="1002">
      <c r="A1002" s="118" t="n">
        <v>45890</v>
      </c>
      <c r="B1002" s="119" t="n">
        <v>73.67819472801116</v>
      </c>
      <c r="C1002" s="119" t="n">
        <v>74.19404567861766</v>
      </c>
      <c r="D1002" s="119" t="n">
        <v>73.12341863549851</v>
      </c>
      <c r="E1002" s="119" t="n">
        <v>74.14537811279297</v>
      </c>
      <c r="F1002" s="120" t="n">
        <v>6354900</v>
      </c>
      <c r="G1002" s="121" t="n">
        <v>-0.001049072995066402</v>
      </c>
      <c r="H1002" s="122" t="n">
        <v>48.25066219164948</v>
      </c>
      <c r="I1002" s="119" t="n">
        <v>70.00674453735351</v>
      </c>
      <c r="J1002" s="119" t="n">
        <v>67.98913759231567</v>
      </c>
      <c r="K1002" s="121" t="n">
        <v>0.2519079029786199</v>
      </c>
      <c r="L1002" s="121" t="n">
        <v>-0.03861683802479643</v>
      </c>
      <c r="M1002" s="121" t="n">
        <v>-0.1338575020910751</v>
      </c>
      <c r="N1002" t="n">
        <v>55.81494677775648</v>
      </c>
      <c r="O1002" t="n">
        <v>-0.181045959214079</v>
      </c>
      <c r="P1002" t="n">
        <v>150.7079237441598</v>
      </c>
      <c r="Q1002" t="n">
        <v>155.1008015063336</v>
      </c>
    </row>
    <row r="1003">
      <c r="A1003" s="118" t="n">
        <v>45891</v>
      </c>
      <c r="B1003" s="119" t="n">
        <v>74.49576000271706</v>
      </c>
      <c r="C1003" s="119" t="n">
        <v>77.02631735859323</v>
      </c>
      <c r="D1003" s="119" t="n">
        <v>74.21350447168388</v>
      </c>
      <c r="E1003" s="119" t="n">
        <v>76.28661346435547</v>
      </c>
      <c r="F1003" s="120" t="n">
        <v>10985900</v>
      </c>
      <c r="G1003" s="121" t="n">
        <v>0.02887887830722446</v>
      </c>
      <c r="H1003" s="122" t="n">
        <v>49.64408719332513</v>
      </c>
      <c r="I1003" s="119" t="n">
        <v>70.30398780822753</v>
      </c>
      <c r="J1003" s="119" t="n">
        <v>67.99700975418091</v>
      </c>
      <c r="K1003" s="121" t="n">
        <v>0.2689590358667134</v>
      </c>
      <c r="L1003" s="121" t="n">
        <v>-0.01085317068349978</v>
      </c>
      <c r="M1003" s="121" t="n">
        <v>-0.1088442782972477</v>
      </c>
      <c r="N1003" t="n">
        <v>62.94867467517696</v>
      </c>
      <c r="O1003" t="n">
        <v>-0.06814234759814686</v>
      </c>
      <c r="P1003" t="n">
        <v>153.0223053087142</v>
      </c>
      <c r="Q1003" t="n">
        <v>157.4935923822067</v>
      </c>
    </row>
    <row r="1004">
      <c r="A1004" s="118" t="n">
        <v>45894</v>
      </c>
      <c r="B1004" s="119" t="n">
        <v>76.37421773397081</v>
      </c>
      <c r="C1004" s="119" t="n">
        <v>78.02881101869576</v>
      </c>
      <c r="D1004" s="119" t="n">
        <v>76.29635259864475</v>
      </c>
      <c r="E1004" s="119" t="n">
        <v>77.05551910400391</v>
      </c>
      <c r="F1004" s="120" t="n">
        <v>12488900</v>
      </c>
      <c r="G1004" s="121" t="n">
        <v>0.01007916860810321</v>
      </c>
      <c r="H1004" s="122" t="n">
        <v>50.14445831854203</v>
      </c>
      <c r="I1004" s="119" t="n">
        <v>70.62264358520508</v>
      </c>
      <c r="J1004" s="119" t="n">
        <v>68.01288980484009</v>
      </c>
      <c r="K1004" s="121" t="n">
        <v>0.2327464582639389</v>
      </c>
      <c r="L1004" s="121" t="n">
        <v>-0.0008833930126481704</v>
      </c>
      <c r="M1004" s="121" t="n">
        <v>-0.09986216952212978</v>
      </c>
      <c r="N1004" t="n">
        <v>65.12606097575213</v>
      </c>
      <c r="O1004" t="n">
        <v>0.04369620042429601</v>
      </c>
      <c r="P1004" t="n">
        <v>152.3488510772175</v>
      </c>
      <c r="Q1004" t="n">
        <v>157.0392605117227</v>
      </c>
    </row>
    <row r="1005">
      <c r="A1005" s="118" t="n">
        <v>45895</v>
      </c>
      <c r="B1005" s="119" t="n">
        <v>76.89005863235661</v>
      </c>
      <c r="C1005" s="119" t="n">
        <v>77.35724200271549</v>
      </c>
      <c r="D1005" s="119" t="n">
        <v>76.28661499264884</v>
      </c>
      <c r="E1005" s="119" t="n">
        <v>76.54940795898438</v>
      </c>
      <c r="F1005" s="120" t="n">
        <v>6874800</v>
      </c>
      <c r="G1005" s="121" t="n">
        <v>-0.006568136207562469</v>
      </c>
      <c r="H1005" s="122" t="n">
        <v>49.81510268625141</v>
      </c>
      <c r="I1005" s="119" t="n">
        <v>70.97536453247071</v>
      </c>
      <c r="J1005" s="119" t="n">
        <v>68.02245874404908</v>
      </c>
      <c r="K1005" s="121" t="n">
        <v>0.2301528972020614</v>
      </c>
      <c r="L1005" s="121" t="n">
        <v>-0.007445726974578681</v>
      </c>
      <c r="M1005" s="121" t="n">
        <v>-0.1057743973982882</v>
      </c>
      <c r="N1005" t="n">
        <v>62.52159132995278</v>
      </c>
      <c r="O1005" t="n">
        <v>0.06753624072285014</v>
      </c>
      <c r="P1005" t="n">
        <v>152.9867309570754</v>
      </c>
      <c r="Q1005" t="n">
        <v>157.669826674519</v>
      </c>
    </row>
    <row r="1006">
      <c r="A1006" s="118" t="n">
        <v>45896</v>
      </c>
      <c r="B1006" s="119" t="n">
        <v>76.85112283296073</v>
      </c>
      <c r="C1006" s="119" t="n">
        <v>77.38643631547386</v>
      </c>
      <c r="D1006" s="119" t="n">
        <v>75.5761128981371</v>
      </c>
      <c r="E1006" s="119" t="n">
        <v>75.97515869140625</v>
      </c>
      <c r="F1006" s="120" t="n">
        <v>12636700</v>
      </c>
      <c r="G1006" s="121" t="n">
        <v>-0.007501681370100322</v>
      </c>
      <c r="H1006" s="122" t="n">
        <v>49.44140565848032</v>
      </c>
      <c r="I1006" s="119" t="n">
        <v>71.28993232727051</v>
      </c>
      <c r="J1006" s="119" t="n">
        <v>68.04188600540161</v>
      </c>
      <c r="K1006" s="121" t="n">
        <v>0.2181753842442714</v>
      </c>
      <c r="L1006" s="121" t="n">
        <v>-0.01489155287334698</v>
      </c>
      <c r="M1006" s="121" t="n">
        <v>-0.1124825929419923</v>
      </c>
      <c r="N1006" t="n">
        <v>59.60876977384692</v>
      </c>
      <c r="O1006" t="n">
        <v>0.03046844233582968</v>
      </c>
      <c r="P1006" t="n">
        <v>153.3353186289748</v>
      </c>
      <c r="Q1006" t="n">
        <v>157.9121403828737</v>
      </c>
    </row>
    <row r="1007">
      <c r="A1007" s="118" t="n">
        <v>45897</v>
      </c>
      <c r="B1007" s="119" t="n">
        <v>76.48127387797233</v>
      </c>
      <c r="C1007" s="119" t="n">
        <v>76.55913900661902</v>
      </c>
      <c r="D1007" s="119" t="n">
        <v>75.64424230908875</v>
      </c>
      <c r="E1007" s="119" t="n">
        <v>75.83889770507812</v>
      </c>
      <c r="F1007" s="120" t="n">
        <v>7478600</v>
      </c>
      <c r="G1007" s="121" t="n">
        <v>-0.001793493935058232</v>
      </c>
      <c r="H1007" s="122" t="n">
        <v>49.35273279729108</v>
      </c>
      <c r="I1007" s="119" t="n">
        <v>71.63875999450684</v>
      </c>
      <c r="J1007" s="119" t="n">
        <v>68.0577606010437</v>
      </c>
      <c r="K1007" s="121" t="n">
        <v>0.1941504647570279</v>
      </c>
      <c r="L1007" s="121" t="n">
        <v>-0.01665833889864321</v>
      </c>
      <c r="M1007" s="121" t="n">
        <v>-0.1140743500288094</v>
      </c>
      <c r="N1007" t="n">
        <v>58.90745996212467</v>
      </c>
      <c r="O1007" t="n">
        <v>-0.01495010896964111</v>
      </c>
      <c r="P1007" t="n">
        <v>153.878328693253</v>
      </c>
      <c r="Q1007" t="n">
        <v>158.9006465667368</v>
      </c>
    </row>
    <row r="1008">
      <c r="A1008" s="118" t="n">
        <v>45898</v>
      </c>
      <c r="B1008" s="119" t="n">
        <v>75.67344474300025</v>
      </c>
      <c r="C1008" s="119" t="n">
        <v>77.01658488321911</v>
      </c>
      <c r="D1008" s="119" t="n">
        <v>75.06027352313187</v>
      </c>
      <c r="E1008" s="119" t="n">
        <v>75.30359649658203</v>
      </c>
      <c r="F1008" s="120" t="n">
        <v>14208800</v>
      </c>
      <c r="G1008" s="121" t="n">
        <v>-0.007058399115685621</v>
      </c>
      <c r="H1008" s="122" t="n">
        <v>49.00438151175802</v>
      </c>
      <c r="I1008" s="119" t="n">
        <v>71.98641990661621</v>
      </c>
      <c r="J1008" s="119" t="n">
        <v>68.07115018844604</v>
      </c>
      <c r="K1008" s="121" t="n">
        <v>0.1966575153949258</v>
      </c>
      <c r="L1008" s="121" t="n">
        <v>-0.02359915680977775</v>
      </c>
      <c r="M1008" s="121" t="n">
        <v>-0.1203275668531292</v>
      </c>
      <c r="N1008" t="n">
        <v>56.11436814672901</v>
      </c>
      <c r="O1008" t="n">
        <v>-0.08865357533900231</v>
      </c>
      <c r="P1008" t="n">
        <v>152.9606538305347</v>
      </c>
      <c r="Q1008" t="n">
        <v>157.061315128986</v>
      </c>
    </row>
    <row r="1009">
      <c r="A1009" s="118" t="n">
        <v>45902</v>
      </c>
      <c r="B1009" s="119" t="n">
        <v>74.00238865931139</v>
      </c>
      <c r="C1009" s="119" t="n">
        <v>74.40351571642387</v>
      </c>
      <c r="D1009" s="119" t="n">
        <v>72.39789535929683</v>
      </c>
      <c r="E1009" s="119" t="n">
        <v>72.68161773681641</v>
      </c>
      <c r="F1009" s="120" t="n">
        <v>15078700</v>
      </c>
      <c r="G1009" s="121" t="n">
        <v>-0.03481877203414363</v>
      </c>
      <c r="H1009" s="122" t="n">
        <v>47.29810912322591</v>
      </c>
      <c r="I1009" s="119" t="n">
        <v>72.27618980407715</v>
      </c>
      <c r="J1009" s="119" t="n">
        <v>68.06798425674438</v>
      </c>
      <c r="K1009" s="121" t="n">
        <v>0.2357950540917818</v>
      </c>
      <c r="L1009" s="121" t="n">
        <v>-0.0575962351827638</v>
      </c>
      <c r="M1009" s="121" t="n">
        <v>-0.1509566807675905</v>
      </c>
      <c r="N1009" t="n">
        <v>44.88755500136904</v>
      </c>
      <c r="O1009" t="n">
        <v>-0.309186648036081</v>
      </c>
      <c r="P1009" t="n">
        <v>151.8271768437452</v>
      </c>
      <c r="Q1009" t="n">
        <v>155.7450969216836</v>
      </c>
    </row>
    <row r="1010">
      <c r="A1010" s="118" t="n">
        <v>45903</v>
      </c>
      <c r="B1010" s="119" t="n">
        <v>72.78923655363829</v>
      </c>
      <c r="C1010" s="119" t="n">
        <v>73.55234830758148</v>
      </c>
      <c r="D1010" s="119" t="n">
        <v>72.30984717614893</v>
      </c>
      <c r="E1010" s="119" t="n">
        <v>73.12187194824219</v>
      </c>
      <c r="F1010" s="120" t="n">
        <v>8300100</v>
      </c>
      <c r="G1010" s="121" t="n">
        <v>0.006057297912932524</v>
      </c>
      <c r="H1010" s="122" t="n">
        <v>47.58460786090368</v>
      </c>
      <c r="I1010" s="119" t="n">
        <v>72.55549362182617</v>
      </c>
      <c r="J1010" s="119" t="n">
        <v>68.06673242568969</v>
      </c>
      <c r="K1010" s="121" t="n">
        <v>0.235648208033208</v>
      </c>
      <c r="L1010" s="121" t="n">
        <v>-0.0518878148249966</v>
      </c>
      <c r="M1010" s="121" t="n">
        <v>-0.1458137724420148</v>
      </c>
      <c r="N1010" t="n">
        <v>46.8117845093266</v>
      </c>
      <c r="O1010" t="n">
        <v>-0.4140597121330236</v>
      </c>
      <c r="P1010" t="n">
        <v>152.6500111581414</v>
      </c>
      <c r="Q1010" t="n">
        <v>156.9704453774593</v>
      </c>
    </row>
    <row r="1011">
      <c r="A1011" s="118" t="n">
        <v>45904</v>
      </c>
      <c r="B1011" s="119" t="n">
        <v>73.13165760876444</v>
      </c>
      <c r="C1011" s="119" t="n">
        <v>74.12957125776539</v>
      </c>
      <c r="D1011" s="119" t="n">
        <v>72.89685571444967</v>
      </c>
      <c r="E1011" s="119" t="n">
        <v>73.71866607666016</v>
      </c>
      <c r="F1011" s="120" t="n">
        <v>11096200</v>
      </c>
      <c r="G1011" s="121" t="n">
        <v>0.008161636354720114</v>
      </c>
      <c r="H1011" s="122" t="n">
        <v>47.97297612634633</v>
      </c>
      <c r="I1011" s="119" t="n">
        <v>72.83427520751952</v>
      </c>
      <c r="J1011" s="119" t="n">
        <v>68.06913461685181</v>
      </c>
      <c r="K1011" s="121" t="n">
        <v>0.2314951681761679</v>
      </c>
      <c r="L1011" s="121" t="n">
        <v>-0.04414966794611919</v>
      </c>
      <c r="M1011" s="121" t="n">
        <v>-0.1388422150734762</v>
      </c>
      <c r="N1011" t="n">
        <v>49.39129965597149</v>
      </c>
      <c r="O1011" t="n">
        <v>-0.4300079665953597</v>
      </c>
      <c r="P1011" t="n">
        <v>153.9257709178572</v>
      </c>
      <c r="Q1011" t="n">
        <v>158.3912457016926</v>
      </c>
    </row>
    <row r="1012">
      <c r="A1012" s="118" t="n">
        <v>45905</v>
      </c>
      <c r="B1012" s="119" t="n">
        <v>73.18058350918903</v>
      </c>
      <c r="C1012" s="119" t="n">
        <v>73.77737761059569</v>
      </c>
      <c r="D1012" s="119" t="n">
        <v>72.03590832819474</v>
      </c>
      <c r="E1012" s="119" t="n">
        <v>72.30985260009766</v>
      </c>
      <c r="F1012" s="120" t="n">
        <v>13758400</v>
      </c>
      <c r="G1012" s="121" t="n">
        <v>-0.01911067510496556</v>
      </c>
      <c r="H1012" s="122" t="n">
        <v>47.05618016577746</v>
      </c>
      <c r="I1012" s="119" t="n">
        <v>73.09636528015136</v>
      </c>
      <c r="J1012" s="119" t="n">
        <v>68.06851255416871</v>
      </c>
      <c r="K1012" s="121" t="n">
        <v>0.2355420796343789</v>
      </c>
      <c r="L1012" s="121" t="n">
        <v>-0.06241661309097435</v>
      </c>
      <c r="M1012" s="121" t="n">
        <v>-0.1552995217153188</v>
      </c>
      <c r="N1012" t="n">
        <v>43.97011830183846</v>
      </c>
      <c r="O1012" t="n">
        <v>-0.5163969560336722</v>
      </c>
      <c r="P1012" t="n">
        <v>153.4799574161396</v>
      </c>
      <c r="Q1012" t="n">
        <v>158.6197963831946</v>
      </c>
    </row>
    <row r="1013">
      <c r="A1013" s="118" t="n">
        <v>45908</v>
      </c>
      <c r="B1013" s="119" t="n">
        <v>72.65227394459478</v>
      </c>
      <c r="C1013" s="119" t="n">
        <v>72.96534564970874</v>
      </c>
      <c r="D1013" s="119" t="n">
        <v>72.11417845257787</v>
      </c>
      <c r="E1013" s="119" t="n">
        <v>72.54465484619141</v>
      </c>
      <c r="F1013" s="120" t="n">
        <v>13793300</v>
      </c>
      <c r="G1013" s="121" t="n">
        <v>0.003247168091909947</v>
      </c>
      <c r="H1013" s="122" t="n">
        <v>47.20897949253894</v>
      </c>
      <c r="I1013" s="119" t="n">
        <v>73.3298648071289</v>
      </c>
      <c r="J1013" s="119" t="n">
        <v>68.06437463760376</v>
      </c>
      <c r="K1013" s="121" t="n">
        <v>0.2356471418596991</v>
      </c>
      <c r="L1013" s="121" t="n">
        <v>-0.05937212223349853</v>
      </c>
      <c r="M1013" s="121" t="n">
        <v>-0.1525566372750117</v>
      </c>
      <c r="N1013" t="n">
        <v>45.05260855471742</v>
      </c>
      <c r="O1013" t="n">
        <v>-0.5363394911606506</v>
      </c>
      <c r="P1013" t="n">
        <v>153.8570074960758</v>
      </c>
      <c r="Q1013" t="n">
        <v>159.3935149124083</v>
      </c>
    </row>
    <row r="1014">
      <c r="A1014" s="118" t="n">
        <v>45909</v>
      </c>
      <c r="B1014" s="119" t="n">
        <v>72.38811719684874</v>
      </c>
      <c r="C1014" s="119" t="n">
        <v>72.93599829360964</v>
      </c>
      <c r="D1014" s="119" t="n">
        <v>71.46847323711221</v>
      </c>
      <c r="E1014" s="119" t="n">
        <v>72.00656127929688</v>
      </c>
      <c r="F1014" s="120" t="n">
        <v>8740200</v>
      </c>
      <c r="G1014" s="121" t="n">
        <v>-0.007417411634742632</v>
      </c>
      <c r="H1014" s="122" t="n">
        <v>46.85881105878666</v>
      </c>
      <c r="I1014" s="119" t="n">
        <v>73.36767700195313</v>
      </c>
      <c r="J1014" s="119" t="n">
        <v>68.06601675033569</v>
      </c>
      <c r="K1014" s="121" t="n">
        <v>0.2371034226205844</v>
      </c>
      <c r="L1014" s="121" t="n">
        <v>-0.06634914639800693</v>
      </c>
      <c r="M1014" s="121" t="n">
        <v>-0.1588424735334735</v>
      </c>
      <c r="N1014" t="n">
        <v>43.00222345606631</v>
      </c>
      <c r="O1014" t="n">
        <v>-0.5616912343308662</v>
      </c>
      <c r="P1014" t="n">
        <v>154.2126924779484</v>
      </c>
      <c r="Q1014" t="n">
        <v>159.8451279518208</v>
      </c>
    </row>
    <row r="1015">
      <c r="A1015" s="118" t="n">
        <v>45910</v>
      </c>
      <c r="B1015" s="119" t="n">
        <v>73.62083655977088</v>
      </c>
      <c r="C1015" s="119" t="n">
        <v>73.82628916144083</v>
      </c>
      <c r="D1015" s="119" t="n">
        <v>71.74240637517312</v>
      </c>
      <c r="E1015" s="119" t="n">
        <v>72.64248657226562</v>
      </c>
      <c r="F1015" s="120" t="n">
        <v>11359300</v>
      </c>
      <c r="G1015" s="121" t="n">
        <v>0.008831490931807462</v>
      </c>
      <c r="H1015" s="122" t="n">
        <v>47.2726442237276</v>
      </c>
      <c r="I1015" s="119" t="n">
        <v>73.43767364501953</v>
      </c>
      <c r="J1015" s="119" t="n">
        <v>68.07552827835083</v>
      </c>
      <c r="K1015" s="121" t="n">
        <v>0.2353257356396778</v>
      </c>
      <c r="L1015" s="121" t="n">
        <v>-0.05810361735094682</v>
      </c>
      <c r="M1015" s="121" t="n">
        <v>-0.1514137984662627</v>
      </c>
      <c r="N1015" t="n">
        <v>46.1229267064416</v>
      </c>
      <c r="O1015" t="n">
        <v>-0.5129010351842345</v>
      </c>
      <c r="P1015" t="n">
        <v>154.6584913460372</v>
      </c>
      <c r="Q1015" t="n">
        <v>159.8974443410105</v>
      </c>
    </row>
    <row r="1016">
      <c r="A1016" s="118" t="n">
        <v>45911</v>
      </c>
      <c r="B1016" s="119" t="n">
        <v>72.79902632135538</v>
      </c>
      <c r="C1016" s="119" t="n">
        <v>73.89477353279437</v>
      </c>
      <c r="D1016" s="119" t="n">
        <v>72.40768483260514</v>
      </c>
      <c r="E1016" s="119" t="n">
        <v>72.72075653076172</v>
      </c>
      <c r="F1016" s="120" t="n">
        <v>9803400</v>
      </c>
      <c r="G1016" s="121" t="n">
        <v>0.001077468051953634</v>
      </c>
      <c r="H1016" s="122" t="n">
        <v>47.32357898761004</v>
      </c>
      <c r="I1016" s="119" t="n">
        <v>73.46310165405274</v>
      </c>
      <c r="J1016" s="119" t="n">
        <v>68.08806322097779</v>
      </c>
      <c r="K1016" s="121" t="n">
        <v>0.2055436034220165</v>
      </c>
      <c r="L1016" s="121" t="n">
        <v>-0.05708875409039171</v>
      </c>
      <c r="M1016" s="121" t="n">
        <v>-0.1504994739447814</v>
      </c>
      <c r="N1016" t="n">
        <v>46.51110555608613</v>
      </c>
      <c r="O1016" t="n">
        <v>-0.4546170212758675</v>
      </c>
      <c r="P1016" t="n">
        <v>155.9437483308512</v>
      </c>
      <c r="Q1016" t="n">
        <v>160.8281289249428</v>
      </c>
    </row>
    <row r="1017">
      <c r="A1017" s="118" t="n">
        <v>45912</v>
      </c>
      <c r="B1017" s="119" t="n">
        <v>72.63269991130322</v>
      </c>
      <c r="C1017" s="119" t="n">
        <v>72.67183480593248</v>
      </c>
      <c r="D1017" s="119" t="n">
        <v>70.37271386204361</v>
      </c>
      <c r="E1017" s="119" t="n">
        <v>71.41954803466797</v>
      </c>
      <c r="F1017" s="120" t="n">
        <v>11806000</v>
      </c>
      <c r="G1017" s="121" t="n">
        <v>-0.01789322001268401</v>
      </c>
      <c r="H1017" s="122" t="n">
        <v>46.47680777699711</v>
      </c>
      <c r="I1017" s="119" t="n">
        <v>73.40449737548828</v>
      </c>
      <c r="J1017" s="119" t="n">
        <v>68.08576528549195</v>
      </c>
      <c r="K1017" s="121" t="n">
        <v>0.2114075678822858</v>
      </c>
      <c r="L1017" s="121" t="n">
        <v>-0.07396047246588633</v>
      </c>
      <c r="M1017" s="121" t="n">
        <v>-0.1656997737583782</v>
      </c>
      <c r="N1017" t="n">
        <v>41.19700262692337</v>
      </c>
      <c r="O1017" t="n">
        <v>-0.4804367406270916</v>
      </c>
      <c r="P1017" t="n">
        <v>155.8915501768834</v>
      </c>
      <c r="Q1017" t="n">
        <v>161.5385206434847</v>
      </c>
    </row>
    <row r="1018">
      <c r="A1018" s="118" t="n">
        <v>45915</v>
      </c>
      <c r="B1018" s="119" t="n">
        <v>71.59565230623927</v>
      </c>
      <c r="C1018" s="119" t="n">
        <v>71.62500161155759</v>
      </c>
      <c r="D1018" s="119" t="n">
        <v>71.00864380721896</v>
      </c>
      <c r="E1018" s="119" t="n">
        <v>71.44889831542969</v>
      </c>
      <c r="F1018" s="120" t="n">
        <v>10323800</v>
      </c>
      <c r="G1018" s="121" t="n">
        <v>0.0004109558456946161</v>
      </c>
      <c r="H1018" s="122" t="n">
        <v>46.49590769284229</v>
      </c>
      <c r="I1018" s="119" t="n">
        <v>73.34648010253906</v>
      </c>
      <c r="J1018" s="119" t="n">
        <v>68.07260732650757</v>
      </c>
      <c r="K1018" s="121" t="n">
        <v>0.2086386037212614</v>
      </c>
      <c r="L1018" s="121" t="n">
        <v>-0.07357991110870177</v>
      </c>
      <c r="M1018" s="121" t="n">
        <v>-0.1653569132033398</v>
      </c>
      <c r="N1018" t="n">
        <v>41.3597519351505</v>
      </c>
      <c r="O1018" t="n">
        <v>-0.4716093730466528</v>
      </c>
      <c r="P1018" t="n">
        <v>156.7215257021392</v>
      </c>
      <c r="Q1018" t="n">
        <v>162.9208182668295</v>
      </c>
    </row>
    <row r="1019">
      <c r="A1019" s="118" t="n">
        <v>45916</v>
      </c>
      <c r="B1019" s="119" t="n">
        <v>71.22387775748686</v>
      </c>
      <c r="C1019" s="119" t="n">
        <v>71.79131504302825</v>
      </c>
      <c r="D1019" s="119" t="n">
        <v>70.5292427399647</v>
      </c>
      <c r="E1019" s="119" t="n">
        <v>71.17495727539062</v>
      </c>
      <c r="F1019" s="120" t="n">
        <v>8813600</v>
      </c>
      <c r="G1019" s="121" t="n">
        <v>-0.003834083470814043</v>
      </c>
      <c r="H1019" s="122" t="n">
        <v>46.31763850169667</v>
      </c>
      <c r="I1019" s="119" t="n">
        <v>73.2802587890625</v>
      </c>
      <c r="J1019" s="119" t="n">
        <v>68.04917848587036</v>
      </c>
      <c r="K1019" s="121" t="n">
        <v>0.206381737519949</v>
      </c>
      <c r="L1019" s="121" t="n">
        <v>-0.07713188305855001</v>
      </c>
      <c r="M1019" s="121" t="n">
        <v>-0.1685570044664562</v>
      </c>
      <c r="N1019" t="n">
        <v>40.24028753765715</v>
      </c>
      <c r="O1019" t="n">
        <v>-0.4598090781899079</v>
      </c>
      <c r="P1019" t="n">
        <v>156.5057382116968</v>
      </c>
      <c r="Q1019" t="n">
        <v>162.7831204497047</v>
      </c>
    </row>
    <row r="1020">
      <c r="A1020" s="118" t="n">
        <v>45917</v>
      </c>
      <c r="B1020" s="119" t="n">
        <v>71.48803201499382</v>
      </c>
      <c r="C1020" s="119" t="n">
        <v>71.73261950751319</v>
      </c>
      <c r="D1020" s="119" t="n">
        <v>70.05964195438683</v>
      </c>
      <c r="E1020" s="119" t="n">
        <v>70.74448394775391</v>
      </c>
      <c r="F1020" s="120" t="n">
        <v>11108700</v>
      </c>
      <c r="G1020" s="121" t="n">
        <v>-0.006048100962971148</v>
      </c>
      <c r="H1020" s="122" t="n">
        <v>46.03750474767201</v>
      </c>
      <c r="I1020" s="119" t="n">
        <v>73.25623367309571</v>
      </c>
      <c r="J1020" s="119" t="n">
        <v>68.03149343490601</v>
      </c>
      <c r="K1020" s="121" t="n">
        <v>0.2061219806855499</v>
      </c>
      <c r="L1020" s="121" t="n">
        <v>-0.08271348260531897</v>
      </c>
      <c r="M1020" s="121" t="n">
        <v>-0.1735856556483981</v>
      </c>
      <c r="N1020" t="n">
        <v>38.47783737067819</v>
      </c>
      <c r="O1020" t="n">
        <v>-0.4557055280745105</v>
      </c>
      <c r="P1020" t="n">
        <v>156.3112865520604</v>
      </c>
      <c r="Q1020" t="n">
        <v>162.4582116930844</v>
      </c>
    </row>
    <row r="1021">
      <c r="A1021" s="118" t="n">
        <v>45918</v>
      </c>
      <c r="B1021" s="119" t="n">
        <v>71.85002483547758</v>
      </c>
      <c r="C1021" s="119" t="n">
        <v>72.00655695070063</v>
      </c>
      <c r="D1021" s="119" t="n">
        <v>70.07920629808632</v>
      </c>
      <c r="E1021" s="119" t="n">
        <v>70.53903198242188</v>
      </c>
      <c r="F1021" s="120" t="n">
        <v>14918400</v>
      </c>
      <c r="G1021" s="121" t="n">
        <v>-0.002904141126872317</v>
      </c>
      <c r="H1021" s="122" t="n">
        <v>45.90380533675572</v>
      </c>
      <c r="I1021" s="119" t="n">
        <v>73.235107421875</v>
      </c>
      <c r="J1021" s="119" t="n">
        <v>68.0092876625061</v>
      </c>
      <c r="K1021" s="121" t="n">
        <v>0.2051592302439339</v>
      </c>
      <c r="L1021" s="121" t="n">
        <v>-0.08537741210561034</v>
      </c>
      <c r="M1021" s="121" t="n">
        <v>-0.1759856795336668</v>
      </c>
      <c r="N1021" t="n">
        <v>37.63071342368764</v>
      </c>
      <c r="O1021" t="n">
        <v>-0.4412422806005168</v>
      </c>
      <c r="P1021" t="n">
        <v>157.041636332373</v>
      </c>
      <c r="Q1021" t="n">
        <v>163.9231043646948</v>
      </c>
    </row>
    <row r="1022">
      <c r="A1022" s="118" t="n">
        <v>45919</v>
      </c>
      <c r="B1022" s="119" t="n">
        <v>70.45097919706168</v>
      </c>
      <c r="C1022" s="119" t="n">
        <v>70.68578108577402</v>
      </c>
      <c r="D1022" s="119" t="n">
        <v>69.20847062984824</v>
      </c>
      <c r="E1022" s="119" t="n">
        <v>69.355224609375</v>
      </c>
      <c r="F1022" s="120" t="n">
        <v>33415600</v>
      </c>
      <c r="G1022" s="121" t="n">
        <v>-0.01678230250369572</v>
      </c>
      <c r="H1022" s="122" t="n">
        <v>45.13343378952352</v>
      </c>
      <c r="I1022" s="119" t="n">
        <v>73.16967102050781</v>
      </c>
      <c r="J1022" s="119" t="n">
        <v>67.97910509109497</v>
      </c>
      <c r="K1022" s="121" t="n">
        <v>0.2112327939863929</v>
      </c>
      <c r="L1022" s="121" t="n">
        <v>-0.1007268850523669</v>
      </c>
      <c r="M1022" s="121" t="n">
        <v>-0.1898145371271102</v>
      </c>
      <c r="N1022" t="n">
        <v>33.10776539906702</v>
      </c>
      <c r="O1022" t="n">
        <v>-0.482474638946926</v>
      </c>
      <c r="P1022" t="n">
        <v>157.8194576045476</v>
      </c>
      <c r="Q1022" t="n">
        <v>165.0327420720109</v>
      </c>
    </row>
    <row r="1023">
      <c r="A1023" s="118" t="n">
        <v>45922</v>
      </c>
      <c r="B1023" s="119" t="n">
        <v>69.25739648495703</v>
      </c>
      <c r="C1023" s="119" t="n">
        <v>70.92058847739845</v>
      </c>
      <c r="D1023" s="119" t="n">
        <v>68.90518989245116</v>
      </c>
      <c r="E1023" s="119" t="n">
        <v>69.73678588867188</v>
      </c>
      <c r="F1023" s="120" t="n">
        <v>12336300</v>
      </c>
      <c r="G1023" s="121" t="n">
        <v>0.005501550625002238</v>
      </c>
      <c r="H1023" s="122" t="n">
        <v>45.38173766039677</v>
      </c>
      <c r="I1023" s="119" t="n">
        <v>73.15060317993164</v>
      </c>
      <c r="J1023" s="119" t="n">
        <v>67.94736715316772</v>
      </c>
      <c r="K1023" s="121" t="n">
        <v>0.1777133368852106</v>
      </c>
      <c r="L1023" s="121" t="n">
        <v>-0.09577948848477913</v>
      </c>
      <c r="M1023" s="121" t="n">
        <v>-0.1853572607874742</v>
      </c>
      <c r="N1023" t="n">
        <v>35.78675898979536</v>
      </c>
      <c r="O1023" t="n">
        <v>-0.4554566279578925</v>
      </c>
      <c r="P1023" t="n">
        <v>158.5660946137265</v>
      </c>
      <c r="Q1023" t="n">
        <v>166.0097481070559</v>
      </c>
    </row>
    <row r="1024">
      <c r="A1024" s="118" t="n">
        <v>45923</v>
      </c>
      <c r="B1024" s="119" t="n">
        <v>70.0205067845706</v>
      </c>
      <c r="C1024" s="119" t="n">
        <v>70.85210276302321</v>
      </c>
      <c r="D1024" s="119" t="n">
        <v>69.1986963957613</v>
      </c>
      <c r="E1024" s="119" t="n">
        <v>69.39436340332031</v>
      </c>
      <c r="F1024" s="120" t="n">
        <v>10432400</v>
      </c>
      <c r="G1024" s="121" t="n">
        <v>-0.004910213182153345</v>
      </c>
      <c r="H1024" s="122" t="n">
        <v>45.15890365390766</v>
      </c>
      <c r="I1024" s="119" t="n">
        <v>73.13208374023438</v>
      </c>
      <c r="J1024" s="119" t="n">
        <v>67.91502332687378</v>
      </c>
      <c r="K1024" s="121" t="n">
        <v>0.1692592120842513</v>
      </c>
      <c r="L1024" s="121" t="n">
        <v>-0.1002194039599946</v>
      </c>
      <c r="M1024" s="121" t="n">
        <v>-0.189357330304301</v>
      </c>
      <c r="N1024" t="n">
        <v>34.45321192396405</v>
      </c>
      <c r="O1024" t="n">
        <v>-0.4322418111972232</v>
      </c>
      <c r="P1024" t="n">
        <v>157.7029592855857</v>
      </c>
      <c r="Q1024" t="n">
        <v>164.9070679053389</v>
      </c>
    </row>
    <row r="1025">
      <c r="A1025" s="118" t="n">
        <v>45924</v>
      </c>
      <c r="B1025" s="119" t="n">
        <v>69.13998986360284</v>
      </c>
      <c r="C1025" s="119" t="n">
        <v>69.98137142611895</v>
      </c>
      <c r="D1025" s="119" t="n">
        <v>68.92475167818459</v>
      </c>
      <c r="E1025" s="119" t="n">
        <v>69.67808532714844</v>
      </c>
      <c r="F1025" s="120" t="n">
        <v>10024500</v>
      </c>
      <c r="G1025" s="121" t="n">
        <v>0.004088544226267032</v>
      </c>
      <c r="H1025" s="122" t="n">
        <v>45.3435378287064</v>
      </c>
      <c r="I1025" s="119" t="n">
        <v>73.12429977416993</v>
      </c>
      <c r="J1025" s="119" t="n">
        <v>67.88645502090453</v>
      </c>
      <c r="K1025" s="121" t="n">
        <v>0.172289598698903</v>
      </c>
      <c r="L1025" s="121" t="n">
        <v>-0.09654061119914825</v>
      </c>
      <c r="M1025" s="121" t="n">
        <v>-0.1860429818975509</v>
      </c>
      <c r="N1025" t="n">
        <v>36.56255380258774</v>
      </c>
      <c r="O1025" t="n">
        <v>-0.3716834820264755</v>
      </c>
      <c r="P1025" t="n">
        <v>157.201186787296</v>
      </c>
      <c r="Q1025" t="n">
        <v>164.3281426457518</v>
      </c>
    </row>
    <row r="1026">
      <c r="A1026" s="118" t="n">
        <v>45925</v>
      </c>
      <c r="B1026" s="119" t="n">
        <v>69.61938920057813</v>
      </c>
      <c r="C1026" s="119" t="n">
        <v>69.61938920057813</v>
      </c>
      <c r="D1026" s="119" t="n">
        <v>67.55507011477485</v>
      </c>
      <c r="E1026" s="119" t="n">
        <v>67.74095153808594</v>
      </c>
      <c r="F1026" s="120" t="n">
        <v>13075300</v>
      </c>
      <c r="G1026" s="121" t="n">
        <v>-0.02780119143583504</v>
      </c>
      <c r="H1026" s="122" t="n">
        <v>44.08293345315251</v>
      </c>
      <c r="I1026" s="119" t="n">
        <v>73.07563201904297</v>
      </c>
      <c r="J1026" s="119" t="n">
        <v>67.84719091415406</v>
      </c>
      <c r="K1026" s="121" t="n">
        <v>0.1908389687379722</v>
      </c>
      <c r="L1026" s="121" t="n">
        <v>-0.1216578586217031</v>
      </c>
      <c r="M1026" s="121" t="n">
        <v>-0.2086719567783585</v>
      </c>
      <c r="N1026" t="n">
        <v>29.56658154538276</v>
      </c>
      <c r="O1026" t="n">
        <v>-0.431776211857555</v>
      </c>
      <c r="P1026" t="n">
        <v>156.4759587770671</v>
      </c>
      <c r="Q1026" t="n">
        <v>163.6196760622543</v>
      </c>
    </row>
    <row r="1027">
      <c r="A1027" s="118" t="n">
        <v>45926</v>
      </c>
      <c r="B1027" s="119" t="n">
        <v>67.87791718167053</v>
      </c>
      <c r="C1027" s="119" t="n">
        <v>67.93662325463075</v>
      </c>
      <c r="D1027" s="119" t="n">
        <v>66.55714623544138</v>
      </c>
      <c r="E1027" s="119" t="n">
        <v>67.80943298339844</v>
      </c>
      <c r="F1027" s="120" t="n">
        <v>15627600</v>
      </c>
      <c r="G1027" s="121" t="n">
        <v>0.0010109312573503</v>
      </c>
      <c r="H1027" s="122" t="n">
        <v>44.12749826849599</v>
      </c>
      <c r="I1027" s="119" t="n">
        <v>73.01120391845703</v>
      </c>
      <c r="J1027" s="119" t="n">
        <v>67.80677820205689</v>
      </c>
      <c r="K1027" s="121" t="n">
        <v>0.1918475509488536</v>
      </c>
      <c r="L1027" s="121" t="n">
        <v>-0.1207699150963358</v>
      </c>
      <c r="M1027" s="121" t="n">
        <v>-0.2078719785246479</v>
      </c>
      <c r="N1027" t="n">
        <v>30.07595473886259</v>
      </c>
      <c r="O1027" t="n">
        <v>-0.4353627437742049</v>
      </c>
      <c r="P1027" t="n">
        <v>157.3724148780099</v>
      </c>
      <c r="Q1027" t="n">
        <v>164.2923081144863</v>
      </c>
    </row>
    <row r="1028">
      <c r="A1028" s="118" t="n">
        <v>45929</v>
      </c>
      <c r="B1028" s="119" t="n">
        <v>68.25948123416173</v>
      </c>
      <c r="C1028" s="119" t="n">
        <v>68.44537013637802</v>
      </c>
      <c r="D1028" s="119" t="n">
        <v>67.25178185435085</v>
      </c>
      <c r="E1028" s="119" t="n">
        <v>68.04425048828125</v>
      </c>
      <c r="F1028" s="120" t="n">
        <v>18479300</v>
      </c>
      <c r="G1028" s="121" t="n">
        <v>0.003462903235605941</v>
      </c>
      <c r="H1028" s="122" t="n">
        <v>44.28030752502916</v>
      </c>
      <c r="I1028" s="119" t="n">
        <v>72.9613996887207</v>
      </c>
      <c r="J1028" s="119" t="n">
        <v>67.77355207443237</v>
      </c>
      <c r="K1028" s="121" t="n">
        <v>0.1943399372110775</v>
      </c>
      <c r="L1028" s="121" t="n">
        <v>-0.1177252263904809</v>
      </c>
      <c r="M1028" s="121" t="n">
        <v>-0.2051289158360668</v>
      </c>
      <c r="N1028" t="n">
        <v>31.89473503384575</v>
      </c>
      <c r="O1028" t="n">
        <v>-0.3917368151271932</v>
      </c>
      <c r="P1028" t="n">
        <v>157.8147016751841</v>
      </c>
      <c r="Q1028" t="n">
        <v>165.0531586357715</v>
      </c>
    </row>
    <row r="1029">
      <c r="A1029" s="118" t="n">
        <v>45930</v>
      </c>
      <c r="B1029" s="119" t="n">
        <v>68.55297993995462</v>
      </c>
      <c r="C1029" s="119" t="n">
        <v>68.68994833430277</v>
      </c>
      <c r="D1029" s="119" t="n">
        <v>67.3300425159764</v>
      </c>
      <c r="E1029" s="119" t="n">
        <v>68.22034454345703</v>
      </c>
      <c r="F1029" s="120" t="n">
        <v>40567700</v>
      </c>
      <c r="G1029" s="121" t="n">
        <v>0.002587934379644663</v>
      </c>
      <c r="H1029" s="122" t="n">
        <v>44.39490205521442</v>
      </c>
      <c r="I1029" s="119" t="n">
        <v>72.88494522094726</v>
      </c>
      <c r="J1029" s="119" t="n">
        <v>67.74553537368774</v>
      </c>
      <c r="K1029" s="121" t="n">
        <v>0.1606060606419612</v>
      </c>
      <c r="L1029" s="121" t="n">
        <v>-0.1154419571715635</v>
      </c>
      <c r="M1029" s="121" t="n">
        <v>-0.2030718416299735</v>
      </c>
      <c r="N1029" t="n">
        <v>33.29595012686887</v>
      </c>
      <c r="O1029" t="n">
        <v>-0.3236607200540937</v>
      </c>
      <c r="P1029" t="n">
        <v>158.4091635783607</v>
      </c>
      <c r="Q1029" t="n">
        <v>165.5052782896693</v>
      </c>
    </row>
    <row r="1030">
      <c r="A1030" s="118" t="n">
        <v>45931</v>
      </c>
      <c r="B1030" s="119" t="n">
        <v>72.74032088713273</v>
      </c>
      <c r="C1030" s="119" t="n">
        <v>73.07296376797728</v>
      </c>
      <c r="D1030" s="119" t="n">
        <v>70.05964398153699</v>
      </c>
      <c r="E1030" s="119" t="n">
        <v>72.59356689453125</v>
      </c>
      <c r="F1030" s="120" t="n">
        <v>57921900</v>
      </c>
      <c r="G1030" s="121" t="n">
        <v>0.0641043720951664</v>
      </c>
      <c r="H1030" s="122" t="n">
        <v>47.24080937569035</v>
      </c>
      <c r="I1030" s="119" t="n">
        <v>72.86928680419922</v>
      </c>
      <c r="J1030" s="119" t="n">
        <v>67.72923574447631</v>
      </c>
      <c r="K1030" s="121" t="n">
        <v>0.2870017424761891</v>
      </c>
      <c r="L1030" s="121" t="n">
        <v>-0.05873791925431737</v>
      </c>
      <c r="M1030" s="121" t="n">
        <v>-0.149035712298999</v>
      </c>
      <c r="N1030" t="n">
        <v>56.97226660407977</v>
      </c>
      <c r="O1030" t="n">
        <v>0.02476021510039983</v>
      </c>
      <c r="P1030" t="n">
        <v>158.9489542443006</v>
      </c>
      <c r="Q1030" t="n">
        <v>166.2991938497</v>
      </c>
    </row>
    <row r="1031">
      <c r="A1031" s="118" t="n">
        <v>45932</v>
      </c>
      <c r="B1031" s="119" t="n">
        <v>73.37624957297592</v>
      </c>
      <c r="C1031" s="119" t="n">
        <v>75.30360025603431</v>
      </c>
      <c r="D1031" s="119" t="n">
        <v>72.2804948922343</v>
      </c>
      <c r="E1031" s="119" t="n">
        <v>72.95555877685547</v>
      </c>
      <c r="F1031" s="120" t="n">
        <v>26254400</v>
      </c>
      <c r="G1031" s="121" t="n">
        <v>0.004986555941659976</v>
      </c>
      <c r="H1031" s="122" t="n">
        <v>47.47637831437153</v>
      </c>
      <c r="I1031" s="119" t="n">
        <v>72.83439498901367</v>
      </c>
      <c r="J1031" s="119" t="n">
        <v>67.71902700424194</v>
      </c>
      <c r="K1031" s="121" t="n">
        <v>0.2859927754559033</v>
      </c>
      <c r="L1031" s="121" t="n">
        <v>-0.05404426323291567</v>
      </c>
      <c r="M1031" s="121" t="n">
        <v>-0.1447923312740231</v>
      </c>
      <c r="N1031" t="n">
        <v>58.2919323945706</v>
      </c>
      <c r="O1031" t="n">
        <v>0.2745872725881779</v>
      </c>
      <c r="P1031" t="n">
        <v>159.1320209407222</v>
      </c>
      <c r="Q1031" t="n">
        <v>166.9828532105636</v>
      </c>
    </row>
    <row r="1032">
      <c r="A1032" s="118" t="n">
        <v>45933</v>
      </c>
      <c r="B1032" s="119" t="n">
        <v>73.16100700586584</v>
      </c>
      <c r="C1032" s="119" t="n">
        <v>73.16100700586584</v>
      </c>
      <c r="D1032" s="119" t="n">
        <v>70.36292559230155</v>
      </c>
      <c r="E1032" s="119" t="n">
        <v>70.37271118164062</v>
      </c>
      <c r="F1032" s="120" t="n">
        <v>18794900</v>
      </c>
      <c r="G1032" s="121" t="n">
        <v>-0.03540302669896389</v>
      </c>
      <c r="H1032" s="122" t="n">
        <v>45.79557082533773</v>
      </c>
      <c r="I1032" s="119" t="n">
        <v>72.77373580932617</v>
      </c>
      <c r="J1032" s="119" t="n">
        <v>67.69931909561157</v>
      </c>
      <c r="K1032" s="121" t="n">
        <v>0.3053455031900609</v>
      </c>
      <c r="L1032" s="121" t="n">
        <v>-0.0875339594377188</v>
      </c>
      <c r="M1032" s="121" t="n">
        <v>-0.124063882168879</v>
      </c>
      <c r="N1032" t="n">
        <v>47.17443928337613</v>
      </c>
      <c r="O1032" t="n">
        <v>0.2609626347500237</v>
      </c>
      <c r="P1032" t="n">
        <v>159.1296649264837</v>
      </c>
      <c r="Q1032" t="n">
        <v>166.2799087249567</v>
      </c>
    </row>
    <row r="1033">
      <c r="A1033" s="118" t="n">
        <v>45936</v>
      </c>
      <c r="B1033" s="119" t="n">
        <v>70.46076163197728</v>
      </c>
      <c r="C1033" s="119" t="n">
        <v>70.82275380839046</v>
      </c>
      <c r="D1033" s="119" t="n">
        <v>69.47263353543669</v>
      </c>
      <c r="E1033" s="119" t="n">
        <v>69.62916564941406</v>
      </c>
      <c r="F1033" s="120" t="n">
        <v>14039600</v>
      </c>
      <c r="G1033" s="121" t="n">
        <v>-0.01056582188950173</v>
      </c>
      <c r="H1033" s="122" t="n">
        <v>45.31170298066915</v>
      </c>
      <c r="I1033" s="119" t="n">
        <v>72.68165969848633</v>
      </c>
      <c r="J1033" s="119" t="n">
        <v>67.67613393783569</v>
      </c>
      <c r="K1033" s="121" t="n">
        <v>0.306620703252226</v>
      </c>
      <c r="L1033" s="121" t="n">
        <v>-0.09717491310251869</v>
      </c>
      <c r="M1033" s="121" t="n">
        <v>-0.1333188671764641</v>
      </c>
      <c r="N1033" t="n">
        <v>44.54083659139822</v>
      </c>
      <c r="O1033" t="n">
        <v>0.1997109783012045</v>
      </c>
      <c r="P1033" t="n">
        <v>159.700347182843</v>
      </c>
      <c r="Q1033" t="n">
        <v>167.5286965442558</v>
      </c>
    </row>
    <row r="1034">
      <c r="A1034" s="118" t="n">
        <v>45937</v>
      </c>
      <c r="B1034" s="119" t="n">
        <v>69.68787002882179</v>
      </c>
      <c r="C1034" s="119" t="n">
        <v>70.03029101752531</v>
      </c>
      <c r="D1034" s="119" t="n">
        <v>67.40831286025329</v>
      </c>
      <c r="E1034" s="119" t="n">
        <v>67.41809844970703</v>
      </c>
      <c r="F1034" s="120" t="n">
        <v>17368000</v>
      </c>
      <c r="G1034" s="121" t="n">
        <v>-0.03175490010665716</v>
      </c>
      <c r="H1034" s="122" t="n">
        <v>43.87283437885548</v>
      </c>
      <c r="I1034" s="119" t="n">
        <v>72.48754867553711</v>
      </c>
      <c r="J1034" s="119" t="n">
        <v>67.63804536819458</v>
      </c>
      <c r="K1034" s="121" t="n">
        <v>0.3241258993745162</v>
      </c>
      <c r="L1034" s="121" t="n">
        <v>-0.1258440335507323</v>
      </c>
      <c r="M1034" s="121" t="n">
        <v>-0.1608402399736001</v>
      </c>
      <c r="N1034" t="n">
        <v>37.78549012954127</v>
      </c>
      <c r="O1034" t="n">
        <v>0.01770955618316605</v>
      </c>
      <c r="P1034" t="n">
        <v>159.1082559275337</v>
      </c>
      <c r="Q1034" t="n">
        <v>166.6465456280224</v>
      </c>
    </row>
    <row r="1035">
      <c r="A1035" s="118" t="n">
        <v>45938</v>
      </c>
      <c r="B1035" s="119" t="n">
        <v>67.41809668463229</v>
      </c>
      <c r="C1035" s="119" t="n">
        <v>67.92683535964142</v>
      </c>
      <c r="D1035" s="119" t="n">
        <v>67.1832873291965</v>
      </c>
      <c r="E1035" s="119" t="n">
        <v>67.59419250488281</v>
      </c>
      <c r="F1035" s="120" t="n">
        <v>13051800</v>
      </c>
      <c r="G1035" s="121" t="n">
        <v>0.002611970067757818</v>
      </c>
      <c r="H1035" s="122" t="n">
        <v>43.98742890904075</v>
      </c>
      <c r="I1035" s="119" t="n">
        <v>72.31467346191407</v>
      </c>
      <c r="J1035" s="119" t="n">
        <v>67.60612829208374</v>
      </c>
      <c r="K1035" s="121" t="n">
        <v>0.3218351989693785</v>
      </c>
      <c r="L1035" s="121" t="n">
        <v>-0.1235607643318147</v>
      </c>
      <c r="M1035" s="121" t="n">
        <v>-0.1586483797983443</v>
      </c>
      <c r="N1035" t="n">
        <v>38.58439565247095</v>
      </c>
      <c r="O1035" t="n">
        <v>-0.07813197367225722</v>
      </c>
      <c r="P1035" t="n">
        <v>160.0570272514747</v>
      </c>
      <c r="Q1035" t="n">
        <v>168.5569719652208</v>
      </c>
    </row>
    <row r="1036">
      <c r="A1036" s="118" t="n">
        <v>45939</v>
      </c>
      <c r="B1036" s="119" t="n">
        <v>68.04424122884124</v>
      </c>
      <c r="C1036" s="119" t="n">
        <v>68.15186031924604</v>
      </c>
      <c r="D1036" s="119" t="n">
        <v>66.42017674761797</v>
      </c>
      <c r="E1036" s="119" t="n">
        <v>66.58649444580078</v>
      </c>
      <c r="F1036" s="120" t="n">
        <v>13410900</v>
      </c>
      <c r="G1036" s="121" t="n">
        <v>-0.01490805676847518</v>
      </c>
      <c r="H1036" s="122" t="n">
        <v>43.33166182176551</v>
      </c>
      <c r="I1036" s="119" t="n">
        <v>72.15376281738281</v>
      </c>
      <c r="J1036" s="119" t="n">
        <v>67.56821077346802</v>
      </c>
      <c r="K1036" s="121" t="n">
        <v>0.3238794653500369</v>
      </c>
      <c r="L1036" s="121" t="n">
        <v>-0.136626770211275</v>
      </c>
      <c r="M1036" s="121" t="n">
        <v>-0.1711912975145592</v>
      </c>
      <c r="N1036" t="n">
        <v>35.75489585281949</v>
      </c>
      <c r="O1036" t="n">
        <v>-0.1903147494915634</v>
      </c>
      <c r="P1036" t="n">
        <v>159.5933460889792</v>
      </c>
      <c r="Q1036" t="n">
        <v>168.3529583119604</v>
      </c>
    </row>
    <row r="1037">
      <c r="A1037" s="118" t="n">
        <v>45940</v>
      </c>
      <c r="B1037" s="119" t="n">
        <v>66.70390227289971</v>
      </c>
      <c r="C1037" s="119" t="n">
        <v>67.00718837968644</v>
      </c>
      <c r="D1037" s="119" t="n">
        <v>63.4753443368562</v>
      </c>
      <c r="E1037" s="119" t="n">
        <v>63.80798721313477</v>
      </c>
      <c r="F1037" s="120" t="n">
        <v>18806100</v>
      </c>
      <c r="G1037" s="121" t="n">
        <v>-0.04172778963349133</v>
      </c>
      <c r="H1037" s="122" t="n">
        <v>41.52352735279729</v>
      </c>
      <c r="I1037" s="119" t="n">
        <v>71.97601890563965</v>
      </c>
      <c r="J1037" s="119" t="n">
        <v>67.51717029571533</v>
      </c>
      <c r="K1037" s="121" t="n">
        <v>0.3474363306560332</v>
      </c>
      <c r="L1037" s="121" t="n">
        <v>-0.1726534267190869</v>
      </c>
      <c r="M1037" s="121" t="n">
        <v>-0.2057756526982786</v>
      </c>
      <c r="N1037" t="n">
        <v>29.36137425044059</v>
      </c>
      <c r="O1037" t="n">
        <v>-0.4194342339310086</v>
      </c>
      <c r="P1037" t="n">
        <v>155.2798791262255</v>
      </c>
      <c r="Q1037" t="n">
        <v>162.5087211572762</v>
      </c>
    </row>
    <row r="1038">
      <c r="A1038" s="118" t="n">
        <v>45943</v>
      </c>
      <c r="B1038" s="119" t="n">
        <v>64.27758317025649</v>
      </c>
      <c r="C1038" s="119" t="n">
        <v>66.05817962669263</v>
      </c>
      <c r="D1038" s="119" t="n">
        <v>64.13083666182209</v>
      </c>
      <c r="E1038" s="119" t="n">
        <v>65.92121124267578</v>
      </c>
      <c r="F1038" s="120" t="n">
        <v>13191200</v>
      </c>
      <c r="G1038" s="121" t="n">
        <v>0.03311848754110236</v>
      </c>
      <c r="H1038" s="122" t="n">
        <v>42.89872377609353</v>
      </c>
      <c r="I1038" s="119" t="n">
        <v>71.84190223693848</v>
      </c>
      <c r="J1038" s="119" t="n">
        <v>67.47756168365478</v>
      </c>
      <c r="K1038" s="121" t="n">
        <v>0.3731319342760996</v>
      </c>
      <c r="L1038" s="121" t="n">
        <v>-0.1452529595397093</v>
      </c>
      <c r="M1038" s="121" t="n">
        <v>-0.1794721435473264</v>
      </c>
      <c r="N1038" t="n">
        <v>38.38551996862456</v>
      </c>
      <c r="O1038" t="n">
        <v>-0.3967017232769037</v>
      </c>
      <c r="P1038" t="n">
        <v>157.6625119355529</v>
      </c>
      <c r="Q1038" t="n">
        <v>165.9573641692682</v>
      </c>
    </row>
    <row r="1039">
      <c r="A1039" s="118" t="n">
        <v>45944</v>
      </c>
      <c r="B1039" s="119" t="n">
        <v>65.03092285649932</v>
      </c>
      <c r="C1039" s="119" t="n">
        <v>66.52779709690482</v>
      </c>
      <c r="D1039" s="119" t="n">
        <v>64.62979579117872</v>
      </c>
      <c r="E1039" s="119" t="n">
        <v>66.17559051513672</v>
      </c>
      <c r="F1039" s="120" t="n">
        <v>9483700</v>
      </c>
      <c r="G1039" s="121" t="n">
        <v>0.003858837962253059</v>
      </c>
      <c r="H1039" s="122" t="n">
        <v>43.06426299993291</v>
      </c>
      <c r="I1039" s="119" t="n">
        <v>71.70898002624511</v>
      </c>
      <c r="J1039" s="119" t="n">
        <v>67.43908069610596</v>
      </c>
      <c r="K1039" s="121" t="n">
        <v>0.3741091559962553</v>
      </c>
      <c r="L1039" s="121" t="n">
        <v>-0.1419546292118579</v>
      </c>
      <c r="M1039" s="121" t="n">
        <v>-0.1763058595057607</v>
      </c>
      <c r="N1039" t="n">
        <v>39.38928969972667</v>
      </c>
      <c r="O1039" t="n">
        <v>-0.3350279033789876</v>
      </c>
      <c r="P1039" t="n">
        <v>157.4699041131467</v>
      </c>
      <c r="Q1039" t="n">
        <v>164.8519144750312</v>
      </c>
    </row>
    <row r="1040">
      <c r="A1040" s="118" t="n">
        <v>45945</v>
      </c>
      <c r="B1040" s="119" t="n">
        <v>67.09524128987819</v>
      </c>
      <c r="C1040" s="119" t="n">
        <v>68.02467075568632</v>
      </c>
      <c r="D1040" s="119" t="n">
        <v>66.65497933432349</v>
      </c>
      <c r="E1040" s="119" t="n">
        <v>66.97783660888672</v>
      </c>
      <c r="F1040" s="120" t="n">
        <v>13001500</v>
      </c>
      <c r="G1040" s="121" t="n">
        <v>0.01212299108334358</v>
      </c>
      <c r="H1040" s="122" t="n">
        <v>43.58633067629187</v>
      </c>
      <c r="I1040" s="119" t="n">
        <v>71.60066780090332</v>
      </c>
      <c r="J1040" s="119" t="n">
        <v>67.40388946533203</v>
      </c>
      <c r="K1040" s="121" t="n">
        <v>0.3779271490711395</v>
      </c>
      <c r="L1040" s="121" t="n">
        <v>-0.131552552832689</v>
      </c>
      <c r="M1040" s="121" t="n">
        <v>-0.1663202227851467</v>
      </c>
      <c r="N1040" t="n">
        <v>42.56706296615049</v>
      </c>
      <c r="O1040" t="n">
        <v>-0.2164522918369256</v>
      </c>
      <c r="P1040" t="n">
        <v>158.1689964623197</v>
      </c>
      <c r="Q1040" t="n">
        <v>166.0152364306475</v>
      </c>
    </row>
    <row r="1041">
      <c r="A1041" s="118" t="n">
        <v>45946</v>
      </c>
      <c r="B1041" s="119" t="n">
        <v>67.11480416761049</v>
      </c>
      <c r="C1041" s="119" t="n">
        <v>67.54528052832632</v>
      </c>
      <c r="D1041" s="119" t="n">
        <v>65.13854057964882</v>
      </c>
      <c r="E1041" s="119" t="n">
        <v>65.39290618896484</v>
      </c>
      <c r="F1041" s="120" t="n">
        <v>15349700</v>
      </c>
      <c r="G1041" s="121" t="n">
        <v>-0.02366350572319897</v>
      </c>
      <c r="H1041" s="122" t="n">
        <v>42.55492529088019</v>
      </c>
      <c r="I1041" s="119" t="n">
        <v>71.43924446105957</v>
      </c>
      <c r="J1041" s="119" t="n">
        <v>67.36327476501465</v>
      </c>
      <c r="K1041" s="121" t="n">
        <v>0.3853578490834914</v>
      </c>
      <c r="L1041" s="121" t="n">
        <v>-0.1521030639690302</v>
      </c>
      <c r="M1041" s="121" t="n">
        <v>-0.1860480089645856</v>
      </c>
      <c r="N1041" t="n">
        <v>38.29530764053592</v>
      </c>
      <c r="O1041" t="n">
        <v>-0.2202783588231987</v>
      </c>
      <c r="P1041" t="n">
        <v>157.0918443128225</v>
      </c>
      <c r="Q1041" t="n">
        <v>165.4004935269444</v>
      </c>
    </row>
    <row r="1042">
      <c r="A1042" s="118" t="n">
        <v>45947</v>
      </c>
      <c r="B1042" s="119" t="n">
        <v>65.18745366016505</v>
      </c>
      <c r="C1042" s="119" t="n">
        <v>66.30277199197711</v>
      </c>
      <c r="D1042" s="119" t="n">
        <v>64.88416756803547</v>
      </c>
      <c r="E1042" s="119" t="n">
        <v>65.91143798828125</v>
      </c>
      <c r="F1042" s="120" t="n">
        <v>10054000</v>
      </c>
      <c r="G1042" s="121" t="n">
        <v>0.007929480880051631</v>
      </c>
      <c r="H1042" s="122" t="n">
        <v>42.89236375732625</v>
      </c>
      <c r="I1042" s="119" t="n">
        <v>71.3101880645752</v>
      </c>
      <c r="J1042" s="119" t="n">
        <v>67.33376640319824</v>
      </c>
      <c r="K1042" s="121" t="n">
        <v>0.3840448528839483</v>
      </c>
      <c r="L1042" s="121" t="n">
        <v>-0.1453796814265182</v>
      </c>
      <c r="M1042" s="121" t="n">
        <v>-0.1795937922143903</v>
      </c>
      <c r="N1042" t="n">
        <v>40.40253008822355</v>
      </c>
      <c r="O1042" t="n">
        <v>-0.1658827541447787</v>
      </c>
      <c r="P1042" t="n">
        <v>157.983529850773</v>
      </c>
      <c r="Q1042" t="n">
        <v>166.4866580964381</v>
      </c>
    </row>
    <row r="1043">
      <c r="A1043" s="118" t="n">
        <v>45950</v>
      </c>
      <c r="B1043" s="119" t="n">
        <v>66.09732267272402</v>
      </c>
      <c r="C1043" s="119" t="n">
        <v>66.70390235122778</v>
      </c>
      <c r="D1043" s="119" t="n">
        <v>66.00927475679919</v>
      </c>
      <c r="E1043" s="119" t="n">
        <v>66.15602874755859</v>
      </c>
      <c r="F1043" s="120" t="n">
        <v>9670000</v>
      </c>
      <c r="G1043" s="121" t="n">
        <v>0.003710900061395073</v>
      </c>
      <c r="H1043" s="122" t="n">
        <v>43.05153303262669</v>
      </c>
      <c r="I1043" s="119" t="n">
        <v>71.18913810729981</v>
      </c>
      <c r="J1043" s="119" t="n">
        <v>67.30057479858398</v>
      </c>
      <c r="K1043" s="121" t="n">
        <v>0.3836167686832883</v>
      </c>
      <c r="L1043" s="121" t="n">
        <v>-0.1422082708338545</v>
      </c>
      <c r="M1043" s="121" t="n">
        <v>-0.1712177576034523</v>
      </c>
      <c r="N1043" t="n">
        <v>41.41877865990494</v>
      </c>
      <c r="O1043" t="n">
        <v>-0.09495063793760039</v>
      </c>
      <c r="P1043" t="n">
        <v>159.6266375945235</v>
      </c>
      <c r="Q1043" t="n">
        <v>168.5844980189262</v>
      </c>
    </row>
    <row r="1044">
      <c r="A1044" s="118" t="n">
        <v>45951</v>
      </c>
      <c r="B1044" s="119" t="n">
        <v>66.28321080097258</v>
      </c>
      <c r="C1044" s="119" t="n">
        <v>67.78987065805877</v>
      </c>
      <c r="D1044" s="119" t="n">
        <v>65.95057539232369</v>
      </c>
      <c r="E1044" s="119" t="n">
        <v>66.8800048828125</v>
      </c>
      <c r="F1044" s="120" t="n">
        <v>9659200</v>
      </c>
      <c r="G1044" s="121" t="n">
        <v>0.01094346424596448</v>
      </c>
      <c r="H1044" s="122" t="n">
        <v>43.5226659451032</v>
      </c>
      <c r="I1044" s="119" t="n">
        <v>71.08587684631348</v>
      </c>
      <c r="J1044" s="119" t="n">
        <v>67.28062305450439</v>
      </c>
      <c r="K1044" s="121" t="n">
        <v>0.3863353244045535</v>
      </c>
      <c r="L1044" s="121" t="n">
        <v>-0.1320543205666712</v>
      </c>
      <c r="M1044" s="121" t="n">
        <v>-0.1572978685810517</v>
      </c>
      <c r="N1044" t="n">
        <v>44.43881727395589</v>
      </c>
      <c r="O1044" t="n">
        <v>0.0134375310625614</v>
      </c>
      <c r="P1044" t="n">
        <v>159.6242523130274</v>
      </c>
      <c r="Q1044" t="n">
        <v>168.5404225586985</v>
      </c>
    </row>
    <row r="1045">
      <c r="A1045" s="118" t="n">
        <v>45952</v>
      </c>
      <c r="B1045" s="119" t="n">
        <v>66.7430301256714</v>
      </c>
      <c r="C1045" s="119" t="n">
        <v>67.85834839370247</v>
      </c>
      <c r="D1045" s="119" t="n">
        <v>66.48865706644162</v>
      </c>
      <c r="E1045" s="119" t="n">
        <v>67.58441162109375</v>
      </c>
      <c r="F1045" s="120" t="n">
        <v>8096100</v>
      </c>
      <c r="G1045" s="121" t="n">
        <v>0.01053239663357552</v>
      </c>
      <c r="H1045" s="122" t="n">
        <v>43.98106392538764</v>
      </c>
      <c r="I1045" s="119" t="n">
        <v>70.97957374572754</v>
      </c>
      <c r="J1045" s="119" t="n">
        <v>67.26592498779297</v>
      </c>
      <c r="K1045" s="121" t="n">
        <v>0.3882582047491813</v>
      </c>
      <c r="L1045" s="121" t="n">
        <v>-0.1229127724144812</v>
      </c>
      <c r="M1045" s="121" t="n">
        <v>-0.1403052168301121</v>
      </c>
      <c r="N1045" t="n">
        <v>47.28630255625333</v>
      </c>
      <c r="O1045" t="n">
        <v>0.1383410413385582</v>
      </c>
      <c r="P1045" t="n">
        <v>158.7943792231733</v>
      </c>
      <c r="Q1045" t="n">
        <v>166.9167062459232</v>
      </c>
    </row>
    <row r="1046">
      <c r="A1046" s="118" t="n">
        <v>45953</v>
      </c>
      <c r="B1046" s="119" t="n">
        <v>67.59419451339629</v>
      </c>
      <c r="C1046" s="119" t="n">
        <v>68.37687745967069</v>
      </c>
      <c r="D1046" s="119" t="n">
        <v>67.2517735234829</v>
      </c>
      <c r="E1046" s="119" t="n">
        <v>68.17142486572266</v>
      </c>
      <c r="F1046" s="120" t="n">
        <v>9124900</v>
      </c>
      <c r="G1046" s="121" t="n">
        <v>0.008685630762311769</v>
      </c>
      <c r="H1046" s="122" t="n">
        <v>44.36306720717718</v>
      </c>
      <c r="I1046" s="119" t="n">
        <v>70.84023979187012</v>
      </c>
      <c r="J1046" s="119" t="n">
        <v>67.2604630279541</v>
      </c>
      <c r="K1046" s="121" t="n">
        <v>0.3765809454680386</v>
      </c>
      <c r="L1046" s="121" t="n">
        <v>-0.1152947166093337</v>
      </c>
      <c r="M1046" s="121" t="n">
        <v>-0.1328382253752129</v>
      </c>
      <c r="N1046" t="n">
        <v>49.60419599536127</v>
      </c>
      <c r="O1046" t="n">
        <v>0.2592413134399822</v>
      </c>
      <c r="P1046" t="n">
        <v>159.7360239698834</v>
      </c>
      <c r="Q1046" t="n">
        <v>168.3198763860655</v>
      </c>
    </row>
    <row r="1047">
      <c r="A1047" s="118" t="n">
        <v>45954</v>
      </c>
      <c r="B1047" s="119" t="n">
        <v>68.20077804217524</v>
      </c>
      <c r="C1047" s="119" t="n">
        <v>68.56277023161793</v>
      </c>
      <c r="D1047" s="119" t="n">
        <v>67.41810251568097</v>
      </c>
      <c r="E1047" s="119" t="n">
        <v>67.61376953125</v>
      </c>
      <c r="F1047" s="120" t="n">
        <v>7102900</v>
      </c>
      <c r="G1047" s="121" t="n">
        <v>-0.008180191855620911</v>
      </c>
      <c r="H1047" s="122" t="n">
        <v>44.00016880611867</v>
      </c>
      <c r="I1047" s="119" t="n">
        <v>70.70551994323731</v>
      </c>
      <c r="J1047" s="119" t="n">
        <v>67.25177989959717</v>
      </c>
      <c r="K1047" s="121" t="n">
        <v>0.3778532584979575</v>
      </c>
      <c r="L1047" s="121" t="n">
        <v>-0.1225317755631509</v>
      </c>
      <c r="M1047" s="121" t="n">
        <v>-0.1399317750615043</v>
      </c>
      <c r="N1047" t="n">
        <v>47.4687884259199</v>
      </c>
      <c r="O1047" t="n">
        <v>0.2976537034111939</v>
      </c>
      <c r="P1047" t="n">
        <v>161.0414753624561</v>
      </c>
      <c r="Q1047" t="n">
        <v>170.1172432572777</v>
      </c>
    </row>
    <row r="1048">
      <c r="A1048" s="118" t="n">
        <v>45957</v>
      </c>
      <c r="B1048" s="119" t="n">
        <v>68.52363050332008</v>
      </c>
      <c r="C1048" s="119" t="n">
        <v>68.91497197107859</v>
      </c>
      <c r="D1048" s="119" t="n">
        <v>66.78216880922321</v>
      </c>
      <c r="E1048" s="119" t="n">
        <v>67.10501861572266</v>
      </c>
      <c r="F1048" s="120" t="n">
        <v>9838100</v>
      </c>
      <c r="G1048" s="121" t="n">
        <v>-0.007524368468943443</v>
      </c>
      <c r="H1048" s="122" t="n">
        <v>43.66909532332572</v>
      </c>
      <c r="I1048" s="119" t="n">
        <v>70.54933464050293</v>
      </c>
      <c r="J1048" s="119" t="n">
        <v>67.24440101623536</v>
      </c>
      <c r="K1048" s="121" t="n">
        <v>0.3785771128949041</v>
      </c>
      <c r="L1048" s="121" t="n">
        <v>-0.1291341698036031</v>
      </c>
      <c r="M1048" s="121" t="n">
        <v>-0.1464032452943717</v>
      </c>
      <c r="N1048" t="n">
        <v>45.54257684766304</v>
      </c>
      <c r="O1048" t="n">
        <v>0.2847931987315018</v>
      </c>
      <c r="P1048" t="n">
        <v>162.9413886582054</v>
      </c>
      <c r="Q1048" t="n">
        <v>173.1468992027153</v>
      </c>
    </row>
    <row r="1049">
      <c r="A1049" s="118" t="n">
        <v>45958</v>
      </c>
      <c r="B1049" s="119" t="n">
        <v>66.63541682569567</v>
      </c>
      <c r="C1049" s="119" t="n">
        <v>67.12459180902086</v>
      </c>
      <c r="D1049" s="119" t="n">
        <v>65.59836824959598</v>
      </c>
      <c r="E1049" s="119" t="n">
        <v>65.97013854980469</v>
      </c>
      <c r="F1049" s="120" t="n">
        <v>11262400</v>
      </c>
      <c r="G1049" s="121" t="n">
        <v>-0.01691199986720615</v>
      </c>
      <c r="H1049" s="122" t="n">
        <v>42.93056358901662</v>
      </c>
      <c r="I1049" s="119" t="n">
        <v>70.36149757385255</v>
      </c>
      <c r="J1049" s="119" t="n">
        <v>67.23178062438964</v>
      </c>
      <c r="K1049" s="121" t="n">
        <v>0.382821600117581</v>
      </c>
      <c r="L1049" s="121" t="n">
        <v>-0.143862252608239</v>
      </c>
      <c r="M1049" s="121" t="n">
        <v>-0.1608392734966009</v>
      </c>
      <c r="N1049" t="n">
        <v>41.49732647283314</v>
      </c>
      <c r="O1049" t="n">
        <v>0.1998628049782232</v>
      </c>
      <c r="P1049" t="n">
        <v>163.3741635966527</v>
      </c>
      <c r="Q1049" t="n">
        <v>174.4784002803266</v>
      </c>
    </row>
    <row r="1050">
      <c r="A1050" s="118" t="n">
        <v>45959</v>
      </c>
      <c r="B1050" s="119" t="n">
        <v>65.559237668995</v>
      </c>
      <c r="C1050" s="119" t="n">
        <v>65.73534097314831</v>
      </c>
      <c r="D1050" s="119" t="n">
        <v>63.54383152941412</v>
      </c>
      <c r="E1050" s="119" t="n">
        <v>63.93517303466797</v>
      </c>
      <c r="F1050" s="120" t="n">
        <v>15143100</v>
      </c>
      <c r="G1050" s="121" t="n">
        <v>-0.03084676733853464</v>
      </c>
      <c r="H1050" s="122" t="n">
        <v>41.60629448227406</v>
      </c>
      <c r="I1050" s="119" t="n">
        <v>70.14366737365722</v>
      </c>
      <c r="J1050" s="119" t="n">
        <v>67.20475261688233</v>
      </c>
      <c r="K1050" s="121" t="n">
        <v>0.3084800857204624</v>
      </c>
      <c r="L1050" s="121" t="n">
        <v>-0.1702713345117698</v>
      </c>
      <c r="M1050" s="121" t="n">
        <v>-0.186724669186687</v>
      </c>
      <c r="N1050" t="n">
        <v>35.42172494092611</v>
      </c>
      <c r="O1050" t="n">
        <v>0.01631571419470612</v>
      </c>
      <c r="P1050" t="n">
        <v>163.4526437479644</v>
      </c>
      <c r="Q1050" t="n">
        <v>175.2640749113951</v>
      </c>
    </row>
    <row r="1051">
      <c r="A1051" s="118" t="n">
        <v>45960</v>
      </c>
      <c r="B1051" s="119" t="n">
        <v>63.76885180786629</v>
      </c>
      <c r="C1051" s="119" t="n">
        <v>64.57109849054372</v>
      </c>
      <c r="D1051" s="119" t="n">
        <v>63.1720577246799</v>
      </c>
      <c r="E1051" s="119" t="n">
        <v>63.49491500854492</v>
      </c>
      <c r="F1051" s="120" t="n">
        <v>13895200</v>
      </c>
      <c r="G1051" s="121" t="n">
        <v>-0.006886006641200759</v>
      </c>
      <c r="H1051" s="122" t="n">
        <v>41.31979326215337</v>
      </c>
      <c r="I1051" s="119" t="n">
        <v>69.92910079956054</v>
      </c>
      <c r="J1051" s="119" t="n">
        <v>67.17990045547485</v>
      </c>
      <c r="K1051" s="121" t="n">
        <v>0.3056615133287311</v>
      </c>
      <c r="L1051" s="121" t="n">
        <v>-0.1759848516127164</v>
      </c>
      <c r="M1051" s="121" t="n">
        <v>-0.1923248885157922</v>
      </c>
      <c r="N1051" t="n">
        <v>34.25328523194371</v>
      </c>
      <c r="O1051" t="n">
        <v>-0.1176872503599822</v>
      </c>
      <c r="P1051" t="n">
        <v>161.6549609830866</v>
      </c>
      <c r="Q1051" t="n">
        <v>172.5845233496504</v>
      </c>
    </row>
    <row r="1052">
      <c r="A1052" s="118" t="n">
        <v>45961</v>
      </c>
      <c r="B1052" s="119" t="n">
        <v>63.5927469365481</v>
      </c>
      <c r="C1052" s="119" t="n">
        <v>63.83733442476559</v>
      </c>
      <c r="D1052" s="119" t="n">
        <v>62.85898447189562</v>
      </c>
      <c r="E1052" s="119" t="n">
        <v>63.19161987304688</v>
      </c>
      <c r="F1052" s="120" t="n">
        <v>17822500</v>
      </c>
      <c r="G1052" s="121" t="n">
        <v>-0.004776683856608566</v>
      </c>
      <c r="H1052" s="122" t="n">
        <v>41.12242167271963</v>
      </c>
      <c r="I1052" s="119" t="n">
        <v>69.71002563476563</v>
      </c>
      <c r="J1052" s="119" t="n">
        <v>67.15401273727417</v>
      </c>
      <c r="K1052" s="121" t="n">
        <v>0.2862932542021522</v>
      </c>
      <c r="L1052" s="121" t="n">
        <v>-0.179920911469619</v>
      </c>
      <c r="M1052" s="121" t="n">
        <v>-0.1961828971822033</v>
      </c>
      <c r="N1052" t="n">
        <v>33.43504402492042</v>
      </c>
      <c r="O1052" t="n">
        <v>-0.2046033748336558</v>
      </c>
      <c r="P1052" t="n">
        <v>162.1852251566707</v>
      </c>
      <c r="Q1052" t="n">
        <v>173.4170598206161</v>
      </c>
    </row>
    <row r="1053">
      <c r="A1053" s="118" t="n">
        <v>45964</v>
      </c>
      <c r="B1053" s="119" t="n">
        <v>63.31880894340134</v>
      </c>
      <c r="C1053" s="119" t="n">
        <v>63.44599174774446</v>
      </c>
      <c r="D1053" s="119" t="n">
        <v>60.99033505473162</v>
      </c>
      <c r="E1053" s="119" t="n">
        <v>61.29362487792969</v>
      </c>
      <c r="F1053" s="120" t="n">
        <v>22633300</v>
      </c>
      <c r="G1053" s="121" t="n">
        <v>-0.03003554900048921</v>
      </c>
      <c r="H1053" s="122" t="n">
        <v>39.88728716154989</v>
      </c>
      <c r="I1053" s="119" t="n">
        <v>69.41016586303711</v>
      </c>
      <c r="J1053" s="119" t="n">
        <v>67.11844263076782</v>
      </c>
      <c r="K1053" s="121" t="n">
        <v>0.2991744586609197</v>
      </c>
      <c r="L1053" s="121" t="n">
        <v>-0.2045524371174496</v>
      </c>
      <c r="M1053" s="121" t="n">
        <v>-0.2203259851613185</v>
      </c>
      <c r="N1053" t="n">
        <v>28.79878599945734</v>
      </c>
      <c r="O1053" t="n">
        <v>-0.3587537803542458</v>
      </c>
      <c r="P1053" t="n">
        <v>162.489604635933</v>
      </c>
      <c r="Q1053" t="n">
        <v>174.2468267990618</v>
      </c>
    </row>
    <row r="1054">
      <c r="A1054" s="118" t="n">
        <v>45965</v>
      </c>
      <c r="B1054" s="119" t="n">
        <v>61.06860449712519</v>
      </c>
      <c r="C1054" s="119" t="n">
        <v>61.23492593588423</v>
      </c>
      <c r="D1054" s="119" t="n">
        <v>59.79675025836438</v>
      </c>
      <c r="E1054" s="119" t="n">
        <v>59.90436935424805</v>
      </c>
      <c r="F1054" s="120" t="n">
        <v>13725400</v>
      </c>
      <c r="G1054" s="121" t="n">
        <v>-0.02266557943747716</v>
      </c>
      <c r="H1054" s="122" t="n">
        <v>38.98321868584431</v>
      </c>
      <c r="I1054" s="119" t="n">
        <v>69.067142868042</v>
      </c>
      <c r="J1054" s="119" t="n">
        <v>67.07722499847412</v>
      </c>
      <c r="K1054" s="121" t="n">
        <v>0.290484550323813</v>
      </c>
      <c r="L1054" s="121" t="n">
        <v>-0.2225817170423117</v>
      </c>
      <c r="M1054" s="121" t="n">
        <v>-0.2379977484799813</v>
      </c>
      <c r="N1054" t="n">
        <v>25.96112235908166</v>
      </c>
      <c r="O1054" t="n">
        <v>-0.5136802747189879</v>
      </c>
      <c r="P1054" t="n">
        <v>160.5635264118702</v>
      </c>
      <c r="Q1054" t="n">
        <v>170.7099653180165</v>
      </c>
    </row>
    <row r="1055">
      <c r="A1055" s="118" t="n">
        <v>45966</v>
      </c>
      <c r="B1055" s="119" t="n">
        <v>59.95328375937023</v>
      </c>
      <c r="C1055" s="119" t="n">
        <v>61.48929288275359</v>
      </c>
      <c r="D1055" s="119" t="n">
        <v>59.54237857166156</v>
      </c>
      <c r="E1055" s="119" t="n">
        <v>60.76531600952148</v>
      </c>
      <c r="F1055" s="120" t="n">
        <v>20979800</v>
      </c>
      <c r="G1055" s="121" t="n">
        <v>0.01437201767674368</v>
      </c>
      <c r="H1055" s="122" t="n">
        <v>39.54348619389363</v>
      </c>
      <c r="I1055" s="119" t="n">
        <v>68.75146102905273</v>
      </c>
      <c r="J1055" s="119" t="n">
        <v>67.02910482406617</v>
      </c>
      <c r="K1055" s="121" t="n">
        <v>0.2978696258709849</v>
      </c>
      <c r="L1055" s="121" t="n">
        <v>-0.2114086477374202</v>
      </c>
      <c r="M1055" s="121" t="n">
        <v>-0.2270462386514172</v>
      </c>
      <c r="N1055" t="n">
        <v>30.52953905112764</v>
      </c>
      <c r="O1055" t="n">
        <v>-0.5161982762661765</v>
      </c>
      <c r="P1055" t="n">
        <v>161.1199555137678</v>
      </c>
      <c r="Q1055" t="n">
        <v>171.8209371101442</v>
      </c>
    </row>
    <row r="1056">
      <c r="A1056" s="118" t="n">
        <v>45967</v>
      </c>
      <c r="B1056" s="119" t="n">
        <v>60.54029367400167</v>
      </c>
      <c r="C1056" s="119" t="n">
        <v>61.12730212908007</v>
      </c>
      <c r="D1056" s="119" t="n">
        <v>60.33483735582637</v>
      </c>
      <c r="E1056" s="119" t="n">
        <v>60.55007553100586</v>
      </c>
      <c r="F1056" s="120" t="n">
        <v>15164600</v>
      </c>
      <c r="G1056" s="121" t="n">
        <v>-0.003542160111236758</v>
      </c>
      <c r="H1056" s="122" t="n">
        <v>39.40341683443837</v>
      </c>
      <c r="I1056" s="119" t="n">
        <v>68.44295936584473</v>
      </c>
      <c r="J1056" s="119" t="n">
        <v>66.9757237625122</v>
      </c>
      <c r="K1056" s="121" t="n">
        <v>0.2956514703461157</v>
      </c>
      <c r="L1056" s="121" t="n">
        <v>-0.2142019645694709</v>
      </c>
      <c r="M1056" s="121" t="n">
        <v>-0.2297841646326966</v>
      </c>
      <c r="N1056" t="n">
        <v>30.03065109407949</v>
      </c>
      <c r="O1056" t="n">
        <v>-0.49056081777783</v>
      </c>
      <c r="P1056" t="n">
        <v>159.3912264078459</v>
      </c>
      <c r="Q1056" t="n">
        <v>168.6203663244906</v>
      </c>
    </row>
    <row r="1057">
      <c r="A1057" s="118" t="n">
        <v>45968</v>
      </c>
      <c r="B1057" s="119" t="n">
        <v>60.40332779711976</v>
      </c>
      <c r="C1057" s="119" t="n">
        <v>60.83380043328516</v>
      </c>
      <c r="D1057" s="119" t="n">
        <v>58.98471961751467</v>
      </c>
      <c r="E1057" s="119" t="n">
        <v>59.76739883422852</v>
      </c>
      <c r="F1057" s="120" t="n">
        <v>15504800</v>
      </c>
      <c r="G1057" s="121" t="n">
        <v>-0.01292610603559952</v>
      </c>
      <c r="H1057" s="122" t="n">
        <v>38.8940840902715</v>
      </c>
      <c r="I1057" s="119" t="n">
        <v>68.12152938842773</v>
      </c>
      <c r="J1057" s="119" t="n">
        <v>66.9172268486023</v>
      </c>
      <c r="K1057" s="121" t="n">
        <v>0.2635841648308504</v>
      </c>
      <c r="L1057" s="121" t="n">
        <v>-0.2243592732980118</v>
      </c>
      <c r="M1057" s="121" t="n">
        <v>-0.2397400561909522</v>
      </c>
      <c r="N1057" t="n">
        <v>28.22450746678946</v>
      </c>
      <c r="O1057" t="n">
        <v>-0.4837143868200005</v>
      </c>
      <c r="P1057" t="n">
        <v>159.5481574432117</v>
      </c>
      <c r="Q1057" t="n">
        <v>168.0883197919502</v>
      </c>
    </row>
    <row r="1058">
      <c r="A1058" s="118" t="n">
        <v>45971</v>
      </c>
      <c r="B1058" s="119" t="n">
        <v>60.41311012021002</v>
      </c>
      <c r="C1058" s="119" t="n">
        <v>60.74574925639108</v>
      </c>
      <c r="D1058" s="119" t="n">
        <v>59.18039081089722</v>
      </c>
      <c r="E1058" s="119" t="n">
        <v>59.48367691040039</v>
      </c>
      <c r="F1058" s="120" t="n">
        <v>13063100</v>
      </c>
      <c r="G1058" s="121" t="n">
        <v>-0.004747101753835081</v>
      </c>
      <c r="H1058" s="122" t="n">
        <v>38.70944991547276</v>
      </c>
      <c r="I1058" s="119" t="n">
        <v>67.80513099670411</v>
      </c>
      <c r="J1058" s="119" t="n">
        <v>66.8607744216919</v>
      </c>
      <c r="K1058" s="121" t="n">
        <v>0.2261173129281558</v>
      </c>
      <c r="L1058" s="121" t="n">
        <v>-0.2280413187520847</v>
      </c>
      <c r="M1058" s="121" t="n">
        <v>-0.2433490875035786</v>
      </c>
      <c r="N1058" t="n">
        <v>27.57702192492614</v>
      </c>
      <c r="O1058" t="n">
        <v>-0.4560600982063785</v>
      </c>
      <c r="P1058" t="n">
        <v>162.0378059800318</v>
      </c>
      <c r="Q1058" t="n">
        <v>171.8071403089925</v>
      </c>
    </row>
    <row r="1059">
      <c r="A1059" s="118" t="n">
        <v>45972</v>
      </c>
      <c r="B1059" s="119" t="n">
        <v>60.39353994390034</v>
      </c>
      <c r="C1059" s="119" t="n">
        <v>62.22305324416469</v>
      </c>
      <c r="D1059" s="119" t="n">
        <v>59.91415057442945</v>
      </c>
      <c r="E1059" s="119" t="n">
        <v>61.78279876708984</v>
      </c>
      <c r="F1059" s="120" t="n">
        <v>17646400</v>
      </c>
      <c r="G1059" s="121" t="n">
        <v>0.03865130698212549</v>
      </c>
      <c r="H1059" s="122" t="n">
        <v>40.20562074726491</v>
      </c>
      <c r="I1059" s="119" t="n">
        <v>67.58715461730957</v>
      </c>
      <c r="J1059" s="119" t="n">
        <v>66.80614952087403</v>
      </c>
      <c r="K1059" s="121" t="n">
        <v>0.2730986947961822</v>
      </c>
      <c r="L1059" s="121" t="n">
        <v>-0.1982041067856548</v>
      </c>
      <c r="M1059" s="121" t="n">
        <v>-0.2141035408063742</v>
      </c>
      <c r="N1059" t="n">
        <v>39.65742255206561</v>
      </c>
      <c r="O1059" t="n">
        <v>-0.2509430217410678</v>
      </c>
      <c r="P1059" t="n">
        <v>162.4087392031251</v>
      </c>
      <c r="Q1059" t="n">
        <v>171.3495154443535</v>
      </c>
    </row>
    <row r="1060">
      <c r="A1060" s="118" t="n">
        <v>45973</v>
      </c>
      <c r="B1060" s="119" t="n">
        <v>62.71222890846503</v>
      </c>
      <c r="C1060" s="119" t="n">
        <v>63.7786342116589</v>
      </c>
      <c r="D1060" s="119" t="n">
        <v>62.3600260692637</v>
      </c>
      <c r="E1060" s="119" t="n">
        <v>62.81006240844727</v>
      </c>
      <c r="F1060" s="120" t="n">
        <v>14812200</v>
      </c>
      <c r="G1060" s="121" t="n">
        <v>0.01662701693443869</v>
      </c>
      <c r="H1060" s="122" t="n">
        <v>40.8741202842893</v>
      </c>
      <c r="I1060" s="119" t="n">
        <v>67.38091842651367</v>
      </c>
      <c r="J1060" s="119" t="n">
        <v>66.76238485336303</v>
      </c>
      <c r="K1060" s="121" t="n">
        <v>0.2769110368153844</v>
      </c>
      <c r="L1060" s="121" t="n">
        <v>-0.1848726328912166</v>
      </c>
      <c r="M1060" s="121" t="n">
        <v>-0.2010364270706463</v>
      </c>
      <c r="N1060" t="n">
        <v>44.14079022327903</v>
      </c>
      <c r="O1060" t="n">
        <v>-0.02594335406674508</v>
      </c>
      <c r="P1060" t="n">
        <v>162.4991018610311</v>
      </c>
      <c r="Q1060" t="n">
        <v>171.2144351354031</v>
      </c>
    </row>
    <row r="1061">
      <c r="A1061" s="118" t="n">
        <v>45974</v>
      </c>
      <c r="B1061" s="119" t="n">
        <v>64.28736931792623</v>
      </c>
      <c r="C1061" s="119" t="n">
        <v>64.82546473425529</v>
      </c>
      <c r="D1061" s="119" t="n">
        <v>63.47533713118137</v>
      </c>
      <c r="E1061" s="119" t="n">
        <v>64.60044097900391</v>
      </c>
      <c r="F1061" s="120" t="n">
        <v>21923600</v>
      </c>
      <c r="G1061" s="121" t="n">
        <v>0.0285046456237219</v>
      </c>
      <c r="H1061" s="122" t="n">
        <v>42.03922259817435</v>
      </c>
      <c r="I1061" s="119" t="n">
        <v>67.19855392456054</v>
      </c>
      <c r="J1061" s="119" t="n">
        <v>66.71703824996948</v>
      </c>
      <c r="K1061" s="121" t="n">
        <v>0.2871634051141611</v>
      </c>
      <c r="L1061" s="121" t="n">
        <v>-0.1616377161535832</v>
      </c>
      <c r="M1061" s="121" t="n">
        <v>-0.1782622535580325</v>
      </c>
      <c r="N1061" t="n">
        <v>50.97717462204778</v>
      </c>
      <c r="O1061" t="n">
        <v>0.248482824371367</v>
      </c>
      <c r="P1061" t="n">
        <v>159.8025923473432</v>
      </c>
      <c r="Q1061" t="n">
        <v>167.718930283514</v>
      </c>
    </row>
    <row r="1062">
      <c r="A1062" s="118" t="n">
        <v>45975</v>
      </c>
      <c r="B1062" s="119" t="n">
        <v>63.53404574067998</v>
      </c>
      <c r="C1062" s="119" t="n">
        <v>63.65144295314433</v>
      </c>
      <c r="D1062" s="119" t="n">
        <v>62.36980695562539</v>
      </c>
      <c r="E1062" s="119" t="n">
        <v>62.78071212768555</v>
      </c>
      <c r="F1062" s="120" t="n">
        <v>17760100</v>
      </c>
      <c r="G1062" s="121" t="n">
        <v>-0.0281689849750375</v>
      </c>
      <c r="H1062" s="122" t="n">
        <v>40.85502036844412</v>
      </c>
      <c r="I1062" s="119" t="n">
        <v>67.0079711151123</v>
      </c>
      <c r="J1062" s="119" t="n">
        <v>66.65417552947999</v>
      </c>
      <c r="K1062" s="121" t="n">
        <v>0.3014198413704206</v>
      </c>
      <c r="L1062" s="121" t="n">
        <v>-0.1852535307308911</v>
      </c>
      <c r="M1062" s="121" t="n">
        <v>-0.2014097717909774</v>
      </c>
      <c r="N1062" t="n">
        <v>44.95496530129293</v>
      </c>
      <c r="O1062" t="n">
        <v>0.3085477440495894</v>
      </c>
      <c r="P1062" t="n">
        <v>159.7764566862873</v>
      </c>
      <c r="Q1062" t="n">
        <v>167.8457190020538</v>
      </c>
    </row>
    <row r="1063">
      <c r="A1063" s="118" t="n">
        <v>45978</v>
      </c>
      <c r="B1063" s="119" t="n">
        <v>61.70453334348217</v>
      </c>
      <c r="C1063" s="119" t="n">
        <v>62.16435903136359</v>
      </c>
      <c r="D1063" s="119" t="n">
        <v>60.91206851094145</v>
      </c>
      <c r="E1063" s="119" t="n">
        <v>61.53821563720703</v>
      </c>
      <c r="F1063" s="120" t="n">
        <v>17064700</v>
      </c>
      <c r="G1063" s="121" t="n">
        <v>-0.01979105442371354</v>
      </c>
      <c r="H1063" s="122" t="n">
        <v>40.04645643685031</v>
      </c>
      <c r="I1063" s="119" t="n">
        <v>66.78784233093262</v>
      </c>
      <c r="J1063" s="119" t="n">
        <v>66.59197856903076</v>
      </c>
      <c r="K1063" s="121" t="n">
        <v>0.3067434484091879</v>
      </c>
      <c r="L1063" s="121" t="n">
        <v>-0.2013782224457245</v>
      </c>
      <c r="M1063" s="121" t="n">
        <v>-0.217214714459708</v>
      </c>
      <c r="N1063" t="n">
        <v>41.36198655786986</v>
      </c>
      <c r="O1063" t="n">
        <v>0.2672408552899572</v>
      </c>
      <c r="P1063" t="n">
        <v>158.2878800627776</v>
      </c>
      <c r="Q1063" t="n">
        <v>166.4122364285366</v>
      </c>
    </row>
    <row r="1064">
      <c r="A1064" s="118" t="n">
        <v>45979</v>
      </c>
      <c r="B1064" s="119" t="n">
        <v>61.04904094184239</v>
      </c>
      <c r="C1064" s="119" t="n">
        <v>61.40124380369194</v>
      </c>
      <c r="D1064" s="119" t="n">
        <v>60.3446277539252</v>
      </c>
      <c r="E1064" s="119" t="n">
        <v>61.13709259033203</v>
      </c>
      <c r="F1064" s="120" t="n">
        <v>14614600</v>
      </c>
      <c r="G1064" s="121" t="n">
        <v>-0.006518275558065945</v>
      </c>
      <c r="H1064" s="122" t="n">
        <v>39.78542259867084</v>
      </c>
      <c r="I1064" s="119" t="n">
        <v>66.57045295715332</v>
      </c>
      <c r="J1064" s="119" t="n">
        <v>66.5292671585083</v>
      </c>
      <c r="K1064" s="121" t="n">
        <v>0.3021154077824237</v>
      </c>
      <c r="L1064" s="121" t="n">
        <v>-0.2013381393741196</v>
      </c>
      <c r="M1064" s="121" t="n">
        <v>-0.2223171246536589</v>
      </c>
      <c r="N1064" t="n">
        <v>40.24372779012421</v>
      </c>
      <c r="O1064" t="n">
        <v>0.2176468478674751</v>
      </c>
      <c r="P1064" t="n">
        <v>156.9586636570164</v>
      </c>
      <c r="Q1064" t="n">
        <v>164.3860317942807</v>
      </c>
    </row>
    <row r="1065">
      <c r="A1065" s="118" t="n">
        <v>45980</v>
      </c>
      <c r="B1065" s="119" t="n">
        <v>61.07838758595597</v>
      </c>
      <c r="C1065" s="119" t="n">
        <v>61.85128494100914</v>
      </c>
      <c r="D1065" s="119" t="n">
        <v>60.66747866687232</v>
      </c>
      <c r="E1065" s="119" t="n">
        <v>61.28384017944336</v>
      </c>
      <c r="F1065" s="120" t="n">
        <v>11732100</v>
      </c>
      <c r="G1065" s="121" t="n">
        <v>0.002400303692795092</v>
      </c>
      <c r="H1065" s="122" t="n">
        <v>39.88091969545384</v>
      </c>
      <c r="I1065" s="119" t="n">
        <v>66.34328002929688</v>
      </c>
      <c r="J1065" s="119" t="n">
        <v>66.46666414260864</v>
      </c>
      <c r="K1065" s="121" t="n">
        <v>0.2981707775913673</v>
      </c>
      <c r="L1065" s="121" t="n">
        <v>-0.1933700273221629</v>
      </c>
      <c r="M1065" s="121" t="n">
        <v>-0.2204504495761417</v>
      </c>
      <c r="N1065" t="n">
        <v>40.87352531780093</v>
      </c>
      <c r="O1065" t="n">
        <v>0.1999261977058135</v>
      </c>
      <c r="P1065" t="n">
        <v>157.5650227004161</v>
      </c>
      <c r="Q1065" t="n">
        <v>165.3674453753485</v>
      </c>
    </row>
    <row r="1066">
      <c r="A1066" s="118" t="n">
        <v>45981</v>
      </c>
      <c r="B1066" s="119" t="n">
        <v>61.58712896558099</v>
      </c>
      <c r="C1066" s="119" t="n">
        <v>62.4480779507281</v>
      </c>
      <c r="D1066" s="119" t="n">
        <v>60.08046917460077</v>
      </c>
      <c r="E1066" s="119" t="n">
        <v>60.10003662109375</v>
      </c>
      <c r="F1066" s="120" t="n">
        <v>13886600</v>
      </c>
      <c r="G1066" s="121" t="n">
        <v>-0.01931673267999112</v>
      </c>
      <c r="H1066" s="122" t="n">
        <v>39.11055063066457</v>
      </c>
      <c r="I1066" s="119" t="n">
        <v>66.09086563110351</v>
      </c>
      <c r="J1066" s="119" t="n">
        <v>66.40848360061645</v>
      </c>
      <c r="K1066" s="121" t="n">
        <v>0.2980480569440466</v>
      </c>
      <c r="L1066" s="121" t="n">
        <v>-0.2075301930836279</v>
      </c>
      <c r="M1066" s="121" t="n">
        <v>-0.2355087998524866</v>
      </c>
      <c r="N1066" t="n">
        <v>37.4450196863872</v>
      </c>
      <c r="O1066" t="n">
        <v>0.1177437580827925</v>
      </c>
      <c r="P1066" t="n">
        <v>155.1633808072636</v>
      </c>
      <c r="Q1066" t="n">
        <v>161.4528859083069</v>
      </c>
    </row>
    <row r="1067">
      <c r="A1067" s="118" t="n">
        <v>45982</v>
      </c>
      <c r="B1067" s="119" t="n">
        <v>60.66747892341676</v>
      </c>
      <c r="C1067" s="119" t="n">
        <v>62.12522199503446</v>
      </c>
      <c r="D1067" s="119" t="n">
        <v>60.20765698349229</v>
      </c>
      <c r="E1067" s="119" t="n">
        <v>61.44037628173828</v>
      </c>
      <c r="F1067" s="120" t="n">
        <v>12476900</v>
      </c>
      <c r="G1067" s="121" t="n">
        <v>0.02230181104705187</v>
      </c>
      <c r="H1067" s="122" t="n">
        <v>39.98278674077581</v>
      </c>
      <c r="I1067" s="119" t="n">
        <v>65.89128219604493</v>
      </c>
      <c r="J1067" s="119" t="n">
        <v>66.37061700820922</v>
      </c>
      <c r="K1067" s="121" t="n">
        <v>0.3144350266950494</v>
      </c>
      <c r="L1067" s="121" t="n">
        <v>-0.1840977172381533</v>
      </c>
      <c r="M1067" s="121" t="n">
        <v>-0.2184592615596629</v>
      </c>
      <c r="N1067" t="n">
        <v>43.24936699668027</v>
      </c>
      <c r="O1067" t="n">
        <v>0.1602826184784738</v>
      </c>
      <c r="P1067" t="n">
        <v>156.7089846822485</v>
      </c>
      <c r="Q1067" t="n">
        <v>162.6658391963404</v>
      </c>
    </row>
    <row r="1068">
      <c r="A1068" s="118" t="n">
        <v>45985</v>
      </c>
      <c r="B1068" s="119" t="n">
        <v>61.15665537045347</v>
      </c>
      <c r="C1068" s="119" t="n">
        <v>61.70453270068757</v>
      </c>
      <c r="D1068" s="119" t="n">
        <v>60.58921432495117</v>
      </c>
      <c r="E1068" s="119" t="n">
        <v>60.58921432495117</v>
      </c>
      <c r="F1068" s="120" t="n">
        <v>16681700</v>
      </c>
      <c r="G1068" s="121" t="n">
        <v>-0.01385346262991716</v>
      </c>
      <c r="H1068" s="122" t="n">
        <v>39.42888669882252</v>
      </c>
      <c r="I1068" s="119" t="n">
        <v>65.67408851623536</v>
      </c>
      <c r="J1068" s="119" t="n">
        <v>66.34321311950684</v>
      </c>
      <c r="K1068" s="121" t="n">
        <v>0.3160170111720088</v>
      </c>
      <c r="L1068" s="121" t="n">
        <v>-0.1781021341061114</v>
      </c>
      <c r="M1068" s="121" t="n">
        <v>-0.2292863069734039</v>
      </c>
      <c r="N1068" t="n">
        <v>40.66868971417563</v>
      </c>
      <c r="O1068" t="n">
        <v>0.1385425861322385</v>
      </c>
      <c r="P1068" t="n">
        <v>159.0155226217603</v>
      </c>
      <c r="Q1068" t="n">
        <v>166.8257351714994</v>
      </c>
    </row>
    <row r="1069">
      <c r="A1069" s="118" t="n">
        <v>45986</v>
      </c>
      <c r="B1069" s="119" t="n">
        <v>60.99033390054907</v>
      </c>
      <c r="C1069" s="119" t="n">
        <v>62.73179928851538</v>
      </c>
      <c r="D1069" s="119" t="n">
        <v>60.53050824584607</v>
      </c>
      <c r="E1069" s="119" t="n">
        <v>62.30132293701172</v>
      </c>
      <c r="F1069" s="120" t="n">
        <v>11527200</v>
      </c>
      <c r="G1069" s="121" t="n">
        <v>0.02825764669728503</v>
      </c>
      <c r="H1069" s="122" t="n">
        <v>40.54305424882513</v>
      </c>
      <c r="I1069" s="119" t="n">
        <v>65.49661582946777</v>
      </c>
      <c r="J1069" s="119" t="n">
        <v>66.31349922180176</v>
      </c>
      <c r="K1069" s="121" t="n">
        <v>0.3334511259835225</v>
      </c>
      <c r="L1069" s="121" t="n">
        <v>-0.1548772345904292</v>
      </c>
      <c r="M1069" s="121" t="n">
        <v>-0.2075077517310986</v>
      </c>
      <c r="N1069" t="n">
        <v>47.459920091013</v>
      </c>
      <c r="O1069" t="n">
        <v>0.2409196103821043</v>
      </c>
      <c r="P1069" t="n">
        <v>160.5111965552432</v>
      </c>
      <c r="Q1069" t="n">
        <v>167.8539937053149</v>
      </c>
    </row>
    <row r="1070">
      <c r="A1070" s="118" t="n">
        <v>45987</v>
      </c>
      <c r="B1070" s="119" t="n">
        <v>62.12522358643916</v>
      </c>
      <c r="C1070" s="119" t="n">
        <v>63.46556574306032</v>
      </c>
      <c r="D1070" s="119" t="n">
        <v>61.60669929251225</v>
      </c>
      <c r="E1070" s="119" t="n">
        <v>62.937255859375</v>
      </c>
      <c r="F1070" s="120" t="n">
        <v>13791000</v>
      </c>
      <c r="G1070" s="121" t="n">
        <v>0.01020737429614815</v>
      </c>
      <c r="H1070" s="122" t="n">
        <v>40.95689237865193</v>
      </c>
      <c r="I1070" s="119" t="n">
        <v>65.3404712677002</v>
      </c>
      <c r="J1070" s="119" t="n">
        <v>66.28504104614258</v>
      </c>
      <c r="K1070" s="121" t="n">
        <v>0.3189315441665182</v>
      </c>
      <c r="L1070" s="121" t="n">
        <v>-0.146250750197698</v>
      </c>
      <c r="M1070" s="121" t="n">
        <v>-0.199418486726222</v>
      </c>
      <c r="N1070" t="n">
        <v>49.76018186784863</v>
      </c>
      <c r="O1070" t="n">
        <v>0.3464959054793073</v>
      </c>
      <c r="P1070" t="n">
        <v>161.6192988296749</v>
      </c>
      <c r="Q1070" t="n">
        <v>169.3371076112493</v>
      </c>
    </row>
    <row r="1071">
      <c r="A1071" s="118" t="n">
        <v>45989</v>
      </c>
      <c r="B1071" s="119" t="n">
        <v>63.07422274101749</v>
      </c>
      <c r="C1071" s="119" t="n">
        <v>63.37750883826724</v>
      </c>
      <c r="D1071" s="119" t="n">
        <v>62.58504776392161</v>
      </c>
      <c r="E1071" s="119" t="n">
        <v>63.23075485229492</v>
      </c>
      <c r="F1071" s="120" t="n">
        <v>4941400</v>
      </c>
      <c r="G1071" s="121" t="n">
        <v>0.004663358592813527</v>
      </c>
      <c r="H1071" s="122" t="n">
        <v>41.14788905466085</v>
      </c>
      <c r="I1071" s="119" t="n">
        <v>65.19430572509765</v>
      </c>
      <c r="J1071" s="119" t="n">
        <v>66.25362508773804</v>
      </c>
      <c r="K1071" s="121" t="n">
        <v>0.3185447785404119</v>
      </c>
      <c r="L1071" s="121" t="n">
        <v>-0.1332976415725247</v>
      </c>
      <c r="M1071" s="121" t="n">
        <v>-0.195685088047049</v>
      </c>
      <c r="N1071" t="n">
        <v>50.83013689296407</v>
      </c>
      <c r="O1071" t="n">
        <v>0.4258998900714224</v>
      </c>
      <c r="P1071" t="n">
        <v>162.5014871425273</v>
      </c>
      <c r="Q1071" t="n">
        <v>170.7099653180165</v>
      </c>
    </row>
    <row r="1072">
      <c r="A1072" s="118" t="n">
        <v>45992</v>
      </c>
      <c r="B1072" s="119" t="n">
        <v>62.78768418914595</v>
      </c>
      <c r="C1072" s="119" t="n">
        <v>64.9734846443512</v>
      </c>
      <c r="D1072" s="119" t="n">
        <v>62.60061231076207</v>
      </c>
      <c r="E1072" s="119" t="n">
        <v>64.38272857666016</v>
      </c>
      <c r="F1072" s="120" t="n">
        <v>12047300</v>
      </c>
      <c r="G1072" s="121" t="n">
        <v>0.01821856669363209</v>
      </c>
      <c r="H1072" s="122" t="n">
        <v>41.89754461570536</v>
      </c>
      <c r="I1072" s="119" t="n">
        <v>65.09485580444336</v>
      </c>
      <c r="J1072" s="119" t="n">
        <v>66.2233995628357</v>
      </c>
      <c r="K1072" s="121" t="n">
        <v>0.324392677587737</v>
      </c>
      <c r="L1072" s="121" t="n">
        <v>-0.1175075668519855</v>
      </c>
      <c r="M1072" s="121" t="n">
        <v>-0.1810316231809513</v>
      </c>
      <c r="N1072" t="n">
        <v>54.89085379005651</v>
      </c>
      <c r="O1072" t="n">
        <v>0.5385522292068476</v>
      </c>
      <c r="P1072" t="n">
        <v>161.759591429083</v>
      </c>
      <c r="Q1072" t="n">
        <v>170.1365452691705</v>
      </c>
    </row>
    <row r="1073">
      <c r="A1073" s="118" t="n">
        <v>45993</v>
      </c>
      <c r="B1073" s="119" t="n">
        <v>64.4418076486732</v>
      </c>
      <c r="C1073" s="119" t="n">
        <v>64.46150377607103</v>
      </c>
      <c r="D1073" s="119" t="n">
        <v>63.58521390365872</v>
      </c>
      <c r="E1073" s="119" t="n">
        <v>63.9298210144043</v>
      </c>
      <c r="F1073" s="120" t="n">
        <v>9051200</v>
      </c>
      <c r="G1073" s="121" t="n">
        <v>-0.007034612733391454</v>
      </c>
      <c r="H1073" s="122" t="n">
        <v>41.60281161485388</v>
      </c>
      <c r="I1073" s="119" t="n">
        <v>64.97871650695801</v>
      </c>
      <c r="J1073" s="119" t="n">
        <v>66.19172718048095</v>
      </c>
      <c r="K1073" s="121" t="n">
        <v>0.3047627297212143</v>
      </c>
      <c r="L1073" s="121" t="n">
        <v>-0.1237155593593302</v>
      </c>
      <c r="M1073" s="121" t="n">
        <v>-0.1867927485527676</v>
      </c>
      <c r="N1073" t="n">
        <v>53.03634464256735</v>
      </c>
      <c r="O1073" t="n">
        <v>0.562491327190592</v>
      </c>
      <c r="P1073" t="n">
        <v>162.0592149789819</v>
      </c>
      <c r="Q1073" t="n">
        <v>171.4680632339312</v>
      </c>
    </row>
    <row r="1074">
      <c r="A1074" s="118" t="n">
        <v>45994</v>
      </c>
      <c r="B1074" s="119" t="n">
        <v>64.07750589268086</v>
      </c>
      <c r="C1074" s="119" t="n">
        <v>65.63316928836846</v>
      </c>
      <c r="D1074" s="119" t="n">
        <v>63.97904780057159</v>
      </c>
      <c r="E1074" s="119" t="n">
        <v>64.63872528076172</v>
      </c>
      <c r="F1074" s="120" t="n">
        <v>12028300</v>
      </c>
      <c r="G1074" s="121" t="n">
        <v>0.01108878853575535</v>
      </c>
      <c r="H1074" s="122" t="n">
        <v>42.06413639534387</v>
      </c>
      <c r="I1074" s="119" t="n">
        <v>64.88360374450684</v>
      </c>
      <c r="J1074" s="119" t="n">
        <v>66.14171394348145</v>
      </c>
      <c r="K1074" s="121" t="n">
        <v>0.2913737904943305</v>
      </c>
      <c r="L1074" s="121" t="n">
        <v>-0.1139986264998931</v>
      </c>
      <c r="M1074" s="121" t="n">
        <v>-0.1777752653057263</v>
      </c>
      <c r="N1074" t="n">
        <v>55.56680334459356</v>
      </c>
      <c r="O1074" t="n">
        <v>0.6024338423906098</v>
      </c>
      <c r="P1074" t="n">
        <v>162.6203853766141</v>
      </c>
      <c r="Q1074" t="n">
        <v>171.8870840747846</v>
      </c>
    </row>
    <row r="1075">
      <c r="A1075" s="118" t="n">
        <v>45995</v>
      </c>
      <c r="B1075" s="119" t="n">
        <v>64.58949829553791</v>
      </c>
      <c r="C1075" s="119" t="n">
        <v>65.08179631229029</v>
      </c>
      <c r="D1075" s="119" t="n">
        <v>64.00859024146847</v>
      </c>
      <c r="E1075" s="119" t="n">
        <v>64.67811584472656</v>
      </c>
      <c r="F1075" s="120" t="n">
        <v>10619500</v>
      </c>
      <c r="G1075" s="121" t="n">
        <v>0.000609395742161567</v>
      </c>
      <c r="H1075" s="122" t="n">
        <v>42.08977010096089</v>
      </c>
      <c r="I1075" s="119" t="n">
        <v>64.7836043548584</v>
      </c>
      <c r="J1075" s="119" t="n">
        <v>66.09579372406006</v>
      </c>
      <c r="K1075" s="121" t="n">
        <v>0.2889423191097766</v>
      </c>
      <c r="L1075" s="121" t="n">
        <v>-0.1134587010353328</v>
      </c>
      <c r="M1075" s="121" t="n">
        <v>-0.1772742050533037</v>
      </c>
      <c r="N1075" t="n">
        <v>55.70960597185941</v>
      </c>
      <c r="O1075" t="n">
        <v>0.6062132678481701</v>
      </c>
      <c r="P1075" t="n">
        <v>162.739283610701</v>
      </c>
      <c r="Q1075" t="n">
        <v>171.7271965432003</v>
      </c>
    </row>
    <row r="1076">
      <c r="A1076" s="118" t="n">
        <v>45996</v>
      </c>
      <c r="B1076" s="119" t="n">
        <v>64.68795815600353</v>
      </c>
      <c r="C1076" s="119" t="n">
        <v>65.06210946650994</v>
      </c>
      <c r="D1076" s="119" t="n">
        <v>63.88058968704436</v>
      </c>
      <c r="E1076" s="119" t="n">
        <v>64.84549713134766</v>
      </c>
      <c r="F1076" s="120" t="n">
        <v>10917900</v>
      </c>
      <c r="G1076" s="121" t="n">
        <v>0.002587912224019107</v>
      </c>
      <c r="H1076" s="122" t="n">
        <v>42.19869473151132</v>
      </c>
      <c r="I1076" s="119" t="n">
        <v>64.72569526672363</v>
      </c>
      <c r="J1076" s="119" t="n">
        <v>66.04854587554932</v>
      </c>
      <c r="K1076" s="121" t="n">
        <v>0.2878394457788931</v>
      </c>
      <c r="L1076" s="121" t="n">
        <v>-0.1111644099706444</v>
      </c>
      <c r="M1076" s="121" t="n">
        <v>-0.1751450629115453</v>
      </c>
      <c r="N1076" t="n">
        <v>56.35154954594906</v>
      </c>
      <c r="O1076" t="n">
        <v>0.5939146317714242</v>
      </c>
      <c r="P1076" t="n">
        <v>163.0483897520691</v>
      </c>
      <c r="Q1076" t="n">
        <v>172.4273884234367</v>
      </c>
    </row>
    <row r="1077">
      <c r="A1077" s="118" t="n">
        <v>45999</v>
      </c>
      <c r="B1077" s="119" t="n">
        <v>64.58949502843662</v>
      </c>
      <c r="C1077" s="119" t="n">
        <v>64.78641873229962</v>
      </c>
      <c r="D1077" s="119" t="n">
        <v>62.2953883394989</v>
      </c>
      <c r="E1077" s="119" t="n">
        <v>62.56122970581055</v>
      </c>
      <c r="F1077" s="120" t="n">
        <v>12867300</v>
      </c>
      <c r="G1077" s="121" t="n">
        <v>-0.03522630755548406</v>
      </c>
      <c r="H1077" s="122" t="n">
        <v>40.71219053245913</v>
      </c>
      <c r="I1077" s="119" t="n">
        <v>64.62073120117188</v>
      </c>
      <c r="J1077" s="119" t="n">
        <v>65.99338800430297</v>
      </c>
      <c r="K1077" s="121" t="n">
        <v>0.3144620125443421</v>
      </c>
      <c r="L1077" s="121" t="n">
        <v>-0.1424748058312785</v>
      </c>
      <c r="M1077" s="121" t="n">
        <v>-0.2042016566140826</v>
      </c>
      <c r="N1077" t="n">
        <v>46.45573823174863</v>
      </c>
      <c r="O1077" t="n">
        <v>0.4143711481405588</v>
      </c>
      <c r="P1077" t="n">
        <v>162.5585582948889</v>
      </c>
      <c r="Q1077" t="n">
        <v>172.096602938786</v>
      </c>
    </row>
    <row r="1078">
      <c r="A1078" s="118" t="n">
        <v>46000</v>
      </c>
      <c r="B1078" s="119" t="n">
        <v>62.53168930632116</v>
      </c>
      <c r="C1078" s="119" t="n">
        <v>62.96491394318451</v>
      </c>
      <c r="D1078" s="119" t="n">
        <v>62.00001032934389</v>
      </c>
      <c r="E1078" s="119" t="n">
        <v>62.35446548461914</v>
      </c>
      <c r="F1078" s="120" t="n">
        <v>9300200</v>
      </c>
      <c r="G1078" s="121" t="n">
        <v>-0.003304989722288099</v>
      </c>
      <c r="H1078" s="122" t="n">
        <v>40.57763716117751</v>
      </c>
      <c r="I1078" s="119" t="n">
        <v>64.50693550109864</v>
      </c>
      <c r="J1078" s="119" t="n">
        <v>65.91901454925537</v>
      </c>
      <c r="K1078" s="121" t="n">
        <v>0.3140642627743592</v>
      </c>
      <c r="L1078" s="121" t="n">
        <v>-0.1453089177846092</v>
      </c>
      <c r="M1078" s="121" t="n">
        <v>-0.206831761959987</v>
      </c>
      <c r="N1078" t="n">
        <v>45.67388254271675</v>
      </c>
      <c r="O1078" t="n">
        <v>0.2710507656371408</v>
      </c>
      <c r="P1078" t="n">
        <v>162.418251061852</v>
      </c>
      <c r="Q1078" t="n">
        <v>172.3088575210085</v>
      </c>
    </row>
    <row r="1079">
      <c r="A1079" s="118" t="n">
        <v>46001</v>
      </c>
      <c r="B1079" s="119" t="n">
        <v>62.994453029406</v>
      </c>
      <c r="C1079" s="119" t="n">
        <v>65.13102834998018</v>
      </c>
      <c r="D1079" s="119" t="n">
        <v>62.77784070269215</v>
      </c>
      <c r="E1079" s="119" t="n">
        <v>64.77657318115234</v>
      </c>
      <c r="F1079" s="120" t="n">
        <v>20302100</v>
      </c>
      <c r="G1079" s="121" t="n">
        <v>0.03884417383275718</v>
      </c>
      <c r="H1079" s="122" t="n">
        <v>42.15384195278883</v>
      </c>
      <c r="I1079" s="119" t="n">
        <v>64.43806007385254</v>
      </c>
      <c r="J1079" s="119" t="n">
        <v>65.84982528686524</v>
      </c>
      <c r="K1079" s="121" t="n">
        <v>0.3143589516091717</v>
      </c>
      <c r="L1079" s="121" t="n">
        <v>-0.1121091488137275</v>
      </c>
      <c r="M1079" s="121" t="n">
        <v>-0.176021797042939</v>
      </c>
      <c r="N1079" t="n">
        <v>55.18828545234965</v>
      </c>
      <c r="O1079" t="n">
        <v>0.3250980971810852</v>
      </c>
      <c r="P1079" t="n">
        <v>163.4954471122356</v>
      </c>
      <c r="Q1079" t="n">
        <v>173.0145714991354</v>
      </c>
    </row>
    <row r="1080">
      <c r="A1080" s="118" t="n">
        <v>46002</v>
      </c>
      <c r="B1080" s="119" t="n">
        <v>64.81595868539333</v>
      </c>
      <c r="C1080" s="119" t="n">
        <v>66.77530268865083</v>
      </c>
      <c r="D1080" s="119" t="n">
        <v>64.55011354971157</v>
      </c>
      <c r="E1080" s="119" t="n">
        <v>66.696533203125</v>
      </c>
      <c r="F1080" s="120" t="n">
        <v>16153500</v>
      </c>
      <c r="G1080" s="121" t="n">
        <v>0.02963972818696892</v>
      </c>
      <c r="H1080" s="122" t="n">
        <v>43.40327037030594</v>
      </c>
      <c r="I1080" s="119" t="n">
        <v>64.32011940002441</v>
      </c>
      <c r="J1080" s="119" t="n">
        <v>65.79288131713867</v>
      </c>
      <c r="K1080" s="121" t="n">
        <v>0.3252884022219927</v>
      </c>
      <c r="L1080" s="121" t="n">
        <v>-0.08579230532486981</v>
      </c>
      <c r="M1080" s="121" t="n">
        <v>-0.1515993070753046</v>
      </c>
      <c r="N1080" t="n">
        <v>61.01651853275037</v>
      </c>
      <c r="O1080" t="n">
        <v>0.4672315820073907</v>
      </c>
      <c r="P1080" t="n">
        <v>163.8758921940559</v>
      </c>
      <c r="Q1080" t="n">
        <v>172.4549651385906</v>
      </c>
    </row>
    <row r="1081">
      <c r="A1081" s="118" t="n">
        <v>46003</v>
      </c>
      <c r="B1081" s="119" t="n">
        <v>67.11990878838311</v>
      </c>
      <c r="C1081" s="119" t="n">
        <v>68.07496812837108</v>
      </c>
      <c r="D1081" s="119" t="n">
        <v>66.08608747592564</v>
      </c>
      <c r="E1081" s="119" t="n">
        <v>66.43069458007812</v>
      </c>
      <c r="F1081" s="120" t="n">
        <v>14829200</v>
      </c>
      <c r="G1081" s="121" t="n">
        <v>-0.003985793717902308</v>
      </c>
      <c r="H1081" s="122" t="n">
        <v>43.23027388792756</v>
      </c>
      <c r="I1081" s="119" t="n">
        <v>64.18962211608887</v>
      </c>
      <c r="J1081" s="119" t="n">
        <v>65.74013961791992</v>
      </c>
      <c r="K1081" s="121" t="n">
        <v>0.3119444249751807</v>
      </c>
      <c r="L1081" s="121" t="n">
        <v>-0.08943614861116389</v>
      </c>
      <c r="M1081" s="121" t="n">
        <v>-0.1549808572274278</v>
      </c>
      <c r="N1081" t="n">
        <v>59.85570758245949</v>
      </c>
      <c r="O1081" t="n">
        <v>0.5165674106720736</v>
      </c>
      <c r="P1081" t="n">
        <v>162.1138862162185</v>
      </c>
      <c r="Q1081" t="n">
        <v>169.1579349549217</v>
      </c>
    </row>
    <row r="1082">
      <c r="A1082" s="118" t="n">
        <v>46006</v>
      </c>
      <c r="B1082" s="119" t="n">
        <v>66.37162801053161</v>
      </c>
      <c r="C1082" s="119" t="n">
        <v>67.29714325463979</v>
      </c>
      <c r="D1082" s="119" t="n">
        <v>65.66271760270592</v>
      </c>
      <c r="E1082" s="119" t="n">
        <v>66.73592376708984</v>
      </c>
      <c r="F1082" s="120" t="n">
        <v>15287500</v>
      </c>
      <c r="G1082" s="121" t="n">
        <v>0.00459470112334559</v>
      </c>
      <c r="H1082" s="122" t="n">
        <v>43.42890407592296</v>
      </c>
      <c r="I1082" s="119" t="n">
        <v>64.11688636779785</v>
      </c>
      <c r="J1082" s="119" t="n">
        <v>65.69176197052002</v>
      </c>
      <c r="K1082" s="121" t="n">
        <v>0.2915120082431812</v>
      </c>
      <c r="L1082" s="121" t="n">
        <v>-0.08525237986030976</v>
      </c>
      <c r="M1082" s="121" t="n">
        <v>-0.1510982468228821</v>
      </c>
      <c r="N1082" t="n">
        <v>60.7783482970885</v>
      </c>
      <c r="O1082" t="n">
        <v>0.5404200524814479</v>
      </c>
      <c r="P1082" t="n">
        <v>161.8689631708141</v>
      </c>
      <c r="Q1082" t="n">
        <v>168.3088490774338</v>
      </c>
    </row>
    <row r="1083">
      <c r="A1083" s="118" t="n">
        <v>46007</v>
      </c>
      <c r="B1083" s="119" t="n">
        <v>66.25346961482708</v>
      </c>
      <c r="C1083" s="119" t="n">
        <v>67.14944812103592</v>
      </c>
      <c r="D1083" s="119" t="n">
        <v>65.71193877841881</v>
      </c>
      <c r="E1083" s="119" t="n">
        <v>66.08609008789062</v>
      </c>
      <c r="F1083" s="120" t="n">
        <v>16376700</v>
      </c>
      <c r="G1083" s="121" t="n">
        <v>-0.009737389437616151</v>
      </c>
      <c r="H1083" s="122" t="n">
        <v>43.00601992408682</v>
      </c>
      <c r="I1083" s="119" t="n">
        <v>64.04602485656739</v>
      </c>
      <c r="J1083" s="119" t="n">
        <v>65.64313236236572</v>
      </c>
      <c r="K1083" s="121" t="n">
        <v>0.2830482322021484</v>
      </c>
      <c r="L1083" s="121" t="n">
        <v>-0.09415963367474245</v>
      </c>
      <c r="M1083" s="121" t="n">
        <v>-0.1593643337878428</v>
      </c>
      <c r="N1083" t="n">
        <v>57.73595070396757</v>
      </c>
      <c r="O1083" t="n">
        <v>0.4848683240271016</v>
      </c>
      <c r="P1083" t="n">
        <v>161.4266910072686</v>
      </c>
      <c r="Q1083" t="n">
        <v>168.6424040546044</v>
      </c>
    </row>
    <row r="1084">
      <c r="A1084" s="118" t="n">
        <v>46008</v>
      </c>
      <c r="B1084" s="119" t="n">
        <v>65.53470958627788</v>
      </c>
      <c r="C1084" s="119" t="n">
        <v>65.80055472197226</v>
      </c>
      <c r="D1084" s="119" t="n">
        <v>64.60919442285609</v>
      </c>
      <c r="E1084" s="119" t="n">
        <v>64.67811584472656</v>
      </c>
      <c r="F1084" s="120" t="n">
        <v>13205500</v>
      </c>
      <c r="G1084" s="121" t="n">
        <v>-0.02130515273776279</v>
      </c>
      <c r="H1084" s="122" t="n">
        <v>42.08977010096088</v>
      </c>
      <c r="I1084" s="119" t="n">
        <v>63.99122520446777</v>
      </c>
      <c r="J1084" s="119" t="n">
        <v>65.59273231506347</v>
      </c>
      <c r="K1084" s="121" t="n">
        <v>0.294767533481222</v>
      </c>
      <c r="L1084" s="121" t="n">
        <v>-0.1134587010353332</v>
      </c>
      <c r="M1084" s="121" t="n">
        <v>-0.1772742050533037</v>
      </c>
      <c r="N1084" t="n">
        <v>51.69764604230687</v>
      </c>
      <c r="O1084" t="n">
        <v>0.3329717153833122</v>
      </c>
      <c r="P1084" t="n">
        <v>159.6504172413408</v>
      </c>
      <c r="Q1084" t="n">
        <v>165.5162887111515</v>
      </c>
    </row>
    <row r="1085">
      <c r="A1085" s="118" t="n">
        <v>46009</v>
      </c>
      <c r="B1085" s="119" t="n">
        <v>64.99318510708291</v>
      </c>
      <c r="C1085" s="119" t="n">
        <v>65.96793305941291</v>
      </c>
      <c r="D1085" s="119" t="n">
        <v>64.39258093648779</v>
      </c>
      <c r="E1085" s="119" t="n">
        <v>64.61903381347656</v>
      </c>
      <c r="F1085" s="120" t="n">
        <v>35650000</v>
      </c>
      <c r="G1085" s="121" t="n">
        <v>-0.0009134779280187688</v>
      </c>
      <c r="H1085" s="122" t="n">
        <v>42.05132202497827</v>
      </c>
      <c r="I1085" s="119" t="n">
        <v>63.93172203063965</v>
      </c>
      <c r="J1085" s="119" t="n">
        <v>65.53966808319092</v>
      </c>
      <c r="K1085" s="121" t="n">
        <v>0.2950888590564654</v>
      </c>
      <c r="L1085" s="121" t="n">
        <v>-0.1142685369442143</v>
      </c>
      <c r="M1085" s="121" t="n">
        <v>-0.1780257469077993</v>
      </c>
      <c r="N1085" t="n">
        <v>51.45446085206816</v>
      </c>
      <c r="O1085" t="n">
        <v>0.2139749133832111</v>
      </c>
      <c r="P1085" t="n">
        <v>160.8559794836517</v>
      </c>
      <c r="Q1085" t="n">
        <v>167.9146523463637</v>
      </c>
    </row>
    <row r="1086">
      <c r="A1086" s="118" t="n">
        <v>46010</v>
      </c>
      <c r="B1086" s="119" t="n">
        <v>58.28808726496187</v>
      </c>
      <c r="C1086" s="119" t="n">
        <v>59.44991091148832</v>
      </c>
      <c r="D1086" s="119" t="n">
        <v>57.32318358081777</v>
      </c>
      <c r="E1086" s="119" t="n">
        <v>57.80563354492188</v>
      </c>
      <c r="F1086" s="120" t="n">
        <v>108652700</v>
      </c>
      <c r="G1086" s="121" t="n">
        <v>-0.1054395255772723</v>
      </c>
      <c r="H1086" s="122" t="n">
        <v>37.61745058076745</v>
      </c>
      <c r="I1086" s="119" t="n">
        <v>63.75610481262207</v>
      </c>
      <c r="J1086" s="119" t="n">
        <v>65.45302024841308</v>
      </c>
      <c r="K1086" s="121" t="n">
        <v>0.4807263209492719</v>
      </c>
      <c r="L1086" s="121" t="n">
        <v>-0.2076596421976799</v>
      </c>
      <c r="M1086" s="121" t="n">
        <v>-0.2646943221905736</v>
      </c>
      <c r="N1086" t="n">
        <v>32.47983178948409</v>
      </c>
      <c r="O1086" t="n">
        <v>-0.3096954208901594</v>
      </c>
      <c r="P1086" t="n">
        <v>162.313898654803</v>
      </c>
      <c r="Q1086" t="n">
        <v>170.1034633432755</v>
      </c>
    </row>
    <row r="1087">
      <c r="A1087" s="118" t="n">
        <v>46013</v>
      </c>
      <c r="B1087" s="119" t="n">
        <v>58.08132028849413</v>
      </c>
      <c r="C1087" s="119" t="n">
        <v>58.16993407964069</v>
      </c>
      <c r="D1087" s="119" t="n">
        <v>56.25981541624509</v>
      </c>
      <c r="E1087" s="119" t="n">
        <v>56.33858489990234</v>
      </c>
      <c r="F1087" s="120" t="n">
        <v>38695900</v>
      </c>
      <c r="G1087" s="121" t="n">
        <v>-0.02537899085353779</v>
      </c>
      <c r="H1087" s="122" t="n">
        <v>36.66275764654475</v>
      </c>
      <c r="I1087" s="119" t="n">
        <v>63.60671676635742</v>
      </c>
      <c r="J1087" s="119" t="n">
        <v>65.35478302001952</v>
      </c>
      <c r="K1087" s="121" t="n">
        <v>0.479220612826848</v>
      </c>
      <c r="L1087" s="121" t="n">
        <v>-0.2277684408912337</v>
      </c>
      <c r="M1087" s="121" t="n">
        <v>-0.2833556382622535</v>
      </c>
      <c r="N1087" t="n">
        <v>29.92127178716422</v>
      </c>
      <c r="O1087" t="n">
        <v>-0.7176580920455491</v>
      </c>
      <c r="P1087" t="n">
        <v>163.3250824056216</v>
      </c>
      <c r="Q1087" t="n">
        <v>170.918859357486</v>
      </c>
    </row>
    <row r="1088">
      <c r="A1088" s="118" t="n">
        <v>46014</v>
      </c>
      <c r="B1088" s="119" t="n">
        <v>56.29920230093564</v>
      </c>
      <c r="C1088" s="119" t="n">
        <v>56.71273083806883</v>
      </c>
      <c r="D1088" s="119" t="n">
        <v>56.11213040403289</v>
      </c>
      <c r="E1088" s="119" t="n">
        <v>56.45673751831055</v>
      </c>
      <c r="F1088" s="120" t="n">
        <v>23276700</v>
      </c>
      <c r="G1088" s="121" t="n">
        <v>0.00209718825238725</v>
      </c>
      <c r="H1088" s="122" t="n">
        <v>36.7396463511812</v>
      </c>
      <c r="I1088" s="119" t="n">
        <v>63.41742729187012</v>
      </c>
      <c r="J1088" s="119" t="n">
        <v>65.26772371292114</v>
      </c>
      <c r="K1088" s="121" t="n">
        <v>0.478158389868222</v>
      </c>
      <c r="L1088" s="121" t="n">
        <v>-0.2261489259373481</v>
      </c>
      <c r="M1088" s="121" t="n">
        <v>-0.2818527001256775</v>
      </c>
      <c r="N1088" t="n">
        <v>30.39681987200883</v>
      </c>
      <c r="O1088" t="n">
        <v>-0.9289118349683767</v>
      </c>
      <c r="P1088" t="n">
        <v>164.0715584448836</v>
      </c>
      <c r="Q1088" t="n">
        <v>171.7193271315275</v>
      </c>
    </row>
    <row r="1089">
      <c r="A1089" s="118" t="n">
        <v>46015</v>
      </c>
      <c r="B1089" s="119" t="n">
        <v>57.97301342145365</v>
      </c>
      <c r="C1089" s="119" t="n">
        <v>59.64682736945881</v>
      </c>
      <c r="D1089" s="119" t="n">
        <v>57.97301342145365</v>
      </c>
      <c r="E1089" s="119" t="n">
        <v>59.07575988769531</v>
      </c>
      <c r="F1089" s="120" t="n">
        <v>36073300</v>
      </c>
      <c r="G1089" s="121" t="n">
        <v>0.04638989931955129</v>
      </c>
      <c r="H1089" s="122" t="n">
        <v>38.44399484644841</v>
      </c>
      <c r="I1089" s="119" t="n">
        <v>63.27543067932129</v>
      </c>
      <c r="J1089" s="119" t="n">
        <v>65.20454011917114</v>
      </c>
      <c r="K1089" s="121" t="n">
        <v>0.4978442620255996</v>
      </c>
      <c r="L1089" s="121" t="n">
        <v>-0.1902500525232552</v>
      </c>
      <c r="M1089" s="121" t="n">
        <v>-0.2485379191879</v>
      </c>
      <c r="N1089" t="n">
        <v>40.10002873972534</v>
      </c>
      <c r="O1089" t="n">
        <v>-0.8440811192849382</v>
      </c>
      <c r="P1089" t="n">
        <v>164.6487087651772</v>
      </c>
      <c r="Q1089" t="n">
        <v>172.2217198295241</v>
      </c>
    </row>
    <row r="1090">
      <c r="A1090" s="118" t="n">
        <v>46017</v>
      </c>
      <c r="B1090" s="119" t="n">
        <v>59.0757614024262</v>
      </c>
      <c r="C1090" s="119" t="n">
        <v>59.99143600463867</v>
      </c>
      <c r="D1090" s="119" t="n">
        <v>58.9379185601036</v>
      </c>
      <c r="E1090" s="119" t="n">
        <v>59.99143600463867</v>
      </c>
      <c r="F1090" s="120" t="n">
        <v>22303600</v>
      </c>
      <c r="G1090" s="121" t="n">
        <v>0.01550003112417153</v>
      </c>
      <c r="H1090" s="122" t="n">
        <v>39.03987796310586</v>
      </c>
      <c r="I1090" s="119" t="n">
        <v>63.13570266723633</v>
      </c>
      <c r="J1090" s="119" t="n">
        <v>65.14878711700439</v>
      </c>
      <c r="K1090" s="121" t="n">
        <v>0.4999394728574921</v>
      </c>
      <c r="L1090" s="121" t="n">
        <v>-0.1776989031345693</v>
      </c>
      <c r="M1090" s="121" t="n">
        <v>-0.2368902335466778</v>
      </c>
      <c r="N1090" t="n">
        <v>43.08735351569159</v>
      </c>
      <c r="O1090" t="n">
        <v>-0.6848971142409835</v>
      </c>
      <c r="P1090" t="n">
        <v>164.6320117947042</v>
      </c>
      <c r="Q1090" t="n">
        <v>172.2106587465934</v>
      </c>
    </row>
    <row r="1091">
      <c r="A1091" s="118" t="n">
        <v>46020</v>
      </c>
      <c r="B1091" s="119" t="n">
        <v>59.60744661599452</v>
      </c>
      <c r="C1091" s="119" t="n">
        <v>60.7988069520101</v>
      </c>
      <c r="D1091" s="119" t="n">
        <v>59.57790618003809</v>
      </c>
      <c r="E1091" s="119" t="n">
        <v>60.26712417602539</v>
      </c>
      <c r="F1091" s="120" t="n">
        <v>18062100</v>
      </c>
      <c r="G1091" s="121" t="n">
        <v>0.004595458781240014</v>
      </c>
      <c r="H1091" s="122" t="n">
        <v>39.21928411310995</v>
      </c>
      <c r="I1091" s="119" t="n">
        <v>63.03318702697754</v>
      </c>
      <c r="J1091" s="119" t="n">
        <v>65.09895685195923</v>
      </c>
      <c r="K1091" s="121" t="n">
        <v>0.4999276995804242</v>
      </c>
      <c r="L1091" s="121" t="n">
        <v>-0.1436009333153514</v>
      </c>
      <c r="M1091" s="121" t="n">
        <v>-0.2333833940693798</v>
      </c>
      <c r="N1091" t="n">
        <v>43.99300074066238</v>
      </c>
      <c r="O1091" t="n">
        <v>-0.5267361129650463</v>
      </c>
      <c r="P1091" t="n">
        <v>164.0453203484261</v>
      </c>
      <c r="Q1091" t="n">
        <v>171.3770583852084</v>
      </c>
    </row>
    <row r="1092">
      <c r="A1092" s="118" t="n">
        <v>46021</v>
      </c>
      <c r="B1092" s="119" t="n">
        <v>60.35573505680147</v>
      </c>
      <c r="C1092" s="119" t="n">
        <v>60.35573505680147</v>
      </c>
      <c r="D1092" s="119" t="n">
        <v>59.70590183618617</v>
      </c>
      <c r="E1092" s="119" t="n">
        <v>60.24742889404297</v>
      </c>
      <c r="F1092" s="120" t="n">
        <v>13507800</v>
      </c>
      <c r="G1092" s="121" t="n">
        <v>-0.0003267997644105236</v>
      </c>
      <c r="H1092" s="122" t="n">
        <v>39.20646726030144</v>
      </c>
      <c r="I1092" s="119" t="n">
        <v>62.91990684509278</v>
      </c>
      <c r="J1092" s="119" t="n">
        <v>65.05376577377319</v>
      </c>
      <c r="K1092" s="121" t="n">
        <v>0.4943279808374805</v>
      </c>
      <c r="L1092" s="121" t="n">
        <v>-0.1347386065576109</v>
      </c>
      <c r="M1092" s="121" t="n">
        <v>-0.2336339241955911</v>
      </c>
      <c r="N1092" t="n">
        <v>43.93920706148224</v>
      </c>
      <c r="O1092" t="n">
        <v>-0.395157515442764</v>
      </c>
      <c r="P1092" t="n">
        <v>163.8449859700077</v>
      </c>
      <c r="Q1092" t="n">
        <v>170.9795686599834</v>
      </c>
    </row>
    <row r="1093">
      <c r="A1093" s="118" t="n">
        <v>46022</v>
      </c>
      <c r="B1093" s="119" t="n">
        <v>61.29110171703891</v>
      </c>
      <c r="C1093" s="119" t="n">
        <v>63.2110609347518</v>
      </c>
      <c r="D1093" s="119" t="n">
        <v>60.9661832303886</v>
      </c>
      <c r="E1093" s="119" t="n">
        <v>62.72861099243164</v>
      </c>
      <c r="F1093" s="120" t="n">
        <v>35457400</v>
      </c>
      <c r="G1093" s="121" t="n">
        <v>0.041183203066679</v>
      </c>
      <c r="H1093" s="122" t="n">
        <v>40.82111516300953</v>
      </c>
      <c r="I1093" s="119" t="n">
        <v>62.85135848999023</v>
      </c>
      <c r="J1093" s="119" t="n">
        <v>65.01111858367921</v>
      </c>
      <c r="K1093" s="121" t="n">
        <v>0.5179609175072328</v>
      </c>
      <c r="L1093" s="121" t="n">
        <v>-0.07984010725918933</v>
      </c>
      <c r="M1093" s="121" t="n">
        <v>-0.2020725144723242</v>
      </c>
      <c r="N1093" t="n">
        <v>51.91601656701156</v>
      </c>
      <c r="O1093" t="n">
        <v>-0.1266370252924238</v>
      </c>
      <c r="P1093" t="n">
        <v>162.6310825592747</v>
      </c>
      <c r="Q1093" t="n">
        <v>169.5663168915822</v>
      </c>
    </row>
    <row r="1094">
      <c r="A1094" s="118" t="n">
        <v>46024</v>
      </c>
      <c r="B1094" s="119" t="n">
        <v>63.01414717401337</v>
      </c>
      <c r="C1094" s="119" t="n">
        <v>63.14214195618677</v>
      </c>
      <c r="D1094" s="119" t="n">
        <v>61.58648215091496</v>
      </c>
      <c r="E1094" s="119" t="n">
        <v>62.30523681640625</v>
      </c>
      <c r="F1094" s="120" t="n">
        <v>22284100</v>
      </c>
      <c r="G1094" s="121" t="n">
        <v>-0.006749299391891062</v>
      </c>
      <c r="H1094" s="122" t="n">
        <v>40.54560123526352</v>
      </c>
      <c r="I1094" s="119" t="n">
        <v>62.75986312866211</v>
      </c>
      <c r="J1094" s="119" t="n">
        <v>64.96823986053467</v>
      </c>
      <c r="K1094" s="121" t="n">
        <v>0.5165704251274129</v>
      </c>
      <c r="L1094" s="121" t="n">
        <v>-0.08605054186370731</v>
      </c>
      <c r="M1094" s="121" t="n">
        <v>-0.2074579659651694</v>
      </c>
      <c r="N1094" t="n">
        <v>50.59316165786436</v>
      </c>
      <c r="O1094" t="n">
        <v>0.02856633788574725</v>
      </c>
      <c r="P1094" t="n">
        <v>162.9291842117772</v>
      </c>
      <c r="Q1094" t="n">
        <v>169.2378618335643</v>
      </c>
    </row>
    <row r="1095">
      <c r="A1095" s="118" t="n">
        <v>46027</v>
      </c>
      <c r="B1095" s="119" t="n">
        <v>62.75814845219112</v>
      </c>
      <c r="C1095" s="119" t="n">
        <v>64.36304092655959</v>
      </c>
      <c r="D1095" s="119" t="n">
        <v>62.41353761093207</v>
      </c>
      <c r="E1095" s="119" t="n">
        <v>63.53597640991211</v>
      </c>
      <c r="F1095" s="120" t="n">
        <v>23482500</v>
      </c>
      <c r="G1095" s="121" t="n">
        <v>0.01975338922364522</v>
      </c>
      <c r="H1095" s="122" t="n">
        <v>41.34651427777039</v>
      </c>
      <c r="I1095" s="119" t="n">
        <v>62.67889442443848</v>
      </c>
      <c r="J1095" s="119" t="n">
        <v>64.93306184768677</v>
      </c>
      <c r="K1095" s="121" t="n">
        <v>0.5219585389742321</v>
      </c>
      <c r="L1095" s="121" t="n">
        <v>-0.06799694248640153</v>
      </c>
      <c r="M1095" s="121" t="n">
        <v>-0.1918025746907799</v>
      </c>
      <c r="N1095" t="n">
        <v>54.24316544199257</v>
      </c>
      <c r="O1095" t="n">
        <v>0.2101052724338144</v>
      </c>
      <c r="P1095" t="n">
        <v>164.014326322605</v>
      </c>
      <c r="Q1095" t="n">
        <v>170.582095821908</v>
      </c>
    </row>
    <row r="1096">
      <c r="A1096" s="118" t="n">
        <v>46028</v>
      </c>
      <c r="B1096" s="119" t="n">
        <v>63.0732234081886</v>
      </c>
      <c r="C1096" s="119" t="n">
        <v>64.42212276189157</v>
      </c>
      <c r="D1096" s="119" t="n">
        <v>62.43323820034229</v>
      </c>
      <c r="E1096" s="119" t="n">
        <v>64.34335327148438</v>
      </c>
      <c r="F1096" s="120" t="n">
        <v>19973200</v>
      </c>
      <c r="G1096" s="121" t="n">
        <v>0.01270739677255217</v>
      </c>
      <c r="H1096" s="122" t="n">
        <v>41.87192083986001</v>
      </c>
      <c r="I1096" s="119" t="n">
        <v>62.60233299255371</v>
      </c>
      <c r="J1096" s="119" t="n">
        <v>64.90738348007203</v>
      </c>
      <c r="K1096" s="121" t="n">
        <v>0.5239485482718682</v>
      </c>
      <c r="L1096" s="121" t="n">
        <v>-0.05615360984134443</v>
      </c>
      <c r="M1096" s="121" t="n">
        <v>-0.1815324893368206</v>
      </c>
      <c r="N1096" t="n">
        <v>56.51283264039889</v>
      </c>
      <c r="O1096" t="n">
        <v>0.3711373690685887</v>
      </c>
      <c r="P1096" t="n">
        <v>164.9897454846102</v>
      </c>
      <c r="Q1096" t="n">
        <v>172.0809316640385</v>
      </c>
    </row>
    <row r="1097">
      <c r="A1097" s="118" t="n">
        <v>46029</v>
      </c>
      <c r="B1097" s="119" t="n">
        <v>64.51072878356035</v>
      </c>
      <c r="C1097" s="119" t="n">
        <v>64.59934633271267</v>
      </c>
      <c r="D1097" s="119" t="n">
        <v>62.21662197952141</v>
      </c>
      <c r="E1097" s="119" t="n">
        <v>62.24616241455078</v>
      </c>
      <c r="F1097" s="120" t="n">
        <v>18284100</v>
      </c>
      <c r="G1097" s="121" t="n">
        <v>-0.03259374512367896</v>
      </c>
      <c r="H1097" s="122" t="n">
        <v>40.50715812416675</v>
      </c>
      <c r="I1097" s="119" t="n">
        <v>62.49498085021973</v>
      </c>
      <c r="J1097" s="119" t="n">
        <v>64.8901697731018</v>
      </c>
      <c r="K1097" s="121" t="n">
        <v>0.5216696442667086</v>
      </c>
      <c r="L1097" s="121" t="n">
        <v>-0.08691709851808016</v>
      </c>
      <c r="M1097" s="121" t="n">
        <v>-0.2082094107713882</v>
      </c>
      <c r="N1097" t="n">
        <v>49.62680356283495</v>
      </c>
      <c r="O1097" t="n">
        <v>0.324665985051539</v>
      </c>
      <c r="P1097" t="n">
        <v>164.4579155127434</v>
      </c>
      <c r="Q1097" t="n">
        <v>172.246560826457</v>
      </c>
    </row>
    <row r="1098">
      <c r="A1098" s="118" t="n">
        <v>46030</v>
      </c>
      <c r="B1098" s="119" t="n">
        <v>61.22218760315667</v>
      </c>
      <c r="C1098" s="119" t="n">
        <v>64.72734741868122</v>
      </c>
      <c r="D1098" s="119" t="n">
        <v>60.74958191193772</v>
      </c>
      <c r="E1098" s="119" t="n">
        <v>64.25474548339844</v>
      </c>
      <c r="F1098" s="120" t="n">
        <v>21573900</v>
      </c>
      <c r="G1098" s="121" t="n">
        <v>0.03226838396029574</v>
      </c>
      <c r="H1098" s="122" t="n">
        <v>41.81425865565777</v>
      </c>
      <c r="I1098" s="119" t="n">
        <v>62.43797538757324</v>
      </c>
      <c r="J1098" s="119" t="n">
        <v>64.88565782546998</v>
      </c>
      <c r="K1098" s="121" t="n">
        <v>0.533575285286125</v>
      </c>
      <c r="L1098" s="121" t="n">
        <v>-0.05745338886548079</v>
      </c>
      <c r="M1098" s="121" t="n">
        <v>-0.1826596080220105</v>
      </c>
      <c r="N1098" t="n">
        <v>55.25078320339112</v>
      </c>
      <c r="O1098" t="n">
        <v>0.4118524667666013</v>
      </c>
      <c r="P1098" t="n">
        <v>164.4412185422704</v>
      </c>
      <c r="Q1098" t="n">
        <v>171.2666502016958</v>
      </c>
    </row>
    <row r="1099">
      <c r="A1099" s="118" t="n">
        <v>46031</v>
      </c>
      <c r="B1099" s="119" t="n">
        <v>64.10704357971909</v>
      </c>
      <c r="C1099" s="119" t="n">
        <v>65.51501610350279</v>
      </c>
      <c r="D1099" s="119" t="n">
        <v>63.40798134929096</v>
      </c>
      <c r="E1099" s="119" t="n">
        <v>64.90456390380859</v>
      </c>
      <c r="F1099" s="120" t="n">
        <v>18470400</v>
      </c>
      <c r="G1099" s="121" t="n">
        <v>0.0101131584215528</v>
      </c>
      <c r="H1099" s="122" t="n">
        <v>42.23713287772222</v>
      </c>
      <c r="I1099" s="119" t="n">
        <v>62.41666389465332</v>
      </c>
      <c r="J1099" s="119" t="n">
        <v>64.8885041999817</v>
      </c>
      <c r="K1099" s="121" t="n">
        <v>0.5167853681872397</v>
      </c>
      <c r="L1099" s="121" t="n">
        <v>-0.04792126566737964</v>
      </c>
      <c r="M1099" s="121" t="n">
        <v>-0.1743937151536031</v>
      </c>
      <c r="N1099" t="n">
        <v>56.92627967549344</v>
      </c>
      <c r="O1099" t="n">
        <v>0.490590769276802</v>
      </c>
      <c r="P1099" t="n">
        <v>165.5287313009655</v>
      </c>
      <c r="Q1099" t="n">
        <v>172.9725056096999</v>
      </c>
    </row>
    <row r="1100">
      <c r="A1100" s="118" t="n">
        <v>46034</v>
      </c>
      <c r="B1100" s="119" t="n">
        <v>64.24489150777713</v>
      </c>
      <c r="C1100" s="119" t="n">
        <v>65.31809758397111</v>
      </c>
      <c r="D1100" s="119" t="n">
        <v>63.25044740563536</v>
      </c>
      <c r="E1100" s="119" t="n">
        <v>64.62888336181641</v>
      </c>
      <c r="F1100" s="120" t="n">
        <v>13901100</v>
      </c>
      <c r="G1100" s="121" t="n">
        <v>-0.004247475453355798</v>
      </c>
      <c r="H1100" s="122" t="n">
        <v>42.05773169260398</v>
      </c>
      <c r="I1100" s="119" t="n">
        <v>62.43053810119629</v>
      </c>
      <c r="J1100" s="119" t="n">
        <v>64.89383958816528</v>
      </c>
      <c r="K1100" s="121" t="n">
        <v>0.5054214853419124</v>
      </c>
      <c r="L1100" s="121" t="n">
        <v>-0.05196519672111932</v>
      </c>
      <c r="M1100" s="121" t="n">
        <v>-0.1779004575826245</v>
      </c>
      <c r="N1100" t="n">
        <v>55.96885789520072</v>
      </c>
      <c r="O1100" t="n">
        <v>0.4997249875576888</v>
      </c>
      <c r="P1100" t="n">
        <v>165.7886830831585</v>
      </c>
      <c r="Q1100" t="n">
        <v>173.1160294934065</v>
      </c>
    </row>
    <row r="1101">
      <c r="A1101" s="118" t="n">
        <v>46035</v>
      </c>
      <c r="B1101" s="119" t="n">
        <v>65.22949186048358</v>
      </c>
      <c r="C1101" s="119" t="n">
        <v>66.0467084292831</v>
      </c>
      <c r="D1101" s="119" t="n">
        <v>64.83565191668737</v>
      </c>
      <c r="E1101" s="119" t="n">
        <v>65.27872467041016</v>
      </c>
      <c r="F1101" s="120" t="n">
        <v>13685200</v>
      </c>
      <c r="G1101" s="121" t="n">
        <v>0.0100549672962118</v>
      </c>
      <c r="H1101" s="122" t="n">
        <v>42.48062080932596</v>
      </c>
      <c r="I1101" s="119" t="n">
        <v>62.46621429443359</v>
      </c>
      <c r="J1101" s="119" t="n">
        <v>64.90213413238526</v>
      </c>
      <c r="K1101" s="121" t="n">
        <v>0.5068039922794103</v>
      </c>
      <c r="L1101" s="121" t="n">
        <v>-0.04243273777847967</v>
      </c>
      <c r="M1101" s="121" t="n">
        <v>-0.1696342735693871</v>
      </c>
      <c r="N1101" t="n">
        <v>57.77178874748241</v>
      </c>
      <c r="O1101" t="n">
        <v>0.5226795514689381</v>
      </c>
      <c r="P1101" t="n">
        <v>165.45718748971</v>
      </c>
      <c r="Q1101" t="n">
        <v>172.8593279336671</v>
      </c>
    </row>
    <row r="1102">
      <c r="A1102" s="118" t="n">
        <v>46036</v>
      </c>
      <c r="B1102" s="119" t="n">
        <v>65.26887744660395</v>
      </c>
      <c r="C1102" s="119" t="n">
        <v>66.0959345785422</v>
      </c>
      <c r="D1102" s="119" t="n">
        <v>64.03813230131094</v>
      </c>
      <c r="E1102" s="119" t="n">
        <v>64.55996704101562</v>
      </c>
      <c r="F1102" s="120" t="n">
        <v>15939100</v>
      </c>
      <c r="G1102" s="121" t="n">
        <v>-0.01101059545852823</v>
      </c>
      <c r="H1102" s="122" t="n">
        <v>42.01288387876734</v>
      </c>
      <c r="I1102" s="119" t="n">
        <v>62.49358123779297</v>
      </c>
      <c r="J1102" s="119" t="n">
        <v>64.91896905899048</v>
      </c>
      <c r="K1102" s="121" t="n">
        <v>0.5078019856857172</v>
      </c>
      <c r="L1102" s="121" t="n">
        <v>-0.05297612352713121</v>
      </c>
      <c r="M1102" s="121" t="n">
        <v>-0.1787770946657414</v>
      </c>
      <c r="N1102" t="n">
        <v>55.08512511630394</v>
      </c>
      <c r="O1102" t="n">
        <v>0.4645610447551219</v>
      </c>
      <c r="P1102" t="n">
        <v>164.643923568556</v>
      </c>
      <c r="Q1102" t="n">
        <v>171.012701247327</v>
      </c>
    </row>
    <row r="1103">
      <c r="A1103" s="118" t="n">
        <v>46037</v>
      </c>
      <c r="B1103" s="119" t="n">
        <v>64.74703770244241</v>
      </c>
      <c r="C1103" s="119" t="n">
        <v>64.74703770244241</v>
      </c>
      <c r="D1103" s="119" t="n">
        <v>63.22091083548825</v>
      </c>
      <c r="E1103" s="119" t="n">
        <v>63.59505462646484</v>
      </c>
      <c r="F1103" s="120" t="n">
        <v>13295300</v>
      </c>
      <c r="G1103" s="121" t="n">
        <v>-0.01494598678989045</v>
      </c>
      <c r="H1103" s="122" t="n">
        <v>41.38495987131008</v>
      </c>
      <c r="I1103" s="119" t="n">
        <v>62.53960983276367</v>
      </c>
      <c r="J1103" s="119" t="n">
        <v>64.93006092071533</v>
      </c>
      <c r="K1103" s="121" t="n">
        <v>0.5093043215665932</v>
      </c>
      <c r="L1103" s="121" t="n">
        <v>-0.06713032987460554</v>
      </c>
      <c r="M1103" s="121" t="n">
        <v>-0.1910510813604227</v>
      </c>
      <c r="N1103" t="n">
        <v>51.61486231543603</v>
      </c>
      <c r="O1103" t="n">
        <v>0.341906324259878</v>
      </c>
      <c r="P1103" t="n">
        <v>165.0922979553155</v>
      </c>
      <c r="Q1103" t="n">
        <v>171.6282547342067</v>
      </c>
    </row>
    <row r="1104">
      <c r="A1104" s="118" t="n">
        <v>46038</v>
      </c>
      <c r="B1104" s="119" t="n">
        <v>63.39813465371602</v>
      </c>
      <c r="C1104" s="119" t="n">
        <v>63.5950508452858</v>
      </c>
      <c r="D1104" s="119" t="n">
        <v>62.69907240821072</v>
      </c>
      <c r="E1104" s="119" t="n">
        <v>63.38828659057617</v>
      </c>
      <c r="F1104" s="120" t="n">
        <v>15903000</v>
      </c>
      <c r="G1104" s="121" t="n">
        <v>-0.003251322561214187</v>
      </c>
      <c r="H1104" s="122" t="n">
        <v>41.25040401758555</v>
      </c>
      <c r="I1104" s="119" t="n">
        <v>62.60928817749024</v>
      </c>
      <c r="J1104" s="119" t="n">
        <v>64.93393098831177</v>
      </c>
      <c r="K1104" s="121" t="n">
        <v>0.5039554286557179</v>
      </c>
      <c r="L1104" s="121" t="n">
        <v>-0.07016339007975669</v>
      </c>
      <c r="M1104" s="121" t="n">
        <v>-0.1936812352304654</v>
      </c>
      <c r="N1104" t="n">
        <v>50.87523214158026</v>
      </c>
      <c r="O1104" t="n">
        <v>0.23283504777551</v>
      </c>
      <c r="P1104" t="n">
        <v>164.953966262168</v>
      </c>
      <c r="Q1104" t="n">
        <v>171.4847139633505</v>
      </c>
    </row>
    <row r="1105">
      <c r="A1105" s="118" t="n">
        <v>46042</v>
      </c>
      <c r="B1105" s="119" t="n">
        <v>62.51200608924314</v>
      </c>
      <c r="C1105" s="119" t="n">
        <v>63.5852159549622</v>
      </c>
      <c r="D1105" s="119" t="n">
        <v>62.04924473479652</v>
      </c>
      <c r="E1105" s="119" t="n">
        <v>62.64984893798828</v>
      </c>
      <c r="F1105" s="120" t="n">
        <v>20406000</v>
      </c>
      <c r="G1105" s="121" t="n">
        <v>-0.01164943386713457</v>
      </c>
      <c r="H1105" s="122" t="n">
        <v>40.7698601639901</v>
      </c>
      <c r="I1105" s="119" t="n">
        <v>62.64697883605957</v>
      </c>
      <c r="J1105" s="119" t="n">
        <v>64.93314199447632</v>
      </c>
      <c r="K1105" s="121" t="n">
        <v>0.5055080093633868</v>
      </c>
      <c r="L1105" s="121" t="n">
        <v>-0.08099546017426318</v>
      </c>
      <c r="M1105" s="121" t="n">
        <v>-0.2030743923564777</v>
      </c>
      <c r="N1105" t="n">
        <v>48.2177990204279</v>
      </c>
      <c r="O1105" t="n">
        <v>0.1035347163550345</v>
      </c>
      <c r="P1105" t="n">
        <v>161.5960313598658</v>
      </c>
      <c r="Q1105" t="n">
        <v>167.8411594716854</v>
      </c>
    </row>
    <row r="1106">
      <c r="A1106" s="118" t="n">
        <v>46043</v>
      </c>
      <c r="B1106" s="119" t="n">
        <v>62.89599324614213</v>
      </c>
      <c r="C1106" s="119" t="n">
        <v>64.41226822474781</v>
      </c>
      <c r="D1106" s="119" t="n">
        <v>62.63015187663665</v>
      </c>
      <c r="E1106" s="119" t="n">
        <v>64.40242767333984</v>
      </c>
      <c r="F1106" s="120" t="n">
        <v>17166400</v>
      </c>
      <c r="G1106" s="121" t="n">
        <v>0.02797418932464302</v>
      </c>
      <c r="H1106" s="122" t="n">
        <v>41.91036395095678</v>
      </c>
      <c r="I1106" s="119" t="n">
        <v>62.72402587890625</v>
      </c>
      <c r="J1106" s="119" t="n">
        <v>64.98646192550659</v>
      </c>
      <c r="K1106" s="121" t="n">
        <v>0.3322112136748433</v>
      </c>
      <c r="L1106" s="121" t="n">
        <v>-0.04749538267387921</v>
      </c>
      <c r="M1106" s="121" t="n">
        <v>-0.1807810445306017</v>
      </c>
      <c r="N1106" t="n">
        <v>54.31682654333222</v>
      </c>
      <c r="O1106" t="n">
        <v>0.1270682120825589</v>
      </c>
      <c r="P1106" t="n">
        <v>163.4610288172728</v>
      </c>
      <c r="Q1106" t="n">
        <v>170.1100999930339</v>
      </c>
    </row>
    <row r="1107">
      <c r="A1107" s="118" t="n">
        <v>46044</v>
      </c>
      <c r="B1107" s="119" t="n">
        <v>64.40243485810467</v>
      </c>
      <c r="C1107" s="119" t="n">
        <v>65.52487381727938</v>
      </c>
      <c r="D1107" s="119" t="n">
        <v>64.24489587554646</v>
      </c>
      <c r="E1107" s="119" t="n">
        <v>64.45166015625</v>
      </c>
      <c r="F1107" s="120" t="n">
        <v>11853700</v>
      </c>
      <c r="G1107" s="121" t="n">
        <v>0.0007644507309549908</v>
      </c>
      <c r="H1107" s="122" t="n">
        <v>41.94240235931368</v>
      </c>
      <c r="I1107" s="119" t="n">
        <v>62.81771110534668</v>
      </c>
      <c r="J1107" s="119" t="n">
        <v>65.03195470809936</v>
      </c>
      <c r="K1107" s="121" t="n">
        <v>0.3122110958076172</v>
      </c>
      <c r="L1107" s="121" t="n">
        <v>-0.03954038780120384</v>
      </c>
      <c r="M1107" s="121" t="n">
        <v>-0.180154792001281</v>
      </c>
      <c r="N1107" t="n">
        <v>54.47902641767897</v>
      </c>
      <c r="O1107" t="n">
        <v>0.1361681323879309</v>
      </c>
      <c r="P1107" t="n">
        <v>164.3148278902324</v>
      </c>
      <c r="Q1107" t="n">
        <v>171.3466952903849</v>
      </c>
    </row>
    <row r="1108">
      <c r="A1108" s="118" t="n">
        <v>46045</v>
      </c>
      <c r="B1108" s="119" t="n">
        <v>64.24489599495503</v>
      </c>
      <c r="C1108" s="119" t="n">
        <v>64.44181221164663</v>
      </c>
      <c r="D1108" s="119" t="n">
        <v>63.4473755519202</v>
      </c>
      <c r="E1108" s="119" t="n">
        <v>64.03813171386719</v>
      </c>
      <c r="F1108" s="120" t="n">
        <v>11243900</v>
      </c>
      <c r="G1108" s="121" t="n">
        <v>-0.006416102259899858</v>
      </c>
      <c r="H1108" s="122" t="n">
        <v>41.67329561675046</v>
      </c>
      <c r="I1108" s="119" t="n">
        <v>62.90880020141601</v>
      </c>
      <c r="J1108" s="119" t="n">
        <v>65.08330814361572</v>
      </c>
      <c r="K1108" s="121" t="n">
        <v>0.3154055303685296</v>
      </c>
      <c r="L1108" s="121" t="n">
        <v>-0.04042488514339027</v>
      </c>
      <c r="M1108" s="121" t="n">
        <v>-0.1854150026930896</v>
      </c>
      <c r="N1108" t="n">
        <v>52.78377912607895</v>
      </c>
      <c r="O1108" t="n">
        <v>0.1059016585082087</v>
      </c>
      <c r="P1108" t="n">
        <v>164.3744306603783</v>
      </c>
      <c r="Q1108" t="n">
        <v>171.8877088993165</v>
      </c>
    </row>
    <row r="1109">
      <c r="A1109" s="118" t="n">
        <v>46048</v>
      </c>
      <c r="B1109" s="119" t="n">
        <v>63.81166782614764</v>
      </c>
      <c r="C1109" s="119" t="n">
        <v>64.62888435343531</v>
      </c>
      <c r="D1109" s="119" t="n">
        <v>63.78213114644091</v>
      </c>
      <c r="E1109" s="119" t="n">
        <v>63.98889541625977</v>
      </c>
      <c r="F1109" s="120" t="n">
        <v>14765900</v>
      </c>
      <c r="G1109" s="121" t="n">
        <v>-0.0007688590577160648</v>
      </c>
      <c r="H1109" s="122" t="n">
        <v>41.64125472595064</v>
      </c>
      <c r="I1109" s="119" t="n">
        <v>62.95292213439942</v>
      </c>
      <c r="J1109" s="119" t="n">
        <v>65.14572772979736</v>
      </c>
      <c r="K1109" s="121" t="n">
        <v>0.2785844952535661</v>
      </c>
      <c r="L1109" s="121" t="n">
        <v>-0.04116266316200679</v>
      </c>
      <c r="M1109" s="121" t="n">
        <v>-0.1860413037465487</v>
      </c>
      <c r="N1109" t="n">
        <v>52.5740109901709</v>
      </c>
      <c r="O1109" t="n">
        <v>0.0755546123060693</v>
      </c>
      <c r="P1109" t="n">
        <v>165.2091621149976</v>
      </c>
      <c r="Q1109" t="n">
        <v>172.6440336645324</v>
      </c>
    </row>
    <row r="1110">
      <c r="A1110" s="118" t="n">
        <v>46049</v>
      </c>
      <c r="B1110" s="119" t="n">
        <v>63.75259333204947</v>
      </c>
      <c r="C1110" s="119" t="n">
        <v>63.83136281777995</v>
      </c>
      <c r="D1110" s="119" t="n">
        <v>61.91139979636119</v>
      </c>
      <c r="E1110" s="119" t="n">
        <v>62.1181640625</v>
      </c>
      <c r="F1110" s="120" t="n">
        <v>13536700</v>
      </c>
      <c r="G1110" s="121" t="n">
        <v>-0.02923524998502169</v>
      </c>
      <c r="H1110" s="122" t="n">
        <v>40.42386223434751</v>
      </c>
      <c r="I1110" s="119" t="n">
        <v>62.93908416748047</v>
      </c>
      <c r="J1110" s="119" t="n">
        <v>65.16954597473145</v>
      </c>
      <c r="K1110" s="121" t="n">
        <v>0.2989208765596255</v>
      </c>
      <c r="L1110" s="121" t="n">
        <v>-0.06919451239943786</v>
      </c>
      <c r="M1110" s="121" t="n">
        <v>-0.2098375897090008</v>
      </c>
      <c r="N1110" t="n">
        <v>45.22064021069716</v>
      </c>
      <c r="O1110" t="n">
        <v>-0.06966785614243493</v>
      </c>
      <c r="P1110" t="n">
        <v>165.8673827389024</v>
      </c>
      <c r="Q1110" t="n">
        <v>174.2091009070508</v>
      </c>
    </row>
    <row r="1111">
      <c r="A1111" s="118" t="n">
        <v>46050</v>
      </c>
      <c r="B1111" s="119" t="n">
        <v>62.07877799778709</v>
      </c>
      <c r="C1111" s="119" t="n">
        <v>62.50215458473394</v>
      </c>
      <c r="D1111" s="119" t="n">
        <v>61.01541625461844</v>
      </c>
      <c r="E1111" s="119" t="n">
        <v>61.28125762939453</v>
      </c>
      <c r="F1111" s="120" t="n">
        <v>10363600</v>
      </c>
      <c r="G1111" s="121" t="n">
        <v>-0.01347281339904727</v>
      </c>
      <c r="H1111" s="122" t="n">
        <v>39.87923908159534</v>
      </c>
      <c r="I1111" s="119" t="n">
        <v>62.87270050048828</v>
      </c>
      <c r="J1111" s="119" t="n">
        <v>65.2129645729065</v>
      </c>
      <c r="K1111" s="121" t="n">
        <v>0.3036124024276255</v>
      </c>
      <c r="L1111" s="121" t="n">
        <v>-0.08173508104468963</v>
      </c>
      <c r="M1111" s="121" t="n">
        <v>-0.2204833004177928</v>
      </c>
      <c r="N1111" t="n">
        <v>42.36580539320521</v>
      </c>
      <c r="O1111" t="n">
        <v>-0.213144133614228</v>
      </c>
      <c r="P1111" t="n">
        <v>165.8506857684294</v>
      </c>
      <c r="Q1111" t="n">
        <v>174.7859997086965</v>
      </c>
    </row>
    <row r="1112">
      <c r="A1112" s="118" t="n">
        <v>46051</v>
      </c>
      <c r="B1112" s="119" t="n">
        <v>60.97603034066811</v>
      </c>
      <c r="C1112" s="119" t="n">
        <v>61.97047064414548</v>
      </c>
      <c r="D1112" s="119" t="n">
        <v>60.51326902058864</v>
      </c>
      <c r="E1112" s="119" t="n">
        <v>61.63570785522461</v>
      </c>
      <c r="F1112" s="120" t="n">
        <v>12739400</v>
      </c>
      <c r="G1112" s="121" t="n">
        <v>0.005783990726392352</v>
      </c>
      <c r="H1112" s="122" t="n">
        <v>40.10990023061888</v>
      </c>
      <c r="I1112" s="119" t="n">
        <v>62.84980041503906</v>
      </c>
      <c r="J1112" s="119" t="n">
        <v>65.25820379257202</v>
      </c>
      <c r="K1112" s="121" t="n">
        <v>0.304030754406065</v>
      </c>
      <c r="L1112" s="121" t="n">
        <v>-0.07642384526908064</v>
      </c>
      <c r="M1112" s="121" t="n">
        <v>-0.2159745830563414</v>
      </c>
      <c r="N1112" t="n">
        <v>43.97889677134745</v>
      </c>
      <c r="O1112" t="n">
        <v>-0.2714892715207718</v>
      </c>
      <c r="P1112" t="n">
        <v>165.521575456477</v>
      </c>
      <c r="Q1112" t="n">
        <v>173.7398576835473</v>
      </c>
    </row>
    <row r="1113">
      <c r="A1113" s="118" t="n">
        <v>46052</v>
      </c>
      <c r="B1113" s="119" t="n">
        <v>61.28125621585293</v>
      </c>
      <c r="C1113" s="119" t="n">
        <v>61.55694189180872</v>
      </c>
      <c r="D1113" s="119" t="n">
        <v>60.08004790329873</v>
      </c>
      <c r="E1113" s="119" t="n">
        <v>60.85787963867188</v>
      </c>
      <c r="F1113" s="120" t="n">
        <v>14309200</v>
      </c>
      <c r="G1113" s="121" t="n">
        <v>-0.01261976610019255</v>
      </c>
      <c r="H1113" s="122" t="n">
        <v>39.60372267140641</v>
      </c>
      <c r="I1113" s="119" t="n">
        <v>62.83619369506836</v>
      </c>
      <c r="J1113" s="119" t="n">
        <v>65.29462282180786</v>
      </c>
      <c r="K1113" s="121" t="n">
        <v>0.268339883272309</v>
      </c>
      <c r="L1113" s="121" t="n">
        <v>-0.08807916031750007</v>
      </c>
      <c r="M1113" s="121" t="n">
        <v>-0.2258688004347763</v>
      </c>
      <c r="N1113" t="n">
        <v>41.25042014812767</v>
      </c>
      <c r="O1113" t="n">
        <v>-0.3450578978897801</v>
      </c>
      <c r="P1113" t="n">
        <v>165.0279099885484</v>
      </c>
      <c r="Q1113" t="n">
        <v>171.6530957311395</v>
      </c>
    </row>
    <row r="1114">
      <c r="A1114" s="118" t="n">
        <v>46055</v>
      </c>
      <c r="B1114" s="119" t="n">
        <v>60.7101890435314</v>
      </c>
      <c r="C1114" s="119" t="n">
        <v>61.60617125084067</v>
      </c>
      <c r="D1114" s="119" t="n">
        <v>60.20804673751802</v>
      </c>
      <c r="E1114" s="119" t="n">
        <v>61.2221794128418</v>
      </c>
      <c r="F1114" s="120" t="n">
        <v>11006300</v>
      </c>
      <c r="G1114" s="121" t="n">
        <v>0.005986074052084289</v>
      </c>
      <c r="H1114" s="122" t="n">
        <v>39.84079348805566</v>
      </c>
      <c r="I1114" s="119" t="n">
        <v>62.83789543151855</v>
      </c>
      <c r="J1114" s="119" t="n">
        <v>65.33566728591919</v>
      </c>
      <c r="K1114" s="121" t="n">
        <v>0.2687657196075758</v>
      </c>
      <c r="L1114" s="121" t="n">
        <v>-0.08262033464152163</v>
      </c>
      <c r="M1114" s="121" t="n">
        <v>-0.22123479374815</v>
      </c>
      <c r="N1114" t="n">
        <v>43.03304041361539</v>
      </c>
      <c r="O1114" t="n">
        <v>-0.3506373260424021</v>
      </c>
      <c r="P1114" t="n">
        <v>165.8483004869332</v>
      </c>
      <c r="Q1114" t="n">
        <v>172.8317343313637</v>
      </c>
    </row>
    <row r="1115">
      <c r="A1115" s="118" t="n">
        <v>46056</v>
      </c>
      <c r="B1115" s="119" t="n">
        <v>60.82834112213207</v>
      </c>
      <c r="C1115" s="119" t="n">
        <v>61.5667881396624</v>
      </c>
      <c r="D1115" s="119" t="n">
        <v>59.49913799295179</v>
      </c>
      <c r="E1115" s="119" t="n">
        <v>59.99143600463867</v>
      </c>
      <c r="F1115" s="120" t="n">
        <v>17322100</v>
      </c>
      <c r="G1115" s="121" t="n">
        <v>-0.02010290094221912</v>
      </c>
      <c r="H1115" s="122" t="n">
        <v>39.03987796310587</v>
      </c>
      <c r="I1115" s="119" t="n">
        <v>62.81204734802246</v>
      </c>
      <c r="J1115" s="119" t="n">
        <v>65.37674598693847</v>
      </c>
      <c r="K1115" s="121" t="n">
        <v>0.2656759079886942</v>
      </c>
      <c r="L1115" s="121" t="n">
        <v>-0.1010623271806294</v>
      </c>
      <c r="M1115" s="121" t="n">
        <v>-0.2368902335466778</v>
      </c>
      <c r="N1115" t="n">
        <v>38.75473179262774</v>
      </c>
      <c r="O1115" t="n">
        <v>-0.4143027152739586</v>
      </c>
      <c r="P1115" t="n">
        <v>164.4459891052626</v>
      </c>
      <c r="Q1115" t="n">
        <v>170.1763482805714</v>
      </c>
    </row>
    <row r="1116">
      <c r="A1116" s="118" t="n">
        <v>46057</v>
      </c>
      <c r="B1116" s="119" t="n">
        <v>60.76926857570081</v>
      </c>
      <c r="C1116" s="119" t="n">
        <v>63.41783431772925</v>
      </c>
      <c r="D1116" s="119" t="n">
        <v>60.56250055352113</v>
      </c>
      <c r="E1116" s="119" t="n">
        <v>63.23075866699219</v>
      </c>
      <c r="F1116" s="120" t="n">
        <v>20957700</v>
      </c>
      <c r="G1116" s="121" t="n">
        <v>0.05399641812379752</v>
      </c>
      <c r="H1116" s="122" t="n">
        <v>41.14789153710376</v>
      </c>
      <c r="I1116" s="119" t="n">
        <v>62.87466178894043</v>
      </c>
      <c r="J1116" s="119" t="n">
        <v>65.42333740234375</v>
      </c>
      <c r="K1116" s="121" t="n">
        <v>0.3301137291616996</v>
      </c>
      <c r="L1116" s="121" t="n">
        <v>-0.05252291273184106</v>
      </c>
      <c r="M1116" s="121" t="n">
        <v>-0.1956850395229107</v>
      </c>
      <c r="N1116" t="n">
        <v>52.21933700688075</v>
      </c>
      <c r="O1116" t="n">
        <v>-0.2248243612656979</v>
      </c>
      <c r="P1116" t="n">
        <v>163.6494367882104</v>
      </c>
      <c r="Q1116" t="n">
        <v>167.2035344803928</v>
      </c>
    </row>
    <row r="1117">
      <c r="A1117" s="118" t="n">
        <v>46058</v>
      </c>
      <c r="B1117" s="119" t="n">
        <v>63.20122258185587</v>
      </c>
      <c r="C1117" s="119" t="n">
        <v>63.58521443875692</v>
      </c>
      <c r="D1117" s="119" t="n">
        <v>61.13356863217472</v>
      </c>
      <c r="E1117" s="119" t="n">
        <v>61.73417282104492</v>
      </c>
      <c r="F1117" s="120" t="n">
        <v>12506200</v>
      </c>
      <c r="G1117" s="121" t="n">
        <v>-0.02366863655438811</v>
      </c>
      <c r="H1117" s="122" t="n">
        <v>40.17397704733266</v>
      </c>
      <c r="I1117" s="119" t="n">
        <v>62.88053771972656</v>
      </c>
      <c r="J1117" s="119" t="n">
        <v>65.46070554733276</v>
      </c>
      <c r="K1117" s="121" t="n">
        <v>0.3200319995832921</v>
      </c>
      <c r="L1117" s="121" t="n">
        <v>-0.07494840355400156</v>
      </c>
      <c r="M1117" s="121" t="n">
        <v>-0.2147220779976999</v>
      </c>
      <c r="N1117" t="n">
        <v>47.07057631643914</v>
      </c>
      <c r="O1117" t="n">
        <v>-0.1883353784765644</v>
      </c>
      <c r="P1117" t="n">
        <v>161.6055724858504</v>
      </c>
      <c r="Q1117" t="n">
        <v>164.7965921732282</v>
      </c>
    </row>
    <row r="1118">
      <c r="A1118" s="118" t="n">
        <v>46059</v>
      </c>
      <c r="B1118" s="119" t="n">
        <v>62.03939299394511</v>
      </c>
      <c r="C1118" s="119" t="n">
        <v>63.25044563663491</v>
      </c>
      <c r="D1118" s="119" t="n">
        <v>62.02954868644787</v>
      </c>
      <c r="E1118" s="119" t="n">
        <v>62.93537521362305</v>
      </c>
      <c r="F1118" s="120" t="n">
        <v>11961500</v>
      </c>
      <c r="G1118" s="121" t="n">
        <v>0.0194576575288401</v>
      </c>
      <c r="H1118" s="122" t="n">
        <v>40.95566853429114</v>
      </c>
      <c r="I1118" s="119" t="n">
        <v>62.9274609375</v>
      </c>
      <c r="J1118" s="119" t="n">
        <v>65.49953538894653</v>
      </c>
      <c r="K1118" s="121" t="n">
        <v>0.3056914646824728</v>
      </c>
      <c r="L1118" s="121" t="n">
        <v>-0.05694906639384856</v>
      </c>
      <c r="M1118" s="121" t="n">
        <v>-0.19944240912642</v>
      </c>
      <c r="N1118" t="n">
        <v>51.22726678463552</v>
      </c>
      <c r="O1118" t="n">
        <v>-0.07705418516259083</v>
      </c>
      <c r="P1118" t="n">
        <v>164.7059408874557</v>
      </c>
      <c r="Q1118" t="n">
        <v>168.2800396003655</v>
      </c>
    </row>
    <row r="1119">
      <c r="A1119" s="118" t="n">
        <v>46062</v>
      </c>
      <c r="B1119" s="119" t="n">
        <v>62.59076629047854</v>
      </c>
      <c r="C1119" s="119" t="n">
        <v>62.92552907467734</v>
      </c>
      <c r="D1119" s="119" t="n">
        <v>61.40925036060424</v>
      </c>
      <c r="E1119" s="119" t="n">
        <v>61.44863510131836</v>
      </c>
      <c r="F1119" s="120" t="n">
        <v>12920800</v>
      </c>
      <c r="G1119" s="121" t="n">
        <v>-0.02362328193417784</v>
      </c>
      <c r="H1119" s="122" t="n">
        <v>39.98816122970285</v>
      </c>
      <c r="I1119" s="119" t="n">
        <v>62.91040718078613</v>
      </c>
      <c r="J1119" s="119" t="n">
        <v>65.52933626174926</v>
      </c>
      <c r="K1119" s="121" t="n">
        <v>0.3129942580548795</v>
      </c>
      <c r="L1119" s="121" t="n">
        <v>-0.07922702447671615</v>
      </c>
      <c r="M1119" s="121" t="n">
        <v>-0.2183542068001727</v>
      </c>
      <c r="N1119" t="n">
        <v>46.37304426104804</v>
      </c>
      <c r="O1119" t="n">
        <v>-0.09609081635788591</v>
      </c>
      <c r="P1119" t="n">
        <v>165.5001079230117</v>
      </c>
      <c r="Q1119" t="n">
        <v>169.5690863841023</v>
      </c>
    </row>
    <row r="1120">
      <c r="A1120" s="118" t="n">
        <v>46063</v>
      </c>
      <c r="B1120" s="119" t="n">
        <v>62.0295468389025</v>
      </c>
      <c r="C1120" s="119" t="n">
        <v>63.20121846076945</v>
      </c>
      <c r="D1120" s="119" t="n">
        <v>61.33048459341244</v>
      </c>
      <c r="E1120" s="119" t="n">
        <v>62.06893157958984</v>
      </c>
      <c r="F1120" s="120" t="n">
        <v>13003400</v>
      </c>
      <c r="G1120" s="121" t="n">
        <v>0.01009455258442626</v>
      </c>
      <c r="H1120" s="122" t="n">
        <v>40.3918238259906</v>
      </c>
      <c r="I1120" s="119" t="n">
        <v>62.89304069519043</v>
      </c>
      <c r="J1120" s="119" t="n">
        <v>65.556969165802</v>
      </c>
      <c r="K1120" s="121" t="n">
        <v>0.3160874186898568</v>
      </c>
      <c r="L1120" s="121" t="n">
        <v>-0.06993223325697784</v>
      </c>
      <c r="M1120" s="121" t="n">
        <v>-0.2104638422383215</v>
      </c>
      <c r="N1120" t="n">
        <v>48.56303738610098</v>
      </c>
      <c r="O1120" t="n">
        <v>-0.06112504041943184</v>
      </c>
      <c r="P1120" t="n">
        <v>165.0636745773617</v>
      </c>
      <c r="Q1120" t="n">
        <v>168.782398524063</v>
      </c>
    </row>
    <row r="1121">
      <c r="A1121" s="118" t="n">
        <v>46064</v>
      </c>
      <c r="B1121" s="119" t="n">
        <v>62.91568754403264</v>
      </c>
      <c r="C1121" s="119" t="n">
        <v>63.02399370780837</v>
      </c>
      <c r="D1121" s="119" t="n">
        <v>60.72988316509905</v>
      </c>
      <c r="E1121" s="119" t="n">
        <v>61.38956069946289</v>
      </c>
      <c r="F1121" s="120" t="n">
        <v>15511900</v>
      </c>
      <c r="G1121" s="121" t="n">
        <v>-0.01094542572004498</v>
      </c>
      <c r="H1121" s="122" t="n">
        <v>39.94971811860608</v>
      </c>
      <c r="I1121" s="119" t="n">
        <v>62.85621681213379</v>
      </c>
      <c r="J1121" s="119" t="n">
        <v>65.5853627204895</v>
      </c>
      <c r="K1121" s="121" t="n">
        <v>0.3143977124593298</v>
      </c>
      <c r="L1121" s="121" t="n">
        <v>-0.08011222091247161</v>
      </c>
      <c r="M1121" s="121" t="n">
        <v>-0.2191056516063916</v>
      </c>
      <c r="N1121" t="n">
        <v>46.33138186924455</v>
      </c>
      <c r="O1121" t="n">
        <v>-0.07694698386455195</v>
      </c>
      <c r="P1121" t="n">
        <v>165.0255247070523</v>
      </c>
      <c r="Q1121" t="n">
        <v>169.2350923410443</v>
      </c>
    </row>
    <row r="1122">
      <c r="A1122" s="118" t="n">
        <v>46065</v>
      </c>
      <c r="B1122" s="119" t="n">
        <v>61.36987374077416</v>
      </c>
      <c r="C1122" s="119" t="n">
        <v>61.75386560020932</v>
      </c>
      <c r="D1122" s="119" t="n">
        <v>59.91266827819252</v>
      </c>
      <c r="E1122" s="119" t="n">
        <v>60.15881729125977</v>
      </c>
      <c r="F1122" s="120" t="n">
        <v>13602400</v>
      </c>
      <c r="G1122" s="121" t="n">
        <v>-0.0200480895152243</v>
      </c>
      <c r="H1122" s="122" t="n">
        <v>39.14880259365629</v>
      </c>
      <c r="I1122" s="119" t="n">
        <v>62.77173858642578</v>
      </c>
      <c r="J1122" s="119" t="n">
        <v>65.60910120010377</v>
      </c>
      <c r="K1122" s="121" t="n">
        <v>0.319098051363023</v>
      </c>
      <c r="L1122" s="121" t="n">
        <v>-0.09855421345157911</v>
      </c>
      <c r="M1122" s="121" t="n">
        <v>-0.2347610914049194</v>
      </c>
      <c r="N1122" t="n">
        <v>42.51937672061266</v>
      </c>
      <c r="O1122" t="n">
        <v>-0.1587842023718053</v>
      </c>
      <c r="P1122" t="n">
        <v>162.476068529283</v>
      </c>
      <c r="Q1122" t="n">
        <v>165.7930353173622</v>
      </c>
    </row>
    <row r="1123">
      <c r="A1123" s="118" t="n">
        <v>46066</v>
      </c>
      <c r="B1123" s="119" t="n">
        <v>60.64126824429253</v>
      </c>
      <c r="C1123" s="119" t="n">
        <v>62.40369599891337</v>
      </c>
      <c r="D1123" s="119" t="n">
        <v>60.64126824429253</v>
      </c>
      <c r="E1123" s="119" t="n">
        <v>62.15754699707031</v>
      </c>
      <c r="F1123" s="120" t="n">
        <v>20180900</v>
      </c>
      <c r="G1123" s="121" t="n">
        <v>0.03322421875639048</v>
      </c>
      <c r="H1123" s="122" t="n">
        <v>40.44949097507867</v>
      </c>
      <c r="I1123" s="119" t="n">
        <v>62.7362931060791</v>
      </c>
      <c r="J1123" s="119" t="n">
        <v>65.64172145843506</v>
      </c>
      <c r="K1123" s="121" t="n">
        <v>0.3409154483314663</v>
      </c>
      <c r="L1123" s="121" t="n">
        <v>-0.06860438144226788</v>
      </c>
      <c r="M1123" s="121" t="n">
        <v>-0.2093366265048549</v>
      </c>
      <c r="N1123" t="n">
        <v>49.75014246531229</v>
      </c>
      <c r="O1123" t="n">
        <v>-0.07124914332160293</v>
      </c>
      <c r="P1123" t="n">
        <v>162.5905327738402</v>
      </c>
      <c r="Q1123" t="n">
        <v>166.1463482594624</v>
      </c>
    </row>
    <row r="1124">
      <c r="A1124" s="118" t="n">
        <v>46070</v>
      </c>
      <c r="B1124" s="119" t="n">
        <v>61.97047254837756</v>
      </c>
      <c r="C1124" s="119" t="n">
        <v>63.82151412963867</v>
      </c>
      <c r="D1124" s="119" t="n">
        <v>61.97047254837756</v>
      </c>
      <c r="E1124" s="119" t="n">
        <v>63.82151412963867</v>
      </c>
      <c r="F1124" s="120" t="n">
        <v>12347500</v>
      </c>
      <c r="G1124" s="121" t="n">
        <v>0.02677015443751007</v>
      </c>
      <c r="H1124" s="122" t="n">
        <v>41.5323300954002</v>
      </c>
      <c r="I1124" s="119" t="n">
        <v>62.71994888305664</v>
      </c>
      <c r="J1124" s="119" t="n">
        <v>65.68817266464234</v>
      </c>
      <c r="K1124" s="121" t="n">
        <v>0.3545811705521065</v>
      </c>
      <c r="L1124" s="121" t="n">
        <v>-0.04367077689105725</v>
      </c>
      <c r="M1124" s="121" t="n">
        <v>-0.1881704458883071</v>
      </c>
      <c r="N1124" t="n">
        <v>54.84301830960113</v>
      </c>
      <c r="O1124" t="n">
        <v>0.096655071427033</v>
      </c>
      <c r="P1124" t="n">
        <v>162.8528698375294</v>
      </c>
      <c r="Q1124" t="n">
        <v>165.9751969991534</v>
      </c>
    </row>
    <row r="1125">
      <c r="A1125" s="118" t="n">
        <v>46071</v>
      </c>
      <c r="B1125" s="119" t="n">
        <v>63.31937103496855</v>
      </c>
      <c r="C1125" s="119" t="n">
        <v>65.13103171500809</v>
      </c>
      <c r="D1125" s="119" t="n">
        <v>63.31937103496855</v>
      </c>
      <c r="E1125" s="119" t="n">
        <v>64.54027557373047</v>
      </c>
      <c r="F1125" s="120" t="n">
        <v>11211500</v>
      </c>
      <c r="G1125" s="121" t="n">
        <v>0.01126205565464655</v>
      </c>
      <c r="H1125" s="122" t="n">
        <v>42.00006950840175</v>
      </c>
      <c r="I1125" s="119" t="n">
        <v>62.71719207763672</v>
      </c>
      <c r="J1125" s="119" t="n">
        <v>65.73647737503052</v>
      </c>
      <c r="K1125" s="121" t="n">
        <v>0.3534295962052077</v>
      </c>
      <c r="L1125" s="121" t="n">
        <v>-0.03290054395623943</v>
      </c>
      <c r="M1125" s="121" t="n">
        <v>-0.1790275762678144</v>
      </c>
      <c r="N1125" t="n">
        <v>56.87617227932062</v>
      </c>
      <c r="O1125" t="n">
        <v>0.2455901842476491</v>
      </c>
      <c r="P1125" t="n">
        <v>163.673274969543</v>
      </c>
      <c r="Q1125" t="n">
        <v>167.2145617890244</v>
      </c>
    </row>
    <row r="1126">
      <c r="A1126" s="118" t="n">
        <v>46072</v>
      </c>
      <c r="B1126" s="119" t="n">
        <v>64.19565439183378</v>
      </c>
      <c r="C1126" s="119" t="n">
        <v>64.82579521318183</v>
      </c>
      <c r="D1126" s="119" t="n">
        <v>63.26029122285902</v>
      </c>
      <c r="E1126" s="119" t="n">
        <v>64.59934234619141</v>
      </c>
      <c r="F1126" s="120" t="n">
        <v>10778300</v>
      </c>
      <c r="G1126" s="121" t="n">
        <v>0.0009151924427943658</v>
      </c>
      <c r="H1126" s="122" t="n">
        <v>42.03850765461268</v>
      </c>
      <c r="I1126" s="119" t="n">
        <v>62.71226898193359</v>
      </c>
      <c r="J1126" s="119" t="n">
        <v>65.77623054504394</v>
      </c>
      <c r="K1126" s="121" t="n">
        <v>0.3395495612487175</v>
      </c>
      <c r="L1126" s="121" t="n">
        <v>-0.03201546184263759</v>
      </c>
      <c r="M1126" s="121" t="n">
        <v>-0.1782762285098722</v>
      </c>
      <c r="N1126" t="n">
        <v>57.04732300722931</v>
      </c>
      <c r="O1126" t="n">
        <v>0.3321684842705472</v>
      </c>
      <c r="P1126" t="n">
        <v>163.2416121868853</v>
      </c>
      <c r="Q1126" t="n">
        <v>166.5741841923613</v>
      </c>
    </row>
    <row r="1127">
      <c r="A1127" s="118" t="n">
        <v>46073</v>
      </c>
      <c r="B1127" s="119" t="n">
        <v>64.29412764782089</v>
      </c>
      <c r="C1127" s="119" t="n">
        <v>67.43498406519049</v>
      </c>
      <c r="D1127" s="119" t="n">
        <v>62.35447214964492</v>
      </c>
      <c r="E1127" s="119" t="n">
        <v>64.39258575439453</v>
      </c>
      <c r="F1127" s="120" t="n">
        <v>33436800</v>
      </c>
      <c r="G1127" s="121" t="n">
        <v>-0.003200599019860806</v>
      </c>
      <c r="H1127" s="122" t="n">
        <v>41.90395924821691</v>
      </c>
      <c r="I1127" s="119" t="n">
        <v>62.74889610290527</v>
      </c>
      <c r="J1127" s="119" t="n">
        <v>65.82094453811645</v>
      </c>
      <c r="K1127" s="121" t="n">
        <v>0.3397797309172251</v>
      </c>
      <c r="L1127" s="121" t="n">
        <v>-0.0351135922067044</v>
      </c>
      <c r="M1127" s="121" t="n">
        <v>-0.1809062368074998</v>
      </c>
      <c r="N1127" t="n">
        <v>56.2064156615763</v>
      </c>
      <c r="O1127" t="n">
        <v>0.3574028592714972</v>
      </c>
      <c r="P1127" t="n">
        <v>164.42215092393</v>
      </c>
      <c r="Q1127" t="n">
        <v>168.0481790375589</v>
      </c>
    </row>
    <row r="1128">
      <c r="A1128" s="118" t="n">
        <v>46076</v>
      </c>
      <c r="B1128" s="119" t="n">
        <v>63.60490242427272</v>
      </c>
      <c r="C1128" s="119" t="n">
        <v>63.96920566187249</v>
      </c>
      <c r="D1128" s="119" t="n">
        <v>61.09418328361855</v>
      </c>
      <c r="E1128" s="119" t="n">
        <v>62.1181640625</v>
      </c>
      <c r="F1128" s="120" t="n">
        <v>17748800</v>
      </c>
      <c r="G1128" s="121" t="n">
        <v>-0.03532117347437491</v>
      </c>
      <c r="H1128" s="122" t="n">
        <v>40.42386223434751</v>
      </c>
      <c r="I1128" s="119" t="n">
        <v>62.74417007446289</v>
      </c>
      <c r="J1128" s="119" t="n">
        <v>65.85578504562378</v>
      </c>
      <c r="K1128" s="121" t="n">
        <v>0.3619765586081674</v>
      </c>
      <c r="L1128" s="121" t="n">
        <v>-0.06919451239943786</v>
      </c>
      <c r="M1128" s="121" t="n">
        <v>-0.2098375897090008</v>
      </c>
      <c r="N1128" t="n">
        <v>47.85047352347789</v>
      </c>
      <c r="O1128" t="n">
        <v>0.2100970732056241</v>
      </c>
      <c r="P1128" t="n">
        <v>162.7431761559644</v>
      </c>
      <c r="Q1128" t="n">
        <v>166.0055600939768</v>
      </c>
    </row>
    <row r="1129">
      <c r="A1129" s="118" t="n">
        <v>46077</v>
      </c>
      <c r="B1129" s="119" t="n">
        <v>62.30523234639186</v>
      </c>
      <c r="C1129" s="119" t="n">
        <v>63.7033568336593</v>
      </c>
      <c r="D1129" s="119" t="n">
        <v>61.63570678022741</v>
      </c>
      <c r="E1129" s="119" t="n">
        <v>63.10275268554688</v>
      </c>
      <c r="F1129" s="120" t="n">
        <v>14296100</v>
      </c>
      <c r="G1129" s="121" t="n">
        <v>0.0158502531088367</v>
      </c>
      <c r="H1129" s="122" t="n">
        <v>41.06459068239866</v>
      </c>
      <c r="I1129" s="119" t="n">
        <v>62.71069366455078</v>
      </c>
      <c r="J1129" s="119" t="n">
        <v>65.88791027069092</v>
      </c>
      <c r="K1129" s="121" t="n">
        <v>0.3670566400121729</v>
      </c>
      <c r="L1129" s="121" t="n">
        <v>-0.05444100982587485</v>
      </c>
      <c r="M1129" s="121" t="n">
        <v>-0.1973133155087998</v>
      </c>
      <c r="N1129" t="n">
        <v>51.23054543117923</v>
      </c>
      <c r="O1129" t="n">
        <v>0.1698720404874281</v>
      </c>
      <c r="P1129" t="n">
        <v>163.9260709072476</v>
      </c>
      <c r="Q1129" t="n">
        <v>167.7887079852995</v>
      </c>
    </row>
    <row r="1130">
      <c r="A1130" s="118" t="n">
        <v>46078</v>
      </c>
      <c r="B1130" s="119" t="n">
        <v>62.9058393833342</v>
      </c>
      <c r="C1130" s="119" t="n">
        <v>63.23075787415979</v>
      </c>
      <c r="D1130" s="119" t="n">
        <v>62.28554283644448</v>
      </c>
      <c r="E1130" s="119" t="n">
        <v>62.42338943481445</v>
      </c>
      <c r="F1130" s="120" t="n">
        <v>9500800</v>
      </c>
      <c r="G1130" s="121" t="n">
        <v>-0.01076598439560661</v>
      </c>
      <c r="H1130" s="122" t="n">
        <v>40.62248993989999</v>
      </c>
      <c r="I1130" s="119" t="n">
        <v>62.62523078918457</v>
      </c>
      <c r="J1130" s="119" t="n">
        <v>65.91523670196533</v>
      </c>
      <c r="K1130" s="121" t="n">
        <v>0.3534453020466939</v>
      </c>
      <c r="L1130" s="121" t="n">
        <v>-0.06462088315921499</v>
      </c>
      <c r="M1130" s="121" t="n">
        <v>-0.2059550278285933</v>
      </c>
      <c r="N1130" t="n">
        <v>48.8765374928271</v>
      </c>
      <c r="O1130" t="n">
        <v>0.09229511812096243</v>
      </c>
      <c r="P1130" t="n">
        <v>165.3093293042068</v>
      </c>
      <c r="Q1130" t="n">
        <v>170.2205081765465</v>
      </c>
    </row>
    <row r="1131">
      <c r="A1131" s="118" t="n">
        <v>46079</v>
      </c>
      <c r="B1131" s="119" t="n">
        <v>63.2209095418325</v>
      </c>
      <c r="C1131" s="119" t="n">
        <v>64.05781465644573</v>
      </c>
      <c r="D1131" s="119" t="n">
        <v>62.79753295276396</v>
      </c>
      <c r="E1131" s="119" t="n">
        <v>62.96491622924805</v>
      </c>
      <c r="F1131" s="120" t="n">
        <v>10319100</v>
      </c>
      <c r="G1131" s="121" t="n">
        <v>0.008675062333792116</v>
      </c>
      <c r="H1131" s="122" t="n">
        <v>40.97489257228246</v>
      </c>
      <c r="I1131" s="119" t="n">
        <v>62.55591522216797</v>
      </c>
      <c r="J1131" s="119" t="n">
        <v>65.94821969985962</v>
      </c>
      <c r="K1131" s="121" t="n">
        <v>0.3505820381583985</v>
      </c>
      <c r="L1131" s="121" t="n">
        <v>-0.05650641101489373</v>
      </c>
      <c r="M1131" s="121" t="n">
        <v>-0.1936395923711259</v>
      </c>
      <c r="N1131" t="n">
        <v>50.81653274899069</v>
      </c>
      <c r="O1131" t="n">
        <v>0.07307745662671193</v>
      </c>
      <c r="P1131" t="n">
        <v>164.3911276308513</v>
      </c>
      <c r="Q1131" t="n">
        <v>168.1668619243327</v>
      </c>
    </row>
    <row r="1132">
      <c r="A1132" s="118" t="n">
        <v>46080</v>
      </c>
      <c r="B1132" s="119" t="n">
        <v>61.75386215281055</v>
      </c>
      <c r="C1132" s="119" t="n">
        <v>61.75386215281055</v>
      </c>
      <c r="D1132" s="119" t="n">
        <v>60.57234620485853</v>
      </c>
      <c r="E1132" s="119" t="n">
        <v>61.2221794128418</v>
      </c>
      <c r="F1132" s="120" t="n">
        <v>18017400</v>
      </c>
      <c r="G1132" s="121" t="n">
        <v>-0.0276779025649958</v>
      </c>
      <c r="H1132" s="122" t="n">
        <v>39.84079348805566</v>
      </c>
      <c r="I1132" s="119" t="n">
        <v>62.44564033508301</v>
      </c>
      <c r="J1132" s="119" t="n">
        <v>65.95179807662964</v>
      </c>
      <c r="K1132" s="121" t="n">
        <v>0.365088660886244</v>
      </c>
      <c r="L1132" s="121" t="n">
        <v>-0.08262033464152163</v>
      </c>
      <c r="M1132" s="121" t="n">
        <v>-0.2061815055094344</v>
      </c>
      <c r="N1132" t="n">
        <v>44.91015161422028</v>
      </c>
      <c r="O1132" t="n">
        <v>-0.05449725468159922</v>
      </c>
      <c r="P1132" t="n">
        <v>163.6017311582875</v>
      </c>
      <c r="Q1132" t="n">
        <v>167.6286009207716</v>
      </c>
    </row>
    <row r="1133">
      <c r="A1133" s="118" t="n">
        <v>46083</v>
      </c>
      <c r="B1133" s="119" t="n">
        <v>59.3687652996699</v>
      </c>
      <c r="C1133" s="119" t="n">
        <v>60.98430656698472</v>
      </c>
      <c r="D1133" s="119" t="n">
        <v>58.61550340812185</v>
      </c>
      <c r="E1133" s="119" t="n">
        <v>60.46891784667969</v>
      </c>
      <c r="F1133" s="120" t="n">
        <v>15335000</v>
      </c>
      <c r="G1133" s="121" t="n">
        <v>-0.01230373654427774</v>
      </c>
      <c r="H1133" s="122" t="n">
        <v>39.35060286126365</v>
      </c>
      <c r="I1133" s="119" t="n">
        <v>62.33329689025879</v>
      </c>
      <c r="J1133" s="119" t="n">
        <v>65.95252866744995</v>
      </c>
      <c r="K1133" s="121" t="n">
        <v>0.3649464703060118</v>
      </c>
      <c r="L1133" s="121" t="n">
        <v>-0.09390753235517002</v>
      </c>
      <c r="M1133" s="121" t="n">
        <v>-0.2159484391296215</v>
      </c>
      <c r="N1133" t="n">
        <v>42.605119840784</v>
      </c>
      <c r="O1133" t="n">
        <v>-0.1800301792713976</v>
      </c>
      <c r="P1133" t="n">
        <v>163.6947425030082</v>
      </c>
      <c r="Q1133" t="n">
        <v>167.8494341749465</v>
      </c>
    </row>
    <row r="1134">
      <c r="A1134" s="118" t="n">
        <v>46084</v>
      </c>
      <c r="B1134" s="119" t="n">
        <v>58.91284468954928</v>
      </c>
      <c r="C1134" s="119" t="n">
        <v>59.57690464439405</v>
      </c>
      <c r="D1134" s="119" t="n">
        <v>58.10011730424026</v>
      </c>
      <c r="E1134" s="119" t="n">
        <v>58.86328887939453</v>
      </c>
      <c r="F1134" s="120" t="n">
        <v>17438600</v>
      </c>
      <c r="G1134" s="121" t="n">
        <v>-0.026552963480449</v>
      </c>
      <c r="H1134" s="122" t="n">
        <v>38.30572774055486</v>
      </c>
      <c r="I1134" s="119" t="n">
        <v>62.21700035095215</v>
      </c>
      <c r="J1134" s="119" t="n">
        <v>65.94842176437378</v>
      </c>
      <c r="K1134" s="121" t="n">
        <v>0.37589665678171</v>
      </c>
      <c r="L1134" s="121" t="n">
        <v>-0.1179669725584532</v>
      </c>
      <c r="M1134" s="121" t="n">
        <v>-0.2367673315922016</v>
      </c>
      <c r="N1134" t="n">
        <v>38.11449629760162</v>
      </c>
      <c r="O1134" t="n">
        <v>-0.3516884792207914</v>
      </c>
      <c r="P1134" t="n">
        <v>162.251895969532</v>
      </c>
      <c r="Q1134" t="n">
        <v>166.0525063696215</v>
      </c>
    </row>
    <row r="1135">
      <c r="A1135" s="118" t="n">
        <v>46085</v>
      </c>
      <c r="B1135" s="119" t="n">
        <v>58.66505934682952</v>
      </c>
      <c r="C1135" s="119" t="n">
        <v>58.96240175676261</v>
      </c>
      <c r="D1135" s="119" t="n">
        <v>58.09020516808152</v>
      </c>
      <c r="E1135" s="119" t="n">
        <v>58.11993789672852</v>
      </c>
      <c r="F1135" s="120" t="n">
        <v>15971300</v>
      </c>
      <c r="G1135" s="121" t="n">
        <v>-0.01262843101052458</v>
      </c>
      <c r="H1135" s="122" t="n">
        <v>37.82198650047533</v>
      </c>
      <c r="I1135" s="119" t="n">
        <v>62.08701843261719</v>
      </c>
      <c r="J1135" s="119" t="n">
        <v>65.93735912322998</v>
      </c>
      <c r="K1135" s="121" t="n">
        <v>0.3719585164922148</v>
      </c>
      <c r="L1135" s="121" t="n">
        <v>-0.1291056657945029</v>
      </c>
      <c r="M1135" s="121" t="n">
        <v>-0.2464057626901681</v>
      </c>
      <c r="N1135" t="n">
        <v>36.21155479310421</v>
      </c>
      <c r="O1135" t="n">
        <v>-0.487428523390117</v>
      </c>
      <c r="P1135" t="n">
        <v>163.3966408505057</v>
      </c>
      <c r="Q1135" t="n">
        <v>168.5836705486</v>
      </c>
    </row>
    <row r="1136">
      <c r="A1136" s="118" t="n">
        <v>46086</v>
      </c>
      <c r="B1136" s="119" t="n">
        <v>58.08029395903205</v>
      </c>
      <c r="C1136" s="119" t="n">
        <v>58.26861132997332</v>
      </c>
      <c r="D1136" s="119" t="n">
        <v>56.92067212706421</v>
      </c>
      <c r="E1136" s="119" t="n">
        <v>57.50543975830078</v>
      </c>
      <c r="F1136" s="120" t="n">
        <v>22040200</v>
      </c>
      <c r="G1136" s="121" t="n">
        <v>-0.01057293177978991</v>
      </c>
      <c r="H1136" s="122" t="n">
        <v>37.42209721742966</v>
      </c>
      <c r="I1136" s="119" t="n">
        <v>62.08101455688477</v>
      </c>
      <c r="J1136" s="119" t="n">
        <v>65.91979162216187</v>
      </c>
      <c r="K1136" s="121" t="n">
        <v>0.3100517149827702</v>
      </c>
      <c r="L1136" s="121" t="n">
        <v>-0.1383135721774633</v>
      </c>
      <c r="M1136" s="121" t="n">
        <v>-0.2543734631508878</v>
      </c>
      <c r="N1136" t="n">
        <v>34.67053868535028</v>
      </c>
      <c r="O1136" t="n">
        <v>-0.5842059475765911</v>
      </c>
      <c r="P1136" t="n">
        <v>162.4855950216387</v>
      </c>
      <c r="Q1136" t="n">
        <v>168.0757557527128</v>
      </c>
    </row>
    <row r="1137">
      <c r="A1137" s="118" t="n">
        <v>46087</v>
      </c>
      <c r="B1137" s="119" t="n">
        <v>56.9603178090165</v>
      </c>
      <c r="C1137" s="119" t="n">
        <v>57.03960634806334</v>
      </c>
      <c r="D1137" s="119" t="n">
        <v>56.25661170282152</v>
      </c>
      <c r="E1137" s="119" t="n">
        <v>56.50439453125</v>
      </c>
      <c r="F1137" s="120" t="n">
        <v>16323700</v>
      </c>
      <c r="G1137" s="121" t="n">
        <v>-0.01740783535015544</v>
      </c>
      <c r="H1137" s="122" t="n">
        <v>36.77065951061114</v>
      </c>
      <c r="I1137" s="119" t="n">
        <v>62.08433074951172</v>
      </c>
      <c r="J1137" s="119" t="n">
        <v>65.90219821929932</v>
      </c>
      <c r="K1137" s="121" t="n">
        <v>0.3056980666232632</v>
      </c>
      <c r="L1137" s="121" t="n">
        <v>-0.1533136676364615</v>
      </c>
      <c r="M1137" s="121" t="n">
        <v>-0.2673532071370637</v>
      </c>
      <c r="N1137" t="n">
        <v>32.26192012439479</v>
      </c>
      <c r="O1137" t="n">
        <v>-0.674826132520433</v>
      </c>
      <c r="P1137" t="n">
        <v>160.3558752190464</v>
      </c>
      <c r="Q1137" t="n">
        <v>165.5473610662544</v>
      </c>
    </row>
    <row r="1138">
      <c r="A1138" s="118" t="n">
        <v>46090</v>
      </c>
      <c r="B1138" s="119" t="n">
        <v>55.24566132347709</v>
      </c>
      <c r="C1138" s="119" t="n">
        <v>56.20705613085387</v>
      </c>
      <c r="D1138" s="119" t="n">
        <v>54.89876309369158</v>
      </c>
      <c r="E1138" s="119" t="n">
        <v>56.02865219116211</v>
      </c>
      <c r="F1138" s="120" t="n">
        <v>18053100</v>
      </c>
      <c r="G1138" s="121" t="n">
        <v>-0.008419563540757458</v>
      </c>
      <c r="H1138" s="122" t="n">
        <v>36.46106660642599</v>
      </c>
      <c r="I1138" s="119" t="n">
        <v>62.07576904296875</v>
      </c>
      <c r="J1138" s="119" t="n">
        <v>65.87990562438965</v>
      </c>
      <c r="K1138" s="121" t="n">
        <v>0.2927786728663246</v>
      </c>
      <c r="L1138" s="121" t="n">
        <v>-0.1604423970108872</v>
      </c>
      <c r="M1138" s="121" t="n">
        <v>-0.2735217733625054</v>
      </c>
      <c r="N1138" t="n">
        <v>31.15420791706636</v>
      </c>
      <c r="O1138" t="n">
        <v>-0.7217749510530806</v>
      </c>
      <c r="P1138" t="n">
        <v>161.760586515842</v>
      </c>
      <c r="Q1138" t="n">
        <v>167.7583448904761</v>
      </c>
    </row>
    <row r="1139">
      <c r="A1139" s="118" t="n">
        <v>46091</v>
      </c>
      <c r="B1139" s="119" t="n">
        <v>56.19714576690576</v>
      </c>
      <c r="C1139" s="119" t="n">
        <v>56.73235757917769</v>
      </c>
      <c r="D1139" s="119" t="n">
        <v>55.30512607978587</v>
      </c>
      <c r="E1139" s="119" t="n">
        <v>55.58264541625977</v>
      </c>
      <c r="F1139" s="120" t="n">
        <v>15706400</v>
      </c>
      <c r="G1139" s="121" t="n">
        <v>-0.007960333819571952</v>
      </c>
      <c r="H1139" s="122" t="n">
        <v>36.17082434482119</v>
      </c>
      <c r="I1139" s="119" t="n">
        <v>62.00590675354004</v>
      </c>
      <c r="J1139" s="119" t="n">
        <v>65.8678556060791</v>
      </c>
      <c r="K1139" s="121" t="n">
        <v>0.2851950504389695</v>
      </c>
      <c r="L1139" s="121" t="n">
        <v>-0.1671255557914402</v>
      </c>
      <c r="M1139" s="121" t="n">
        <v>-0.2793047825591906</v>
      </c>
      <c r="N1139" t="n">
        <v>30.11043019023269</v>
      </c>
      <c r="O1139" t="n">
        <v>-0.7353475431114723</v>
      </c>
      <c r="P1139" t="n">
        <v>161.5006347336489</v>
      </c>
      <c r="Q1139" t="n">
        <v>167.7611143829961</v>
      </c>
    </row>
    <row r="1140">
      <c r="A1140" s="118" t="n">
        <v>46092</v>
      </c>
      <c r="B1140" s="119" t="n">
        <v>57.08915987817863</v>
      </c>
      <c r="C1140" s="119" t="n">
        <v>57.08915987817863</v>
      </c>
      <c r="D1140" s="119" t="n">
        <v>54.91858374892139</v>
      </c>
      <c r="E1140" s="119" t="n">
        <v>55.20601272583008</v>
      </c>
      <c r="F1140" s="120" t="n">
        <v>20245300</v>
      </c>
      <c r="G1140" s="121" t="n">
        <v>-0.006776084290502471</v>
      </c>
      <c r="H1140" s="122" t="n">
        <v>35.92572779020372</v>
      </c>
      <c r="I1140" s="119" t="n">
        <v>61.91019828796387</v>
      </c>
      <c r="J1140" s="119" t="n">
        <v>65.84744441986084</v>
      </c>
      <c r="K1140" s="121" t="n">
        <v>0.2797037411658655</v>
      </c>
      <c r="L1140" s="121" t="n">
        <v>-0.1727691832288029</v>
      </c>
      <c r="M1140" s="121" t="n">
        <v>-0.2841882741003315</v>
      </c>
      <c r="N1140" t="n">
        <v>29.22013352308259</v>
      </c>
      <c r="O1140" t="n">
        <v>-0.7211857675206139</v>
      </c>
      <c r="P1140" t="n">
        <v>161.2979297073633</v>
      </c>
      <c r="Q1140" t="n">
        <v>167.7390259914338</v>
      </c>
    </row>
    <row r="1141">
      <c r="A1141" s="118" t="n">
        <v>46093</v>
      </c>
      <c r="B1141" s="119" t="n">
        <v>54.78973926315801</v>
      </c>
      <c r="C1141" s="119" t="n">
        <v>54.96814320682024</v>
      </c>
      <c r="D1141" s="119" t="n">
        <v>53.55082508820696</v>
      </c>
      <c r="E1141" s="119" t="n">
        <v>53.64994049072266</v>
      </c>
      <c r="F1141" s="120" t="n">
        <v>18611800</v>
      </c>
      <c r="G1141" s="121" t="n">
        <v>-0.02818664414029237</v>
      </c>
      <c r="H1141" s="122" t="n">
        <v>34.91310208550023</v>
      </c>
      <c r="I1141" s="119" t="n">
        <v>61.77785461425781</v>
      </c>
      <c r="J1141" s="119" t="n">
        <v>65.82553750991821</v>
      </c>
      <c r="K1141" s="121" t="n">
        <v>0.2904845578500114</v>
      </c>
      <c r="L1141" s="121" t="n">
        <v>-0.196086043883016</v>
      </c>
      <c r="M1141" s="121" t="n">
        <v>-0.3043646044897139</v>
      </c>
      <c r="N1141" t="n">
        <v>25.82294269295754</v>
      </c>
      <c r="O1141" t="n">
        <v>-0.764008359379333</v>
      </c>
      <c r="P1141" t="n">
        <v>158.8486260851743</v>
      </c>
      <c r="Q1141" t="n">
        <v>164.8600709682457</v>
      </c>
    </row>
    <row r="1142">
      <c r="A1142" s="118" t="n">
        <v>46094</v>
      </c>
      <c r="B1142" s="119" t="n">
        <v>53.85807434815711</v>
      </c>
      <c r="C1142" s="119" t="n">
        <v>54.38337272098835</v>
      </c>
      <c r="D1142" s="119" t="n">
        <v>53.26339708762612</v>
      </c>
      <c r="E1142" s="119" t="n">
        <v>53.50126647949219</v>
      </c>
      <c r="F1142" s="120" t="n">
        <v>14377100</v>
      </c>
      <c r="G1142" s="121" t="n">
        <v>-0.002771186880555443</v>
      </c>
      <c r="H1142" s="122" t="n">
        <v>34.81635135504141</v>
      </c>
      <c r="I1142" s="119" t="n">
        <v>61.6429313659668</v>
      </c>
      <c r="J1142" s="119" t="n">
        <v>65.78930274963379</v>
      </c>
      <c r="K1142" s="121" t="n">
        <v>0.2862849408764711</v>
      </c>
      <c r="L1142" s="121" t="n">
        <v>-0.1904307486138364</v>
      </c>
      <c r="M1142" s="121" t="n">
        <v>-0.3062923401714019</v>
      </c>
      <c r="N1142" t="n">
        <v>25.51768334000067</v>
      </c>
      <c r="O1142" t="n">
        <v>-0.7487446214556037</v>
      </c>
      <c r="P1142" t="n">
        <v>157.9495212974168</v>
      </c>
      <c r="Q1142" t="n">
        <v>163.882912948855</v>
      </c>
    </row>
    <row r="1143">
      <c r="A1143" s="118" t="n">
        <v>46097</v>
      </c>
      <c r="B1143" s="119" t="n">
        <v>53.78869604866507</v>
      </c>
      <c r="C1143" s="119" t="n">
        <v>54.58160033166583</v>
      </c>
      <c r="D1143" s="119" t="n">
        <v>53.50126706455672</v>
      </c>
      <c r="E1143" s="119" t="n">
        <v>54.30408477783203</v>
      </c>
      <c r="F1143" s="120" t="n">
        <v>13115200</v>
      </c>
      <c r="G1143" s="121" t="n">
        <v>0.01500559428154058</v>
      </c>
      <c r="H1143" s="122" t="n">
        <v>35.33879139783872</v>
      </c>
      <c r="I1143" s="119" t="n">
        <v>61.47444084167481</v>
      </c>
      <c r="J1143" s="119" t="n">
        <v>65.76215812683105</v>
      </c>
      <c r="K1143" s="121" t="n">
        <v>0.2594877196359989</v>
      </c>
      <c r="L1143" s="121" t="n">
        <v>-0.1681197043598611</v>
      </c>
      <c r="M1143" s="121" t="n">
        <v>-0.2958828444780172</v>
      </c>
      <c r="N1143" t="n">
        <v>30.30850408764675</v>
      </c>
      <c r="O1143" t="n">
        <v>-0.6354450909225222</v>
      </c>
      <c r="P1143" t="n">
        <v>159.5569522541269</v>
      </c>
      <c r="Q1143" t="n">
        <v>165.721264931934</v>
      </c>
    </row>
    <row r="1144">
      <c r="A1144" s="118" t="n">
        <v>46098</v>
      </c>
      <c r="B1144" s="119" t="n">
        <v>54.95823206953708</v>
      </c>
      <c r="C1144" s="119" t="n">
        <v>55.18619181785433</v>
      </c>
      <c r="D1144" s="119" t="n">
        <v>54.51222222245291</v>
      </c>
      <c r="E1144" s="119" t="n">
        <v>54.63115692138672</v>
      </c>
      <c r="F1144" s="120" t="n">
        <v>9861400</v>
      </c>
      <c r="G1144" s="121" t="n">
        <v>0.006022974973112882</v>
      </c>
      <c r="H1144" s="122" t="n">
        <v>35.55163605400796</v>
      </c>
      <c r="I1144" s="119" t="n">
        <v>61.32095924377441</v>
      </c>
      <c r="J1144" s="119" t="n">
        <v>65.73829254150391</v>
      </c>
      <c r="K1144" s="121" t="n">
        <v>0.2332177208049824</v>
      </c>
      <c r="L1144" s="121" t="n">
        <v>-0.1631093101585946</v>
      </c>
      <c r="M1144" s="121" t="n">
        <v>-0.2916419644721687</v>
      </c>
      <c r="N1144" t="n">
        <v>32.22126711655719</v>
      </c>
      <c r="O1144" t="n">
        <v>-0.4955506737290409</v>
      </c>
      <c r="P1144" t="n">
        <v>159.976673995675</v>
      </c>
      <c r="Q1144" t="n">
        <v>166.5300242963862</v>
      </c>
    </row>
    <row r="1145">
      <c r="A1145" s="118" t="n">
        <v>46099</v>
      </c>
      <c r="B1145" s="119" t="n">
        <v>54.01665642898114</v>
      </c>
      <c r="C1145" s="119" t="n">
        <v>54.47257592446014</v>
      </c>
      <c r="D1145" s="119" t="n">
        <v>52.78765194022699</v>
      </c>
      <c r="E1145" s="119" t="n">
        <v>52.99579238891602</v>
      </c>
      <c r="F1145" s="120" t="n">
        <v>16861300</v>
      </c>
      <c r="G1145" s="121" t="n">
        <v>-0.02993464946795776</v>
      </c>
      <c r="H1145" s="122" t="n">
        <v>34.48741029071882</v>
      </c>
      <c r="I1145" s="119" t="n">
        <v>61.11015556335449</v>
      </c>
      <c r="J1145" s="119" t="n">
        <v>65.71035930633545</v>
      </c>
      <c r="K1145" s="121" t="n">
        <v>0.2347721118713044</v>
      </c>
      <c r="L1145" s="121" t="n">
        <v>-0.1881613396019947</v>
      </c>
      <c r="M1145" s="121" t="n">
        <v>-0.3128464139635054</v>
      </c>
      <c r="N1145" t="n">
        <v>28.0725073549839</v>
      </c>
      <c r="O1145" t="n">
        <v>-0.4704292571482587</v>
      </c>
      <c r="P1145" t="n">
        <v>157.7444163560062</v>
      </c>
      <c r="Q1145" t="n">
        <v>164.2086491758014</v>
      </c>
    </row>
    <row r="1146">
      <c r="A1146" s="118" t="n">
        <v>46100</v>
      </c>
      <c r="B1146" s="119" t="n">
        <v>52.43084877990165</v>
      </c>
      <c r="C1146" s="119" t="n">
        <v>53.15437419586343</v>
      </c>
      <c r="D1146" s="119" t="n">
        <v>52.12359670701406</v>
      </c>
      <c r="E1146" s="119" t="n">
        <v>52.96605682373047</v>
      </c>
      <c r="F1146" s="120" t="n">
        <v>12307700</v>
      </c>
      <c r="G1146" s="121" t="n">
        <v>-0.0005610929442724233</v>
      </c>
      <c r="H1146" s="122" t="n">
        <v>34.46805964813847</v>
      </c>
      <c r="I1146" s="119" t="n">
        <v>60.88260963439942</v>
      </c>
      <c r="J1146" s="119" t="n">
        <v>65.67556169509888</v>
      </c>
      <c r="K1146" s="121" t="n">
        <v>0.2339437719769798</v>
      </c>
      <c r="L1146" s="121" t="n">
        <v>-0.1886168565462315</v>
      </c>
      <c r="M1146" s="121" t="n">
        <v>-0.3132319709922621</v>
      </c>
      <c r="N1146" t="n">
        <v>28.00190656177361</v>
      </c>
      <c r="O1146" t="n">
        <v>-0.4150225469121418</v>
      </c>
      <c r="P1146" t="n">
        <v>157.3556740066502</v>
      </c>
      <c r="Q1146" t="n">
        <v>163.6897070712826</v>
      </c>
    </row>
    <row r="1147">
      <c r="A1147" s="118" t="n">
        <v>46101</v>
      </c>
      <c r="B1147" s="119" t="n">
        <v>52.47048881037924</v>
      </c>
      <c r="C1147" s="119" t="n">
        <v>53.13454873666556</v>
      </c>
      <c r="D1147" s="119" t="n">
        <v>51.71723069817</v>
      </c>
      <c r="E1147" s="119" t="n">
        <v>51.90554428100586</v>
      </c>
      <c r="F1147" s="120" t="n">
        <v>19566100</v>
      </c>
      <c r="G1147" s="121" t="n">
        <v>-0.02002249376905596</v>
      </c>
      <c r="H1147" s="122" t="n">
        <v>33.77792313860217</v>
      </c>
      <c r="I1147" s="119" t="n">
        <v>60.67579727172851</v>
      </c>
      <c r="J1147" s="119" t="n">
        <v>65.63156837463379</v>
      </c>
      <c r="K1147" s="121" t="n">
        <v>0.2352909360458965</v>
      </c>
      <c r="L1147" s="121" t="n">
        <v>-0.2048627704803516</v>
      </c>
      <c r="M1147" s="121" t="n">
        <v>-0.3269827795738564</v>
      </c>
      <c r="N1147" t="n">
        <v>25.53533235338602</v>
      </c>
      <c r="O1147" t="n">
        <v>-0.4083739709310414</v>
      </c>
      <c r="P1147" t="n">
        <v>155.099870858225</v>
      </c>
      <c r="Q1147" t="n">
        <v>160.6644417847182</v>
      </c>
    </row>
    <row r="1148">
      <c r="A1148" s="118" t="n">
        <v>46104</v>
      </c>
      <c r="B1148" s="119" t="n">
        <v>52.80747537109458</v>
      </c>
      <c r="C1148" s="119" t="n">
        <v>53.08499471090233</v>
      </c>
      <c r="D1148" s="119" t="n">
        <v>52.06412688318676</v>
      </c>
      <c r="E1148" s="119" t="n">
        <v>52.24253082275391</v>
      </c>
      <c r="F1148" s="120" t="n">
        <v>15242700</v>
      </c>
      <c r="G1148" s="121" t="n">
        <v>0.00649230340257434</v>
      </c>
      <c r="H1148" s="122" t="n">
        <v>33.99721966392681</v>
      </c>
      <c r="I1148" s="119" t="n">
        <v>60.43555297851562</v>
      </c>
      <c r="J1148" s="119" t="n">
        <v>65.58731336593628</v>
      </c>
      <c r="K1148" s="121" t="n">
        <v>0.2235815631944345</v>
      </c>
      <c r="L1148" s="121" t="n">
        <v>-0.1997004983396278</v>
      </c>
      <c r="M1148" s="121" t="n">
        <v>-0.3226133475836925</v>
      </c>
      <c r="N1148" t="n">
        <v>27.71424946424382</v>
      </c>
      <c r="O1148" t="n">
        <v>-0.3425186845944692</v>
      </c>
      <c r="P1148" t="n">
        <v>156.7284181413089</v>
      </c>
      <c r="Q1148" t="n">
        <v>162.5087042701267</v>
      </c>
    </row>
    <row r="1149">
      <c r="A1149" s="118" t="n">
        <v>46105</v>
      </c>
      <c r="B1149" s="119" t="n">
        <v>51.8956341566726</v>
      </c>
      <c r="C1149" s="119" t="n">
        <v>53.60038115931096</v>
      </c>
      <c r="D1149" s="119" t="n">
        <v>51.80643219070046</v>
      </c>
      <c r="E1149" s="119" t="n">
        <v>53.0156135559082</v>
      </c>
      <c r="F1149" s="120" t="n">
        <v>12073800</v>
      </c>
      <c r="G1149" s="121" t="n">
        <v>0.01479795716209042</v>
      </c>
      <c r="H1149" s="122" t="n">
        <v>34.50030906414378</v>
      </c>
      <c r="I1149" s="119" t="n">
        <v>60.19777397155762</v>
      </c>
      <c r="J1149" s="119" t="n">
        <v>65.54741041183472</v>
      </c>
      <c r="K1149" s="121" t="n">
        <v>0.2220861867020393</v>
      </c>
      <c r="L1149" s="121" t="n">
        <v>-0.1878577005972152</v>
      </c>
      <c r="M1149" s="121" t="n">
        <v>-0.3125894089190643</v>
      </c>
      <c r="N1149" t="n">
        <v>32.58760724178833</v>
      </c>
      <c r="O1149" t="n">
        <v>-0.214394712660205</v>
      </c>
      <c r="P1149" t="n">
        <v>156.202309918307</v>
      </c>
      <c r="Q1149" t="n">
        <v>161.397664929401</v>
      </c>
    </row>
    <row r="1150">
      <c r="A1150" s="118" t="n">
        <v>46106</v>
      </c>
      <c r="B1150" s="119" t="n">
        <v>53.28321685225985</v>
      </c>
      <c r="C1150" s="119" t="n">
        <v>53.73914012224481</v>
      </c>
      <c r="D1150" s="119" t="n">
        <v>52.09386232079537</v>
      </c>
      <c r="E1150" s="119" t="n">
        <v>52.51013565063477</v>
      </c>
      <c r="F1150" s="120" t="n">
        <v>13427100</v>
      </c>
      <c r="G1150" s="121" t="n">
        <v>-0.009534510144646013</v>
      </c>
      <c r="H1150" s="122" t="n">
        <v>34.17136551737827</v>
      </c>
      <c r="I1150" s="119" t="n">
        <v>59.95539901733398</v>
      </c>
      <c r="J1150" s="119" t="n">
        <v>65.50434743881226</v>
      </c>
      <c r="K1150" s="121" t="n">
        <v>0.2219682165422533</v>
      </c>
      <c r="L1150" s="121" t="n">
        <v>-0.1956010795897674</v>
      </c>
      <c r="M1150" s="121" t="n">
        <v>-0.3191435321732625</v>
      </c>
      <c r="N1150" t="n">
        <v>31.11072255802247</v>
      </c>
      <c r="O1150" t="n">
        <v>-0.1350645093377665</v>
      </c>
      <c r="P1150" t="n">
        <v>157.072776694482</v>
      </c>
      <c r="Q1150" t="n">
        <v>162.4589547276629</v>
      </c>
    </row>
    <row r="1151">
      <c r="A1151" s="118" t="n">
        <v>46107</v>
      </c>
      <c r="B1151" s="119" t="n">
        <v>52.29208695461357</v>
      </c>
      <c r="C1151" s="119" t="n">
        <v>53.14446049760458</v>
      </c>
      <c r="D1151" s="119" t="n">
        <v>51.40998068180017</v>
      </c>
      <c r="E1151" s="119" t="n">
        <v>51.60820770263672</v>
      </c>
      <c r="F1151" s="120" t="n">
        <v>14486700</v>
      </c>
      <c r="G1151" s="121" t="n">
        <v>-0.01717626391214899</v>
      </c>
      <c r="H1151" s="122" t="n">
        <v>33.58442912501328</v>
      </c>
      <c r="I1151" s="119" t="n">
        <v>59.68198867797852</v>
      </c>
      <c r="J1151" s="119" t="n">
        <v>65.46110595703125</v>
      </c>
      <c r="K1151" s="121" t="n">
        <v>0.2142472194131357</v>
      </c>
      <c r="L1151" s="121" t="n">
        <v>-0.209417647737381</v>
      </c>
      <c r="M1151" s="121" t="n">
        <v>-0.3308381025509481</v>
      </c>
      <c r="N1151" t="n">
        <v>28.6184550845189</v>
      </c>
      <c r="O1151" t="n">
        <v>-0.1154685914435163</v>
      </c>
      <c r="P1151" t="n">
        <v>154.2676563877611</v>
      </c>
      <c r="Q1151" t="n">
        <v>158.5813950052032</v>
      </c>
    </row>
    <row r="1152">
      <c r="A1152" s="118" t="n">
        <v>46108</v>
      </c>
      <c r="B1152" s="119" t="n">
        <v>51.25139824293279</v>
      </c>
      <c r="C1152" s="119" t="n">
        <v>51.64785227239643</v>
      </c>
      <c r="D1152" s="119" t="n">
        <v>50.74592294718918</v>
      </c>
      <c r="E1152" s="119" t="n">
        <v>50.91441345214844</v>
      </c>
      <c r="F1152" s="120" t="n">
        <v>13077800</v>
      </c>
      <c r="G1152" s="121" t="n">
        <v>-0.01344348663464312</v>
      </c>
      <c r="H1152" s="122" t="n">
        <v>33.13293730093904</v>
      </c>
      <c r="I1152" s="119" t="n">
        <v>59.40907760620117</v>
      </c>
      <c r="J1152" s="119" t="n">
        <v>65.40485725402831</v>
      </c>
      <c r="K1152" s="121" t="n">
        <v>0.2042243289177659</v>
      </c>
      <c r="L1152" s="121" t="n">
        <v>-0.2200458310236083</v>
      </c>
      <c r="M1152" s="121" t="n">
        <v>-0.3398339715757169</v>
      </c>
      <c r="N1152" t="n">
        <v>26.83743394040455</v>
      </c>
      <c r="O1152" t="n">
        <v>-0.1207944341933853</v>
      </c>
      <c r="P1152" t="n">
        <v>151.637100639123</v>
      </c>
      <c r="Q1152" t="n">
        <v>155.4832447813429</v>
      </c>
    </row>
    <row r="1153">
      <c r="A1153" s="118" t="n">
        <v>46111</v>
      </c>
      <c r="B1153" s="119" t="n">
        <v>50.97388181860143</v>
      </c>
      <c r="C1153" s="119" t="n">
        <v>51.72713992465417</v>
      </c>
      <c r="D1153" s="119" t="n">
        <v>50.4981392599051</v>
      </c>
      <c r="E1153" s="119" t="n">
        <v>50.78556823730469</v>
      </c>
      <c r="F1153" s="120" t="n">
        <v>16869200</v>
      </c>
      <c r="G1153" s="121" t="n">
        <v>-0.002530623572141177</v>
      </c>
      <c r="H1153" s="122" t="n">
        <v>33.04909030879101</v>
      </c>
      <c r="I1153" s="119" t="n">
        <v>59.15288787841797</v>
      </c>
      <c r="J1153" s="119" t="n">
        <v>65.35166284561157</v>
      </c>
      <c r="K1153" s="121" t="n">
        <v>0.2051332113056609</v>
      </c>
      <c r="L1153" s="121" t="n">
        <v>-0.2220196014288098</v>
      </c>
      <c r="M1153" s="121" t="n">
        <v>-0.3415046032887743</v>
      </c>
      <c r="N1153" t="n">
        <v>26.50750979428034</v>
      </c>
      <c r="O1153" t="n">
        <v>-0.1051325216421559</v>
      </c>
      <c r="P1153" t="n">
        <v>151.1301185689767</v>
      </c>
      <c r="Q1153" t="n">
        <v>154.294828521551</v>
      </c>
    </row>
    <row r="1154">
      <c r="A1154" s="118" t="n">
        <v>46112</v>
      </c>
      <c r="B1154" s="119" t="n">
        <v>51.46944862010977</v>
      </c>
      <c r="C1154" s="119" t="n">
        <v>52.63898385450308</v>
      </c>
      <c r="D1154" s="119" t="n">
        <v>51.23157544495102</v>
      </c>
      <c r="E1154" s="119" t="n">
        <v>52.35155487060547</v>
      </c>
      <c r="F1154" s="120" t="n">
        <v>36422800</v>
      </c>
      <c r="G1154" s="121" t="n">
        <v>0.03083526851532747</v>
      </c>
      <c r="H1154" s="122" t="n">
        <v>34.06816788264989</v>
      </c>
      <c r="I1154" s="119" t="n">
        <v>58.93215324401856</v>
      </c>
      <c r="J1154" s="119" t="n">
        <v>65.30780696868896</v>
      </c>
      <c r="K1154" s="121" t="n">
        <v>0.2371898428460183</v>
      </c>
      <c r="L1154" s="121" t="n">
        <v>-0.1980303669392056</v>
      </c>
      <c r="M1154" s="121" t="n">
        <v>-0.3211997209150764</v>
      </c>
      <c r="N1154" t="n">
        <v>36.693956652276</v>
      </c>
      <c r="O1154" t="n">
        <v>0.03126291339069009</v>
      </c>
      <c r="P1154" t="n">
        <v>155.5231485715741</v>
      </c>
      <c r="Q1154" t="n">
        <v>159.5183109473057</v>
      </c>
    </row>
    <row r="1155">
      <c r="A1155" s="118" t="n">
        <v>46113</v>
      </c>
      <c r="B1155" s="119" t="n">
        <v>46.14707564565088</v>
      </c>
      <c r="C1155" s="119" t="n">
        <v>46.41468155590174</v>
      </c>
      <c r="D1155" s="119" t="n">
        <v>44.16481300456243</v>
      </c>
      <c r="E1155" s="119" t="n">
        <v>44.23419189453125</v>
      </c>
      <c r="F1155" s="120" t="n">
        <v>114225700</v>
      </c>
      <c r="G1155" s="121" t="n">
        <v>-0.155054859328199</v>
      </c>
      <c r="H1155" s="122" t="n">
        <v>28.78573290403614</v>
      </c>
      <c r="I1155" s="119" t="n">
        <v>58.56384010314942</v>
      </c>
      <c r="J1155" s="119" t="n">
        <v>65.2344111251831</v>
      </c>
      <c r="K1155" s="121" t="n">
        <v>0.5812776898732759</v>
      </c>
      <c r="L1155" s="121" t="n">
        <v>-0.3223796555789344</v>
      </c>
      <c r="M1155" s="121" t="n">
        <v>-0.4264510027005315</v>
      </c>
      <c r="N1155" t="n">
        <v>20.68741339559087</v>
      </c>
      <c r="O1155" t="n">
        <v>-0.381858297272641</v>
      </c>
      <c r="P1155" t="n">
        <v>156.69493639859</v>
      </c>
      <c r="Q1155" t="n">
        <v>161.488872423918</v>
      </c>
    </row>
    <row r="1156">
      <c r="A1156" s="118" t="n">
        <v>46114</v>
      </c>
      <c r="B1156" s="119" t="n">
        <v>43.37190511622997</v>
      </c>
      <c r="C1156" s="119" t="n">
        <v>43.94676309951662</v>
      </c>
      <c r="D1156" s="119" t="n">
        <v>42.78713748327485</v>
      </c>
      <c r="E1156" s="119" t="n">
        <v>43.79809188842773</v>
      </c>
      <c r="F1156" s="120" t="n">
        <v>63242600</v>
      </c>
      <c r="G1156" s="121" t="n">
        <v>-0.009858889411686778</v>
      </c>
      <c r="H1156" s="122" t="n">
        <v>28.50193754670089</v>
      </c>
      <c r="I1156" s="119" t="n">
        <v>58.15175338745117</v>
      </c>
      <c r="J1156" s="119" t="n">
        <v>65.15216773986816</v>
      </c>
      <c r="K1156" s="121" t="n">
        <v>0.5813204749878067</v>
      </c>
      <c r="L1156" s="121" t="n">
        <v>-0.3290602396176909</v>
      </c>
      <c r="M1156" s="121" t="n">
        <v>-0.4321055588370908</v>
      </c>
      <c r="N1156" t="n">
        <v>20.17815262655698</v>
      </c>
      <c r="O1156" t="n">
        <v>-0.6266788088242699</v>
      </c>
      <c r="P1156" t="n">
        <v>156.8360338475827</v>
      </c>
      <c r="Q1156" t="n">
        <v>161.6740400183224</v>
      </c>
    </row>
    <row r="1157">
      <c r="A1157" s="118" t="n">
        <v>46118</v>
      </c>
      <c r="B1157" s="119" t="n">
        <v>43.76835923952276</v>
      </c>
      <c r="C1157" s="119" t="n">
        <v>43.98640934129222</v>
      </c>
      <c r="D1157" s="119" t="n">
        <v>43.17368195579907</v>
      </c>
      <c r="E1157" s="119" t="n">
        <v>43.63951110839844</v>
      </c>
      <c r="F1157" s="120" t="n">
        <v>26999600</v>
      </c>
      <c r="G1157" s="121" t="n">
        <v>-0.003620723487983701</v>
      </c>
      <c r="H1157" s="122" t="n">
        <v>28.39873991197251</v>
      </c>
      <c r="I1157" s="119" t="n">
        <v>57.73551040649414</v>
      </c>
      <c r="J1157" s="119" t="n">
        <v>65.07837772369385</v>
      </c>
      <c r="K1157" s="121" t="n">
        <v>0.581938341589756</v>
      </c>
      <c r="L1157" s="121" t="n">
        <v>-0.3314895269671293</v>
      </c>
      <c r="M1157" s="121" t="n">
        <v>-0.4341617475789047</v>
      </c>
      <c r="N1157" t="n">
        <v>19.98548978345474</v>
      </c>
      <c r="O1157" t="n">
        <v>-0.734038850494855</v>
      </c>
      <c r="P1157" t="n">
        <v>157.5773734831321</v>
      </c>
      <c r="Q1157" t="n">
        <v>162.6468918145874</v>
      </c>
    </row>
    <row r="1158">
      <c r="A1158" s="118" t="n">
        <v>46119</v>
      </c>
      <c r="B1158" s="119" t="n">
        <v>43.31243846575701</v>
      </c>
      <c r="C1158" s="119" t="n">
        <v>43.48092897155077</v>
      </c>
      <c r="D1158" s="119" t="n">
        <v>41.9843223756015</v>
      </c>
      <c r="E1158" s="119" t="n">
        <v>42.31139373779297</v>
      </c>
      <c r="F1158" s="120" t="n">
        <v>38253000</v>
      </c>
      <c r="G1158" s="121" t="n">
        <v>-0.03043382789753279</v>
      </c>
      <c r="H1158" s="122" t="n">
        <v>27.53445754898474</v>
      </c>
      <c r="I1158" s="119" t="n">
        <v>57.30097564697266</v>
      </c>
      <c r="J1158" s="119" t="n">
        <v>65.00033168792724</v>
      </c>
      <c r="K1158" s="121" t="n">
        <v>0.5853109997404007</v>
      </c>
      <c r="L1158" s="121" t="n">
        <v>-0.3518348596511099</v>
      </c>
      <c r="M1158" s="121" t="n">
        <v>-0.451382371570929</v>
      </c>
      <c r="N1158" t="n">
        <v>18.40086853478707</v>
      </c>
      <c r="O1158" t="n">
        <v>-0.8225774118461855</v>
      </c>
      <c r="P1158" t="n">
        <v>157.6467076164372</v>
      </c>
      <c r="Q1158" t="n">
        <v>162.6717665858193</v>
      </c>
    </row>
    <row r="1159">
      <c r="A1159" s="118" t="n">
        <v>46120</v>
      </c>
      <c r="B1159" s="119" t="n">
        <v>43.52057494288791</v>
      </c>
      <c r="C1159" s="119" t="n">
        <v>43.90711554238363</v>
      </c>
      <c r="D1159" s="119" t="n">
        <v>42.38077244310726</v>
      </c>
      <c r="E1159" s="119" t="n">
        <v>42.74749374389648</v>
      </c>
      <c r="F1159" s="120" t="n">
        <v>29462900</v>
      </c>
      <c r="G1159" s="121" t="n">
        <v>0.01030691659097926</v>
      </c>
      <c r="H1159" s="122" t="n">
        <v>27.81825290631998</v>
      </c>
      <c r="I1159" s="119" t="n">
        <v>56.87614761352539</v>
      </c>
      <c r="J1159" s="119" t="n">
        <v>64.92310354232788</v>
      </c>
      <c r="K1159" s="121" t="n">
        <v>0.5910581010155374</v>
      </c>
      <c r="L1159" s="121" t="n">
        <v>-0.3451542756123537</v>
      </c>
      <c r="M1159" s="121" t="n">
        <v>-0.4457278154343697</v>
      </c>
      <c r="N1159" t="n">
        <v>20.62633688368749</v>
      </c>
      <c r="O1159" t="n">
        <v>-0.7802146445170157</v>
      </c>
      <c r="P1159" t="n">
        <v>161.6619119567715</v>
      </c>
      <c r="Q1159" t="n">
        <v>167.5083306419438</v>
      </c>
    </row>
    <row r="1160">
      <c r="A1160" s="118" t="n">
        <v>46121</v>
      </c>
      <c r="B1160" s="119" t="n">
        <v>42.83669811553343</v>
      </c>
      <c r="C1160" s="119" t="n">
        <v>43.82782946457684</v>
      </c>
      <c r="D1160" s="119" t="n">
        <v>42.34113244101172</v>
      </c>
      <c r="E1160" s="119" t="n">
        <v>43.60977935791016</v>
      </c>
      <c r="F1160" s="120" t="n">
        <v>24147400</v>
      </c>
      <c r="G1160" s="121" t="n">
        <v>0.02017160629766246</v>
      </c>
      <c r="H1160" s="122" t="n">
        <v>28.37939175183508</v>
      </c>
      <c r="I1160" s="119" t="n">
        <v>56.50597991943359</v>
      </c>
      <c r="J1160" s="119" t="n">
        <v>64.84536903381348</v>
      </c>
      <c r="K1160" s="121" t="n">
        <v>0.6020498519184756</v>
      </c>
      <c r="L1160" s="121" t="n">
        <v>-0.3319449854742984</v>
      </c>
      <c r="M1160" s="121" t="n">
        <v>-0.4345472551455665</v>
      </c>
      <c r="N1160" t="n">
        <v>24.98291780477993</v>
      </c>
      <c r="O1160" t="n">
        <v>-0.6290497497700125</v>
      </c>
      <c r="P1160" t="n">
        <v>162.5945423881343</v>
      </c>
      <c r="Q1160" t="n">
        <v>168.6414752613813</v>
      </c>
    </row>
    <row r="1161">
      <c r="A1161" s="118" t="n">
        <v>46122</v>
      </c>
      <c r="B1161" s="119" t="n">
        <v>43.44128761038457</v>
      </c>
      <c r="C1161" s="119" t="n">
        <v>43.57013195987964</v>
      </c>
      <c r="D1161" s="119" t="n">
        <v>42.02396951901127</v>
      </c>
      <c r="E1161" s="119" t="n">
        <v>42.24201583862305</v>
      </c>
      <c r="F1161" s="120" t="n">
        <v>26094800</v>
      </c>
      <c r="G1161" s="121" t="n">
        <v>-0.03136368813200652</v>
      </c>
      <c r="H1161" s="122" t="n">
        <v>27.48930935955448</v>
      </c>
      <c r="I1161" s="119" t="n">
        <v>56.12519508361817</v>
      </c>
      <c r="J1161" s="119" t="n">
        <v>64.75768117904663</v>
      </c>
      <c r="K1161" s="121" t="n">
        <v>0.6033587107652171</v>
      </c>
      <c r="L1161" s="121" t="n">
        <v>-0.3460921689845425</v>
      </c>
      <c r="M1161" s="121" t="n">
        <v>-0.4522819386885679</v>
      </c>
      <c r="N1161" t="n">
        <v>22.84133259788207</v>
      </c>
      <c r="O1161" t="n">
        <v>-0.5584968972382462</v>
      </c>
      <c r="P1161" t="n">
        <v>162.4869413154893</v>
      </c>
      <c r="Q1161" t="n">
        <v>168.8846839886602</v>
      </c>
    </row>
    <row r="1162">
      <c r="A1162" s="118" t="n">
        <v>46125</v>
      </c>
      <c r="B1162" s="119" t="n">
        <v>41.85547603452363</v>
      </c>
      <c r="C1162" s="119" t="n">
        <v>42.59882453952412</v>
      </c>
      <c r="D1162" s="119" t="n">
        <v>41.7167182518621</v>
      </c>
      <c r="E1162" s="119" t="n">
        <v>42.52944564819336</v>
      </c>
      <c r="F1162" s="120" t="n">
        <v>21236700</v>
      </c>
      <c r="G1162" s="121" t="n">
        <v>0.00680435826425474</v>
      </c>
      <c r="H1162" s="122" t="n">
        <v>27.67635646887382</v>
      </c>
      <c r="I1162" s="119" t="n">
        <v>55.74306983947754</v>
      </c>
      <c r="J1162" s="119" t="n">
        <v>64.67430166244507</v>
      </c>
      <c r="K1162" s="121" t="n">
        <v>0.6060702503595126</v>
      </c>
      <c r="L1162" s="121" t="n">
        <v>-0.3416427458305117</v>
      </c>
      <c r="M1162" s="121" t="n">
        <v>-0.448555068771602</v>
      </c>
      <c r="N1162" t="n">
        <v>24.30971049924626</v>
      </c>
      <c r="O1162" t="n">
        <v>-0.4352651093496003</v>
      </c>
      <c r="P1162" t="n">
        <v>164.0748363777371</v>
      </c>
      <c r="Q1162" t="n">
        <v>170.6313725241854</v>
      </c>
    </row>
    <row r="1163">
      <c r="A1163" s="118" t="n">
        <v>46126</v>
      </c>
      <c r="B1163" s="119" t="n">
        <v>42.60873826434926</v>
      </c>
      <c r="C1163" s="119" t="n">
        <v>43.81791593650846</v>
      </c>
      <c r="D1163" s="119" t="n">
        <v>42.5690921030677</v>
      </c>
      <c r="E1163" s="119" t="n">
        <v>43.80800628662109</v>
      </c>
      <c r="F1163" s="120" t="n">
        <v>22554100</v>
      </c>
      <c r="G1163" s="121" t="n">
        <v>0.03006295094942169</v>
      </c>
      <c r="H1163" s="122" t="n">
        <v>28.50838941585628</v>
      </c>
      <c r="I1163" s="119" t="n">
        <v>55.40207237243652</v>
      </c>
      <c r="J1163" s="119" t="n">
        <v>64.5889933013916</v>
      </c>
      <c r="K1163" s="121" t="n">
        <v>0.6167877189811775</v>
      </c>
      <c r="L1163" s="121" t="n">
        <v>-0.3218505839912185</v>
      </c>
      <c r="M1163" s="121" t="n">
        <v>-0.4319770068527754</v>
      </c>
      <c r="N1163" t="n">
        <v>30.6334960595608</v>
      </c>
      <c r="O1163" t="n">
        <v>-0.2212314880271999</v>
      </c>
      <c r="P1163" t="n">
        <v>166.0740681122245</v>
      </c>
      <c r="Q1163" t="n">
        <v>173.7295227480457</v>
      </c>
    </row>
    <row r="1164">
      <c r="A1164" s="118" t="n">
        <v>46127</v>
      </c>
      <c r="B1164" s="119" t="n">
        <v>44.69011192421851</v>
      </c>
      <c r="C1164" s="119" t="n">
        <v>45.49292966448566</v>
      </c>
      <c r="D1164" s="119" t="n">
        <v>44.31348095930559</v>
      </c>
      <c r="E1164" s="119" t="n">
        <v>45.03700637817383</v>
      </c>
      <c r="F1164" s="120" t="n">
        <v>31523500</v>
      </c>
      <c r="G1164" s="121" t="n">
        <v>0.02805423473307145</v>
      </c>
      <c r="H1164" s="122" t="n">
        <v>29.30817046439052</v>
      </c>
      <c r="I1164" s="119" t="n">
        <v>55.07836891174316</v>
      </c>
      <c r="J1164" s="119" t="n">
        <v>64.46359857559204</v>
      </c>
      <c r="K1164" s="121" t="n">
        <v>0.6291657498657374</v>
      </c>
      <c r="L1164" s="121" t="n">
        <v>-0.3028256210904128</v>
      </c>
      <c r="M1164" s="121" t="n">
        <v>-0.4160415564692413</v>
      </c>
      <c r="N1164" t="n">
        <v>36.15525441900741</v>
      </c>
      <c r="O1164" t="n">
        <v>0.03583636025677528</v>
      </c>
      <c r="P1164" t="n">
        <v>167.384553473108</v>
      </c>
      <c r="Q1164" t="n">
        <v>176.1616437951334</v>
      </c>
    </row>
    <row r="1165">
      <c r="A1165" s="118" t="n">
        <v>46128</v>
      </c>
      <c r="B1165" s="119" t="n">
        <v>45.39381223902274</v>
      </c>
      <c r="C1165" s="119" t="n">
        <v>46.07769524756912</v>
      </c>
      <c r="D1165" s="119" t="n">
        <v>45.14602941699656</v>
      </c>
      <c r="E1165" s="119" t="n">
        <v>45.29470062255859</v>
      </c>
      <c r="F1165" s="120" t="n">
        <v>21766300</v>
      </c>
      <c r="G1165" s="121" t="n">
        <v>0.005721833334589643</v>
      </c>
      <c r="H1165" s="122" t="n">
        <v>29.47586693112951</v>
      </c>
      <c r="I1165" s="119" t="n">
        <v>54.78443420410157</v>
      </c>
      <c r="J1165" s="119" t="n">
        <v>64.3443588066101</v>
      </c>
      <c r="K1165" s="121" t="n">
        <v>0.6260028314282122</v>
      </c>
      <c r="L1165" s="121" t="n">
        <v>-0.298836505489146</v>
      </c>
      <c r="M1165" s="121" t="n">
        <v>-0.412700243581032</v>
      </c>
      <c r="N1165" t="n">
        <v>37.28258994463047</v>
      </c>
      <c r="O1165" t="n">
        <v>0.2443331585645541</v>
      </c>
      <c r="P1165" t="n">
        <v>167.7958755117189</v>
      </c>
      <c r="Q1165" t="n">
        <v>177.0101048480894</v>
      </c>
    </row>
    <row r="1166">
      <c r="A1166" s="118" t="n">
        <v>46129</v>
      </c>
      <c r="B1166" s="119" t="n">
        <v>45.96867099143482</v>
      </c>
      <c r="C1166" s="119" t="n">
        <v>46.36512124497474</v>
      </c>
      <c r="D1166" s="119" t="n">
        <v>45.37398993982613</v>
      </c>
      <c r="E1166" s="119" t="n">
        <v>45.62177276611328</v>
      </c>
      <c r="F1166" s="120" t="n">
        <v>31290400</v>
      </c>
      <c r="G1166" s="121" t="n">
        <v>0.007220980358832341</v>
      </c>
      <c r="H1166" s="122" t="n">
        <v>29.68871158729876</v>
      </c>
      <c r="I1166" s="119" t="n">
        <v>54.43225448608398</v>
      </c>
      <c r="J1166" s="119" t="n">
        <v>64.21522089004516</v>
      </c>
      <c r="K1166" s="121" t="n">
        <v>0.6276746251032036</v>
      </c>
      <c r="L1166" s="121" t="n">
        <v>-0.2937734176669529</v>
      </c>
      <c r="M1166" s="121" t="n">
        <v>-0.4084593635751835</v>
      </c>
      <c r="N1166" t="n">
        <v>38.7606169231999</v>
      </c>
      <c r="O1166" t="n">
        <v>0.4153274677866619</v>
      </c>
      <c r="P1166" t="n">
        <v>169.8238037923041</v>
      </c>
      <c r="Q1166" t="n">
        <v>179.3261267422787</v>
      </c>
    </row>
    <row r="1167">
      <c r="A1167" s="118" t="n">
        <v>46132</v>
      </c>
      <c r="B1167" s="119" t="n">
        <v>45.57221769511245</v>
      </c>
      <c r="C1167" s="119" t="n">
        <v>46.14707567622461</v>
      </c>
      <c r="D1167" s="119" t="n">
        <v>45.16585400465473</v>
      </c>
      <c r="E1167" s="119" t="n">
        <v>46.06778335571289</v>
      </c>
      <c r="F1167" s="120" t="n">
        <v>19003100</v>
      </c>
      <c r="G1167" s="121" t="n">
        <v>0.009776266079929652</v>
      </c>
      <c r="H1167" s="122" t="n">
        <v>29.97895633134648</v>
      </c>
      <c r="I1167" s="119" t="n">
        <v>54.11892669677734</v>
      </c>
      <c r="J1167" s="119" t="n">
        <v>64.07381099700928</v>
      </c>
      <c r="K1167" s="121" t="n">
        <v>0.6281532818918861</v>
      </c>
      <c r="L1167" s="121" t="n">
        <v>-0.2868691586853457</v>
      </c>
      <c r="M1167" s="121" t="n">
        <v>-0.4026763049164036</v>
      </c>
      <c r="N1167" t="n">
        <v>40.80911415645836</v>
      </c>
      <c r="O1167" t="n">
        <v>0.5604958976031877</v>
      </c>
      <c r="P1167" t="n">
        <v>169.4842011684944</v>
      </c>
      <c r="Q1167" t="n">
        <v>178.7567933836146</v>
      </c>
    </row>
    <row r="1168">
      <c r="A1168" s="118" t="n">
        <v>46133</v>
      </c>
      <c r="B1168" s="119" t="n">
        <v>46.35521142809223</v>
      </c>
      <c r="C1168" s="119" t="n">
        <v>46.55343844457923</v>
      </c>
      <c r="D1168" s="119" t="n">
        <v>45.52266098353952</v>
      </c>
      <c r="E1168" s="119" t="n">
        <v>45.97858047485352</v>
      </c>
      <c r="F1168" s="120" t="n">
        <v>22194000</v>
      </c>
      <c r="G1168" s="121" t="n">
        <v>-0.001936339766352435</v>
      </c>
      <c r="H1168" s="122" t="n">
        <v>29.92090688604835</v>
      </c>
      <c r="I1168" s="119" t="n">
        <v>53.77979080200195</v>
      </c>
      <c r="J1168" s="119" t="n">
        <v>63.93195508956909</v>
      </c>
      <c r="K1168" s="121" t="n">
        <v>0.6267944045707462</v>
      </c>
      <c r="L1168" s="121" t="n">
        <v>-0.2882500222919956</v>
      </c>
      <c r="M1168" s="121" t="n">
        <v>-0.4038329265405786</v>
      </c>
      <c r="N1168" t="n">
        <v>40.51719517055933</v>
      </c>
      <c r="O1168" t="n">
        <v>0.6464336407125462</v>
      </c>
      <c r="P1168" t="n">
        <v>168.374606263924</v>
      </c>
      <c r="Q1168" t="n">
        <v>178.0769167442418</v>
      </c>
    </row>
    <row r="1169">
      <c r="A1169" s="118" t="n">
        <v>46134</v>
      </c>
      <c r="B1169" s="119" t="n">
        <v>45.89929325209091</v>
      </c>
      <c r="C1169" s="119" t="n">
        <v>46.5336166983341</v>
      </c>
      <c r="D1169" s="119" t="n">
        <v>45.09647551370226</v>
      </c>
      <c r="E1169" s="119" t="n">
        <v>45.27487945556641</v>
      </c>
      <c r="F1169" s="120" t="n">
        <v>17985200</v>
      </c>
      <c r="G1169" s="121" t="n">
        <v>-0.01530497488220572</v>
      </c>
      <c r="H1169" s="122" t="n">
        <v>29.46296815770456</v>
      </c>
      <c r="I1169" s="119" t="n">
        <v>53.45631568908691</v>
      </c>
      <c r="J1169" s="119" t="n">
        <v>63.78589937210083</v>
      </c>
      <c r="K1169" s="121" t="n">
        <v>0.6229228753571857</v>
      </c>
      <c r="L1169" s="121" t="n">
        <v>-0.2991433378232271</v>
      </c>
      <c r="M1169" s="121" t="n">
        <v>-0.4129572486254731</v>
      </c>
      <c r="N1169" t="n">
        <v>38.1959728751136</v>
      </c>
      <c r="O1169" t="n">
        <v>0.6500525497417375</v>
      </c>
      <c r="P1169" t="n">
        <v>170.0796874256878</v>
      </c>
      <c r="Q1169" t="n">
        <v>181.0562489841323</v>
      </c>
    </row>
    <row r="1170">
      <c r="A1170" s="118" t="n">
        <v>46135</v>
      </c>
      <c r="B1170" s="119" t="n">
        <v>45.1757663387775</v>
      </c>
      <c r="C1170" s="119" t="n">
        <v>45.34425684447689</v>
      </c>
      <c r="D1170" s="119" t="n">
        <v>43.84765024936583</v>
      </c>
      <c r="E1170" s="119" t="n">
        <v>44.38285827636719</v>
      </c>
      <c r="F1170" s="120" t="n">
        <v>17457500</v>
      </c>
      <c r="G1170" s="121" t="n">
        <v>-0.01970234244521107</v>
      </c>
      <c r="H1170" s="122" t="n">
        <v>28.88247866960912</v>
      </c>
      <c r="I1170" s="119" t="n">
        <v>53.10259422302246</v>
      </c>
      <c r="J1170" s="119" t="n">
        <v>63.6480849647522</v>
      </c>
      <c r="K1170" s="121" t="n">
        <v>0.6245010573872825</v>
      </c>
      <c r="L1170" s="121" t="n">
        <v>-0.3129518557864415</v>
      </c>
      <c r="M1170" s="121" t="n">
        <v>-0.424523365943033</v>
      </c>
      <c r="N1170" t="n">
        <v>35.42543423506298</v>
      </c>
      <c r="O1170" t="n">
        <v>0.5883861452507011</v>
      </c>
      <c r="P1170" t="n">
        <v>169.4196522318105</v>
      </c>
      <c r="Q1170" t="n">
        <v>180.0364171379235</v>
      </c>
    </row>
    <row r="1171">
      <c r="A1171" s="118" t="n">
        <v>46136</v>
      </c>
      <c r="B1171" s="119" t="n">
        <v>44.58108437316442</v>
      </c>
      <c r="C1171" s="119" t="n">
        <v>45.01718077380956</v>
      </c>
      <c r="D1171" s="119" t="n">
        <v>44.19454378018212</v>
      </c>
      <c r="E1171" s="119" t="n">
        <v>44.29365539550781</v>
      </c>
      <c r="F1171" s="120" t="n">
        <v>15885000</v>
      </c>
      <c r="G1171" s="121" t="n">
        <v>-0.002009849845720169</v>
      </c>
      <c r="H1171" s="122" t="n">
        <v>28.82442922431099</v>
      </c>
      <c r="I1171" s="119" t="n">
        <v>52.76067611694336</v>
      </c>
      <c r="J1171" s="119" t="n">
        <v>63.51157651901245</v>
      </c>
      <c r="K1171" s="121" t="n">
        <v>0.623727967311364</v>
      </c>
      <c r="L1171" s="121" t="n">
        <v>-0.3143327193930914</v>
      </c>
      <c r="M1171" s="121" t="n">
        <v>-0.4256799875672078</v>
      </c>
      <c r="N1171" t="n">
        <v>35.1508529702468</v>
      </c>
      <c r="O1171" t="n">
        <v>0.5389257630810214</v>
      </c>
      <c r="P1171" t="n">
        <v>170.732537507819</v>
      </c>
      <c r="Q1171" t="n">
        <v>183.4800615536598</v>
      </c>
    </row>
    <row r="1172">
      <c r="A1172" s="118" t="n">
        <v>46139</v>
      </c>
      <c r="B1172" s="119" t="n">
        <v>44.2044541791922</v>
      </c>
      <c r="C1172" s="119" t="n">
        <v>45.00727188806503</v>
      </c>
      <c r="D1172" s="119" t="n">
        <v>44.09543291283096</v>
      </c>
      <c r="E1172" s="119" t="n">
        <v>44.73966598510742</v>
      </c>
      <c r="F1172" s="120" t="n">
        <v>14583100</v>
      </c>
      <c r="G1172" s="121" t="n">
        <v>0.01006940126338818</v>
      </c>
      <c r="H1172" s="122" t="n">
        <v>29.11467396835871</v>
      </c>
      <c r="I1172" s="119" t="n">
        <v>52.45229309082031</v>
      </c>
      <c r="J1172" s="119" t="n">
        <v>63.37213962554932</v>
      </c>
      <c r="K1172" s="121" t="n">
        <v>0.6259939840414412</v>
      </c>
      <c r="L1172" s="121" t="n">
        <v>-0.3074284604114843</v>
      </c>
      <c r="M1172" s="121" t="n">
        <v>-0.419896928908428</v>
      </c>
      <c r="N1172" t="n">
        <v>37.74893855358263</v>
      </c>
      <c r="O1172" t="n">
        <v>0.5326364266960666</v>
      </c>
      <c r="P1172" t="n">
        <v>171.0266734469138</v>
      </c>
      <c r="Q1172" t="n">
        <v>183.5767911460674</v>
      </c>
    </row>
    <row r="1173">
      <c r="A1173" s="118" t="n">
        <v>46140</v>
      </c>
      <c r="B1173" s="119" t="n">
        <v>44.97754016627945</v>
      </c>
      <c r="C1173" s="119" t="n">
        <v>45.30461153441868</v>
      </c>
      <c r="D1173" s="119" t="n">
        <v>44.35312637872973</v>
      </c>
      <c r="E1173" s="119" t="n">
        <v>44.63064193725586</v>
      </c>
      <c r="F1173" s="120" t="n">
        <v>12426000</v>
      </c>
      <c r="G1173" s="121" t="n">
        <v>-0.00243685430928009</v>
      </c>
      <c r="H1173" s="122" t="n">
        <v>29.04372574963563</v>
      </c>
      <c r="I1173" s="119" t="n">
        <v>52.10175498962403</v>
      </c>
      <c r="J1173" s="119" t="n">
        <v>63.24184194564819</v>
      </c>
      <c r="K1173" s="121" t="n">
        <v>0.6260002492040004</v>
      </c>
      <c r="L1173" s="121" t="n">
        <v>-0.3091161563522152</v>
      </c>
      <c r="M1173" s="121" t="n">
        <v>-0.4213105555770441</v>
      </c>
      <c r="N1173" t="n">
        <v>37.35497194391955</v>
      </c>
      <c r="O1173" t="n">
        <v>0.517100562795032</v>
      </c>
      <c r="P1173" t="n">
        <v>170.19445897645</v>
      </c>
      <c r="Q1173" t="n">
        <v>181.7306035256145</v>
      </c>
    </row>
    <row r="1174">
      <c r="A1174" s="118" t="n">
        <v>46141</v>
      </c>
      <c r="B1174" s="119" t="n">
        <v>44.52161720838121</v>
      </c>
      <c r="C1174" s="119" t="n">
        <v>44.75949038945037</v>
      </c>
      <c r="D1174" s="119" t="n">
        <v>43.75844941693546</v>
      </c>
      <c r="E1174" s="119" t="n">
        <v>43.99631881713867</v>
      </c>
      <c r="F1174" s="120" t="n">
        <v>13329700</v>
      </c>
      <c r="G1174" s="121" t="n">
        <v>-0.01421272678553342</v>
      </c>
      <c r="H1174" s="122" t="n">
        <v>28.6309352107221</v>
      </c>
      <c r="I1174" s="119" t="n">
        <v>51.70525108337402</v>
      </c>
      <c r="J1174" s="119" t="n">
        <v>63.11022186279297</v>
      </c>
      <c r="K1174" s="121" t="n">
        <v>0.6114453695619754</v>
      </c>
      <c r="L1174" s="121" t="n">
        <v>-0.3189354996625204</v>
      </c>
      <c r="M1174" s="121" t="n">
        <v>-0.4295353105442997</v>
      </c>
      <c r="N1174" t="n">
        <v>35.06217078063129</v>
      </c>
      <c r="O1174" t="n">
        <v>0.4618816338605507</v>
      </c>
      <c r="P1174" t="n">
        <v>170.1681623454772</v>
      </c>
      <c r="Q1174" t="n">
        <v>182.8416259791907</v>
      </c>
    </row>
    <row r="1175">
      <c r="A1175" s="118" t="n">
        <v>46142</v>
      </c>
      <c r="B1175" s="119" t="n">
        <v>43.69898114981162</v>
      </c>
      <c r="C1175" s="119" t="n">
        <v>44.41259692804836</v>
      </c>
      <c r="D1175" s="119" t="n">
        <v>43.12412315492845</v>
      </c>
      <c r="E1175" s="119" t="n">
        <v>43.96658706665039</v>
      </c>
      <c r="F1175" s="120" t="n">
        <v>21679500</v>
      </c>
      <c r="G1175" s="121" t="n">
        <v>-0.0006757781397996876</v>
      </c>
      <c r="H1175" s="122" t="n">
        <v>28.61158705058467</v>
      </c>
      <c r="I1175" s="119" t="n">
        <v>51.29377731323243</v>
      </c>
      <c r="J1175" s="119" t="n">
        <v>62.97971837997436</v>
      </c>
      <c r="K1175" s="121" t="n">
        <v>0.2673817672124653</v>
      </c>
      <c r="L1175" s="121" t="n">
        <v>-0.319395748163642</v>
      </c>
      <c r="M1175" s="121" t="n">
        <v>-0.4299208181109615</v>
      </c>
      <c r="N1175" t="n">
        <v>34.95387589659197</v>
      </c>
      <c r="O1175" t="n">
        <v>0.42221568315294</v>
      </c>
      <c r="P1175" t="n">
        <v>171.8612731988738</v>
      </c>
      <c r="Q1175" t="n">
        <v>184.5468565626628</v>
      </c>
    </row>
    <row r="1176">
      <c r="A1176" s="118" t="n">
        <v>46143</v>
      </c>
      <c r="B1176" s="119" t="n">
        <v>44.42250656527431</v>
      </c>
      <c r="C1176" s="119" t="n">
        <v>44.5612643485884</v>
      </c>
      <c r="D1176" s="119" t="n">
        <v>43.82782927082362</v>
      </c>
      <c r="E1176" s="119" t="n">
        <v>44.00623321533203</v>
      </c>
      <c r="F1176" s="120" t="n">
        <v>11562800</v>
      </c>
      <c r="G1176" s="121" t="n">
        <v>0.0009017335965044726</v>
      </c>
      <c r="H1176" s="122" t="n">
        <v>28.63738707987749</v>
      </c>
      <c r="I1176" s="119" t="n">
        <v>50.88191513061523</v>
      </c>
      <c r="J1176" s="119" t="n">
        <v>62.84887784957886</v>
      </c>
      <c r="K1176" s="121" t="n">
        <v>0.2649262501297637</v>
      </c>
      <c r="L1176" s="121" t="n">
        <v>-0.3187820244438375</v>
      </c>
      <c r="M1176" s="121" t="n">
        <v>-0.4294067585599843</v>
      </c>
      <c r="N1176" t="n">
        <v>35.24110851357699</v>
      </c>
      <c r="O1176" t="n">
        <v>0.3978426130658916</v>
      </c>
      <c r="P1176" t="n">
        <v>172.3371734414262</v>
      </c>
      <c r="Q1176" t="n">
        <v>186.3184367565694</v>
      </c>
    </row>
    <row r="1177">
      <c r="A1177" s="118" t="n">
        <v>46146</v>
      </c>
      <c r="B1177" s="119" t="n">
        <v>43.79809050589887</v>
      </c>
      <c r="C1177" s="119" t="n">
        <v>43.9467617122948</v>
      </c>
      <c r="D1177" s="119" t="n">
        <v>42.70784759521484</v>
      </c>
      <c r="E1177" s="119" t="n">
        <v>42.70784759521484</v>
      </c>
      <c r="F1177" s="120" t="n">
        <v>33272400</v>
      </c>
      <c r="G1177" s="121" t="n">
        <v>-0.0295045843565821</v>
      </c>
      <c r="H1177" s="122" t="n">
        <v>27.79245287702715</v>
      </c>
      <c r="I1177" s="119" t="n">
        <v>50.44822036743164</v>
      </c>
      <c r="J1177" s="119" t="n">
        <v>62.70726289749145</v>
      </c>
      <c r="K1177" s="121" t="n">
        <v>0.285249722012851</v>
      </c>
      <c r="L1177" s="121" t="n">
        <v>-0.3388810776688543</v>
      </c>
      <c r="M1177" s="121" t="n">
        <v>-0.4462418749853468</v>
      </c>
      <c r="N1177" t="n">
        <v>30.49225049206474</v>
      </c>
      <c r="O1177" t="n">
        <v>0.2980356754990181</v>
      </c>
      <c r="P1177" t="n">
        <v>171.7058347936467</v>
      </c>
      <c r="Q1177" t="n">
        <v>185.9674373539524</v>
      </c>
    </row>
    <row r="1178">
      <c r="A1178" s="118" t="n">
        <v>46147</v>
      </c>
      <c r="B1178" s="119" t="n">
        <v>42.65829276469492</v>
      </c>
      <c r="C1178" s="119" t="n">
        <v>42.91598524337447</v>
      </c>
      <c r="D1178" s="119" t="n">
        <v>42.27175215624262</v>
      </c>
      <c r="E1178" s="119" t="n">
        <v>42.67811584472656</v>
      </c>
      <c r="F1178" s="120" t="n">
        <v>18589700</v>
      </c>
      <c r="G1178" s="121" t="n">
        <v>-0.0006961659779738394</v>
      </c>
      <c r="H1178" s="122" t="n">
        <v>27.77310471688972</v>
      </c>
      <c r="I1178" s="119" t="n">
        <v>50.05941940307617</v>
      </c>
      <c r="J1178" s="119" t="n">
        <v>62.5679811668396</v>
      </c>
      <c r="K1178" s="121" t="n">
        <v>0.2631199523704425</v>
      </c>
      <c r="L1178" s="121" t="n">
        <v>-0.339341326169976</v>
      </c>
      <c r="M1178" s="121" t="n">
        <v>-0.4466273825520086</v>
      </c>
      <c r="N1178" t="n">
        <v>30.39125784257203</v>
      </c>
      <c r="O1178" t="n">
        <v>0.2364635383451137</v>
      </c>
      <c r="P1178" t="n">
        <v>173.0832982735968</v>
      </c>
      <c r="Q1178" t="n">
        <v>188.3801888405492</v>
      </c>
    </row>
    <row r="1179">
      <c r="A1179" s="118" t="n">
        <v>46148</v>
      </c>
      <c r="B1179" s="119" t="n">
        <v>43.24305809592846</v>
      </c>
      <c r="C1179" s="119" t="n">
        <v>43.67915449086552</v>
      </c>
      <c r="D1179" s="119" t="n">
        <v>42.81687135004795</v>
      </c>
      <c r="E1179" s="119" t="n">
        <v>43.49084091186523</v>
      </c>
      <c r="F1179" s="120" t="n">
        <v>19406700</v>
      </c>
      <c r="G1179" s="121" t="n">
        <v>0.01904313372444943</v>
      </c>
      <c r="H1179" s="122" t="n">
        <v>28.30199166395659</v>
      </c>
      <c r="I1179" s="119" t="n">
        <v>49.66718116760254</v>
      </c>
      <c r="J1179" s="119" t="n">
        <v>62.42522003173828</v>
      </c>
      <c r="K1179" s="121" t="n">
        <v>0.2691690228654937</v>
      </c>
      <c r="L1179" s="121" t="n">
        <v>-0.3267603146980135</v>
      </c>
      <c r="M1179" s="121" t="n">
        <v>-0.436089433798498</v>
      </c>
      <c r="N1179" t="n">
        <v>36.57522379037039</v>
      </c>
      <c r="O1179" t="n">
        <v>0.2553086242643083</v>
      </c>
      <c r="P1179" t="n">
        <v>175.4890522164452</v>
      </c>
      <c r="Q1179" t="n">
        <v>192.293667530022</v>
      </c>
    </row>
    <row r="1180">
      <c r="A1180" s="118" t="n">
        <v>46149</v>
      </c>
      <c r="B1180" s="119" t="n">
        <v>43.65933211846881</v>
      </c>
      <c r="C1180" s="119" t="n">
        <v>44.2440997247781</v>
      </c>
      <c r="D1180" s="119" t="n">
        <v>43.61968595986952</v>
      </c>
      <c r="E1180" s="119" t="n">
        <v>44.01613998413086</v>
      </c>
      <c r="F1180" s="120" t="n">
        <v>17177700</v>
      </c>
      <c r="G1180" s="121" t="n">
        <v>0.01207838389076343</v>
      </c>
      <c r="H1180" s="122" t="n">
        <v>28.64383398414705</v>
      </c>
      <c r="I1180" s="119" t="n">
        <v>49.29903617858886</v>
      </c>
      <c r="J1180" s="119" t="n">
        <v>62.27841829299927</v>
      </c>
      <c r="K1180" s="121" t="n">
        <v>0.2629852857025595</v>
      </c>
      <c r="L1180" s="121" t="n">
        <v>-0.3186286673284392</v>
      </c>
      <c r="M1180" s="121" t="n">
        <v>-0.4292783054998585</v>
      </c>
      <c r="N1180" t="n">
        <v>40.26884117771932</v>
      </c>
      <c r="O1180" t="n">
        <v>0.3046450216097067</v>
      </c>
      <c r="P1180" t="n">
        <v>174.950988318705</v>
      </c>
      <c r="Q1180" t="n">
        <v>192.0642724910443</v>
      </c>
    </row>
    <row r="1181">
      <c r="A1181" s="118" t="n">
        <v>46150</v>
      </c>
      <c r="B1181" s="119" t="n">
        <v>43.8674698540947</v>
      </c>
      <c r="C1181" s="119" t="n">
        <v>44.26392388806487</v>
      </c>
      <c r="D1181" s="119" t="n">
        <v>43.41155036163511</v>
      </c>
      <c r="E1181" s="119" t="n">
        <v>43.74853515625</v>
      </c>
      <c r="F1181" s="120" t="n">
        <v>17357100</v>
      </c>
      <c r="G1181" s="121" t="n">
        <v>-0.006079697764895808</v>
      </c>
      <c r="H1181" s="122" t="n">
        <v>28.46968813069559</v>
      </c>
      <c r="I1181" s="119" t="n">
        <v>48.9147085571289</v>
      </c>
      <c r="J1181" s="119" t="n">
        <v>62.12366022109985</v>
      </c>
      <c r="K1181" s="121" t="n">
        <v>0.2361823846384571</v>
      </c>
      <c r="L1181" s="121" t="n">
        <v>-0.3227711990967466</v>
      </c>
      <c r="M1181" s="121" t="n">
        <v>-0.4327481209102885</v>
      </c>
      <c r="N1181" t="n">
        <v>39.02210197473519</v>
      </c>
      <c r="O1181" t="n">
        <v>0.3192108646019434</v>
      </c>
      <c r="P1181" t="n">
        <v>176.395400650464</v>
      </c>
      <c r="Q1181" t="n">
        <v>196.5664203253729</v>
      </c>
    </row>
    <row r="1182">
      <c r="A1182" s="118" t="n">
        <v>46153</v>
      </c>
      <c r="B1182" s="119" t="n">
        <v>43.67915812346727</v>
      </c>
      <c r="C1182" s="119" t="n">
        <v>43.67915812346727</v>
      </c>
      <c r="D1182" s="119" t="n">
        <v>42.01405715942383</v>
      </c>
      <c r="E1182" s="119" t="n">
        <v>42.01405715942383</v>
      </c>
      <c r="F1182" s="120" t="n">
        <v>24863800</v>
      </c>
      <c r="G1182" s="121" t="n">
        <v>-0.03964653880710289</v>
      </c>
      <c r="H1182" s="122" t="n">
        <v>27.34096353539585</v>
      </c>
      <c r="I1182" s="119" t="n">
        <v>48.53054611206055</v>
      </c>
      <c r="J1182" s="119" t="n">
        <v>61.96670215606689</v>
      </c>
      <c r="K1182" s="121" t="n">
        <v>0.2772635218223207</v>
      </c>
      <c r="L1182" s="121" t="n">
        <v>-0.3496209770330452</v>
      </c>
      <c r="M1182" s="121" t="n">
        <v>-0.4552376945480208</v>
      </c>
      <c r="N1182" t="n">
        <v>32.08775786198566</v>
      </c>
      <c r="O1182" t="n">
        <v>0.2168796672955819</v>
      </c>
      <c r="P1182" t="n">
        <v>176.7971522958326</v>
      </c>
      <c r="Q1182" t="n">
        <v>197.135753684037</v>
      </c>
    </row>
    <row r="1183">
      <c r="A1183" s="118" t="n">
        <v>46154</v>
      </c>
      <c r="B1183" s="119" t="n">
        <v>41.9248551995918</v>
      </c>
      <c r="C1183" s="119" t="n">
        <v>42.13299187494307</v>
      </c>
      <c r="D1183" s="119" t="n">
        <v>41.6869857937235</v>
      </c>
      <c r="E1183" s="119" t="n">
        <v>41.97441101074219</v>
      </c>
      <c r="F1183" s="120" t="n">
        <v>21271300</v>
      </c>
      <c r="G1183" s="121" t="n">
        <v>-0.0009436400900584285</v>
      </c>
      <c r="H1183" s="122" t="n">
        <v>27.31516350610302</v>
      </c>
      <c r="I1183" s="119" t="n">
        <v>48.1606559753418</v>
      </c>
      <c r="J1183" s="119" t="n">
        <v>61.80540935516358</v>
      </c>
      <c r="K1183" s="121" t="n">
        <v>0.2527465233415218</v>
      </c>
      <c r="L1183" s="121" t="n">
        <v>-0.3502347007528499</v>
      </c>
      <c r="M1183" s="121" t="n">
        <v>-0.455751754098998</v>
      </c>
      <c r="N1183" t="n">
        <v>31.94800671183788</v>
      </c>
      <c r="O1183" t="n">
        <v>0.154309936739494</v>
      </c>
      <c r="P1183" t="n">
        <v>176.5293129877105</v>
      </c>
      <c r="Q1183" t="n">
        <v>195.4636894622074</v>
      </c>
    </row>
    <row r="1184">
      <c r="A1184" s="118" t="n">
        <v>46155</v>
      </c>
      <c r="B1184" s="119" t="n">
        <v>41.82574264676562</v>
      </c>
      <c r="C1184" s="119" t="n">
        <v>42.23210633854384</v>
      </c>
      <c r="D1184" s="119" t="n">
        <v>41.33017698455481</v>
      </c>
      <c r="E1184" s="119" t="n">
        <v>41.96450042724609</v>
      </c>
      <c r="F1184" s="120" t="n">
        <v>21325200</v>
      </c>
      <c r="G1184" s="121" t="n">
        <v>-0.0002361101265615506</v>
      </c>
      <c r="H1184" s="122" t="n">
        <v>27.30871411939054</v>
      </c>
      <c r="I1184" s="119" t="n">
        <v>47.82268020629883</v>
      </c>
      <c r="J1184" s="119" t="n">
        <v>61.62961360931396</v>
      </c>
      <c r="K1184" s="121" t="n">
        <v>0.2267170872282657</v>
      </c>
      <c r="L1184" s="121" t="n">
        <v>-0.3503881169198905</v>
      </c>
      <c r="M1184" s="121" t="n">
        <v>-0.4558802566212186</v>
      </c>
      <c r="N1184" t="n">
        <v>31.9105927418785</v>
      </c>
      <c r="O1184" t="n">
        <v>0.1214878826451069</v>
      </c>
      <c r="P1184" t="n">
        <v>177.5169658634015</v>
      </c>
      <c r="Q1184" t="n">
        <v>197.5282279258568</v>
      </c>
    </row>
    <row r="1185">
      <c r="A1185" s="118" t="n">
        <v>46156</v>
      </c>
      <c r="B1185" s="119" t="n">
        <v>42.18255069185571</v>
      </c>
      <c r="C1185" s="119" t="n">
        <v>42.45015660418981</v>
      </c>
      <c r="D1185" s="119" t="n">
        <v>41.61760613721681</v>
      </c>
      <c r="E1185" s="119" t="n">
        <v>41.6473388671875</v>
      </c>
      <c r="F1185" s="120" t="n">
        <v>19146900</v>
      </c>
      <c r="G1185" s="121" t="n">
        <v>-0.007557853824769256</v>
      </c>
      <c r="H1185" s="122" t="n">
        <v>27.10231884993378</v>
      </c>
      <c r="I1185" s="119" t="n">
        <v>47.49322822570801</v>
      </c>
      <c r="J1185" s="119" t="n">
        <v>61.45666053771973</v>
      </c>
      <c r="K1185" s="121" t="n">
        <v>0.2244978250090915</v>
      </c>
      <c r="L1185" s="121" t="n">
        <v>-0.355297788575043</v>
      </c>
      <c r="M1185" s="121" t="n">
        <v>-0.4599926341048464</v>
      </c>
      <c r="N1185" t="n">
        <v>30.67263144728285</v>
      </c>
      <c r="O1185" t="n">
        <v>0.08914674717122018</v>
      </c>
      <c r="P1185" t="n">
        <v>178.9183406928283</v>
      </c>
      <c r="Q1185" t="n">
        <v>198.9321917620261</v>
      </c>
    </row>
    <row r="1186">
      <c r="A1186" s="118" t="n">
        <v>46157</v>
      </c>
      <c r="B1186" s="119" t="n">
        <v>41.62751394964982</v>
      </c>
      <c r="C1186" s="119" t="n">
        <v>42.40059514169484</v>
      </c>
      <c r="D1186" s="119" t="n">
        <v>41.46893309536198</v>
      </c>
      <c r="E1186" s="119" t="n">
        <v>41.50857925415039</v>
      </c>
      <c r="F1186" s="120" t="n">
        <v>26172600</v>
      </c>
      <c r="G1186" s="121" t="n">
        <v>-0.003331776214552606</v>
      </c>
      <c r="H1186" s="122" t="n">
        <v>27.01201998863035</v>
      </c>
      <c r="I1186" s="119" t="n">
        <v>47.173291015625</v>
      </c>
      <c r="J1186" s="119" t="n">
        <v>61.29104330062867</v>
      </c>
      <c r="K1186" s="121" t="n">
        <v>0.2205344271953699</v>
      </c>
      <c r="L1186" s="121" t="n">
        <v>-0.3553826303470415</v>
      </c>
      <c r="M1186" s="121" t="n">
        <v>-0.4617918178022191</v>
      </c>
      <c r="N1186" t="n">
        <v>30.12204705531235</v>
      </c>
      <c r="O1186" t="n">
        <v>0.06998442994454868</v>
      </c>
      <c r="P1186" t="n">
        <v>176.7660704682386</v>
      </c>
      <c r="Q1186" t="n">
        <v>195.9307711305734</v>
      </c>
    </row>
    <row r="1187">
      <c r="A1187" s="118" t="n">
        <v>46160</v>
      </c>
      <c r="B1187" s="119" t="n">
        <v>41.50857987107708</v>
      </c>
      <c r="C1187" s="119" t="n">
        <v>42.37086304277891</v>
      </c>
      <c r="D1187" s="119" t="n">
        <v>40.98327771148777</v>
      </c>
      <c r="E1187" s="119" t="n">
        <v>42.19245910644531</v>
      </c>
      <c r="F1187" s="120" t="n">
        <v>18694900</v>
      </c>
      <c r="G1187" s="121" t="n">
        <v>0.01647562659535118</v>
      </c>
      <c r="H1187" s="122" t="n">
        <v>27.45705994354918</v>
      </c>
      <c r="I1187" s="119" t="n">
        <v>46.8870523071289</v>
      </c>
      <c r="J1187" s="119" t="n">
        <v>61.13852968215942</v>
      </c>
      <c r="K1187" s="121" t="n">
        <v>0.2275068061574365</v>
      </c>
      <c r="L1187" s="121" t="n">
        <v>-0.3313689607694547</v>
      </c>
      <c r="M1187" s="121" t="n">
        <v>-0.4529245007617657</v>
      </c>
      <c r="N1187" t="n">
        <v>36.20048068081039</v>
      </c>
      <c r="O1187" t="n">
        <v>0.1124262811818095</v>
      </c>
      <c r="P1187" t="n">
        <v>176.6417138906054</v>
      </c>
      <c r="Q1187" t="n">
        <v>195.0878152883584</v>
      </c>
    </row>
    <row r="1188">
      <c r="A1188" s="118" t="n">
        <v>46161</v>
      </c>
      <c r="B1188" s="119" t="n">
        <v>42.2221928505344</v>
      </c>
      <c r="C1188" s="119" t="n">
        <v>42.81687391289736</v>
      </c>
      <c r="D1188" s="119" t="n">
        <v>41.43920197876539</v>
      </c>
      <c r="E1188" s="119" t="n">
        <v>42.04378890991211</v>
      </c>
      <c r="F1188" s="120" t="n">
        <v>22957900</v>
      </c>
      <c r="G1188" s="121" t="n">
        <v>-0.003523620089507684</v>
      </c>
      <c r="H1188" s="122" t="n">
        <v>27.36031169553328</v>
      </c>
      <c r="I1188" s="119" t="n">
        <v>46.60735504150391</v>
      </c>
      <c r="J1188" s="119" t="n">
        <v>60.98561340332031</v>
      </c>
      <c r="K1188" s="121" t="n">
        <v>0.2273591602648921</v>
      </c>
      <c r="L1188" s="121" t="n">
        <v>-0.3337249625317558</v>
      </c>
      <c r="M1188" s="121" t="n">
        <v>-0.454852186981359</v>
      </c>
      <c r="N1188" t="n">
        <v>35.47797850273938</v>
      </c>
      <c r="O1188" t="n">
        <v>0.1378679184036957</v>
      </c>
      <c r="P1188" t="n">
        <v>175.4651408669685</v>
      </c>
      <c r="Q1188" t="n">
        <v>193.8856022274148</v>
      </c>
    </row>
    <row r="1189">
      <c r="A1189" s="118" t="n">
        <v>46162</v>
      </c>
      <c r="B1189" s="119" t="n">
        <v>41.83565231873069</v>
      </c>
      <c r="C1189" s="119" t="n">
        <v>43.88729385890787</v>
      </c>
      <c r="D1189" s="119" t="n">
        <v>41.45902513747319</v>
      </c>
      <c r="E1189" s="119" t="n">
        <v>43.79809188842773</v>
      </c>
      <c r="F1189" s="120" t="n">
        <v>27060200</v>
      </c>
      <c r="G1189" s="121" t="n">
        <v>0.04172561569735311</v>
      </c>
      <c r="H1189" s="122" t="n">
        <v>28.50193754670089</v>
      </c>
      <c r="I1189" s="119" t="n">
        <v>46.37166397094727</v>
      </c>
      <c r="J1189" s="119" t="n">
        <v>60.84049535751343</v>
      </c>
      <c r="K1189" s="121" t="n">
        <v>0.2759039405906346</v>
      </c>
      <c r="L1189" s="121" t="n">
        <v>-0.3044048255545377</v>
      </c>
      <c r="M1189" s="121" t="n">
        <v>-0.4321055588370908</v>
      </c>
      <c r="N1189" t="n">
        <v>48.53159625395358</v>
      </c>
      <c r="O1189" t="n">
        <v>0.2724495316315794</v>
      </c>
      <c r="P1189" t="n">
        <v>177.2634821451427</v>
      </c>
      <c r="Q1189" t="n">
        <v>197.0970821116534</v>
      </c>
    </row>
    <row r="1190">
      <c r="A1190" s="118" t="n">
        <v>46163</v>
      </c>
      <c r="B1190" s="119" t="n">
        <v>43.50075315570505</v>
      </c>
      <c r="C1190" s="119" t="n">
        <v>44.34321704866178</v>
      </c>
      <c r="D1190" s="119" t="n">
        <v>42.77722774371587</v>
      </c>
      <c r="E1190" s="119" t="n">
        <v>43.99631881713867</v>
      </c>
      <c r="F1190" s="120" t="n">
        <v>18428100</v>
      </c>
      <c r="G1190" s="121" t="n">
        <v>0.004525926134314462</v>
      </c>
      <c r="H1190" s="122" t="n">
        <v>28.63093521072211</v>
      </c>
      <c r="I1190" s="119" t="n">
        <v>46.14747009277344</v>
      </c>
      <c r="J1190" s="119" t="n">
        <v>60.69850971221924</v>
      </c>
      <c r="K1190" s="121" t="n">
        <v>0.2680100117122451</v>
      </c>
      <c r="L1190" s="121" t="n">
        <v>-0.301256613175612</v>
      </c>
      <c r="M1190" s="121" t="n">
        <v>-0.4295353105442997</v>
      </c>
      <c r="N1190" t="n">
        <v>49.76823847125085</v>
      </c>
      <c r="O1190" t="n">
        <v>0.3684568710617384</v>
      </c>
      <c r="P1190" t="n">
        <v>177.6150111764331</v>
      </c>
      <c r="Q1190" t="n">
        <v>197.4729393983528</v>
      </c>
    </row>
    <row r="1191">
      <c r="A1191" s="118" t="n">
        <v>46164</v>
      </c>
      <c r="B1191" s="119" t="n">
        <v>44.16481295929489</v>
      </c>
      <c r="C1191" s="119" t="n">
        <v>44.32339381918479</v>
      </c>
      <c r="D1191" s="119" t="n">
        <v>43.81791472894041</v>
      </c>
      <c r="E1191" s="119" t="n">
        <v>44.27383422851562</v>
      </c>
      <c r="F1191" s="120" t="n">
        <v>14905100</v>
      </c>
      <c r="G1191" s="121" t="n">
        <v>0.006307696162726417</v>
      </c>
      <c r="H1191" s="122" t="n">
        <v>28.81153045088605</v>
      </c>
      <c r="I1191" s="119" t="n">
        <v>45.9599479675293</v>
      </c>
      <c r="J1191" s="119" t="n">
        <v>60.55255851745606</v>
      </c>
      <c r="K1191" s="121" t="n">
        <v>0.2689315780514379</v>
      </c>
      <c r="L1191" s="121" t="n">
        <v>-0.2768334180009795</v>
      </c>
      <c r="M1191" s="121" t="n">
        <v>-0.4259369926116491</v>
      </c>
      <c r="N1191" t="n">
        <v>51.52428777546595</v>
      </c>
      <c r="O1191" t="n">
        <v>0.4394739575968971</v>
      </c>
      <c r="P1191" t="n">
        <v>178.3133133096503</v>
      </c>
      <c r="Q1191" t="n">
        <v>198.3103562555277</v>
      </c>
    </row>
    <row r="1192">
      <c r="A1192" s="118" t="n">
        <v>46168</v>
      </c>
      <c r="B1192" s="119" t="n">
        <v>44.30356966277343</v>
      </c>
      <c r="C1192" s="119" t="n">
        <v>44.55135248663585</v>
      </c>
      <c r="D1192" s="119" t="n">
        <v>43.70888861698413</v>
      </c>
      <c r="E1192" s="119" t="n">
        <v>44.54143905639648</v>
      </c>
      <c r="F1192" s="120" t="n">
        <v>18667600</v>
      </c>
      <c r="G1192" s="121" t="n">
        <v>0.006044311104830946</v>
      </c>
      <c r="H1192" s="122" t="n">
        <v>28.98567630433751</v>
      </c>
      <c r="I1192" s="119" t="n">
        <v>45.78075141906739</v>
      </c>
      <c r="J1192" s="119" t="n">
        <v>60.41344442367554</v>
      </c>
      <c r="K1192" s="121" t="n">
        <v>0.2673301254964017</v>
      </c>
      <c r="L1192" s="121" t="n">
        <v>-0.263399434907496</v>
      </c>
      <c r="M1192" s="121" t="n">
        <v>-0.4224671772012191</v>
      </c>
      <c r="N1192" t="n">
        <v>53.22248061815593</v>
      </c>
      <c r="O1192" t="n">
        <v>0.4894706844011765</v>
      </c>
      <c r="P1192" t="n">
        <v>179.4970714450333</v>
      </c>
      <c r="Q1192" t="n">
        <v>201.8313944774797</v>
      </c>
    </row>
    <row r="1193">
      <c r="A1193" s="118" t="n">
        <v>46169</v>
      </c>
      <c r="B1193" s="119" t="n">
        <v>45.30461013326204</v>
      </c>
      <c r="C1193" s="119" t="n">
        <v>46.17680672276838</v>
      </c>
      <c r="D1193" s="119" t="n">
        <v>45.26496397445134</v>
      </c>
      <c r="E1193" s="119" t="n">
        <v>45.57221603393555</v>
      </c>
      <c r="F1193" s="120" t="n">
        <v>24251900</v>
      </c>
      <c r="G1193" s="121" t="n">
        <v>0.02314197743440527</v>
      </c>
      <c r="H1193" s="122" t="n">
        <v>29.65646217129346</v>
      </c>
      <c r="I1193" s="119" t="n">
        <v>45.60611404418945</v>
      </c>
      <c r="J1193" s="119" t="n">
        <v>60.28026287078858</v>
      </c>
      <c r="K1193" s="121" t="n">
        <v>0.2794905649288148</v>
      </c>
      <c r="L1193" s="121" t="n">
        <v>-0.2257956206404163</v>
      </c>
      <c r="M1193" s="121" t="n">
        <v>-0.4091019256483813</v>
      </c>
      <c r="N1193" t="n">
        <v>59.15760062008877</v>
      </c>
      <c r="O1193" t="n">
        <v>0.5712596069058293</v>
      </c>
      <c r="P1193" t="n">
        <v>179.4659749838106</v>
      </c>
      <c r="Q1193" t="n">
        <v>201.601999438502</v>
      </c>
    </row>
    <row r="1194">
      <c r="A1194" s="118" t="n">
        <v>46170</v>
      </c>
      <c r="B1194" s="119" t="n">
        <v>45.56230854048204</v>
      </c>
      <c r="C1194" s="119" t="n">
        <v>47.22740948065888</v>
      </c>
      <c r="D1194" s="119" t="n">
        <v>45.15594484560948</v>
      </c>
      <c r="E1194" s="119" t="n">
        <v>46.94989013671875</v>
      </c>
      <c r="F1194" s="120" t="n">
        <v>22871300</v>
      </c>
      <c r="G1194" s="121" t="n">
        <v>0.03023057078807212</v>
      </c>
      <c r="H1194" s="122" t="n">
        <v>30.55299395028653</v>
      </c>
      <c r="I1194" s="119" t="n">
        <v>45.45248870849609</v>
      </c>
      <c r="J1194" s="119" t="n">
        <v>60.15479698181152</v>
      </c>
      <c r="K1194" s="121" t="n">
        <v>0.2912763769976344</v>
      </c>
      <c r="L1194" s="121" t="n">
        <v>-0.1921896024709712</v>
      </c>
      <c r="M1194" s="121" t="n">
        <v>-0.3912387395831591</v>
      </c>
      <c r="N1194" t="n">
        <v>65.46460598360889</v>
      </c>
      <c r="O1194" t="n">
        <v>0.6895238992108853</v>
      </c>
      <c r="P1194" t="n">
        <v>180.4560131409978</v>
      </c>
      <c r="Q1194" t="n">
        <v>203.3016910369341</v>
      </c>
    </row>
    <row r="1195">
      <c r="A1195" s="118" t="n">
        <v>46171</v>
      </c>
      <c r="B1195" s="119" t="n">
        <v>46.69219630031297</v>
      </c>
      <c r="C1195" s="119" t="n">
        <v>46.78139826883871</v>
      </c>
      <c r="D1195" s="119" t="n">
        <v>45.67133226785857</v>
      </c>
      <c r="E1195" s="119" t="n">
        <v>45.81999969482422</v>
      </c>
      <c r="F1195" s="120" t="n">
        <v>38949100</v>
      </c>
      <c r="G1195" s="121" t="n">
        <v>-0.0240658804228141</v>
      </c>
      <c r="H1195" s="122" t="n">
        <v>29.81770925131998</v>
      </c>
      <c r="I1195" s="119" t="n">
        <v>45.30897285461426</v>
      </c>
      <c r="J1195" s="119" t="n">
        <v>60.01939914703369</v>
      </c>
      <c r="K1195" s="121" t="n">
        <v>0.3070388251103018</v>
      </c>
      <c r="L1195" s="121" t="n">
        <v>-0.2032058203987529</v>
      </c>
      <c r="M1195" s="121" t="n">
        <v>-0.4058891152823925</v>
      </c>
      <c r="N1195" t="n">
        <v>57.607453939511</v>
      </c>
      <c r="O1195" t="n">
        <v>0.6628521614804034</v>
      </c>
      <c r="P1195" t="n">
        <v>180.9056021189485</v>
      </c>
      <c r="Q1195" t="n">
        <v>204.050669892112</v>
      </c>
    </row>
    <row r="1196">
      <c r="A1196" s="118" t="n">
        <v>46174</v>
      </c>
      <c r="B1196" s="119" t="n">
        <v>45.52000045776367</v>
      </c>
      <c r="C1196" s="119" t="n">
        <v>46.27999877929688</v>
      </c>
      <c r="D1196" s="119" t="n">
        <v>45.04999923706055</v>
      </c>
      <c r="E1196" s="119" t="n">
        <v>45.93000030517578</v>
      </c>
      <c r="F1196" s="120" t="n">
        <v>26885100</v>
      </c>
      <c r="G1196" s="121" t="n">
        <v>0.002400711721610715</v>
      </c>
      <c r="H1196" s="122" t="n">
        <v>29.8892929754312</v>
      </c>
      <c r="I1196" s="119" t="n">
        <v>45.16825172424316</v>
      </c>
      <c r="J1196" s="119" t="n">
        <v>59.8733585357666</v>
      </c>
      <c r="K1196" s="121" t="n">
        <v>0.3069979832429062</v>
      </c>
      <c r="L1196" s="121" t="n">
        <v>-0.1871428640868991</v>
      </c>
      <c r="M1196" s="121" t="n">
        <v>-0.4044628263175144</v>
      </c>
      <c r="N1196" t="n">
        <v>58.13427204172208</v>
      </c>
      <c r="O1196" t="n">
        <v>0.6243516807514837</v>
      </c>
      <c r="P1196" t="n">
        <v>181.3982285992315</v>
      </c>
      <c r="Q1196" t="n">
        <v>205.2750220060665</v>
      </c>
    </row>
    <row r="1197">
      <c r="A1197" s="118" t="n">
        <v>46175</v>
      </c>
      <c r="B1197" s="119" t="n">
        <v>45.77999877929688</v>
      </c>
      <c r="C1197" s="119" t="n">
        <v>45.77999877929688</v>
      </c>
      <c r="D1197" s="119" t="n">
        <v>43.5099983215332</v>
      </c>
      <c r="E1197" s="119" t="n">
        <v>43.72999954223633</v>
      </c>
      <c r="F1197" s="120" t="n">
        <v>28345000</v>
      </c>
      <c r="G1197" s="121" t="n">
        <v>-0.04789899299633882</v>
      </c>
      <c r="H1197" s="122" t="n">
        <v>28.4576259405355</v>
      </c>
      <c r="I1197" s="119" t="n">
        <v>45.00474082946777</v>
      </c>
      <c r="J1197" s="119" t="n">
        <v>59.72025972366333</v>
      </c>
      <c r="K1197" s="121" t="n">
        <v>0.3376967453202234</v>
      </c>
      <c r="L1197" s="121" t="n">
        <v>-0.2195064876264465</v>
      </c>
      <c r="M1197" s="121" t="n">
        <v>-0.4329884572287912</v>
      </c>
      <c r="N1197" t="n">
        <v>45.85951140195701</v>
      </c>
      <c r="O1197" t="n">
        <v>0.4316135170579936</v>
      </c>
      <c r="P1197" t="n">
        <v>181.6445564730019</v>
      </c>
      <c r="Q1197" t="n">
        <v>206.22021265143</v>
      </c>
    </row>
    <row r="1198">
      <c r="A1198" s="118" t="n">
        <v>46176</v>
      </c>
      <c r="B1198" s="119" t="n">
        <v>43.65000152587891</v>
      </c>
      <c r="C1198" s="119" t="n">
        <v>43.9900016784668</v>
      </c>
      <c r="D1198" s="119" t="n">
        <v>43.15999984741211</v>
      </c>
      <c r="E1198" s="119" t="n">
        <v>43.81000137329102</v>
      </c>
      <c r="F1198" s="120" t="n">
        <v>18940500</v>
      </c>
      <c r="G1198" s="121" t="n">
        <v>0.001829449620218249</v>
      </c>
      <c r="H1198" s="122" t="n">
        <v>28.50968773350472</v>
      </c>
      <c r="I1198" s="119" t="n">
        <v>44.83609024047851</v>
      </c>
      <c r="J1198" s="119" t="n">
        <v>59.56473831176758</v>
      </c>
      <c r="K1198" s="121" t="n">
        <v>0.3376078373064734</v>
      </c>
      <c r="L1198" s="121" t="n">
        <v>-0.2118043132852558</v>
      </c>
      <c r="M1198" s="121" t="n">
        <v>-0.431951138177209</v>
      </c>
      <c r="N1198" t="n">
        <v>46.30351696759637</v>
      </c>
      <c r="O1198" t="n">
        <v>0.2968265193234205</v>
      </c>
      <c r="P1198" t="n">
        <v>180.3699235027045</v>
      </c>
      <c r="Q1198" t="n">
        <v>205.6812930490379</v>
      </c>
    </row>
    <row r="1199">
      <c r="A1199" s="118" t="n">
        <v>46177</v>
      </c>
      <c r="B1199" s="119" t="n">
        <v>44.5</v>
      </c>
      <c r="C1199" s="119" t="n">
        <v>44.70000076293945</v>
      </c>
      <c r="D1199" s="119" t="n">
        <v>43.13000106811523</v>
      </c>
      <c r="E1199" s="119" t="n">
        <v>43.61999893188477</v>
      </c>
      <c r="F1199" s="120" t="n">
        <v>17350900</v>
      </c>
      <c r="G1199" s="121" t="n">
        <v>-0.004336964972616597</v>
      </c>
      <c r="H1199" s="122" t="n">
        <v>28.38604221642428</v>
      </c>
      <c r="I1199" s="119" t="n">
        <v>44.64817794799805</v>
      </c>
      <c r="J1199" s="119" t="n">
        <v>59.40602834701538</v>
      </c>
      <c r="K1199" s="121" t="n">
        <v>0.3316664610916996</v>
      </c>
      <c r="L1199" s="121" t="n">
        <v>-0.2098686940403578</v>
      </c>
      <c r="M1199" s="121" t="n">
        <v>-0.4344147461936693</v>
      </c>
      <c r="N1199" t="n">
        <v>45.35223583477731</v>
      </c>
      <c r="O1199" t="n">
        <v>0.1875203772888223</v>
      </c>
      <c r="P1199" t="n">
        <v>181.0514847645622</v>
      </c>
      <c r="Q1199" t="n">
        <v>204.6863359740611</v>
      </c>
    </row>
    <row r="1200">
      <c r="A1200" s="118" t="n">
        <v>46178</v>
      </c>
      <c r="B1200" s="119" t="n">
        <v>43.29999923706055</v>
      </c>
      <c r="C1200" s="119" t="n">
        <v>43.7400016784668</v>
      </c>
      <c r="D1200" s="119" t="n">
        <v>42.79000091552734</v>
      </c>
      <c r="E1200" s="119" t="n">
        <v>42.97999954223633</v>
      </c>
      <c r="F1200" s="120" t="n">
        <v>18406500</v>
      </c>
      <c r="G1200" s="121" t="n">
        <v>-0.01467215509674435</v>
      </c>
      <c r="H1200" s="122" t="n">
        <v>27.96955780244217</v>
      </c>
      <c r="I1200" s="119" t="n">
        <v>44.45757522583008</v>
      </c>
      <c r="J1200" s="119" t="n">
        <v>59.2467949295044</v>
      </c>
      <c r="K1200" s="121" t="n">
        <v>0.3327185729987007</v>
      </c>
      <c r="L1200" s="121" t="n">
        <v>-0.2132694607935215</v>
      </c>
      <c r="M1200" s="121" t="n">
        <v>-0.4427131007579472</v>
      </c>
      <c r="N1200" t="n">
        <v>42.20678946956775</v>
      </c>
      <c r="O1200" t="n">
        <v>0.07076999971285061</v>
      </c>
      <c r="P1200" t="n">
        <v>176.3786597791045</v>
      </c>
      <c r="Q1200" t="n">
        <v>194.8611897419008</v>
      </c>
    </row>
    <row r="1201">
      <c r="A1201" s="118" t="n">
        <v>46181</v>
      </c>
      <c r="B1201" s="119" t="n">
        <v>43.06000137329102</v>
      </c>
      <c r="C1201" s="119" t="n">
        <v>43.86000061035156</v>
      </c>
      <c r="D1201" s="119" t="n">
        <v>42.65000152587891</v>
      </c>
      <c r="E1201" s="119" t="n">
        <v>43.22999954223633</v>
      </c>
      <c r="F1201" s="120" t="n">
        <v>18192000</v>
      </c>
      <c r="G1201" s="121" t="n">
        <v>0.005816658973072375</v>
      </c>
      <c r="H1201" s="122" t="n">
        <v>28.13224718180661</v>
      </c>
      <c r="I1201" s="119" t="n">
        <v>44.29001106262207</v>
      </c>
      <c r="J1201" s="119" t="n">
        <v>59.09182870864868</v>
      </c>
      <c r="K1201" s="121" t="n">
        <v>0.3329800708711976</v>
      </c>
      <c r="L1201" s="121" t="n">
        <v>-0.208693317543256</v>
      </c>
      <c r="M1201" s="121" t="n">
        <v>-0.4394715529148953</v>
      </c>
      <c r="N1201" t="n">
        <v>43.84517385790066</v>
      </c>
      <c r="O1201" t="n">
        <v>0.01211034993358953</v>
      </c>
      <c r="P1201" t="n">
        <v>176.7780115093481</v>
      </c>
      <c r="Q1201" t="n">
        <v>197.9040852125563</v>
      </c>
    </row>
    <row r="1202">
      <c r="A1202" s="118" t="n">
        <v>46182</v>
      </c>
      <c r="B1202" s="119" t="n">
        <v>43.52000045776367</v>
      </c>
      <c r="C1202" s="119" t="n">
        <v>45.27999877929688</v>
      </c>
      <c r="D1202" s="119" t="n">
        <v>43.27000045776367</v>
      </c>
      <c r="E1202" s="119" t="n">
        <v>44.65000152587891</v>
      </c>
      <c r="F1202" s="120" t="n">
        <v>21505800</v>
      </c>
      <c r="G1202" s="121" t="n">
        <v>0.03284760579872814</v>
      </c>
      <c r="H1202" s="122" t="n">
        <v>29.05632414746697</v>
      </c>
      <c r="I1202" s="119" t="n">
        <v>44.16472282409668</v>
      </c>
      <c r="J1202" s="119" t="n">
        <v>58.94435182571411</v>
      </c>
      <c r="K1202" s="121" t="n">
        <v>0.3187399900034576</v>
      </c>
      <c r="L1202" s="121" t="n">
        <v>-0.1827007875720176</v>
      </c>
      <c r="M1202" s="121" t="n">
        <v>-0.4210595354460704</v>
      </c>
      <c r="N1202" t="n">
        <v>52.14387517932331</v>
      </c>
      <c r="O1202" t="n">
        <v>0.06757507002574531</v>
      </c>
      <c r="P1202" t="n">
        <v>176.2590883980923</v>
      </c>
      <c r="Q1202" t="n">
        <v>195.6267517779</v>
      </c>
    </row>
    <row r="1203">
      <c r="A1203" s="118" t="n">
        <v>46183</v>
      </c>
      <c r="B1203" s="119" t="n">
        <v>43.77000045776367</v>
      </c>
      <c r="C1203" s="119" t="n">
        <v>44.58000183105469</v>
      </c>
      <c r="D1203" s="119" t="n">
        <v>43.31000137329102</v>
      </c>
      <c r="E1203" s="119" t="n">
        <v>43.95999908447266</v>
      </c>
      <c r="F1203" s="120" t="n">
        <v>15335600</v>
      </c>
      <c r="G1203" s="121" t="n">
        <v>-0.01545358158624766</v>
      </c>
      <c r="H1203" s="122" t="n">
        <v>28.60729987165763</v>
      </c>
      <c r="I1203" s="119" t="n">
        <v>44.02821144104004</v>
      </c>
      <c r="J1203" s="119" t="n">
        <v>58.7827187538147</v>
      </c>
      <c r="K1203" s="121" t="n">
        <v>0.3253579987151741</v>
      </c>
      <c r="L1203" s="121" t="n">
        <v>-0.1953309876316495</v>
      </c>
      <c r="M1203" s="121" t="n">
        <v>-0.4300062391486347</v>
      </c>
      <c r="N1203" t="n">
        <v>48.40085282470992</v>
      </c>
      <c r="O1203" t="n">
        <v>0.0568536116133419</v>
      </c>
      <c r="P1203" t="n">
        <v>173.4802647223443</v>
      </c>
      <c r="Q1203" t="n">
        <v>191.7188120734674</v>
      </c>
    </row>
    <row r="1204">
      <c r="A1204" s="118" t="n">
        <v>46184</v>
      </c>
      <c r="B1204" s="119" t="n">
        <v>44.52000045776367</v>
      </c>
      <c r="C1204" s="119" t="n">
        <v>45.97999954223633</v>
      </c>
      <c r="D1204" s="119" t="n">
        <v>44.22000122070312</v>
      </c>
      <c r="E1204" s="119" t="n">
        <v>45.95999908447266</v>
      </c>
      <c r="F1204" s="120" t="n">
        <v>16647500</v>
      </c>
      <c r="G1204" s="121" t="n">
        <v>0.04549590631603162</v>
      </c>
      <c r="H1204" s="122" t="n">
        <v>29.90881490657319</v>
      </c>
      <c r="I1204" s="119" t="n">
        <v>43.90038032531739</v>
      </c>
      <c r="J1204" s="119" t="n">
        <v>58.62724115371704</v>
      </c>
      <c r="K1204" s="121" t="n">
        <v>0.3589904956904926</v>
      </c>
      <c r="L1204" s="121" t="n">
        <v>-0.1330855949444968</v>
      </c>
      <c r="M1204" s="121" t="n">
        <v>-0.4040738564042184</v>
      </c>
      <c r="N1204" t="n">
        <v>57.84623507507172</v>
      </c>
      <c r="O1204" t="n">
        <v>0.1767500659131772</v>
      </c>
      <c r="P1204" t="n">
        <v>176.4288823931827</v>
      </c>
      <c r="Q1204" t="n">
        <v>198.1942739897789</v>
      </c>
    </row>
    <row r="1205">
      <c r="A1205" s="118" t="n">
        <v>46185</v>
      </c>
      <c r="B1205" s="119" t="n">
        <v>46.29000091552734</v>
      </c>
      <c r="C1205" s="119" t="n">
        <v>46.31000137329102</v>
      </c>
      <c r="D1205" s="119" t="n">
        <v>44.84999847412109</v>
      </c>
      <c r="E1205" s="119" t="n">
        <v>44.93000030517578</v>
      </c>
      <c r="F1205" s="120" t="n">
        <v>16524300</v>
      </c>
      <c r="G1205" s="121" t="n">
        <v>-0.02241076587934165</v>
      </c>
      <c r="H1205" s="122" t="n">
        <v>29.23853545797341</v>
      </c>
      <c r="I1205" s="119" t="n">
        <v>43.91429649353027</v>
      </c>
      <c r="J1205" s="119" t="n">
        <v>58.469144115448</v>
      </c>
      <c r="K1205" s="121" t="n">
        <v>0.3694898942412995</v>
      </c>
      <c r="L1205" s="121" t="n">
        <v>-0.1525138107136245</v>
      </c>
      <c r="M1205" s="121" t="n">
        <v>-0.4174290176897225</v>
      </c>
      <c r="N1205" t="n">
        <v>52.51473309495487</v>
      </c>
      <c r="O1205" t="n">
        <v>0.1784598345394854</v>
      </c>
      <c r="P1205" t="n">
        <v>177.3830535261548</v>
      </c>
      <c r="Q1205" t="n">
        <v>199.3605849708589</v>
      </c>
    </row>
    <row r="1206">
      <c r="A1206" s="118" t="n">
        <v>46188</v>
      </c>
      <c r="B1206" s="119" t="n">
        <v>45.36000061035156</v>
      </c>
      <c r="C1206" s="119" t="n">
        <v>46.09000015258789</v>
      </c>
      <c r="D1206" s="119" t="n">
        <v>45.09000015258789</v>
      </c>
      <c r="E1206" s="119" t="n">
        <v>45.20000076293945</v>
      </c>
      <c r="F1206" s="120" t="n">
        <v>14345100</v>
      </c>
      <c r="G1206" s="121" t="n">
        <v>0.006009358022029065</v>
      </c>
      <c r="H1206" s="122" t="n">
        <v>29.41424028558017</v>
      </c>
      <c r="I1206" s="119" t="n">
        <v>43.94233467102051</v>
      </c>
      <c r="J1206" s="119" t="n">
        <v>58.31526832580566</v>
      </c>
      <c r="K1206" s="121" t="n">
        <v>0.3684986838874177</v>
      </c>
      <c r="L1206" s="121" t="n">
        <v>-0.1474209627834775</v>
      </c>
      <c r="M1206" s="121" t="n">
        <v>-0.413928140083775</v>
      </c>
      <c r="N1206" t="n">
        <v>53.71891063706023</v>
      </c>
      <c r="O1206" t="n">
        <v>0.1885590175578932</v>
      </c>
      <c r="P1206" t="n">
        <v>180.5110209516971</v>
      </c>
      <c r="Q1206" t="n">
        <v>205.6232519161636</v>
      </c>
    </row>
    <row r="1207">
      <c r="A1207" s="118" t="n">
        <v>46189</v>
      </c>
      <c r="B1207" s="119" t="n">
        <v>45.5099983215332</v>
      </c>
      <c r="C1207" s="119" t="n">
        <v>46.09999847412109</v>
      </c>
      <c r="D1207" s="119" t="n">
        <v>45</v>
      </c>
      <c r="E1207" s="119" t="n">
        <v>45.04000091552734</v>
      </c>
      <c r="F1207" s="120" t="n">
        <v>19591400</v>
      </c>
      <c r="G1207" s="121" t="n">
        <v>-0.003539819573261993</v>
      </c>
      <c r="H1207" s="122" t="n">
        <v>29.31011918208464</v>
      </c>
      <c r="I1207" s="119" t="n">
        <v>43.97034446716309</v>
      </c>
      <c r="J1207" s="119" t="n">
        <v>58.16127384185791</v>
      </c>
      <c r="K1207" s="121" t="n">
        <v>0.3667339219281551</v>
      </c>
      <c r="L1207" s="121" t="n">
        <v>-0.1504389387471694</v>
      </c>
      <c r="M1207" s="121" t="n">
        <v>-0.4160027287248445</v>
      </c>
      <c r="N1207" t="n">
        <v>52.86339792645713</v>
      </c>
      <c r="O1207" t="n">
        <v>0.1755157280655855</v>
      </c>
      <c r="P1207" t="n">
        <v>179.4348931562166</v>
      </c>
      <c r="Q1207" t="n">
        <v>201.7152953245814</v>
      </c>
    </row>
    <row r="1208">
      <c r="A1208" s="118" t="n">
        <v>46190</v>
      </c>
      <c r="B1208" s="119" t="n">
        <v>44.90000152587891</v>
      </c>
      <c r="C1208" s="119" t="n">
        <v>45.84999847412109</v>
      </c>
      <c r="D1208" s="119" t="n">
        <v>44.15999984741211</v>
      </c>
      <c r="E1208" s="119" t="n">
        <v>44.18999862670898</v>
      </c>
      <c r="F1208" s="120" t="n">
        <v>20859700</v>
      </c>
      <c r="G1208" s="121" t="n">
        <v>-0.01887216411057679</v>
      </c>
      <c r="H1208" s="122" t="n">
        <v>28.75697380277977</v>
      </c>
      <c r="I1208" s="119" t="n">
        <v>44.0079165649414</v>
      </c>
      <c r="J1208" s="119" t="n">
        <v>58.00570585250855</v>
      </c>
      <c r="K1208" s="121" t="n">
        <v>0.3746081928620391</v>
      </c>
      <c r="L1208" s="121" t="n">
        <v>-0.1664719945170886</v>
      </c>
      <c r="M1208" s="121" t="n">
        <v>-0.4270240210684781</v>
      </c>
      <c r="N1208" t="n">
        <v>48.44902032925178</v>
      </c>
      <c r="O1208" t="n">
        <v>0.1042165562494873</v>
      </c>
      <c r="P1208" t="n">
        <v>177.1941333782088</v>
      </c>
      <c r="Q1208" t="n">
        <v>199.6839401097241</v>
      </c>
    </row>
    <row r="1209">
      <c r="A1209" s="118" t="n">
        <v>46191</v>
      </c>
      <c r="B1209" s="119" t="n">
        <v>44.40999984741211</v>
      </c>
      <c r="C1209" s="119" t="n">
        <v>45.70999908447266</v>
      </c>
      <c r="D1209" s="119" t="n">
        <v>44.2400016784668</v>
      </c>
      <c r="E1209" s="119" t="n">
        <v>45.20000076293945</v>
      </c>
      <c r="F1209" s="120" t="n">
        <v>32320300</v>
      </c>
      <c r="G1209" s="121" t="n">
        <v>0.02285589879199512</v>
      </c>
      <c r="H1209" s="122" t="n">
        <v>29.41424028558016</v>
      </c>
      <c r="I1209" s="119" t="n">
        <v>44.05696670532227</v>
      </c>
      <c r="J1209" s="119" t="n">
        <v>57.86829776763916</v>
      </c>
      <c r="K1209" s="121" t="n">
        <v>0.3539941513379614</v>
      </c>
      <c r="L1209" s="121" t="n">
        <v>-0.1392137879119525</v>
      </c>
      <c r="M1209" s="121" t="n">
        <v>-0.413928140083775</v>
      </c>
      <c r="N1209" t="n">
        <v>53.42578213165268</v>
      </c>
      <c r="O1209" t="n">
        <v>0.1186049528843092</v>
      </c>
      <c r="P1209" t="n">
        <v>179.0364194437016</v>
      </c>
      <c r="Q1209" t="n">
        <v>204.6891054665812</v>
      </c>
    </row>
    <row r="1210">
      <c r="A1210" s="118" t="n">
        <v>46195</v>
      </c>
      <c r="B1210" s="119" t="n">
        <v>44.61999893188477</v>
      </c>
      <c r="C1210" s="119" t="n">
        <v>44.90999984741211</v>
      </c>
      <c r="D1210" s="119" t="n">
        <v>43.13999938964844</v>
      </c>
      <c r="E1210" s="119" t="n">
        <v>43.18999862670898</v>
      </c>
      <c r="F1210" s="120" t="n">
        <v>25864500</v>
      </c>
      <c r="G1210" s="121" t="n">
        <v>-0.04446907305980663</v>
      </c>
      <c r="H1210" s="122" t="n">
        <v>28.10621628532199</v>
      </c>
      <c r="I1210" s="119" t="n">
        <v>44.04857109069824</v>
      </c>
      <c r="J1210" s="119" t="n">
        <v>57.71863840103149</v>
      </c>
      <c r="K1210" s="121" t="n">
        <v>0.3899129840423865</v>
      </c>
      <c r="L1210" s="121" t="n">
        <v>-0.1750006521590549</v>
      </c>
      <c r="M1210" s="121" t="n">
        <v>-0.4399902124406863</v>
      </c>
      <c r="N1210" t="n">
        <v>44.26680421565292</v>
      </c>
      <c r="O1210" t="n">
        <v>-0.007053548213942308</v>
      </c>
      <c r="P1210" t="n">
        <v>178.4729954672325</v>
      </c>
      <c r="Q1210" t="n">
        <v>204.1753139426638</v>
      </c>
    </row>
    <row r="1211">
      <c r="A1211" s="118" t="n">
        <v>46196</v>
      </c>
      <c r="B1211" s="119" t="n">
        <v>42.38999938964844</v>
      </c>
      <c r="C1211" s="119" t="n">
        <v>43.18999862670898</v>
      </c>
      <c r="D1211" s="119" t="n">
        <v>42.31999969482422</v>
      </c>
      <c r="E1211" s="119" t="n">
        <v>42.38000106811523</v>
      </c>
      <c r="F1211" s="120" t="n">
        <v>31517900</v>
      </c>
      <c r="G1211" s="121" t="n">
        <v>-0.01875428535190649</v>
      </c>
      <c r="H1211" s="122" t="n">
        <v>27.57910428494466</v>
      </c>
      <c r="I1211" s="119" t="n">
        <v>44.05133079528809</v>
      </c>
      <c r="J1211" s="119" t="n">
        <v>57.56194507598877</v>
      </c>
      <c r="K1211" s="121" t="n">
        <v>0.3941185209654301</v>
      </c>
      <c r="L1211" s="121" t="n">
        <v>-0.1904729253436006</v>
      </c>
      <c r="M1211" s="121" t="n">
        <v>-0.4504927957964342</v>
      </c>
      <c r="N1211" t="n">
        <v>41.20145110842198</v>
      </c>
      <c r="O1211" t="n">
        <v>-0.1373059402051663</v>
      </c>
      <c r="P1211" t="n">
        <v>175.8812188349427</v>
      </c>
      <c r="Q1211" t="n">
        <v>197.452016220107</v>
      </c>
    </row>
    <row r="1212">
      <c r="A1212" s="118" t="n">
        <v>46197</v>
      </c>
      <c r="B1212" s="119" t="n">
        <v>42.04000091552734</v>
      </c>
      <c r="C1212" s="119" t="n">
        <v>42.33000183105469</v>
      </c>
      <c r="D1212" s="119" t="n">
        <v>41.31000137329102</v>
      </c>
      <c r="E1212" s="119" t="n">
        <v>41.81999969482422</v>
      </c>
      <c r="F1212" s="120" t="n">
        <v>34384300</v>
      </c>
      <c r="G1212" s="121" t="n">
        <v>-0.01321381215613826</v>
      </c>
      <c r="H1212" s="122" t="n">
        <v>27.21467918148885</v>
      </c>
      <c r="I1212" s="119" t="n">
        <v>44.0371418762207</v>
      </c>
      <c r="J1212" s="119" t="n">
        <v>57.4094958114624</v>
      </c>
      <c r="K1212" s="121" t="n">
        <v>0.3949040218428722</v>
      </c>
      <c r="L1212" s="121" t="n">
        <v>-0.2011698640434185</v>
      </c>
      <c r="M1212" s="121" t="n">
        <v>-0.4577538807712248</v>
      </c>
      <c r="N1212" t="n">
        <v>39.18135577771249</v>
      </c>
      <c r="O1212" t="n">
        <v>-0.2473425278683917</v>
      </c>
      <c r="P1212" t="n">
        <v>175.7996948888384</v>
      </c>
      <c r="Q1212" t="n">
        <v>196.6136705697089</v>
      </c>
    </row>
    <row r="1213">
      <c r="A1213" s="118" t="n">
        <v>46198</v>
      </c>
      <c r="B1213" s="119" t="n">
        <v>41.79999923706055</v>
      </c>
      <c r="C1213" s="119" t="n">
        <v>41.86000061035156</v>
      </c>
      <c r="D1213" s="119" t="n">
        <v>40.43999862670898</v>
      </c>
      <c r="E1213" s="119" t="n">
        <v>40.90000152587891</v>
      </c>
      <c r="F1213" s="120" t="n">
        <v>29228300</v>
      </c>
      <c r="G1213" s="121" t="n">
        <v>-0.02199899989619503</v>
      </c>
      <c r="H1213" s="122" t="n">
        <v>26.6159834570003</v>
      </c>
      <c r="I1213" s="119" t="n">
        <v>43.97898178100586</v>
      </c>
      <c r="J1213" s="119" t="n">
        <v>57.25127254486084</v>
      </c>
      <c r="K1213" s="121" t="n">
        <v>0.3879398644900586</v>
      </c>
      <c r="L1213" s="121" t="n">
        <v>-0.2187433281214046</v>
      </c>
      <c r="M1213" s="121" t="n">
        <v>-0.4696827530918508</v>
      </c>
      <c r="N1213" t="n">
        <v>36.05388025718191</v>
      </c>
      <c r="O1213" t="n">
        <v>-0.361350352099124</v>
      </c>
      <c r="P1213" t="n">
        <v>176.0538371203936</v>
      </c>
      <c r="Q1213" t="n">
        <v>198.2073446435016</v>
      </c>
    </row>
    <row r="1214">
      <c r="A1214" s="118" t="n">
        <v>46199</v>
      </c>
      <c r="B1214" s="119" t="n">
        <v>40.06999969482422</v>
      </c>
      <c r="C1214" s="119" t="n">
        <v>41.47000122070312</v>
      </c>
      <c r="D1214" s="119" t="n">
        <v>40</v>
      </c>
      <c r="E1214" s="119" t="n">
        <v>40.75</v>
      </c>
      <c r="F1214" s="120" t="n">
        <v>33970700</v>
      </c>
      <c r="G1214" s="121" t="n">
        <v>-0.003667518833318284</v>
      </c>
      <c r="H1214" s="122" t="n">
        <v>26.51836883640447</v>
      </c>
      <c r="I1214" s="119" t="n">
        <v>43.89324165344238</v>
      </c>
      <c r="J1214" s="119" t="n">
        <v>57.09498973846436</v>
      </c>
      <c r="K1214" s="121" t="n">
        <v>0.3649627365379617</v>
      </c>
      <c r="L1214" s="121" t="n">
        <v>-0.1320533470614008</v>
      </c>
      <c r="M1214" s="121" t="n">
        <v>-0.47162770158252</v>
      </c>
      <c r="N1214" t="n">
        <v>35.55555226244246</v>
      </c>
      <c r="O1214" t="n">
        <v>-0.4219078144855367</v>
      </c>
      <c r="P1214" t="n">
        <v>174.7807260474925</v>
      </c>
      <c r="Q1214" t="n">
        <v>195.479293188357</v>
      </c>
    </row>
    <row r="1215">
      <c r="A1215" s="118" t="n">
        <v>46202</v>
      </c>
      <c r="B1215" s="119" t="n">
        <v>41.13999938964844</v>
      </c>
      <c r="C1215" s="119" t="n">
        <v>41.68999862670898</v>
      </c>
      <c r="D1215" s="119" t="n">
        <v>40.77000045776367</v>
      </c>
      <c r="E1215" s="119" t="n">
        <v>41.47999954223633</v>
      </c>
      <c r="F1215" s="120" t="n">
        <v>27824700</v>
      </c>
      <c r="G1215" s="121" t="n">
        <v>0.01791409919598341</v>
      </c>
      <c r="H1215" s="122" t="n">
        <v>26.99342152625549</v>
      </c>
      <c r="I1215" s="119" t="n">
        <v>43.81694763183594</v>
      </c>
      <c r="J1215" s="119" t="n">
        <v>56.93917730331421</v>
      </c>
      <c r="K1215" s="121" t="n">
        <v>0.3690279878089811</v>
      </c>
      <c r="L1215" s="121" t="n">
        <v>-0.1165048646238371</v>
      </c>
      <c r="M1215" s="121" t="n">
        <v>-0.4621623878162594</v>
      </c>
      <c r="N1215" t="n">
        <v>39.90854167995021</v>
      </c>
      <c r="O1215" t="n">
        <v>-0.3886678777521928</v>
      </c>
      <c r="P1215" t="n">
        <v>177.6602144558293</v>
      </c>
      <c r="Q1215" t="n">
        <v>200.3377767645487</v>
      </c>
    </row>
    <row r="1216">
      <c r="A1216" s="118" t="n">
        <v>46203</v>
      </c>
      <c r="B1216" s="119" t="n">
        <v>41.38000106811523</v>
      </c>
      <c r="C1216" s="119" t="n">
        <v>41.63999938964844</v>
      </c>
      <c r="D1216" s="119" t="n">
        <v>40.88999938964844</v>
      </c>
      <c r="E1216" s="119" t="n">
        <v>41.04999923706055</v>
      </c>
      <c r="F1216" s="120" t="n">
        <v>73891500</v>
      </c>
      <c r="G1216" s="121" t="n">
        <v>-0.01036644913021134</v>
      </c>
      <c r="H1216" s="122" t="n">
        <v>26.71359559515321</v>
      </c>
      <c r="I1216" s="119" t="n">
        <v>43.72551216125488</v>
      </c>
      <c r="J1216" s="119" t="n">
        <v>56.7808235168457</v>
      </c>
      <c r="K1216" s="121" t="n">
        <v>0.368549436739561</v>
      </c>
      <c r="L1216" s="121" t="n">
        <v>-0.1256635720015031</v>
      </c>
      <c r="M1216" s="121" t="n">
        <v>-0.4677378540632765</v>
      </c>
      <c r="N1216" t="n">
        <v>38.26879140972783</v>
      </c>
      <c r="O1216" t="n">
        <v>-0.3715226683959957</v>
      </c>
      <c r="P1216" t="n">
        <v>179.0436191890765</v>
      </c>
      <c r="Q1216" t="n">
        <v>203.7464647807941</v>
      </c>
    </row>
    <row r="1217">
      <c r="A1217" s="118" t="n">
        <v>46204</v>
      </c>
      <c r="B1217" s="119" t="n">
        <v>41.40000152587891</v>
      </c>
      <c r="C1217" s="119" t="n">
        <v>43.27999877929688</v>
      </c>
      <c r="D1217" s="119" t="n">
        <v>40.11000061035156</v>
      </c>
      <c r="E1217" s="119" t="n">
        <v>43.06000137329102</v>
      </c>
      <c r="F1217" s="120" t="n">
        <v>80185700</v>
      </c>
      <c r="G1217" s="121" t="n">
        <v>0.04896473017265768</v>
      </c>
      <c r="H1217" s="122" t="n">
        <v>28.02161959541138</v>
      </c>
      <c r="I1217" s="119" t="n">
        <v>43.66535652160645</v>
      </c>
      <c r="J1217" s="119" t="n">
        <v>56.63902578353882</v>
      </c>
      <c r="K1217" s="121" t="n">
        <v>0.3804044199447741</v>
      </c>
      <c r="L1217" s="121" t="n">
        <v>-0.08285192472443148</v>
      </c>
      <c r="M1217" s="121" t="n">
        <v>-0.4416757817063651</v>
      </c>
      <c r="N1217" t="n">
        <v>48.84868085720966</v>
      </c>
      <c r="O1217" t="n">
        <v>-0.2088020717261533</v>
      </c>
      <c r="P1217" t="n">
        <v>178.8014618995172</v>
      </c>
      <c r="Q1217" t="n">
        <v>200.6393474805427</v>
      </c>
    </row>
    <row r="1218">
      <c r="A1218" s="118" t="n">
        <v>46205</v>
      </c>
      <c r="B1218" s="119" t="n">
        <v>44.11000061035156</v>
      </c>
      <c r="C1218" s="119" t="n">
        <v>45.04000091552734</v>
      </c>
      <c r="D1218" s="119" t="n">
        <v>43.59999847412109</v>
      </c>
      <c r="E1218" s="119" t="n">
        <v>44.09000015258789</v>
      </c>
      <c r="F1218" s="120" t="n">
        <v>34233400</v>
      </c>
      <c r="G1218" s="121" t="n">
        <v>0.02392008236060472</v>
      </c>
      <c r="H1218" s="122" t="n">
        <v>28.69189904401116</v>
      </c>
      <c r="I1218" s="119" t="n">
        <v>43.62758491516113</v>
      </c>
      <c r="J1218" s="119" t="n">
        <v>56.50223129272461</v>
      </c>
      <c r="K1218" s="121" t="n">
        <v>0.3901562920946304</v>
      </c>
      <c r="L1218" s="121" t="n">
        <v>-0.06091366722696978</v>
      </c>
      <c r="M1218" s="121" t="n">
        <v>-0.4283206204208611</v>
      </c>
      <c r="N1218" t="n">
        <v>53.26855994261215</v>
      </c>
      <c r="O1218" t="n">
        <v>-0.02543334772768646</v>
      </c>
      <c r="P1218" t="n">
        <v>178.5665043553328</v>
      </c>
      <c r="Q1218" t="n">
        <v>197.1614896998941</v>
      </c>
    </row>
    <row r="1219">
      <c r="A1219" s="118" t="n">
        <v>46209</v>
      </c>
      <c r="B1219" s="119" t="n">
        <v>43.90000152587891</v>
      </c>
      <c r="C1219" s="119" t="n">
        <v>44.11000061035156</v>
      </c>
      <c r="D1219" s="119" t="n">
        <v>41.84000015258789</v>
      </c>
      <c r="E1219" s="119" t="n">
        <v>43.34000015258789</v>
      </c>
      <c r="F1219" s="120" t="n">
        <v>21979100</v>
      </c>
      <c r="G1219" s="121" t="n">
        <v>-0.01701065995473761</v>
      </c>
      <c r="H1219" s="122" t="n">
        <v>28.20383090591783</v>
      </c>
      <c r="I1219" s="119" t="n">
        <v>43.58888732910156</v>
      </c>
      <c r="J1219" s="119" t="n">
        <v>56.3630565071106</v>
      </c>
      <c r="K1219" s="121" t="n">
        <v>0.3948501900946275</v>
      </c>
      <c r="L1219" s="121" t="n">
        <v>-0.07688814550191336</v>
      </c>
      <c r="M1219" s="121" t="n">
        <v>-0.4380452639500172</v>
      </c>
      <c r="N1219" t="n">
        <v>49.8882169484808</v>
      </c>
      <c r="O1219" t="n">
        <v>0.04772733499629411</v>
      </c>
      <c r="P1219" t="n">
        <v>180.1249272891559</v>
      </c>
      <c r="Q1219" t="n">
        <v>199.9891584500128</v>
      </c>
    </row>
    <row r="1220">
      <c r="A1220" s="118" t="n">
        <v>46210</v>
      </c>
      <c r="B1220" s="119" t="n">
        <v>43.72000122070312</v>
      </c>
      <c r="C1220" s="119" t="n">
        <v>44.04000091552734</v>
      </c>
      <c r="D1220" s="119" t="n">
        <v>42.88000106811523</v>
      </c>
      <c r="E1220" s="119" t="n">
        <v>43.20999908447266</v>
      </c>
      <c r="F1220" s="120" t="n">
        <v>17784900</v>
      </c>
      <c r="G1220" s="121" t="n">
        <v>-0.002999563166994457</v>
      </c>
      <c r="H1220" s="122" t="n">
        <v>28.11923173356429</v>
      </c>
      <c r="I1220" s="119" t="n">
        <v>43.56543014526367</v>
      </c>
      <c r="J1220" s="119" t="n">
        <v>56.22538408279419</v>
      </c>
      <c r="K1220" s="121" t="n">
        <v>0.3912669530825708</v>
      </c>
      <c r="L1220" s="121" t="n">
        <v>-0.0796570778196819</v>
      </c>
      <c r="M1220" s="121" t="n">
        <v>-0.4397308826777908</v>
      </c>
      <c r="N1220" t="n">
        <v>49.30417525452682</v>
      </c>
      <c r="O1220" t="n">
        <v>0.08743465180493665</v>
      </c>
      <c r="P1220" t="n">
        <v>179.2689917063899</v>
      </c>
      <c r="Q1220" t="n">
        <v>196.2844218156639</v>
      </c>
    </row>
    <row r="1221">
      <c r="A1221" s="118" t="n">
        <v>46211</v>
      </c>
      <c r="B1221" s="119" t="n">
        <v>42.70000076293945</v>
      </c>
      <c r="C1221" s="119" t="n">
        <v>43.2599983215332</v>
      </c>
      <c r="D1221" s="119" t="n">
        <v>42.06999969482422</v>
      </c>
      <c r="E1221" s="119" t="n">
        <v>42.88999938964844</v>
      </c>
      <c r="F1221" s="120" t="n">
        <v>21101500</v>
      </c>
      <c r="G1221" s="121" t="n">
        <v>-0.007405686220882335</v>
      </c>
      <c r="H1221" s="122" t="n">
        <v>27.91098952657324</v>
      </c>
      <c r="I1221" s="119" t="n">
        <v>43.53735702514648</v>
      </c>
      <c r="J1221" s="119" t="n">
        <v>56.08713891983032</v>
      </c>
      <c r="K1221" s="121" t="n">
        <v>0.3917226692180116</v>
      </c>
      <c r="L1221" s="121" t="n">
        <v>-0.08647284871695915</v>
      </c>
      <c r="M1221" s="121" t="n">
        <v>-0.4438800599599297</v>
      </c>
      <c r="N1221" t="n">
        <v>47.8201405903614</v>
      </c>
      <c r="O1221" t="n">
        <v>0.09176797405409293</v>
      </c>
      <c r="P1221" t="n">
        <v>178.7151527567918</v>
      </c>
      <c r="Q1221" t="n">
        <v>196.8405494234092</v>
      </c>
    </row>
    <row r="1222">
      <c r="A1222" s="118" t="n">
        <v>46212</v>
      </c>
      <c r="B1222" s="119" t="n">
        <v>42.68999862670898</v>
      </c>
      <c r="C1222" s="119" t="n">
        <v>43.06000137329102</v>
      </c>
      <c r="D1222" s="119" t="n">
        <v>42.13000106811523</v>
      </c>
      <c r="E1222" s="119" t="n">
        <v>42.77999877929688</v>
      </c>
      <c r="F1222" s="120" t="n">
        <v>19647000</v>
      </c>
      <c r="G1222" s="121" t="n">
        <v>-0.002564714663486622</v>
      </c>
      <c r="H1222" s="122" t="n">
        <v>27.83940580246201</v>
      </c>
      <c r="I1222" s="119" t="n">
        <v>43.49816368103027</v>
      </c>
      <c r="J1222" s="119" t="n">
        <v>55.95426279067993</v>
      </c>
      <c r="K1222" s="121" t="n">
        <v>0.3718744174560765</v>
      </c>
      <c r="L1222" s="121" t="n">
        <v>-0.0888157851973479</v>
      </c>
      <c r="M1222" s="121" t="n">
        <v>-0.4453063489248078</v>
      </c>
      <c r="N1222" t="n">
        <v>47.29316687056825</v>
      </c>
      <c r="O1222" t="n">
        <v>0.08689489510801396</v>
      </c>
      <c r="P1222" t="n">
        <v>180.2280212041272</v>
      </c>
      <c r="Q1222" t="n">
        <v>200.1164368958885</v>
      </c>
    </row>
    <row r="1223">
      <c r="A1223" s="118" t="n">
        <v>46213</v>
      </c>
      <c r="B1223" s="119" t="n">
        <v>43.41999816894531</v>
      </c>
      <c r="C1223" s="119" t="n">
        <v>44.63000106811523</v>
      </c>
      <c r="D1223" s="119" t="n">
        <v>43.06000137329102</v>
      </c>
      <c r="E1223" s="119" t="n">
        <v>44.36999893188477</v>
      </c>
      <c r="F1223" s="120" t="n">
        <v>23313500</v>
      </c>
      <c r="G1223" s="121" t="n">
        <v>0.03716690504809828</v>
      </c>
      <c r="H1223" s="122" t="n">
        <v>28.8741103545176</v>
      </c>
      <c r="I1223" s="119" t="n">
        <v>43.49295082092285</v>
      </c>
      <c r="J1223" s="119" t="n">
        <v>55.827428855896</v>
      </c>
      <c r="K1223" s="121" t="n">
        <v>0.3927215767630766</v>
      </c>
      <c r="L1223" s="121" t="n">
        <v>-0.05494988800445177</v>
      </c>
      <c r="M1223" s="121" t="n">
        <v>-0.4246901026645131</v>
      </c>
      <c r="N1223" t="n">
        <v>55.01063321091959</v>
      </c>
      <c r="O1223" t="n">
        <v>0.1847989032371888</v>
      </c>
      <c r="P1223" t="n">
        <v>181.0048327559138</v>
      </c>
      <c r="Q1223" t="n">
        <v>200.7334257904768</v>
      </c>
    </row>
    <row r="1224">
      <c r="A1224" s="118" t="n">
        <v>46216</v>
      </c>
      <c r="B1224" s="119" t="n">
        <v>44.7599983215332</v>
      </c>
      <c r="C1224" s="119" t="n">
        <v>44.90000152587891</v>
      </c>
      <c r="D1224" s="119" t="n">
        <v>43.66999816894531</v>
      </c>
      <c r="E1224" s="119" t="n">
        <v>43.7599983215332</v>
      </c>
      <c r="F1224" s="120" t="n">
        <v>13665500</v>
      </c>
      <c r="G1224" s="121" t="n">
        <v>-0.01374804203371771</v>
      </c>
      <c r="H1224" s="122" t="n">
        <v>28.47714787167748</v>
      </c>
      <c r="I1224" s="119" t="n">
        <v>43.48822441101074</v>
      </c>
      <c r="J1224" s="119" t="n">
        <v>55.69925703048706</v>
      </c>
      <c r="K1224" s="121" t="n">
        <v>0.3579654158291309</v>
      </c>
      <c r="L1224" s="121" t="n">
        <v>-0.06794247666813624</v>
      </c>
      <c r="M1224" s="121" t="n">
        <v>-0.4325994873154952</v>
      </c>
      <c r="N1224" t="n">
        <v>51.87255851038054</v>
      </c>
      <c r="O1224" t="n">
        <v>0.2011692053679169</v>
      </c>
      <c r="P1224" t="n">
        <v>179.6190281075416</v>
      </c>
      <c r="Q1224" t="n">
        <v>196.9235497632631</v>
      </c>
    </row>
    <row r="1225">
      <c r="A1225" s="118" t="n">
        <v>46217</v>
      </c>
      <c r="B1225" s="119" t="n">
        <v>44.31000137329102</v>
      </c>
      <c r="C1225" s="119" t="n">
        <v>44.4900016784668</v>
      </c>
      <c r="D1225" s="119" t="n">
        <v>42.47000122070312</v>
      </c>
      <c r="E1225" s="119" t="n">
        <v>42.86000061035156</v>
      </c>
      <c r="F1225" s="120" t="n">
        <v>13090200</v>
      </c>
      <c r="G1225" s="121" t="n">
        <v>-0.02056667609008511</v>
      </c>
      <c r="H1225" s="122" t="n">
        <v>27.89146759543123</v>
      </c>
      <c r="I1225" s="119" t="n">
        <v>43.46609268188477</v>
      </c>
      <c r="J1225" s="119" t="n">
        <v>55.56516660690308</v>
      </c>
      <c r="K1225" s="121" t="n">
        <v>0.3566425451968704</v>
      </c>
      <c r="L1225" s="121" t="n">
        <v>-0.08711180184782974</v>
      </c>
      <c r="M1225" s="121" t="n">
        <v>-0.4442690298732257</v>
      </c>
      <c r="N1225" t="n">
        <v>47.56164491221737</v>
      </c>
      <c r="O1225" t="n">
        <v>0.1466121590605997</v>
      </c>
      <c r="P1225" t="n">
        <v>180.2567909183689</v>
      </c>
      <c r="Q1225" t="n">
        <v>199.1231516487134</v>
      </c>
    </row>
    <row r="1226">
      <c r="A1226" s="118" t="n">
        <v>46218</v>
      </c>
      <c r="B1226" s="119" t="n">
        <v>43</v>
      </c>
      <c r="C1226" s="119" t="n">
        <v>43.58000183105469</v>
      </c>
      <c r="D1226" s="119" t="n">
        <v>42.47999954223633</v>
      </c>
      <c r="E1226" s="119" t="n">
        <v>42.77000045776367</v>
      </c>
      <c r="F1226" s="120" t="n">
        <v>14388200</v>
      </c>
      <c r="G1226" s="121" t="n">
        <v>-0.002099863539576141</v>
      </c>
      <c r="H1226" s="122" t="n">
        <v>27.83289931956232</v>
      </c>
      <c r="I1226" s="119" t="n">
        <v>43.4413680267334</v>
      </c>
      <c r="J1226" s="119" t="n">
        <v>55.44031185150146</v>
      </c>
      <c r="K1226" s="121" t="n">
        <v>0.3553510418150134</v>
      </c>
      <c r="L1226" s="121" t="n">
        <v>-0.0890287424908387</v>
      </c>
      <c r="M1226" s="121" t="n">
        <v>-0.4454359890752082</v>
      </c>
      <c r="N1226" t="n">
        <v>47.13974888278011</v>
      </c>
      <c r="O1226" t="n">
        <v>0.1018171884824463</v>
      </c>
      <c r="P1226" t="n">
        <v>180.971263211422</v>
      </c>
      <c r="Q1226" t="n">
        <v>198.5836241089389</v>
      </c>
    </row>
    <row r="1227">
      <c r="A1227" s="118" t="n">
        <v>46219</v>
      </c>
      <c r="B1227" s="119" t="n">
        <v>42.90000152587891</v>
      </c>
      <c r="C1227" s="119" t="n">
        <v>44.66999816894531</v>
      </c>
      <c r="D1227" s="119" t="n">
        <v>42.90000152587891</v>
      </c>
      <c r="E1227" s="119" t="n">
        <v>44.56999969482422</v>
      </c>
      <c r="F1227" s="120" t="n">
        <v>15944700</v>
      </c>
      <c r="G1227" s="121" t="n">
        <v>0.04208555571183803</v>
      </c>
      <c r="H1227" s="122" t="n">
        <v>29.00426235449774</v>
      </c>
      <c r="I1227" s="119" t="n">
        <v>43.47861106872558</v>
      </c>
      <c r="J1227" s="119" t="n">
        <v>55.3241146850586</v>
      </c>
      <c r="K1227" s="121" t="n">
        <v>0.3889377474205876</v>
      </c>
      <c r="L1227" s="121" t="n">
        <v>-0.05069001088105374</v>
      </c>
      <c r="M1227" s="121" t="n">
        <v>-0.4220968544976526</v>
      </c>
      <c r="N1227" t="n">
        <v>55.61903142227728</v>
      </c>
      <c r="O1227" t="n">
        <v>0.1858724079225142</v>
      </c>
      <c r="P1227" t="n">
        <v>179.990649111189</v>
      </c>
      <c r="Q1227" t="n">
        <v>195.3188146065398</v>
      </c>
    </row>
    <row r="1228">
      <c r="A1228" s="118" t="n">
        <v>46220</v>
      </c>
      <c r="B1228" s="119" t="n">
        <v>44.52000045776367</v>
      </c>
      <c r="C1228" s="119" t="n">
        <v>44.97999954223633</v>
      </c>
      <c r="D1228" s="119" t="n">
        <v>43.52000045776367</v>
      </c>
      <c r="E1228" s="119" t="n">
        <v>43.7599983215332</v>
      </c>
      <c r="F1228" s="120" t="n">
        <v>15825100</v>
      </c>
      <c r="G1228" s="121" t="n">
        <v>-0.01817369034860183</v>
      </c>
      <c r="H1228" s="122" t="n">
        <v>28.47714787167749</v>
      </c>
      <c r="I1228" s="119" t="n">
        <v>43.50024871826172</v>
      </c>
      <c r="J1228" s="119" t="n">
        <v>55.20269342422485</v>
      </c>
      <c r="K1228" s="121" t="n">
        <v>0.3885016485809705</v>
      </c>
      <c r="L1228" s="121" t="n">
        <v>-0.06794247666813613</v>
      </c>
      <c r="M1228" s="121" t="n">
        <v>-0.4325994873154952</v>
      </c>
      <c r="N1228" t="n">
        <v>51.60723751375988</v>
      </c>
      <c r="O1228" t="n">
        <v>0.1792943343942034</v>
      </c>
      <c r="P1228" t="n">
        <v>178.2092535751775</v>
      </c>
      <c r="Q1228" t="n">
        <v>192.3832538581858</v>
      </c>
    </row>
    <row r="1229">
      <c r="A1229" s="118" t="n">
        <v>46223</v>
      </c>
      <c r="B1229" s="119" t="n">
        <v>43.84000015258789</v>
      </c>
      <c r="C1229" s="119" t="n">
        <v>43.84000015258789</v>
      </c>
      <c r="D1229" s="119" t="n">
        <v>42.83000183105469</v>
      </c>
      <c r="E1229" s="119" t="n">
        <v>43.47000122070312</v>
      </c>
      <c r="F1229" s="120" t="n">
        <v>11926900</v>
      </c>
      <c r="G1229" s="121" t="n">
        <v>-0.006626990675348776</v>
      </c>
      <c r="H1229" s="122" t="n">
        <v>28.28843007827135</v>
      </c>
      <c r="I1229" s="119" t="n">
        <v>43.49983192443847</v>
      </c>
      <c r="J1229" s="119" t="n">
        <v>55.07894170761109</v>
      </c>
      <c r="K1229" s="121" t="n">
        <v>0.3792748730281663</v>
      </c>
      <c r="L1229" s="121" t="n">
        <v>-0.07411921318414505</v>
      </c>
      <c r="M1229" s="121" t="n">
        <v>-0.4363596452222436</v>
      </c>
      <c r="N1229" t="n">
        <v>50.21085189559113</v>
      </c>
      <c r="O1229" t="n">
        <v>0.1490307119641358</v>
      </c>
      <c r="P1229" t="n">
        <v>177.9215564327593</v>
      </c>
      <c r="Q1229" t="n">
        <v>192.5852241663552</v>
      </c>
    </row>
    <row r="1230">
      <c r="A1230" s="118" t="n">
        <v>46224</v>
      </c>
      <c r="B1230" s="119" t="n">
        <v>43.06000137329102</v>
      </c>
      <c r="C1230" s="119" t="n">
        <v>43.56000137329102</v>
      </c>
      <c r="D1230" s="119" t="n">
        <v>42.75</v>
      </c>
      <c r="E1230" s="119" t="n">
        <v>42.95999908447266</v>
      </c>
      <c r="F1230" s="120" t="n">
        <v>11859000</v>
      </c>
      <c r="G1230" s="121" t="n">
        <v>-0.01173227793671128</v>
      </c>
      <c r="H1230" s="122" t="n">
        <v>27.95654235419985</v>
      </c>
      <c r="I1230" s="119" t="n">
        <v>43.47870910644532</v>
      </c>
      <c r="J1230" s="119" t="n">
        <v>54.93077386856079</v>
      </c>
      <c r="K1230" s="121" t="n">
        <v>0.346692949222083</v>
      </c>
      <c r="L1230" s="121" t="n">
        <v>-0.08498190391132943</v>
      </c>
      <c r="M1230" s="121" t="n">
        <v>-0.4429724305208428</v>
      </c>
      <c r="N1230" t="n">
        <v>47.76319174213615</v>
      </c>
      <c r="O1230" t="n">
        <v>0.09112803691808607</v>
      </c>
      <c r="P1230" t="n">
        <v>179.4056551658529</v>
      </c>
      <c r="Q1230" t="n">
        <v>196.1571433697883</v>
      </c>
    </row>
    <row r="1231">
      <c r="A1231" s="118" t="n">
        <v>46225</v>
      </c>
      <c r="B1231" s="119" t="n">
        <v>42.45000076293945</v>
      </c>
      <c r="C1231" s="119" t="n">
        <v>42.90999984741211</v>
      </c>
      <c r="D1231" s="119" t="n">
        <v>41.56999969482422</v>
      </c>
      <c r="E1231" s="119" t="n">
        <v>42.20999908447266</v>
      </c>
      <c r="F1231" s="120" t="n">
        <v>18990000</v>
      </c>
      <c r="G1231" s="121" t="n">
        <v>-0.01745810093071154</v>
      </c>
      <c r="H1231" s="122" t="n">
        <v>27.46847421610652</v>
      </c>
      <c r="I1231" s="119" t="n">
        <v>43.44793838500976</v>
      </c>
      <c r="J1231" s="119" t="n">
        <v>54.77704607009888</v>
      </c>
      <c r="K1231" s="121" t="n">
        <v>0.3457945211419551</v>
      </c>
      <c r="L1231" s="121" t="n">
        <v>-0.100956382186273</v>
      </c>
      <c r="M1231" s="121" t="n">
        <v>-0.4526970740499988</v>
      </c>
      <c r="N1231" t="n">
        <v>44.34005895841019</v>
      </c>
      <c r="O1231" t="n">
        <v>0.003413290838870126</v>
      </c>
      <c r="P1231" t="n">
        <v>179.1970527871565</v>
      </c>
      <c r="Q1231" t="n">
        <v>195.1555665322026</v>
      </c>
    </row>
    <row r="1232">
      <c r="A1232" s="118" t="n">
        <v>46226</v>
      </c>
      <c r="B1232" s="119" t="n">
        <v>41.79999923706055</v>
      </c>
      <c r="C1232" s="119" t="n">
        <v>42.08000183105469</v>
      </c>
      <c r="D1232" s="119" t="n">
        <v>40.68999862670898</v>
      </c>
      <c r="E1232" s="119" t="n">
        <v>40.9900016784668</v>
      </c>
      <c r="F1232" s="120" t="n">
        <v>18156200</v>
      </c>
      <c r="G1232" s="121" t="n">
        <v>-0.0289030427023782</v>
      </c>
      <c r="H1232" s="122" t="n">
        <v>26.67455173286922</v>
      </c>
      <c r="I1232" s="119" t="n">
        <v>43.42745727539062</v>
      </c>
      <c r="J1232" s="119" t="n">
        <v>54.63013252258301</v>
      </c>
      <c r="K1232" s="121" t="n">
        <v>0.3580270401733265</v>
      </c>
      <c r="L1232" s="121" t="n">
        <v>-0.1269414782632438</v>
      </c>
      <c r="M1232" s="121" t="n">
        <v>-0.4685157938898683</v>
      </c>
      <c r="N1232" t="n">
        <v>39.39416670579375</v>
      </c>
      <c r="O1232" t="n">
        <v>-0.1283908479088448</v>
      </c>
      <c r="P1232" t="n">
        <v>176.984096903889</v>
      </c>
      <c r="Q1232" t="n">
        <v>191.4508467850033</v>
      </c>
    </row>
    <row r="1233">
      <c r="A1233" s="118" t="n">
        <v>46227</v>
      </c>
      <c r="B1233" s="119" t="n">
        <v>41.18999862670898</v>
      </c>
      <c r="C1233" s="119" t="n">
        <v>42.15000152587891</v>
      </c>
      <c r="D1233" s="119" t="n">
        <v>40.88999938964844</v>
      </c>
      <c r="E1233" s="119" t="n">
        <v>41.70000076293945</v>
      </c>
      <c r="F1233" s="120" t="n">
        <v>26175200</v>
      </c>
      <c r="G1233" s="121" t="n">
        <v>0.01732127483287327</v>
      </c>
      <c r="H1233" s="122" t="n">
        <v>27.13658897447794</v>
      </c>
      <c r="I1233" s="119" t="n">
        <v>43.42196907043457</v>
      </c>
      <c r="J1233" s="119" t="n">
        <v>54.49048669815063</v>
      </c>
      <c r="K1233" s="121" t="n">
        <v>0.3542809238304478</v>
      </c>
      <c r="L1233" s="121" t="n">
        <v>-0.1118189916630593</v>
      </c>
      <c r="M1233" s="121" t="n">
        <v>-0.4593098098865033</v>
      </c>
      <c r="N1233" t="n">
        <v>43.35420704672882</v>
      </c>
      <c r="O1233" t="n">
        <v>-0.1574594771667122</v>
      </c>
      <c r="P1233" t="n">
        <v>177.1639149347147</v>
      </c>
      <c r="Q1233" t="n">
        <v>189.312106186396</v>
      </c>
    </row>
    <row r="1234">
      <c r="A1234" s="118" t="n">
        <v>46230</v>
      </c>
      <c r="B1234" s="119" t="n">
        <v>42.15000152587891</v>
      </c>
      <c r="C1234" s="119" t="n">
        <v>42.59999847412109</v>
      </c>
      <c r="D1234" s="119" t="n">
        <v>41.58000183105469</v>
      </c>
      <c r="E1234" s="119" t="n">
        <v>42.13999938964844</v>
      </c>
      <c r="F1234" s="120" t="n">
        <v>16996900</v>
      </c>
      <c r="G1234" s="121" t="n">
        <v>0.01055152562730965</v>
      </c>
      <c r="H1234" s="122" t="n">
        <v>27.42292138847991</v>
      </c>
      <c r="I1234" s="119" t="n">
        <v>43.42547904968261</v>
      </c>
      <c r="J1234" s="119" t="n">
        <v>54.36409620285034</v>
      </c>
      <c r="K1234" s="121" t="n">
        <v>0.3552824230399504</v>
      </c>
      <c r="L1234" s="121" t="n">
        <v>-0.1024473269919024</v>
      </c>
      <c r="M1234" s="121" t="n">
        <v>-0.4536047034890859</v>
      </c>
      <c r="N1234" t="n">
        <v>45.72118261735488</v>
      </c>
      <c r="O1234" t="n">
        <v>-0.1374835702595202</v>
      </c>
      <c r="P1234" t="n">
        <v>177.2022843094564</v>
      </c>
      <c r="Q1234" t="n">
        <v>188.7283174277493</v>
      </c>
    </row>
    <row r="1235">
      <c r="A1235" s="118" t="n">
        <v>46231</v>
      </c>
      <c r="B1235" s="119" t="n">
        <v>42.75</v>
      </c>
      <c r="C1235" s="119" t="n">
        <v>43.27000045776367</v>
      </c>
      <c r="D1235" s="119" t="n">
        <v>42.52000045776367</v>
      </c>
      <c r="E1235" s="119" t="n">
        <v>43.04999923706055</v>
      </c>
      <c r="F1235" s="120" t="n">
        <v>23601400</v>
      </c>
      <c r="G1235" s="121" t="n">
        <v>0.0215946810771821</v>
      </c>
      <c r="H1235" s="122" t="n">
        <v>28.01511063006877</v>
      </c>
      <c r="I1235" s="119" t="n">
        <v>43.45353225708008</v>
      </c>
      <c r="J1235" s="119" t="n">
        <v>54.24137523651123</v>
      </c>
      <c r="K1235" s="121" t="n">
        <v>0.3577128331477177</v>
      </c>
      <c r="L1235" s="121" t="n">
        <v>-0.08306496326832025</v>
      </c>
      <c r="M1235" s="121" t="n">
        <v>-0.4418054713188603</v>
      </c>
      <c r="N1235" t="n">
        <v>50.34269326433665</v>
      </c>
      <c r="O1235" t="n">
        <v>-0.05750693551991698</v>
      </c>
      <c r="P1235" t="n">
        <v>177.6266449113375</v>
      </c>
      <c r="Q1235" t="n">
        <v>186.8939339248056</v>
      </c>
    </row>
    <row r="1236">
      <c r="A1236" s="118" t="n">
        <v>46232</v>
      </c>
      <c r="B1236" s="119" t="n">
        <v>42.59999847412109</v>
      </c>
      <c r="C1236" s="119" t="n">
        <v>43.68999862670898</v>
      </c>
      <c r="D1236" s="119" t="n">
        <v>42.40000152587891</v>
      </c>
      <c r="E1236" s="119" t="n">
        <v>43.22000122070312</v>
      </c>
      <c r="F1236" s="120" t="n">
        <v>15029100</v>
      </c>
      <c r="G1236" s="121" t="n">
        <v>0.003948942779451459</v>
      </c>
      <c r="H1236" s="122" t="n">
        <v>28.12574069890691</v>
      </c>
      <c r="I1236" s="119" t="n">
        <v>43.48776069641113</v>
      </c>
      <c r="J1236" s="119" t="n">
        <v>54.12454277038574</v>
      </c>
      <c r="K1236" s="121" t="n">
        <v>0.3546937000143645</v>
      </c>
      <c r="L1236" s="121" t="n">
        <v>-0.07944403927579269</v>
      </c>
      <c r="M1236" s="121" t="n">
        <v>-0.4391057029624584</v>
      </c>
      <c r="N1236" t="n">
        <v>51.1789848733798</v>
      </c>
      <c r="O1236" t="n">
        <v>0.008790620712296082</v>
      </c>
      <c r="P1236" t="n">
        <v>174.8934196229635</v>
      </c>
      <c r="Q1236" t="n">
        <v>183.086827390112</v>
      </c>
    </row>
    <row r="1237">
      <c r="A1237" s="118" t="n">
        <v>46233</v>
      </c>
      <c r="B1237" s="119" t="n">
        <v>42.5</v>
      </c>
      <c r="C1237" s="119" t="n">
        <v>42.5</v>
      </c>
      <c r="D1237" s="119" t="n">
        <v>41.22999954223633</v>
      </c>
      <c r="E1237" s="119" t="n">
        <v>42.29000091552734</v>
      </c>
      <c r="F1237" s="120" t="n">
        <v>16977600</v>
      </c>
      <c r="G1237" s="121" t="n">
        <v>-0.02151782227924359</v>
      </c>
      <c r="H1237" s="122" t="n">
        <v>27.52053600907575</v>
      </c>
      <c r="I1237" s="119" t="n">
        <v>43.48971153259277</v>
      </c>
      <c r="J1237" s="119" t="n">
        <v>54.01695283889771</v>
      </c>
      <c r="K1237" s="121" t="n">
        <v>0.3195543053735696</v>
      </c>
      <c r="L1237" s="121" t="n">
        <v>-0.09925239883675452</v>
      </c>
      <c r="M1237" s="121" t="n">
        <v>-0.4511749267635535</v>
      </c>
      <c r="N1237" t="n">
        <v>46.55946978670949</v>
      </c>
      <c r="O1237" t="n">
        <v>-0.007180643774587048</v>
      </c>
      <c r="P1237" t="n">
        <v>177.825647629534</v>
      </c>
      <c r="Q1237" t="n">
        <v>189.1239664536774</v>
      </c>
    </row>
    <row r="1238">
      <c r="A1238" s="118" t="n">
        <v>46234</v>
      </c>
      <c r="B1238" s="119" t="n">
        <v>42.02000045776367</v>
      </c>
      <c r="C1238" s="119" t="n">
        <v>42.08000183105469</v>
      </c>
      <c r="D1238" s="119" t="n">
        <v>41.4900016784668</v>
      </c>
      <c r="E1238" s="119" t="n">
        <v>41.70999908447266</v>
      </c>
      <c r="F1238" s="120" t="n">
        <v>22622400</v>
      </c>
      <c r="G1238" s="121" t="n">
        <v>-0.01371486920071763</v>
      </c>
      <c r="H1238" s="122" t="n">
        <v>27.14309545737763</v>
      </c>
      <c r="I1238" s="119" t="n">
        <v>43.48303573608398</v>
      </c>
      <c r="J1238" s="119" t="n">
        <v>53.89589677810669</v>
      </c>
      <c r="K1238" s="121" t="n">
        <v>0.3088234703349951</v>
      </c>
      <c r="L1238" s="121" t="n">
        <v>-0.1116060343695687</v>
      </c>
      <c r="M1238" s="121" t="n">
        <v>-0.4587019908570656</v>
      </c>
      <c r="N1238" t="n">
        <v>43.89823761970206</v>
      </c>
      <c r="O1238" t="n">
        <v>-0.05152672010280923</v>
      </c>
      <c r="P1238" t="n">
        <v>179.1059584478099</v>
      </c>
      <c r="Q1238" t="n">
        <v>190.3524221449634</v>
      </c>
    </row>
    <row r="1239">
      <c r="A1239" s="118" t="n">
        <v>46237</v>
      </c>
      <c r="B1239" s="119" t="n">
        <v>42.56999969482422</v>
      </c>
      <c r="C1239" s="119" t="n">
        <v>43.20999908447266</v>
      </c>
      <c r="D1239" s="119" t="n">
        <v>42.06000137329102</v>
      </c>
      <c r="E1239" s="119" t="n">
        <v>42.63999938964844</v>
      </c>
      <c r="F1239" s="120" t="n">
        <v>21329900</v>
      </c>
      <c r="G1239" s="121" t="n">
        <v>0.0222968191222519</v>
      </c>
      <c r="H1239" s="122" t="n">
        <v>27.7483001472088</v>
      </c>
      <c r="I1239" s="119" t="n">
        <v>43.4598738861084</v>
      </c>
      <c r="J1239" s="119" t="n">
        <v>53.77821882247925</v>
      </c>
      <c r="K1239" s="121" t="n">
        <v>0.315921691789682</v>
      </c>
      <c r="L1239" s="121" t="n">
        <v>-0.0917976748086069</v>
      </c>
      <c r="M1239" s="121" t="n">
        <v>-0.4466327670559705</v>
      </c>
      <c r="N1239" t="n">
        <v>48.93800960051708</v>
      </c>
      <c r="O1239" t="n">
        <v>-0.01485063567037831</v>
      </c>
      <c r="P1239" t="n">
        <v>181.6569657902332</v>
      </c>
      <c r="Q1239" t="n">
        <v>193.6947098893257</v>
      </c>
    </row>
    <row r="1240">
      <c r="A1240" s="118" t="n">
        <v>46238</v>
      </c>
      <c r="B1240" s="119" t="n">
        <v>41.34999847412109</v>
      </c>
      <c r="C1240" s="119" t="n">
        <v>42.09000015258789</v>
      </c>
      <c r="D1240" s="119" t="n">
        <v>40.90999984741211</v>
      </c>
      <c r="E1240" s="119" t="n">
        <v>41.52999877929688</v>
      </c>
      <c r="F1240" s="120" t="n">
        <v>27802800</v>
      </c>
      <c r="G1240" s="121" t="n">
        <v>-0.02603190962101731</v>
      </c>
      <c r="H1240" s="122" t="n">
        <v>27.0259589056398</v>
      </c>
      <c r="I1240" s="119" t="n">
        <v>43.41054748535156</v>
      </c>
      <c r="J1240" s="119" t="n">
        <v>53.6509796333313</v>
      </c>
      <c r="K1240" s="121" t="n">
        <v>0.3285423159738547</v>
      </c>
      <c r="L1240" s="121" t="n">
        <v>-0.115439915655587</v>
      </c>
      <c r="M1240" s="121" t="n">
        <v>-0.4610379728512021</v>
      </c>
      <c r="N1240" t="n">
        <v>43.87220268316133</v>
      </c>
      <c r="O1240" t="n">
        <v>-0.05946829649575469</v>
      </c>
      <c r="P1240" t="n">
        <v>184.9320597198381</v>
      </c>
      <c r="Q1240" t="n">
        <v>200.2741290980361</v>
      </c>
    </row>
    <row r="1241">
      <c r="A1241" s="118" t="n">
        <v>46239</v>
      </c>
      <c r="B1241" s="119" t="n">
        <v>41.65000152587891</v>
      </c>
      <c r="C1241" s="119" t="n">
        <v>42.47999954223633</v>
      </c>
      <c r="D1241" s="119" t="n">
        <v>41.36000061035156</v>
      </c>
      <c r="E1241" s="119" t="n">
        <v>42.45000076293945</v>
      </c>
      <c r="F1241" s="120" t="n">
        <v>22088600</v>
      </c>
      <c r="G1241" s="121" t="n">
        <v>0.02215270914241407</v>
      </c>
      <c r="H1241" s="122" t="n">
        <v>27.62465711257127</v>
      </c>
      <c r="I1241" s="119" t="n">
        <v>43.37407081604004</v>
      </c>
      <c r="J1241" s="119" t="n">
        <v>53.53626510620117</v>
      </c>
      <c r="K1241" s="121" t="n">
        <v>0.3384329069400212</v>
      </c>
      <c r="L1241" s="121" t="n">
        <v>-0.09584451338811595</v>
      </c>
      <c r="M1241" s="121" t="n">
        <v>-0.4490985038249687</v>
      </c>
      <c r="N1241" t="n">
        <v>48.61954457671349</v>
      </c>
      <c r="O1241" t="n">
        <v>-0.02301480705008579</v>
      </c>
      <c r="P1241" t="n">
        <v>184.5628239976868</v>
      </c>
      <c r="Q1241" t="n">
        <v>198.4618846481033</v>
      </c>
    </row>
    <row r="1242">
      <c r="A1242" s="118" t="n">
        <v>46240</v>
      </c>
      <c r="B1242" s="119" t="n">
        <v>42.52000045776367</v>
      </c>
      <c r="C1242" s="119" t="n">
        <v>42.63999938964844</v>
      </c>
      <c r="D1242" s="119" t="n">
        <v>41.84999847412109</v>
      </c>
      <c r="E1242" s="119" t="n">
        <v>42</v>
      </c>
      <c r="F1242" s="120" t="n">
        <v>18150300</v>
      </c>
      <c r="G1242" s="121" t="n">
        <v>-0.01060072449591853</v>
      </c>
      <c r="H1242" s="122" t="n">
        <v>27.33181573322669</v>
      </c>
      <c r="I1242" s="119" t="n">
        <v>43.32324203491211</v>
      </c>
      <c r="J1242" s="119" t="n">
        <v>53.41670791625977</v>
      </c>
      <c r="K1242" s="121" t="n">
        <v>0.3403425615829435</v>
      </c>
      <c r="L1242" s="121" t="n">
        <v>-0.1054292166031617</v>
      </c>
      <c r="M1242" s="121" t="n">
        <v>-0.4549384588103096</v>
      </c>
      <c r="N1242" t="n">
        <v>46.54576838328539</v>
      </c>
      <c r="O1242" t="n">
        <v>-0.02503636268695331</v>
      </c>
      <c r="P1242" t="n">
        <v>184.2679271098938</v>
      </c>
      <c r="Q1242" t="n">
        <v>197.7286952777196</v>
      </c>
    </row>
    <row r="1243">
      <c r="A1243" s="118" t="n">
        <v>46241</v>
      </c>
      <c r="B1243" s="119" t="n">
        <v>42.02000045776367</v>
      </c>
      <c r="C1243" s="119" t="n">
        <v>42.36999893188477</v>
      </c>
      <c r="D1243" s="119" t="n">
        <v>41.61000061035156</v>
      </c>
      <c r="E1243" s="119" t="n">
        <v>41.70000076293945</v>
      </c>
      <c r="F1243" s="120" t="n">
        <v>22042300</v>
      </c>
      <c r="G1243" s="121" t="n">
        <v>-0.007142838977632016</v>
      </c>
      <c r="H1243" s="122" t="n">
        <v>27.13658897447794</v>
      </c>
      <c r="I1243" s="119" t="n">
        <v>43.24579772949219</v>
      </c>
      <c r="J1243" s="119" t="n">
        <v>53.29442777633667</v>
      </c>
      <c r="K1243" s="121" t="n">
        <v>0.3099358955158819</v>
      </c>
      <c r="L1243" s="121" t="n">
        <v>-0.1118189916630593</v>
      </c>
      <c r="M1243" s="121" t="n">
        <v>-0.4588317456319275</v>
      </c>
      <c r="N1243" t="n">
        <v>45.16276542649741</v>
      </c>
      <c r="O1243" t="n">
        <v>-0.04143754802353705</v>
      </c>
      <c r="P1243" t="n">
        <v>185.3947896964609</v>
      </c>
      <c r="Q1243" t="n">
        <v>200.0472671314853</v>
      </c>
    </row>
    <row r="1244">
      <c r="A1244" s="118" t="n">
        <v>46244</v>
      </c>
      <c r="B1244" s="119" t="n">
        <v>41.7400016784668</v>
      </c>
      <c r="C1244" s="119" t="n">
        <v>42.22999954223633</v>
      </c>
      <c r="D1244" s="119" t="n">
        <v>41.13999938964844</v>
      </c>
      <c r="E1244" s="119" t="n">
        <v>42.11000061035156</v>
      </c>
      <c r="F1244" s="120" t="n">
        <v>21664600</v>
      </c>
      <c r="G1244" s="121" t="n">
        <v>0.009832130453496069</v>
      </c>
      <c r="H1244" s="122" t="n">
        <v>27.40339945733791</v>
      </c>
      <c r="I1244" s="119" t="n">
        <v>43.14899993896484</v>
      </c>
      <c r="J1244" s="119" t="n">
        <v>53.17057775497437</v>
      </c>
      <c r="K1244" s="121" t="n">
        <v>0.3103098407145446</v>
      </c>
      <c r="L1244" s="121" t="n">
        <v>-0.1030862801227729</v>
      </c>
      <c r="M1244" s="121" t="n">
        <v>-0.4535109087576898</v>
      </c>
      <c r="N1244" t="n">
        <v>47.46038447499144</v>
      </c>
      <c r="O1244" t="n">
        <v>-0.02058690200154212</v>
      </c>
      <c r="P1244" t="n">
        <v>185.3396501831022</v>
      </c>
      <c r="Q1244" t="n">
        <v>199.4496309102383</v>
      </c>
    </row>
    <row r="1245">
      <c r="A1245" s="118" t="n">
        <v>46245</v>
      </c>
      <c r="B1245" s="119" t="n">
        <v>41.47999954223633</v>
      </c>
      <c r="C1245" s="119" t="n">
        <v>41.52999877929688</v>
      </c>
      <c r="D1245" s="119" t="n">
        <v>40.83000183105469</v>
      </c>
      <c r="E1245" s="119" t="n">
        <v>41.31999969482422</v>
      </c>
      <c r="F1245" s="120" t="n">
        <v>25538000</v>
      </c>
      <c r="G1245" s="121" t="n">
        <v>-0.01876041092559722</v>
      </c>
      <c r="H1245" s="122" t="n">
        <v>26.88930042275997</v>
      </c>
      <c r="I1245" s="119" t="n">
        <v>43.05899993896485</v>
      </c>
      <c r="J1245" s="119" t="n">
        <v>53.03925569534302</v>
      </c>
      <c r="K1245" s="121" t="n">
        <v>0.3089194349937116</v>
      </c>
      <c r="L1245" s="121" t="n">
        <v>-0.1199127500724756</v>
      </c>
      <c r="M1245" s="121" t="n">
        <v>-0.4637632686757518</v>
      </c>
      <c r="N1245" t="n">
        <v>43.66412553558678</v>
      </c>
      <c r="O1245" t="n">
        <v>-0.05401487864667337</v>
      </c>
      <c r="P1245" t="n">
        <v>184.7474418587625</v>
      </c>
      <c r="Q1245" t="n">
        <v>198.7800723192177</v>
      </c>
    </row>
    <row r="1246">
      <c r="A1246" s="118" t="n">
        <v>46246</v>
      </c>
      <c r="B1246" s="119" t="n">
        <v>41.02999877929688</v>
      </c>
      <c r="C1246" s="119" t="n">
        <v>41.25</v>
      </c>
      <c r="D1246" s="119" t="n">
        <v>40.45000076293945</v>
      </c>
      <c r="E1246" s="119" t="n">
        <v>40.5099983215332</v>
      </c>
      <c r="F1246" s="120" t="n">
        <v>28760300</v>
      </c>
      <c r="G1246" s="121" t="n">
        <v>-0.01960313115376133</v>
      </c>
      <c r="H1246" s="122" t="n">
        <v>26.36218593993971</v>
      </c>
      <c r="I1246" s="119" t="n">
        <v>42.95059989929199</v>
      </c>
      <c r="J1246" s="119" t="n">
        <v>52.90094856262207</v>
      </c>
      <c r="K1246" s="121" t="n">
        <v>0.3154374242530593</v>
      </c>
      <c r="L1246" s="121" t="n">
        <v>-0.137165215859558</v>
      </c>
      <c r="M1246" s="121" t="n">
        <v>-0.4742751876493653</v>
      </c>
      <c r="N1246" t="n">
        <v>40.12060545825316</v>
      </c>
      <c r="O1246" t="n">
        <v>-0.1208645663102723</v>
      </c>
      <c r="P1246" t="n">
        <v>185.2101718353853</v>
      </c>
      <c r="Q1246" t="n">
        <v>200.2326373716839</v>
      </c>
    </row>
    <row r="1247">
      <c r="A1247" s="118" t="n">
        <v>46247</v>
      </c>
      <c r="B1247" s="119" t="n">
        <v>40.7400016784668</v>
      </c>
      <c r="C1247" s="119" t="n">
        <v>41.47000122070312</v>
      </c>
      <c r="D1247" s="119" t="n">
        <v>40.47999954223633</v>
      </c>
      <c r="E1247" s="119" t="n">
        <v>41.22999954223633</v>
      </c>
      <c r="F1247" s="120" t="n">
        <v>23641700</v>
      </c>
      <c r="G1247" s="121" t="n">
        <v>0.01777342015638661</v>
      </c>
      <c r="H1247" s="122" t="n">
        <v>26.83073214689105</v>
      </c>
      <c r="I1247" s="119" t="n">
        <v>42.90059989929199</v>
      </c>
      <c r="J1247" s="119" t="n">
        <v>52.769029712677</v>
      </c>
      <c r="K1247" s="121" t="n">
        <v>0.2796052493154543</v>
      </c>
      <c r="L1247" s="121" t="n">
        <v>-0.1218296907154847</v>
      </c>
      <c r="M1247" s="121" t="n">
        <v>-0.4649312596728199</v>
      </c>
      <c r="N1247" t="n">
        <v>44.4370631145358</v>
      </c>
      <c r="O1247" t="n">
        <v>-0.1072412978842392</v>
      </c>
      <c r="P1247" t="n">
        <v>186.5024675956572</v>
      </c>
      <c r="Q1247" t="n">
        <v>202.5484397329296</v>
      </c>
    </row>
    <row r="1248">
      <c r="A1248" s="118" t="n">
        <v>46248</v>
      </c>
      <c r="B1248" s="119" t="n">
        <v>41.22999954223633</v>
      </c>
      <c r="C1248" s="119" t="n">
        <v>41.33000183105469</v>
      </c>
      <c r="D1248" s="119" t="n">
        <v>40.70999908447266</v>
      </c>
      <c r="E1248" s="119" t="n">
        <v>40.72999954223633</v>
      </c>
      <c r="F1248" s="120" t="n">
        <v>23639800</v>
      </c>
      <c r="G1248" s="121" t="n">
        <v>-0.012127092058</v>
      </c>
      <c r="H1248" s="122" t="n">
        <v>26.50535338816216</v>
      </c>
      <c r="I1248" s="119" t="n">
        <v>42.8389998626709</v>
      </c>
      <c r="J1248" s="119" t="n">
        <v>52.63715461730957</v>
      </c>
      <c r="K1248" s="121" t="n">
        <v>0.2762691546718026</v>
      </c>
      <c r="L1248" s="121" t="n">
        <v>-0.1324793428987804</v>
      </c>
      <c r="M1248" s="121" t="n">
        <v>-0.4714200875441258</v>
      </c>
      <c r="N1248" t="n">
        <v>42.16399081508602</v>
      </c>
      <c r="O1248" t="n">
        <v>-0.1215064969931369</v>
      </c>
      <c r="P1248" t="n">
        <v>186.1332465071347</v>
      </c>
      <c r="Q1248" t="n">
        <v>202.271760675317</v>
      </c>
    </row>
    <row r="1249">
      <c r="A1249" s="118" t="n">
        <v>46251</v>
      </c>
      <c r="B1249" s="119" t="n">
        <v>40.34999847412109</v>
      </c>
      <c r="C1249" s="119" t="n">
        <v>40.59999847412109</v>
      </c>
      <c r="D1249" s="119" t="n">
        <v>38.86000061035156</v>
      </c>
      <c r="E1249" s="119" t="n">
        <v>39.09000015258789</v>
      </c>
      <c r="F1249" s="120" t="n">
        <v>58659900</v>
      </c>
      <c r="G1249" s="121" t="n">
        <v>-0.040265146282356</v>
      </c>
      <c r="H1249" s="122" t="n">
        <v>25.43811145672227</v>
      </c>
      <c r="I1249" s="119" t="n">
        <v>42.74839988708496</v>
      </c>
      <c r="J1249" s="119" t="n">
        <v>52.50275392532349</v>
      </c>
      <c r="K1249" s="121" t="n">
        <v>0.3056598442719057</v>
      </c>
      <c r="L1249" s="121" t="n">
        <v>-0.1674101890599267</v>
      </c>
      <c r="M1249" s="121" t="n">
        <v>-0.4927034350410765</v>
      </c>
      <c r="N1249" t="n">
        <v>35.71141236611689</v>
      </c>
      <c r="O1249" t="n">
        <v>-0.2249790018701634</v>
      </c>
      <c r="P1249" t="n">
        <v>185.253326406748</v>
      </c>
      <c r="Q1249" t="n">
        <v>201.9397424287519</v>
      </c>
    </row>
    <row r="1250">
      <c r="A1250" s="118" t="n">
        <v>46252</v>
      </c>
      <c r="B1250" s="119" t="n">
        <v>39.65000152587891</v>
      </c>
      <c r="C1250" s="119" t="n">
        <v>40.63999938964844</v>
      </c>
      <c r="D1250" s="119" t="n">
        <v>39.22999954223633</v>
      </c>
      <c r="E1250" s="119" t="n">
        <v>40.06000137329102</v>
      </c>
      <c r="F1250" s="120" t="n">
        <v>39173300</v>
      </c>
      <c r="G1250" s="121" t="n">
        <v>0.02481456170163021</v>
      </c>
      <c r="H1250" s="122" t="n">
        <v>26.06934704303805</v>
      </c>
      <c r="I1250" s="119" t="n">
        <v>42.68999992370605</v>
      </c>
      <c r="J1250" s="119" t="n">
        <v>52.3833780670166</v>
      </c>
      <c r="K1250" s="121" t="n">
        <v>0.3222521111788715</v>
      </c>
      <c r="L1250" s="121" t="n">
        <v>-0.1467498378242055</v>
      </c>
      <c r="M1250" s="121" t="n">
        <v>-0.4801150931288782</v>
      </c>
      <c r="N1250" t="n">
        <v>41.42150400326999</v>
      </c>
      <c r="O1250" t="n">
        <v>-0.2118638039149427</v>
      </c>
      <c r="P1250" t="n">
        <v>184.0017999363427</v>
      </c>
      <c r="Q1250" t="n">
        <v>198.5199933295758</v>
      </c>
    </row>
    <row r="1251">
      <c r="A1251" s="118" t="n">
        <v>46253</v>
      </c>
      <c r="B1251" s="119" t="n">
        <v>40.52999877929688</v>
      </c>
      <c r="C1251" s="119" t="n">
        <v>41.31000137329102</v>
      </c>
      <c r="D1251" s="119" t="n">
        <v>40.36999893188477</v>
      </c>
      <c r="E1251" s="119" t="n">
        <v>41.04999923706055</v>
      </c>
      <c r="F1251" s="120" t="n">
        <v>22055700</v>
      </c>
      <c r="G1251" s="121" t="n">
        <v>0.02471287643114239</v>
      </c>
      <c r="H1251" s="122" t="n">
        <v>26.71359559515322</v>
      </c>
      <c r="I1251" s="119" t="n">
        <v>42.64639991760254</v>
      </c>
      <c r="J1251" s="119" t="n">
        <v>52.27115348815918</v>
      </c>
      <c r="K1251" s="121" t="n">
        <v>0.3322759738549279</v>
      </c>
      <c r="L1251" s="121" t="n">
        <v>-0.1256635720015028</v>
      </c>
      <c r="M1251" s="121" t="n">
        <v>-0.4672672416669563</v>
      </c>
      <c r="N1251" t="n">
        <v>46.63153781759963</v>
      </c>
      <c r="O1251" t="n">
        <v>-0.1246021933427912</v>
      </c>
      <c r="P1251" t="n">
        <v>184.387805797111</v>
      </c>
      <c r="Q1251" t="n">
        <v>198.1243443036477</v>
      </c>
    </row>
    <row r="1252">
      <c r="A1252" s="118" t="n">
        <v>46254</v>
      </c>
      <c r="B1252" s="119" t="n">
        <v>40.4900016784668</v>
      </c>
      <c r="C1252" s="119" t="n">
        <v>40.63999938964844</v>
      </c>
      <c r="D1252" s="119" t="n">
        <v>39.81000137329102</v>
      </c>
      <c r="E1252" s="119" t="n">
        <v>40.20999908447266</v>
      </c>
      <c r="F1252" s="120" t="n">
        <v>16662100</v>
      </c>
      <c r="G1252" s="121" t="n">
        <v>-0.0204628542801415</v>
      </c>
      <c r="H1252" s="122" t="n">
        <v>26.16695918119098</v>
      </c>
      <c r="I1252" s="119" t="n">
        <v>42.55759986877442</v>
      </c>
      <c r="J1252" s="119" t="n">
        <v>52.15624538421631</v>
      </c>
      <c r="K1252" s="121" t="n">
        <v>0.3241895066835537</v>
      </c>
      <c r="L1252" s="121" t="n">
        <v>-0.1435549909194554</v>
      </c>
      <c r="M1252" s="121" t="n">
        <v>-0.4781684744709832</v>
      </c>
      <c r="N1252" t="n">
        <v>43.12662224808624</v>
      </c>
      <c r="O1252" t="n">
        <v>-0.1119436502080668</v>
      </c>
      <c r="P1252" t="n">
        <v>182.838967890159</v>
      </c>
      <c r="Q1252" t="n">
        <v>196.6994404020829</v>
      </c>
    </row>
    <row r="1253">
      <c r="A1253" s="118" t="n">
        <v>46255</v>
      </c>
      <c r="B1253" s="119" t="n">
        <v>40.2599983215332</v>
      </c>
      <c r="C1253" s="119" t="n">
        <v>41.13000106811523</v>
      </c>
      <c r="D1253" s="119" t="n">
        <v>40.2400016784668</v>
      </c>
      <c r="E1253" s="119" t="n">
        <v>40.7599983215332</v>
      </c>
      <c r="F1253" s="120" t="n">
        <v>14707800</v>
      </c>
      <c r="G1253" s="121" t="n">
        <v>0.0136781708426581</v>
      </c>
      <c r="H1253" s="122" t="n">
        <v>26.52487531930417</v>
      </c>
      <c r="I1253" s="119" t="n">
        <v>42.49359985351563</v>
      </c>
      <c r="J1253" s="119" t="n">
        <v>52.05357725143433</v>
      </c>
      <c r="K1253" s="121" t="n">
        <v>0.3217430510658292</v>
      </c>
      <c r="L1253" s="121" t="n">
        <v>-0.1318403897679099</v>
      </c>
      <c r="M1253" s="121" t="n">
        <v>-0.4710307737137124</v>
      </c>
      <c r="N1253" t="n">
        <v>45.98912830791386</v>
      </c>
      <c r="O1253" t="n">
        <v>-0.05774679021186968</v>
      </c>
      <c r="P1253" t="n">
        <v>183.5870097277037</v>
      </c>
      <c r="Q1253" t="n">
        <v>197.3939075386345</v>
      </c>
    </row>
    <row r="1254">
      <c r="A1254" s="118" t="n">
        <v>46258</v>
      </c>
      <c r="B1254" s="119" t="n">
        <v>41</v>
      </c>
      <c r="C1254" s="119" t="n">
        <v>41.34000015258789</v>
      </c>
      <c r="D1254" s="119" t="n">
        <v>40.68000030517578</v>
      </c>
      <c r="E1254" s="119" t="n">
        <v>40.75</v>
      </c>
      <c r="F1254" s="120" t="n">
        <v>18839100</v>
      </c>
      <c r="G1254" s="121" t="n">
        <v>-0.0002452973980600071</v>
      </c>
      <c r="H1254" s="122" t="n">
        <v>26.51836883640447</v>
      </c>
      <c r="I1254" s="119" t="n">
        <v>42.38939987182617</v>
      </c>
      <c r="J1254" s="119" t="n">
        <v>51.95780540466308</v>
      </c>
      <c r="K1254" s="121" t="n">
        <v>0.3188968516611089</v>
      </c>
      <c r="L1254" s="121" t="n">
        <v>-0.1133594253319474</v>
      </c>
      <c r="M1254" s="121" t="n">
        <v>-0.4711605284885741</v>
      </c>
      <c r="N1254" t="n">
        <v>45.94385788539689</v>
      </c>
      <c r="O1254" t="n">
        <v>-0.01596172621207514</v>
      </c>
      <c r="P1254" t="n">
        <v>183.0475556352265</v>
      </c>
      <c r="Q1254" t="n">
        <v>195.4239539994046</v>
      </c>
    </row>
    <row r="1255">
      <c r="A1255" s="118" t="n">
        <v>46259</v>
      </c>
      <c r="B1255" s="119" t="n">
        <v>39.51499938964844</v>
      </c>
      <c r="C1255" s="119" t="n">
        <v>39.8650016784668</v>
      </c>
      <c r="D1255" s="119" t="n">
        <v>39.02999877929688</v>
      </c>
      <c r="E1255" s="119" t="n">
        <v>39.47999954223633</v>
      </c>
      <c r="F1255" s="120" t="n">
        <v>41418729</v>
      </c>
      <c r="G1255" s="121" t="n">
        <v>-0.03116565540524352</v>
      </c>
      <c r="H1255" s="122" t="n">
        <v>25.69190649133994</v>
      </c>
      <c r="I1255" s="119" t="n">
        <v>42.28039985656739</v>
      </c>
      <c r="J1255" s="119" t="n">
        <v>51.85137882232666</v>
      </c>
      <c r="K1255" s="121" t="n">
        <v>0.3232191359149357</v>
      </c>
      <c r="L1255" s="121" t="n">
        <v>-0.140992159950359</v>
      </c>
      <c r="M1255" s="121" t="n">
        <v>-0.4876421572223903</v>
      </c>
      <c r="N1255" t="n">
        <v>40.49149620864235</v>
      </c>
      <c r="O1255" t="n">
        <v>-0.06452059032451907</v>
      </c>
      <c r="P1255" t="n">
        <v>183.6325642141914</v>
      </c>
      <c r="Q1255" t="n">
        <v>196.6413317206104</v>
      </c>
    </row>
  </sheetData>
  <autoFilter ref="A1:Q1"/>
  <conditionalFormatting sqref="G2:G1255">
    <cfRule type="colorScale" priority="1">
      <colorScale>
        <cfvo type="num" val="-0.05"/>
        <cfvo type="num" val="0"/>
        <cfvo type="num" val="0.05"/>
        <color rgb="00FFAAAA"/>
        <color rgb="00FFFFFF"/>
        <color rgb="00AAFFAA"/>
      </colorScale>
    </cfRule>
  </conditionalFormatting>
  <conditionalFormatting sqref="N2:N1255">
    <cfRule type="cellIs" priority="2" operator="greaterThan" dxfId="2">
      <formula>70</formula>
    </cfRule>
    <cfRule type="cellIs" priority="3" operator="lessThan" dxfId="3">
      <formula>30</formula>
    </cfRule>
  </conditionalFormatting>
  <pageMargins left="0.75" right="0.75" top="1" bottom="1" header="0.5" footer="0.5"/>
</worksheet>
</file>

<file path=xl/worksheets/sheet7.xml><?xml version="1.0" encoding="utf-8"?>
<worksheet xmlns="http://schemas.openxmlformats.org/spreadsheetml/2006/main">
  <sheetPr>
    <outlinePr summaryBelow="1" summaryRight="1"/>
    <pageSetUpPr/>
  </sheetPr>
  <dimension ref="A1:G15"/>
  <sheetViews>
    <sheetView workbookViewId="0">
      <pane ySplit="1" topLeftCell="A2" activePane="bottomLeft" state="frozen"/>
      <selection pane="bottomLeft" activeCell="A1" sqref="A1"/>
    </sheetView>
  </sheetViews>
  <sheetFormatPr baseColWidth="8" defaultRowHeight="15"/>
  <cols>
    <col width="18" customWidth="1" min="1" max="1"/>
    <col width="74" customWidth="1" min="2" max="2"/>
    <col width="20" customWidth="1" min="3" max="3"/>
    <col width="12" customWidth="1" min="4" max="4"/>
    <col width="11" customWidth="1" min="5" max="5"/>
    <col width="11" customWidth="1" min="6" max="6"/>
    <col width="14" customWidth="1" min="7" max="7"/>
  </cols>
  <sheetData>
    <row r="1">
      <c r="A1" s="117" t="inlineStr">
        <is>
          <t>Date</t>
        </is>
      </c>
      <c r="B1" s="117" t="inlineStr">
        <is>
          <t>Headline</t>
        </is>
      </c>
      <c r="C1" s="117" t="inlineStr">
        <is>
          <t>Publisher</t>
        </is>
      </c>
      <c r="D1" s="117" t="inlineStr">
        <is>
          <t>Theme</t>
        </is>
      </c>
      <c r="E1" s="117" t="inlineStr">
        <is>
          <t>Sentiment</t>
        </is>
      </c>
      <c r="F1" s="117" t="inlineStr">
        <is>
          <t>Relevance</t>
        </is>
      </c>
      <c r="G1" s="117" t="inlineStr">
        <is>
          <t>URL</t>
        </is>
      </c>
    </row>
    <row r="2">
      <c r="A2" s="123" t="n">
        <v>46259</v>
      </c>
      <c r="B2" s="18" t="inlineStr">
        <is>
          <t>Nike (NKE) Stock Slides as Market Rises: Facts to Know Before You Trade</t>
        </is>
      </c>
      <c r="C2" s="18" t="inlineStr">
        <is>
          <t>Yahoo Finance</t>
        </is>
      </c>
      <c r="D2" s="18" t="inlineStr">
        <is>
          <t>General</t>
        </is>
      </c>
      <c r="E2" s="124" t="inlineStr">
        <is>
          <t>Neutral</t>
        </is>
      </c>
      <c r="F2" s="125" t="inlineStr">
        <is>
          <t>High</t>
        </is>
      </c>
      <c r="G2" s="126" t="inlineStr">
        <is>
          <t>Open article</t>
        </is>
      </c>
    </row>
    <row r="3">
      <c r="A3" s="127" t="n">
        <v>46259</v>
      </c>
      <c r="B3" s="29" t="inlineStr">
        <is>
          <t>Nike Stock Slides After Dick's Disappointing Q2 Results</t>
        </is>
      </c>
      <c r="C3" s="29" t="inlineStr">
        <is>
          <t>Benzinga</t>
        </is>
      </c>
      <c r="D3" s="29" t="inlineStr">
        <is>
          <t>Earnings</t>
        </is>
      </c>
      <c r="E3" s="124" t="inlineStr">
        <is>
          <t>Neutral</t>
        </is>
      </c>
      <c r="F3" s="128" t="inlineStr">
        <is>
          <t>High</t>
        </is>
      </c>
      <c r="G3" s="129" t="inlineStr">
        <is>
          <t>Open article</t>
        </is>
      </c>
    </row>
    <row r="4">
      <c r="A4" s="123" t="n">
        <v>46259</v>
      </c>
      <c r="B4" s="18" t="inlineStr">
        <is>
          <t>Is Nike’s (NKE) Crenshaw Rec Bet a Blueprint for Deeper Community‑Driven Brand Moats?</t>
        </is>
      </c>
      <c r="C4" s="18" t="inlineStr">
        <is>
          <t>simplywall.st</t>
        </is>
      </c>
      <c r="D4" s="18" t="inlineStr">
        <is>
          <t>General</t>
        </is>
      </c>
      <c r="E4" s="124" t="inlineStr">
        <is>
          <t>Neutral</t>
        </is>
      </c>
      <c r="F4" s="125" t="inlineStr">
        <is>
          <t>High</t>
        </is>
      </c>
      <c r="G4" s="126" t="inlineStr">
        <is>
          <t>Open article</t>
        </is>
      </c>
    </row>
    <row r="5">
      <c r="A5" s="127" t="n">
        <v>46259</v>
      </c>
      <c r="B5" s="29" t="inlineStr">
        <is>
          <t>Dividend Aristocrat or Dividend Cuts: How to Evaluate the NKE Stock Payout as the Nike Turnaround Drags On</t>
        </is>
      </c>
      <c r="C5" s="29" t="inlineStr">
        <is>
          <t>Barchart.com</t>
        </is>
      </c>
      <c r="D5" s="29" t="inlineStr">
        <is>
          <t>Capital Return</t>
        </is>
      </c>
      <c r="E5" s="130" t="inlineStr">
        <is>
          <t>Negative</t>
        </is>
      </c>
      <c r="F5" s="128" t="inlineStr">
        <is>
          <t>High</t>
        </is>
      </c>
      <c r="G5" s="129" t="inlineStr">
        <is>
          <t>Open article</t>
        </is>
      </c>
    </row>
    <row r="6">
      <c r="A6" s="123" t="n">
        <v>46259</v>
      </c>
      <c r="B6" s="18" t="inlineStr">
        <is>
          <t>S&amp;P 500, Nasdaq End Week Lower As Investors Rotate Out Of Tech, AI Plays — ON, AAPL, SLS, INFQ, NKE in Focus</t>
        </is>
      </c>
      <c r="C6" s="18" t="inlineStr">
        <is>
          <t>Stocktwits</t>
        </is>
      </c>
      <c r="D6" s="18" t="inlineStr">
        <is>
          <t>General</t>
        </is>
      </c>
      <c r="E6" s="124" t="inlineStr">
        <is>
          <t>Neutral</t>
        </is>
      </c>
      <c r="F6" s="125" t="inlineStr">
        <is>
          <t>High</t>
        </is>
      </c>
      <c r="G6" s="126" t="inlineStr">
        <is>
          <t>Open article</t>
        </is>
      </c>
    </row>
    <row r="7">
      <c r="A7" s="127" t="n">
        <v>46259</v>
      </c>
      <c r="B7" s="29" t="inlineStr">
        <is>
          <t>Jones Financial Companies Lllp Invests $1.97 Million in NIKE, Inc. $NKE</t>
        </is>
      </c>
      <c r="C7" s="29" t="inlineStr">
        <is>
          <t>MarketBeat</t>
        </is>
      </c>
      <c r="D7" s="29" t="inlineStr">
        <is>
          <t>General</t>
        </is>
      </c>
      <c r="E7" s="124" t="inlineStr">
        <is>
          <t>Neutral</t>
        </is>
      </c>
      <c r="F7" s="128" t="inlineStr">
        <is>
          <t>High</t>
        </is>
      </c>
      <c r="G7" s="129" t="inlineStr">
        <is>
          <t>Open article</t>
        </is>
      </c>
    </row>
    <row r="8">
      <c r="A8" s="123" t="n">
        <v>46258</v>
      </c>
      <c r="B8" s="18" t="inlineStr">
        <is>
          <t>NKE Looks 44.1% Undervalued on GF Value™ as Dividend Yield Nears 10-Year High</t>
        </is>
      </c>
      <c r="C8" s="18" t="inlineStr">
        <is>
          <t>GuruFocus</t>
        </is>
      </c>
      <c r="D8" s="18" t="inlineStr">
        <is>
          <t>Capital Return</t>
        </is>
      </c>
      <c r="E8" s="131" t="inlineStr">
        <is>
          <t>Positive</t>
        </is>
      </c>
      <c r="F8" s="125" t="inlineStr">
        <is>
          <t>High</t>
        </is>
      </c>
      <c r="G8" s="126" t="inlineStr">
        <is>
          <t>Open article</t>
        </is>
      </c>
    </row>
    <row r="9">
      <c r="A9" s="127" t="n">
        <v>46258</v>
      </c>
      <c r="B9" s="29" t="inlineStr">
        <is>
          <t>How much will 100 NKE shares earn when Nike pays its next hiked dividend?</t>
        </is>
      </c>
      <c r="C9" s="29" t="inlineStr">
        <is>
          <t>Finbold</t>
        </is>
      </c>
      <c r="D9" s="29" t="inlineStr">
        <is>
          <t>Capital Return</t>
        </is>
      </c>
      <c r="E9" s="124" t="inlineStr">
        <is>
          <t>Neutral</t>
        </is>
      </c>
      <c r="F9" s="128" t="inlineStr">
        <is>
          <t>High</t>
        </is>
      </c>
      <c r="G9" s="129" t="inlineStr">
        <is>
          <t>Open article</t>
        </is>
      </c>
    </row>
    <row r="10">
      <c r="A10" s="123" t="n">
        <v>46257</v>
      </c>
      <c r="B10" s="18" t="inlineStr">
        <is>
          <t>Why Is Nike Stock Declining, and is it a Generational Buying Opportunity?</t>
        </is>
      </c>
      <c r="C10" s="18" t="inlineStr">
        <is>
          <t>The Motley Fool</t>
        </is>
      </c>
      <c r="D10" s="18" t="inlineStr">
        <is>
          <t>General</t>
        </is>
      </c>
      <c r="E10" s="130" t="inlineStr">
        <is>
          <t>Negative</t>
        </is>
      </c>
      <c r="F10" s="125" t="inlineStr">
        <is>
          <t>High</t>
        </is>
      </c>
      <c r="G10" s="126" t="inlineStr">
        <is>
          <t>Open article</t>
        </is>
      </c>
    </row>
    <row r="11">
      <c r="A11" s="127" t="n">
        <v>46255</v>
      </c>
      <c r="B11" s="29" t="inlineStr">
        <is>
          <t>Nike: More Pain Ahead Before A Revival, If At All (NYSE:NKE)</t>
        </is>
      </c>
      <c r="C11" s="29" t="inlineStr">
        <is>
          <t>Seeking Alpha</t>
        </is>
      </c>
      <c r="D11" s="29" t="inlineStr">
        <is>
          <t>General</t>
        </is>
      </c>
      <c r="E11" s="124" t="inlineStr">
        <is>
          <t>Neutral</t>
        </is>
      </c>
      <c r="F11" s="128" t="inlineStr">
        <is>
          <t>High</t>
        </is>
      </c>
      <c r="G11" s="129" t="inlineStr">
        <is>
          <t>Open article</t>
        </is>
      </c>
    </row>
    <row r="12">
      <c r="A12" s="123" t="n">
        <v>46254</v>
      </c>
      <c r="B12" s="18" t="inlineStr">
        <is>
          <t>Nike Stock (NKE) Opinions on Prolonged Stock Decline</t>
        </is>
      </c>
      <c r="C12" s="18" t="inlineStr">
        <is>
          <t>Quiver Quantitative</t>
        </is>
      </c>
      <c r="D12" s="18" t="inlineStr">
        <is>
          <t>General</t>
        </is>
      </c>
      <c r="E12" s="130" t="inlineStr">
        <is>
          <t>Negative</t>
        </is>
      </c>
      <c r="F12" s="125" t="inlineStr">
        <is>
          <t>High</t>
        </is>
      </c>
      <c r="G12" s="126" t="inlineStr">
        <is>
          <t>Open article</t>
        </is>
      </c>
    </row>
    <row r="13">
      <c r="A13" s="127" t="n">
        <v>46253</v>
      </c>
      <c r="B13" s="29" t="inlineStr">
        <is>
          <t>Nike Inc. Cl B stock outperforms competitors on strong trading day</t>
        </is>
      </c>
      <c r="C13" s="29" t="inlineStr">
        <is>
          <t>MarketWatch</t>
        </is>
      </c>
      <c r="D13" s="29" t="inlineStr">
        <is>
          <t>General</t>
        </is>
      </c>
      <c r="E13" s="131" t="inlineStr">
        <is>
          <t>Positive</t>
        </is>
      </c>
      <c r="F13" s="128" t="inlineStr">
        <is>
          <t>High</t>
        </is>
      </c>
      <c r="G13" s="129" t="inlineStr">
        <is>
          <t>Open article</t>
        </is>
      </c>
    </row>
    <row r="14">
      <c r="A14" s="123" t="n">
        <v>46244</v>
      </c>
      <c r="B14" s="18" t="inlineStr">
        <is>
          <t>8-K filing — 8-K</t>
        </is>
      </c>
      <c r="C14" s="18" t="inlineStr">
        <is>
          <t>SEC EDGAR</t>
        </is>
      </c>
      <c r="D14" s="18" t="inlineStr">
        <is>
          <t>General</t>
        </is>
      </c>
      <c r="E14" s="124" t="inlineStr">
        <is>
          <t>Neutral</t>
        </is>
      </c>
      <c r="F14" s="125" t="inlineStr">
        <is>
          <t>High</t>
        </is>
      </c>
      <c r="G14" s="126" t="inlineStr">
        <is>
          <t>Open article</t>
        </is>
      </c>
    </row>
    <row r="15">
      <c r="A15" s="127" t="n">
        <v>46216</v>
      </c>
      <c r="B15" s="29" t="inlineStr">
        <is>
          <t>Nike’s $40 Floor Reflects Deep Value but Not Yet a Confirmed Recovery</t>
        </is>
      </c>
      <c r="C15" s="29" t="inlineStr">
        <is>
          <t>Investing.com</t>
        </is>
      </c>
      <c r="D15" s="29" t="inlineStr">
        <is>
          <t>Earnings</t>
        </is>
      </c>
      <c r="E15" s="124" t="inlineStr">
        <is>
          <t>Neutral</t>
        </is>
      </c>
      <c r="F15" s="128" t="inlineStr">
        <is>
          <t>High</t>
        </is>
      </c>
      <c r="G15" s="129" t="inlineStr">
        <is>
          <t>Open article</t>
        </is>
      </c>
    </row>
  </sheetData>
  <autoFilter ref="A1:G1"/>
  <hyperlinks>
    <hyperlink xmlns:r="http://schemas.openxmlformats.org/officeDocument/2006/relationships" ref="G2" r:id="rId1"/>
    <hyperlink xmlns:r="http://schemas.openxmlformats.org/officeDocument/2006/relationships" ref="G3" r:id="rId2"/>
    <hyperlink xmlns:r="http://schemas.openxmlformats.org/officeDocument/2006/relationships" ref="G4" r:id="rId3"/>
    <hyperlink xmlns:r="http://schemas.openxmlformats.org/officeDocument/2006/relationships" ref="G5" r:id="rId4"/>
    <hyperlink xmlns:r="http://schemas.openxmlformats.org/officeDocument/2006/relationships" ref="G6" r:id="rId5"/>
    <hyperlink xmlns:r="http://schemas.openxmlformats.org/officeDocument/2006/relationships" ref="G7" r:id="rId6"/>
    <hyperlink xmlns:r="http://schemas.openxmlformats.org/officeDocument/2006/relationships" ref="G8" r:id="rId7"/>
    <hyperlink xmlns:r="http://schemas.openxmlformats.org/officeDocument/2006/relationships" ref="G9" r:id="rId8"/>
    <hyperlink xmlns:r="http://schemas.openxmlformats.org/officeDocument/2006/relationships" ref="G10" r:id="rId9"/>
    <hyperlink xmlns:r="http://schemas.openxmlformats.org/officeDocument/2006/relationships" ref="G11" r:id="rId10"/>
    <hyperlink xmlns:r="http://schemas.openxmlformats.org/officeDocument/2006/relationships" ref="G12" r:id="rId11"/>
    <hyperlink xmlns:r="http://schemas.openxmlformats.org/officeDocument/2006/relationships" ref="G13" r:id="rId12"/>
    <hyperlink xmlns:r="http://schemas.openxmlformats.org/officeDocument/2006/relationships" ref="G14" r:id="rId13"/>
    <hyperlink xmlns:r="http://schemas.openxmlformats.org/officeDocument/2006/relationships" ref="G15" r:id="rId14"/>
  </hyperlink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F5"/>
  <sheetViews>
    <sheetView workbookViewId="0">
      <pane ySplit="1" topLeftCell="A2" activePane="bottomLeft" state="frozen"/>
      <selection pane="bottomLeft" activeCell="A1" sqref="A1"/>
    </sheetView>
  </sheetViews>
  <sheetFormatPr baseColWidth="8" defaultRowHeight="15"/>
  <cols>
    <col width="9" customWidth="1" min="1" max="1"/>
    <col width="27" customWidth="1" min="2" max="2"/>
    <col width="11" customWidth="1" min="3" max="3"/>
    <col width="18" customWidth="1" min="4" max="4"/>
    <col width="12" customWidth="1" min="5" max="5"/>
    <col width="10" customWidth="1" min="6" max="6"/>
  </cols>
  <sheetData>
    <row r="1">
      <c r="A1" s="31" t="inlineStr">
        <is>
          <t>Ticker</t>
        </is>
      </c>
      <c r="B1" s="31" t="inlineStr">
        <is>
          <t>Company</t>
        </is>
      </c>
      <c r="C1" s="31" t="inlineStr">
        <is>
          <t>Exchange</t>
        </is>
      </c>
      <c r="D1" s="31" t="inlineStr">
        <is>
          <t>Market Cap ($B)</t>
        </is>
      </c>
      <c r="E1" s="31" t="inlineStr">
        <is>
          <t>Employees</t>
        </is>
      </c>
      <c r="F1" s="31" t="inlineStr">
        <is>
          <t>Country</t>
        </is>
      </c>
    </row>
    <row r="2">
      <c r="A2" s="132" t="inlineStr">
        <is>
          <t>NKE</t>
        </is>
      </c>
      <c r="B2" s="132" t="inlineStr">
        <is>
          <t>Nike, Inc.</t>
        </is>
      </c>
      <c r="C2" s="132" t="inlineStr">
        <is>
          <t>XNYS</t>
        </is>
      </c>
      <c r="D2" s="132" t="n">
        <v>60.45</v>
      </c>
      <c r="E2" s="132" t="n">
        <v>73000</v>
      </c>
      <c r="F2" s="132" t="inlineStr">
        <is>
          <t>us</t>
        </is>
      </c>
    </row>
    <row r="3">
      <c r="A3" s="15" t="inlineStr">
        <is>
          <t>ADDYY</t>
        </is>
      </c>
      <c r="B3" s="15" t="inlineStr">
        <is>
          <t>ADIDAS AG S/ADR</t>
        </is>
      </c>
      <c r="C3" s="15" t="inlineStr">
        <is>
          <t>OTC Link</t>
        </is>
      </c>
      <c r="D3" s="15" t="inlineStr">
        <is>
          <t>N/A</t>
        </is>
      </c>
      <c r="E3" s="15" t="inlineStr">
        <is>
          <t>N/A</t>
        </is>
      </c>
      <c r="F3" s="15" t="inlineStr">
        <is>
          <t>us</t>
        </is>
      </c>
    </row>
    <row r="4">
      <c r="A4" s="18" t="inlineStr">
        <is>
          <t>UAA</t>
        </is>
      </c>
      <c r="B4" s="18" t="inlineStr">
        <is>
          <t>Under Armour, Inc.</t>
        </is>
      </c>
      <c r="C4" s="18" t="inlineStr">
        <is>
          <t>XNYS</t>
        </is>
      </c>
      <c r="D4" s="18" t="n">
        <v>2.31</v>
      </c>
      <c r="E4" s="18" t="n">
        <v>14100</v>
      </c>
      <c r="F4" s="18" t="inlineStr">
        <is>
          <t>us</t>
        </is>
      </c>
    </row>
    <row r="5">
      <c r="A5" s="15" t="inlineStr">
        <is>
          <t>LULU</t>
        </is>
      </c>
      <c r="B5" s="15" t="inlineStr">
        <is>
          <t>lululemon athletica inc.</t>
        </is>
      </c>
      <c r="C5" s="15" t="inlineStr">
        <is>
          <t>XNAS</t>
        </is>
      </c>
      <c r="D5" s="15" t="n">
        <v>13.94</v>
      </c>
      <c r="E5" s="15" t="n">
        <v>39000</v>
      </c>
      <c r="F5" s="15" t="inlineStr">
        <is>
          <t>us</t>
        </is>
      </c>
    </row>
  </sheetData>
  <autoFilter ref="A1:F1"/>
  <pageMargins left="0.75" right="0.75" top="1" bottom="1" header="0.5" footer="0.5"/>
</worksheet>
</file>

<file path=xl/worksheets/sheet9.xml><?xml version="1.0" encoding="utf-8"?>
<worksheet xmlns="http://schemas.openxmlformats.org/spreadsheetml/2006/main">
  <sheetPr>
    <outlinePr summaryBelow="1" summaryRight="1"/>
    <pageSetUpPr/>
  </sheetPr>
  <dimension ref="A1:D5"/>
  <sheetViews>
    <sheetView workbookViewId="0">
      <selection activeCell="A1" sqref="A1"/>
    </sheetView>
  </sheetViews>
  <sheetFormatPr baseColWidth="8" defaultRowHeight="15"/>
  <cols>
    <col width="28" customWidth="1" min="1" max="1"/>
    <col width="9" customWidth="1" min="2" max="2"/>
    <col width="9" customWidth="1" min="3" max="3"/>
    <col width="9" customWidth="1" min="4" max="4"/>
  </cols>
  <sheetData>
    <row r="1">
      <c r="A1" s="7" t="inlineStr">
        <is>
          <t>Correlation Matrix (Daily Returns)</t>
        </is>
      </c>
    </row>
    <row r="2">
      <c r="B2" s="31" t="inlineStr">
        <is>
          <t>NKE</t>
        </is>
      </c>
      <c r="C2" s="31" t="inlineStr">
        <is>
          <t>SPY</t>
        </is>
      </c>
      <c r="D2" s="31" t="inlineStr">
        <is>
          <t>QQQ</t>
        </is>
      </c>
    </row>
    <row r="3">
      <c r="A3" s="31" t="inlineStr">
        <is>
          <t>NKE</t>
        </is>
      </c>
      <c r="B3" s="133" t="n">
        <v>1</v>
      </c>
      <c r="C3" s="133" t="n">
        <v>0.5137</v>
      </c>
      <c r="D3" s="133" t="n">
        <v>0.4518</v>
      </c>
    </row>
    <row r="4">
      <c r="A4" s="31" t="inlineStr">
        <is>
          <t>SPY</t>
        </is>
      </c>
      <c r="B4" s="133" t="n">
        <v>0.5137</v>
      </c>
      <c r="C4" s="133" t="n">
        <v>1</v>
      </c>
      <c r="D4" s="133" t="n">
        <v>0.9502</v>
      </c>
    </row>
    <row r="5">
      <c r="A5" s="31" t="inlineStr">
        <is>
          <t>QQQ</t>
        </is>
      </c>
      <c r="B5" s="133" t="n">
        <v>0.4518</v>
      </c>
      <c r="C5" s="133" t="n">
        <v>0.9502</v>
      </c>
      <c r="D5" s="133" t="n">
        <v>1</v>
      </c>
    </row>
  </sheetData>
  <mergeCells count="1">
    <mergeCell ref="A1:D1"/>
  </mergeCells>
  <conditionalFormatting sqref="B3:D5">
    <cfRule type="colorScale" priority="1">
      <colorScale>
        <cfvo type="num" val="-1"/>
        <cfvo type="num" val="0"/>
        <cfvo type="num" val="1"/>
        <color rgb="00FF9999"/>
        <color rgb="00FFFFFF"/>
        <color rgb="0099CCFF"/>
      </colorScale>
    </cfRule>
  </conditionalFormatting>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F273"/>
  <sheetViews>
    <sheetView workbookViewId="0">
      <pane ySplit="20" topLeftCell="A21" activePane="bottomLeft" state="frozen"/>
      <selection pane="bottomLeft" activeCell="A1" sqref="A1"/>
    </sheetView>
  </sheetViews>
  <sheetFormatPr baseColWidth="8" defaultRowHeight="15"/>
  <cols>
    <col width="8" customWidth="1" min="1" max="1"/>
    <col width="13" customWidth="1" min="2" max="2"/>
    <col width="13" customWidth="1" min="3" max="3"/>
    <col width="13" customWidth="1" min="4" max="4"/>
    <col width="13" customWidth="1" min="5" max="5"/>
    <col width="13" customWidth="1" min="6" max="6"/>
  </cols>
  <sheetData>
    <row r="1">
      <c r="A1" s="134" t="inlineStr">
        <is>
          <t>Monte Carlo Simulation Summary</t>
        </is>
      </c>
    </row>
    <row r="2">
      <c r="A2" s="31" t="inlineStr">
        <is>
          <t>Field</t>
        </is>
      </c>
      <c r="B2" s="31" t="inlineStr">
        <is>
          <t>Value</t>
        </is>
      </c>
    </row>
    <row r="3">
      <c r="A3" s="135" t="inlineStr">
        <is>
          <t>Last Price</t>
        </is>
      </c>
      <c r="B3" s="136" t="n">
        <v>39.48</v>
      </c>
    </row>
    <row r="4">
      <c r="A4" s="135" t="inlineStr">
        <is>
          <t>Forecast Horizon (days)</t>
        </is>
      </c>
      <c r="B4" s="137" t="n">
        <v>252</v>
      </c>
    </row>
    <row r="5">
      <c r="A5" s="135" t="inlineStr">
        <is>
          <t>Simulations</t>
        </is>
      </c>
      <c r="B5" s="137" t="n">
        <v>1000</v>
      </c>
    </row>
    <row r="6">
      <c r="A6" s="135" t="inlineStr">
        <is>
          <t>Mean Forecast</t>
        </is>
      </c>
      <c r="B6" s="136" t="n">
        <v>43.74</v>
      </c>
    </row>
    <row r="7">
      <c r="A7" s="135" t="inlineStr">
        <is>
          <t>Median (P50)</t>
        </is>
      </c>
      <c r="B7" s="136" t="n">
        <v>40.56</v>
      </c>
    </row>
    <row r="8">
      <c r="A8" s="135" t="inlineStr">
        <is>
          <t>Bear Case (P5)</t>
        </is>
      </c>
      <c r="B8" s="136" t="n">
        <v>22.97</v>
      </c>
    </row>
    <row r="9">
      <c r="A9" s="135" t="inlineStr">
        <is>
          <t>Low Case (P25)</t>
        </is>
      </c>
      <c r="B9" s="136" t="n">
        <v>32.03</v>
      </c>
    </row>
    <row r="10">
      <c r="A10" s="135" t="inlineStr">
        <is>
          <t>Bull Case (P75)</t>
        </is>
      </c>
      <c r="B10" s="136" t="n">
        <v>53.14</v>
      </c>
    </row>
    <row r="11">
      <c r="A11" s="135" t="inlineStr">
        <is>
          <t>Best Case (P95)</t>
        </is>
      </c>
      <c r="B11" s="136" t="n">
        <v>72.66</v>
      </c>
    </row>
    <row r="12">
      <c r="A12" s="135" t="inlineStr">
        <is>
          <t>Prob. of Gain</t>
        </is>
      </c>
      <c r="B12" s="138" t="n">
        <v>0.53</v>
      </c>
    </row>
    <row r="13">
      <c r="A13" s="135" t="inlineStr">
        <is>
          <t>Ann. Volatility</t>
        </is>
      </c>
      <c r="B13" s="138" t="n">
        <v>0.3573</v>
      </c>
    </row>
    <row r="14">
      <c r="A14" s="135" t="inlineStr">
        <is>
          <t>Expected Return (CAPM)</t>
        </is>
      </c>
      <c r="B14" s="138" t="n">
        <v>0.099</v>
      </c>
    </row>
    <row r="15">
      <c r="A15" s="135" t="inlineStr">
        <is>
          <t>Beta (vs benchmark)</t>
        </is>
      </c>
      <c r="B15" s="139" t="n">
        <v>1.07</v>
      </c>
    </row>
    <row r="16">
      <c r="A16" s="135" t="inlineStr">
        <is>
          <t>Beta (adjusted, used)</t>
        </is>
      </c>
      <c r="B16" s="139" t="n">
        <v>1.04</v>
      </c>
    </row>
    <row r="19">
      <c r="A19" s="93" t="inlineStr">
        <is>
          <t>Percentile price paths across all 1,000 simulations — the bands the forecast chart draws.</t>
        </is>
      </c>
    </row>
    <row r="20">
      <c r="A20" s="31" t="inlineStr">
        <is>
          <t>Day</t>
        </is>
      </c>
      <c r="B20" s="31" t="inlineStr">
        <is>
          <t>P5 (Bear)</t>
        </is>
      </c>
      <c r="C20" s="31" t="inlineStr">
        <is>
          <t>P25 (Low)</t>
        </is>
      </c>
      <c r="D20" s="31" t="inlineStr">
        <is>
          <t>P50 (Median)</t>
        </is>
      </c>
      <c r="E20" s="31" t="inlineStr">
        <is>
          <t>P75 (Bull)</t>
        </is>
      </c>
      <c r="F20" s="31" t="inlineStr">
        <is>
          <t>P95 (Best)</t>
        </is>
      </c>
    </row>
    <row r="21">
      <c r="A21" t="n">
        <v>0</v>
      </c>
      <c r="B21" s="140" t="n">
        <v>39.48</v>
      </c>
      <c r="C21" s="140" t="n">
        <v>39.48</v>
      </c>
      <c r="D21" s="140" t="n">
        <v>39.48</v>
      </c>
      <c r="E21" s="140" t="n">
        <v>39.48</v>
      </c>
      <c r="F21" s="140" t="n">
        <v>39.48</v>
      </c>
    </row>
    <row r="22">
      <c r="A22" t="n">
        <v>1</v>
      </c>
      <c r="B22" s="140" t="n">
        <v>38.02</v>
      </c>
      <c r="C22" s="140" t="n">
        <v>38.87</v>
      </c>
      <c r="D22" s="140" t="n">
        <v>39.49</v>
      </c>
      <c r="E22" s="140" t="n">
        <v>40.01</v>
      </c>
      <c r="F22" s="140" t="n">
        <v>40.95</v>
      </c>
    </row>
    <row r="23">
      <c r="A23" t="n">
        <v>2</v>
      </c>
      <c r="B23" s="140" t="n">
        <v>37.31</v>
      </c>
      <c r="C23" s="140" t="n">
        <v>38.57</v>
      </c>
      <c r="D23" s="140" t="n">
        <v>39.43</v>
      </c>
      <c r="E23" s="140" t="n">
        <v>40.2</v>
      </c>
      <c r="F23" s="140" t="n">
        <v>41.48</v>
      </c>
    </row>
    <row r="24">
      <c r="A24" t="n">
        <v>3</v>
      </c>
      <c r="B24" s="140" t="n">
        <v>37.04</v>
      </c>
      <c r="C24" s="140" t="n">
        <v>38.38</v>
      </c>
      <c r="D24" s="140" t="n">
        <v>39.46</v>
      </c>
      <c r="E24" s="140" t="n">
        <v>40.44</v>
      </c>
      <c r="F24" s="140" t="n">
        <v>41.95</v>
      </c>
    </row>
    <row r="25">
      <c r="A25" t="n">
        <v>4</v>
      </c>
      <c r="B25" s="140" t="n">
        <v>36.52</v>
      </c>
      <c r="C25" s="140" t="n">
        <v>38.23</v>
      </c>
      <c r="D25" s="140" t="n">
        <v>39.39</v>
      </c>
      <c r="E25" s="140" t="n">
        <v>40.64</v>
      </c>
      <c r="F25" s="140" t="n">
        <v>42.56</v>
      </c>
    </row>
    <row r="26">
      <c r="A26" t="n">
        <v>5</v>
      </c>
      <c r="B26" s="140" t="n">
        <v>36.27</v>
      </c>
      <c r="C26" s="140" t="n">
        <v>38.13</v>
      </c>
      <c r="D26" s="140" t="n">
        <v>39.41</v>
      </c>
      <c r="E26" s="140" t="n">
        <v>40.76</v>
      </c>
      <c r="F26" s="140" t="n">
        <v>42.81</v>
      </c>
    </row>
    <row r="27">
      <c r="A27" t="n">
        <v>6</v>
      </c>
      <c r="B27" s="140" t="n">
        <v>36.02</v>
      </c>
      <c r="C27" s="140" t="n">
        <v>38.06</v>
      </c>
      <c r="D27" s="140" t="n">
        <v>39.48</v>
      </c>
      <c r="E27" s="140" t="n">
        <v>40.89</v>
      </c>
      <c r="F27" s="140" t="n">
        <v>43.33</v>
      </c>
    </row>
    <row r="28">
      <c r="A28" t="n">
        <v>7</v>
      </c>
      <c r="B28" s="140" t="n">
        <v>35.88</v>
      </c>
      <c r="C28" s="140" t="n">
        <v>37.94</v>
      </c>
      <c r="D28" s="140" t="n">
        <v>39.51</v>
      </c>
      <c r="E28" s="140" t="n">
        <v>40.92</v>
      </c>
      <c r="F28" s="140" t="n">
        <v>43.84</v>
      </c>
    </row>
    <row r="29">
      <c r="A29" t="n">
        <v>8</v>
      </c>
      <c r="B29" s="140" t="n">
        <v>35.44</v>
      </c>
      <c r="C29" s="140" t="n">
        <v>37.91</v>
      </c>
      <c r="D29" s="140" t="n">
        <v>39.42</v>
      </c>
      <c r="E29" s="140" t="n">
        <v>41.1</v>
      </c>
      <c r="F29" s="140" t="n">
        <v>43.99</v>
      </c>
    </row>
    <row r="30">
      <c r="A30" t="n">
        <v>9</v>
      </c>
      <c r="B30" s="140" t="n">
        <v>35.42</v>
      </c>
      <c r="C30" s="140" t="n">
        <v>37.77</v>
      </c>
      <c r="D30" s="140" t="n">
        <v>39.47</v>
      </c>
      <c r="E30" s="140" t="n">
        <v>41.15</v>
      </c>
      <c r="F30" s="140" t="n">
        <v>43.99</v>
      </c>
    </row>
    <row r="31">
      <c r="A31" t="n">
        <v>10</v>
      </c>
      <c r="B31" s="140" t="n">
        <v>35.08</v>
      </c>
      <c r="C31" s="140" t="n">
        <v>37.66</v>
      </c>
      <c r="D31" s="140" t="n">
        <v>39.46</v>
      </c>
      <c r="E31" s="140" t="n">
        <v>41.4</v>
      </c>
      <c r="F31" s="140" t="n">
        <v>44.16</v>
      </c>
    </row>
    <row r="32">
      <c r="A32" t="n">
        <v>11</v>
      </c>
      <c r="B32" s="140" t="n">
        <v>34.91</v>
      </c>
      <c r="C32" s="140" t="n">
        <v>37.56</v>
      </c>
      <c r="D32" s="140" t="n">
        <v>39.43</v>
      </c>
      <c r="E32" s="140" t="n">
        <v>41.45</v>
      </c>
      <c r="F32" s="140" t="n">
        <v>44.39</v>
      </c>
    </row>
    <row r="33">
      <c r="A33" t="n">
        <v>12</v>
      </c>
      <c r="B33" s="140" t="n">
        <v>34.77</v>
      </c>
      <c r="C33" s="140" t="n">
        <v>37.52</v>
      </c>
      <c r="D33" s="140" t="n">
        <v>39.45</v>
      </c>
      <c r="E33" s="140" t="n">
        <v>41.5</v>
      </c>
      <c r="F33" s="140" t="n">
        <v>44.64</v>
      </c>
    </row>
    <row r="34">
      <c r="A34" t="n">
        <v>13</v>
      </c>
      <c r="B34" s="140" t="n">
        <v>34.5</v>
      </c>
      <c r="C34" s="140" t="n">
        <v>37.34</v>
      </c>
      <c r="D34" s="140" t="n">
        <v>39.44</v>
      </c>
      <c r="E34" s="140" t="n">
        <v>41.51</v>
      </c>
      <c r="F34" s="140" t="n">
        <v>44.94</v>
      </c>
    </row>
    <row r="35">
      <c r="A35" t="n">
        <v>14</v>
      </c>
      <c r="B35" s="140" t="n">
        <v>34.46</v>
      </c>
      <c r="C35" s="140" t="n">
        <v>37.26</v>
      </c>
      <c r="D35" s="140" t="n">
        <v>39.39</v>
      </c>
      <c r="E35" s="140" t="n">
        <v>41.68</v>
      </c>
      <c r="F35" s="140" t="n">
        <v>45.43</v>
      </c>
    </row>
    <row r="36">
      <c r="A36" t="n">
        <v>15</v>
      </c>
      <c r="B36" s="140" t="n">
        <v>34.5</v>
      </c>
      <c r="C36" s="140" t="n">
        <v>37.15</v>
      </c>
      <c r="D36" s="140" t="n">
        <v>39.43</v>
      </c>
      <c r="E36" s="140" t="n">
        <v>41.69</v>
      </c>
      <c r="F36" s="140" t="n">
        <v>45.46</v>
      </c>
    </row>
    <row r="37">
      <c r="A37" t="n">
        <v>16</v>
      </c>
      <c r="B37" s="140" t="n">
        <v>34.1</v>
      </c>
      <c r="C37" s="140" t="n">
        <v>37.18</v>
      </c>
      <c r="D37" s="140" t="n">
        <v>39.46</v>
      </c>
      <c r="E37" s="140" t="n">
        <v>41.81</v>
      </c>
      <c r="F37" s="140" t="n">
        <v>45.5</v>
      </c>
    </row>
    <row r="38">
      <c r="A38" t="n">
        <v>17</v>
      </c>
      <c r="B38" s="140" t="n">
        <v>34.1</v>
      </c>
      <c r="C38" s="140" t="n">
        <v>37.18</v>
      </c>
      <c r="D38" s="140" t="n">
        <v>39.51</v>
      </c>
      <c r="E38" s="140" t="n">
        <v>41.92</v>
      </c>
      <c r="F38" s="140" t="n">
        <v>46.06</v>
      </c>
    </row>
    <row r="39">
      <c r="A39" t="n">
        <v>18</v>
      </c>
      <c r="B39" s="140" t="n">
        <v>33.99</v>
      </c>
      <c r="C39" s="140" t="n">
        <v>37.13</v>
      </c>
      <c r="D39" s="140" t="n">
        <v>39.56</v>
      </c>
      <c r="E39" s="140" t="n">
        <v>42.1</v>
      </c>
      <c r="F39" s="140" t="n">
        <v>46.25</v>
      </c>
    </row>
    <row r="40">
      <c r="A40" t="n">
        <v>19</v>
      </c>
      <c r="B40" s="140" t="n">
        <v>33.79</v>
      </c>
      <c r="C40" s="140" t="n">
        <v>37.1</v>
      </c>
      <c r="D40" s="140" t="n">
        <v>39.64</v>
      </c>
      <c r="E40" s="140" t="n">
        <v>42.23</v>
      </c>
      <c r="F40" s="140" t="n">
        <v>46.29</v>
      </c>
    </row>
    <row r="41">
      <c r="A41" t="n">
        <v>20</v>
      </c>
      <c r="B41" s="140" t="n">
        <v>33.57</v>
      </c>
      <c r="C41" s="140" t="n">
        <v>37.2</v>
      </c>
      <c r="D41" s="140" t="n">
        <v>39.67</v>
      </c>
      <c r="E41" s="140" t="n">
        <v>42.43</v>
      </c>
      <c r="F41" s="140" t="n">
        <v>46.66</v>
      </c>
    </row>
    <row r="42">
      <c r="A42" t="n">
        <v>21</v>
      </c>
      <c r="B42" s="140" t="n">
        <v>33.67</v>
      </c>
      <c r="C42" s="140" t="n">
        <v>36.93</v>
      </c>
      <c r="D42" s="140" t="n">
        <v>39.67</v>
      </c>
      <c r="E42" s="140" t="n">
        <v>42.47</v>
      </c>
      <c r="F42" s="140" t="n">
        <v>47.02</v>
      </c>
    </row>
    <row r="43">
      <c r="A43" t="n">
        <v>22</v>
      </c>
      <c r="B43" s="140" t="n">
        <v>33.59</v>
      </c>
      <c r="C43" s="140" t="n">
        <v>36.95</v>
      </c>
      <c r="D43" s="140" t="n">
        <v>39.73</v>
      </c>
      <c r="E43" s="140" t="n">
        <v>42.62</v>
      </c>
      <c r="F43" s="140" t="n">
        <v>46.9</v>
      </c>
    </row>
    <row r="44">
      <c r="A44" t="n">
        <v>23</v>
      </c>
      <c r="B44" s="140" t="n">
        <v>33.6</v>
      </c>
      <c r="C44" s="140" t="n">
        <v>36.92</v>
      </c>
      <c r="D44" s="140" t="n">
        <v>39.62</v>
      </c>
      <c r="E44" s="140" t="n">
        <v>42.52</v>
      </c>
      <c r="F44" s="140" t="n">
        <v>47.38</v>
      </c>
    </row>
    <row r="45">
      <c r="A45" t="n">
        <v>24</v>
      </c>
      <c r="B45" s="140" t="n">
        <v>33.69</v>
      </c>
      <c r="C45" s="140" t="n">
        <v>36.85</v>
      </c>
      <c r="D45" s="140" t="n">
        <v>39.6</v>
      </c>
      <c r="E45" s="140" t="n">
        <v>42.72</v>
      </c>
      <c r="F45" s="140" t="n">
        <v>47.53</v>
      </c>
    </row>
    <row r="46">
      <c r="A46" t="n">
        <v>25</v>
      </c>
      <c r="B46" s="140" t="n">
        <v>33.29</v>
      </c>
      <c r="C46" s="140" t="n">
        <v>36.97</v>
      </c>
      <c r="D46" s="140" t="n">
        <v>39.6</v>
      </c>
      <c r="E46" s="140" t="n">
        <v>43.01</v>
      </c>
      <c r="F46" s="140" t="n">
        <v>47.57</v>
      </c>
    </row>
    <row r="47">
      <c r="A47" t="n">
        <v>26</v>
      </c>
      <c r="B47" s="140" t="n">
        <v>33.09</v>
      </c>
      <c r="C47" s="140" t="n">
        <v>37</v>
      </c>
      <c r="D47" s="140" t="n">
        <v>39.54</v>
      </c>
      <c r="E47" s="140" t="n">
        <v>43.06</v>
      </c>
      <c r="F47" s="140" t="n">
        <v>47.68</v>
      </c>
    </row>
    <row r="48">
      <c r="A48" t="n">
        <v>27</v>
      </c>
      <c r="B48" s="140" t="n">
        <v>33.03</v>
      </c>
      <c r="C48" s="140" t="n">
        <v>36.97</v>
      </c>
      <c r="D48" s="140" t="n">
        <v>39.77</v>
      </c>
      <c r="E48" s="140" t="n">
        <v>43.13</v>
      </c>
      <c r="F48" s="140" t="n">
        <v>47.95</v>
      </c>
    </row>
    <row r="49">
      <c r="A49" t="n">
        <v>28</v>
      </c>
      <c r="B49" s="140" t="n">
        <v>33.02</v>
      </c>
      <c r="C49" s="140" t="n">
        <v>36.89</v>
      </c>
      <c r="D49" s="140" t="n">
        <v>39.75</v>
      </c>
      <c r="E49" s="140" t="n">
        <v>43.39</v>
      </c>
      <c r="F49" s="140" t="n">
        <v>48.2</v>
      </c>
    </row>
    <row r="50">
      <c r="A50" t="n">
        <v>29</v>
      </c>
      <c r="B50" s="140" t="n">
        <v>32.86</v>
      </c>
      <c r="C50" s="140" t="n">
        <v>36.96</v>
      </c>
      <c r="D50" s="140" t="n">
        <v>39.84</v>
      </c>
      <c r="E50" s="140" t="n">
        <v>43.32</v>
      </c>
      <c r="F50" s="140" t="n">
        <v>48.2</v>
      </c>
    </row>
    <row r="51">
      <c r="A51" t="n">
        <v>30</v>
      </c>
      <c r="B51" s="140" t="n">
        <v>32.88</v>
      </c>
      <c r="C51" s="140" t="n">
        <v>36.86</v>
      </c>
      <c r="D51" s="140" t="n">
        <v>39.87</v>
      </c>
      <c r="E51" s="140" t="n">
        <v>43.23</v>
      </c>
      <c r="F51" s="140" t="n">
        <v>48.43</v>
      </c>
    </row>
    <row r="52">
      <c r="A52" t="n">
        <v>31</v>
      </c>
      <c r="B52" s="140" t="n">
        <v>32.82</v>
      </c>
      <c r="C52" s="140" t="n">
        <v>36.85</v>
      </c>
      <c r="D52" s="140" t="n">
        <v>39.83</v>
      </c>
      <c r="E52" s="140" t="n">
        <v>43.4</v>
      </c>
      <c r="F52" s="140" t="n">
        <v>48.85</v>
      </c>
    </row>
    <row r="53">
      <c r="A53" t="n">
        <v>32</v>
      </c>
      <c r="B53" s="140" t="n">
        <v>32.54</v>
      </c>
      <c r="C53" s="140" t="n">
        <v>36.8</v>
      </c>
      <c r="D53" s="140" t="n">
        <v>39.76</v>
      </c>
      <c r="E53" s="140" t="n">
        <v>43.55</v>
      </c>
      <c r="F53" s="140" t="n">
        <v>48.62</v>
      </c>
    </row>
    <row r="54">
      <c r="A54" t="n">
        <v>33</v>
      </c>
      <c r="B54" s="140" t="n">
        <v>32.56</v>
      </c>
      <c r="C54" s="140" t="n">
        <v>36.62</v>
      </c>
      <c r="D54" s="140" t="n">
        <v>39.81</v>
      </c>
      <c r="E54" s="140" t="n">
        <v>43.73</v>
      </c>
      <c r="F54" s="140" t="n">
        <v>49.04</v>
      </c>
    </row>
    <row r="55">
      <c r="A55" t="n">
        <v>34</v>
      </c>
      <c r="B55" s="140" t="n">
        <v>32.33</v>
      </c>
      <c r="C55" s="140" t="n">
        <v>36.72</v>
      </c>
      <c r="D55" s="140" t="n">
        <v>39.86</v>
      </c>
      <c r="E55" s="140" t="n">
        <v>43.68</v>
      </c>
      <c r="F55" s="140" t="n">
        <v>49.25</v>
      </c>
    </row>
    <row r="56">
      <c r="A56" t="n">
        <v>35</v>
      </c>
      <c r="B56" s="140" t="n">
        <v>32.12</v>
      </c>
      <c r="C56" s="140" t="n">
        <v>36.76</v>
      </c>
      <c r="D56" s="140" t="n">
        <v>39.81</v>
      </c>
      <c r="E56" s="140" t="n">
        <v>43.61</v>
      </c>
      <c r="F56" s="140" t="n">
        <v>49.18</v>
      </c>
    </row>
    <row r="57">
      <c r="A57" t="n">
        <v>36</v>
      </c>
      <c r="B57" s="140" t="n">
        <v>32.01</v>
      </c>
      <c r="C57" s="140" t="n">
        <v>36.69</v>
      </c>
      <c r="D57" s="140" t="n">
        <v>39.89</v>
      </c>
      <c r="E57" s="140" t="n">
        <v>43.71</v>
      </c>
      <c r="F57" s="140" t="n">
        <v>49.42</v>
      </c>
    </row>
    <row r="58">
      <c r="A58" t="n">
        <v>37</v>
      </c>
      <c r="B58" s="140" t="n">
        <v>31.69</v>
      </c>
      <c r="C58" s="140" t="n">
        <v>36.66</v>
      </c>
      <c r="D58" s="140" t="n">
        <v>39.99</v>
      </c>
      <c r="E58" s="140" t="n">
        <v>43.9</v>
      </c>
      <c r="F58" s="140" t="n">
        <v>49.44</v>
      </c>
    </row>
    <row r="59">
      <c r="A59" t="n">
        <v>38</v>
      </c>
      <c r="B59" s="140" t="n">
        <v>31.87</v>
      </c>
      <c r="C59" s="140" t="n">
        <v>36.65</v>
      </c>
      <c r="D59" s="140" t="n">
        <v>40.03</v>
      </c>
      <c r="E59" s="140" t="n">
        <v>43.96</v>
      </c>
      <c r="F59" s="140" t="n">
        <v>49.47</v>
      </c>
    </row>
    <row r="60">
      <c r="A60" t="n">
        <v>39</v>
      </c>
      <c r="B60" s="140" t="n">
        <v>31.8</v>
      </c>
      <c r="C60" s="140" t="n">
        <v>36.59</v>
      </c>
      <c r="D60" s="140" t="n">
        <v>39.94</v>
      </c>
      <c r="E60" s="140" t="n">
        <v>44.01</v>
      </c>
      <c r="F60" s="140" t="n">
        <v>49.95</v>
      </c>
    </row>
    <row r="61">
      <c r="A61" t="n">
        <v>40</v>
      </c>
      <c r="B61" s="140" t="n">
        <v>31.61</v>
      </c>
      <c r="C61" s="140" t="n">
        <v>36.4</v>
      </c>
      <c r="D61" s="140" t="n">
        <v>39.77</v>
      </c>
      <c r="E61" s="140" t="n">
        <v>43.89</v>
      </c>
      <c r="F61" s="140" t="n">
        <v>50.27</v>
      </c>
    </row>
    <row r="62">
      <c r="A62" t="n">
        <v>41</v>
      </c>
      <c r="B62" s="140" t="n">
        <v>31.59</v>
      </c>
      <c r="C62" s="140" t="n">
        <v>36.26</v>
      </c>
      <c r="D62" s="140" t="n">
        <v>39.78</v>
      </c>
      <c r="E62" s="140" t="n">
        <v>44.09</v>
      </c>
      <c r="F62" s="140" t="n">
        <v>50.61</v>
      </c>
    </row>
    <row r="63">
      <c r="A63" t="n">
        <v>42</v>
      </c>
      <c r="B63" s="140" t="n">
        <v>31.47</v>
      </c>
      <c r="C63" s="140" t="n">
        <v>36.23</v>
      </c>
      <c r="D63" s="140" t="n">
        <v>39.75</v>
      </c>
      <c r="E63" s="140" t="n">
        <v>43.94</v>
      </c>
      <c r="F63" s="140" t="n">
        <v>50.61</v>
      </c>
    </row>
    <row r="64">
      <c r="A64" t="n">
        <v>43</v>
      </c>
      <c r="B64" s="140" t="n">
        <v>31.17</v>
      </c>
      <c r="C64" s="140" t="n">
        <v>36.15</v>
      </c>
      <c r="D64" s="140" t="n">
        <v>39.81</v>
      </c>
      <c r="E64" s="140" t="n">
        <v>44.09</v>
      </c>
      <c r="F64" s="140" t="n">
        <v>50.25</v>
      </c>
    </row>
    <row r="65">
      <c r="A65" t="n">
        <v>44</v>
      </c>
      <c r="B65" s="140" t="n">
        <v>31.26</v>
      </c>
      <c r="C65" s="140" t="n">
        <v>36.03</v>
      </c>
      <c r="D65" s="140" t="n">
        <v>39.8</v>
      </c>
      <c r="E65" s="140" t="n">
        <v>44.19</v>
      </c>
      <c r="F65" s="140" t="n">
        <v>50.28</v>
      </c>
    </row>
    <row r="66">
      <c r="A66" t="n">
        <v>45</v>
      </c>
      <c r="B66" s="140" t="n">
        <v>31.03</v>
      </c>
      <c r="C66" s="140" t="n">
        <v>35.94</v>
      </c>
      <c r="D66" s="140" t="n">
        <v>39.83</v>
      </c>
      <c r="E66" s="140" t="n">
        <v>44.08</v>
      </c>
      <c r="F66" s="140" t="n">
        <v>49.87</v>
      </c>
    </row>
    <row r="67">
      <c r="A67" t="n">
        <v>46</v>
      </c>
      <c r="B67" s="140" t="n">
        <v>30.86</v>
      </c>
      <c r="C67" s="140" t="n">
        <v>35.77</v>
      </c>
      <c r="D67" s="140" t="n">
        <v>40.01</v>
      </c>
      <c r="E67" s="140" t="n">
        <v>44.37</v>
      </c>
      <c r="F67" s="140" t="n">
        <v>50.26</v>
      </c>
    </row>
    <row r="68">
      <c r="A68" t="n">
        <v>47</v>
      </c>
      <c r="B68" s="140" t="n">
        <v>30.88</v>
      </c>
      <c r="C68" s="140" t="n">
        <v>35.89</v>
      </c>
      <c r="D68" s="140" t="n">
        <v>39.93</v>
      </c>
      <c r="E68" s="140" t="n">
        <v>44.39</v>
      </c>
      <c r="F68" s="140" t="n">
        <v>50.56</v>
      </c>
    </row>
    <row r="69">
      <c r="A69" t="n">
        <v>48</v>
      </c>
      <c r="B69" s="140" t="n">
        <v>30.98</v>
      </c>
      <c r="C69" s="140" t="n">
        <v>35.72</v>
      </c>
      <c r="D69" s="140" t="n">
        <v>39.89</v>
      </c>
      <c r="E69" s="140" t="n">
        <v>44.39</v>
      </c>
      <c r="F69" s="140" t="n">
        <v>50.91</v>
      </c>
    </row>
    <row r="70">
      <c r="A70" t="n">
        <v>49</v>
      </c>
      <c r="B70" s="140" t="n">
        <v>30.83</v>
      </c>
      <c r="C70" s="140" t="n">
        <v>35.74</v>
      </c>
      <c r="D70" s="140" t="n">
        <v>39.87</v>
      </c>
      <c r="E70" s="140" t="n">
        <v>44.38</v>
      </c>
      <c r="F70" s="140" t="n">
        <v>50.91</v>
      </c>
    </row>
    <row r="71">
      <c r="A71" t="n">
        <v>50</v>
      </c>
      <c r="B71" s="140" t="n">
        <v>30.41</v>
      </c>
      <c r="C71" s="140" t="n">
        <v>35.71</v>
      </c>
      <c r="D71" s="140" t="n">
        <v>39.88</v>
      </c>
      <c r="E71" s="140" t="n">
        <v>44.33</v>
      </c>
      <c r="F71" s="140" t="n">
        <v>50.98</v>
      </c>
    </row>
    <row r="72">
      <c r="A72" t="n">
        <v>51</v>
      </c>
      <c r="B72" s="140" t="n">
        <v>30.46</v>
      </c>
      <c r="C72" s="140" t="n">
        <v>35.77</v>
      </c>
      <c r="D72" s="140" t="n">
        <v>39.77</v>
      </c>
      <c r="E72" s="140" t="n">
        <v>44.34</v>
      </c>
      <c r="F72" s="140" t="n">
        <v>51.48</v>
      </c>
    </row>
    <row r="73">
      <c r="A73" t="n">
        <v>52</v>
      </c>
      <c r="B73" s="140" t="n">
        <v>30.36</v>
      </c>
      <c r="C73" s="140" t="n">
        <v>35.63</v>
      </c>
      <c r="D73" s="140" t="n">
        <v>39.81</v>
      </c>
      <c r="E73" s="140" t="n">
        <v>44.47</v>
      </c>
      <c r="F73" s="140" t="n">
        <v>51.4</v>
      </c>
    </row>
    <row r="74">
      <c r="A74" t="n">
        <v>53</v>
      </c>
      <c r="B74" s="140" t="n">
        <v>30.31</v>
      </c>
      <c r="C74" s="140" t="n">
        <v>35.54</v>
      </c>
      <c r="D74" s="140" t="n">
        <v>39.81</v>
      </c>
      <c r="E74" s="140" t="n">
        <v>44.73</v>
      </c>
      <c r="F74" s="140" t="n">
        <v>51.18</v>
      </c>
    </row>
    <row r="75">
      <c r="A75" t="n">
        <v>54</v>
      </c>
      <c r="B75" s="140" t="n">
        <v>30.46</v>
      </c>
      <c r="C75" s="140" t="n">
        <v>35.51</v>
      </c>
      <c r="D75" s="140" t="n">
        <v>39.9</v>
      </c>
      <c r="E75" s="140" t="n">
        <v>44.88</v>
      </c>
      <c r="F75" s="140" t="n">
        <v>51.18</v>
      </c>
    </row>
    <row r="76">
      <c r="A76" t="n">
        <v>55</v>
      </c>
      <c r="B76" s="140" t="n">
        <v>30.13</v>
      </c>
      <c r="C76" s="140" t="n">
        <v>35.29</v>
      </c>
      <c r="D76" s="140" t="n">
        <v>39.92</v>
      </c>
      <c r="E76" s="140" t="n">
        <v>44.84</v>
      </c>
      <c r="F76" s="140" t="n">
        <v>51.22</v>
      </c>
    </row>
    <row r="77">
      <c r="A77" t="n">
        <v>56</v>
      </c>
      <c r="B77" s="140" t="n">
        <v>30.21</v>
      </c>
      <c r="C77" s="140" t="n">
        <v>35.34</v>
      </c>
      <c r="D77" s="140" t="n">
        <v>39.93</v>
      </c>
      <c r="E77" s="140" t="n">
        <v>44.7</v>
      </c>
      <c r="F77" s="140" t="n">
        <v>51.5</v>
      </c>
    </row>
    <row r="78">
      <c r="A78" t="n">
        <v>57</v>
      </c>
      <c r="B78" s="140" t="n">
        <v>30.07</v>
      </c>
      <c r="C78" s="140" t="n">
        <v>35.37</v>
      </c>
      <c r="D78" s="140" t="n">
        <v>39.94</v>
      </c>
      <c r="E78" s="140" t="n">
        <v>44.76</v>
      </c>
      <c r="F78" s="140" t="n">
        <v>51.71</v>
      </c>
    </row>
    <row r="79">
      <c r="A79" t="n">
        <v>58</v>
      </c>
      <c r="B79" s="140" t="n">
        <v>29.71</v>
      </c>
      <c r="C79" s="140" t="n">
        <v>35.3</v>
      </c>
      <c r="D79" s="140" t="n">
        <v>40.08</v>
      </c>
      <c r="E79" s="140" t="n">
        <v>44.83</v>
      </c>
      <c r="F79" s="140" t="n">
        <v>51.8</v>
      </c>
    </row>
    <row r="80">
      <c r="A80" t="n">
        <v>59</v>
      </c>
      <c r="B80" s="140" t="n">
        <v>29.84</v>
      </c>
      <c r="C80" s="140" t="n">
        <v>35.41</v>
      </c>
      <c r="D80" s="140" t="n">
        <v>40</v>
      </c>
      <c r="E80" s="140" t="n">
        <v>44.86</v>
      </c>
      <c r="F80" s="140" t="n">
        <v>52.1</v>
      </c>
    </row>
    <row r="81">
      <c r="A81" t="n">
        <v>60</v>
      </c>
      <c r="B81" s="140" t="n">
        <v>29.57</v>
      </c>
      <c r="C81" s="140" t="n">
        <v>35.25</v>
      </c>
      <c r="D81" s="140" t="n">
        <v>40.17</v>
      </c>
      <c r="E81" s="140" t="n">
        <v>44.95</v>
      </c>
      <c r="F81" s="140" t="n">
        <v>52.13</v>
      </c>
    </row>
    <row r="82">
      <c r="A82" t="n">
        <v>61</v>
      </c>
      <c r="B82" s="140" t="n">
        <v>29.42</v>
      </c>
      <c r="C82" s="140" t="n">
        <v>35.29</v>
      </c>
      <c r="D82" s="140" t="n">
        <v>40.12</v>
      </c>
      <c r="E82" s="140" t="n">
        <v>44.91</v>
      </c>
      <c r="F82" s="140" t="n">
        <v>52.24</v>
      </c>
    </row>
    <row r="83">
      <c r="A83" t="n">
        <v>62</v>
      </c>
      <c r="B83" s="140" t="n">
        <v>29.56</v>
      </c>
      <c r="C83" s="140" t="n">
        <v>35.22</v>
      </c>
      <c r="D83" s="140" t="n">
        <v>40.18</v>
      </c>
      <c r="E83" s="140" t="n">
        <v>44.8</v>
      </c>
      <c r="F83" s="140" t="n">
        <v>52.07</v>
      </c>
    </row>
    <row r="84">
      <c r="A84" t="n">
        <v>63</v>
      </c>
      <c r="B84" s="140" t="n">
        <v>29.29</v>
      </c>
      <c r="C84" s="140" t="n">
        <v>35.07</v>
      </c>
      <c r="D84" s="140" t="n">
        <v>40.03</v>
      </c>
      <c r="E84" s="140" t="n">
        <v>45.05</v>
      </c>
      <c r="F84" s="140" t="n">
        <v>52.36</v>
      </c>
    </row>
    <row r="85">
      <c r="A85" t="n">
        <v>64</v>
      </c>
      <c r="B85" s="140" t="n">
        <v>29.12</v>
      </c>
      <c r="C85" s="140" t="n">
        <v>35.18</v>
      </c>
      <c r="D85" s="140" t="n">
        <v>39.9</v>
      </c>
      <c r="E85" s="140" t="n">
        <v>45.21</v>
      </c>
      <c r="F85" s="140" t="n">
        <v>52.7</v>
      </c>
    </row>
    <row r="86">
      <c r="A86" t="n">
        <v>65</v>
      </c>
      <c r="B86" s="140" t="n">
        <v>29.21</v>
      </c>
      <c r="C86" s="140" t="n">
        <v>35.18</v>
      </c>
      <c r="D86" s="140" t="n">
        <v>40.01</v>
      </c>
      <c r="E86" s="140" t="n">
        <v>45.1</v>
      </c>
      <c r="F86" s="140" t="n">
        <v>52.41</v>
      </c>
    </row>
    <row r="87">
      <c r="A87" t="n">
        <v>66</v>
      </c>
      <c r="B87" s="140" t="n">
        <v>29.35</v>
      </c>
      <c r="C87" s="140" t="n">
        <v>35.26</v>
      </c>
      <c r="D87" s="140" t="n">
        <v>39.97</v>
      </c>
      <c r="E87" s="140" t="n">
        <v>45.26</v>
      </c>
      <c r="F87" s="140" t="n">
        <v>52.79</v>
      </c>
    </row>
    <row r="88">
      <c r="A88" t="n">
        <v>67</v>
      </c>
      <c r="B88" s="140" t="n">
        <v>29.21</v>
      </c>
      <c r="C88" s="140" t="n">
        <v>35.12</v>
      </c>
      <c r="D88" s="140" t="n">
        <v>39.98</v>
      </c>
      <c r="E88" s="140" t="n">
        <v>45.26</v>
      </c>
      <c r="F88" s="140" t="n">
        <v>53.41</v>
      </c>
    </row>
    <row r="89">
      <c r="A89" t="n">
        <v>68</v>
      </c>
      <c r="B89" s="140" t="n">
        <v>29.08</v>
      </c>
      <c r="C89" s="140" t="n">
        <v>35.13</v>
      </c>
      <c r="D89" s="140" t="n">
        <v>39.91</v>
      </c>
      <c r="E89" s="140" t="n">
        <v>45.14</v>
      </c>
      <c r="F89" s="140" t="n">
        <v>53.35</v>
      </c>
    </row>
    <row r="90">
      <c r="A90" t="n">
        <v>69</v>
      </c>
      <c r="B90" s="140" t="n">
        <v>29.15</v>
      </c>
      <c r="C90" s="140" t="n">
        <v>35.22</v>
      </c>
      <c r="D90" s="140" t="n">
        <v>40.01</v>
      </c>
      <c r="E90" s="140" t="n">
        <v>45.17</v>
      </c>
      <c r="F90" s="140" t="n">
        <v>52.98</v>
      </c>
    </row>
    <row r="91">
      <c r="A91" t="n">
        <v>70</v>
      </c>
      <c r="B91" s="140" t="n">
        <v>28.75</v>
      </c>
      <c r="C91" s="140" t="n">
        <v>35.07</v>
      </c>
      <c r="D91" s="140" t="n">
        <v>39.98</v>
      </c>
      <c r="E91" s="140" t="n">
        <v>45.21</v>
      </c>
      <c r="F91" s="140" t="n">
        <v>53.47</v>
      </c>
    </row>
    <row r="92">
      <c r="A92" t="n">
        <v>71</v>
      </c>
      <c r="B92" s="140" t="n">
        <v>28.71</v>
      </c>
      <c r="C92" s="140" t="n">
        <v>35.05</v>
      </c>
      <c r="D92" s="140" t="n">
        <v>39.96</v>
      </c>
      <c r="E92" s="140" t="n">
        <v>45.31</v>
      </c>
      <c r="F92" s="140" t="n">
        <v>53.87</v>
      </c>
    </row>
    <row r="93">
      <c r="A93" t="n">
        <v>72</v>
      </c>
      <c r="B93" s="140" t="n">
        <v>28.71</v>
      </c>
      <c r="C93" s="140" t="n">
        <v>35.17</v>
      </c>
      <c r="D93" s="140" t="n">
        <v>39.92</v>
      </c>
      <c r="E93" s="140" t="n">
        <v>45.3</v>
      </c>
      <c r="F93" s="140" t="n">
        <v>53.71</v>
      </c>
    </row>
    <row r="94">
      <c r="A94" t="n">
        <v>73</v>
      </c>
      <c r="B94" s="140" t="n">
        <v>28.79</v>
      </c>
      <c r="C94" s="140" t="n">
        <v>35.16</v>
      </c>
      <c r="D94" s="140" t="n">
        <v>39.91</v>
      </c>
      <c r="E94" s="140" t="n">
        <v>45.3</v>
      </c>
      <c r="F94" s="140" t="n">
        <v>54.09</v>
      </c>
    </row>
    <row r="95">
      <c r="A95" t="n">
        <v>74</v>
      </c>
      <c r="B95" s="140" t="n">
        <v>28.88</v>
      </c>
      <c r="C95" s="140" t="n">
        <v>35.19</v>
      </c>
      <c r="D95" s="140" t="n">
        <v>39.89</v>
      </c>
      <c r="E95" s="140" t="n">
        <v>45.42</v>
      </c>
      <c r="F95" s="140" t="n">
        <v>54.32</v>
      </c>
    </row>
    <row r="96">
      <c r="A96" t="n">
        <v>75</v>
      </c>
      <c r="B96" s="140" t="n">
        <v>28.67</v>
      </c>
      <c r="C96" s="140" t="n">
        <v>35.08</v>
      </c>
      <c r="D96" s="140" t="n">
        <v>39.95</v>
      </c>
      <c r="E96" s="140" t="n">
        <v>45.63</v>
      </c>
      <c r="F96" s="140" t="n">
        <v>54.64</v>
      </c>
    </row>
    <row r="97">
      <c r="A97" t="n">
        <v>76</v>
      </c>
      <c r="B97" s="140" t="n">
        <v>28.6</v>
      </c>
      <c r="C97" s="140" t="n">
        <v>34.89</v>
      </c>
      <c r="D97" s="140" t="n">
        <v>40.03</v>
      </c>
      <c r="E97" s="140" t="n">
        <v>45.75</v>
      </c>
      <c r="F97" s="140" t="n">
        <v>54.19</v>
      </c>
    </row>
    <row r="98">
      <c r="A98" t="n">
        <v>77</v>
      </c>
      <c r="B98" s="140" t="n">
        <v>28.67</v>
      </c>
      <c r="C98" s="140" t="n">
        <v>34.86</v>
      </c>
      <c r="D98" s="140" t="n">
        <v>39.91</v>
      </c>
      <c r="E98" s="140" t="n">
        <v>45.6</v>
      </c>
      <c r="F98" s="140" t="n">
        <v>54.62</v>
      </c>
    </row>
    <row r="99">
      <c r="A99" t="n">
        <v>78</v>
      </c>
      <c r="B99" s="140" t="n">
        <v>28.61</v>
      </c>
      <c r="C99" s="140" t="n">
        <v>34.65</v>
      </c>
      <c r="D99" s="140" t="n">
        <v>39.87</v>
      </c>
      <c r="E99" s="140" t="n">
        <v>45.89</v>
      </c>
      <c r="F99" s="140" t="n">
        <v>54.61</v>
      </c>
    </row>
    <row r="100">
      <c r="A100" t="n">
        <v>79</v>
      </c>
      <c r="B100" s="140" t="n">
        <v>28.5</v>
      </c>
      <c r="C100" s="140" t="n">
        <v>34.66</v>
      </c>
      <c r="D100" s="140" t="n">
        <v>39.85</v>
      </c>
      <c r="E100" s="140" t="n">
        <v>45.98</v>
      </c>
      <c r="F100" s="140" t="n">
        <v>54.6</v>
      </c>
    </row>
    <row r="101">
      <c r="A101" t="n">
        <v>80</v>
      </c>
      <c r="B101" s="140" t="n">
        <v>28.4</v>
      </c>
      <c r="C101" s="140" t="n">
        <v>34.57</v>
      </c>
      <c r="D101" s="140" t="n">
        <v>39.79</v>
      </c>
      <c r="E101" s="140" t="n">
        <v>46.19</v>
      </c>
      <c r="F101" s="140" t="n">
        <v>54.89</v>
      </c>
    </row>
    <row r="102">
      <c r="A102" t="n">
        <v>81</v>
      </c>
      <c r="B102" s="140" t="n">
        <v>28.17</v>
      </c>
      <c r="C102" s="140" t="n">
        <v>34.72</v>
      </c>
      <c r="D102" s="140" t="n">
        <v>39.63</v>
      </c>
      <c r="E102" s="140" t="n">
        <v>45.97</v>
      </c>
      <c r="F102" s="140" t="n">
        <v>54.26</v>
      </c>
    </row>
    <row r="103">
      <c r="A103" t="n">
        <v>82</v>
      </c>
      <c r="B103" s="140" t="n">
        <v>28.12</v>
      </c>
      <c r="C103" s="140" t="n">
        <v>34.64</v>
      </c>
      <c r="D103" s="140" t="n">
        <v>39.67</v>
      </c>
      <c r="E103" s="140" t="n">
        <v>46.22</v>
      </c>
      <c r="F103" s="140" t="n">
        <v>54.25</v>
      </c>
    </row>
    <row r="104">
      <c r="A104" t="n">
        <v>83</v>
      </c>
      <c r="B104" s="140" t="n">
        <v>27.8</v>
      </c>
      <c r="C104" s="140" t="n">
        <v>34.47</v>
      </c>
      <c r="D104" s="140" t="n">
        <v>39.68</v>
      </c>
      <c r="E104" s="140" t="n">
        <v>46.16</v>
      </c>
      <c r="F104" s="140" t="n">
        <v>54.67</v>
      </c>
    </row>
    <row r="105">
      <c r="A105" t="n">
        <v>84</v>
      </c>
      <c r="B105" s="140" t="n">
        <v>27.91</v>
      </c>
      <c r="C105" s="140" t="n">
        <v>34.45</v>
      </c>
      <c r="D105" s="140" t="n">
        <v>39.79</v>
      </c>
      <c r="E105" s="140" t="n">
        <v>46.3</v>
      </c>
      <c r="F105" s="140" t="n">
        <v>54.72</v>
      </c>
    </row>
    <row r="106">
      <c r="A106" t="n">
        <v>85</v>
      </c>
      <c r="B106" s="140" t="n">
        <v>28.06</v>
      </c>
      <c r="C106" s="140" t="n">
        <v>34.68</v>
      </c>
      <c r="D106" s="140" t="n">
        <v>39.78</v>
      </c>
      <c r="E106" s="140" t="n">
        <v>46.18</v>
      </c>
      <c r="F106" s="140" t="n">
        <v>55.32</v>
      </c>
    </row>
    <row r="107">
      <c r="A107" t="n">
        <v>86</v>
      </c>
      <c r="B107" s="140" t="n">
        <v>27.82</v>
      </c>
      <c r="C107" s="140" t="n">
        <v>34.56</v>
      </c>
      <c r="D107" s="140" t="n">
        <v>39.77</v>
      </c>
      <c r="E107" s="140" t="n">
        <v>46.09</v>
      </c>
      <c r="F107" s="140" t="n">
        <v>55.22</v>
      </c>
    </row>
    <row r="108">
      <c r="A108" t="n">
        <v>87</v>
      </c>
      <c r="B108" s="140" t="n">
        <v>27.72</v>
      </c>
      <c r="C108" s="140" t="n">
        <v>34.38</v>
      </c>
      <c r="D108" s="140" t="n">
        <v>39.77</v>
      </c>
      <c r="E108" s="140" t="n">
        <v>46.46</v>
      </c>
      <c r="F108" s="140" t="n">
        <v>55.72</v>
      </c>
    </row>
    <row r="109">
      <c r="A109" t="n">
        <v>88</v>
      </c>
      <c r="B109" s="140" t="n">
        <v>27.56</v>
      </c>
      <c r="C109" s="140" t="n">
        <v>34.36</v>
      </c>
      <c r="D109" s="140" t="n">
        <v>39.86</v>
      </c>
      <c r="E109" s="140" t="n">
        <v>46.74</v>
      </c>
      <c r="F109" s="140" t="n">
        <v>56.08</v>
      </c>
    </row>
    <row r="110">
      <c r="A110" t="n">
        <v>89</v>
      </c>
      <c r="B110" s="140" t="n">
        <v>27.8</v>
      </c>
      <c r="C110" s="140" t="n">
        <v>34.28</v>
      </c>
      <c r="D110" s="140" t="n">
        <v>39.87</v>
      </c>
      <c r="E110" s="140" t="n">
        <v>46.75</v>
      </c>
      <c r="F110" s="140" t="n">
        <v>56.13</v>
      </c>
    </row>
    <row r="111">
      <c r="A111" t="n">
        <v>90</v>
      </c>
      <c r="B111" s="140" t="n">
        <v>27.75</v>
      </c>
      <c r="C111" s="140" t="n">
        <v>34.36</v>
      </c>
      <c r="D111" s="140" t="n">
        <v>39.85</v>
      </c>
      <c r="E111" s="140" t="n">
        <v>46.82</v>
      </c>
      <c r="F111" s="140" t="n">
        <v>56.35</v>
      </c>
    </row>
    <row r="112">
      <c r="A112" t="n">
        <v>91</v>
      </c>
      <c r="B112" s="140" t="n">
        <v>27.83</v>
      </c>
      <c r="C112" s="140" t="n">
        <v>34.24</v>
      </c>
      <c r="D112" s="140" t="n">
        <v>39.84</v>
      </c>
      <c r="E112" s="140" t="n">
        <v>46.75</v>
      </c>
      <c r="F112" s="140" t="n">
        <v>56.56</v>
      </c>
    </row>
    <row r="113">
      <c r="A113" t="n">
        <v>92</v>
      </c>
      <c r="B113" s="140" t="n">
        <v>27.61</v>
      </c>
      <c r="C113" s="140" t="n">
        <v>34.19</v>
      </c>
      <c r="D113" s="140" t="n">
        <v>39.86</v>
      </c>
      <c r="E113" s="140" t="n">
        <v>46.66</v>
      </c>
      <c r="F113" s="140" t="n">
        <v>56.99</v>
      </c>
    </row>
    <row r="114">
      <c r="A114" t="n">
        <v>93</v>
      </c>
      <c r="B114" s="140" t="n">
        <v>27.7</v>
      </c>
      <c r="C114" s="140" t="n">
        <v>34.21</v>
      </c>
      <c r="D114" s="140" t="n">
        <v>39.86</v>
      </c>
      <c r="E114" s="140" t="n">
        <v>46.8</v>
      </c>
      <c r="F114" s="140" t="n">
        <v>56.73</v>
      </c>
    </row>
    <row r="115">
      <c r="A115" t="n">
        <v>94</v>
      </c>
      <c r="B115" s="140" t="n">
        <v>27.25</v>
      </c>
      <c r="C115" s="140" t="n">
        <v>34.13</v>
      </c>
      <c r="D115" s="140" t="n">
        <v>40.04</v>
      </c>
      <c r="E115" s="140" t="n">
        <v>46.72</v>
      </c>
      <c r="F115" s="140" t="n">
        <v>56.81</v>
      </c>
    </row>
    <row r="116">
      <c r="A116" t="n">
        <v>95</v>
      </c>
      <c r="B116" s="140" t="n">
        <v>27.1</v>
      </c>
      <c r="C116" s="140" t="n">
        <v>34.09</v>
      </c>
      <c r="D116" s="140" t="n">
        <v>40.16</v>
      </c>
      <c r="E116" s="140" t="n">
        <v>47</v>
      </c>
      <c r="F116" s="140" t="n">
        <v>56.38</v>
      </c>
    </row>
    <row r="117">
      <c r="A117" t="n">
        <v>96</v>
      </c>
      <c r="B117" s="140" t="n">
        <v>26.99</v>
      </c>
      <c r="C117" s="140" t="n">
        <v>34.01</v>
      </c>
      <c r="D117" s="140" t="n">
        <v>40.08</v>
      </c>
      <c r="E117" s="140" t="n">
        <v>46.76</v>
      </c>
      <c r="F117" s="140" t="n">
        <v>56.41</v>
      </c>
    </row>
    <row r="118">
      <c r="A118" t="n">
        <v>97</v>
      </c>
      <c r="B118" s="140" t="n">
        <v>27.29</v>
      </c>
      <c r="C118" s="140" t="n">
        <v>34.14</v>
      </c>
      <c r="D118" s="140" t="n">
        <v>40.01</v>
      </c>
      <c r="E118" s="140" t="n">
        <v>46.9</v>
      </c>
      <c r="F118" s="140" t="n">
        <v>56.71</v>
      </c>
    </row>
    <row r="119">
      <c r="A119" t="n">
        <v>98</v>
      </c>
      <c r="B119" s="140" t="n">
        <v>26.99</v>
      </c>
      <c r="C119" s="140" t="n">
        <v>34.09</v>
      </c>
      <c r="D119" s="140" t="n">
        <v>39.9</v>
      </c>
      <c r="E119" s="140" t="n">
        <v>46.86</v>
      </c>
      <c r="F119" s="140" t="n">
        <v>56.41</v>
      </c>
    </row>
    <row r="120">
      <c r="A120" t="n">
        <v>99</v>
      </c>
      <c r="B120" s="140" t="n">
        <v>26.82</v>
      </c>
      <c r="C120" s="140" t="n">
        <v>33.93</v>
      </c>
      <c r="D120" s="140" t="n">
        <v>39.82</v>
      </c>
      <c r="E120" s="140" t="n">
        <v>46.96</v>
      </c>
      <c r="F120" s="140" t="n">
        <v>56.64</v>
      </c>
    </row>
    <row r="121">
      <c r="A121" t="n">
        <v>100</v>
      </c>
      <c r="B121" s="140" t="n">
        <v>26.82</v>
      </c>
      <c r="C121" s="140" t="n">
        <v>33.91</v>
      </c>
      <c r="D121" s="140" t="n">
        <v>39.84</v>
      </c>
      <c r="E121" s="140" t="n">
        <v>46.85</v>
      </c>
      <c r="F121" s="140" t="n">
        <v>56.63</v>
      </c>
    </row>
    <row r="122">
      <c r="A122" t="n">
        <v>101</v>
      </c>
      <c r="B122" s="140" t="n">
        <v>26.7</v>
      </c>
      <c r="C122" s="140" t="n">
        <v>33.87</v>
      </c>
      <c r="D122" s="140" t="n">
        <v>39.84</v>
      </c>
      <c r="E122" s="140" t="n">
        <v>46.96</v>
      </c>
      <c r="F122" s="140" t="n">
        <v>57.21</v>
      </c>
    </row>
    <row r="123">
      <c r="A123" t="n">
        <v>102</v>
      </c>
      <c r="B123" s="140" t="n">
        <v>26.67</v>
      </c>
      <c r="C123" s="140" t="n">
        <v>33.91</v>
      </c>
      <c r="D123" s="140" t="n">
        <v>39.67</v>
      </c>
      <c r="E123" s="140" t="n">
        <v>46.85</v>
      </c>
      <c r="F123" s="140" t="n">
        <v>57.22</v>
      </c>
    </row>
    <row r="124">
      <c r="A124" t="n">
        <v>103</v>
      </c>
      <c r="B124" s="140" t="n">
        <v>26.77</v>
      </c>
      <c r="C124" s="140" t="n">
        <v>33.89</v>
      </c>
      <c r="D124" s="140" t="n">
        <v>39.56</v>
      </c>
      <c r="E124" s="140" t="n">
        <v>46.9</v>
      </c>
      <c r="F124" s="140" t="n">
        <v>58.05</v>
      </c>
    </row>
    <row r="125">
      <c r="A125" t="n">
        <v>104</v>
      </c>
      <c r="B125" s="140" t="n">
        <v>26.56</v>
      </c>
      <c r="C125" s="140" t="n">
        <v>33.86</v>
      </c>
      <c r="D125" s="140" t="n">
        <v>39.82</v>
      </c>
      <c r="E125" s="140" t="n">
        <v>46.81</v>
      </c>
      <c r="F125" s="140" t="n">
        <v>58.19</v>
      </c>
    </row>
    <row r="126">
      <c r="A126" t="n">
        <v>105</v>
      </c>
      <c r="B126" s="140" t="n">
        <v>26.39</v>
      </c>
      <c r="C126" s="140" t="n">
        <v>33.82</v>
      </c>
      <c r="D126" s="140" t="n">
        <v>39.81</v>
      </c>
      <c r="E126" s="140" t="n">
        <v>46.9</v>
      </c>
      <c r="F126" s="140" t="n">
        <v>58.07</v>
      </c>
    </row>
    <row r="127">
      <c r="A127" t="n">
        <v>106</v>
      </c>
      <c r="B127" s="140" t="n">
        <v>26.51</v>
      </c>
      <c r="C127" s="140" t="n">
        <v>33.88</v>
      </c>
      <c r="D127" s="140" t="n">
        <v>39.85</v>
      </c>
      <c r="E127" s="140" t="n">
        <v>46.74</v>
      </c>
      <c r="F127" s="140" t="n">
        <v>57.91</v>
      </c>
    </row>
    <row r="128">
      <c r="A128" t="n">
        <v>107</v>
      </c>
      <c r="B128" s="140" t="n">
        <v>26.35</v>
      </c>
      <c r="C128" s="140" t="n">
        <v>33.98</v>
      </c>
      <c r="D128" s="140" t="n">
        <v>39.89</v>
      </c>
      <c r="E128" s="140" t="n">
        <v>46.58</v>
      </c>
      <c r="F128" s="140" t="n">
        <v>58.21</v>
      </c>
    </row>
    <row r="129">
      <c r="A129" t="n">
        <v>108</v>
      </c>
      <c r="B129" s="140" t="n">
        <v>26.29</v>
      </c>
      <c r="C129" s="140" t="n">
        <v>34.11</v>
      </c>
      <c r="D129" s="140" t="n">
        <v>39.98</v>
      </c>
      <c r="E129" s="140" t="n">
        <v>46.77</v>
      </c>
      <c r="F129" s="140" t="n">
        <v>57.64</v>
      </c>
    </row>
    <row r="130">
      <c r="A130" t="n">
        <v>109</v>
      </c>
      <c r="B130" s="140" t="n">
        <v>26.2</v>
      </c>
      <c r="C130" s="140" t="n">
        <v>34.19</v>
      </c>
      <c r="D130" s="140" t="n">
        <v>39.83</v>
      </c>
      <c r="E130" s="140" t="n">
        <v>46.72</v>
      </c>
      <c r="F130" s="140" t="n">
        <v>58.33</v>
      </c>
    </row>
    <row r="131">
      <c r="A131" t="n">
        <v>110</v>
      </c>
      <c r="B131" s="140" t="n">
        <v>26.12</v>
      </c>
      <c r="C131" s="140" t="n">
        <v>34</v>
      </c>
      <c r="D131" s="140" t="n">
        <v>39.82</v>
      </c>
      <c r="E131" s="140" t="n">
        <v>46.85</v>
      </c>
      <c r="F131" s="140" t="n">
        <v>58.71</v>
      </c>
    </row>
    <row r="132">
      <c r="A132" t="n">
        <v>111</v>
      </c>
      <c r="B132" s="140" t="n">
        <v>26.11</v>
      </c>
      <c r="C132" s="140" t="n">
        <v>33.98</v>
      </c>
      <c r="D132" s="140" t="n">
        <v>39.84</v>
      </c>
      <c r="E132" s="140" t="n">
        <v>46.83</v>
      </c>
      <c r="F132" s="140" t="n">
        <v>58.83</v>
      </c>
    </row>
    <row r="133">
      <c r="A133" t="n">
        <v>112</v>
      </c>
      <c r="B133" s="140" t="n">
        <v>26.13</v>
      </c>
      <c r="C133" s="140" t="n">
        <v>34.04</v>
      </c>
      <c r="D133" s="140" t="n">
        <v>39.85</v>
      </c>
      <c r="E133" s="140" t="n">
        <v>46.9</v>
      </c>
      <c r="F133" s="140" t="n">
        <v>58.12</v>
      </c>
    </row>
    <row r="134">
      <c r="A134" t="n">
        <v>113</v>
      </c>
      <c r="B134" s="140" t="n">
        <v>26.26</v>
      </c>
      <c r="C134" s="140" t="n">
        <v>33.9</v>
      </c>
      <c r="D134" s="140" t="n">
        <v>40.12</v>
      </c>
      <c r="E134" s="140" t="n">
        <v>46.86</v>
      </c>
      <c r="F134" s="140" t="n">
        <v>59.45</v>
      </c>
    </row>
    <row r="135">
      <c r="A135" t="n">
        <v>114</v>
      </c>
      <c r="B135" s="140" t="n">
        <v>26.02</v>
      </c>
      <c r="C135" s="140" t="n">
        <v>33.94</v>
      </c>
      <c r="D135" s="140" t="n">
        <v>39.91</v>
      </c>
      <c r="E135" s="140" t="n">
        <v>46.97</v>
      </c>
      <c r="F135" s="140" t="n">
        <v>59.56</v>
      </c>
    </row>
    <row r="136">
      <c r="A136" t="n">
        <v>115</v>
      </c>
      <c r="B136" s="140" t="n">
        <v>25.78</v>
      </c>
      <c r="C136" s="140" t="n">
        <v>33.87</v>
      </c>
      <c r="D136" s="140" t="n">
        <v>39.95</v>
      </c>
      <c r="E136" s="140" t="n">
        <v>46.94</v>
      </c>
      <c r="F136" s="140" t="n">
        <v>59.47</v>
      </c>
    </row>
    <row r="137">
      <c r="A137" t="n">
        <v>116</v>
      </c>
      <c r="B137" s="140" t="n">
        <v>25.9</v>
      </c>
      <c r="C137" s="140" t="n">
        <v>33.75</v>
      </c>
      <c r="D137" s="140" t="n">
        <v>40.09</v>
      </c>
      <c r="E137" s="140" t="n">
        <v>47.03</v>
      </c>
      <c r="F137" s="140" t="n">
        <v>59.89</v>
      </c>
    </row>
    <row r="138">
      <c r="A138" t="n">
        <v>117</v>
      </c>
      <c r="B138" s="140" t="n">
        <v>25.71</v>
      </c>
      <c r="C138" s="140" t="n">
        <v>33.88</v>
      </c>
      <c r="D138" s="140" t="n">
        <v>40.16</v>
      </c>
      <c r="E138" s="140" t="n">
        <v>47.57</v>
      </c>
      <c r="F138" s="140" t="n">
        <v>59.75</v>
      </c>
    </row>
    <row r="139">
      <c r="A139" t="n">
        <v>118</v>
      </c>
      <c r="B139" s="140" t="n">
        <v>25.47</v>
      </c>
      <c r="C139" s="140" t="n">
        <v>33.82</v>
      </c>
      <c r="D139" s="140" t="n">
        <v>39.98</v>
      </c>
      <c r="E139" s="140" t="n">
        <v>47.29</v>
      </c>
      <c r="F139" s="140" t="n">
        <v>59.4</v>
      </c>
    </row>
    <row r="140">
      <c r="A140" t="n">
        <v>119</v>
      </c>
      <c r="B140" s="140" t="n">
        <v>25.76</v>
      </c>
      <c r="C140" s="140" t="n">
        <v>33.69</v>
      </c>
      <c r="D140" s="140" t="n">
        <v>39.79</v>
      </c>
      <c r="E140" s="140" t="n">
        <v>47.46</v>
      </c>
      <c r="F140" s="140" t="n">
        <v>60.94</v>
      </c>
    </row>
    <row r="141">
      <c r="A141" t="n">
        <v>120</v>
      </c>
      <c r="B141" s="140" t="n">
        <v>25.53</v>
      </c>
      <c r="C141" s="140" t="n">
        <v>33.51</v>
      </c>
      <c r="D141" s="140" t="n">
        <v>39.88</v>
      </c>
      <c r="E141" s="140" t="n">
        <v>47.52</v>
      </c>
      <c r="F141" s="140" t="n">
        <v>60.21</v>
      </c>
    </row>
    <row r="142">
      <c r="A142" t="n">
        <v>121</v>
      </c>
      <c r="B142" s="140" t="n">
        <v>25.3</v>
      </c>
      <c r="C142" s="140" t="n">
        <v>33.37</v>
      </c>
      <c r="D142" s="140" t="n">
        <v>39.89</v>
      </c>
      <c r="E142" s="140" t="n">
        <v>47.64</v>
      </c>
      <c r="F142" s="140" t="n">
        <v>60.22</v>
      </c>
    </row>
    <row r="143">
      <c r="A143" t="n">
        <v>122</v>
      </c>
      <c r="B143" s="140" t="n">
        <v>25.41</v>
      </c>
      <c r="C143" s="140" t="n">
        <v>33.47</v>
      </c>
      <c r="D143" s="140" t="n">
        <v>39.95</v>
      </c>
      <c r="E143" s="140" t="n">
        <v>47.61</v>
      </c>
      <c r="F143" s="140" t="n">
        <v>60.1</v>
      </c>
    </row>
    <row r="144">
      <c r="A144" t="n">
        <v>123</v>
      </c>
      <c r="B144" s="140" t="n">
        <v>25.38</v>
      </c>
      <c r="C144" s="140" t="n">
        <v>33.46</v>
      </c>
      <c r="D144" s="140" t="n">
        <v>39.9</v>
      </c>
      <c r="E144" s="140" t="n">
        <v>47.57</v>
      </c>
      <c r="F144" s="140" t="n">
        <v>60.5</v>
      </c>
    </row>
    <row r="145">
      <c r="A145" t="n">
        <v>124</v>
      </c>
      <c r="B145" s="140" t="n">
        <v>25.26</v>
      </c>
      <c r="C145" s="140" t="n">
        <v>33.36</v>
      </c>
      <c r="D145" s="140" t="n">
        <v>39.92</v>
      </c>
      <c r="E145" s="140" t="n">
        <v>47.63</v>
      </c>
      <c r="F145" s="140" t="n">
        <v>60.61</v>
      </c>
    </row>
    <row r="146">
      <c r="A146" t="n">
        <v>125</v>
      </c>
      <c r="B146" s="140" t="n">
        <v>25.03</v>
      </c>
      <c r="C146" s="140" t="n">
        <v>33.49</v>
      </c>
      <c r="D146" s="140" t="n">
        <v>40</v>
      </c>
      <c r="E146" s="140" t="n">
        <v>47.78</v>
      </c>
      <c r="F146" s="140" t="n">
        <v>61.03</v>
      </c>
    </row>
    <row r="147">
      <c r="A147" t="n">
        <v>126</v>
      </c>
      <c r="B147" s="140" t="n">
        <v>25.36</v>
      </c>
      <c r="C147" s="140" t="n">
        <v>33.27</v>
      </c>
      <c r="D147" s="140" t="n">
        <v>40.12</v>
      </c>
      <c r="E147" s="140" t="n">
        <v>48.09</v>
      </c>
      <c r="F147" s="140" t="n">
        <v>61.23</v>
      </c>
    </row>
    <row r="148">
      <c r="A148" t="n">
        <v>127</v>
      </c>
      <c r="B148" s="140" t="n">
        <v>25.26</v>
      </c>
      <c r="C148" s="140" t="n">
        <v>33.23</v>
      </c>
      <c r="D148" s="140" t="n">
        <v>39.98</v>
      </c>
      <c r="E148" s="140" t="n">
        <v>48.27</v>
      </c>
      <c r="F148" s="140" t="n">
        <v>61.5</v>
      </c>
    </row>
    <row r="149">
      <c r="A149" t="n">
        <v>128</v>
      </c>
      <c r="B149" s="140" t="n">
        <v>25.27</v>
      </c>
      <c r="C149" s="140" t="n">
        <v>33.14</v>
      </c>
      <c r="D149" s="140" t="n">
        <v>39.75</v>
      </c>
      <c r="E149" s="140" t="n">
        <v>48.08</v>
      </c>
      <c r="F149" s="140" t="n">
        <v>61.06</v>
      </c>
    </row>
    <row r="150">
      <c r="A150" t="n">
        <v>129</v>
      </c>
      <c r="B150" s="140" t="n">
        <v>25.24</v>
      </c>
      <c r="C150" s="140" t="n">
        <v>33.04</v>
      </c>
      <c r="D150" s="140" t="n">
        <v>39.91</v>
      </c>
      <c r="E150" s="140" t="n">
        <v>48.12</v>
      </c>
      <c r="F150" s="140" t="n">
        <v>60.9</v>
      </c>
    </row>
    <row r="151">
      <c r="A151" t="n">
        <v>130</v>
      </c>
      <c r="B151" s="140" t="n">
        <v>25.2</v>
      </c>
      <c r="C151" s="140" t="n">
        <v>33.13</v>
      </c>
      <c r="D151" s="140" t="n">
        <v>39.92</v>
      </c>
      <c r="E151" s="140" t="n">
        <v>47.8</v>
      </c>
      <c r="F151" s="140" t="n">
        <v>61.04</v>
      </c>
    </row>
    <row r="152">
      <c r="A152" t="n">
        <v>131</v>
      </c>
      <c r="B152" s="140" t="n">
        <v>25.39</v>
      </c>
      <c r="C152" s="140" t="n">
        <v>32.97</v>
      </c>
      <c r="D152" s="140" t="n">
        <v>40.18</v>
      </c>
      <c r="E152" s="140" t="n">
        <v>47.93</v>
      </c>
      <c r="F152" s="140" t="n">
        <v>60.6</v>
      </c>
    </row>
    <row r="153">
      <c r="A153" t="n">
        <v>132</v>
      </c>
      <c r="B153" s="140" t="n">
        <v>25.61</v>
      </c>
      <c r="C153" s="140" t="n">
        <v>32.95</v>
      </c>
      <c r="D153" s="140" t="n">
        <v>39.94</v>
      </c>
      <c r="E153" s="140" t="n">
        <v>47.9</v>
      </c>
      <c r="F153" s="140" t="n">
        <v>61.54</v>
      </c>
    </row>
    <row r="154">
      <c r="A154" t="n">
        <v>133</v>
      </c>
      <c r="B154" s="140" t="n">
        <v>25.42</v>
      </c>
      <c r="C154" s="140" t="n">
        <v>33.02</v>
      </c>
      <c r="D154" s="140" t="n">
        <v>39.97</v>
      </c>
      <c r="E154" s="140" t="n">
        <v>47.79</v>
      </c>
      <c r="F154" s="140" t="n">
        <v>61.48</v>
      </c>
    </row>
    <row r="155">
      <c r="A155" t="n">
        <v>134</v>
      </c>
      <c r="B155" s="140" t="n">
        <v>25.12</v>
      </c>
      <c r="C155" s="140" t="n">
        <v>33.09</v>
      </c>
      <c r="D155" s="140" t="n">
        <v>40.01</v>
      </c>
      <c r="E155" s="140" t="n">
        <v>47.62</v>
      </c>
      <c r="F155" s="140" t="n">
        <v>62.12</v>
      </c>
    </row>
    <row r="156">
      <c r="A156" t="n">
        <v>135</v>
      </c>
      <c r="B156" s="140" t="n">
        <v>25.2</v>
      </c>
      <c r="C156" s="140" t="n">
        <v>33.1</v>
      </c>
      <c r="D156" s="140" t="n">
        <v>40.11</v>
      </c>
      <c r="E156" s="140" t="n">
        <v>47.8</v>
      </c>
      <c r="F156" s="140" t="n">
        <v>62</v>
      </c>
    </row>
    <row r="157">
      <c r="A157" t="n">
        <v>136</v>
      </c>
      <c r="B157" s="140" t="n">
        <v>25.09</v>
      </c>
      <c r="C157" s="140" t="n">
        <v>33.15</v>
      </c>
      <c r="D157" s="140" t="n">
        <v>40.2</v>
      </c>
      <c r="E157" s="140" t="n">
        <v>47.97</v>
      </c>
      <c r="F157" s="140" t="n">
        <v>62.11</v>
      </c>
    </row>
    <row r="158">
      <c r="A158" t="n">
        <v>137</v>
      </c>
      <c r="B158" s="140" t="n">
        <v>24.86</v>
      </c>
      <c r="C158" s="140" t="n">
        <v>33.12</v>
      </c>
      <c r="D158" s="140" t="n">
        <v>40.14</v>
      </c>
      <c r="E158" s="140" t="n">
        <v>48.02</v>
      </c>
      <c r="F158" s="140" t="n">
        <v>62.61</v>
      </c>
    </row>
    <row r="159">
      <c r="A159" t="n">
        <v>138</v>
      </c>
      <c r="B159" s="140" t="n">
        <v>25.02</v>
      </c>
      <c r="C159" s="140" t="n">
        <v>33.24</v>
      </c>
      <c r="D159" s="140" t="n">
        <v>40.06</v>
      </c>
      <c r="E159" s="140" t="n">
        <v>47.97</v>
      </c>
      <c r="F159" s="140" t="n">
        <v>62.85</v>
      </c>
    </row>
    <row r="160">
      <c r="A160" t="n">
        <v>139</v>
      </c>
      <c r="B160" s="140" t="n">
        <v>25.05</v>
      </c>
      <c r="C160" s="140" t="n">
        <v>32.95</v>
      </c>
      <c r="D160" s="140" t="n">
        <v>40.13</v>
      </c>
      <c r="E160" s="140" t="n">
        <v>47.96</v>
      </c>
      <c r="F160" s="140" t="n">
        <v>63.38</v>
      </c>
    </row>
    <row r="161">
      <c r="A161" t="n">
        <v>140</v>
      </c>
      <c r="B161" s="140" t="n">
        <v>25.14</v>
      </c>
      <c r="C161" s="140" t="n">
        <v>33.04</v>
      </c>
      <c r="D161" s="140" t="n">
        <v>40.22</v>
      </c>
      <c r="E161" s="140" t="n">
        <v>47.83</v>
      </c>
      <c r="F161" s="140" t="n">
        <v>63.36</v>
      </c>
    </row>
    <row r="162">
      <c r="A162" t="n">
        <v>141</v>
      </c>
      <c r="B162" s="140" t="n">
        <v>24.89</v>
      </c>
      <c r="C162" s="140" t="n">
        <v>32.89</v>
      </c>
      <c r="D162" s="140" t="n">
        <v>40</v>
      </c>
      <c r="E162" s="140" t="n">
        <v>47.79</v>
      </c>
      <c r="F162" s="140" t="n">
        <v>63.16</v>
      </c>
    </row>
    <row r="163">
      <c r="A163" t="n">
        <v>142</v>
      </c>
      <c r="B163" s="140" t="n">
        <v>24.87</v>
      </c>
      <c r="C163" s="140" t="n">
        <v>33.04</v>
      </c>
      <c r="D163" s="140" t="n">
        <v>40.12</v>
      </c>
      <c r="E163" s="140" t="n">
        <v>47.85</v>
      </c>
      <c r="F163" s="140" t="n">
        <v>63.02</v>
      </c>
    </row>
    <row r="164">
      <c r="A164" t="n">
        <v>143</v>
      </c>
      <c r="B164" s="140" t="n">
        <v>25.06</v>
      </c>
      <c r="C164" s="140" t="n">
        <v>32.97</v>
      </c>
      <c r="D164" s="140" t="n">
        <v>40.29</v>
      </c>
      <c r="E164" s="140" t="n">
        <v>47.85</v>
      </c>
      <c r="F164" s="140" t="n">
        <v>63.41</v>
      </c>
    </row>
    <row r="165">
      <c r="A165" t="n">
        <v>144</v>
      </c>
      <c r="B165" s="140" t="n">
        <v>25.04</v>
      </c>
      <c r="C165" s="140" t="n">
        <v>32.83</v>
      </c>
      <c r="D165" s="140" t="n">
        <v>40.21</v>
      </c>
      <c r="E165" s="140" t="n">
        <v>47.93</v>
      </c>
      <c r="F165" s="140" t="n">
        <v>63.16</v>
      </c>
    </row>
    <row r="166">
      <c r="A166" t="n">
        <v>145</v>
      </c>
      <c r="B166" s="140" t="n">
        <v>24.9</v>
      </c>
      <c r="C166" s="140" t="n">
        <v>32.8</v>
      </c>
      <c r="D166" s="140" t="n">
        <v>40.16</v>
      </c>
      <c r="E166" s="140" t="n">
        <v>47.94</v>
      </c>
      <c r="F166" s="140" t="n">
        <v>62.75</v>
      </c>
    </row>
    <row r="167">
      <c r="A167" t="n">
        <v>146</v>
      </c>
      <c r="B167" s="140" t="n">
        <v>25.08</v>
      </c>
      <c r="C167" s="140" t="n">
        <v>32.9</v>
      </c>
      <c r="D167" s="140" t="n">
        <v>40.09</v>
      </c>
      <c r="E167" s="140" t="n">
        <v>48.16</v>
      </c>
      <c r="F167" s="140" t="n">
        <v>63.52</v>
      </c>
    </row>
    <row r="168">
      <c r="A168" t="n">
        <v>147</v>
      </c>
      <c r="B168" s="140" t="n">
        <v>25.03</v>
      </c>
      <c r="C168" s="140" t="n">
        <v>32.72</v>
      </c>
      <c r="D168" s="140" t="n">
        <v>40.05</v>
      </c>
      <c r="E168" s="140" t="n">
        <v>48.13</v>
      </c>
      <c r="F168" s="140" t="n">
        <v>64.26000000000001</v>
      </c>
    </row>
    <row r="169">
      <c r="A169" t="n">
        <v>148</v>
      </c>
      <c r="B169" s="140" t="n">
        <v>24.91</v>
      </c>
      <c r="C169" s="140" t="n">
        <v>32.96</v>
      </c>
      <c r="D169" s="140" t="n">
        <v>39.91</v>
      </c>
      <c r="E169" s="140" t="n">
        <v>48.07</v>
      </c>
      <c r="F169" s="140" t="n">
        <v>63.73</v>
      </c>
    </row>
    <row r="170">
      <c r="A170" t="n">
        <v>149</v>
      </c>
      <c r="B170" s="140" t="n">
        <v>25.01</v>
      </c>
      <c r="C170" s="140" t="n">
        <v>32.81</v>
      </c>
      <c r="D170" s="140" t="n">
        <v>39.92</v>
      </c>
      <c r="E170" s="140" t="n">
        <v>48.03</v>
      </c>
      <c r="F170" s="140" t="n">
        <v>64.13</v>
      </c>
    </row>
    <row r="171">
      <c r="A171" t="n">
        <v>150</v>
      </c>
      <c r="B171" s="140" t="n">
        <v>24.94</v>
      </c>
      <c r="C171" s="140" t="n">
        <v>32.64</v>
      </c>
      <c r="D171" s="140" t="n">
        <v>39.98</v>
      </c>
      <c r="E171" s="140" t="n">
        <v>47.86</v>
      </c>
      <c r="F171" s="140" t="n">
        <v>64.09999999999999</v>
      </c>
    </row>
    <row r="172">
      <c r="A172" t="n">
        <v>151</v>
      </c>
      <c r="B172" s="140" t="n">
        <v>25.05</v>
      </c>
      <c r="C172" s="140" t="n">
        <v>32.67</v>
      </c>
      <c r="D172" s="140" t="n">
        <v>40.08</v>
      </c>
      <c r="E172" s="140" t="n">
        <v>48.06</v>
      </c>
      <c r="F172" s="140" t="n">
        <v>64.2</v>
      </c>
    </row>
    <row r="173">
      <c r="A173" t="n">
        <v>152</v>
      </c>
      <c r="B173" s="140" t="n">
        <v>24.98</v>
      </c>
      <c r="C173" s="140" t="n">
        <v>32.53</v>
      </c>
      <c r="D173" s="140" t="n">
        <v>40.02</v>
      </c>
      <c r="E173" s="140" t="n">
        <v>48.06</v>
      </c>
      <c r="F173" s="140" t="n">
        <v>63.73</v>
      </c>
    </row>
    <row r="174">
      <c r="A174" t="n">
        <v>153</v>
      </c>
      <c r="B174" s="140" t="n">
        <v>24.87</v>
      </c>
      <c r="C174" s="140" t="n">
        <v>32.88</v>
      </c>
      <c r="D174" s="140" t="n">
        <v>40.14</v>
      </c>
      <c r="E174" s="140" t="n">
        <v>48.35</v>
      </c>
      <c r="F174" s="140" t="n">
        <v>64.06999999999999</v>
      </c>
    </row>
    <row r="175">
      <c r="A175" t="n">
        <v>154</v>
      </c>
      <c r="B175" s="140" t="n">
        <v>24.59</v>
      </c>
      <c r="C175" s="140" t="n">
        <v>32.85</v>
      </c>
      <c r="D175" s="140" t="n">
        <v>40.03</v>
      </c>
      <c r="E175" s="140" t="n">
        <v>48.79</v>
      </c>
      <c r="F175" s="140" t="n">
        <v>63.61</v>
      </c>
    </row>
    <row r="176">
      <c r="A176" t="n">
        <v>155</v>
      </c>
      <c r="B176" s="140" t="n">
        <v>24.56</v>
      </c>
      <c r="C176" s="140" t="n">
        <v>32.77</v>
      </c>
      <c r="D176" s="140" t="n">
        <v>39.82</v>
      </c>
      <c r="E176" s="140" t="n">
        <v>48.35</v>
      </c>
      <c r="F176" s="140" t="n">
        <v>64.31</v>
      </c>
    </row>
    <row r="177">
      <c r="A177" t="n">
        <v>156</v>
      </c>
      <c r="B177" s="140" t="n">
        <v>24.75</v>
      </c>
      <c r="C177" s="140" t="n">
        <v>32.59</v>
      </c>
      <c r="D177" s="140" t="n">
        <v>39.94</v>
      </c>
      <c r="E177" s="140" t="n">
        <v>48.69</v>
      </c>
      <c r="F177" s="140" t="n">
        <v>64.36</v>
      </c>
    </row>
    <row r="178">
      <c r="A178" t="n">
        <v>157</v>
      </c>
      <c r="B178" s="140" t="n">
        <v>24.74</v>
      </c>
      <c r="C178" s="140" t="n">
        <v>32.51</v>
      </c>
      <c r="D178" s="140" t="n">
        <v>39.57</v>
      </c>
      <c r="E178" s="140" t="n">
        <v>49.25</v>
      </c>
      <c r="F178" s="140" t="n">
        <v>64.22</v>
      </c>
    </row>
    <row r="179">
      <c r="A179" t="n">
        <v>158</v>
      </c>
      <c r="B179" s="140" t="n">
        <v>24.78</v>
      </c>
      <c r="C179" s="140" t="n">
        <v>32.49</v>
      </c>
      <c r="D179" s="140" t="n">
        <v>39.8</v>
      </c>
      <c r="E179" s="140" t="n">
        <v>49.12</v>
      </c>
      <c r="F179" s="140" t="n">
        <v>64.03</v>
      </c>
    </row>
    <row r="180">
      <c r="A180" t="n">
        <v>159</v>
      </c>
      <c r="B180" s="140" t="n">
        <v>24.89</v>
      </c>
      <c r="C180" s="140" t="n">
        <v>32.56</v>
      </c>
      <c r="D180" s="140" t="n">
        <v>39.92</v>
      </c>
      <c r="E180" s="140" t="n">
        <v>49.26</v>
      </c>
      <c r="F180" s="140" t="n">
        <v>64.06</v>
      </c>
    </row>
    <row r="181">
      <c r="A181" t="n">
        <v>160</v>
      </c>
      <c r="B181" s="140" t="n">
        <v>24.83</v>
      </c>
      <c r="C181" s="140" t="n">
        <v>32.55</v>
      </c>
      <c r="D181" s="140" t="n">
        <v>39.86</v>
      </c>
      <c r="E181" s="140" t="n">
        <v>49.25</v>
      </c>
      <c r="F181" s="140" t="n">
        <v>64.81999999999999</v>
      </c>
    </row>
    <row r="182">
      <c r="A182" t="n">
        <v>161</v>
      </c>
      <c r="B182" s="140" t="n">
        <v>24.74</v>
      </c>
      <c r="C182" s="140" t="n">
        <v>32.49</v>
      </c>
      <c r="D182" s="140" t="n">
        <v>39.77</v>
      </c>
      <c r="E182" s="140" t="n">
        <v>49.43</v>
      </c>
      <c r="F182" s="140" t="n">
        <v>64.70999999999999</v>
      </c>
    </row>
    <row r="183">
      <c r="A183" t="n">
        <v>162</v>
      </c>
      <c r="B183" s="140" t="n">
        <v>24.77</v>
      </c>
      <c r="C183" s="140" t="n">
        <v>32.32</v>
      </c>
      <c r="D183" s="140" t="n">
        <v>39.92</v>
      </c>
      <c r="E183" s="140" t="n">
        <v>49.21</v>
      </c>
      <c r="F183" s="140" t="n">
        <v>64.78</v>
      </c>
    </row>
    <row r="184">
      <c r="A184" t="n">
        <v>163</v>
      </c>
      <c r="B184" s="140" t="n">
        <v>24.65</v>
      </c>
      <c r="C184" s="140" t="n">
        <v>32.35</v>
      </c>
      <c r="D184" s="140" t="n">
        <v>39.9</v>
      </c>
      <c r="E184" s="140" t="n">
        <v>49.24</v>
      </c>
      <c r="F184" s="140" t="n">
        <v>64.88</v>
      </c>
    </row>
    <row r="185">
      <c r="A185" t="n">
        <v>164</v>
      </c>
      <c r="B185" s="140" t="n">
        <v>24.68</v>
      </c>
      <c r="C185" s="140" t="n">
        <v>32.54</v>
      </c>
      <c r="D185" s="140" t="n">
        <v>39.66</v>
      </c>
      <c r="E185" s="140" t="n">
        <v>49.53</v>
      </c>
      <c r="F185" s="140" t="n">
        <v>64.72</v>
      </c>
    </row>
    <row r="186">
      <c r="A186" t="n">
        <v>165</v>
      </c>
      <c r="B186" s="140" t="n">
        <v>24.6</v>
      </c>
      <c r="C186" s="140" t="n">
        <v>32.51</v>
      </c>
      <c r="D186" s="140" t="n">
        <v>39.79</v>
      </c>
      <c r="E186" s="140" t="n">
        <v>49.56</v>
      </c>
      <c r="F186" s="140" t="n">
        <v>66.04000000000001</v>
      </c>
    </row>
    <row r="187">
      <c r="A187" t="n">
        <v>166</v>
      </c>
      <c r="B187" s="140" t="n">
        <v>24.41</v>
      </c>
      <c r="C187" s="140" t="n">
        <v>32.74</v>
      </c>
      <c r="D187" s="140" t="n">
        <v>39.77</v>
      </c>
      <c r="E187" s="140" t="n">
        <v>49.53</v>
      </c>
      <c r="F187" s="140" t="n">
        <v>65.17</v>
      </c>
    </row>
    <row r="188">
      <c r="A188" t="n">
        <v>167</v>
      </c>
      <c r="B188" s="140" t="n">
        <v>24.44</v>
      </c>
      <c r="C188" s="140" t="n">
        <v>32.58</v>
      </c>
      <c r="D188" s="140" t="n">
        <v>39.88</v>
      </c>
      <c r="E188" s="140" t="n">
        <v>49.48</v>
      </c>
      <c r="F188" s="140" t="n">
        <v>65.28</v>
      </c>
    </row>
    <row r="189">
      <c r="A189" t="n">
        <v>168</v>
      </c>
      <c r="B189" s="140" t="n">
        <v>24.26</v>
      </c>
      <c r="C189" s="140" t="n">
        <v>32.56</v>
      </c>
      <c r="D189" s="140" t="n">
        <v>39.93</v>
      </c>
      <c r="E189" s="140" t="n">
        <v>49.49</v>
      </c>
      <c r="F189" s="140" t="n">
        <v>65.26000000000001</v>
      </c>
    </row>
    <row r="190">
      <c r="A190" t="n">
        <v>169</v>
      </c>
      <c r="B190" s="140" t="n">
        <v>24.22</v>
      </c>
      <c r="C190" s="140" t="n">
        <v>32.49</v>
      </c>
      <c r="D190" s="140" t="n">
        <v>40.04</v>
      </c>
      <c r="E190" s="140" t="n">
        <v>49.49</v>
      </c>
      <c r="F190" s="140" t="n">
        <v>65.77</v>
      </c>
    </row>
    <row r="191">
      <c r="A191" t="n">
        <v>170</v>
      </c>
      <c r="B191" s="140" t="n">
        <v>24.16</v>
      </c>
      <c r="C191" s="140" t="n">
        <v>32.52</v>
      </c>
      <c r="D191" s="140" t="n">
        <v>39.9</v>
      </c>
      <c r="E191" s="140" t="n">
        <v>49.56</v>
      </c>
      <c r="F191" s="140" t="n">
        <v>65.19</v>
      </c>
    </row>
    <row r="192">
      <c r="A192" t="n">
        <v>171</v>
      </c>
      <c r="B192" s="140" t="n">
        <v>24.07</v>
      </c>
      <c r="C192" s="140" t="n">
        <v>32.65</v>
      </c>
      <c r="D192" s="140" t="n">
        <v>39.91</v>
      </c>
      <c r="E192" s="140" t="n">
        <v>49.88</v>
      </c>
      <c r="F192" s="140" t="n">
        <v>65.05</v>
      </c>
    </row>
    <row r="193">
      <c r="A193" t="n">
        <v>172</v>
      </c>
      <c r="B193" s="140" t="n">
        <v>24.24</v>
      </c>
      <c r="C193" s="140" t="n">
        <v>32.85</v>
      </c>
      <c r="D193" s="140" t="n">
        <v>40.05</v>
      </c>
      <c r="E193" s="140" t="n">
        <v>49.96</v>
      </c>
      <c r="F193" s="140" t="n">
        <v>64.81999999999999</v>
      </c>
    </row>
    <row r="194">
      <c r="A194" t="n">
        <v>173</v>
      </c>
      <c r="B194" s="140" t="n">
        <v>24.19</v>
      </c>
      <c r="C194" s="140" t="n">
        <v>32.81</v>
      </c>
      <c r="D194" s="140" t="n">
        <v>39.95</v>
      </c>
      <c r="E194" s="140" t="n">
        <v>50.15</v>
      </c>
      <c r="F194" s="140" t="n">
        <v>65.09</v>
      </c>
    </row>
    <row r="195">
      <c r="A195" t="n">
        <v>174</v>
      </c>
      <c r="B195" s="140" t="n">
        <v>24.33</v>
      </c>
      <c r="C195" s="140" t="n">
        <v>32.68</v>
      </c>
      <c r="D195" s="140" t="n">
        <v>39.91</v>
      </c>
      <c r="E195" s="140" t="n">
        <v>50.13</v>
      </c>
      <c r="F195" s="140" t="n">
        <v>65.18000000000001</v>
      </c>
    </row>
    <row r="196">
      <c r="A196" t="n">
        <v>175</v>
      </c>
      <c r="B196" s="140" t="n">
        <v>24.27</v>
      </c>
      <c r="C196" s="140" t="n">
        <v>32.75</v>
      </c>
      <c r="D196" s="140" t="n">
        <v>39.98</v>
      </c>
      <c r="E196" s="140" t="n">
        <v>50.38</v>
      </c>
      <c r="F196" s="140" t="n">
        <v>66.77</v>
      </c>
    </row>
    <row r="197">
      <c r="A197" t="n">
        <v>176</v>
      </c>
      <c r="B197" s="140" t="n">
        <v>24.4</v>
      </c>
      <c r="C197" s="140" t="n">
        <v>32.82</v>
      </c>
      <c r="D197" s="140" t="n">
        <v>40.13</v>
      </c>
      <c r="E197" s="140" t="n">
        <v>50.42</v>
      </c>
      <c r="F197" s="140" t="n">
        <v>65.77</v>
      </c>
    </row>
    <row r="198">
      <c r="A198" t="n">
        <v>177</v>
      </c>
      <c r="B198" s="140" t="n">
        <v>24.71</v>
      </c>
      <c r="C198" s="140" t="n">
        <v>32.74</v>
      </c>
      <c r="D198" s="140" t="n">
        <v>40.17</v>
      </c>
      <c r="E198" s="140" t="n">
        <v>50.06</v>
      </c>
      <c r="F198" s="140" t="n">
        <v>66.7</v>
      </c>
    </row>
    <row r="199">
      <c r="A199" t="n">
        <v>178</v>
      </c>
      <c r="B199" s="140" t="n">
        <v>24.44</v>
      </c>
      <c r="C199" s="140" t="n">
        <v>32.65</v>
      </c>
      <c r="D199" s="140" t="n">
        <v>40.11</v>
      </c>
      <c r="E199" s="140" t="n">
        <v>50.27</v>
      </c>
      <c r="F199" s="140" t="n">
        <v>66.06999999999999</v>
      </c>
    </row>
    <row r="200">
      <c r="A200" t="n">
        <v>179</v>
      </c>
      <c r="B200" s="140" t="n">
        <v>24.53</v>
      </c>
      <c r="C200" s="140" t="n">
        <v>32.54</v>
      </c>
      <c r="D200" s="140" t="n">
        <v>40.23</v>
      </c>
      <c r="E200" s="140" t="n">
        <v>50.14</v>
      </c>
      <c r="F200" s="140" t="n">
        <v>67.13</v>
      </c>
    </row>
    <row r="201">
      <c r="A201" t="n">
        <v>180</v>
      </c>
      <c r="B201" s="140" t="n">
        <v>24.47</v>
      </c>
      <c r="C201" s="140" t="n">
        <v>32.6</v>
      </c>
      <c r="D201" s="140" t="n">
        <v>40.12</v>
      </c>
      <c r="E201" s="140" t="n">
        <v>50.17</v>
      </c>
      <c r="F201" s="140" t="n">
        <v>66.42</v>
      </c>
    </row>
    <row r="202">
      <c r="A202" t="n">
        <v>181</v>
      </c>
      <c r="B202" s="140" t="n">
        <v>24.54</v>
      </c>
      <c r="C202" s="140" t="n">
        <v>32.61</v>
      </c>
      <c r="D202" s="140" t="n">
        <v>40.28</v>
      </c>
      <c r="E202" s="140" t="n">
        <v>50.41</v>
      </c>
      <c r="F202" s="140" t="n">
        <v>66.83</v>
      </c>
    </row>
    <row r="203">
      <c r="A203" t="n">
        <v>182</v>
      </c>
      <c r="B203" s="140" t="n">
        <v>24.34</v>
      </c>
      <c r="C203" s="140" t="n">
        <v>32.55</v>
      </c>
      <c r="D203" s="140" t="n">
        <v>40.62</v>
      </c>
      <c r="E203" s="140" t="n">
        <v>50.24</v>
      </c>
      <c r="F203" s="140" t="n">
        <v>66.98</v>
      </c>
    </row>
    <row r="204">
      <c r="A204" t="n">
        <v>183</v>
      </c>
      <c r="B204" s="140" t="n">
        <v>24.35</v>
      </c>
      <c r="C204" s="140" t="n">
        <v>32.59</v>
      </c>
      <c r="D204" s="140" t="n">
        <v>40.66</v>
      </c>
      <c r="E204" s="140" t="n">
        <v>50.12</v>
      </c>
      <c r="F204" s="140" t="n">
        <v>67.05</v>
      </c>
    </row>
    <row r="205">
      <c r="A205" t="n">
        <v>184</v>
      </c>
      <c r="B205" s="140" t="n">
        <v>24.54</v>
      </c>
      <c r="C205" s="140" t="n">
        <v>32.5</v>
      </c>
      <c r="D205" s="140" t="n">
        <v>40.67</v>
      </c>
      <c r="E205" s="140" t="n">
        <v>50.11</v>
      </c>
      <c r="F205" s="140" t="n">
        <v>66.89</v>
      </c>
    </row>
    <row r="206">
      <c r="A206" t="n">
        <v>185</v>
      </c>
      <c r="B206" s="140" t="n">
        <v>24.57</v>
      </c>
      <c r="C206" s="140" t="n">
        <v>32.62</v>
      </c>
      <c r="D206" s="140" t="n">
        <v>40.72</v>
      </c>
      <c r="E206" s="140" t="n">
        <v>50.29</v>
      </c>
      <c r="F206" s="140" t="n">
        <v>66.90000000000001</v>
      </c>
    </row>
    <row r="207">
      <c r="A207" t="n">
        <v>186</v>
      </c>
      <c r="B207" s="140" t="n">
        <v>24.51</v>
      </c>
      <c r="C207" s="140" t="n">
        <v>32.36</v>
      </c>
      <c r="D207" s="140" t="n">
        <v>40.85</v>
      </c>
      <c r="E207" s="140" t="n">
        <v>50.43</v>
      </c>
      <c r="F207" s="140" t="n">
        <v>66.88</v>
      </c>
    </row>
    <row r="208">
      <c r="A208" t="n">
        <v>187</v>
      </c>
      <c r="B208" s="140" t="n">
        <v>24.18</v>
      </c>
      <c r="C208" s="140" t="n">
        <v>32.5</v>
      </c>
      <c r="D208" s="140" t="n">
        <v>41.02</v>
      </c>
      <c r="E208" s="140" t="n">
        <v>50.21</v>
      </c>
      <c r="F208" s="140" t="n">
        <v>67.56999999999999</v>
      </c>
    </row>
    <row r="209">
      <c r="A209" t="n">
        <v>188</v>
      </c>
      <c r="B209" s="140" t="n">
        <v>24.03</v>
      </c>
      <c r="C209" s="140" t="n">
        <v>32.51</v>
      </c>
      <c r="D209" s="140" t="n">
        <v>40.72</v>
      </c>
      <c r="E209" s="140" t="n">
        <v>50.22</v>
      </c>
      <c r="F209" s="140" t="n">
        <v>68.11</v>
      </c>
    </row>
    <row r="210">
      <c r="A210" t="n">
        <v>189</v>
      </c>
      <c r="B210" s="140" t="n">
        <v>23.94</v>
      </c>
      <c r="C210" s="140" t="n">
        <v>32.63</v>
      </c>
      <c r="D210" s="140" t="n">
        <v>40.64</v>
      </c>
      <c r="E210" s="140" t="n">
        <v>50.6</v>
      </c>
      <c r="F210" s="140" t="n">
        <v>67.61</v>
      </c>
    </row>
    <row r="211">
      <c r="A211" t="n">
        <v>190</v>
      </c>
      <c r="B211" s="140" t="n">
        <v>24.25</v>
      </c>
      <c r="C211" s="140" t="n">
        <v>32.61</v>
      </c>
      <c r="D211" s="140" t="n">
        <v>40.13</v>
      </c>
      <c r="E211" s="140" t="n">
        <v>50.15</v>
      </c>
      <c r="F211" s="140" t="n">
        <v>68.09</v>
      </c>
    </row>
    <row r="212">
      <c r="A212" t="n">
        <v>191</v>
      </c>
      <c r="B212" s="140" t="n">
        <v>24</v>
      </c>
      <c r="C212" s="140" t="n">
        <v>32.68</v>
      </c>
      <c r="D212" s="140" t="n">
        <v>40.27</v>
      </c>
      <c r="E212" s="140" t="n">
        <v>50.04</v>
      </c>
      <c r="F212" s="140" t="n">
        <v>68.87</v>
      </c>
    </row>
    <row r="213">
      <c r="A213" t="n">
        <v>192</v>
      </c>
      <c r="B213" s="140" t="n">
        <v>24.03</v>
      </c>
      <c r="C213" s="140" t="n">
        <v>32.64</v>
      </c>
      <c r="D213" s="140" t="n">
        <v>40.05</v>
      </c>
      <c r="E213" s="140" t="n">
        <v>49.74</v>
      </c>
      <c r="F213" s="140" t="n">
        <v>68.66</v>
      </c>
    </row>
    <row r="214">
      <c r="A214" t="n">
        <v>193</v>
      </c>
      <c r="B214" s="140" t="n">
        <v>24.2</v>
      </c>
      <c r="C214" s="140" t="n">
        <v>32.53</v>
      </c>
      <c r="D214" s="140" t="n">
        <v>40.32</v>
      </c>
      <c r="E214" s="140" t="n">
        <v>50.14</v>
      </c>
      <c r="F214" s="140" t="n">
        <v>69.01000000000001</v>
      </c>
    </row>
    <row r="215">
      <c r="A215" t="n">
        <v>194</v>
      </c>
      <c r="B215" s="140" t="n">
        <v>24.21</v>
      </c>
      <c r="C215" s="140" t="n">
        <v>32.37</v>
      </c>
      <c r="D215" s="140" t="n">
        <v>40.25</v>
      </c>
      <c r="E215" s="140" t="n">
        <v>49.96</v>
      </c>
      <c r="F215" s="140" t="n">
        <v>68.94</v>
      </c>
    </row>
    <row r="216">
      <c r="A216" t="n">
        <v>195</v>
      </c>
      <c r="B216" s="140" t="n">
        <v>24.08</v>
      </c>
      <c r="C216" s="140" t="n">
        <v>32.39</v>
      </c>
      <c r="D216" s="140" t="n">
        <v>40.22</v>
      </c>
      <c r="E216" s="140" t="n">
        <v>49.83</v>
      </c>
      <c r="F216" s="140" t="n">
        <v>69.27</v>
      </c>
    </row>
    <row r="217">
      <c r="A217" t="n">
        <v>196</v>
      </c>
      <c r="B217" s="140" t="n">
        <v>23.99</v>
      </c>
      <c r="C217" s="140" t="n">
        <v>32.21</v>
      </c>
      <c r="D217" s="140" t="n">
        <v>40.46</v>
      </c>
      <c r="E217" s="140" t="n">
        <v>50.23</v>
      </c>
      <c r="F217" s="140" t="n">
        <v>69.62</v>
      </c>
    </row>
    <row r="218">
      <c r="A218" t="n">
        <v>197</v>
      </c>
      <c r="B218" s="140" t="n">
        <v>24.17</v>
      </c>
      <c r="C218" s="140" t="n">
        <v>32.32</v>
      </c>
      <c r="D218" s="140" t="n">
        <v>40.27</v>
      </c>
      <c r="E218" s="140" t="n">
        <v>50.17</v>
      </c>
      <c r="F218" s="140" t="n">
        <v>70.13</v>
      </c>
    </row>
    <row r="219">
      <c r="A219" t="n">
        <v>198</v>
      </c>
      <c r="B219" s="140" t="n">
        <v>23.95</v>
      </c>
      <c r="C219" s="140" t="n">
        <v>32.53</v>
      </c>
      <c r="D219" s="140" t="n">
        <v>40.4</v>
      </c>
      <c r="E219" s="140" t="n">
        <v>50.23</v>
      </c>
      <c r="F219" s="140" t="n">
        <v>69.95999999999999</v>
      </c>
    </row>
    <row r="220">
      <c r="A220" t="n">
        <v>199</v>
      </c>
      <c r="B220" s="140" t="n">
        <v>24.18</v>
      </c>
      <c r="C220" s="140" t="n">
        <v>32.24</v>
      </c>
      <c r="D220" s="140" t="n">
        <v>40.37</v>
      </c>
      <c r="E220" s="140" t="n">
        <v>50.39</v>
      </c>
      <c r="F220" s="140" t="n">
        <v>69.79000000000001</v>
      </c>
    </row>
    <row r="221">
      <c r="A221" t="n">
        <v>200</v>
      </c>
      <c r="B221" s="140" t="n">
        <v>23.93</v>
      </c>
      <c r="C221" s="140" t="n">
        <v>32.2</v>
      </c>
      <c r="D221" s="140" t="n">
        <v>40.41</v>
      </c>
      <c r="E221" s="140" t="n">
        <v>50.25</v>
      </c>
      <c r="F221" s="140" t="n">
        <v>70.73</v>
      </c>
    </row>
    <row r="222">
      <c r="A222" t="n">
        <v>201</v>
      </c>
      <c r="B222" s="140" t="n">
        <v>24.03</v>
      </c>
      <c r="C222" s="140" t="n">
        <v>32.13</v>
      </c>
      <c r="D222" s="140" t="n">
        <v>40.33</v>
      </c>
      <c r="E222" s="140" t="n">
        <v>50.04</v>
      </c>
      <c r="F222" s="140" t="n">
        <v>70.31999999999999</v>
      </c>
    </row>
    <row r="223">
      <c r="A223" t="n">
        <v>202</v>
      </c>
      <c r="B223" s="140" t="n">
        <v>23.95</v>
      </c>
      <c r="C223" s="140" t="n">
        <v>32.03</v>
      </c>
      <c r="D223" s="140" t="n">
        <v>40.4</v>
      </c>
      <c r="E223" s="140" t="n">
        <v>50.06</v>
      </c>
      <c r="F223" s="140" t="n">
        <v>69.95</v>
      </c>
    </row>
    <row r="224">
      <c r="A224" t="n">
        <v>203</v>
      </c>
      <c r="B224" s="140" t="n">
        <v>23.96</v>
      </c>
      <c r="C224" s="140" t="n">
        <v>32.1</v>
      </c>
      <c r="D224" s="140" t="n">
        <v>40.32</v>
      </c>
      <c r="E224" s="140" t="n">
        <v>50.37</v>
      </c>
      <c r="F224" s="140" t="n">
        <v>69.36</v>
      </c>
    </row>
    <row r="225">
      <c r="A225" t="n">
        <v>204</v>
      </c>
      <c r="B225" s="140" t="n">
        <v>24.14</v>
      </c>
      <c r="C225" s="140" t="n">
        <v>32.15</v>
      </c>
      <c r="D225" s="140" t="n">
        <v>40.37</v>
      </c>
      <c r="E225" s="140" t="n">
        <v>50.03</v>
      </c>
      <c r="F225" s="140" t="n">
        <v>69.45999999999999</v>
      </c>
    </row>
    <row r="226">
      <c r="A226" t="n">
        <v>205</v>
      </c>
      <c r="B226" s="140" t="n">
        <v>24.17</v>
      </c>
      <c r="C226" s="140" t="n">
        <v>32.15</v>
      </c>
      <c r="D226" s="140" t="n">
        <v>40.47</v>
      </c>
      <c r="E226" s="140" t="n">
        <v>50.13</v>
      </c>
      <c r="F226" s="140" t="n">
        <v>69.83</v>
      </c>
    </row>
    <row r="227">
      <c r="A227" t="n">
        <v>206</v>
      </c>
      <c r="B227" s="140" t="n">
        <v>24.07</v>
      </c>
      <c r="C227" s="140" t="n">
        <v>32.26</v>
      </c>
      <c r="D227" s="140" t="n">
        <v>40.44</v>
      </c>
      <c r="E227" s="140" t="n">
        <v>50.04</v>
      </c>
      <c r="F227" s="140" t="n">
        <v>70.72</v>
      </c>
    </row>
    <row r="228">
      <c r="A228" t="n">
        <v>207</v>
      </c>
      <c r="B228" s="140" t="n">
        <v>23.81</v>
      </c>
      <c r="C228" s="140" t="n">
        <v>32.25</v>
      </c>
      <c r="D228" s="140" t="n">
        <v>40.77</v>
      </c>
      <c r="E228" s="140" t="n">
        <v>50.21</v>
      </c>
      <c r="F228" s="140" t="n">
        <v>70.78</v>
      </c>
    </row>
    <row r="229">
      <c r="A229" t="n">
        <v>208</v>
      </c>
      <c r="B229" s="140" t="n">
        <v>23.82</v>
      </c>
      <c r="C229" s="140" t="n">
        <v>32.02</v>
      </c>
      <c r="D229" s="140" t="n">
        <v>40.54</v>
      </c>
      <c r="E229" s="140" t="n">
        <v>50.36</v>
      </c>
      <c r="F229" s="140" t="n">
        <v>70.15000000000001</v>
      </c>
    </row>
    <row r="230">
      <c r="A230" t="n">
        <v>209</v>
      </c>
      <c r="B230" s="140" t="n">
        <v>23.76</v>
      </c>
      <c r="C230" s="140" t="n">
        <v>32.29</v>
      </c>
      <c r="D230" s="140" t="n">
        <v>40.85</v>
      </c>
      <c r="E230" s="140" t="n">
        <v>50.34</v>
      </c>
      <c r="F230" s="140" t="n">
        <v>70.08</v>
      </c>
    </row>
    <row r="231">
      <c r="A231" t="n">
        <v>210</v>
      </c>
      <c r="B231" s="140" t="n">
        <v>23.81</v>
      </c>
      <c r="C231" s="140" t="n">
        <v>32.19</v>
      </c>
      <c r="D231" s="140" t="n">
        <v>40.67</v>
      </c>
      <c r="E231" s="140" t="n">
        <v>50.21</v>
      </c>
      <c r="F231" s="140" t="n">
        <v>70.48999999999999</v>
      </c>
    </row>
    <row r="232">
      <c r="A232" t="n">
        <v>211</v>
      </c>
      <c r="B232" s="140" t="n">
        <v>23.75</v>
      </c>
      <c r="C232" s="140" t="n">
        <v>32.23</v>
      </c>
      <c r="D232" s="140" t="n">
        <v>40.57</v>
      </c>
      <c r="E232" s="140" t="n">
        <v>50</v>
      </c>
      <c r="F232" s="140" t="n">
        <v>69.97</v>
      </c>
    </row>
    <row r="233">
      <c r="A233" t="n">
        <v>212</v>
      </c>
      <c r="B233" s="140" t="n">
        <v>23.94</v>
      </c>
      <c r="C233" s="140" t="n">
        <v>32.33</v>
      </c>
      <c r="D233" s="140" t="n">
        <v>40.58</v>
      </c>
      <c r="E233" s="140" t="n">
        <v>50.31</v>
      </c>
      <c r="F233" s="140" t="n">
        <v>70.8</v>
      </c>
    </row>
    <row r="234">
      <c r="A234" t="n">
        <v>213</v>
      </c>
      <c r="B234" s="140" t="n">
        <v>23.8</v>
      </c>
      <c r="C234" s="140" t="n">
        <v>32.59</v>
      </c>
      <c r="D234" s="140" t="n">
        <v>40.42</v>
      </c>
      <c r="E234" s="140" t="n">
        <v>50.27</v>
      </c>
      <c r="F234" s="140" t="n">
        <v>70.2</v>
      </c>
    </row>
    <row r="235">
      <c r="A235" t="n">
        <v>214</v>
      </c>
      <c r="B235" s="140" t="n">
        <v>23.91</v>
      </c>
      <c r="C235" s="140" t="n">
        <v>32.6</v>
      </c>
      <c r="D235" s="140" t="n">
        <v>40.59</v>
      </c>
      <c r="E235" s="140" t="n">
        <v>50.17</v>
      </c>
      <c r="F235" s="140" t="n">
        <v>70.38</v>
      </c>
    </row>
    <row r="236">
      <c r="A236" t="n">
        <v>215</v>
      </c>
      <c r="B236" s="140" t="n">
        <v>23.93</v>
      </c>
      <c r="C236" s="140" t="n">
        <v>32.46</v>
      </c>
      <c r="D236" s="140" t="n">
        <v>40.54</v>
      </c>
      <c r="E236" s="140" t="n">
        <v>50.3</v>
      </c>
      <c r="F236" s="140" t="n">
        <v>70.70999999999999</v>
      </c>
    </row>
    <row r="237">
      <c r="A237" t="n">
        <v>216</v>
      </c>
      <c r="B237" s="140" t="n">
        <v>23.66</v>
      </c>
      <c r="C237" s="140" t="n">
        <v>32.48</v>
      </c>
      <c r="D237" s="140" t="n">
        <v>40.72</v>
      </c>
      <c r="E237" s="140" t="n">
        <v>50.39</v>
      </c>
      <c r="F237" s="140" t="n">
        <v>70.94</v>
      </c>
    </row>
    <row r="238">
      <c r="A238" t="n">
        <v>217</v>
      </c>
      <c r="B238" s="140" t="n">
        <v>23.52</v>
      </c>
      <c r="C238" s="140" t="n">
        <v>32.36</v>
      </c>
      <c r="D238" s="140" t="n">
        <v>40.37</v>
      </c>
      <c r="E238" s="140" t="n">
        <v>50.49</v>
      </c>
      <c r="F238" s="140" t="n">
        <v>71.09</v>
      </c>
    </row>
    <row r="239">
      <c r="A239" t="n">
        <v>218</v>
      </c>
      <c r="B239" s="140" t="n">
        <v>23.17</v>
      </c>
      <c r="C239" s="140" t="n">
        <v>32.28</v>
      </c>
      <c r="D239" s="140" t="n">
        <v>40.53</v>
      </c>
      <c r="E239" s="140" t="n">
        <v>50.56</v>
      </c>
      <c r="F239" s="140" t="n">
        <v>70.81</v>
      </c>
    </row>
    <row r="240">
      <c r="A240" t="n">
        <v>219</v>
      </c>
      <c r="B240" s="140" t="n">
        <v>23.45</v>
      </c>
      <c r="C240" s="140" t="n">
        <v>32.08</v>
      </c>
      <c r="D240" s="140" t="n">
        <v>40.45</v>
      </c>
      <c r="E240" s="140" t="n">
        <v>50.73</v>
      </c>
      <c r="F240" s="140" t="n">
        <v>70.18000000000001</v>
      </c>
    </row>
    <row r="241">
      <c r="A241" t="n">
        <v>220</v>
      </c>
      <c r="B241" s="140" t="n">
        <v>23.31</v>
      </c>
      <c r="C241" s="140" t="n">
        <v>32.37</v>
      </c>
      <c r="D241" s="140" t="n">
        <v>40.42</v>
      </c>
      <c r="E241" s="140" t="n">
        <v>50.78</v>
      </c>
      <c r="F241" s="140" t="n">
        <v>70.65000000000001</v>
      </c>
    </row>
    <row r="242">
      <c r="A242" t="n">
        <v>221</v>
      </c>
      <c r="B242" s="140" t="n">
        <v>23.64</v>
      </c>
      <c r="C242" s="140" t="n">
        <v>32.33</v>
      </c>
      <c r="D242" s="140" t="n">
        <v>40.47</v>
      </c>
      <c r="E242" s="140" t="n">
        <v>50.85</v>
      </c>
      <c r="F242" s="140" t="n">
        <v>70.59</v>
      </c>
    </row>
    <row r="243">
      <c r="A243" t="n">
        <v>222</v>
      </c>
      <c r="B243" s="140" t="n">
        <v>23.44</v>
      </c>
      <c r="C243" s="140" t="n">
        <v>32.5</v>
      </c>
      <c r="D243" s="140" t="n">
        <v>40.31</v>
      </c>
      <c r="E243" s="140" t="n">
        <v>50.77</v>
      </c>
      <c r="F243" s="140" t="n">
        <v>70.45</v>
      </c>
    </row>
    <row r="244">
      <c r="A244" t="n">
        <v>223</v>
      </c>
      <c r="B244" s="140" t="n">
        <v>23.27</v>
      </c>
      <c r="C244" s="140" t="n">
        <v>32.41</v>
      </c>
      <c r="D244" s="140" t="n">
        <v>40.57</v>
      </c>
      <c r="E244" s="140" t="n">
        <v>51.01</v>
      </c>
      <c r="F244" s="140" t="n">
        <v>71.15000000000001</v>
      </c>
    </row>
    <row r="245">
      <c r="A245" t="n">
        <v>224</v>
      </c>
      <c r="B245" s="140" t="n">
        <v>23.16</v>
      </c>
      <c r="C245" s="140" t="n">
        <v>32.55</v>
      </c>
      <c r="D245" s="140" t="n">
        <v>40.53</v>
      </c>
      <c r="E245" s="140" t="n">
        <v>51.32</v>
      </c>
      <c r="F245" s="140" t="n">
        <v>71.34</v>
      </c>
    </row>
    <row r="246">
      <c r="A246" t="n">
        <v>225</v>
      </c>
      <c r="B246" s="140" t="n">
        <v>23.02</v>
      </c>
      <c r="C246" s="140" t="n">
        <v>32.46</v>
      </c>
      <c r="D246" s="140" t="n">
        <v>40.41</v>
      </c>
      <c r="E246" s="140" t="n">
        <v>51.29</v>
      </c>
      <c r="F246" s="140" t="n">
        <v>70.95</v>
      </c>
    </row>
    <row r="247">
      <c r="A247" t="n">
        <v>226</v>
      </c>
      <c r="B247" s="140" t="n">
        <v>23.3</v>
      </c>
      <c r="C247" s="140" t="n">
        <v>32.6</v>
      </c>
      <c r="D247" s="140" t="n">
        <v>40.38</v>
      </c>
      <c r="E247" s="140" t="n">
        <v>51.39</v>
      </c>
      <c r="F247" s="140" t="n">
        <v>71.43000000000001</v>
      </c>
    </row>
    <row r="248">
      <c r="A248" t="n">
        <v>227</v>
      </c>
      <c r="B248" s="140" t="n">
        <v>23.44</v>
      </c>
      <c r="C248" s="140" t="n">
        <v>32.66</v>
      </c>
      <c r="D248" s="140" t="n">
        <v>40.45</v>
      </c>
      <c r="E248" s="140" t="n">
        <v>51.21</v>
      </c>
      <c r="F248" s="140" t="n">
        <v>71</v>
      </c>
    </row>
    <row r="249">
      <c r="A249" t="n">
        <v>228</v>
      </c>
      <c r="B249" s="140" t="n">
        <v>23.51</v>
      </c>
      <c r="C249" s="140" t="n">
        <v>32.46</v>
      </c>
      <c r="D249" s="140" t="n">
        <v>40.44</v>
      </c>
      <c r="E249" s="140" t="n">
        <v>51.24</v>
      </c>
      <c r="F249" s="140" t="n">
        <v>71.79000000000001</v>
      </c>
    </row>
    <row r="250">
      <c r="A250" t="n">
        <v>229</v>
      </c>
      <c r="B250" s="140" t="n">
        <v>23.74</v>
      </c>
      <c r="C250" s="140" t="n">
        <v>32.51</v>
      </c>
      <c r="D250" s="140" t="n">
        <v>40.57</v>
      </c>
      <c r="E250" s="140" t="n">
        <v>51.44</v>
      </c>
      <c r="F250" s="140" t="n">
        <v>72.08</v>
      </c>
    </row>
    <row r="251">
      <c r="A251" t="n">
        <v>230</v>
      </c>
      <c r="B251" s="140" t="n">
        <v>23.58</v>
      </c>
      <c r="C251" s="140" t="n">
        <v>32.25</v>
      </c>
      <c r="D251" s="140" t="n">
        <v>40.43</v>
      </c>
      <c r="E251" s="140" t="n">
        <v>51.29</v>
      </c>
      <c r="F251" s="140" t="n">
        <v>71.98</v>
      </c>
    </row>
    <row r="252">
      <c r="A252" t="n">
        <v>231</v>
      </c>
      <c r="B252" s="140" t="n">
        <v>23.61</v>
      </c>
      <c r="C252" s="140" t="n">
        <v>32.34</v>
      </c>
      <c r="D252" s="140" t="n">
        <v>40.57</v>
      </c>
      <c r="E252" s="140" t="n">
        <v>51.51</v>
      </c>
      <c r="F252" s="140" t="n">
        <v>72.25</v>
      </c>
    </row>
    <row r="253">
      <c r="A253" t="n">
        <v>232</v>
      </c>
      <c r="B253" s="140" t="n">
        <v>23.48</v>
      </c>
      <c r="C253" s="140" t="n">
        <v>32.08</v>
      </c>
      <c r="D253" s="140" t="n">
        <v>40.73</v>
      </c>
      <c r="E253" s="140" t="n">
        <v>51.71</v>
      </c>
      <c r="F253" s="140" t="n">
        <v>72.54000000000001</v>
      </c>
    </row>
    <row r="254">
      <c r="A254" t="n">
        <v>233</v>
      </c>
      <c r="B254" s="140" t="n">
        <v>23.36</v>
      </c>
      <c r="C254" s="140" t="n">
        <v>32.42</v>
      </c>
      <c r="D254" s="140" t="n">
        <v>40.78</v>
      </c>
      <c r="E254" s="140" t="n">
        <v>52.05</v>
      </c>
      <c r="F254" s="140" t="n">
        <v>73.5</v>
      </c>
    </row>
    <row r="255">
      <c r="A255" t="n">
        <v>234</v>
      </c>
      <c r="B255" s="140" t="n">
        <v>22.99</v>
      </c>
      <c r="C255" s="140" t="n">
        <v>32.42</v>
      </c>
      <c r="D255" s="140" t="n">
        <v>40.74</v>
      </c>
      <c r="E255" s="140" t="n">
        <v>52.07</v>
      </c>
      <c r="F255" s="140" t="n">
        <v>73.22</v>
      </c>
    </row>
    <row r="256">
      <c r="A256" t="n">
        <v>235</v>
      </c>
      <c r="B256" s="140" t="n">
        <v>23.07</v>
      </c>
      <c r="C256" s="140" t="n">
        <v>32.41</v>
      </c>
      <c r="D256" s="140" t="n">
        <v>40.53</v>
      </c>
      <c r="E256" s="140" t="n">
        <v>51.97</v>
      </c>
      <c r="F256" s="140" t="n">
        <v>72.52</v>
      </c>
    </row>
    <row r="257">
      <c r="A257" t="n">
        <v>236</v>
      </c>
      <c r="B257" s="140" t="n">
        <v>22.71</v>
      </c>
      <c r="C257" s="140" t="n">
        <v>32.31</v>
      </c>
      <c r="D257" s="140" t="n">
        <v>40.42</v>
      </c>
      <c r="E257" s="140" t="n">
        <v>52</v>
      </c>
      <c r="F257" s="140" t="n">
        <v>73.16</v>
      </c>
    </row>
    <row r="258">
      <c r="A258" t="n">
        <v>237</v>
      </c>
      <c r="B258" s="140" t="n">
        <v>22.89</v>
      </c>
      <c r="C258" s="140" t="n">
        <v>32.25</v>
      </c>
      <c r="D258" s="140" t="n">
        <v>40.51</v>
      </c>
      <c r="E258" s="140" t="n">
        <v>51.95</v>
      </c>
      <c r="F258" s="140" t="n">
        <v>72.45</v>
      </c>
    </row>
    <row r="259">
      <c r="A259" t="n">
        <v>238</v>
      </c>
      <c r="B259" s="140" t="n">
        <v>22.74</v>
      </c>
      <c r="C259" s="140" t="n">
        <v>32.22</v>
      </c>
      <c r="D259" s="140" t="n">
        <v>40.4</v>
      </c>
      <c r="E259" s="140" t="n">
        <v>51.96</v>
      </c>
      <c r="F259" s="140" t="n">
        <v>72.78</v>
      </c>
    </row>
    <row r="260">
      <c r="A260" t="n">
        <v>239</v>
      </c>
      <c r="B260" s="140" t="n">
        <v>22.92</v>
      </c>
      <c r="C260" s="140" t="n">
        <v>32.19</v>
      </c>
      <c r="D260" s="140" t="n">
        <v>40.78</v>
      </c>
      <c r="E260" s="140" t="n">
        <v>51.73</v>
      </c>
      <c r="F260" s="140" t="n">
        <v>74.03</v>
      </c>
    </row>
    <row r="261">
      <c r="A261" t="n">
        <v>240</v>
      </c>
      <c r="B261" s="140" t="n">
        <v>22.9</v>
      </c>
      <c r="C261" s="140" t="n">
        <v>32.19</v>
      </c>
      <c r="D261" s="140" t="n">
        <v>40.66</v>
      </c>
      <c r="E261" s="140" t="n">
        <v>52.07</v>
      </c>
      <c r="F261" s="140" t="n">
        <v>73.62</v>
      </c>
    </row>
    <row r="262">
      <c r="A262" t="n">
        <v>241</v>
      </c>
      <c r="B262" s="140" t="n">
        <v>23.05</v>
      </c>
      <c r="C262" s="140" t="n">
        <v>32.29</v>
      </c>
      <c r="D262" s="140" t="n">
        <v>40.71</v>
      </c>
      <c r="E262" s="140" t="n">
        <v>51.84</v>
      </c>
      <c r="F262" s="140" t="n">
        <v>73.7</v>
      </c>
    </row>
    <row r="263">
      <c r="A263" t="n">
        <v>242</v>
      </c>
      <c r="B263" s="140" t="n">
        <v>22.95</v>
      </c>
      <c r="C263" s="140" t="n">
        <v>32.1</v>
      </c>
      <c r="D263" s="140" t="n">
        <v>40.79</v>
      </c>
      <c r="E263" s="140" t="n">
        <v>51.87</v>
      </c>
      <c r="F263" s="140" t="n">
        <v>73.41</v>
      </c>
    </row>
    <row r="264">
      <c r="A264" t="n">
        <v>243</v>
      </c>
      <c r="B264" s="140" t="n">
        <v>23.1</v>
      </c>
      <c r="C264" s="140" t="n">
        <v>31.99</v>
      </c>
      <c r="D264" s="140" t="n">
        <v>40.67</v>
      </c>
      <c r="E264" s="140" t="n">
        <v>51.92</v>
      </c>
      <c r="F264" s="140" t="n">
        <v>72.98</v>
      </c>
    </row>
    <row r="265">
      <c r="A265" t="n">
        <v>244</v>
      </c>
      <c r="B265" s="140" t="n">
        <v>22.94</v>
      </c>
      <c r="C265" s="140" t="n">
        <v>32.21</v>
      </c>
      <c r="D265" s="140" t="n">
        <v>40.86</v>
      </c>
      <c r="E265" s="140" t="n">
        <v>52.01</v>
      </c>
      <c r="F265" s="140" t="n">
        <v>73.05</v>
      </c>
    </row>
    <row r="266">
      <c r="A266" t="n">
        <v>245</v>
      </c>
      <c r="B266" s="140" t="n">
        <v>23.05</v>
      </c>
      <c r="C266" s="140" t="n">
        <v>32.32</v>
      </c>
      <c r="D266" s="140" t="n">
        <v>40.66</v>
      </c>
      <c r="E266" s="140" t="n">
        <v>52.27</v>
      </c>
      <c r="F266" s="140" t="n">
        <v>73.40000000000001</v>
      </c>
    </row>
    <row r="267">
      <c r="A267" t="n">
        <v>246</v>
      </c>
      <c r="B267" s="140" t="n">
        <v>23.02</v>
      </c>
      <c r="C267" s="140" t="n">
        <v>32.15</v>
      </c>
      <c r="D267" s="140" t="n">
        <v>40.63</v>
      </c>
      <c r="E267" s="140" t="n">
        <v>52.4</v>
      </c>
      <c r="F267" s="140" t="n">
        <v>73.73</v>
      </c>
    </row>
    <row r="268">
      <c r="A268" t="n">
        <v>247</v>
      </c>
      <c r="B268" s="140" t="n">
        <v>23.06</v>
      </c>
      <c r="C268" s="140" t="n">
        <v>31.99</v>
      </c>
      <c r="D268" s="140" t="n">
        <v>40.44</v>
      </c>
      <c r="E268" s="140" t="n">
        <v>52.93</v>
      </c>
      <c r="F268" s="140" t="n">
        <v>73.81</v>
      </c>
    </row>
    <row r="269">
      <c r="A269" t="n">
        <v>248</v>
      </c>
      <c r="B269" s="140" t="n">
        <v>23.1</v>
      </c>
      <c r="C269" s="140" t="n">
        <v>32.23</v>
      </c>
      <c r="D269" s="140" t="n">
        <v>40.35</v>
      </c>
      <c r="E269" s="140" t="n">
        <v>52.9</v>
      </c>
      <c r="F269" s="140" t="n">
        <v>73.41</v>
      </c>
    </row>
    <row r="270">
      <c r="A270" t="n">
        <v>249</v>
      </c>
      <c r="B270" s="140" t="n">
        <v>23</v>
      </c>
      <c r="C270" s="140" t="n">
        <v>32.11</v>
      </c>
      <c r="D270" s="140" t="n">
        <v>40.71</v>
      </c>
      <c r="E270" s="140" t="n">
        <v>52.66</v>
      </c>
      <c r="F270" s="140" t="n">
        <v>74.40000000000001</v>
      </c>
    </row>
    <row r="271">
      <c r="A271" t="n">
        <v>250</v>
      </c>
      <c r="B271" s="140" t="n">
        <v>23.1</v>
      </c>
      <c r="C271" s="140" t="n">
        <v>32.28</v>
      </c>
      <c r="D271" s="140" t="n">
        <v>40.37</v>
      </c>
      <c r="E271" s="140" t="n">
        <v>52.82</v>
      </c>
      <c r="F271" s="140" t="n">
        <v>73.5</v>
      </c>
    </row>
    <row r="272">
      <c r="A272" t="n">
        <v>251</v>
      </c>
      <c r="B272" s="140" t="n">
        <v>23.13</v>
      </c>
      <c r="C272" s="140" t="n">
        <v>31.93</v>
      </c>
      <c r="D272" s="140" t="n">
        <v>40.65</v>
      </c>
      <c r="E272" s="140" t="n">
        <v>52.63</v>
      </c>
      <c r="F272" s="140" t="n">
        <v>72.64</v>
      </c>
    </row>
    <row r="273">
      <c r="A273" t="n">
        <v>252</v>
      </c>
      <c r="B273" s="140" t="n">
        <v>22.97</v>
      </c>
      <c r="C273" s="140" t="n">
        <v>32.03</v>
      </c>
      <c r="D273" s="140" t="n">
        <v>40.56</v>
      </c>
      <c r="E273" s="140" t="n">
        <v>53.14</v>
      </c>
      <c r="F273" s="140" t="n">
        <v>72.66</v>
      </c>
    </row>
  </sheetData>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A2"/>
  <sheetViews>
    <sheetView showGridLines="0" workbookViewId="0">
      <selection activeCell="A1" sqref="A1"/>
    </sheetView>
  </sheetViews>
  <sheetFormatPr baseColWidth="8" defaultRowHeight="15"/>
  <cols>
    <col width="3" customWidth="1" min="1" max="1"/>
  </cols>
  <sheetData>
    <row r="1">
      <c r="A1" s="59" t="inlineStr">
        <is>
          <t>NKE — Charts</t>
        </is>
      </c>
    </row>
    <row r="2">
      <c r="A2" s="93" t="inlineStr">
        <is>
          <t>Live charts, not images: every series points at the Price_Indicators sheet, so edits there redraw these.</t>
        </is>
      </c>
    </row>
  </sheetData>
  <pageMargins left="0.75" right="0.75" top="1" bottom="1" header="0.5" footer="0.5"/>
  <drawing xmlns:r="http://schemas.openxmlformats.org/officeDocument/2006/relationships" r:id="rId1"/>
</worksheet>
</file>

<file path=xl/worksheets/sheet12.xml><?xml version="1.0" encoding="utf-8"?>
<worksheet xmlns="http://schemas.openxmlformats.org/spreadsheetml/2006/main">
  <sheetPr>
    <outlinePr summaryBelow="1" summaryRight="1"/>
    <pageSetUpPr/>
  </sheetPr>
  <dimension ref="A1:B40"/>
  <sheetViews>
    <sheetView showGridLines="0" workbookViewId="0">
      <pane ySplit="2" topLeftCell="A3" activePane="bottomLeft" state="frozen"/>
      <selection pane="bottomLeft" activeCell="A1" sqref="A1"/>
    </sheetView>
  </sheetViews>
  <sheetFormatPr baseColWidth="8" defaultRowHeight="15"/>
  <cols>
    <col width="26" customWidth="1" min="1" max="1"/>
    <col width="98" customWidth="1" min="2" max="2"/>
  </cols>
  <sheetData>
    <row r="1">
      <c r="A1" s="59" t="inlineStr">
        <is>
          <t>Methodology &amp; Definitions</t>
        </is>
      </c>
    </row>
    <row r="2">
      <c r="A2" s="60" t="inlineStr">
        <is>
          <t>Every metric in this report, in plain language and with its key assumptions — so nothing reads as a black box.</t>
        </is>
      </c>
    </row>
    <row r="4" ht="18" customHeight="1">
      <c r="A4" s="61" t="inlineStr">
        <is>
          <t>Risk &amp; Return</t>
        </is>
      </c>
    </row>
    <row r="5" ht="24" customHeight="1">
      <c r="A5" s="141" t="inlineStr">
        <is>
          <t>Annualised Volatility</t>
        </is>
      </c>
      <c r="B5" s="142" t="inlineStr">
        <is>
          <t>Standard deviation of daily returns × √252. How much the price swings; higher = riskier.</t>
        </is>
      </c>
    </row>
    <row r="6" ht="31" customHeight="1">
      <c r="A6" s="141" t="inlineStr">
        <is>
          <t>Sharpe Ratio</t>
        </is>
      </c>
      <c r="B6" s="142" t="inlineStr">
        <is>
          <t>(Annualised return − risk-free rate) ÷ annualised volatility — excess return per unit of total risk. Risk-free rate = current 3-month US Treasury yield via FRED (3.87% now). Above 1 is strong.</t>
        </is>
      </c>
    </row>
    <row r="7" ht="43.5" customHeight="1">
      <c r="A7" s="141" t="inlineStr">
        <is>
          <t>Sortino Ratio</t>
        </is>
      </c>
      <c r="B7" s="142" t="inlineStr">
        <is>
          <t>Like Sharpe, but the denominator is downside deviation about zero — √(mean of squared shortfalls below zero, over ALL days) × √252 — so upside volatility isn't penalised. Note this is not the standard deviation of the losing days, which would understate the denominator and flatter the ratio.</t>
        </is>
      </c>
    </row>
    <row r="8" ht="56" customHeight="1">
      <c r="A8" s="141" t="inlineStr">
        <is>
          <t>Max Drawdown (60d)</t>
        </is>
      </c>
      <c r="B8" s="142" t="inlineStr">
        <is>
          <t>Deepest fall from a rolling 60-day peak — how bad the worst quarter-ish stretch was. A decline that unfolds over longer than 60 trading days shows up here only in part, so this reads shallower than a full peak-to-trough figure. The Scorecard's risk factor and the PowerPoint deck use the full peak-to-trough drawdown over the whole window.</t>
        </is>
      </c>
    </row>
    <row r="10" ht="18" customHeight="1">
      <c r="A10" s="61" t="inlineStr">
        <is>
          <t>Technical Indicators</t>
        </is>
      </c>
    </row>
    <row r="11" ht="31" customHeight="1">
      <c r="A11" s="141" t="inlineStr">
        <is>
          <t>Moving Average (20/50/200-day)</t>
        </is>
      </c>
      <c r="B11" s="142" t="inlineStr">
        <is>
          <t>Average close over the last N sessions; smooths the trend. Price above the average is bullish, below is cautionary.</t>
        </is>
      </c>
    </row>
    <row r="12" ht="24" customHeight="1">
      <c r="A12" s="141" t="inlineStr">
        <is>
          <t>RSI (14)</t>
        </is>
      </c>
      <c r="B12" s="142" t="inlineStr">
        <is>
          <t>Relative Strength Index, 0–100. &gt;70 overbought (stretched up), &lt;30 oversold, 30–70 neutral.</t>
        </is>
      </c>
    </row>
    <row r="13" ht="31" customHeight="1">
      <c r="A13" s="141" t="inlineStr">
        <is>
          <t>MACD</t>
        </is>
      </c>
      <c r="B13" s="142" t="inlineStr">
        <is>
          <t>12-day minus 26-day exponential moving average vs a 9-day signal line. MACD above signal = bullish momentum.</t>
        </is>
      </c>
    </row>
    <row r="14" ht="31" customHeight="1">
      <c r="A14" s="141" t="inlineStr">
        <is>
          <t>Bollinger Bands (20, 2σ)</t>
        </is>
      </c>
      <c r="B14" s="142" t="inlineStr">
        <is>
          <t>20-day average ± 2 standard deviations. %B shows where price sits within the bands; near the upper band is relatively high.</t>
        </is>
      </c>
    </row>
    <row r="15" ht="31" customHeight="1">
      <c r="A15" s="141" t="inlineStr">
        <is>
          <t>Support / Resistance</t>
        </is>
      </c>
      <c r="B15" s="142" t="inlineStr">
        <is>
          <t>Recent levels where the stock repeatedly stalled (resistance) or bounced (support), detected from local highs/lows.</t>
        </is>
      </c>
    </row>
    <row r="17" ht="18" customHeight="1">
      <c r="A17" s="61" t="inlineStr">
        <is>
          <t>Valuation</t>
        </is>
      </c>
    </row>
    <row r="18" ht="31" customHeight="1">
      <c r="A18" s="141" t="inlineStr">
        <is>
          <t>P/E · P/S · P/B</t>
        </is>
      </c>
      <c r="B18" s="142" t="inlineStr">
        <is>
          <t>Market cap ÷ net income / revenue / book equity — dollars paid per dollar of earnings, sales, or book value.</t>
        </is>
      </c>
    </row>
    <row r="19" ht="24" customHeight="1">
      <c r="A19" s="141" t="inlineStr">
        <is>
          <t>EV / EBITDA</t>
        </is>
      </c>
      <c r="B19" s="142" t="inlineStr">
        <is>
          <t>Enterprise value (market cap + debt − cash) ÷ EBITDA — a capital-structure-neutral earnings multiple.</t>
        </is>
      </c>
    </row>
    <row r="20" ht="24" customHeight="1">
      <c r="A20" s="141" t="inlineStr">
        <is>
          <t>FCF / Earnings Yield</t>
        </is>
      </c>
      <c r="B20" s="142" t="inlineStr">
        <is>
          <t>Free cash flow / net income ÷ market cap — the cash or earnings return at today's price; higher = cheaper.</t>
        </is>
      </c>
    </row>
    <row r="21" ht="93.5" customHeight="1">
      <c r="A21" s="141" t="inlineStr">
        <is>
          <t>What a Reverse DCF Is</t>
        </is>
      </c>
      <c r="B21" s="142" t="inlineStr">
        <is>
          <t>A normal DCF starts with a growth forecast and produces a value. A reverse DCF runs the same model backwards: it takes today's share price as given and solves for the one number that would justify it — the rate at which free cash flow would have to compound over the forecast horizon. That flips the question from 'what do I think this is worth?' (which needs a forecast you may not have) to 'what would I have to believe to pay this price?' (which you can judge against the company's history, its competitors and its market size). It needs no analyst estimates, so it cannot inherit their optimism, and it gives you a single falsifiable claim to argue with.</t>
        </is>
      </c>
    </row>
    <row r="22" ht="81" customHeight="1">
      <c r="A22" s="141" t="inlineStr">
        <is>
          <t>Reverse-DCF Implied Growth</t>
        </is>
      </c>
      <c r="B22" s="142" t="inlineStr">
        <is>
          <t>The stage-1 free-cash-flow growth rate the current price implies, solved numerically from the same 10-year two-stage DCF used for fair value (9.3% discount rate, 2.5% terminal growth). Read it as a hurdle: if the implied rate is comfortably below what the business has actually delivered, the price is undemanding; if it is far above, the price already assumes a lot must go right. It is blank when today's price falls outside the range of growth rates the model can solve (roughly −20% to +50% a year) — usually a sign the price is being driven by something other than free-cash-flow growth.</t>
        </is>
      </c>
    </row>
    <row r="23" ht="68.5" customHeight="1">
      <c r="A23" s="141" t="inlineStr">
        <is>
          <t>DCF Fair Value</t>
        </is>
      </c>
      <c r="B23" s="142" t="inlineStr">
        <is>
          <t>Two-stage DCF on free cash flow: PV of 10-year of projected FCF + PV of terminal value − net debt, ÷ shares (market cap ÷ price). Discount rate 9.3%, terminal growth 2.5%; base FCF normalised over the last three positive annual figures; stage-1 growth fades linearly to the terminal rate. The Valuation sheet holds the whole model as live Excel formulas over a block of editable assumption cells — change the discount rate, the terminal growth rate or the growth path and every downstream figure recalculates. A model, not a price target.</t>
        </is>
      </c>
    </row>
    <row r="24" ht="43.5" customHeight="1">
      <c r="A24" s="141" t="inlineStr">
        <is>
          <t>Sensitivity Grid</t>
        </is>
      </c>
      <c r="B24" s="142" t="inlineStr">
        <is>
          <t>Base-case fair value per share across a 5×5 grid of discount rates and terminal growth rates, on the Valuation sheet. Green cells sit above today's price, red below. The spread across that grid is the honest measure of how much confidence a DCF deserves for this company.</t>
        </is>
      </c>
    </row>
    <row r="26" ht="18" customHeight="1">
      <c r="A26" s="61" t="inlineStr">
        <is>
          <t>Quality Scores</t>
        </is>
      </c>
    </row>
    <row r="27" ht="31" customHeight="1">
      <c r="A27" s="141" t="inlineStr">
        <is>
          <t>Piotroski F-Score (0–9)</t>
        </is>
      </c>
      <c r="B27" s="142" t="inlineStr">
        <is>
          <t>Nine pass/fail fundamental-quality tests (profitability, leverage, efficiency) across the two latest fiscal years. Higher = higher quality.</t>
        </is>
      </c>
    </row>
    <row r="28" ht="24" customHeight="1">
      <c r="A28" s="141" t="inlineStr">
        <is>
          <t>Altman Z-Score</t>
        </is>
      </c>
      <c r="B28" s="142" t="inlineStr">
        <is>
          <t>Bankruptcy-risk score from five ratios. &gt;2.99 'safe', 1.81–2.99 'grey', &lt;1.81 'distress'.</t>
        </is>
      </c>
    </row>
    <row r="29" ht="31" customHeight="1">
      <c r="A29" s="141" t="inlineStr">
        <is>
          <t>Technical Posture (0–100)</t>
        </is>
      </c>
      <c r="B29" s="142" t="inlineStr">
        <is>
          <t>A blend of trend (vs 50/200-day MA), RSI, MACD, 52-week location and relative strength. Describes what the indicators say — not a recommendation.</t>
        </is>
      </c>
    </row>
    <row r="30" ht="31" customHeight="1">
      <c r="A30" s="141" t="inlineStr">
        <is>
          <t>Stock Scorecard (0–100)</t>
        </is>
      </c>
      <c r="B30" s="142" t="inlineStr">
        <is>
          <t>Weighted composite of seven factors — valuation, growth, profitability, financial health, momentum, risk, sentiment. Describes the stock's profile; not a buy/sell call.</t>
        </is>
      </c>
    </row>
    <row r="32" ht="18" customHeight="1">
      <c r="A32" s="61" t="inlineStr">
        <is>
          <t>Forecasting</t>
        </is>
      </c>
    </row>
    <row r="33" ht="56" customHeight="1">
      <c r="A33" s="141" t="inlineStr">
        <is>
          <t>Monte Carlo Simulation</t>
        </is>
      </c>
      <c r="B33" s="142" t="inlineStr">
        <is>
          <t>Thousands of simulated 1-year price paths (geometric Brownian motion) with drift and volatility from the stock's own daily-return history. P5–P95 are percentiles of simulated ending prices (P5 = only 5% of paths ended lower) — NOT predictions. Assumes log-normal returns and constant volatility; real markets have fat tails and regime shifts. 'Probability of gain' = share of paths ending above today's price.</t>
        </is>
      </c>
    </row>
    <row r="34" ht="31" customHeight="1">
      <c r="A34" s="141" t="inlineStr">
        <is>
          <t>Custom Forecast (GARCH + ML)</t>
        </is>
      </c>
      <c r="B34" s="142" t="inlineStr">
        <is>
          <t>Optional variant modelling time-varying volatility (GARCH) and a machine-learned drift before simulating; same percentile interpretation.</t>
        </is>
      </c>
    </row>
    <row r="36" ht="18" customHeight="1">
      <c r="A36" s="61" t="inlineStr">
        <is>
          <t>Sentiment &amp; Data Sources</t>
        </is>
      </c>
    </row>
    <row r="37" ht="31" customHeight="1">
      <c r="A37" s="141" t="inlineStr">
        <is>
          <t>Analyst Consensus</t>
        </is>
      </c>
      <c r="B37" s="142" t="inlineStr">
        <is>
          <t>Wall-Street Buy/Hold/Sell counts aggregated by Finnhub, scored into one verdict. Analysts' view, not QuantWizard's.</t>
        </is>
      </c>
    </row>
    <row r="38" ht="31" customHeight="1">
      <c r="A38" s="141" t="inlineStr">
        <is>
          <t>News Relevance &amp; Sentiment</t>
        </is>
      </c>
      <c r="B38" s="142" t="inlineStr">
        <is>
          <t>Headlines are ranked High/Medium/Low for how directly they concern the company (broad round-ups are dropped) and tagged with Polygon's per-article sentiment.</t>
        </is>
      </c>
    </row>
    <row r="39" ht="31" customHeight="1">
      <c r="A39" s="141" t="inlineStr">
        <is>
          <t>Data Sources</t>
        </is>
      </c>
      <c r="B39" s="142" t="inlineStr">
        <is>
          <t>Prices: Yahoo Finance (Polygon fallback), split/dividend-adjusted. Fundamentals: SEC EDGAR (Polygon fallback). News &amp; analyst data: Finnhub / Polygon. Risk-free rate: US Treasury via FRED.</t>
        </is>
      </c>
    </row>
    <row r="40" ht="31" customHeight="1">
      <c r="A40" s="141" t="inlineStr">
        <is>
          <t>Disclaimer</t>
        </is>
      </c>
      <c r="B40" s="142" t="inlineStr">
        <is>
          <t>For informational purposes only. Not investment advice. Past performance does not guarantee future results. Figures are generated programmatically for information and education only.</t>
        </is>
      </c>
    </row>
  </sheetData>
  <mergeCells count="8">
    <mergeCell ref="A4:B4"/>
    <mergeCell ref="A26:B26"/>
    <mergeCell ref="A2:B2"/>
    <mergeCell ref="A10:B10"/>
    <mergeCell ref="A32:B32"/>
    <mergeCell ref="A36:B36"/>
    <mergeCell ref="A1:B1"/>
    <mergeCell ref="A17:B17"/>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2026-08-25T23:45:21Z</dcterms:created>
  <dcterms:modified xmlns:dcterms="http://purl.org/dc/terms/" xmlns:xsi="http://www.w3.org/2001/XMLSchema-instance" xsi:type="dcterms:W3CDTF">2026-08-25T23:45:22Z</dcterms:modified>
</cp:coreProperties>
</file>